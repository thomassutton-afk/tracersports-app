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WNBA_Elo\Ratings\"/>
    </mc:Choice>
  </mc:AlternateContent>
  <xr:revisionPtr revIDLastSave="0" documentId="13_ncr:1_{CEDE5DC5-CAE9-40F1-8F69-642A058FEE92}" xr6:coauthVersionLast="47" xr6:coauthVersionMax="47" xr10:uidLastSave="{00000000-0000-0000-0000-000000000000}"/>
  <bookViews>
    <workbookView xWindow="-110" yWindow="-110" windowWidth="19420" windowHeight="10300" activeTab="1" xr2:uid="{5ACCDE05-EE8C-41A7-8551-BC0BA0E61F2B}"/>
  </bookViews>
  <sheets>
    <sheet name="DataTable" sheetId="6" r:id="rId1"/>
    <sheet name="StandingsRaw" sheetId="3" r:id="rId2"/>
    <sheet name="StandingsPivot" sheetId="5" r:id="rId3"/>
    <sheet name="Sheet1" sheetId="8" state="hidden" r:id="rId4"/>
    <sheet name="RawData" sheetId="2" r:id="rId5"/>
  </sheets>
  <definedNames>
    <definedName name="alpha">RawData!$AP$3</definedName>
    <definedName name="base">RawData!$AP$4</definedName>
    <definedName name="HCA">RawData!$AP$2</definedName>
    <definedName name="HFA">RawData!$AP$2</definedName>
    <definedName name="k">RawData!#REF!</definedName>
    <definedName name="kmax">RawData!$AQ$1</definedName>
    <definedName name="kmin">RawData!$AP$1</definedName>
  </definedNames>
  <calcPr calcId="191029"/>
  <pivotCaches>
    <pivotCache cacheId="4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0" i="2" l="1" a="1"/>
  <c r="X2" i="2" a="1"/>
  <c r="X3" i="2" a="1"/>
  <c r="X4" i="2" a="1"/>
  <c r="X5" i="2" a="1"/>
  <c r="X6" i="2" a="1"/>
  <c r="X7" i="2" a="1"/>
  <c r="X8" i="2" a="1"/>
  <c r="X9" i="2" a="1"/>
  <c r="X10" i="2" a="1"/>
  <c r="X11" i="2" a="1"/>
  <c r="X12" i="2" a="1"/>
  <c r="X13" i="2" a="1"/>
  <c r="X14" i="2" a="1"/>
  <c r="X15" i="2" a="1"/>
  <c r="X16" i="2" a="1"/>
  <c r="X17" i="2" a="1"/>
  <c r="X18" i="2" a="1"/>
  <c r="X19" i="2" a="1"/>
  <c r="X20" i="2" a="1"/>
  <c r="X21" i="2" a="1"/>
  <c r="X22" i="2" a="1"/>
  <c r="X23" i="2" a="1"/>
  <c r="X24" i="2" a="1"/>
  <c r="X25" i="2" a="1"/>
  <c r="X26" i="2" a="1"/>
  <c r="X27" i="2" a="1"/>
  <c r="X28" i="2" a="1"/>
  <c r="X29" i="2" a="1"/>
  <c r="X30" i="2" a="1"/>
  <c r="X31" i="2" a="1"/>
  <c r="X32" i="2" a="1"/>
  <c r="X33" i="2" a="1"/>
  <c r="X34" i="2" a="1"/>
  <c r="X35" i="2" a="1"/>
  <c r="X36" i="2" a="1"/>
  <c r="X37" i="2" a="1"/>
  <c r="X38" i="2" a="1"/>
  <c r="X39" i="2" a="1"/>
  <c r="X40" i="2" a="1"/>
  <c r="X41" i="2" a="1"/>
  <c r="X42" i="2" a="1"/>
  <c r="X43" i="2" a="1"/>
  <c r="X44" i="2" a="1"/>
  <c r="X45" i="2" a="1"/>
  <c r="X46" i="2" a="1"/>
  <c r="X47" i="2" a="1"/>
  <c r="X48" i="2" a="1"/>
  <c r="X49" i="2" a="1"/>
  <c r="X50" i="2" a="1"/>
  <c r="X51" i="2" a="1"/>
  <c r="X52" i="2" a="1"/>
  <c r="X53" i="2" a="1"/>
  <c r="X54" i="2" a="1"/>
  <c r="X55" i="2" a="1"/>
  <c r="X56" i="2" a="1"/>
  <c r="X57" i="2" a="1"/>
  <c r="X58" i="2" a="1"/>
  <c r="X59" i="2" a="1"/>
  <c r="X60" i="2" a="1"/>
  <c r="X61" i="2" a="1"/>
  <c r="X62" i="2" a="1"/>
  <c r="X63" i="2" a="1"/>
  <c r="X64" i="2" a="1"/>
  <c r="X65" i="2" a="1"/>
  <c r="X66" i="2" a="1"/>
  <c r="X67" i="2" a="1"/>
  <c r="X68" i="2" a="1"/>
  <c r="X69" i="2" a="1"/>
  <c r="X70" i="2" a="1"/>
  <c r="X71" i="2" a="1"/>
  <c r="X72" i="2" a="1"/>
  <c r="X73" i="2" a="1"/>
  <c r="X74" i="2" a="1"/>
  <c r="X75" i="2" a="1"/>
  <c r="X76" i="2" a="1"/>
  <c r="X77" i="2" a="1"/>
  <c r="X78" i="2" a="1"/>
  <c r="X79" i="2" a="1"/>
  <c r="X80" i="2" a="1"/>
  <c r="X81" i="2" a="1"/>
  <c r="X82" i="2" a="1"/>
  <c r="X83" i="2" a="1"/>
  <c r="X84" i="2" a="1"/>
  <c r="X85" i="2" a="1"/>
  <c r="X86" i="2" a="1"/>
  <c r="X87" i="2" a="1"/>
  <c r="X88" i="2" a="1"/>
  <c r="X89" i="2" a="1"/>
  <c r="X90" i="2" a="1"/>
  <c r="X91" i="2" a="1"/>
  <c r="X92" i="2" a="1"/>
  <c r="X93" i="2" a="1"/>
  <c r="X94" i="2" a="1"/>
  <c r="X95" i="2" a="1"/>
  <c r="X96" i="2" a="1"/>
  <c r="X97" i="2" a="1"/>
  <c r="X98" i="2" a="1"/>
  <c r="X99" i="2" a="1"/>
  <c r="X100" i="2" a="1"/>
  <c r="X101" i="2" a="1"/>
  <c r="X102" i="2" a="1"/>
  <c r="X103" i="2" a="1"/>
  <c r="X104" i="2" a="1"/>
  <c r="X105" i="2" a="1"/>
  <c r="X106" i="2" a="1"/>
  <c r="X107" i="2" a="1"/>
  <c r="X108" i="2" a="1"/>
  <c r="X109" i="2" a="1"/>
  <c r="X110" i="2" a="1"/>
  <c r="X111" i="2" a="1"/>
  <c r="X112" i="2" a="1"/>
  <c r="X113" i="2" a="1"/>
  <c r="X114" i="2" a="1"/>
  <c r="X115" i="2" a="1"/>
  <c r="X116" i="2" a="1"/>
  <c r="X117" i="2" a="1"/>
  <c r="X118" i="2" a="1"/>
  <c r="X119" i="2" a="1"/>
  <c r="X120" i="2" a="1"/>
  <c r="X121" i="2" a="1"/>
  <c r="X122" i="2" a="1"/>
  <c r="X123" i="2" a="1"/>
  <c r="X124" i="2" a="1"/>
  <c r="X125" i="2" a="1"/>
  <c r="X126" i="2" a="1"/>
  <c r="X127" i="2" a="1"/>
  <c r="X128" i="2" a="1"/>
  <c r="X129" i="2" a="1"/>
  <c r="X130" i="2" a="1"/>
  <c r="X131" i="2" a="1"/>
  <c r="X132" i="2" a="1"/>
  <c r="X133" i="2" a="1"/>
  <c r="X134" i="2" a="1"/>
  <c r="X135" i="2" a="1"/>
  <c r="X136" i="2" a="1"/>
  <c r="X137" i="2" a="1"/>
  <c r="X138" i="2" a="1"/>
  <c r="X139" i="2" a="1"/>
  <c r="X140" i="2" a="1"/>
  <c r="X141" i="2" a="1"/>
  <c r="X142" i="2" a="1"/>
  <c r="X143" i="2" a="1"/>
  <c r="X144" i="2" a="1"/>
  <c r="X145" i="2" a="1"/>
  <c r="X146" i="2" a="1"/>
  <c r="X147" i="2" a="1"/>
  <c r="X148" i="2" a="1"/>
  <c r="X149" i="2" a="1"/>
  <c r="X150" i="2" a="1"/>
  <c r="X151" i="2" a="1"/>
  <c r="X152" i="2" a="1"/>
  <c r="X153" i="2" a="1"/>
  <c r="X154" i="2" a="1"/>
  <c r="X155" i="2" a="1"/>
  <c r="X156" i="2" a="1"/>
  <c r="X157" i="2" a="1"/>
  <c r="X158" i="2" a="1"/>
  <c r="X159" i="2" a="1"/>
  <c r="X160" i="2" a="1"/>
  <c r="X161" i="2" a="1"/>
  <c r="X162" i="2" a="1"/>
  <c r="X163" i="2" a="1"/>
  <c r="X164" i="2" a="1"/>
  <c r="X165" i="2" a="1"/>
  <c r="X166" i="2" a="1"/>
  <c r="X167" i="2" a="1"/>
  <c r="X168" i="2" a="1"/>
  <c r="X169" i="2" a="1"/>
  <c r="X170" i="2" a="1"/>
  <c r="X171" i="2" a="1"/>
  <c r="X172" i="2" a="1"/>
  <c r="X173" i="2" a="1"/>
  <c r="X174" i="2" a="1"/>
  <c r="X175" i="2" a="1"/>
  <c r="X176" i="2" a="1"/>
  <c r="X177" i="2" a="1"/>
  <c r="X178" i="2" a="1"/>
  <c r="X179" i="2" a="1"/>
  <c r="X180" i="2" a="1"/>
  <c r="X181" i="2" a="1"/>
  <c r="X182" i="2" a="1"/>
  <c r="X183" i="2" a="1"/>
  <c r="X184" i="2" a="1"/>
  <c r="X185" i="2" a="1"/>
  <c r="X186" i="2" a="1"/>
  <c r="X187" i="2" a="1"/>
  <c r="X188" i="2" a="1"/>
  <c r="X189" i="2" a="1"/>
  <c r="X190" i="2" a="1"/>
  <c r="X191" i="2" a="1"/>
  <c r="X192" i="2" a="1"/>
  <c r="X193" i="2" a="1"/>
  <c r="X194" i="2" a="1"/>
  <c r="X195" i="2" a="1"/>
  <c r="X196" i="2" a="1"/>
  <c r="X197" i="2" a="1"/>
  <c r="X198" i="2" a="1"/>
  <c r="X199" i="2" a="1"/>
  <c r="X200" i="2" a="1"/>
  <c r="X201" i="2" a="1"/>
  <c r="X202" i="2" a="1"/>
  <c r="X203" i="2" a="1"/>
  <c r="X204" i="2" a="1"/>
  <c r="X205" i="2" a="1"/>
  <c r="X206" i="2" a="1"/>
  <c r="X207" i="2" a="1"/>
  <c r="X208" i="2" a="1"/>
  <c r="X209" i="2" a="1"/>
  <c r="X210" i="2" a="1"/>
  <c r="X211" i="2" a="1"/>
  <c r="X212" i="2" a="1"/>
  <c r="X213" i="2" a="1"/>
  <c r="X214" i="2" a="1"/>
  <c r="X215" i="2" a="1"/>
  <c r="X216" i="2" a="1"/>
  <c r="X217" i="2" a="1"/>
  <c r="X218" i="2" a="1"/>
  <c r="X219" i="2" a="1"/>
  <c r="X220" i="2" a="1"/>
  <c r="X221" i="2" a="1"/>
  <c r="X222" i="2" a="1"/>
  <c r="X223" i="2" a="1"/>
  <c r="X224" i="2" a="1"/>
  <c r="X225" i="2" a="1"/>
  <c r="X226" i="2" a="1"/>
  <c r="X227" i="2" a="1"/>
  <c r="X228" i="2" a="1"/>
  <c r="X229" i="2" a="1"/>
  <c r="X230" i="2" a="1"/>
  <c r="X231" i="2" a="1"/>
  <c r="X232" i="2" a="1"/>
  <c r="X233" i="2" a="1"/>
  <c r="X234" i="2" a="1"/>
  <c r="X235" i="2" a="1"/>
  <c r="X236" i="2" a="1"/>
  <c r="X237" i="2" a="1"/>
  <c r="X238" i="2" a="1"/>
  <c r="X239" i="2" a="1"/>
  <c r="X241" i="2" a="1"/>
  <c r="X242" i="2" a="1"/>
  <c r="X243" i="2" a="1"/>
  <c r="X244" i="2" a="1"/>
  <c r="X245" i="2" a="1"/>
  <c r="X246" i="2" a="1"/>
  <c r="X247" i="2" a="1"/>
  <c r="X248" i="2" a="1"/>
  <c r="X249" i="2" a="1"/>
  <c r="X250" i="2" a="1"/>
  <c r="X251" i="2" a="1"/>
  <c r="X252" i="2" a="1"/>
  <c r="X253" i="2" a="1"/>
  <c r="X254" i="2" a="1"/>
  <c r="X255" i="2" a="1"/>
  <c r="X256" i="2" a="1"/>
  <c r="X257" i="2" a="1"/>
  <c r="X258" i="2" a="1"/>
  <c r="X259" i="2" a="1"/>
  <c r="X260" i="2" a="1"/>
  <c r="X261" i="2" a="1"/>
  <c r="X262" i="2" a="1"/>
  <c r="X263" i="2" a="1"/>
  <c r="X264" i="2" a="1"/>
  <c r="X265" i="2" a="1"/>
  <c r="X266" i="2" a="1"/>
  <c r="X267" i="2" a="1"/>
  <c r="X268" i="2" a="1"/>
  <c r="X269" i="2" a="1"/>
  <c r="X270" i="2" a="1"/>
  <c r="X271" i="2" a="1"/>
  <c r="X272" i="2" a="1"/>
  <c r="X273" i="2" a="1"/>
  <c r="X274" i="2" a="1"/>
  <c r="X275" i="2" a="1"/>
  <c r="X276" i="2" a="1"/>
  <c r="X277" i="2" a="1"/>
  <c r="X278" i="2" a="1"/>
  <c r="X279" i="2" a="1"/>
  <c r="X280" i="2" a="1"/>
  <c r="X281" i="2" a="1"/>
  <c r="X282" i="2" a="1"/>
  <c r="X283" i="2" a="1"/>
  <c r="X284" i="2" a="1"/>
  <c r="X285" i="2" a="1"/>
  <c r="X286" i="2" a="1"/>
  <c r="X287" i="2" a="1"/>
  <c r="X288" i="2" a="1"/>
  <c r="X289" i="2" a="1"/>
  <c r="X290" i="2" a="1"/>
  <c r="X291" i="2" a="1"/>
  <c r="X292" i="2" a="1"/>
  <c r="X293" i="2" a="1"/>
  <c r="X294" i="2" a="1"/>
  <c r="X295" i="2" a="1"/>
  <c r="X296" i="2" a="1"/>
  <c r="X297" i="2" a="1"/>
  <c r="X298" i="2" a="1"/>
  <c r="X299" i="2" a="1"/>
  <c r="X300" i="2" a="1"/>
  <c r="X301" i="2" a="1"/>
  <c r="X302" i="2" a="1"/>
  <c r="X303" i="2" a="1"/>
  <c r="X304" i="2" a="1"/>
  <c r="X305" i="2" a="1"/>
  <c r="X306" i="2" a="1"/>
  <c r="X307" i="2" a="1"/>
  <c r="X308" i="2" a="1"/>
  <c r="X309" i="2" a="1"/>
  <c r="X310" i="2" a="1"/>
  <c r="X311" i="2" a="1"/>
  <c r="X312" i="2" a="1"/>
  <c r="X313" i="2" a="1"/>
  <c r="X314" i="2" a="1"/>
  <c r="X315" i="2" a="1"/>
  <c r="X316" i="2" a="1"/>
  <c r="X317" i="2" a="1"/>
  <c r="X318" i="2" a="1"/>
  <c r="X319" i="2" a="1"/>
  <c r="X320" i="2" a="1"/>
  <c r="X321" i="2" a="1"/>
  <c r="X322" i="2" a="1"/>
  <c r="X323" i="2" a="1"/>
  <c r="X324" i="2" a="1"/>
  <c r="X325" i="2" a="1"/>
  <c r="X326" i="2" a="1"/>
  <c r="X327" i="2" a="1"/>
  <c r="X328" i="2" a="1"/>
  <c r="X329" i="2" a="1"/>
  <c r="X330" i="2" a="1"/>
  <c r="X331" i="2" a="1"/>
  <c r="X332" i="2" a="1"/>
  <c r="X333" i="2" a="1"/>
  <c r="X334" i="2" a="1"/>
  <c r="X335" i="2" a="1"/>
  <c r="X336" i="2" a="1"/>
  <c r="X337" i="2" a="1"/>
  <c r="X338" i="2" a="1"/>
  <c r="X339" i="2" a="1"/>
  <c r="X340" i="2" a="1"/>
  <c r="X341" i="2" a="1"/>
  <c r="X342" i="2" a="1"/>
  <c r="X343" i="2" a="1"/>
  <c r="X344" i="2" a="1"/>
  <c r="X345" i="2" a="1"/>
  <c r="X346" i="2" a="1"/>
  <c r="X347" i="2" a="1"/>
  <c r="X348" i="2" a="1"/>
  <c r="X349" i="2" a="1"/>
  <c r="X350" i="2" a="1"/>
  <c r="X351" i="2" a="1"/>
  <c r="X352" i="2" a="1"/>
  <c r="X353" i="2" a="1"/>
  <c r="X354" i="2" a="1"/>
  <c r="X355" i="2" a="1"/>
  <c r="X356" i="2" a="1"/>
  <c r="X357" i="2" a="1"/>
  <c r="X358" i="2" a="1"/>
  <c r="X359" i="2" a="1"/>
  <c r="X360" i="2" a="1"/>
  <c r="X361" i="2" a="1"/>
  <c r="X362" i="2" a="1"/>
  <c r="X363" i="2" a="1"/>
  <c r="X364" i="2" a="1"/>
  <c r="X365" i="2" a="1"/>
  <c r="X366" i="2" a="1"/>
  <c r="X367" i="2" a="1"/>
  <c r="X368" i="2" a="1"/>
  <c r="X369" i="2" a="1"/>
  <c r="X370" i="2" a="1"/>
  <c r="X371" i="2" a="1"/>
  <c r="X372" i="2" a="1"/>
  <c r="X373" i="2" a="1"/>
  <c r="X374" i="2" a="1"/>
  <c r="X375" i="2" a="1"/>
  <c r="X376" i="2" a="1"/>
  <c r="X377" i="2" a="1"/>
  <c r="X378" i="2" a="1"/>
  <c r="X379" i="2" a="1"/>
  <c r="X380" i="2" a="1"/>
  <c r="X381" i="2" a="1"/>
  <c r="X382" i="2" a="1"/>
  <c r="X383" i="2" a="1"/>
  <c r="X384" i="2" a="1"/>
  <c r="X385" i="2" a="1"/>
  <c r="X386" i="2" a="1"/>
  <c r="X387" i="2" a="1"/>
  <c r="X388" i="2" a="1"/>
  <c r="X389" i="2" a="1"/>
  <c r="X390" i="2" a="1"/>
  <c r="X391" i="2" a="1"/>
  <c r="X392" i="2" a="1"/>
  <c r="X393" i="2" a="1"/>
  <c r="X394" i="2" a="1"/>
  <c r="X395" i="2" a="1"/>
  <c r="X396" i="2" a="1"/>
  <c r="X397" i="2" a="1"/>
  <c r="X398" i="2" a="1"/>
  <c r="X399" i="2" a="1"/>
  <c r="X400" i="2" a="1"/>
  <c r="X401" i="2" a="1"/>
  <c r="X402" i="2" a="1"/>
  <c r="X403" i="2" a="1"/>
  <c r="X404" i="2" a="1"/>
  <c r="X405" i="2" a="1"/>
  <c r="X406" i="2" a="1"/>
  <c r="X407" i="2" a="1"/>
  <c r="X408" i="2" a="1"/>
  <c r="X409" i="2" a="1"/>
  <c r="X410" i="2" a="1"/>
  <c r="X411" i="2" a="1"/>
  <c r="X412" i="2" a="1"/>
  <c r="X413" i="2" a="1"/>
  <c r="X414" i="2" a="1"/>
  <c r="X415" i="2" a="1"/>
  <c r="X416" i="2" a="1"/>
  <c r="X417" i="2" a="1"/>
  <c r="X418" i="2" a="1"/>
  <c r="X419" i="2" a="1"/>
  <c r="X420" i="2" a="1"/>
  <c r="X421" i="2" a="1"/>
  <c r="C240" i="2"/>
  <c r="C241" i="2"/>
  <c r="I240" i="2" a="1"/>
  <c r="I241" i="2" a="1"/>
  <c r="J240" i="2" a="1"/>
  <c r="J241" i="2" a="1"/>
  <c r="K240" i="2"/>
  <c r="K241" i="2"/>
  <c r="L240" i="2"/>
  <c r="L241" i="2"/>
  <c r="M240" i="2"/>
  <c r="M241" i="2"/>
  <c r="N240" i="2"/>
  <c r="N241" i="2"/>
  <c r="U240" i="2"/>
  <c r="U241" i="2"/>
  <c r="V240" i="2"/>
  <c r="V241" i="2"/>
  <c r="Y240" i="2"/>
  <c r="Y241" i="2"/>
  <c r="Z240" i="2"/>
  <c r="Z241" i="2"/>
  <c r="AC240" i="2"/>
  <c r="AC241" i="2"/>
  <c r="AD240" i="2"/>
  <c r="AD241" i="2"/>
  <c r="AE240" i="2"/>
  <c r="AE241" i="2"/>
  <c r="AF240" i="2"/>
  <c r="AF241" i="2"/>
  <c r="AG240" i="2"/>
  <c r="AG241" i="2"/>
  <c r="AH240" i="2"/>
  <c r="AH241" i="2"/>
  <c r="AI240" i="2"/>
  <c r="AI241" i="2"/>
  <c r="AJ240" i="2"/>
  <c r="AJ241" i="2"/>
  <c r="AK240" i="2"/>
  <c r="AK241" i="2"/>
  <c r="AL240" i="2"/>
  <c r="AL241" i="2"/>
  <c r="C298" i="2"/>
  <c r="Y298" i="2" s="1"/>
  <c r="Z298" i="2" s="1"/>
  <c r="C299" i="2"/>
  <c r="Y299" i="2" s="1"/>
  <c r="Z299" i="2" s="1"/>
  <c r="C300" i="2"/>
  <c r="Y300" i="2" s="1"/>
  <c r="C301" i="2"/>
  <c r="Y301" i="2" s="1"/>
  <c r="Z301" i="2" s="1"/>
  <c r="C302" i="2"/>
  <c r="Y302" i="2" s="1"/>
  <c r="Z302" i="2" s="1"/>
  <c r="C303" i="2"/>
  <c r="Y303" i="2" s="1"/>
  <c r="Z303" i="2" s="1"/>
  <c r="C304" i="2"/>
  <c r="Y304" i="2" s="1"/>
  <c r="Z304" i="2" s="1"/>
  <c r="C305" i="2"/>
  <c r="Y305" i="2" s="1"/>
  <c r="Z305" i="2" s="1"/>
  <c r="C306" i="2"/>
  <c r="Y306" i="2" s="1"/>
  <c r="Z306" i="2" s="1"/>
  <c r="C307" i="2"/>
  <c r="Y307" i="2" s="1"/>
  <c r="Z307" i="2" s="1"/>
  <c r="C308" i="2"/>
  <c r="Y308" i="2" s="1"/>
  <c r="Z308" i="2" s="1"/>
  <c r="C309" i="2"/>
  <c r="Y309" i="2" s="1"/>
  <c r="Z309" i="2" s="1"/>
  <c r="C310" i="2"/>
  <c r="Y310" i="2" s="1"/>
  <c r="Z310" i="2" s="1"/>
  <c r="C311" i="2"/>
  <c r="Y311" i="2" s="1"/>
  <c r="Z311" i="2" s="1"/>
  <c r="C312" i="2"/>
  <c r="Y312" i="2" s="1"/>
  <c r="Z312" i="2" s="1"/>
  <c r="C313" i="2"/>
  <c r="Y313" i="2" s="1"/>
  <c r="Z313" i="2" s="1"/>
  <c r="C314" i="2"/>
  <c r="Y314" i="2" s="1"/>
  <c r="Z314" i="2" s="1"/>
  <c r="C315" i="2"/>
  <c r="Y315" i="2" s="1"/>
  <c r="Z315" i="2" s="1"/>
  <c r="C316" i="2"/>
  <c r="Y316" i="2" s="1"/>
  <c r="Z316" i="2" s="1"/>
  <c r="C317" i="2"/>
  <c r="Y317" i="2" s="1"/>
  <c r="Z317" i="2" s="1"/>
  <c r="C318" i="2"/>
  <c r="Y318" i="2" s="1"/>
  <c r="Z318" i="2" s="1"/>
  <c r="C319" i="2"/>
  <c r="Y319" i="2" s="1"/>
  <c r="Z319" i="2" s="1"/>
  <c r="C320" i="2"/>
  <c r="Y320" i="2" s="1"/>
  <c r="Z320" i="2" s="1"/>
  <c r="C321" i="2"/>
  <c r="Y321" i="2" s="1"/>
  <c r="Z321" i="2" s="1"/>
  <c r="C322" i="2"/>
  <c r="Y322" i="2" s="1"/>
  <c r="Z322" i="2" s="1"/>
  <c r="C323" i="2"/>
  <c r="Y323" i="2" s="1"/>
  <c r="Z323" i="2" s="1"/>
  <c r="C324" i="2"/>
  <c r="Y324" i="2" s="1"/>
  <c r="Z324" i="2" s="1"/>
  <c r="C325" i="2"/>
  <c r="Y325" i="2" s="1"/>
  <c r="Z325" i="2" s="1"/>
  <c r="C326" i="2"/>
  <c r="Y326" i="2" s="1"/>
  <c r="Z326" i="2" s="1"/>
  <c r="C327" i="2"/>
  <c r="Y327" i="2" s="1"/>
  <c r="Z327" i="2" s="1"/>
  <c r="C328" i="2"/>
  <c r="Y328" i="2" s="1"/>
  <c r="Z328" i="2" s="1"/>
  <c r="C329" i="2"/>
  <c r="Y329" i="2" s="1"/>
  <c r="Z329" i="2" s="1"/>
  <c r="C330" i="2"/>
  <c r="Y330" i="2" s="1"/>
  <c r="Z330" i="2" s="1"/>
  <c r="C331" i="2"/>
  <c r="Y331" i="2" s="1"/>
  <c r="Z331" i="2" s="1"/>
  <c r="C332" i="2"/>
  <c r="Y332" i="2" s="1"/>
  <c r="Z332" i="2" s="1"/>
  <c r="C333" i="2"/>
  <c r="Y333" i="2" s="1"/>
  <c r="Z333" i="2" s="1"/>
  <c r="C334" i="2"/>
  <c r="Y334" i="2" s="1"/>
  <c r="Z334" i="2" s="1"/>
  <c r="C335" i="2"/>
  <c r="Y335" i="2" s="1"/>
  <c r="Z335" i="2" s="1"/>
  <c r="C336" i="2"/>
  <c r="Y336" i="2" s="1"/>
  <c r="Z336" i="2" s="1"/>
  <c r="C337" i="2"/>
  <c r="Y337" i="2" s="1"/>
  <c r="Z337" i="2" s="1"/>
  <c r="C338" i="2"/>
  <c r="Y338" i="2" s="1"/>
  <c r="Z338" i="2" s="1"/>
  <c r="C339" i="2"/>
  <c r="Y339" i="2" s="1"/>
  <c r="Z339" i="2" s="1"/>
  <c r="C340" i="2"/>
  <c r="Y340" i="2" s="1"/>
  <c r="Z340" i="2" s="1"/>
  <c r="C341" i="2"/>
  <c r="Y341" i="2" s="1"/>
  <c r="Z341" i="2" s="1"/>
  <c r="C342" i="2"/>
  <c r="Y342" i="2" s="1"/>
  <c r="Z342" i="2" s="1"/>
  <c r="C343" i="2"/>
  <c r="Y343" i="2" s="1"/>
  <c r="C344" i="2"/>
  <c r="Y344" i="2" s="1"/>
  <c r="C345" i="2"/>
  <c r="Y345" i="2" s="1"/>
  <c r="C346" i="2"/>
  <c r="Y346" i="2" s="1"/>
  <c r="C347" i="2"/>
  <c r="Y347" i="2" s="1"/>
  <c r="C348" i="2"/>
  <c r="Y348" i="2" s="1"/>
  <c r="C349" i="2"/>
  <c r="Y349" i="2" s="1"/>
  <c r="C350" i="2"/>
  <c r="Y350" i="2" s="1"/>
  <c r="C351" i="2"/>
  <c r="Y351" i="2" s="1"/>
  <c r="C352" i="2"/>
  <c r="Y352" i="2" s="1"/>
  <c r="C353" i="2"/>
  <c r="Y353" i="2" s="1"/>
  <c r="C354" i="2"/>
  <c r="Y354" i="2" s="1"/>
  <c r="C355" i="2"/>
  <c r="Y355" i="2" s="1"/>
  <c r="C356" i="2"/>
  <c r="Y356" i="2" s="1"/>
  <c r="C357" i="2"/>
  <c r="Y357" i="2" s="1"/>
  <c r="C358" i="2"/>
  <c r="Y358" i="2" s="1"/>
  <c r="C359" i="2"/>
  <c r="Y359" i="2" s="1"/>
  <c r="C360" i="2"/>
  <c r="Y360" i="2" s="1"/>
  <c r="C361" i="2"/>
  <c r="Y361" i="2" s="1"/>
  <c r="C362" i="2"/>
  <c r="Y362" i="2" s="1"/>
  <c r="C363" i="2"/>
  <c r="Y363" i="2" s="1"/>
  <c r="C364" i="2"/>
  <c r="Y364" i="2" s="1"/>
  <c r="C365" i="2"/>
  <c r="Y365" i="2" s="1"/>
  <c r="C366" i="2"/>
  <c r="Y366" i="2" s="1"/>
  <c r="C367" i="2"/>
  <c r="Y367" i="2" s="1"/>
  <c r="C368" i="2"/>
  <c r="Y368" i="2" s="1"/>
  <c r="C369" i="2"/>
  <c r="Y369" i="2" s="1"/>
  <c r="C370" i="2"/>
  <c r="Y370" i="2" s="1"/>
  <c r="C371" i="2"/>
  <c r="Y371" i="2" s="1"/>
  <c r="C372" i="2"/>
  <c r="Y372" i="2" s="1"/>
  <c r="C373" i="2"/>
  <c r="Y373" i="2" s="1"/>
  <c r="C374" i="2"/>
  <c r="Y374" i="2" s="1"/>
  <c r="C375" i="2"/>
  <c r="Y375" i="2" s="1"/>
  <c r="C376" i="2"/>
  <c r="Y376" i="2" s="1"/>
  <c r="C377" i="2"/>
  <c r="Y377" i="2" s="1"/>
  <c r="C378" i="2"/>
  <c r="Y378" i="2" s="1"/>
  <c r="C379" i="2"/>
  <c r="Y379" i="2" s="1"/>
  <c r="C380" i="2"/>
  <c r="Y380" i="2" s="1"/>
  <c r="C381" i="2"/>
  <c r="Y381" i="2" s="1"/>
  <c r="C382" i="2"/>
  <c r="Y382" i="2" s="1"/>
  <c r="C383" i="2"/>
  <c r="Y383" i="2" s="1"/>
  <c r="C384" i="2"/>
  <c r="Y384" i="2" s="1"/>
  <c r="C385" i="2"/>
  <c r="Y385" i="2" s="1"/>
  <c r="C386" i="2"/>
  <c r="Y386" i="2" s="1"/>
  <c r="C387" i="2"/>
  <c r="Y387" i="2" s="1"/>
  <c r="C388" i="2"/>
  <c r="Y388" i="2" s="1"/>
  <c r="C389" i="2"/>
  <c r="Y389" i="2" s="1"/>
  <c r="C390" i="2"/>
  <c r="Y390" i="2" s="1"/>
  <c r="C391" i="2"/>
  <c r="Y391" i="2" s="1"/>
  <c r="C392" i="2"/>
  <c r="Y392" i="2" s="1"/>
  <c r="C393" i="2"/>
  <c r="Y393" i="2" s="1"/>
  <c r="C394" i="2"/>
  <c r="Y394" i="2" s="1"/>
  <c r="C395" i="2"/>
  <c r="Y395" i="2" s="1"/>
  <c r="C396" i="2"/>
  <c r="Y396" i="2" s="1"/>
  <c r="C397" i="2"/>
  <c r="Y397" i="2" s="1"/>
  <c r="C398" i="2"/>
  <c r="Y398" i="2" s="1"/>
  <c r="C399" i="2"/>
  <c r="Y399" i="2" s="1"/>
  <c r="C400" i="2"/>
  <c r="Y400" i="2" s="1"/>
  <c r="C401" i="2"/>
  <c r="Y401" i="2" s="1"/>
  <c r="C402" i="2"/>
  <c r="Y402" i="2" s="1"/>
  <c r="C403" i="2"/>
  <c r="Y403" i="2" s="1"/>
  <c r="C404" i="2"/>
  <c r="Y404" i="2" s="1"/>
  <c r="C405" i="2"/>
  <c r="Y405" i="2" s="1"/>
  <c r="C406" i="2"/>
  <c r="Y406" i="2" s="1"/>
  <c r="C407" i="2"/>
  <c r="Y407" i="2" s="1"/>
  <c r="C408" i="2"/>
  <c r="Y408" i="2" s="1"/>
  <c r="C409" i="2"/>
  <c r="Y409" i="2" s="1"/>
  <c r="C410" i="2"/>
  <c r="Y410" i="2" s="1"/>
  <c r="C411" i="2"/>
  <c r="Y411" i="2" s="1"/>
  <c r="Z411" i="2" s="1"/>
  <c r="C412" i="2"/>
  <c r="Y412" i="2" s="1"/>
  <c r="Z412" i="2" s="1"/>
  <c r="C413" i="2"/>
  <c r="Y413" i="2" s="1"/>
  <c r="Z413" i="2" s="1"/>
  <c r="C414" i="2"/>
  <c r="Y414" i="2" s="1"/>
  <c r="Z414" i="2" s="1"/>
  <c r="C415" i="2"/>
  <c r="Y415" i="2" s="1"/>
  <c r="Z415" i="2" s="1"/>
  <c r="C416" i="2"/>
  <c r="Y416" i="2" s="1"/>
  <c r="Z416" i="2" s="1"/>
  <c r="C417" i="2"/>
  <c r="Y417" i="2" s="1"/>
  <c r="Z417" i="2" s="1"/>
  <c r="C418" i="2"/>
  <c r="Y418" i="2" s="1"/>
  <c r="Z418" i="2" s="1"/>
  <c r="C419" i="2"/>
  <c r="Y419" i="2" s="1"/>
  <c r="Z419" i="2" s="1"/>
  <c r="C420" i="2"/>
  <c r="Y420" i="2" s="1"/>
  <c r="Z420" i="2" s="1"/>
  <c r="C421" i="2"/>
  <c r="Y421" i="2" s="1"/>
  <c r="Z421" i="2" s="1"/>
  <c r="I298" i="2" a="1"/>
  <c r="K298" i="2" s="1"/>
  <c r="M298" i="2" s="1"/>
  <c r="I299" i="2" a="1"/>
  <c r="K299" i="2" s="1"/>
  <c r="M299" i="2" s="1"/>
  <c r="I300" i="2" a="1"/>
  <c r="K300" i="2" s="1"/>
  <c r="M300" i="2" s="1"/>
  <c r="I301" i="2" a="1"/>
  <c r="K301" i="2" s="1"/>
  <c r="M301" i="2" s="1"/>
  <c r="I302" i="2" a="1"/>
  <c r="K302" i="2" s="1"/>
  <c r="M302" i="2" s="1"/>
  <c r="I303" i="2" a="1"/>
  <c r="K303" i="2" s="1"/>
  <c r="M303" i="2" s="1"/>
  <c r="I304" i="2" a="1"/>
  <c r="K304" i="2" s="1"/>
  <c r="M304" i="2" s="1"/>
  <c r="I305" i="2" a="1"/>
  <c r="K305" i="2" s="1"/>
  <c r="M305" i="2" s="1"/>
  <c r="I306" i="2" a="1"/>
  <c r="K306" i="2" s="1"/>
  <c r="M306" i="2" s="1"/>
  <c r="I307" i="2" a="1"/>
  <c r="K307" i="2" s="1"/>
  <c r="M307" i="2" s="1"/>
  <c r="I308" i="2" a="1"/>
  <c r="K308" i="2" s="1"/>
  <c r="M308" i="2" s="1"/>
  <c r="I309" i="2" a="1"/>
  <c r="K309" i="2" s="1"/>
  <c r="M309" i="2" s="1"/>
  <c r="I310" i="2" a="1"/>
  <c r="K310" i="2" s="1"/>
  <c r="M310" i="2" s="1"/>
  <c r="I311" i="2" a="1"/>
  <c r="K311" i="2" s="1"/>
  <c r="M311" i="2" s="1"/>
  <c r="I312" i="2" a="1"/>
  <c r="K312" i="2" s="1"/>
  <c r="M312" i="2" s="1"/>
  <c r="I313" i="2" a="1"/>
  <c r="K313" i="2" s="1"/>
  <c r="M313" i="2" s="1"/>
  <c r="I314" i="2" a="1"/>
  <c r="K314" i="2" s="1"/>
  <c r="M314" i="2" s="1"/>
  <c r="I315" i="2" a="1"/>
  <c r="K315" i="2" s="1"/>
  <c r="M315" i="2" s="1"/>
  <c r="I316" i="2" a="1"/>
  <c r="K316" i="2" s="1"/>
  <c r="M316" i="2" s="1"/>
  <c r="I317" i="2" a="1"/>
  <c r="I318" i="2" a="1"/>
  <c r="K318" i="2" s="1"/>
  <c r="M318" i="2" s="1"/>
  <c r="I319" i="2" a="1"/>
  <c r="K319" i="2" s="1"/>
  <c r="M319" i="2" s="1"/>
  <c r="I320" i="2" a="1"/>
  <c r="K320" i="2" s="1"/>
  <c r="M320" i="2" s="1"/>
  <c r="I321" i="2" a="1"/>
  <c r="K321" i="2" s="1"/>
  <c r="M321" i="2" s="1"/>
  <c r="I322" i="2" a="1"/>
  <c r="K322" i="2" s="1"/>
  <c r="M322" i="2" s="1"/>
  <c r="I323" i="2" a="1"/>
  <c r="K323" i="2" s="1"/>
  <c r="M323" i="2" s="1"/>
  <c r="I324" i="2" a="1"/>
  <c r="K324" i="2" s="1"/>
  <c r="M324" i="2" s="1"/>
  <c r="I325" i="2" a="1"/>
  <c r="K325" i="2" s="1"/>
  <c r="M325" i="2" s="1"/>
  <c r="I326" i="2" a="1"/>
  <c r="K326" i="2" s="1"/>
  <c r="M326" i="2" s="1"/>
  <c r="I327" i="2" a="1"/>
  <c r="K327" i="2" s="1"/>
  <c r="M327" i="2" s="1"/>
  <c r="I328" i="2" a="1"/>
  <c r="K328" i="2" s="1"/>
  <c r="M328" i="2" s="1"/>
  <c r="I329" i="2" a="1"/>
  <c r="K329" i="2" s="1"/>
  <c r="M329" i="2" s="1"/>
  <c r="I330" i="2" a="1"/>
  <c r="K330" i="2" s="1"/>
  <c r="M330" i="2" s="1"/>
  <c r="I331" i="2" a="1"/>
  <c r="K331" i="2" s="1"/>
  <c r="M331" i="2" s="1"/>
  <c r="I332" i="2" a="1"/>
  <c r="K332" i="2" s="1"/>
  <c r="M332" i="2" s="1"/>
  <c r="I333" i="2" a="1"/>
  <c r="K333" i="2" s="1"/>
  <c r="M333" i="2" s="1"/>
  <c r="I334" i="2" a="1"/>
  <c r="K334" i="2" s="1"/>
  <c r="M334" i="2" s="1"/>
  <c r="I335" i="2" a="1"/>
  <c r="K335" i="2" s="1"/>
  <c r="M335" i="2" s="1"/>
  <c r="I336" i="2" a="1"/>
  <c r="K336" i="2" s="1"/>
  <c r="M336" i="2" s="1"/>
  <c r="I337" i="2" a="1"/>
  <c r="K337" i="2" s="1"/>
  <c r="M337" i="2" s="1"/>
  <c r="I338" i="2" a="1"/>
  <c r="K338" i="2" s="1"/>
  <c r="M338" i="2" s="1"/>
  <c r="I339" i="2" a="1"/>
  <c r="K339" i="2" s="1"/>
  <c r="M339" i="2" s="1"/>
  <c r="I340" i="2" a="1"/>
  <c r="K340" i="2" s="1"/>
  <c r="M340" i="2" s="1"/>
  <c r="I341" i="2" a="1"/>
  <c r="K341" i="2" s="1"/>
  <c r="M341" i="2" s="1"/>
  <c r="I342" i="2" a="1"/>
  <c r="K342" i="2" s="1"/>
  <c r="M342" i="2" s="1"/>
  <c r="I343" i="2" a="1"/>
  <c r="K343" i="2" s="1"/>
  <c r="M343" i="2" s="1"/>
  <c r="I344" i="2" a="1"/>
  <c r="I345" i="2" a="1"/>
  <c r="K345" i="2" s="1"/>
  <c r="M345" i="2" s="1"/>
  <c r="I346" i="2" a="1"/>
  <c r="K346" i="2" s="1"/>
  <c r="M346" i="2" s="1"/>
  <c r="I347" i="2" a="1"/>
  <c r="K347" i="2" s="1"/>
  <c r="M347" i="2" s="1"/>
  <c r="I348" i="2" a="1"/>
  <c r="K348" i="2" s="1"/>
  <c r="M348" i="2" s="1"/>
  <c r="I349" i="2" a="1"/>
  <c r="K349" i="2" s="1"/>
  <c r="M349" i="2" s="1"/>
  <c r="I350" i="2" a="1"/>
  <c r="K350" i="2" s="1"/>
  <c r="M350" i="2" s="1"/>
  <c r="I351" i="2" a="1"/>
  <c r="K351" i="2" s="1"/>
  <c r="M351" i="2" s="1"/>
  <c r="I352" i="2" a="1"/>
  <c r="K352" i="2" s="1"/>
  <c r="M352" i="2" s="1"/>
  <c r="I353" i="2" a="1"/>
  <c r="K353" i="2" s="1"/>
  <c r="M353" i="2" s="1"/>
  <c r="I354" i="2" a="1"/>
  <c r="K354" i="2" s="1"/>
  <c r="M354" i="2" s="1"/>
  <c r="I355" i="2" a="1"/>
  <c r="K355" i="2" s="1"/>
  <c r="M355" i="2" s="1"/>
  <c r="I356" i="2" a="1"/>
  <c r="K356" i="2" s="1"/>
  <c r="M356" i="2" s="1"/>
  <c r="I357" i="2" a="1"/>
  <c r="K357" i="2" s="1"/>
  <c r="M357" i="2" s="1"/>
  <c r="I358" i="2" a="1"/>
  <c r="K358" i="2" s="1"/>
  <c r="M358" i="2" s="1"/>
  <c r="I359" i="2" a="1"/>
  <c r="K359" i="2" s="1"/>
  <c r="M359" i="2" s="1"/>
  <c r="I360" i="2" a="1"/>
  <c r="K360" i="2" s="1"/>
  <c r="M360" i="2" s="1"/>
  <c r="I361" i="2" a="1"/>
  <c r="K361" i="2" s="1"/>
  <c r="M361" i="2" s="1"/>
  <c r="I362" i="2" a="1"/>
  <c r="K362" i="2" s="1"/>
  <c r="M362" i="2" s="1"/>
  <c r="I363" i="2" a="1"/>
  <c r="K363" i="2" s="1"/>
  <c r="M363" i="2" s="1"/>
  <c r="I364" i="2" a="1"/>
  <c r="K364" i="2" s="1"/>
  <c r="M364" i="2" s="1"/>
  <c r="I365" i="2" a="1"/>
  <c r="K365" i="2" s="1"/>
  <c r="M365" i="2" s="1"/>
  <c r="I366" i="2" a="1"/>
  <c r="K366" i="2" s="1"/>
  <c r="M366" i="2" s="1"/>
  <c r="I367" i="2" a="1"/>
  <c r="K367" i="2" s="1"/>
  <c r="M367" i="2" s="1"/>
  <c r="I368" i="2" a="1"/>
  <c r="K368" i="2" s="1"/>
  <c r="M368" i="2" s="1"/>
  <c r="I369" i="2" a="1"/>
  <c r="K369" i="2" s="1"/>
  <c r="M369" i="2" s="1"/>
  <c r="I370" i="2" a="1"/>
  <c r="K370" i="2" s="1"/>
  <c r="M370" i="2" s="1"/>
  <c r="I371" i="2" a="1"/>
  <c r="K371" i="2" s="1"/>
  <c r="M371" i="2" s="1"/>
  <c r="I372" i="2" a="1"/>
  <c r="K372" i="2" s="1"/>
  <c r="M372" i="2" s="1"/>
  <c r="I373" i="2" a="1"/>
  <c r="K373" i="2" s="1"/>
  <c r="M373" i="2" s="1"/>
  <c r="I374" i="2" a="1"/>
  <c r="K374" i="2" s="1"/>
  <c r="M374" i="2" s="1"/>
  <c r="I375" i="2" a="1"/>
  <c r="K375" i="2" s="1"/>
  <c r="M375" i="2" s="1"/>
  <c r="I376" i="2" a="1"/>
  <c r="K376" i="2" s="1"/>
  <c r="M376" i="2" s="1"/>
  <c r="I377" i="2" a="1"/>
  <c r="K377" i="2" s="1"/>
  <c r="M377" i="2" s="1"/>
  <c r="I378" i="2" a="1"/>
  <c r="K378" i="2" s="1"/>
  <c r="M378" i="2" s="1"/>
  <c r="I379" i="2" a="1"/>
  <c r="K379" i="2" s="1"/>
  <c r="M379" i="2" s="1"/>
  <c r="I380" i="2" a="1"/>
  <c r="K380" i="2" s="1"/>
  <c r="M380" i="2" s="1"/>
  <c r="I381" i="2" a="1"/>
  <c r="K381" i="2" s="1"/>
  <c r="M381" i="2" s="1"/>
  <c r="I382" i="2" a="1"/>
  <c r="K382" i="2" s="1"/>
  <c r="M382" i="2" s="1"/>
  <c r="I383" i="2" a="1"/>
  <c r="K383" i="2" s="1"/>
  <c r="M383" i="2" s="1"/>
  <c r="I384" i="2" a="1"/>
  <c r="K384" i="2" s="1"/>
  <c r="M384" i="2" s="1"/>
  <c r="I385" i="2" a="1"/>
  <c r="K385" i="2" s="1"/>
  <c r="M385" i="2" s="1"/>
  <c r="I386" i="2" a="1"/>
  <c r="K386" i="2" s="1"/>
  <c r="M386" i="2" s="1"/>
  <c r="I387" i="2" a="1"/>
  <c r="K387" i="2" s="1"/>
  <c r="M387" i="2" s="1"/>
  <c r="I388" i="2" a="1"/>
  <c r="K388" i="2" s="1"/>
  <c r="M388" i="2" s="1"/>
  <c r="I389" i="2" a="1"/>
  <c r="K389" i="2" s="1"/>
  <c r="M389" i="2" s="1"/>
  <c r="I390" i="2" a="1"/>
  <c r="I391" i="2" a="1"/>
  <c r="I392" i="2" a="1"/>
  <c r="I393" i="2" a="1"/>
  <c r="I394" i="2" a="1"/>
  <c r="I395" i="2" a="1"/>
  <c r="I396" i="2" a="1"/>
  <c r="I397" i="2" a="1"/>
  <c r="I398" i="2" a="1"/>
  <c r="I399" i="2" a="1"/>
  <c r="I400" i="2" a="1"/>
  <c r="I401" i="2" a="1"/>
  <c r="I402" i="2" a="1"/>
  <c r="I403" i="2" a="1"/>
  <c r="I404" i="2" a="1"/>
  <c r="I405" i="2" a="1"/>
  <c r="I406" i="2" a="1"/>
  <c r="I407" i="2" a="1"/>
  <c r="I408" i="2" a="1"/>
  <c r="I409" i="2" a="1"/>
  <c r="I410" i="2" a="1"/>
  <c r="I411" i="2" a="1"/>
  <c r="I412" i="2" a="1"/>
  <c r="I413" i="2" a="1"/>
  <c r="I414" i="2" a="1"/>
  <c r="I415" i="2" a="1"/>
  <c r="I416" i="2" a="1"/>
  <c r="I417" i="2" a="1"/>
  <c r="L417" i="2" s="1"/>
  <c r="N417" i="2" s="1"/>
  <c r="I418" i="2" a="1"/>
  <c r="I419" i="2" a="1"/>
  <c r="I420" i="2" a="1"/>
  <c r="I421" i="2" a="1"/>
  <c r="J298" i="2" a="1"/>
  <c r="L298" i="2" s="1"/>
  <c r="N298" i="2" s="1"/>
  <c r="J299" i="2" a="1"/>
  <c r="L299" i="2" s="1"/>
  <c r="N299" i="2" s="1"/>
  <c r="J300" i="2" a="1"/>
  <c r="L300" i="2" s="1"/>
  <c r="N300" i="2" s="1"/>
  <c r="J301" i="2" a="1"/>
  <c r="L301" i="2" s="1"/>
  <c r="N301" i="2" s="1"/>
  <c r="J302" i="2" a="1"/>
  <c r="L302" i="2" s="1"/>
  <c r="N302" i="2" s="1"/>
  <c r="J303" i="2" a="1"/>
  <c r="L303" i="2" s="1"/>
  <c r="N303" i="2" s="1"/>
  <c r="J304" i="2" a="1"/>
  <c r="L304" i="2" s="1"/>
  <c r="N304" i="2" s="1"/>
  <c r="J305" i="2" a="1"/>
  <c r="L305" i="2" s="1"/>
  <c r="N305" i="2" s="1"/>
  <c r="J306" i="2" a="1"/>
  <c r="L306" i="2" s="1"/>
  <c r="N306" i="2" s="1"/>
  <c r="J307" i="2" a="1"/>
  <c r="L307" i="2" s="1"/>
  <c r="N307" i="2" s="1"/>
  <c r="J308" i="2" a="1"/>
  <c r="L308" i="2" s="1"/>
  <c r="N308" i="2" s="1"/>
  <c r="J309" i="2" a="1"/>
  <c r="L309" i="2" s="1"/>
  <c r="N309" i="2" s="1"/>
  <c r="J310" i="2" a="1"/>
  <c r="L310" i="2" s="1"/>
  <c r="N310" i="2" s="1"/>
  <c r="J311" i="2" a="1"/>
  <c r="L311" i="2" s="1"/>
  <c r="N311" i="2" s="1"/>
  <c r="J312" i="2" a="1"/>
  <c r="L312" i="2" s="1"/>
  <c r="N312" i="2" s="1"/>
  <c r="J313" i="2" a="1"/>
  <c r="L313" i="2" s="1"/>
  <c r="N313" i="2" s="1"/>
  <c r="J314" i="2" a="1"/>
  <c r="L314" i="2" s="1"/>
  <c r="N314" i="2" s="1"/>
  <c r="J315" i="2" a="1"/>
  <c r="L315" i="2" s="1"/>
  <c r="N315" i="2" s="1"/>
  <c r="J316" i="2" a="1"/>
  <c r="L316" i="2" s="1"/>
  <c r="N316" i="2" s="1"/>
  <c r="J317" i="2" a="1"/>
  <c r="J318" i="2" a="1"/>
  <c r="L318" i="2" s="1"/>
  <c r="N318" i="2" s="1"/>
  <c r="J319" i="2" a="1"/>
  <c r="L319" i="2" s="1"/>
  <c r="N319" i="2" s="1"/>
  <c r="J320" i="2" a="1"/>
  <c r="L320" i="2" s="1"/>
  <c r="N320" i="2" s="1"/>
  <c r="J321" i="2" a="1"/>
  <c r="L321" i="2" s="1"/>
  <c r="N321" i="2" s="1"/>
  <c r="J322" i="2" a="1"/>
  <c r="L322" i="2" s="1"/>
  <c r="N322" i="2" s="1"/>
  <c r="J323" i="2" a="1"/>
  <c r="L323" i="2" s="1"/>
  <c r="N323" i="2" s="1"/>
  <c r="J324" i="2" a="1"/>
  <c r="L324" i="2" s="1"/>
  <c r="N324" i="2" s="1"/>
  <c r="J325" i="2" a="1"/>
  <c r="L325" i="2" s="1"/>
  <c r="N325" i="2" s="1"/>
  <c r="J326" i="2" a="1"/>
  <c r="L326" i="2" s="1"/>
  <c r="N326" i="2" s="1"/>
  <c r="J327" i="2" a="1"/>
  <c r="L327" i="2" s="1"/>
  <c r="N327" i="2" s="1"/>
  <c r="J328" i="2" a="1"/>
  <c r="L328" i="2" s="1"/>
  <c r="N328" i="2" s="1"/>
  <c r="J329" i="2" a="1"/>
  <c r="L329" i="2" s="1"/>
  <c r="N329" i="2" s="1"/>
  <c r="J330" i="2" a="1"/>
  <c r="L330" i="2" s="1"/>
  <c r="N330" i="2" s="1"/>
  <c r="J331" i="2" a="1"/>
  <c r="L331" i="2" s="1"/>
  <c r="N331" i="2" s="1"/>
  <c r="J332" i="2" a="1"/>
  <c r="L332" i="2" s="1"/>
  <c r="N332" i="2" s="1"/>
  <c r="J333" i="2" a="1"/>
  <c r="L333" i="2" s="1"/>
  <c r="N333" i="2" s="1"/>
  <c r="J334" i="2" a="1"/>
  <c r="L334" i="2" s="1"/>
  <c r="N334" i="2" s="1"/>
  <c r="J335" i="2" a="1"/>
  <c r="L335" i="2" s="1"/>
  <c r="N335" i="2" s="1"/>
  <c r="J336" i="2" a="1"/>
  <c r="L336" i="2" s="1"/>
  <c r="N336" i="2" s="1"/>
  <c r="J337" i="2" a="1"/>
  <c r="L337" i="2" s="1"/>
  <c r="N337" i="2" s="1"/>
  <c r="J338" i="2" a="1"/>
  <c r="L338" i="2" s="1"/>
  <c r="N338" i="2" s="1"/>
  <c r="J339" i="2" a="1"/>
  <c r="L339" i="2" s="1"/>
  <c r="N339" i="2" s="1"/>
  <c r="J340" i="2" a="1"/>
  <c r="L340" i="2" s="1"/>
  <c r="N340" i="2" s="1"/>
  <c r="J341" i="2" a="1"/>
  <c r="L341" i="2" s="1"/>
  <c r="N341" i="2" s="1"/>
  <c r="J342" i="2" a="1"/>
  <c r="L342" i="2" s="1"/>
  <c r="N342" i="2" s="1"/>
  <c r="J343" i="2" a="1"/>
  <c r="L343" i="2" s="1"/>
  <c r="N343" i="2" s="1"/>
  <c r="J344" i="2" a="1"/>
  <c r="J345" i="2" a="1"/>
  <c r="L345" i="2" s="1"/>
  <c r="N345" i="2" s="1"/>
  <c r="J346" i="2" a="1"/>
  <c r="L346" i="2" s="1"/>
  <c r="N346" i="2" s="1"/>
  <c r="J347" i="2" a="1"/>
  <c r="L347" i="2" s="1"/>
  <c r="N347" i="2" s="1"/>
  <c r="J348" i="2" a="1"/>
  <c r="L348" i="2" s="1"/>
  <c r="N348" i="2" s="1"/>
  <c r="J349" i="2" a="1"/>
  <c r="L349" i="2" s="1"/>
  <c r="N349" i="2" s="1"/>
  <c r="J350" i="2" a="1"/>
  <c r="L350" i="2" s="1"/>
  <c r="N350" i="2" s="1"/>
  <c r="J351" i="2" a="1"/>
  <c r="L351" i="2" s="1"/>
  <c r="N351" i="2" s="1"/>
  <c r="J352" i="2" a="1"/>
  <c r="L352" i="2" s="1"/>
  <c r="N352" i="2" s="1"/>
  <c r="J353" i="2" a="1"/>
  <c r="L353" i="2" s="1"/>
  <c r="N353" i="2" s="1"/>
  <c r="J354" i="2" a="1"/>
  <c r="L354" i="2" s="1"/>
  <c r="N354" i="2" s="1"/>
  <c r="J355" i="2" a="1"/>
  <c r="L355" i="2" s="1"/>
  <c r="N355" i="2" s="1"/>
  <c r="J356" i="2" a="1"/>
  <c r="L356" i="2" s="1"/>
  <c r="N356" i="2" s="1"/>
  <c r="J357" i="2" a="1"/>
  <c r="L357" i="2" s="1"/>
  <c r="N357" i="2" s="1"/>
  <c r="J358" i="2" a="1"/>
  <c r="L358" i="2" s="1"/>
  <c r="N358" i="2" s="1"/>
  <c r="J359" i="2" a="1"/>
  <c r="L359" i="2" s="1"/>
  <c r="N359" i="2" s="1"/>
  <c r="J360" i="2" a="1"/>
  <c r="L360" i="2" s="1"/>
  <c r="N360" i="2" s="1"/>
  <c r="J361" i="2" a="1"/>
  <c r="L361" i="2" s="1"/>
  <c r="N361" i="2" s="1"/>
  <c r="J362" i="2" a="1"/>
  <c r="L362" i="2" s="1"/>
  <c r="N362" i="2" s="1"/>
  <c r="J363" i="2" a="1"/>
  <c r="L363" i="2" s="1"/>
  <c r="N363" i="2" s="1"/>
  <c r="J364" i="2" a="1"/>
  <c r="L364" i="2" s="1"/>
  <c r="N364" i="2" s="1"/>
  <c r="J365" i="2" a="1"/>
  <c r="L365" i="2" s="1"/>
  <c r="N365" i="2" s="1"/>
  <c r="J366" i="2" a="1"/>
  <c r="L366" i="2" s="1"/>
  <c r="N366" i="2" s="1"/>
  <c r="J367" i="2" a="1"/>
  <c r="L367" i="2" s="1"/>
  <c r="N367" i="2" s="1"/>
  <c r="J368" i="2" a="1"/>
  <c r="L368" i="2" s="1"/>
  <c r="N368" i="2" s="1"/>
  <c r="J369" i="2" a="1"/>
  <c r="L369" i="2" s="1"/>
  <c r="N369" i="2" s="1"/>
  <c r="J370" i="2" a="1"/>
  <c r="L370" i="2" s="1"/>
  <c r="N370" i="2" s="1"/>
  <c r="J371" i="2" a="1"/>
  <c r="L371" i="2" s="1"/>
  <c r="N371" i="2" s="1"/>
  <c r="J372" i="2" a="1"/>
  <c r="L372" i="2" s="1"/>
  <c r="N372" i="2" s="1"/>
  <c r="J373" i="2" a="1"/>
  <c r="L373" i="2" s="1"/>
  <c r="N373" i="2" s="1"/>
  <c r="J374" i="2" a="1"/>
  <c r="L374" i="2" s="1"/>
  <c r="N374" i="2" s="1"/>
  <c r="J375" i="2" a="1"/>
  <c r="L375" i="2" s="1"/>
  <c r="N375" i="2" s="1"/>
  <c r="J376" i="2" a="1"/>
  <c r="L376" i="2" s="1"/>
  <c r="N376" i="2" s="1"/>
  <c r="J377" i="2" a="1"/>
  <c r="L377" i="2" s="1"/>
  <c r="N377" i="2" s="1"/>
  <c r="J378" i="2" a="1"/>
  <c r="L378" i="2" s="1"/>
  <c r="N378" i="2" s="1"/>
  <c r="J379" i="2" a="1"/>
  <c r="L379" i="2" s="1"/>
  <c r="N379" i="2" s="1"/>
  <c r="J380" i="2" a="1"/>
  <c r="L380" i="2" s="1"/>
  <c r="N380" i="2" s="1"/>
  <c r="J381" i="2" a="1"/>
  <c r="L381" i="2" s="1"/>
  <c r="N381" i="2" s="1"/>
  <c r="J382" i="2" a="1"/>
  <c r="L382" i="2" s="1"/>
  <c r="N382" i="2" s="1"/>
  <c r="J383" i="2" a="1"/>
  <c r="L383" i="2" s="1"/>
  <c r="N383" i="2" s="1"/>
  <c r="J384" i="2" a="1"/>
  <c r="L384" i="2" s="1"/>
  <c r="N384" i="2" s="1"/>
  <c r="J385" i="2" a="1"/>
  <c r="L385" i="2" s="1"/>
  <c r="N385" i="2" s="1"/>
  <c r="J386" i="2" a="1"/>
  <c r="L386" i="2" s="1"/>
  <c r="N386" i="2" s="1"/>
  <c r="J387" i="2" a="1"/>
  <c r="L387" i="2" s="1"/>
  <c r="N387" i="2" s="1"/>
  <c r="J388" i="2" a="1"/>
  <c r="L388" i="2" s="1"/>
  <c r="N388" i="2" s="1"/>
  <c r="J389" i="2" a="1"/>
  <c r="L389" i="2" s="1"/>
  <c r="N389" i="2" s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V298" i="2"/>
  <c r="AC298" i="2" s="1"/>
  <c r="V299" i="2"/>
  <c r="AC299" i="2" s="1"/>
  <c r="V300" i="2"/>
  <c r="AC300" i="2" s="1"/>
  <c r="V301" i="2"/>
  <c r="AC301" i="2" s="1"/>
  <c r="V302" i="2"/>
  <c r="AC302" i="2" s="1"/>
  <c r="V303" i="2"/>
  <c r="AC303" i="2" s="1"/>
  <c r="V304" i="2"/>
  <c r="AC304" i="2" s="1"/>
  <c r="V305" i="2"/>
  <c r="AC305" i="2" s="1"/>
  <c r="V306" i="2"/>
  <c r="AC306" i="2" s="1"/>
  <c r="V307" i="2"/>
  <c r="AC307" i="2" s="1"/>
  <c r="V308" i="2"/>
  <c r="AC308" i="2" s="1"/>
  <c r="V309" i="2"/>
  <c r="AC309" i="2" s="1"/>
  <c r="V310" i="2"/>
  <c r="AC310" i="2" s="1"/>
  <c r="V311" i="2"/>
  <c r="AC311" i="2" s="1"/>
  <c r="V312" i="2"/>
  <c r="AC312" i="2" s="1"/>
  <c r="V313" i="2"/>
  <c r="AC313" i="2" s="1"/>
  <c r="V314" i="2"/>
  <c r="AC314" i="2" s="1"/>
  <c r="V315" i="2"/>
  <c r="AC315" i="2" s="1"/>
  <c r="V316" i="2"/>
  <c r="AC316" i="2" s="1"/>
  <c r="V317" i="2"/>
  <c r="AC317" i="2" s="1"/>
  <c r="V318" i="2"/>
  <c r="AC318" i="2" s="1"/>
  <c r="V319" i="2"/>
  <c r="AC319" i="2" s="1"/>
  <c r="V320" i="2"/>
  <c r="AC320" i="2" s="1"/>
  <c r="V321" i="2"/>
  <c r="AC321" i="2" s="1"/>
  <c r="V322" i="2"/>
  <c r="AC322" i="2" s="1"/>
  <c r="V323" i="2"/>
  <c r="AC323" i="2" s="1"/>
  <c r="V324" i="2"/>
  <c r="AC324" i="2" s="1"/>
  <c r="V325" i="2"/>
  <c r="AC325" i="2" s="1"/>
  <c r="V326" i="2"/>
  <c r="AC326" i="2" s="1"/>
  <c r="V327" i="2"/>
  <c r="AC327" i="2" s="1"/>
  <c r="V328" i="2"/>
  <c r="AC328" i="2" s="1"/>
  <c r="V329" i="2"/>
  <c r="AC329" i="2" s="1"/>
  <c r="V330" i="2"/>
  <c r="AC330" i="2" s="1"/>
  <c r="V331" i="2"/>
  <c r="AC331" i="2" s="1"/>
  <c r="V332" i="2"/>
  <c r="AC332" i="2" s="1"/>
  <c r="V333" i="2"/>
  <c r="AC333" i="2" s="1"/>
  <c r="V334" i="2"/>
  <c r="AC334" i="2" s="1"/>
  <c r="V335" i="2"/>
  <c r="AC335" i="2" s="1"/>
  <c r="V336" i="2"/>
  <c r="AC336" i="2" s="1"/>
  <c r="V337" i="2"/>
  <c r="AC337" i="2" s="1"/>
  <c r="V338" i="2"/>
  <c r="AC338" i="2" s="1"/>
  <c r="V339" i="2"/>
  <c r="AC339" i="2" s="1"/>
  <c r="V340" i="2"/>
  <c r="AC340" i="2" s="1"/>
  <c r="V341" i="2"/>
  <c r="AC341" i="2" s="1"/>
  <c r="V342" i="2"/>
  <c r="AC342" i="2" s="1"/>
  <c r="V343" i="2"/>
  <c r="AC343" i="2" s="1"/>
  <c r="V344" i="2"/>
  <c r="AC344" i="2" s="1"/>
  <c r="V345" i="2"/>
  <c r="AC345" i="2" s="1"/>
  <c r="V346" i="2"/>
  <c r="AC346" i="2" s="1"/>
  <c r="V347" i="2"/>
  <c r="AC347" i="2" s="1"/>
  <c r="V348" i="2"/>
  <c r="AC348" i="2" s="1"/>
  <c r="V349" i="2"/>
  <c r="AC349" i="2" s="1"/>
  <c r="V350" i="2"/>
  <c r="AC350" i="2" s="1"/>
  <c r="V351" i="2"/>
  <c r="AC351" i="2" s="1"/>
  <c r="V352" i="2"/>
  <c r="AC352" i="2" s="1"/>
  <c r="V353" i="2"/>
  <c r="AC353" i="2" s="1"/>
  <c r="V354" i="2"/>
  <c r="AC354" i="2" s="1"/>
  <c r="V355" i="2"/>
  <c r="AC355" i="2" s="1"/>
  <c r="V356" i="2"/>
  <c r="AC356" i="2" s="1"/>
  <c r="V357" i="2"/>
  <c r="AC357" i="2" s="1"/>
  <c r="V358" i="2"/>
  <c r="AC358" i="2" s="1"/>
  <c r="V359" i="2"/>
  <c r="AC359" i="2" s="1"/>
  <c r="V360" i="2"/>
  <c r="AC360" i="2" s="1"/>
  <c r="V361" i="2"/>
  <c r="AC361" i="2" s="1"/>
  <c r="V362" i="2"/>
  <c r="AC362" i="2" s="1"/>
  <c r="V363" i="2"/>
  <c r="AC363" i="2" s="1"/>
  <c r="V364" i="2"/>
  <c r="AC364" i="2" s="1"/>
  <c r="V365" i="2"/>
  <c r="AC365" i="2" s="1"/>
  <c r="V366" i="2"/>
  <c r="AC366" i="2" s="1"/>
  <c r="V367" i="2"/>
  <c r="AC367" i="2" s="1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J298" i="2"/>
  <c r="AJ299" i="2"/>
  <c r="AJ300" i="2"/>
  <c r="AJ301" i="2"/>
  <c r="AJ302" i="2"/>
  <c r="AJ303" i="2"/>
  <c r="AJ304" i="2"/>
  <c r="AJ305" i="2"/>
  <c r="AJ306" i="2"/>
  <c r="AJ307" i="2"/>
  <c r="AJ308" i="2"/>
  <c r="AJ309" i="2"/>
  <c r="AJ310" i="2"/>
  <c r="AJ311" i="2"/>
  <c r="AJ312" i="2"/>
  <c r="AJ313" i="2"/>
  <c r="AJ314" i="2"/>
  <c r="AJ315" i="2"/>
  <c r="AJ316" i="2"/>
  <c r="AJ317" i="2"/>
  <c r="AJ318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37" i="2"/>
  <c r="AJ338" i="2"/>
  <c r="AJ339" i="2"/>
  <c r="AJ340" i="2"/>
  <c r="AJ341" i="2"/>
  <c r="AJ342" i="2"/>
  <c r="AJ343" i="2"/>
  <c r="AJ344" i="2"/>
  <c r="AJ345" i="2"/>
  <c r="AJ346" i="2"/>
  <c r="AJ347" i="2"/>
  <c r="AJ348" i="2"/>
  <c r="AJ349" i="2"/>
  <c r="AJ350" i="2"/>
  <c r="AJ351" i="2"/>
  <c r="AJ352" i="2"/>
  <c r="AJ353" i="2"/>
  <c r="AJ354" i="2"/>
  <c r="AJ355" i="2"/>
  <c r="AJ356" i="2"/>
  <c r="AJ357" i="2"/>
  <c r="AJ358" i="2"/>
  <c r="AJ359" i="2"/>
  <c r="AJ360" i="2"/>
  <c r="AJ361" i="2"/>
  <c r="AJ362" i="2"/>
  <c r="AJ363" i="2"/>
  <c r="AJ364" i="2"/>
  <c r="AJ365" i="2"/>
  <c r="AJ366" i="2"/>
  <c r="AJ367" i="2"/>
  <c r="AJ368" i="2"/>
  <c r="AJ369" i="2"/>
  <c r="AJ370" i="2"/>
  <c r="AJ371" i="2"/>
  <c r="AJ372" i="2"/>
  <c r="AJ373" i="2"/>
  <c r="AJ374" i="2"/>
  <c r="AJ375" i="2"/>
  <c r="AJ376" i="2"/>
  <c r="AJ377" i="2"/>
  <c r="AJ378" i="2"/>
  <c r="AJ379" i="2"/>
  <c r="AJ380" i="2"/>
  <c r="AJ381" i="2"/>
  <c r="AJ382" i="2"/>
  <c r="AJ383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396" i="2"/>
  <c r="AJ397" i="2"/>
  <c r="AJ398" i="2"/>
  <c r="AJ399" i="2"/>
  <c r="AJ400" i="2"/>
  <c r="AJ401" i="2"/>
  <c r="AJ402" i="2"/>
  <c r="AJ403" i="2"/>
  <c r="AJ404" i="2"/>
  <c r="AJ405" i="2"/>
  <c r="AJ406" i="2"/>
  <c r="AJ407" i="2"/>
  <c r="AJ408" i="2"/>
  <c r="AJ409" i="2"/>
  <c r="AJ410" i="2"/>
  <c r="AJ411" i="2"/>
  <c r="AJ412" i="2"/>
  <c r="AJ413" i="2"/>
  <c r="AJ414" i="2"/>
  <c r="AJ415" i="2"/>
  <c r="AJ416" i="2"/>
  <c r="AJ417" i="2"/>
  <c r="AJ418" i="2"/>
  <c r="AJ419" i="2"/>
  <c r="AJ420" i="2"/>
  <c r="AJ421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H36" i="3"/>
  <c r="E25" i="3"/>
  <c r="D25" i="3"/>
  <c r="C25" i="3"/>
  <c r="B25" i="3"/>
  <c r="H35" i="3"/>
  <c r="E26" i="3"/>
  <c r="D26" i="3"/>
  <c r="C26" i="3"/>
  <c r="B26" i="3"/>
  <c r="H34" i="3"/>
  <c r="H33" i="3"/>
  <c r="H32" i="3"/>
  <c r="H31" i="3"/>
  <c r="H30" i="3"/>
  <c r="H29" i="3"/>
  <c r="H28" i="3"/>
  <c r="H27" i="3"/>
  <c r="H26" i="3"/>
  <c r="H25" i="3"/>
  <c r="E29" i="3"/>
  <c r="D29" i="3"/>
  <c r="C29" i="3"/>
  <c r="B29" i="3"/>
  <c r="E35" i="3"/>
  <c r="D35" i="3"/>
  <c r="C35" i="3"/>
  <c r="B35" i="3"/>
  <c r="E32" i="3"/>
  <c r="D32" i="3"/>
  <c r="C32" i="3"/>
  <c r="B32" i="3"/>
  <c r="E27" i="3"/>
  <c r="D27" i="3"/>
  <c r="C27" i="3"/>
  <c r="B27" i="3"/>
  <c r="E28" i="3"/>
  <c r="D28" i="3"/>
  <c r="C28" i="3"/>
  <c r="B28" i="3"/>
  <c r="E36" i="3"/>
  <c r="D36" i="3"/>
  <c r="C36" i="3"/>
  <c r="B36" i="3"/>
  <c r="C232" i="2"/>
  <c r="Y232" i="2" s="1"/>
  <c r="C233" i="2"/>
  <c r="Y233" i="2" s="1"/>
  <c r="C234" i="2"/>
  <c r="Y234" i="2" s="1"/>
  <c r="C235" i="2"/>
  <c r="Y235" i="2" s="1"/>
  <c r="C236" i="2"/>
  <c r="Y236" i="2" s="1"/>
  <c r="C237" i="2"/>
  <c r="Y237" i="2" s="1"/>
  <c r="C238" i="2"/>
  <c r="Y238" i="2" s="1"/>
  <c r="C239" i="2"/>
  <c r="Y239" i="2" s="1"/>
  <c r="C242" i="2"/>
  <c r="Y242" i="2" s="1"/>
  <c r="C243" i="2"/>
  <c r="Y243" i="2" s="1"/>
  <c r="C244" i="2"/>
  <c r="Y244" i="2" s="1"/>
  <c r="C245" i="2"/>
  <c r="Y245" i="2" s="1"/>
  <c r="C246" i="2"/>
  <c r="Y246" i="2" s="1"/>
  <c r="C247" i="2"/>
  <c r="Y247" i="2" s="1"/>
  <c r="C248" i="2"/>
  <c r="Y248" i="2" s="1"/>
  <c r="C249" i="2"/>
  <c r="Y249" i="2" s="1"/>
  <c r="C250" i="2"/>
  <c r="Y250" i="2" s="1"/>
  <c r="C251" i="2"/>
  <c r="Y251" i="2" s="1"/>
  <c r="C252" i="2"/>
  <c r="Y252" i="2" s="1"/>
  <c r="C253" i="2"/>
  <c r="Y253" i="2" s="1"/>
  <c r="C254" i="2"/>
  <c r="Y254" i="2" s="1"/>
  <c r="C255" i="2"/>
  <c r="Y255" i="2" s="1"/>
  <c r="C256" i="2"/>
  <c r="Y256" i="2" s="1"/>
  <c r="C257" i="2"/>
  <c r="Y257" i="2" s="1"/>
  <c r="C258" i="2"/>
  <c r="Y258" i="2" s="1"/>
  <c r="C259" i="2"/>
  <c r="Y259" i="2" s="1"/>
  <c r="C260" i="2"/>
  <c r="Y260" i="2" s="1"/>
  <c r="C261" i="2"/>
  <c r="Y261" i="2" s="1"/>
  <c r="C262" i="2"/>
  <c r="Y262" i="2" s="1"/>
  <c r="C263" i="2"/>
  <c r="Y263" i="2" s="1"/>
  <c r="C264" i="2"/>
  <c r="Y264" i="2" s="1"/>
  <c r="C265" i="2"/>
  <c r="Y265" i="2" s="1"/>
  <c r="C266" i="2"/>
  <c r="Y266" i="2" s="1"/>
  <c r="C267" i="2"/>
  <c r="Y267" i="2" s="1"/>
  <c r="C268" i="2"/>
  <c r="Y268" i="2" s="1"/>
  <c r="C269" i="2"/>
  <c r="Y269" i="2" s="1"/>
  <c r="C270" i="2"/>
  <c r="Y270" i="2" s="1"/>
  <c r="C271" i="2"/>
  <c r="Y271" i="2" s="1"/>
  <c r="C272" i="2"/>
  <c r="Y272" i="2" s="1"/>
  <c r="C273" i="2"/>
  <c r="Y273" i="2" s="1"/>
  <c r="C274" i="2"/>
  <c r="Y274" i="2" s="1"/>
  <c r="C275" i="2"/>
  <c r="Y275" i="2" s="1"/>
  <c r="C276" i="2"/>
  <c r="Y276" i="2" s="1"/>
  <c r="C277" i="2"/>
  <c r="Y277" i="2" s="1"/>
  <c r="C278" i="2"/>
  <c r="Y278" i="2" s="1"/>
  <c r="C279" i="2"/>
  <c r="Y279" i="2" s="1"/>
  <c r="C280" i="2"/>
  <c r="Y280" i="2" s="1"/>
  <c r="C281" i="2"/>
  <c r="Y281" i="2" s="1"/>
  <c r="C282" i="2"/>
  <c r="Y282" i="2" s="1"/>
  <c r="C283" i="2"/>
  <c r="Y283" i="2" s="1"/>
  <c r="C284" i="2"/>
  <c r="Y284" i="2" s="1"/>
  <c r="C285" i="2"/>
  <c r="Y285" i="2" s="1"/>
  <c r="C286" i="2"/>
  <c r="Y286" i="2" s="1"/>
  <c r="C287" i="2"/>
  <c r="Y287" i="2" s="1"/>
  <c r="C288" i="2"/>
  <c r="Y288" i="2" s="1"/>
  <c r="C289" i="2"/>
  <c r="Y289" i="2" s="1"/>
  <c r="C290" i="2"/>
  <c r="Y290" i="2" s="1"/>
  <c r="C291" i="2"/>
  <c r="Y291" i="2" s="1"/>
  <c r="C292" i="2"/>
  <c r="Y292" i="2" s="1"/>
  <c r="C293" i="2"/>
  <c r="Y293" i="2" s="1"/>
  <c r="C294" i="2"/>
  <c r="Y294" i="2" s="1"/>
  <c r="C295" i="2"/>
  <c r="Y295" i="2" s="1"/>
  <c r="C296" i="2"/>
  <c r="Y296" i="2" s="1"/>
  <c r="C297" i="2"/>
  <c r="Y297" i="2" s="1"/>
  <c r="I232" i="2" a="1"/>
  <c r="I233" i="2" a="1"/>
  <c r="I234" i="2" a="1"/>
  <c r="I235" i="2" a="1"/>
  <c r="I236" i="2" a="1"/>
  <c r="I237" i="2" a="1"/>
  <c r="I238" i="2" a="1"/>
  <c r="I239" i="2" a="1"/>
  <c r="I242" i="2" a="1"/>
  <c r="I243" i="2" a="1"/>
  <c r="I244" i="2" a="1"/>
  <c r="I245" i="2" a="1"/>
  <c r="I246" i="2" a="1"/>
  <c r="I247" i="2" a="1"/>
  <c r="I248" i="2" a="1"/>
  <c r="I249" i="2" a="1"/>
  <c r="I250" i="2" a="1"/>
  <c r="I251" i="2" a="1"/>
  <c r="I252" i="2" a="1"/>
  <c r="I253" i="2" a="1"/>
  <c r="I254" i="2" a="1"/>
  <c r="I255" i="2" a="1"/>
  <c r="I256" i="2" a="1"/>
  <c r="I257" i="2" a="1"/>
  <c r="I258" i="2" a="1"/>
  <c r="I259" i="2" a="1"/>
  <c r="I260" i="2" a="1"/>
  <c r="I261" i="2" a="1"/>
  <c r="I262" i="2" a="1"/>
  <c r="I263" i="2" a="1"/>
  <c r="I264" i="2" a="1"/>
  <c r="I265" i="2" a="1"/>
  <c r="I266" i="2" a="1"/>
  <c r="I267" i="2" a="1"/>
  <c r="I268" i="2" a="1"/>
  <c r="I269" i="2" a="1"/>
  <c r="I270" i="2" a="1"/>
  <c r="I271" i="2" a="1"/>
  <c r="I272" i="2" a="1"/>
  <c r="I273" i="2" a="1"/>
  <c r="I274" i="2" a="1"/>
  <c r="I275" i="2" a="1"/>
  <c r="I276" i="2" a="1"/>
  <c r="I277" i="2" a="1"/>
  <c r="I278" i="2" a="1"/>
  <c r="I279" i="2" a="1"/>
  <c r="I280" i="2" a="1"/>
  <c r="I281" i="2" a="1"/>
  <c r="I282" i="2" a="1"/>
  <c r="I283" i="2" a="1"/>
  <c r="I284" i="2" a="1"/>
  <c r="I285" i="2" a="1"/>
  <c r="I286" i="2" a="1"/>
  <c r="I287" i="2" a="1"/>
  <c r="I288" i="2" a="1"/>
  <c r="I289" i="2" a="1"/>
  <c r="I290" i="2" a="1"/>
  <c r="I291" i="2" a="1"/>
  <c r="I292" i="2" a="1"/>
  <c r="I293" i="2" a="1"/>
  <c r="I294" i="2" a="1"/>
  <c r="I295" i="2" a="1"/>
  <c r="I296" i="2" a="1"/>
  <c r="I297" i="2" a="1"/>
  <c r="J232" i="2" a="1"/>
  <c r="J233" i="2" a="1"/>
  <c r="J234" i="2" a="1"/>
  <c r="J235" i="2" a="1"/>
  <c r="J236" i="2" a="1"/>
  <c r="J237" i="2" a="1"/>
  <c r="J238" i="2" a="1"/>
  <c r="J239" i="2" a="1"/>
  <c r="J242" i="2" a="1"/>
  <c r="J243" i="2" a="1"/>
  <c r="J244" i="2" a="1"/>
  <c r="J245" i="2" a="1"/>
  <c r="J246" i="2" a="1"/>
  <c r="J247" i="2" a="1"/>
  <c r="J248" i="2" a="1"/>
  <c r="J249" i="2" a="1"/>
  <c r="J250" i="2" a="1"/>
  <c r="L250" i="2" s="1"/>
  <c r="N250" i="2" s="1"/>
  <c r="J251" i="2" a="1"/>
  <c r="L251" i="2" s="1"/>
  <c r="N251" i="2" s="1"/>
  <c r="J252" i="2" a="1"/>
  <c r="J253" i="2" a="1"/>
  <c r="L253" i="2" s="1"/>
  <c r="N253" i="2" s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U232" i="2"/>
  <c r="V232" i="2" s="1"/>
  <c r="U233" i="2"/>
  <c r="V233" i="2" s="1"/>
  <c r="U234" i="2"/>
  <c r="V234" i="2" s="1"/>
  <c r="U235" i="2"/>
  <c r="V235" i="2" s="1"/>
  <c r="U236" i="2"/>
  <c r="V236" i="2" s="1"/>
  <c r="U237" i="2"/>
  <c r="V237" i="2" s="1"/>
  <c r="U238" i="2"/>
  <c r="V238" i="2" s="1"/>
  <c r="U239" i="2"/>
  <c r="V239" i="2" s="1"/>
  <c r="U242" i="2"/>
  <c r="V242" i="2" s="1"/>
  <c r="U243" i="2"/>
  <c r="V243" i="2" s="1"/>
  <c r="U244" i="2"/>
  <c r="V244" i="2" s="1"/>
  <c r="U245" i="2"/>
  <c r="V245" i="2" s="1"/>
  <c r="U246" i="2"/>
  <c r="V246" i="2" s="1"/>
  <c r="U247" i="2"/>
  <c r="V247" i="2" s="1"/>
  <c r="U248" i="2"/>
  <c r="V248" i="2" s="1"/>
  <c r="U249" i="2"/>
  <c r="V249" i="2" s="1"/>
  <c r="U250" i="2"/>
  <c r="V250" i="2" s="1"/>
  <c r="U251" i="2"/>
  <c r="V251" i="2" s="1"/>
  <c r="U252" i="2"/>
  <c r="V252" i="2" s="1"/>
  <c r="U253" i="2"/>
  <c r="V253" i="2" s="1"/>
  <c r="U254" i="2"/>
  <c r="V254" i="2" s="1"/>
  <c r="U255" i="2"/>
  <c r="V255" i="2" s="1"/>
  <c r="U256" i="2"/>
  <c r="V256" i="2" s="1"/>
  <c r="U257" i="2"/>
  <c r="V257" i="2" s="1"/>
  <c r="U258" i="2"/>
  <c r="V258" i="2" s="1"/>
  <c r="U259" i="2"/>
  <c r="V259" i="2" s="1"/>
  <c r="U260" i="2"/>
  <c r="V260" i="2" s="1"/>
  <c r="U261" i="2"/>
  <c r="V261" i="2" s="1"/>
  <c r="U262" i="2"/>
  <c r="V262" i="2" s="1"/>
  <c r="U263" i="2"/>
  <c r="V263" i="2" s="1"/>
  <c r="U264" i="2"/>
  <c r="V264" i="2" s="1"/>
  <c r="U265" i="2"/>
  <c r="V265" i="2" s="1"/>
  <c r="U266" i="2"/>
  <c r="V266" i="2" s="1"/>
  <c r="U267" i="2"/>
  <c r="V267" i="2" s="1"/>
  <c r="U268" i="2"/>
  <c r="V268" i="2" s="1"/>
  <c r="U269" i="2"/>
  <c r="V269" i="2" s="1"/>
  <c r="U270" i="2"/>
  <c r="V270" i="2" s="1"/>
  <c r="U271" i="2"/>
  <c r="V271" i="2" s="1"/>
  <c r="U272" i="2"/>
  <c r="V272" i="2" s="1"/>
  <c r="U273" i="2"/>
  <c r="V273" i="2" s="1"/>
  <c r="U274" i="2"/>
  <c r="V274" i="2" s="1"/>
  <c r="U275" i="2"/>
  <c r="V275" i="2" s="1"/>
  <c r="U276" i="2"/>
  <c r="V276" i="2" s="1"/>
  <c r="U277" i="2"/>
  <c r="V277" i="2" s="1"/>
  <c r="U278" i="2"/>
  <c r="V278" i="2" s="1"/>
  <c r="U279" i="2"/>
  <c r="V279" i="2" s="1"/>
  <c r="U280" i="2"/>
  <c r="V280" i="2" s="1"/>
  <c r="U281" i="2"/>
  <c r="V281" i="2" s="1"/>
  <c r="U282" i="2"/>
  <c r="V282" i="2" s="1"/>
  <c r="U283" i="2"/>
  <c r="V283" i="2" s="1"/>
  <c r="U284" i="2"/>
  <c r="V284" i="2" s="1"/>
  <c r="U285" i="2"/>
  <c r="V285" i="2" s="1"/>
  <c r="U286" i="2"/>
  <c r="V286" i="2" s="1"/>
  <c r="U287" i="2"/>
  <c r="V287" i="2" s="1"/>
  <c r="U288" i="2"/>
  <c r="V288" i="2" s="1"/>
  <c r="U289" i="2"/>
  <c r="V289" i="2" s="1"/>
  <c r="U290" i="2"/>
  <c r="V290" i="2" s="1"/>
  <c r="U291" i="2"/>
  <c r="V291" i="2" s="1"/>
  <c r="U292" i="2"/>
  <c r="V292" i="2" s="1"/>
  <c r="U293" i="2"/>
  <c r="V293" i="2" s="1"/>
  <c r="U294" i="2"/>
  <c r="V294" i="2" s="1"/>
  <c r="U295" i="2"/>
  <c r="V295" i="2" s="1"/>
  <c r="U296" i="2"/>
  <c r="V296" i="2" s="1"/>
  <c r="U297" i="2"/>
  <c r="V297" i="2" s="1"/>
  <c r="AE232" i="2"/>
  <c r="AE233" i="2"/>
  <c r="AE234" i="2"/>
  <c r="AE235" i="2"/>
  <c r="AE236" i="2"/>
  <c r="AE237" i="2"/>
  <c r="AE238" i="2"/>
  <c r="AE239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F232" i="2"/>
  <c r="AF233" i="2"/>
  <c r="AF234" i="2"/>
  <c r="AF235" i="2"/>
  <c r="AF236" i="2"/>
  <c r="AF237" i="2"/>
  <c r="AF238" i="2"/>
  <c r="AF239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G232" i="2"/>
  <c r="AG233" i="2"/>
  <c r="AG234" i="2"/>
  <c r="AG235" i="2"/>
  <c r="AG236" i="2"/>
  <c r="AG237" i="2"/>
  <c r="AG238" i="2"/>
  <c r="AG239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H232" i="2"/>
  <c r="AH233" i="2"/>
  <c r="AH234" i="2"/>
  <c r="AH235" i="2"/>
  <c r="AH236" i="2"/>
  <c r="AH237" i="2"/>
  <c r="AH238" i="2"/>
  <c r="AH239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I232" i="2"/>
  <c r="AI233" i="2"/>
  <c r="AI234" i="2"/>
  <c r="AI235" i="2"/>
  <c r="AI236" i="2"/>
  <c r="AI237" i="2"/>
  <c r="AI238" i="2"/>
  <c r="AI239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J232" i="2"/>
  <c r="AJ233" i="2"/>
  <c r="AJ234" i="2"/>
  <c r="AJ235" i="2"/>
  <c r="AJ236" i="2"/>
  <c r="AJ237" i="2"/>
  <c r="AJ238" i="2"/>
  <c r="AJ239" i="2"/>
  <c r="AJ242" i="2"/>
  <c r="AJ243" i="2"/>
  <c r="AJ244" i="2"/>
  <c r="AJ245" i="2"/>
  <c r="AJ246" i="2"/>
  <c r="AJ247" i="2"/>
  <c r="AJ248" i="2"/>
  <c r="AJ249" i="2"/>
  <c r="AJ250" i="2"/>
  <c r="AJ251" i="2"/>
  <c r="AJ252" i="2"/>
  <c r="AJ253" i="2"/>
  <c r="AJ254" i="2"/>
  <c r="AJ255" i="2"/>
  <c r="AJ256" i="2"/>
  <c r="AJ257" i="2"/>
  <c r="AJ258" i="2"/>
  <c r="AJ259" i="2"/>
  <c r="AJ260" i="2"/>
  <c r="AJ261" i="2"/>
  <c r="AJ262" i="2"/>
  <c r="AJ263" i="2"/>
  <c r="AJ264" i="2"/>
  <c r="AJ265" i="2"/>
  <c r="AJ266" i="2"/>
  <c r="AJ267" i="2"/>
  <c r="AJ268" i="2"/>
  <c r="AJ269" i="2"/>
  <c r="AJ270" i="2"/>
  <c r="AJ271" i="2"/>
  <c r="AJ272" i="2"/>
  <c r="AJ273" i="2"/>
  <c r="AJ274" i="2"/>
  <c r="AJ275" i="2"/>
  <c r="AJ276" i="2"/>
  <c r="AJ277" i="2"/>
  <c r="AJ278" i="2"/>
  <c r="AJ279" i="2"/>
  <c r="AJ280" i="2"/>
  <c r="AJ281" i="2"/>
  <c r="AJ282" i="2"/>
  <c r="AJ283" i="2"/>
  <c r="AJ284" i="2"/>
  <c r="AJ285" i="2"/>
  <c r="AJ286" i="2"/>
  <c r="AJ287" i="2"/>
  <c r="AJ288" i="2"/>
  <c r="AJ289" i="2"/>
  <c r="AJ290" i="2"/>
  <c r="AJ291" i="2"/>
  <c r="AJ292" i="2"/>
  <c r="AJ293" i="2"/>
  <c r="AJ294" i="2"/>
  <c r="AJ295" i="2"/>
  <c r="AJ296" i="2"/>
  <c r="AJ297" i="2"/>
  <c r="AK232" i="2"/>
  <c r="AK233" i="2"/>
  <c r="AK234" i="2"/>
  <c r="AK235" i="2"/>
  <c r="AK236" i="2"/>
  <c r="AK237" i="2"/>
  <c r="AK238" i="2"/>
  <c r="AK239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L232" i="2"/>
  <c r="AL233" i="2"/>
  <c r="AL234" i="2"/>
  <c r="AL235" i="2"/>
  <c r="AL236" i="2"/>
  <c r="AL237" i="2"/>
  <c r="AL238" i="2"/>
  <c r="AL239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K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J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I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30" i="2"/>
  <c r="AF23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30" i="2"/>
  <c r="AE231" i="2"/>
  <c r="U2" i="2"/>
  <c r="V2" i="2" s="1"/>
  <c r="U3" i="2"/>
  <c r="V3" i="2" s="1"/>
  <c r="U4" i="2"/>
  <c r="V4" i="2" s="1"/>
  <c r="U5" i="2"/>
  <c r="V5" i="2" s="1"/>
  <c r="U6" i="2"/>
  <c r="V6" i="2" s="1"/>
  <c r="U7" i="2"/>
  <c r="V7" i="2" s="1"/>
  <c r="U8" i="2"/>
  <c r="V8" i="2" s="1"/>
  <c r="U9" i="2"/>
  <c r="V9" i="2" s="1"/>
  <c r="U10" i="2"/>
  <c r="V10" i="2" s="1"/>
  <c r="U11" i="2"/>
  <c r="V11" i="2" s="1"/>
  <c r="U12" i="2"/>
  <c r="V12" i="2" s="1"/>
  <c r="U13" i="2"/>
  <c r="V13" i="2" s="1"/>
  <c r="U14" i="2"/>
  <c r="V14" i="2" s="1"/>
  <c r="U15" i="2"/>
  <c r="V15" i="2" s="1"/>
  <c r="U16" i="2"/>
  <c r="V16" i="2" s="1"/>
  <c r="U17" i="2"/>
  <c r="V17" i="2" s="1"/>
  <c r="U18" i="2"/>
  <c r="V18" i="2" s="1"/>
  <c r="U19" i="2"/>
  <c r="V19" i="2" s="1"/>
  <c r="U20" i="2"/>
  <c r="V20" i="2" s="1"/>
  <c r="U21" i="2"/>
  <c r="V21" i="2" s="1"/>
  <c r="U22" i="2"/>
  <c r="V22" i="2" s="1"/>
  <c r="U23" i="2"/>
  <c r="V23" i="2" s="1"/>
  <c r="U24" i="2"/>
  <c r="V24" i="2" s="1"/>
  <c r="U25" i="2"/>
  <c r="V25" i="2" s="1"/>
  <c r="U26" i="2"/>
  <c r="V26" i="2" s="1"/>
  <c r="U27" i="2"/>
  <c r="V27" i="2" s="1"/>
  <c r="U28" i="2"/>
  <c r="V28" i="2" s="1"/>
  <c r="U29" i="2"/>
  <c r="V29" i="2" s="1"/>
  <c r="U30" i="2"/>
  <c r="V30" i="2" s="1"/>
  <c r="U31" i="2"/>
  <c r="V31" i="2" s="1"/>
  <c r="U32" i="2"/>
  <c r="V32" i="2" s="1"/>
  <c r="U33" i="2"/>
  <c r="V33" i="2" s="1"/>
  <c r="U34" i="2"/>
  <c r="V34" i="2" s="1"/>
  <c r="U35" i="2"/>
  <c r="V35" i="2" s="1"/>
  <c r="U36" i="2"/>
  <c r="V36" i="2" s="1"/>
  <c r="U37" i="2"/>
  <c r="V37" i="2" s="1"/>
  <c r="U38" i="2"/>
  <c r="V38" i="2" s="1"/>
  <c r="U39" i="2"/>
  <c r="V39" i="2" s="1"/>
  <c r="U40" i="2"/>
  <c r="V40" i="2" s="1"/>
  <c r="U41" i="2"/>
  <c r="V41" i="2" s="1"/>
  <c r="U42" i="2"/>
  <c r="V42" i="2" s="1"/>
  <c r="U43" i="2"/>
  <c r="V43" i="2" s="1"/>
  <c r="U44" i="2"/>
  <c r="V44" i="2" s="1"/>
  <c r="U45" i="2"/>
  <c r="V45" i="2" s="1"/>
  <c r="U46" i="2"/>
  <c r="V46" i="2" s="1"/>
  <c r="U47" i="2"/>
  <c r="V47" i="2" s="1"/>
  <c r="U48" i="2"/>
  <c r="V48" i="2" s="1"/>
  <c r="U49" i="2"/>
  <c r="V49" i="2" s="1"/>
  <c r="U50" i="2"/>
  <c r="V50" i="2" s="1"/>
  <c r="U51" i="2"/>
  <c r="V51" i="2" s="1"/>
  <c r="U52" i="2"/>
  <c r="V52" i="2" s="1"/>
  <c r="U53" i="2"/>
  <c r="V53" i="2" s="1"/>
  <c r="U54" i="2"/>
  <c r="V54" i="2" s="1"/>
  <c r="U55" i="2"/>
  <c r="V55" i="2" s="1"/>
  <c r="U56" i="2"/>
  <c r="V56" i="2" s="1"/>
  <c r="U57" i="2"/>
  <c r="V57" i="2" s="1"/>
  <c r="U58" i="2"/>
  <c r="V58" i="2" s="1"/>
  <c r="U59" i="2"/>
  <c r="V59" i="2" s="1"/>
  <c r="U60" i="2"/>
  <c r="V60" i="2" s="1"/>
  <c r="U61" i="2"/>
  <c r="V61" i="2" s="1"/>
  <c r="U62" i="2"/>
  <c r="V62" i="2" s="1"/>
  <c r="U63" i="2"/>
  <c r="V63" i="2" s="1"/>
  <c r="U64" i="2"/>
  <c r="V64" i="2" s="1"/>
  <c r="U65" i="2"/>
  <c r="V65" i="2" s="1"/>
  <c r="U66" i="2"/>
  <c r="V66" i="2" s="1"/>
  <c r="U67" i="2"/>
  <c r="V67" i="2" s="1"/>
  <c r="U68" i="2"/>
  <c r="V68" i="2" s="1"/>
  <c r="U69" i="2"/>
  <c r="V69" i="2" s="1"/>
  <c r="U70" i="2"/>
  <c r="V70" i="2" s="1"/>
  <c r="U71" i="2"/>
  <c r="V71" i="2" s="1"/>
  <c r="U72" i="2"/>
  <c r="V72" i="2" s="1"/>
  <c r="U73" i="2"/>
  <c r="V73" i="2" s="1"/>
  <c r="U74" i="2"/>
  <c r="V74" i="2" s="1"/>
  <c r="U75" i="2"/>
  <c r="V75" i="2" s="1"/>
  <c r="U76" i="2"/>
  <c r="V76" i="2" s="1"/>
  <c r="U77" i="2"/>
  <c r="V77" i="2" s="1"/>
  <c r="U78" i="2"/>
  <c r="V78" i="2" s="1"/>
  <c r="U79" i="2"/>
  <c r="V79" i="2" s="1"/>
  <c r="U80" i="2"/>
  <c r="V80" i="2" s="1"/>
  <c r="U81" i="2"/>
  <c r="V81" i="2" s="1"/>
  <c r="U82" i="2"/>
  <c r="V82" i="2" s="1"/>
  <c r="U83" i="2"/>
  <c r="V83" i="2" s="1"/>
  <c r="U84" i="2"/>
  <c r="V84" i="2" s="1"/>
  <c r="U85" i="2"/>
  <c r="V85" i="2" s="1"/>
  <c r="U86" i="2"/>
  <c r="V86" i="2" s="1"/>
  <c r="U87" i="2"/>
  <c r="V87" i="2" s="1"/>
  <c r="U88" i="2"/>
  <c r="V88" i="2" s="1"/>
  <c r="U89" i="2"/>
  <c r="V89" i="2" s="1"/>
  <c r="U90" i="2"/>
  <c r="V90" i="2" s="1"/>
  <c r="U91" i="2"/>
  <c r="V91" i="2" s="1"/>
  <c r="U92" i="2"/>
  <c r="V92" i="2" s="1"/>
  <c r="U93" i="2"/>
  <c r="V93" i="2" s="1"/>
  <c r="U94" i="2"/>
  <c r="V94" i="2" s="1"/>
  <c r="U95" i="2"/>
  <c r="V95" i="2" s="1"/>
  <c r="U96" i="2"/>
  <c r="V96" i="2" s="1"/>
  <c r="U97" i="2"/>
  <c r="V97" i="2" s="1"/>
  <c r="U98" i="2"/>
  <c r="V98" i="2" s="1"/>
  <c r="U99" i="2"/>
  <c r="V99" i="2" s="1"/>
  <c r="U100" i="2"/>
  <c r="V100" i="2" s="1"/>
  <c r="U101" i="2"/>
  <c r="V101" i="2" s="1"/>
  <c r="U102" i="2"/>
  <c r="V102" i="2" s="1"/>
  <c r="U103" i="2"/>
  <c r="V103" i="2" s="1"/>
  <c r="U104" i="2"/>
  <c r="V104" i="2" s="1"/>
  <c r="U105" i="2"/>
  <c r="V105" i="2" s="1"/>
  <c r="U106" i="2"/>
  <c r="V106" i="2" s="1"/>
  <c r="U107" i="2"/>
  <c r="V107" i="2" s="1"/>
  <c r="U108" i="2"/>
  <c r="V108" i="2" s="1"/>
  <c r="U109" i="2"/>
  <c r="V109" i="2" s="1"/>
  <c r="U110" i="2"/>
  <c r="V110" i="2" s="1"/>
  <c r="U111" i="2"/>
  <c r="V111" i="2" s="1"/>
  <c r="U112" i="2"/>
  <c r="V112" i="2" s="1"/>
  <c r="U113" i="2"/>
  <c r="V113" i="2" s="1"/>
  <c r="U114" i="2"/>
  <c r="V114" i="2" s="1"/>
  <c r="U115" i="2"/>
  <c r="V115" i="2" s="1"/>
  <c r="U116" i="2"/>
  <c r="V116" i="2" s="1"/>
  <c r="U117" i="2"/>
  <c r="V117" i="2" s="1"/>
  <c r="U118" i="2"/>
  <c r="V118" i="2" s="1"/>
  <c r="U119" i="2"/>
  <c r="V119" i="2" s="1"/>
  <c r="U120" i="2"/>
  <c r="V120" i="2" s="1"/>
  <c r="U121" i="2"/>
  <c r="V121" i="2" s="1"/>
  <c r="U122" i="2"/>
  <c r="V122" i="2" s="1"/>
  <c r="U123" i="2"/>
  <c r="V123" i="2" s="1"/>
  <c r="U124" i="2"/>
  <c r="V124" i="2" s="1"/>
  <c r="U125" i="2"/>
  <c r="V125" i="2" s="1"/>
  <c r="U126" i="2"/>
  <c r="V126" i="2" s="1"/>
  <c r="U127" i="2"/>
  <c r="V127" i="2" s="1"/>
  <c r="U128" i="2"/>
  <c r="V128" i="2" s="1"/>
  <c r="U129" i="2"/>
  <c r="V129" i="2" s="1"/>
  <c r="U130" i="2"/>
  <c r="V130" i="2" s="1"/>
  <c r="U131" i="2"/>
  <c r="V131" i="2" s="1"/>
  <c r="U132" i="2"/>
  <c r="V132" i="2" s="1"/>
  <c r="U133" i="2"/>
  <c r="V133" i="2" s="1"/>
  <c r="U134" i="2"/>
  <c r="V134" i="2" s="1"/>
  <c r="U135" i="2"/>
  <c r="V135" i="2" s="1"/>
  <c r="U136" i="2"/>
  <c r="V136" i="2" s="1"/>
  <c r="U137" i="2"/>
  <c r="V137" i="2" s="1"/>
  <c r="U138" i="2"/>
  <c r="V138" i="2" s="1"/>
  <c r="U139" i="2"/>
  <c r="V139" i="2" s="1"/>
  <c r="U140" i="2"/>
  <c r="V140" i="2" s="1"/>
  <c r="U141" i="2"/>
  <c r="V141" i="2" s="1"/>
  <c r="U142" i="2"/>
  <c r="V142" i="2" s="1"/>
  <c r="U143" i="2"/>
  <c r="V143" i="2" s="1"/>
  <c r="U144" i="2"/>
  <c r="V144" i="2" s="1"/>
  <c r="U145" i="2"/>
  <c r="V145" i="2" s="1"/>
  <c r="U146" i="2"/>
  <c r="V146" i="2" s="1"/>
  <c r="U147" i="2"/>
  <c r="V147" i="2" s="1"/>
  <c r="U148" i="2"/>
  <c r="V148" i="2" s="1"/>
  <c r="U149" i="2"/>
  <c r="V149" i="2" s="1"/>
  <c r="U150" i="2"/>
  <c r="V150" i="2" s="1"/>
  <c r="U151" i="2"/>
  <c r="V151" i="2" s="1"/>
  <c r="U152" i="2"/>
  <c r="V152" i="2" s="1"/>
  <c r="U153" i="2"/>
  <c r="V153" i="2" s="1"/>
  <c r="U154" i="2"/>
  <c r="V154" i="2" s="1"/>
  <c r="U155" i="2"/>
  <c r="V155" i="2" s="1"/>
  <c r="U156" i="2"/>
  <c r="V156" i="2" s="1"/>
  <c r="U157" i="2"/>
  <c r="V157" i="2" s="1"/>
  <c r="U158" i="2"/>
  <c r="V158" i="2" s="1"/>
  <c r="U159" i="2"/>
  <c r="V159" i="2" s="1"/>
  <c r="U160" i="2"/>
  <c r="V160" i="2" s="1"/>
  <c r="U161" i="2"/>
  <c r="V161" i="2" s="1"/>
  <c r="U162" i="2"/>
  <c r="V162" i="2" s="1"/>
  <c r="U163" i="2"/>
  <c r="V163" i="2" s="1"/>
  <c r="U164" i="2"/>
  <c r="V164" i="2" s="1"/>
  <c r="U165" i="2"/>
  <c r="V165" i="2" s="1"/>
  <c r="U166" i="2"/>
  <c r="V166" i="2" s="1"/>
  <c r="U167" i="2"/>
  <c r="V167" i="2" s="1"/>
  <c r="U168" i="2"/>
  <c r="V168" i="2" s="1"/>
  <c r="U169" i="2"/>
  <c r="V169" i="2" s="1"/>
  <c r="U170" i="2"/>
  <c r="V170" i="2" s="1"/>
  <c r="U171" i="2"/>
  <c r="V171" i="2" s="1"/>
  <c r="U172" i="2"/>
  <c r="V172" i="2" s="1"/>
  <c r="U173" i="2"/>
  <c r="V173" i="2" s="1"/>
  <c r="U174" i="2"/>
  <c r="V174" i="2" s="1"/>
  <c r="U175" i="2"/>
  <c r="V175" i="2" s="1"/>
  <c r="U176" i="2"/>
  <c r="V176" i="2" s="1"/>
  <c r="U177" i="2"/>
  <c r="V177" i="2" s="1"/>
  <c r="U178" i="2"/>
  <c r="V178" i="2" s="1"/>
  <c r="U179" i="2"/>
  <c r="V179" i="2" s="1"/>
  <c r="U180" i="2"/>
  <c r="V180" i="2" s="1"/>
  <c r="U181" i="2"/>
  <c r="V181" i="2" s="1"/>
  <c r="U182" i="2"/>
  <c r="V182" i="2" s="1"/>
  <c r="U183" i="2"/>
  <c r="V183" i="2" s="1"/>
  <c r="U184" i="2"/>
  <c r="V184" i="2" s="1"/>
  <c r="U185" i="2"/>
  <c r="V185" i="2" s="1"/>
  <c r="U186" i="2"/>
  <c r="V186" i="2" s="1"/>
  <c r="U187" i="2"/>
  <c r="V187" i="2" s="1"/>
  <c r="U188" i="2"/>
  <c r="V188" i="2" s="1"/>
  <c r="U189" i="2"/>
  <c r="V189" i="2" s="1"/>
  <c r="U190" i="2"/>
  <c r="V190" i="2" s="1"/>
  <c r="U191" i="2"/>
  <c r="V191" i="2" s="1"/>
  <c r="U192" i="2"/>
  <c r="V192" i="2" s="1"/>
  <c r="U193" i="2"/>
  <c r="V193" i="2" s="1"/>
  <c r="U194" i="2"/>
  <c r="V194" i="2" s="1"/>
  <c r="U195" i="2"/>
  <c r="V195" i="2" s="1"/>
  <c r="U196" i="2"/>
  <c r="V196" i="2" s="1"/>
  <c r="U197" i="2"/>
  <c r="V197" i="2" s="1"/>
  <c r="U198" i="2"/>
  <c r="V198" i="2" s="1"/>
  <c r="U199" i="2"/>
  <c r="V199" i="2" s="1"/>
  <c r="U200" i="2"/>
  <c r="V200" i="2" s="1"/>
  <c r="U201" i="2"/>
  <c r="V201" i="2" s="1"/>
  <c r="U202" i="2"/>
  <c r="V202" i="2" s="1"/>
  <c r="U203" i="2"/>
  <c r="V203" i="2" s="1"/>
  <c r="U204" i="2"/>
  <c r="V204" i="2" s="1"/>
  <c r="U205" i="2"/>
  <c r="V205" i="2" s="1"/>
  <c r="U206" i="2"/>
  <c r="V206" i="2" s="1"/>
  <c r="U207" i="2"/>
  <c r="V207" i="2" s="1"/>
  <c r="U208" i="2"/>
  <c r="V208" i="2" s="1"/>
  <c r="U209" i="2"/>
  <c r="V209" i="2" s="1"/>
  <c r="U210" i="2"/>
  <c r="V210" i="2" s="1"/>
  <c r="U211" i="2"/>
  <c r="V211" i="2" s="1"/>
  <c r="U212" i="2"/>
  <c r="V212" i="2" s="1"/>
  <c r="U213" i="2"/>
  <c r="V213" i="2" s="1"/>
  <c r="U214" i="2"/>
  <c r="V214" i="2" s="1"/>
  <c r="U215" i="2"/>
  <c r="V215" i="2" s="1"/>
  <c r="U216" i="2"/>
  <c r="V216" i="2" s="1"/>
  <c r="U217" i="2"/>
  <c r="V217" i="2" s="1"/>
  <c r="U218" i="2"/>
  <c r="V218" i="2" s="1"/>
  <c r="U219" i="2"/>
  <c r="V219" i="2" s="1"/>
  <c r="U220" i="2"/>
  <c r="V220" i="2" s="1"/>
  <c r="U221" i="2"/>
  <c r="V221" i="2" s="1"/>
  <c r="U222" i="2"/>
  <c r="V222" i="2" s="1"/>
  <c r="U223" i="2"/>
  <c r="V223" i="2" s="1"/>
  <c r="U224" i="2"/>
  <c r="V224" i="2" s="1"/>
  <c r="U225" i="2"/>
  <c r="V225" i="2" s="1"/>
  <c r="U226" i="2"/>
  <c r="V226" i="2" s="1"/>
  <c r="U227" i="2"/>
  <c r="V227" i="2" s="1"/>
  <c r="U228" i="2"/>
  <c r="V228" i="2" s="1"/>
  <c r="U229" i="2"/>
  <c r="V229" i="2" s="1"/>
  <c r="U230" i="2"/>
  <c r="V230" i="2" s="1"/>
  <c r="U231" i="2"/>
  <c r="V231" i="2" s="1"/>
  <c r="P2" i="2" a="1"/>
  <c r="O2" i="2" a="1"/>
  <c r="J2" i="2" a="1"/>
  <c r="J3" i="2" a="1"/>
  <c r="J4" i="2" a="1"/>
  <c r="J5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I2" i="2" a="1"/>
  <c r="I3" i="2" a="1"/>
  <c r="I4" i="2" a="1"/>
  <c r="I5" i="2" a="1"/>
  <c r="I6" i="2" a="1"/>
  <c r="I7" i="2" a="1"/>
  <c r="I8" i="2" a="1"/>
  <c r="I9" i="2" a="1"/>
  <c r="I10" i="2" a="1"/>
  <c r="I11" i="2" a="1"/>
  <c r="I12" i="2" a="1"/>
  <c r="I13" i="2" a="1"/>
  <c r="I14" i="2" a="1"/>
  <c r="I15" i="2" a="1"/>
  <c r="I16" i="2" a="1"/>
  <c r="I17" i="2" a="1"/>
  <c r="I18" i="2" a="1"/>
  <c r="I19" i="2" a="1"/>
  <c r="I20" i="2" a="1"/>
  <c r="I21" i="2" a="1"/>
  <c r="I22" i="2" a="1"/>
  <c r="I23" i="2" a="1"/>
  <c r="I24" i="2" a="1"/>
  <c r="I25" i="2" a="1"/>
  <c r="I26" i="2" a="1"/>
  <c r="I27" i="2" a="1"/>
  <c r="I28" i="2" a="1"/>
  <c r="I29" i="2" a="1"/>
  <c r="I30" i="2" a="1"/>
  <c r="I31" i="2" a="1"/>
  <c r="I32" i="2" a="1"/>
  <c r="I33" i="2" a="1"/>
  <c r="I34" i="2" a="1"/>
  <c r="I35" i="2" a="1"/>
  <c r="I36" i="2" a="1"/>
  <c r="I37" i="2" a="1"/>
  <c r="I38" i="2" a="1"/>
  <c r="I39" i="2" a="1"/>
  <c r="I40" i="2" a="1"/>
  <c r="I41" i="2" a="1"/>
  <c r="I42" i="2" a="1"/>
  <c r="I43" i="2" a="1"/>
  <c r="I44" i="2" a="1"/>
  <c r="I45" i="2" a="1"/>
  <c r="I46" i="2" a="1"/>
  <c r="I47" i="2" a="1"/>
  <c r="I48" i="2" a="1"/>
  <c r="I49" i="2" a="1"/>
  <c r="I50" i="2" a="1"/>
  <c r="I51" i="2" a="1"/>
  <c r="I52" i="2" a="1"/>
  <c r="I53" i="2" a="1"/>
  <c r="I54" i="2" a="1"/>
  <c r="I55" i="2" a="1"/>
  <c r="I56" i="2" a="1"/>
  <c r="I57" i="2" a="1"/>
  <c r="I58" i="2" a="1"/>
  <c r="I59" i="2" a="1"/>
  <c r="I60" i="2" a="1"/>
  <c r="I61" i="2" a="1"/>
  <c r="I62" i="2" a="1"/>
  <c r="I63" i="2" a="1"/>
  <c r="I64" i="2" a="1"/>
  <c r="I65" i="2" a="1"/>
  <c r="I66" i="2" a="1"/>
  <c r="I67" i="2" a="1"/>
  <c r="I68" i="2" a="1"/>
  <c r="I69" i="2" a="1"/>
  <c r="I70" i="2" a="1"/>
  <c r="I71" i="2" a="1"/>
  <c r="I72" i="2" a="1"/>
  <c r="I73" i="2" a="1"/>
  <c r="I74" i="2" a="1"/>
  <c r="I75" i="2" a="1"/>
  <c r="I76" i="2" a="1"/>
  <c r="I77" i="2" a="1"/>
  <c r="I78" i="2" a="1"/>
  <c r="I79" i="2" a="1"/>
  <c r="I80" i="2" a="1"/>
  <c r="I81" i="2" a="1"/>
  <c r="I82" i="2" a="1"/>
  <c r="I83" i="2" a="1"/>
  <c r="I84" i="2" a="1"/>
  <c r="I85" i="2" a="1"/>
  <c r="I86" i="2" a="1"/>
  <c r="I87" i="2" a="1"/>
  <c r="I88" i="2" a="1"/>
  <c r="I89" i="2" a="1"/>
  <c r="I90" i="2" a="1"/>
  <c r="I91" i="2" a="1"/>
  <c r="I92" i="2" a="1"/>
  <c r="I93" i="2" a="1"/>
  <c r="I94" i="2" a="1"/>
  <c r="I95" i="2" a="1"/>
  <c r="I96" i="2" a="1"/>
  <c r="I97" i="2" a="1"/>
  <c r="I98" i="2" a="1"/>
  <c r="I99" i="2" a="1"/>
  <c r="I100" i="2" a="1"/>
  <c r="I101" i="2" a="1"/>
  <c r="I102" i="2" a="1"/>
  <c r="I103" i="2" a="1"/>
  <c r="I104" i="2" a="1"/>
  <c r="I105" i="2" a="1"/>
  <c r="I106" i="2" a="1"/>
  <c r="I107" i="2" a="1"/>
  <c r="I108" i="2" a="1"/>
  <c r="I109" i="2" a="1"/>
  <c r="I110" i="2" a="1"/>
  <c r="I111" i="2" a="1"/>
  <c r="I112" i="2" a="1"/>
  <c r="I113" i="2" a="1"/>
  <c r="I114" i="2" a="1"/>
  <c r="I115" i="2" a="1"/>
  <c r="I116" i="2" a="1"/>
  <c r="I117" i="2" a="1"/>
  <c r="I118" i="2" a="1"/>
  <c r="I119" i="2" a="1"/>
  <c r="I120" i="2" a="1"/>
  <c r="I121" i="2" a="1"/>
  <c r="I122" i="2" a="1"/>
  <c r="I123" i="2" a="1"/>
  <c r="I124" i="2" a="1"/>
  <c r="I125" i="2" a="1"/>
  <c r="I126" i="2" a="1"/>
  <c r="I127" i="2" a="1"/>
  <c r="I128" i="2" a="1"/>
  <c r="I129" i="2" a="1"/>
  <c r="I130" i="2" a="1"/>
  <c r="I131" i="2" a="1"/>
  <c r="I132" i="2" a="1"/>
  <c r="I133" i="2" a="1"/>
  <c r="I134" i="2" a="1"/>
  <c r="I135" i="2" a="1"/>
  <c r="I136" i="2" a="1"/>
  <c r="I137" i="2" a="1"/>
  <c r="I138" i="2" a="1"/>
  <c r="I139" i="2" a="1"/>
  <c r="I140" i="2" a="1"/>
  <c r="I141" i="2" a="1"/>
  <c r="I142" i="2" a="1"/>
  <c r="I143" i="2" a="1"/>
  <c r="I144" i="2" a="1"/>
  <c r="I145" i="2" a="1"/>
  <c r="I146" i="2" a="1"/>
  <c r="I147" i="2" a="1"/>
  <c r="I148" i="2" a="1"/>
  <c r="I149" i="2" a="1"/>
  <c r="I150" i="2" a="1"/>
  <c r="I151" i="2" a="1"/>
  <c r="I152" i="2" a="1"/>
  <c r="I153" i="2" a="1"/>
  <c r="I154" i="2" a="1"/>
  <c r="I155" i="2" a="1"/>
  <c r="I156" i="2" a="1"/>
  <c r="I157" i="2" a="1"/>
  <c r="I158" i="2" a="1"/>
  <c r="I159" i="2" a="1"/>
  <c r="I160" i="2" a="1"/>
  <c r="I161" i="2" a="1"/>
  <c r="I162" i="2" a="1"/>
  <c r="I163" i="2" a="1"/>
  <c r="I164" i="2" a="1"/>
  <c r="I165" i="2" a="1"/>
  <c r="I166" i="2" a="1"/>
  <c r="I167" i="2" a="1"/>
  <c r="I168" i="2" a="1"/>
  <c r="I169" i="2" a="1"/>
  <c r="I170" i="2" a="1"/>
  <c r="I171" i="2" a="1"/>
  <c r="I172" i="2" a="1"/>
  <c r="I173" i="2" a="1"/>
  <c r="I174" i="2" a="1"/>
  <c r="I175" i="2" a="1"/>
  <c r="I176" i="2" a="1"/>
  <c r="I177" i="2" a="1"/>
  <c r="I178" i="2" a="1"/>
  <c r="I179" i="2" a="1"/>
  <c r="I180" i="2" a="1"/>
  <c r="I181" i="2" a="1"/>
  <c r="I182" i="2" a="1"/>
  <c r="I183" i="2" a="1"/>
  <c r="I184" i="2" a="1"/>
  <c r="I185" i="2" a="1"/>
  <c r="I186" i="2" a="1"/>
  <c r="I187" i="2" a="1"/>
  <c r="I188" i="2" a="1"/>
  <c r="I189" i="2" a="1"/>
  <c r="I190" i="2" a="1"/>
  <c r="I191" i="2" a="1"/>
  <c r="I192" i="2" a="1"/>
  <c r="I193" i="2" a="1"/>
  <c r="I194" i="2" a="1"/>
  <c r="I195" i="2" a="1"/>
  <c r="I196" i="2" a="1"/>
  <c r="I197" i="2" a="1"/>
  <c r="I198" i="2" a="1"/>
  <c r="I199" i="2" a="1"/>
  <c r="I200" i="2" a="1"/>
  <c r="I201" i="2" a="1"/>
  <c r="I202" i="2" a="1"/>
  <c r="I203" i="2" a="1"/>
  <c r="I204" i="2" a="1"/>
  <c r="I205" i="2" a="1"/>
  <c r="I206" i="2" a="1"/>
  <c r="I207" i="2" a="1"/>
  <c r="I208" i="2" a="1"/>
  <c r="I209" i="2" a="1"/>
  <c r="I210" i="2" a="1"/>
  <c r="I211" i="2" a="1"/>
  <c r="I212" i="2" a="1"/>
  <c r="I213" i="2" a="1"/>
  <c r="I214" i="2" a="1"/>
  <c r="I215" i="2" a="1"/>
  <c r="I216" i="2" a="1"/>
  <c r="I217" i="2" a="1"/>
  <c r="I218" i="2" a="1"/>
  <c r="I219" i="2" a="1"/>
  <c r="I220" i="2" a="1"/>
  <c r="I221" i="2" a="1"/>
  <c r="I222" i="2" a="1"/>
  <c r="I223" i="2" a="1"/>
  <c r="I224" i="2" a="1"/>
  <c r="I225" i="2" a="1"/>
  <c r="I226" i="2" a="1"/>
  <c r="I227" i="2" a="1"/>
  <c r="I228" i="2" a="1"/>
  <c r="I229" i="2" a="1"/>
  <c r="I230" i="2" a="1"/>
  <c r="I231" i="2" a="1"/>
  <c r="C2" i="2"/>
  <c r="Y2" i="2" s="1"/>
  <c r="C3" i="2"/>
  <c r="Y3" i="2" s="1"/>
  <c r="C4" i="2"/>
  <c r="Y4" i="2" s="1"/>
  <c r="C5" i="2"/>
  <c r="Y5" i="2" s="1"/>
  <c r="C6" i="2"/>
  <c r="Y6" i="2" s="1"/>
  <c r="C7" i="2"/>
  <c r="Y7" i="2" s="1"/>
  <c r="C8" i="2"/>
  <c r="Y8" i="2" s="1"/>
  <c r="C9" i="2"/>
  <c r="Y9" i="2" s="1"/>
  <c r="C10" i="2"/>
  <c r="Y10" i="2" s="1"/>
  <c r="C11" i="2"/>
  <c r="Y11" i="2" s="1"/>
  <c r="C12" i="2"/>
  <c r="Y12" i="2" s="1"/>
  <c r="C13" i="2"/>
  <c r="Y13" i="2" s="1"/>
  <c r="C14" i="2"/>
  <c r="Y14" i="2" s="1"/>
  <c r="C15" i="2"/>
  <c r="Y15" i="2" s="1"/>
  <c r="C16" i="2"/>
  <c r="Y16" i="2" s="1"/>
  <c r="C17" i="2"/>
  <c r="Y17" i="2" s="1"/>
  <c r="C18" i="2"/>
  <c r="Y18" i="2" s="1"/>
  <c r="C19" i="2"/>
  <c r="Y19" i="2" s="1"/>
  <c r="C20" i="2"/>
  <c r="Y20" i="2" s="1"/>
  <c r="C21" i="2"/>
  <c r="Y21" i="2" s="1"/>
  <c r="C22" i="2"/>
  <c r="Y22" i="2" s="1"/>
  <c r="C23" i="2"/>
  <c r="Y23" i="2" s="1"/>
  <c r="C24" i="2"/>
  <c r="Y24" i="2" s="1"/>
  <c r="C25" i="2"/>
  <c r="Y25" i="2" s="1"/>
  <c r="C26" i="2"/>
  <c r="Y26" i="2" s="1"/>
  <c r="C27" i="2"/>
  <c r="Y27" i="2" s="1"/>
  <c r="C28" i="2"/>
  <c r="Y28" i="2" s="1"/>
  <c r="C29" i="2"/>
  <c r="Y29" i="2" s="1"/>
  <c r="C30" i="2"/>
  <c r="Y30" i="2" s="1"/>
  <c r="C31" i="2"/>
  <c r="Y31" i="2" s="1"/>
  <c r="C32" i="2"/>
  <c r="Y32" i="2" s="1"/>
  <c r="C33" i="2"/>
  <c r="Y33" i="2" s="1"/>
  <c r="C34" i="2"/>
  <c r="Y34" i="2" s="1"/>
  <c r="C35" i="2"/>
  <c r="Y35" i="2" s="1"/>
  <c r="C36" i="2"/>
  <c r="Y36" i="2" s="1"/>
  <c r="C37" i="2"/>
  <c r="Y37" i="2" s="1"/>
  <c r="C38" i="2"/>
  <c r="Y38" i="2" s="1"/>
  <c r="C39" i="2"/>
  <c r="Y39" i="2" s="1"/>
  <c r="C40" i="2"/>
  <c r="Y40" i="2" s="1"/>
  <c r="C41" i="2"/>
  <c r="Y41" i="2" s="1"/>
  <c r="C42" i="2"/>
  <c r="Y42" i="2" s="1"/>
  <c r="C43" i="2"/>
  <c r="Y43" i="2" s="1"/>
  <c r="C44" i="2"/>
  <c r="Y44" i="2" s="1"/>
  <c r="C45" i="2"/>
  <c r="Y45" i="2" s="1"/>
  <c r="C46" i="2"/>
  <c r="Y46" i="2" s="1"/>
  <c r="C47" i="2"/>
  <c r="Y47" i="2" s="1"/>
  <c r="C48" i="2"/>
  <c r="Y48" i="2" s="1"/>
  <c r="C49" i="2"/>
  <c r="Y49" i="2" s="1"/>
  <c r="C50" i="2"/>
  <c r="Y50" i="2" s="1"/>
  <c r="C51" i="2"/>
  <c r="Y51" i="2" s="1"/>
  <c r="C52" i="2"/>
  <c r="Y52" i="2" s="1"/>
  <c r="C53" i="2"/>
  <c r="Y53" i="2" s="1"/>
  <c r="C54" i="2"/>
  <c r="Y54" i="2" s="1"/>
  <c r="C55" i="2"/>
  <c r="Y55" i="2" s="1"/>
  <c r="C56" i="2"/>
  <c r="Y56" i="2" s="1"/>
  <c r="C57" i="2"/>
  <c r="Y57" i="2" s="1"/>
  <c r="C58" i="2"/>
  <c r="Y58" i="2" s="1"/>
  <c r="C59" i="2"/>
  <c r="Y59" i="2" s="1"/>
  <c r="C60" i="2"/>
  <c r="Y60" i="2" s="1"/>
  <c r="C61" i="2"/>
  <c r="Y61" i="2" s="1"/>
  <c r="C62" i="2"/>
  <c r="Y62" i="2" s="1"/>
  <c r="C63" i="2"/>
  <c r="Y63" i="2" s="1"/>
  <c r="C64" i="2"/>
  <c r="Y64" i="2" s="1"/>
  <c r="C65" i="2"/>
  <c r="Y65" i="2" s="1"/>
  <c r="C66" i="2"/>
  <c r="Y66" i="2" s="1"/>
  <c r="C67" i="2"/>
  <c r="Y67" i="2" s="1"/>
  <c r="C68" i="2"/>
  <c r="Y68" i="2" s="1"/>
  <c r="C69" i="2"/>
  <c r="Y69" i="2" s="1"/>
  <c r="C70" i="2"/>
  <c r="Y70" i="2" s="1"/>
  <c r="C71" i="2"/>
  <c r="Y71" i="2" s="1"/>
  <c r="C72" i="2"/>
  <c r="Y72" i="2" s="1"/>
  <c r="C73" i="2"/>
  <c r="Y73" i="2" s="1"/>
  <c r="C74" i="2"/>
  <c r="Y74" i="2" s="1"/>
  <c r="C75" i="2"/>
  <c r="Y75" i="2" s="1"/>
  <c r="C76" i="2"/>
  <c r="Y76" i="2" s="1"/>
  <c r="C77" i="2"/>
  <c r="Y77" i="2" s="1"/>
  <c r="C78" i="2"/>
  <c r="Y78" i="2" s="1"/>
  <c r="C79" i="2"/>
  <c r="Y79" i="2" s="1"/>
  <c r="C80" i="2"/>
  <c r="Y80" i="2" s="1"/>
  <c r="C81" i="2"/>
  <c r="Y81" i="2" s="1"/>
  <c r="C82" i="2"/>
  <c r="Y82" i="2" s="1"/>
  <c r="C83" i="2"/>
  <c r="Y83" i="2" s="1"/>
  <c r="C84" i="2"/>
  <c r="Y84" i="2" s="1"/>
  <c r="C85" i="2"/>
  <c r="Y85" i="2" s="1"/>
  <c r="C86" i="2"/>
  <c r="Y86" i="2" s="1"/>
  <c r="C87" i="2"/>
  <c r="Y87" i="2" s="1"/>
  <c r="C88" i="2"/>
  <c r="Y88" i="2" s="1"/>
  <c r="C89" i="2"/>
  <c r="Y89" i="2" s="1"/>
  <c r="C90" i="2"/>
  <c r="Y90" i="2" s="1"/>
  <c r="C91" i="2"/>
  <c r="Y91" i="2" s="1"/>
  <c r="C92" i="2"/>
  <c r="Y92" i="2" s="1"/>
  <c r="C93" i="2"/>
  <c r="Y93" i="2" s="1"/>
  <c r="C94" i="2"/>
  <c r="Y94" i="2" s="1"/>
  <c r="C95" i="2"/>
  <c r="Y95" i="2" s="1"/>
  <c r="C96" i="2"/>
  <c r="Y96" i="2" s="1"/>
  <c r="C97" i="2"/>
  <c r="Y97" i="2" s="1"/>
  <c r="C98" i="2"/>
  <c r="Y98" i="2" s="1"/>
  <c r="C99" i="2"/>
  <c r="Y99" i="2" s="1"/>
  <c r="C100" i="2"/>
  <c r="Y100" i="2" s="1"/>
  <c r="C101" i="2"/>
  <c r="Y101" i="2" s="1"/>
  <c r="C102" i="2"/>
  <c r="Y102" i="2" s="1"/>
  <c r="C103" i="2"/>
  <c r="Y103" i="2" s="1"/>
  <c r="C104" i="2"/>
  <c r="Y104" i="2" s="1"/>
  <c r="C105" i="2"/>
  <c r="Y105" i="2" s="1"/>
  <c r="C106" i="2"/>
  <c r="Y106" i="2" s="1"/>
  <c r="C107" i="2"/>
  <c r="Y107" i="2" s="1"/>
  <c r="C108" i="2"/>
  <c r="Y108" i="2" s="1"/>
  <c r="C109" i="2"/>
  <c r="Y109" i="2" s="1"/>
  <c r="C110" i="2"/>
  <c r="Y110" i="2" s="1"/>
  <c r="C111" i="2"/>
  <c r="Y111" i="2" s="1"/>
  <c r="C112" i="2"/>
  <c r="Y112" i="2" s="1"/>
  <c r="C113" i="2"/>
  <c r="Y113" i="2" s="1"/>
  <c r="C114" i="2"/>
  <c r="Y114" i="2" s="1"/>
  <c r="C115" i="2"/>
  <c r="Y115" i="2" s="1"/>
  <c r="C116" i="2"/>
  <c r="Y116" i="2" s="1"/>
  <c r="C117" i="2"/>
  <c r="Y117" i="2" s="1"/>
  <c r="C118" i="2"/>
  <c r="Y118" i="2" s="1"/>
  <c r="C119" i="2"/>
  <c r="Y119" i="2" s="1"/>
  <c r="C120" i="2"/>
  <c r="Y120" i="2" s="1"/>
  <c r="C121" i="2"/>
  <c r="Y121" i="2" s="1"/>
  <c r="C122" i="2"/>
  <c r="Y122" i="2" s="1"/>
  <c r="C123" i="2"/>
  <c r="Y123" i="2" s="1"/>
  <c r="C124" i="2"/>
  <c r="Y124" i="2" s="1"/>
  <c r="C125" i="2"/>
  <c r="Y125" i="2" s="1"/>
  <c r="C126" i="2"/>
  <c r="Y126" i="2" s="1"/>
  <c r="C127" i="2"/>
  <c r="Y127" i="2" s="1"/>
  <c r="C128" i="2"/>
  <c r="Y128" i="2" s="1"/>
  <c r="C129" i="2"/>
  <c r="Y129" i="2" s="1"/>
  <c r="C130" i="2"/>
  <c r="Y130" i="2" s="1"/>
  <c r="C131" i="2"/>
  <c r="Y131" i="2" s="1"/>
  <c r="C132" i="2"/>
  <c r="Y132" i="2" s="1"/>
  <c r="C133" i="2"/>
  <c r="Y133" i="2" s="1"/>
  <c r="C134" i="2"/>
  <c r="Y134" i="2" s="1"/>
  <c r="C135" i="2"/>
  <c r="Y135" i="2" s="1"/>
  <c r="C136" i="2"/>
  <c r="Y136" i="2" s="1"/>
  <c r="C137" i="2"/>
  <c r="Y137" i="2" s="1"/>
  <c r="C138" i="2"/>
  <c r="Y138" i="2" s="1"/>
  <c r="C139" i="2"/>
  <c r="Y139" i="2" s="1"/>
  <c r="C140" i="2"/>
  <c r="Y140" i="2" s="1"/>
  <c r="C141" i="2"/>
  <c r="Y141" i="2" s="1"/>
  <c r="C142" i="2"/>
  <c r="Y142" i="2" s="1"/>
  <c r="C143" i="2"/>
  <c r="Y143" i="2" s="1"/>
  <c r="C144" i="2"/>
  <c r="Y144" i="2" s="1"/>
  <c r="C145" i="2"/>
  <c r="Y145" i="2" s="1"/>
  <c r="C146" i="2"/>
  <c r="Y146" i="2" s="1"/>
  <c r="C147" i="2"/>
  <c r="Y147" i="2" s="1"/>
  <c r="C148" i="2"/>
  <c r="Y148" i="2" s="1"/>
  <c r="C149" i="2"/>
  <c r="Y149" i="2" s="1"/>
  <c r="C150" i="2"/>
  <c r="Y150" i="2" s="1"/>
  <c r="C151" i="2"/>
  <c r="Y151" i="2" s="1"/>
  <c r="C152" i="2"/>
  <c r="Y152" i="2" s="1"/>
  <c r="C153" i="2"/>
  <c r="Y153" i="2" s="1"/>
  <c r="C154" i="2"/>
  <c r="Y154" i="2" s="1"/>
  <c r="C155" i="2"/>
  <c r="Y155" i="2" s="1"/>
  <c r="C156" i="2"/>
  <c r="Y156" i="2" s="1"/>
  <c r="C157" i="2"/>
  <c r="Y157" i="2" s="1"/>
  <c r="C158" i="2"/>
  <c r="Y158" i="2" s="1"/>
  <c r="C159" i="2"/>
  <c r="Y159" i="2" s="1"/>
  <c r="C160" i="2"/>
  <c r="Y160" i="2" s="1"/>
  <c r="C161" i="2"/>
  <c r="Y161" i="2" s="1"/>
  <c r="C162" i="2"/>
  <c r="Y162" i="2" s="1"/>
  <c r="C163" i="2"/>
  <c r="Y163" i="2" s="1"/>
  <c r="C164" i="2"/>
  <c r="Y164" i="2" s="1"/>
  <c r="C165" i="2"/>
  <c r="Y165" i="2" s="1"/>
  <c r="C166" i="2"/>
  <c r="Y166" i="2" s="1"/>
  <c r="C167" i="2"/>
  <c r="Y167" i="2" s="1"/>
  <c r="C168" i="2"/>
  <c r="Y168" i="2" s="1"/>
  <c r="C169" i="2"/>
  <c r="Y169" i="2" s="1"/>
  <c r="C170" i="2"/>
  <c r="Y170" i="2" s="1"/>
  <c r="C171" i="2"/>
  <c r="Y171" i="2" s="1"/>
  <c r="C172" i="2"/>
  <c r="Y172" i="2" s="1"/>
  <c r="C173" i="2"/>
  <c r="Y173" i="2" s="1"/>
  <c r="C174" i="2"/>
  <c r="Y174" i="2" s="1"/>
  <c r="C175" i="2"/>
  <c r="Y175" i="2" s="1"/>
  <c r="C176" i="2"/>
  <c r="Y176" i="2" s="1"/>
  <c r="C177" i="2"/>
  <c r="Y177" i="2" s="1"/>
  <c r="C178" i="2"/>
  <c r="Y178" i="2" s="1"/>
  <c r="C179" i="2"/>
  <c r="Y179" i="2" s="1"/>
  <c r="C180" i="2"/>
  <c r="Y180" i="2" s="1"/>
  <c r="C181" i="2"/>
  <c r="Y181" i="2" s="1"/>
  <c r="C182" i="2"/>
  <c r="Y182" i="2" s="1"/>
  <c r="C183" i="2"/>
  <c r="Y183" i="2" s="1"/>
  <c r="C184" i="2"/>
  <c r="Y184" i="2" s="1"/>
  <c r="C185" i="2"/>
  <c r="Y185" i="2" s="1"/>
  <c r="C186" i="2"/>
  <c r="Y186" i="2" s="1"/>
  <c r="C187" i="2"/>
  <c r="Y187" i="2" s="1"/>
  <c r="C188" i="2"/>
  <c r="Y188" i="2" s="1"/>
  <c r="C189" i="2"/>
  <c r="Y189" i="2" s="1"/>
  <c r="C190" i="2"/>
  <c r="Y190" i="2" s="1"/>
  <c r="C191" i="2"/>
  <c r="Y191" i="2" s="1"/>
  <c r="C192" i="2"/>
  <c r="Y192" i="2" s="1"/>
  <c r="C193" i="2"/>
  <c r="Y193" i="2" s="1"/>
  <c r="C194" i="2"/>
  <c r="Y194" i="2" s="1"/>
  <c r="C195" i="2"/>
  <c r="Y195" i="2" s="1"/>
  <c r="C196" i="2"/>
  <c r="Y196" i="2" s="1"/>
  <c r="C197" i="2"/>
  <c r="Y197" i="2" s="1"/>
  <c r="C198" i="2"/>
  <c r="Y198" i="2" s="1"/>
  <c r="C199" i="2"/>
  <c r="Y199" i="2" s="1"/>
  <c r="C200" i="2"/>
  <c r="Y200" i="2" s="1"/>
  <c r="C201" i="2"/>
  <c r="Y201" i="2" s="1"/>
  <c r="C202" i="2"/>
  <c r="Y202" i="2" s="1"/>
  <c r="C203" i="2"/>
  <c r="Y203" i="2" s="1"/>
  <c r="C204" i="2"/>
  <c r="Y204" i="2" s="1"/>
  <c r="C205" i="2"/>
  <c r="Y205" i="2" s="1"/>
  <c r="C206" i="2"/>
  <c r="Y206" i="2" s="1"/>
  <c r="C207" i="2"/>
  <c r="Y207" i="2" s="1"/>
  <c r="C208" i="2"/>
  <c r="Y208" i="2" s="1"/>
  <c r="C209" i="2"/>
  <c r="Y209" i="2" s="1"/>
  <c r="C210" i="2"/>
  <c r="Y210" i="2" s="1"/>
  <c r="C211" i="2"/>
  <c r="Y211" i="2" s="1"/>
  <c r="C212" i="2"/>
  <c r="Y212" i="2" s="1"/>
  <c r="C213" i="2"/>
  <c r="Y213" i="2" s="1"/>
  <c r="C214" i="2"/>
  <c r="Y214" i="2" s="1"/>
  <c r="C215" i="2"/>
  <c r="Y215" i="2" s="1"/>
  <c r="C216" i="2"/>
  <c r="Y216" i="2" s="1"/>
  <c r="C217" i="2"/>
  <c r="Y217" i="2" s="1"/>
  <c r="C218" i="2"/>
  <c r="Y218" i="2" s="1"/>
  <c r="C219" i="2"/>
  <c r="Y219" i="2" s="1"/>
  <c r="C220" i="2"/>
  <c r="Y220" i="2" s="1"/>
  <c r="C221" i="2"/>
  <c r="Y221" i="2" s="1"/>
  <c r="C222" i="2"/>
  <c r="Y222" i="2" s="1"/>
  <c r="C223" i="2"/>
  <c r="Y223" i="2" s="1"/>
  <c r="C224" i="2"/>
  <c r="Y224" i="2" s="1"/>
  <c r="C225" i="2"/>
  <c r="Y225" i="2" s="1"/>
  <c r="C226" i="2"/>
  <c r="Y226" i="2" s="1"/>
  <c r="C227" i="2"/>
  <c r="Y227" i="2" s="1"/>
  <c r="C228" i="2"/>
  <c r="Y228" i="2" s="1"/>
  <c r="C229" i="2"/>
  <c r="Y229" i="2" s="1"/>
  <c r="C230" i="2"/>
  <c r="Y230" i="2" s="1"/>
  <c r="C231" i="2"/>
  <c r="Y231" i="2" s="1"/>
  <c r="K417" i="2" l="1"/>
  <c r="M417" i="2" s="1"/>
  <c r="K390" i="2"/>
  <c r="M390" i="2" s="1"/>
  <c r="L390" i="2"/>
  <c r="N390" i="2" s="1"/>
  <c r="K391" i="2"/>
  <c r="M391" i="2" s="1"/>
  <c r="L391" i="2"/>
  <c r="N391" i="2" s="1"/>
  <c r="K392" i="2"/>
  <c r="M392" i="2" s="1"/>
  <c r="L392" i="2"/>
  <c r="N392" i="2" s="1"/>
  <c r="L393" i="2"/>
  <c r="N393" i="2" s="1"/>
  <c r="K393" i="2"/>
  <c r="M393" i="2" s="1"/>
  <c r="K394" i="2"/>
  <c r="M394" i="2" s="1"/>
  <c r="L394" i="2"/>
  <c r="N394" i="2" s="1"/>
  <c r="K395" i="2"/>
  <c r="M395" i="2" s="1"/>
  <c r="L395" i="2"/>
  <c r="N395" i="2" s="1"/>
  <c r="K396" i="2"/>
  <c r="M396" i="2" s="1"/>
  <c r="L396" i="2"/>
  <c r="N396" i="2" s="1"/>
  <c r="K397" i="2"/>
  <c r="M397" i="2" s="1"/>
  <c r="L397" i="2"/>
  <c r="N397" i="2" s="1"/>
  <c r="K398" i="2"/>
  <c r="M398" i="2" s="1"/>
  <c r="L398" i="2"/>
  <c r="N398" i="2" s="1"/>
  <c r="K399" i="2"/>
  <c r="M399" i="2" s="1"/>
  <c r="L399" i="2"/>
  <c r="N399" i="2" s="1"/>
  <c r="K400" i="2"/>
  <c r="M400" i="2" s="1"/>
  <c r="L400" i="2"/>
  <c r="N400" i="2" s="1"/>
  <c r="L401" i="2"/>
  <c r="N401" i="2" s="1"/>
  <c r="K401" i="2"/>
  <c r="M401" i="2" s="1"/>
  <c r="L402" i="2"/>
  <c r="N402" i="2" s="1"/>
  <c r="K402" i="2"/>
  <c r="M402" i="2" s="1"/>
  <c r="L403" i="2"/>
  <c r="N403" i="2" s="1"/>
  <c r="K403" i="2"/>
  <c r="M403" i="2" s="1"/>
  <c r="L404" i="2"/>
  <c r="N404" i="2" s="1"/>
  <c r="K404" i="2"/>
  <c r="M404" i="2" s="1"/>
  <c r="L405" i="2"/>
  <c r="N405" i="2" s="1"/>
  <c r="K405" i="2"/>
  <c r="M405" i="2" s="1"/>
  <c r="K406" i="2"/>
  <c r="M406" i="2" s="1"/>
  <c r="L406" i="2"/>
  <c r="N406" i="2" s="1"/>
  <c r="K407" i="2"/>
  <c r="M407" i="2" s="1"/>
  <c r="L407" i="2"/>
  <c r="N407" i="2" s="1"/>
  <c r="K408" i="2"/>
  <c r="M408" i="2" s="1"/>
  <c r="L408" i="2"/>
  <c r="N408" i="2" s="1"/>
  <c r="K409" i="2"/>
  <c r="M409" i="2" s="1"/>
  <c r="L409" i="2"/>
  <c r="N409" i="2" s="1"/>
  <c r="K410" i="2"/>
  <c r="M410" i="2" s="1"/>
  <c r="L410" i="2"/>
  <c r="N410" i="2" s="1"/>
  <c r="K411" i="2"/>
  <c r="M411" i="2" s="1"/>
  <c r="L411" i="2"/>
  <c r="N411" i="2" s="1"/>
  <c r="K412" i="2"/>
  <c r="M412" i="2" s="1"/>
  <c r="L412" i="2"/>
  <c r="N412" i="2" s="1"/>
  <c r="K413" i="2"/>
  <c r="M413" i="2" s="1"/>
  <c r="L413" i="2"/>
  <c r="N413" i="2" s="1"/>
  <c r="K414" i="2"/>
  <c r="M414" i="2" s="1"/>
  <c r="L414" i="2"/>
  <c r="N414" i="2" s="1"/>
  <c r="K415" i="2"/>
  <c r="M415" i="2" s="1"/>
  <c r="L415" i="2"/>
  <c r="N415" i="2" s="1"/>
  <c r="K416" i="2"/>
  <c r="M416" i="2" s="1"/>
  <c r="L416" i="2"/>
  <c r="N416" i="2" s="1"/>
  <c r="Z2" i="2"/>
  <c r="Z3" i="2"/>
  <c r="L317" i="2"/>
  <c r="N317" i="2" s="1"/>
  <c r="K317" i="2"/>
  <c r="M317" i="2" s="1"/>
  <c r="L418" i="2"/>
  <c r="N418" i="2" s="1"/>
  <c r="K418" i="2"/>
  <c r="M418" i="2" s="1"/>
  <c r="L419" i="2"/>
  <c r="N419" i="2" s="1"/>
  <c r="K419" i="2"/>
  <c r="M419" i="2" s="1"/>
  <c r="L420" i="2"/>
  <c r="N420" i="2" s="1"/>
  <c r="K420" i="2"/>
  <c r="M420" i="2" s="1"/>
  <c r="K421" i="2"/>
  <c r="M421" i="2" s="1"/>
  <c r="L421" i="2"/>
  <c r="N421" i="2" s="1"/>
  <c r="Z300" i="2"/>
  <c r="Z343" i="2"/>
  <c r="Z345" i="2"/>
  <c r="Z347" i="2"/>
  <c r="Z349" i="2"/>
  <c r="Z351" i="2"/>
  <c r="Z353" i="2"/>
  <c r="Z355" i="2"/>
  <c r="Z357" i="2"/>
  <c r="Z359" i="2"/>
  <c r="Z361" i="2"/>
  <c r="Z363" i="2"/>
  <c r="Z365" i="2"/>
  <c r="Z367" i="2"/>
  <c r="Z369" i="2"/>
  <c r="Z371" i="2"/>
  <c r="Z373" i="2"/>
  <c r="Z375" i="2"/>
  <c r="Z377" i="2"/>
  <c r="Z379" i="2"/>
  <c r="Z381" i="2"/>
  <c r="Z383" i="2"/>
  <c r="Z385" i="2"/>
  <c r="Z387" i="2"/>
  <c r="Z390" i="2"/>
  <c r="Z392" i="2"/>
  <c r="Z394" i="2"/>
  <c r="Z396" i="2"/>
  <c r="Z398" i="2"/>
  <c r="Z401" i="2"/>
  <c r="Z403" i="2"/>
  <c r="Z405" i="2"/>
  <c r="Z408" i="2"/>
  <c r="Z410" i="2"/>
  <c r="Z344" i="2"/>
  <c r="Z346" i="2"/>
  <c r="Z348" i="2"/>
  <c r="Z350" i="2"/>
  <c r="Z352" i="2"/>
  <c r="Z354" i="2"/>
  <c r="Z356" i="2"/>
  <c r="Z358" i="2"/>
  <c r="Z360" i="2"/>
  <c r="Z362" i="2"/>
  <c r="Z364" i="2"/>
  <c r="Z366" i="2"/>
  <c r="Z368" i="2"/>
  <c r="Z370" i="2"/>
  <c r="Z372" i="2"/>
  <c r="Z374" i="2"/>
  <c r="Z376" i="2"/>
  <c r="Z378" i="2"/>
  <c r="Z380" i="2"/>
  <c r="Z382" i="2"/>
  <c r="Z384" i="2"/>
  <c r="Z386" i="2"/>
  <c r="Z388" i="2"/>
  <c r="Z389" i="2"/>
  <c r="Z391" i="2"/>
  <c r="Z393" i="2"/>
  <c r="Z395" i="2"/>
  <c r="Z397" i="2"/>
  <c r="Z399" i="2"/>
  <c r="Z400" i="2"/>
  <c r="Z402" i="2"/>
  <c r="Z404" i="2"/>
  <c r="Z406" i="2"/>
  <c r="Z407" i="2"/>
  <c r="Z409" i="2"/>
  <c r="L344" i="2"/>
  <c r="N344" i="2" s="1"/>
  <c r="K344" i="2"/>
  <c r="M344" i="2" s="1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F26" i="3"/>
  <c r="F29" i="3"/>
  <c r="Z19" i="2"/>
  <c r="Z20" i="2"/>
  <c r="Z21" i="2"/>
  <c r="Z22" i="2"/>
  <c r="Z23" i="2"/>
  <c r="Z24" i="2"/>
  <c r="Z25" i="2"/>
  <c r="Z26" i="2"/>
  <c r="F25" i="3"/>
  <c r="F28" i="3"/>
  <c r="F35" i="3"/>
  <c r="F36" i="3"/>
  <c r="K254" i="2"/>
  <c r="M254" i="2" s="1"/>
  <c r="K255" i="2"/>
  <c r="M255" i="2" s="1"/>
  <c r="K256" i="2"/>
  <c r="M256" i="2" s="1"/>
  <c r="K257" i="2"/>
  <c r="M257" i="2" s="1"/>
  <c r="K258" i="2"/>
  <c r="M258" i="2" s="1"/>
  <c r="K259" i="2"/>
  <c r="M259" i="2" s="1"/>
  <c r="K260" i="2"/>
  <c r="M260" i="2" s="1"/>
  <c r="K261" i="2"/>
  <c r="M261" i="2" s="1"/>
  <c r="K262" i="2"/>
  <c r="M262" i="2" s="1"/>
  <c r="K263" i="2"/>
  <c r="M263" i="2" s="1"/>
  <c r="K264" i="2"/>
  <c r="M264" i="2" s="1"/>
  <c r="K265" i="2"/>
  <c r="M265" i="2" s="1"/>
  <c r="K266" i="2"/>
  <c r="M266" i="2" s="1"/>
  <c r="K267" i="2"/>
  <c r="M267" i="2" s="1"/>
  <c r="K268" i="2"/>
  <c r="M268" i="2" s="1"/>
  <c r="K269" i="2"/>
  <c r="M269" i="2" s="1"/>
  <c r="K250" i="2"/>
  <c r="M250" i="2" s="1"/>
  <c r="K251" i="2"/>
  <c r="M251" i="2" s="1"/>
  <c r="K253" i="2"/>
  <c r="M253" i="2" s="1"/>
  <c r="L254" i="2"/>
  <c r="N254" i="2" s="1"/>
  <c r="L255" i="2"/>
  <c r="N255" i="2" s="1"/>
  <c r="L256" i="2"/>
  <c r="N256" i="2" s="1"/>
  <c r="L257" i="2"/>
  <c r="N257" i="2" s="1"/>
  <c r="L258" i="2"/>
  <c r="N258" i="2" s="1"/>
  <c r="L259" i="2"/>
  <c r="N259" i="2" s="1"/>
  <c r="L260" i="2"/>
  <c r="N260" i="2" s="1"/>
  <c r="L261" i="2"/>
  <c r="N261" i="2" s="1"/>
  <c r="L262" i="2"/>
  <c r="N262" i="2" s="1"/>
  <c r="L263" i="2"/>
  <c r="N263" i="2" s="1"/>
  <c r="L264" i="2"/>
  <c r="N264" i="2" s="1"/>
  <c r="L265" i="2"/>
  <c r="N265" i="2" s="1"/>
  <c r="L266" i="2"/>
  <c r="N266" i="2" s="1"/>
  <c r="L267" i="2"/>
  <c r="N267" i="2" s="1"/>
  <c r="L268" i="2"/>
  <c r="N268" i="2" s="1"/>
  <c r="L269" i="2"/>
  <c r="N269" i="2" s="1"/>
  <c r="K270" i="2"/>
  <c r="M270" i="2" s="1"/>
  <c r="L270" i="2"/>
  <c r="N270" i="2" s="1"/>
  <c r="K271" i="2"/>
  <c r="M271" i="2" s="1"/>
  <c r="L271" i="2"/>
  <c r="N271" i="2" s="1"/>
  <c r="K272" i="2"/>
  <c r="M272" i="2" s="1"/>
  <c r="L272" i="2"/>
  <c r="N272" i="2" s="1"/>
  <c r="K273" i="2"/>
  <c r="M273" i="2" s="1"/>
  <c r="L273" i="2"/>
  <c r="N273" i="2" s="1"/>
  <c r="K274" i="2"/>
  <c r="M274" i="2" s="1"/>
  <c r="L274" i="2"/>
  <c r="N274" i="2" s="1"/>
  <c r="K275" i="2"/>
  <c r="M275" i="2" s="1"/>
  <c r="L275" i="2"/>
  <c r="N275" i="2" s="1"/>
  <c r="K276" i="2"/>
  <c r="M276" i="2" s="1"/>
  <c r="L276" i="2"/>
  <c r="N276" i="2" s="1"/>
  <c r="K277" i="2"/>
  <c r="M277" i="2" s="1"/>
  <c r="L277" i="2"/>
  <c r="N277" i="2" s="1"/>
  <c r="K278" i="2"/>
  <c r="M278" i="2" s="1"/>
  <c r="L278" i="2"/>
  <c r="N278" i="2" s="1"/>
  <c r="K279" i="2"/>
  <c r="M279" i="2" s="1"/>
  <c r="L279" i="2"/>
  <c r="N279" i="2" s="1"/>
  <c r="K280" i="2"/>
  <c r="M280" i="2" s="1"/>
  <c r="L280" i="2"/>
  <c r="N280" i="2" s="1"/>
  <c r="K281" i="2"/>
  <c r="M281" i="2" s="1"/>
  <c r="L281" i="2"/>
  <c r="N281" i="2" s="1"/>
  <c r="K282" i="2"/>
  <c r="M282" i="2" s="1"/>
  <c r="L282" i="2"/>
  <c r="N282" i="2" s="1"/>
  <c r="K283" i="2"/>
  <c r="M283" i="2" s="1"/>
  <c r="L283" i="2"/>
  <c r="N283" i="2" s="1"/>
  <c r="K284" i="2"/>
  <c r="M284" i="2" s="1"/>
  <c r="L284" i="2"/>
  <c r="N284" i="2" s="1"/>
  <c r="K285" i="2"/>
  <c r="M285" i="2" s="1"/>
  <c r="L285" i="2"/>
  <c r="N285" i="2" s="1"/>
  <c r="K286" i="2"/>
  <c r="M286" i="2" s="1"/>
  <c r="L286" i="2"/>
  <c r="N286" i="2" s="1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K252" i="2"/>
  <c r="M252" i="2" s="1"/>
  <c r="L252" i="2"/>
  <c r="N252" i="2" s="1"/>
  <c r="F27" i="3"/>
  <c r="AD289" i="2"/>
  <c r="AC289" i="2"/>
  <c r="AD290" i="2"/>
  <c r="AC290" i="2"/>
  <c r="AD291" i="2"/>
  <c r="AC291" i="2"/>
  <c r="AD292" i="2"/>
  <c r="AC292" i="2"/>
  <c r="AD293" i="2"/>
  <c r="AC293" i="2"/>
  <c r="AD294" i="2"/>
  <c r="AC294" i="2"/>
  <c r="AD295" i="2"/>
  <c r="AC295" i="2"/>
  <c r="AD296" i="2"/>
  <c r="AC296" i="2"/>
  <c r="AD297" i="2"/>
  <c r="AC297" i="2"/>
  <c r="AC232" i="2"/>
  <c r="AD232" i="2"/>
  <c r="AC233" i="2"/>
  <c r="AD233" i="2"/>
  <c r="AC234" i="2"/>
  <c r="AD234" i="2"/>
  <c r="AC235" i="2"/>
  <c r="AD235" i="2"/>
  <c r="AC236" i="2"/>
  <c r="AD236" i="2"/>
  <c r="AC237" i="2"/>
  <c r="AD237" i="2"/>
  <c r="AC238" i="2"/>
  <c r="AD238" i="2"/>
  <c r="AC239" i="2"/>
  <c r="AD239" i="2"/>
  <c r="AC242" i="2"/>
  <c r="AD242" i="2"/>
  <c r="AC243" i="2"/>
  <c r="AD243" i="2"/>
  <c r="AC244" i="2"/>
  <c r="AD244" i="2"/>
  <c r="AD245" i="2"/>
  <c r="AC245" i="2"/>
  <c r="AC246" i="2"/>
  <c r="AD246" i="2"/>
  <c r="AC247" i="2"/>
  <c r="AD247" i="2"/>
  <c r="AC248" i="2"/>
  <c r="AD248" i="2"/>
  <c r="AC249" i="2"/>
  <c r="AD249" i="2"/>
  <c r="AD250" i="2"/>
  <c r="AC250" i="2"/>
  <c r="AD251" i="2"/>
  <c r="AC251" i="2"/>
  <c r="AD252" i="2"/>
  <c r="AC252" i="2"/>
  <c r="AD253" i="2"/>
  <c r="AC253" i="2"/>
  <c r="AD254" i="2"/>
  <c r="AC254" i="2"/>
  <c r="AC255" i="2"/>
  <c r="AD255" i="2"/>
  <c r="AC256" i="2"/>
  <c r="AD256" i="2"/>
  <c r="AC257" i="2"/>
  <c r="AD257" i="2"/>
  <c r="AC258" i="2"/>
  <c r="AD258" i="2"/>
  <c r="AC259" i="2"/>
  <c r="AD259" i="2"/>
  <c r="AC260" i="2"/>
  <c r="AD260" i="2"/>
  <c r="AC261" i="2"/>
  <c r="AD261" i="2"/>
  <c r="AC262" i="2"/>
  <c r="AD262" i="2"/>
  <c r="AC263" i="2"/>
  <c r="AD263" i="2"/>
  <c r="AC264" i="2"/>
  <c r="AD264" i="2"/>
  <c r="AC265" i="2"/>
  <c r="AD265" i="2"/>
  <c r="AC266" i="2"/>
  <c r="AD266" i="2"/>
  <c r="AC267" i="2"/>
  <c r="AD267" i="2"/>
  <c r="AC268" i="2"/>
  <c r="AD268" i="2"/>
  <c r="AC269" i="2"/>
  <c r="AD269" i="2"/>
  <c r="AC270" i="2"/>
  <c r="AD270" i="2"/>
  <c r="AC271" i="2"/>
  <c r="AD271" i="2"/>
  <c r="AC272" i="2"/>
  <c r="AD272" i="2"/>
  <c r="AC273" i="2"/>
  <c r="AD273" i="2"/>
  <c r="AC274" i="2"/>
  <c r="AD274" i="2"/>
  <c r="AC275" i="2"/>
  <c r="AD275" i="2"/>
  <c r="AC276" i="2"/>
  <c r="AD276" i="2"/>
  <c r="AC277" i="2"/>
  <c r="AD277" i="2"/>
  <c r="AD278" i="2"/>
  <c r="AC278" i="2"/>
  <c r="AD279" i="2"/>
  <c r="AC279" i="2"/>
  <c r="AD280" i="2"/>
  <c r="AC280" i="2"/>
  <c r="AD281" i="2"/>
  <c r="AC281" i="2"/>
  <c r="AC282" i="2"/>
  <c r="AD282" i="2"/>
  <c r="AC283" i="2"/>
  <c r="AD283" i="2"/>
  <c r="AC284" i="2"/>
  <c r="AD284" i="2"/>
  <c r="AC285" i="2"/>
  <c r="AD285" i="2"/>
  <c r="AC286" i="2"/>
  <c r="AD286" i="2"/>
  <c r="AC287" i="2"/>
  <c r="AD287" i="2"/>
  <c r="AC288" i="2"/>
  <c r="AD288" i="2"/>
  <c r="AC206" i="2"/>
  <c r="AD206" i="2"/>
  <c r="AC207" i="2"/>
  <c r="AD207" i="2"/>
  <c r="AC208" i="2"/>
  <c r="AD208" i="2"/>
  <c r="AC209" i="2"/>
  <c r="AD209" i="2"/>
  <c r="AC210" i="2"/>
  <c r="AD210" i="2"/>
  <c r="AC211" i="2"/>
  <c r="AD211" i="2"/>
  <c r="AC212" i="2"/>
  <c r="AD212" i="2"/>
  <c r="AC213" i="2"/>
  <c r="AD213" i="2"/>
  <c r="AC214" i="2"/>
  <c r="AD214" i="2"/>
  <c r="AC215" i="2"/>
  <c r="AD215" i="2"/>
  <c r="AC216" i="2"/>
  <c r="AD216" i="2"/>
  <c r="AC217" i="2"/>
  <c r="AD217" i="2"/>
  <c r="AC218" i="2"/>
  <c r="AD218" i="2"/>
  <c r="AC219" i="2"/>
  <c r="AD219" i="2"/>
  <c r="AC220" i="2"/>
  <c r="AD220" i="2"/>
  <c r="AC221" i="2"/>
  <c r="AD221" i="2"/>
  <c r="AC222" i="2"/>
  <c r="AD222" i="2"/>
  <c r="AC223" i="2"/>
  <c r="AD223" i="2"/>
  <c r="AC224" i="2"/>
  <c r="AD224" i="2"/>
  <c r="AC225" i="2"/>
  <c r="AD225" i="2"/>
  <c r="AF226" i="2"/>
  <c r="AD226" i="2"/>
  <c r="AC226" i="2"/>
  <c r="AF227" i="2"/>
  <c r="AD227" i="2"/>
  <c r="AC227" i="2"/>
  <c r="AD228" i="2"/>
  <c r="AC228" i="2"/>
  <c r="AD229" i="2"/>
  <c r="AC229" i="2"/>
  <c r="AD230" i="2"/>
  <c r="AC230" i="2"/>
  <c r="AD231" i="2"/>
  <c r="AC231" i="2"/>
  <c r="K287" i="2"/>
  <c r="M287" i="2" s="1"/>
  <c r="L287" i="2"/>
  <c r="N287" i="2" s="1"/>
  <c r="K288" i="2"/>
  <c r="M288" i="2" s="1"/>
  <c r="L288" i="2"/>
  <c r="N288" i="2" s="1"/>
  <c r="K289" i="2"/>
  <c r="M289" i="2" s="1"/>
  <c r="L289" i="2"/>
  <c r="N289" i="2" s="1"/>
  <c r="K290" i="2"/>
  <c r="M290" i="2" s="1"/>
  <c r="L290" i="2"/>
  <c r="N290" i="2" s="1"/>
  <c r="K291" i="2"/>
  <c r="M291" i="2" s="1"/>
  <c r="L291" i="2"/>
  <c r="N291" i="2" s="1"/>
  <c r="K292" i="2"/>
  <c r="M292" i="2" s="1"/>
  <c r="L292" i="2"/>
  <c r="N292" i="2" s="1"/>
  <c r="K293" i="2"/>
  <c r="M293" i="2" s="1"/>
  <c r="L293" i="2"/>
  <c r="N293" i="2" s="1"/>
  <c r="K294" i="2"/>
  <c r="M294" i="2" s="1"/>
  <c r="L294" i="2"/>
  <c r="N294" i="2" s="1"/>
  <c r="K295" i="2"/>
  <c r="M295" i="2" s="1"/>
  <c r="L295" i="2"/>
  <c r="N295" i="2" s="1"/>
  <c r="K296" i="2"/>
  <c r="M296" i="2" s="1"/>
  <c r="L296" i="2"/>
  <c r="N296" i="2" s="1"/>
  <c r="K297" i="2"/>
  <c r="M297" i="2" s="1"/>
  <c r="L297" i="2"/>
  <c r="N297" i="2" s="1"/>
  <c r="K232" i="2"/>
  <c r="M232" i="2" s="1"/>
  <c r="L232" i="2"/>
  <c r="N232" i="2" s="1"/>
  <c r="K233" i="2"/>
  <c r="M233" i="2" s="1"/>
  <c r="L233" i="2"/>
  <c r="N233" i="2" s="1"/>
  <c r="L234" i="2"/>
  <c r="N234" i="2" s="1"/>
  <c r="K234" i="2"/>
  <c r="M234" i="2" s="1"/>
  <c r="K235" i="2"/>
  <c r="M235" i="2" s="1"/>
  <c r="L235" i="2"/>
  <c r="N235" i="2" s="1"/>
  <c r="L236" i="2"/>
  <c r="N236" i="2" s="1"/>
  <c r="K236" i="2"/>
  <c r="M236" i="2" s="1"/>
  <c r="L237" i="2"/>
  <c r="N237" i="2" s="1"/>
  <c r="K237" i="2"/>
  <c r="M237" i="2" s="1"/>
  <c r="K238" i="2"/>
  <c r="M238" i="2" s="1"/>
  <c r="L238" i="2"/>
  <c r="N238" i="2" s="1"/>
  <c r="K239" i="2"/>
  <c r="M239" i="2" s="1"/>
  <c r="L239" i="2"/>
  <c r="N239" i="2" s="1"/>
  <c r="K242" i="2"/>
  <c r="M242" i="2" s="1"/>
  <c r="L242" i="2"/>
  <c r="N242" i="2" s="1"/>
  <c r="K243" i="2"/>
  <c r="M243" i="2" s="1"/>
  <c r="L243" i="2"/>
  <c r="N243" i="2" s="1"/>
  <c r="K244" i="2"/>
  <c r="M244" i="2" s="1"/>
  <c r="L244" i="2"/>
  <c r="N244" i="2" s="1"/>
  <c r="L245" i="2"/>
  <c r="N245" i="2" s="1"/>
  <c r="K245" i="2"/>
  <c r="M245" i="2" s="1"/>
  <c r="L246" i="2"/>
  <c r="N246" i="2" s="1"/>
  <c r="K246" i="2"/>
  <c r="M246" i="2" s="1"/>
  <c r="L247" i="2"/>
  <c r="N247" i="2" s="1"/>
  <c r="K247" i="2"/>
  <c r="M247" i="2" s="1"/>
  <c r="L248" i="2"/>
  <c r="N248" i="2" s="1"/>
  <c r="K248" i="2"/>
  <c r="M248" i="2" s="1"/>
  <c r="L249" i="2"/>
  <c r="N249" i="2" s="1"/>
  <c r="K249" i="2"/>
  <c r="M249" i="2" s="1"/>
  <c r="F32" i="3"/>
  <c r="AC153" i="2"/>
  <c r="AD153" i="2"/>
  <c r="AC154" i="2"/>
  <c r="AD154" i="2"/>
  <c r="AC155" i="2"/>
  <c r="AD155" i="2"/>
  <c r="AC156" i="2"/>
  <c r="AD156" i="2"/>
  <c r="AC157" i="2"/>
  <c r="AD157" i="2"/>
  <c r="AC158" i="2"/>
  <c r="AD158" i="2"/>
  <c r="AC159" i="2"/>
  <c r="AD159" i="2"/>
  <c r="AC160" i="2"/>
  <c r="AD160" i="2"/>
  <c r="AC161" i="2"/>
  <c r="AD161" i="2"/>
  <c r="AC162" i="2"/>
  <c r="AD162" i="2"/>
  <c r="AC163" i="2"/>
  <c r="AD163" i="2"/>
  <c r="AC164" i="2"/>
  <c r="AD164" i="2"/>
  <c r="AC165" i="2"/>
  <c r="AD165" i="2"/>
  <c r="AC166" i="2"/>
  <c r="AD166" i="2"/>
  <c r="AC167" i="2"/>
  <c r="AD167" i="2"/>
  <c r="AC168" i="2"/>
  <c r="AD168" i="2"/>
  <c r="AC169" i="2"/>
  <c r="AD169" i="2"/>
  <c r="AC170" i="2"/>
  <c r="AD170" i="2"/>
  <c r="AC171" i="2"/>
  <c r="AD171" i="2"/>
  <c r="AC172" i="2"/>
  <c r="AD172" i="2"/>
  <c r="AC173" i="2"/>
  <c r="AD173" i="2"/>
  <c r="AC174" i="2"/>
  <c r="AD174" i="2"/>
  <c r="AC175" i="2"/>
  <c r="AD175" i="2"/>
  <c r="AC176" i="2"/>
  <c r="AD176" i="2"/>
  <c r="AC177" i="2"/>
  <c r="AD177" i="2"/>
  <c r="AC178" i="2"/>
  <c r="AD178" i="2"/>
  <c r="AC179" i="2"/>
  <c r="AD179" i="2"/>
  <c r="AC180" i="2"/>
  <c r="AD180" i="2"/>
  <c r="AC181" i="2"/>
  <c r="AD181" i="2"/>
  <c r="AC182" i="2"/>
  <c r="AD182" i="2"/>
  <c r="AC183" i="2"/>
  <c r="AD183" i="2"/>
  <c r="AC184" i="2"/>
  <c r="AD184" i="2"/>
  <c r="AC185" i="2"/>
  <c r="AD185" i="2"/>
  <c r="AC186" i="2"/>
  <c r="AD186" i="2"/>
  <c r="AC187" i="2"/>
  <c r="AD187" i="2"/>
  <c r="AC188" i="2"/>
  <c r="AD188" i="2"/>
  <c r="AC189" i="2"/>
  <c r="AD189" i="2"/>
  <c r="AC190" i="2"/>
  <c r="AD190" i="2"/>
  <c r="AC191" i="2"/>
  <c r="AD191" i="2"/>
  <c r="AC192" i="2"/>
  <c r="AD192" i="2"/>
  <c r="AC193" i="2"/>
  <c r="AD193" i="2"/>
  <c r="AC194" i="2"/>
  <c r="AD194" i="2"/>
  <c r="AC195" i="2"/>
  <c r="AD195" i="2"/>
  <c r="AC196" i="2"/>
  <c r="AD196" i="2"/>
  <c r="AC197" i="2"/>
  <c r="AD197" i="2"/>
  <c r="AC198" i="2"/>
  <c r="AD198" i="2"/>
  <c r="AC199" i="2"/>
  <c r="AD199" i="2"/>
  <c r="AC200" i="2"/>
  <c r="AD200" i="2"/>
  <c r="AC201" i="2"/>
  <c r="AD201" i="2"/>
  <c r="AC202" i="2"/>
  <c r="AD202" i="2"/>
  <c r="AC203" i="2"/>
  <c r="AD203" i="2"/>
  <c r="AC204" i="2"/>
  <c r="AD204" i="2"/>
  <c r="AC205" i="2"/>
  <c r="AD205" i="2"/>
  <c r="Z232" i="2"/>
  <c r="Z234" i="2"/>
  <c r="Z236" i="2"/>
  <c r="Z238" i="2"/>
  <c r="Z242" i="2"/>
  <c r="Z244" i="2"/>
  <c r="Z246" i="2"/>
  <c r="Z248" i="2"/>
  <c r="Z250" i="2"/>
  <c r="Z251" i="2"/>
  <c r="Z253" i="2"/>
  <c r="Z255" i="2"/>
  <c r="Z257" i="2"/>
  <c r="Z259" i="2"/>
  <c r="Z260" i="2"/>
  <c r="Z262" i="2"/>
  <c r="Z264" i="2"/>
  <c r="Z266" i="2"/>
  <c r="Z268" i="2"/>
  <c r="Z269" i="2"/>
  <c r="Z271" i="2"/>
  <c r="Z273" i="2"/>
  <c r="Z275" i="2"/>
  <c r="Z277" i="2"/>
  <c r="Z278" i="2"/>
  <c r="Z280" i="2"/>
  <c r="Z282" i="2"/>
  <c r="Z284" i="2"/>
  <c r="Z286" i="2"/>
  <c r="Z287" i="2"/>
  <c r="Z289" i="2"/>
  <c r="Z291" i="2"/>
  <c r="Z293" i="2"/>
  <c r="Z295" i="2"/>
  <c r="Z296" i="2"/>
  <c r="Z233" i="2"/>
  <c r="Z235" i="2"/>
  <c r="Z237" i="2"/>
  <c r="Z239" i="2"/>
  <c r="Z243" i="2"/>
  <c r="Z245" i="2"/>
  <c r="Z247" i="2"/>
  <c r="Z249" i="2"/>
  <c r="Z252" i="2"/>
  <c r="Z254" i="2"/>
  <c r="Z256" i="2"/>
  <c r="Z258" i="2"/>
  <c r="Z261" i="2"/>
  <c r="Z263" i="2"/>
  <c r="Z265" i="2"/>
  <c r="Z267" i="2"/>
  <c r="Z270" i="2"/>
  <c r="Z272" i="2"/>
  <c r="Z274" i="2"/>
  <c r="Z276" i="2"/>
  <c r="Z279" i="2"/>
  <c r="Z281" i="2"/>
  <c r="Z283" i="2"/>
  <c r="Z285" i="2"/>
  <c r="Z288" i="2"/>
  <c r="Z290" i="2"/>
  <c r="Z292" i="2"/>
  <c r="Z294" i="2"/>
  <c r="Z297" i="2"/>
  <c r="AD3" i="2"/>
  <c r="AC3" i="2"/>
  <c r="AD4" i="2"/>
  <c r="AC4" i="2"/>
  <c r="AD5" i="2"/>
  <c r="AC5" i="2"/>
  <c r="AD6" i="2"/>
  <c r="AC6" i="2"/>
  <c r="AD7" i="2"/>
  <c r="AC7" i="2"/>
  <c r="AD8" i="2"/>
  <c r="AC8" i="2"/>
  <c r="AD9" i="2"/>
  <c r="AC9" i="2"/>
  <c r="AD10" i="2"/>
  <c r="AC10" i="2"/>
  <c r="AD11" i="2"/>
  <c r="AC11" i="2"/>
  <c r="AD12" i="2"/>
  <c r="AC12" i="2"/>
  <c r="AD13" i="2"/>
  <c r="AC13" i="2"/>
  <c r="AD14" i="2"/>
  <c r="AC14" i="2"/>
  <c r="AD15" i="2"/>
  <c r="AC15" i="2"/>
  <c r="AD16" i="2"/>
  <c r="AC16" i="2"/>
  <c r="AD17" i="2"/>
  <c r="AC17" i="2"/>
  <c r="AD18" i="2"/>
  <c r="AC18" i="2"/>
  <c r="AC19" i="2"/>
  <c r="AD19" i="2"/>
  <c r="AC20" i="2"/>
  <c r="AD20" i="2"/>
  <c r="AC21" i="2"/>
  <c r="AD21" i="2"/>
  <c r="AD22" i="2"/>
  <c r="AC22" i="2"/>
  <c r="AC23" i="2"/>
  <c r="AD23" i="2"/>
  <c r="AC24" i="2"/>
  <c r="AD24" i="2"/>
  <c r="AC25" i="2"/>
  <c r="AD25" i="2"/>
  <c r="AD26" i="2"/>
  <c r="AC26" i="2"/>
  <c r="AD27" i="2"/>
  <c r="AC27" i="2"/>
  <c r="AD28" i="2"/>
  <c r="AC28" i="2"/>
  <c r="AD29" i="2"/>
  <c r="AC29" i="2"/>
  <c r="AD30" i="2"/>
  <c r="AC30" i="2"/>
  <c r="AD31" i="2"/>
  <c r="AC31" i="2"/>
  <c r="AD32" i="2"/>
  <c r="AC32" i="2"/>
  <c r="AD33" i="2"/>
  <c r="AC33" i="2"/>
  <c r="AD34" i="2"/>
  <c r="AC34" i="2"/>
  <c r="AD35" i="2"/>
  <c r="AC35" i="2"/>
  <c r="AD36" i="2"/>
  <c r="AC36" i="2"/>
  <c r="AD37" i="2"/>
  <c r="AC37" i="2"/>
  <c r="AD38" i="2"/>
  <c r="AC38" i="2"/>
  <c r="AD39" i="2"/>
  <c r="AC39" i="2"/>
  <c r="AD40" i="2"/>
  <c r="AC40" i="2"/>
  <c r="AD41" i="2"/>
  <c r="AC41" i="2"/>
  <c r="AD42" i="2"/>
  <c r="AC42" i="2"/>
  <c r="AD43" i="2"/>
  <c r="AC43" i="2"/>
  <c r="AD44" i="2"/>
  <c r="AC44" i="2"/>
  <c r="AD45" i="2"/>
  <c r="AC45" i="2"/>
  <c r="AD46" i="2"/>
  <c r="AC46" i="2"/>
  <c r="AD47" i="2"/>
  <c r="AC47" i="2"/>
  <c r="AD48" i="2"/>
  <c r="AC48" i="2"/>
  <c r="AD49" i="2"/>
  <c r="AC49" i="2"/>
  <c r="AD50" i="2"/>
  <c r="AC50" i="2"/>
  <c r="AD51" i="2"/>
  <c r="AC51" i="2"/>
  <c r="AD52" i="2"/>
  <c r="AC52" i="2"/>
  <c r="AD53" i="2"/>
  <c r="AC53" i="2"/>
  <c r="AD54" i="2"/>
  <c r="AC54" i="2"/>
  <c r="AD55" i="2"/>
  <c r="AC55" i="2"/>
  <c r="AD56" i="2"/>
  <c r="AC56" i="2"/>
  <c r="AC57" i="2"/>
  <c r="AD57" i="2"/>
  <c r="AD58" i="2"/>
  <c r="AC58" i="2"/>
  <c r="AD59" i="2"/>
  <c r="AC59" i="2"/>
  <c r="AD60" i="2"/>
  <c r="AC60" i="2"/>
  <c r="AD61" i="2"/>
  <c r="AC61" i="2"/>
  <c r="AD62" i="2"/>
  <c r="AC62" i="2"/>
  <c r="AD63" i="2"/>
  <c r="AC63" i="2"/>
  <c r="AD64" i="2"/>
  <c r="AC64" i="2"/>
  <c r="AD65" i="2"/>
  <c r="AC65" i="2"/>
  <c r="AD66" i="2"/>
  <c r="AC66" i="2"/>
  <c r="AD67" i="2"/>
  <c r="AC67" i="2"/>
  <c r="AD68" i="2"/>
  <c r="AC68" i="2"/>
  <c r="AD69" i="2"/>
  <c r="AC69" i="2"/>
  <c r="AD70" i="2"/>
  <c r="AC70" i="2"/>
  <c r="AD71" i="2"/>
  <c r="AC71" i="2"/>
  <c r="AD72" i="2"/>
  <c r="AC72" i="2"/>
  <c r="AC73" i="2"/>
  <c r="AD73" i="2"/>
  <c r="AD74" i="2"/>
  <c r="AC74" i="2"/>
  <c r="AD75" i="2"/>
  <c r="AC75" i="2"/>
  <c r="AD76" i="2"/>
  <c r="AC76" i="2"/>
  <c r="AD77" i="2"/>
  <c r="AC77" i="2"/>
  <c r="AD78" i="2"/>
  <c r="AC78" i="2"/>
  <c r="AD79" i="2"/>
  <c r="AC79" i="2"/>
  <c r="AD80" i="2"/>
  <c r="AC80" i="2"/>
  <c r="AD81" i="2"/>
  <c r="AC81" i="2"/>
  <c r="AD82" i="2"/>
  <c r="AC82" i="2"/>
  <c r="AD83" i="2"/>
  <c r="AC83" i="2"/>
  <c r="AD84" i="2"/>
  <c r="AC84" i="2"/>
  <c r="AD85" i="2"/>
  <c r="AC85" i="2"/>
  <c r="AD86" i="2"/>
  <c r="AC86" i="2"/>
  <c r="AD87" i="2"/>
  <c r="AC87" i="2"/>
  <c r="AD88" i="2"/>
  <c r="AC88" i="2"/>
  <c r="AD89" i="2"/>
  <c r="AC89" i="2"/>
  <c r="AD90" i="2"/>
  <c r="AC90" i="2"/>
  <c r="AD91" i="2"/>
  <c r="AC91" i="2"/>
  <c r="AD92" i="2"/>
  <c r="AC92" i="2"/>
  <c r="AD93" i="2"/>
  <c r="AC93" i="2"/>
  <c r="AC94" i="2"/>
  <c r="AD94" i="2"/>
  <c r="AC95" i="2"/>
  <c r="AD95" i="2"/>
  <c r="AD96" i="2"/>
  <c r="AC96" i="2"/>
  <c r="AC97" i="2"/>
  <c r="AD97" i="2"/>
  <c r="AC98" i="2"/>
  <c r="AD98" i="2"/>
  <c r="AD99" i="2"/>
  <c r="AC99" i="2"/>
  <c r="AD100" i="2"/>
  <c r="AC100" i="2"/>
  <c r="AD101" i="2"/>
  <c r="AC101" i="2"/>
  <c r="AD102" i="2"/>
  <c r="AC102" i="2"/>
  <c r="AD103" i="2"/>
  <c r="AC103" i="2"/>
  <c r="AD104" i="2"/>
  <c r="AC104" i="2"/>
  <c r="AD105" i="2"/>
  <c r="AC105" i="2"/>
  <c r="AC106" i="2"/>
  <c r="AD106" i="2"/>
  <c r="AD107" i="2"/>
  <c r="AC107" i="2"/>
  <c r="AD108" i="2"/>
  <c r="AC108" i="2"/>
  <c r="AD109" i="2"/>
  <c r="AC109" i="2"/>
  <c r="AC110" i="2"/>
  <c r="AD110" i="2"/>
  <c r="AC111" i="2"/>
  <c r="AD111" i="2"/>
  <c r="AC112" i="2"/>
  <c r="AD112" i="2"/>
  <c r="AC113" i="2"/>
  <c r="AD113" i="2"/>
  <c r="AD114" i="2"/>
  <c r="AC114" i="2"/>
  <c r="AC115" i="2"/>
  <c r="AD115" i="2"/>
  <c r="AC116" i="2"/>
  <c r="AD116" i="2"/>
  <c r="AD117" i="2"/>
  <c r="AC117" i="2"/>
  <c r="AD118" i="2"/>
  <c r="AC118" i="2"/>
  <c r="AC119" i="2"/>
  <c r="AD119" i="2"/>
  <c r="AD120" i="2"/>
  <c r="AC120" i="2"/>
  <c r="AC121" i="2"/>
  <c r="AD121" i="2"/>
  <c r="AC122" i="2"/>
  <c r="AD122" i="2"/>
  <c r="AC123" i="2"/>
  <c r="AD123" i="2"/>
  <c r="AD124" i="2"/>
  <c r="AC124" i="2"/>
  <c r="AC125" i="2"/>
  <c r="AD125" i="2"/>
  <c r="AD126" i="2"/>
  <c r="AC126" i="2"/>
  <c r="AD127" i="2"/>
  <c r="AC127" i="2"/>
  <c r="AC128" i="2"/>
  <c r="AD128" i="2"/>
  <c r="AC129" i="2"/>
  <c r="AD129" i="2"/>
  <c r="AC130" i="2"/>
  <c r="AD130" i="2"/>
  <c r="AC131" i="2"/>
  <c r="AD131" i="2"/>
  <c r="AC132" i="2"/>
  <c r="AD132" i="2"/>
  <c r="AC133" i="2"/>
  <c r="AD133" i="2"/>
  <c r="AC134" i="2"/>
  <c r="AD134" i="2"/>
  <c r="AC135" i="2"/>
  <c r="AD135" i="2"/>
  <c r="AC136" i="2"/>
  <c r="AD136" i="2"/>
  <c r="AC137" i="2"/>
  <c r="AD137" i="2"/>
  <c r="AC138" i="2"/>
  <c r="AD138" i="2"/>
  <c r="AC139" i="2"/>
  <c r="AD139" i="2"/>
  <c r="AC140" i="2"/>
  <c r="AD140" i="2"/>
  <c r="AC141" i="2"/>
  <c r="AD141" i="2"/>
  <c r="AC142" i="2"/>
  <c r="AD142" i="2"/>
  <c r="AC143" i="2"/>
  <c r="AD143" i="2"/>
  <c r="AC144" i="2"/>
  <c r="AD144" i="2"/>
  <c r="AC145" i="2"/>
  <c r="AD145" i="2"/>
  <c r="AC146" i="2"/>
  <c r="AD146" i="2"/>
  <c r="AC147" i="2"/>
  <c r="AD147" i="2"/>
  <c r="AC148" i="2"/>
  <c r="AD148" i="2"/>
  <c r="AC149" i="2"/>
  <c r="AD149" i="2"/>
  <c r="AC150" i="2"/>
  <c r="AD150" i="2"/>
  <c r="AC151" i="2"/>
  <c r="AD151" i="2"/>
  <c r="AC152" i="2"/>
  <c r="AD152" i="2"/>
  <c r="AE228" i="2"/>
  <c r="AF228" i="2"/>
  <c r="AE229" i="2"/>
  <c r="AF229" i="2"/>
  <c r="AH230" i="2"/>
  <c r="AG230" i="2"/>
  <c r="AG231" i="2"/>
  <c r="AH231" i="2"/>
  <c r="Z27" i="2"/>
  <c r="Z28" i="2"/>
  <c r="Z29" i="2"/>
  <c r="Z30" i="2"/>
  <c r="Z31" i="2"/>
  <c r="Z32" i="2"/>
  <c r="Z44" i="2"/>
  <c r="Z45" i="2"/>
  <c r="Z46" i="2"/>
  <c r="Z47" i="2"/>
  <c r="Z48" i="2"/>
  <c r="Z49" i="2"/>
  <c r="Z50" i="2"/>
  <c r="Z51" i="2"/>
  <c r="Z52" i="2"/>
  <c r="Z53" i="2"/>
  <c r="Z54" i="2"/>
  <c r="Z55" i="2"/>
  <c r="Z33" i="2"/>
  <c r="Z34" i="2"/>
  <c r="Z35" i="2"/>
  <c r="Z36" i="2"/>
  <c r="Z37" i="2"/>
  <c r="Z38" i="2"/>
  <c r="Z39" i="2"/>
  <c r="Z40" i="2"/>
  <c r="Z41" i="2"/>
  <c r="Z42" i="2"/>
  <c r="Z43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7" i="2"/>
  <c r="Z228" i="2"/>
  <c r="Z229" i="2"/>
  <c r="Z230" i="2"/>
  <c r="Z231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226" i="2"/>
  <c r="AC2" i="2"/>
  <c r="AD2" i="2"/>
  <c r="L2" i="2"/>
  <c r="N2" i="2" s="1"/>
  <c r="K2" i="2"/>
  <c r="M2" i="2" s="1"/>
  <c r="L3" i="2"/>
  <c r="N3" i="2" s="1"/>
  <c r="K3" i="2"/>
  <c r="M3" i="2" s="1"/>
  <c r="L4" i="2"/>
  <c r="N4" i="2" s="1"/>
  <c r="K4" i="2"/>
  <c r="M4" i="2" s="1"/>
  <c r="L5" i="2"/>
  <c r="N5" i="2" s="1"/>
  <c r="K5" i="2"/>
  <c r="M5" i="2" s="1"/>
  <c r="L6" i="2"/>
  <c r="N6" i="2" s="1"/>
  <c r="K6" i="2"/>
  <c r="M6" i="2" s="1"/>
  <c r="L7" i="2"/>
  <c r="N7" i="2" s="1"/>
  <c r="K7" i="2"/>
  <c r="M7" i="2" s="1"/>
  <c r="L8" i="2"/>
  <c r="N8" i="2" s="1"/>
  <c r="K8" i="2"/>
  <c r="M8" i="2" s="1"/>
  <c r="K9" i="2"/>
  <c r="M9" i="2" s="1"/>
  <c r="L9" i="2"/>
  <c r="N9" i="2" s="1"/>
  <c r="L10" i="2"/>
  <c r="N10" i="2" s="1"/>
  <c r="K10" i="2"/>
  <c r="M10" i="2" s="1"/>
  <c r="L11" i="2"/>
  <c r="N11" i="2" s="1"/>
  <c r="K11" i="2"/>
  <c r="M11" i="2" s="1"/>
  <c r="L12" i="2"/>
  <c r="N12" i="2" s="1"/>
  <c r="K12" i="2"/>
  <c r="M12" i="2" s="1"/>
  <c r="L13" i="2"/>
  <c r="N13" i="2" s="1"/>
  <c r="K13" i="2"/>
  <c r="M13" i="2" s="1"/>
  <c r="L14" i="2"/>
  <c r="N14" i="2" s="1"/>
  <c r="K14" i="2"/>
  <c r="M14" i="2" s="1"/>
  <c r="L15" i="2"/>
  <c r="N15" i="2" s="1"/>
  <c r="K15" i="2"/>
  <c r="M15" i="2" s="1"/>
  <c r="K16" i="2"/>
  <c r="M16" i="2" s="1"/>
  <c r="L16" i="2"/>
  <c r="N16" i="2" s="1"/>
  <c r="L17" i="2"/>
  <c r="N17" i="2" s="1"/>
  <c r="K17" i="2"/>
  <c r="M17" i="2" s="1"/>
  <c r="K18" i="2"/>
  <c r="M18" i="2" s="1"/>
  <c r="L18" i="2"/>
  <c r="N18" i="2" s="1"/>
  <c r="L19" i="2"/>
  <c r="N19" i="2" s="1"/>
  <c r="K19" i="2"/>
  <c r="M19" i="2" s="1"/>
  <c r="L20" i="2"/>
  <c r="N20" i="2" s="1"/>
  <c r="K20" i="2"/>
  <c r="M20" i="2" s="1"/>
  <c r="L21" i="2"/>
  <c r="N21" i="2" s="1"/>
  <c r="K21" i="2"/>
  <c r="M21" i="2" s="1"/>
  <c r="K22" i="2"/>
  <c r="M22" i="2" s="1"/>
  <c r="L22" i="2"/>
  <c r="N22" i="2" s="1"/>
  <c r="K23" i="2"/>
  <c r="M23" i="2" s="1"/>
  <c r="L23" i="2"/>
  <c r="N23" i="2" s="1"/>
  <c r="K24" i="2"/>
  <c r="M24" i="2" s="1"/>
  <c r="L24" i="2"/>
  <c r="N24" i="2" s="1"/>
  <c r="K25" i="2"/>
  <c r="M25" i="2" s="1"/>
  <c r="L25" i="2"/>
  <c r="N25" i="2" s="1"/>
  <c r="K26" i="2"/>
  <c r="M26" i="2" s="1"/>
  <c r="L26" i="2"/>
  <c r="N26" i="2" s="1"/>
  <c r="K27" i="2"/>
  <c r="M27" i="2" s="1"/>
  <c r="L27" i="2"/>
  <c r="N27" i="2" s="1"/>
  <c r="L28" i="2"/>
  <c r="N28" i="2" s="1"/>
  <c r="K28" i="2"/>
  <c r="M28" i="2" s="1"/>
  <c r="L29" i="2"/>
  <c r="N29" i="2" s="1"/>
  <c r="K29" i="2"/>
  <c r="M29" i="2" s="1"/>
  <c r="L30" i="2"/>
  <c r="N30" i="2" s="1"/>
  <c r="K30" i="2"/>
  <c r="M30" i="2" s="1"/>
  <c r="L31" i="2"/>
  <c r="N31" i="2" s="1"/>
  <c r="K31" i="2"/>
  <c r="M31" i="2" s="1"/>
  <c r="L32" i="2"/>
  <c r="N32" i="2" s="1"/>
  <c r="K32" i="2"/>
  <c r="M32" i="2" s="1"/>
  <c r="L33" i="2"/>
  <c r="N33" i="2" s="1"/>
  <c r="K33" i="2"/>
  <c r="M33" i="2" s="1"/>
  <c r="L34" i="2"/>
  <c r="N34" i="2" s="1"/>
  <c r="K34" i="2"/>
  <c r="M34" i="2" s="1"/>
  <c r="L35" i="2"/>
  <c r="N35" i="2" s="1"/>
  <c r="K35" i="2"/>
  <c r="M35" i="2" s="1"/>
  <c r="L36" i="2"/>
  <c r="N36" i="2" s="1"/>
  <c r="K36" i="2"/>
  <c r="M36" i="2" s="1"/>
  <c r="L37" i="2"/>
  <c r="N37" i="2" s="1"/>
  <c r="K37" i="2"/>
  <c r="M37" i="2" s="1"/>
  <c r="L38" i="2"/>
  <c r="N38" i="2" s="1"/>
  <c r="K38" i="2"/>
  <c r="M38" i="2" s="1"/>
  <c r="L39" i="2"/>
  <c r="N39" i="2" s="1"/>
  <c r="K39" i="2"/>
  <c r="M39" i="2" s="1"/>
  <c r="L40" i="2"/>
  <c r="N40" i="2" s="1"/>
  <c r="K40" i="2"/>
  <c r="M40" i="2" s="1"/>
  <c r="L41" i="2"/>
  <c r="N41" i="2" s="1"/>
  <c r="K41" i="2"/>
  <c r="M41" i="2" s="1"/>
  <c r="L42" i="2"/>
  <c r="N42" i="2" s="1"/>
  <c r="K42" i="2"/>
  <c r="M42" i="2" s="1"/>
  <c r="L43" i="2"/>
  <c r="N43" i="2" s="1"/>
  <c r="K43" i="2"/>
  <c r="M43" i="2" s="1"/>
  <c r="L44" i="2"/>
  <c r="N44" i="2" s="1"/>
  <c r="K44" i="2"/>
  <c r="M44" i="2" s="1"/>
  <c r="L45" i="2"/>
  <c r="N45" i="2" s="1"/>
  <c r="K45" i="2"/>
  <c r="M45" i="2" s="1"/>
  <c r="L46" i="2"/>
  <c r="N46" i="2" s="1"/>
  <c r="K46" i="2"/>
  <c r="M46" i="2" s="1"/>
  <c r="L47" i="2"/>
  <c r="N47" i="2" s="1"/>
  <c r="K47" i="2"/>
  <c r="M47" i="2" s="1"/>
  <c r="L48" i="2"/>
  <c r="N48" i="2" s="1"/>
  <c r="K48" i="2"/>
  <c r="M48" i="2" s="1"/>
  <c r="L49" i="2"/>
  <c r="N49" i="2" s="1"/>
  <c r="K49" i="2"/>
  <c r="M49" i="2" s="1"/>
  <c r="L50" i="2"/>
  <c r="N50" i="2" s="1"/>
  <c r="K50" i="2"/>
  <c r="M50" i="2" s="1"/>
  <c r="L51" i="2"/>
  <c r="N51" i="2" s="1"/>
  <c r="K51" i="2"/>
  <c r="M51" i="2" s="1"/>
  <c r="L52" i="2"/>
  <c r="N52" i="2" s="1"/>
  <c r="K52" i="2"/>
  <c r="M52" i="2" s="1"/>
  <c r="K53" i="2"/>
  <c r="M53" i="2" s="1"/>
  <c r="L53" i="2"/>
  <c r="N53" i="2" s="1"/>
  <c r="L54" i="2"/>
  <c r="N54" i="2" s="1"/>
  <c r="K54" i="2"/>
  <c r="M54" i="2" s="1"/>
  <c r="L55" i="2"/>
  <c r="N55" i="2" s="1"/>
  <c r="K55" i="2"/>
  <c r="M55" i="2" s="1"/>
  <c r="L56" i="2"/>
  <c r="N56" i="2" s="1"/>
  <c r="K56" i="2"/>
  <c r="M56" i="2" s="1"/>
  <c r="L57" i="2"/>
  <c r="N57" i="2" s="1"/>
  <c r="K57" i="2"/>
  <c r="M57" i="2" s="1"/>
  <c r="L58" i="2"/>
  <c r="N58" i="2" s="1"/>
  <c r="K58" i="2"/>
  <c r="M58" i="2" s="1"/>
  <c r="L59" i="2"/>
  <c r="N59" i="2" s="1"/>
  <c r="K59" i="2"/>
  <c r="M59" i="2" s="1"/>
  <c r="L60" i="2"/>
  <c r="N60" i="2" s="1"/>
  <c r="K60" i="2"/>
  <c r="M60" i="2" s="1"/>
  <c r="L61" i="2"/>
  <c r="N61" i="2" s="1"/>
  <c r="K61" i="2"/>
  <c r="M61" i="2" s="1"/>
  <c r="L62" i="2"/>
  <c r="N62" i="2" s="1"/>
  <c r="K62" i="2"/>
  <c r="M62" i="2" s="1"/>
  <c r="L63" i="2"/>
  <c r="N63" i="2" s="1"/>
  <c r="K63" i="2"/>
  <c r="M63" i="2" s="1"/>
  <c r="L64" i="2"/>
  <c r="N64" i="2" s="1"/>
  <c r="K64" i="2"/>
  <c r="M64" i="2" s="1"/>
  <c r="L65" i="2"/>
  <c r="N65" i="2" s="1"/>
  <c r="K65" i="2"/>
  <c r="M65" i="2" s="1"/>
  <c r="L66" i="2"/>
  <c r="N66" i="2" s="1"/>
  <c r="K66" i="2"/>
  <c r="M66" i="2" s="1"/>
  <c r="L67" i="2"/>
  <c r="N67" i="2" s="1"/>
  <c r="K67" i="2"/>
  <c r="M67" i="2" s="1"/>
  <c r="K68" i="2"/>
  <c r="M68" i="2" s="1"/>
  <c r="L68" i="2"/>
  <c r="N68" i="2" s="1"/>
  <c r="K69" i="2"/>
  <c r="M69" i="2" s="1"/>
  <c r="L69" i="2"/>
  <c r="N69" i="2" s="1"/>
  <c r="K70" i="2"/>
  <c r="M70" i="2" s="1"/>
  <c r="L70" i="2"/>
  <c r="N70" i="2" s="1"/>
  <c r="L71" i="2"/>
  <c r="N71" i="2" s="1"/>
  <c r="K71" i="2"/>
  <c r="M71" i="2" s="1"/>
  <c r="K72" i="2"/>
  <c r="M72" i="2" s="1"/>
  <c r="L72" i="2"/>
  <c r="N72" i="2" s="1"/>
  <c r="L73" i="2"/>
  <c r="N73" i="2" s="1"/>
  <c r="K73" i="2"/>
  <c r="M73" i="2" s="1"/>
  <c r="L74" i="2"/>
  <c r="N74" i="2" s="1"/>
  <c r="K74" i="2"/>
  <c r="M74" i="2" s="1"/>
  <c r="L75" i="2"/>
  <c r="N75" i="2" s="1"/>
  <c r="K75" i="2"/>
  <c r="M75" i="2" s="1"/>
  <c r="L76" i="2"/>
  <c r="N76" i="2" s="1"/>
  <c r="K76" i="2"/>
  <c r="M76" i="2" s="1"/>
  <c r="L77" i="2"/>
  <c r="N77" i="2" s="1"/>
  <c r="K77" i="2"/>
  <c r="M77" i="2" s="1"/>
  <c r="K78" i="2"/>
  <c r="M78" i="2" s="1"/>
  <c r="L78" i="2"/>
  <c r="N78" i="2" s="1"/>
  <c r="K79" i="2"/>
  <c r="M79" i="2" s="1"/>
  <c r="L79" i="2"/>
  <c r="N79" i="2" s="1"/>
  <c r="K80" i="2"/>
  <c r="M80" i="2" s="1"/>
  <c r="L80" i="2"/>
  <c r="N80" i="2" s="1"/>
  <c r="K81" i="2"/>
  <c r="M81" i="2" s="1"/>
  <c r="L81" i="2"/>
  <c r="N81" i="2" s="1"/>
  <c r="L82" i="2"/>
  <c r="N82" i="2" s="1"/>
  <c r="K82" i="2"/>
  <c r="M82" i="2" s="1"/>
  <c r="L83" i="2"/>
  <c r="N83" i="2" s="1"/>
  <c r="K83" i="2"/>
  <c r="M83" i="2" s="1"/>
  <c r="K84" i="2"/>
  <c r="M84" i="2" s="1"/>
  <c r="L84" i="2"/>
  <c r="N84" i="2" s="1"/>
  <c r="L85" i="2"/>
  <c r="N85" i="2" s="1"/>
  <c r="K85" i="2"/>
  <c r="M85" i="2" s="1"/>
  <c r="L86" i="2"/>
  <c r="N86" i="2" s="1"/>
  <c r="K86" i="2"/>
  <c r="M86" i="2" s="1"/>
  <c r="K87" i="2"/>
  <c r="M87" i="2" s="1"/>
  <c r="L87" i="2"/>
  <c r="N87" i="2" s="1"/>
  <c r="K88" i="2"/>
  <c r="M88" i="2" s="1"/>
  <c r="L88" i="2"/>
  <c r="N88" i="2" s="1"/>
  <c r="K89" i="2"/>
  <c r="M89" i="2" s="1"/>
  <c r="L89" i="2"/>
  <c r="N89" i="2" s="1"/>
  <c r="K90" i="2"/>
  <c r="M90" i="2" s="1"/>
  <c r="L90" i="2"/>
  <c r="N90" i="2" s="1"/>
  <c r="L91" i="2"/>
  <c r="N91" i="2" s="1"/>
  <c r="K91" i="2"/>
  <c r="M91" i="2" s="1"/>
  <c r="K92" i="2"/>
  <c r="M92" i="2" s="1"/>
  <c r="L92" i="2"/>
  <c r="N92" i="2" s="1"/>
  <c r="K93" i="2"/>
  <c r="M93" i="2" s="1"/>
  <c r="L93" i="2"/>
  <c r="N93" i="2" s="1"/>
  <c r="L94" i="2"/>
  <c r="N94" i="2" s="1"/>
  <c r="K94" i="2"/>
  <c r="M94" i="2" s="1"/>
  <c r="L95" i="2"/>
  <c r="N95" i="2" s="1"/>
  <c r="K95" i="2"/>
  <c r="M95" i="2" s="1"/>
  <c r="L96" i="2"/>
  <c r="N96" i="2" s="1"/>
  <c r="K96" i="2"/>
  <c r="M96" i="2" s="1"/>
  <c r="L97" i="2"/>
  <c r="N97" i="2" s="1"/>
  <c r="K97" i="2"/>
  <c r="M97" i="2" s="1"/>
  <c r="L98" i="2"/>
  <c r="N98" i="2" s="1"/>
  <c r="K98" i="2"/>
  <c r="M98" i="2" s="1"/>
  <c r="L99" i="2"/>
  <c r="N99" i="2" s="1"/>
  <c r="K99" i="2"/>
  <c r="M99" i="2" s="1"/>
  <c r="L100" i="2"/>
  <c r="N100" i="2" s="1"/>
  <c r="K100" i="2"/>
  <c r="M100" i="2" s="1"/>
  <c r="L101" i="2"/>
  <c r="N101" i="2" s="1"/>
  <c r="K101" i="2"/>
  <c r="M101" i="2" s="1"/>
  <c r="K102" i="2"/>
  <c r="M102" i="2" s="1"/>
  <c r="L102" i="2"/>
  <c r="N102" i="2" s="1"/>
  <c r="K103" i="2"/>
  <c r="M103" i="2" s="1"/>
  <c r="L103" i="2"/>
  <c r="N103" i="2" s="1"/>
  <c r="K104" i="2"/>
  <c r="M104" i="2" s="1"/>
  <c r="L104" i="2"/>
  <c r="N104" i="2" s="1"/>
  <c r="K105" i="2"/>
  <c r="M105" i="2" s="1"/>
  <c r="L105" i="2"/>
  <c r="N105" i="2" s="1"/>
  <c r="L106" i="2"/>
  <c r="N106" i="2" s="1"/>
  <c r="K106" i="2"/>
  <c r="M106" i="2" s="1"/>
  <c r="L107" i="2"/>
  <c r="N107" i="2" s="1"/>
  <c r="K107" i="2"/>
  <c r="M107" i="2" s="1"/>
  <c r="K108" i="2"/>
  <c r="M108" i="2" s="1"/>
  <c r="L108" i="2"/>
  <c r="N108" i="2" s="1"/>
  <c r="L109" i="2"/>
  <c r="N109" i="2" s="1"/>
  <c r="K109" i="2"/>
  <c r="M109" i="2" s="1"/>
  <c r="L110" i="2"/>
  <c r="N110" i="2" s="1"/>
  <c r="K110" i="2"/>
  <c r="M110" i="2" s="1"/>
  <c r="K111" i="2"/>
  <c r="M111" i="2" s="1"/>
  <c r="L111" i="2"/>
  <c r="N111" i="2" s="1"/>
  <c r="K112" i="2"/>
  <c r="M112" i="2" s="1"/>
  <c r="L112" i="2"/>
  <c r="N112" i="2" s="1"/>
  <c r="L113" i="2"/>
  <c r="N113" i="2" s="1"/>
  <c r="K113" i="2"/>
  <c r="M113" i="2" s="1"/>
  <c r="K114" i="2"/>
  <c r="M114" i="2" s="1"/>
  <c r="L114" i="2"/>
  <c r="N114" i="2" s="1"/>
  <c r="L115" i="2"/>
  <c r="N115" i="2" s="1"/>
  <c r="K115" i="2"/>
  <c r="M115" i="2" s="1"/>
  <c r="L116" i="2"/>
  <c r="N116" i="2" s="1"/>
  <c r="K116" i="2"/>
  <c r="M116" i="2" s="1"/>
  <c r="L117" i="2"/>
  <c r="N117" i="2" s="1"/>
  <c r="K117" i="2"/>
  <c r="M117" i="2" s="1"/>
  <c r="L118" i="2"/>
  <c r="N118" i="2" s="1"/>
  <c r="K118" i="2"/>
  <c r="M118" i="2" s="1"/>
  <c r="L119" i="2"/>
  <c r="N119" i="2" s="1"/>
  <c r="K119" i="2"/>
  <c r="M119" i="2" s="1"/>
  <c r="L120" i="2"/>
  <c r="N120" i="2" s="1"/>
  <c r="K120" i="2"/>
  <c r="M120" i="2" s="1"/>
  <c r="L121" i="2"/>
  <c r="N121" i="2" s="1"/>
  <c r="K121" i="2"/>
  <c r="M121" i="2" s="1"/>
  <c r="L122" i="2"/>
  <c r="N122" i="2" s="1"/>
  <c r="K122" i="2"/>
  <c r="M122" i="2" s="1"/>
  <c r="L123" i="2"/>
  <c r="N123" i="2" s="1"/>
  <c r="K123" i="2"/>
  <c r="M123" i="2" s="1"/>
  <c r="K124" i="2"/>
  <c r="M124" i="2" s="1"/>
  <c r="L124" i="2"/>
  <c r="N124" i="2" s="1"/>
  <c r="K125" i="2"/>
  <c r="M125" i="2" s="1"/>
  <c r="L125" i="2"/>
  <c r="N125" i="2" s="1"/>
  <c r="K126" i="2"/>
  <c r="M126" i="2" s="1"/>
  <c r="L126" i="2"/>
  <c r="N126" i="2" s="1"/>
  <c r="K127" i="2"/>
  <c r="M127" i="2" s="1"/>
  <c r="L127" i="2"/>
  <c r="N127" i="2" s="1"/>
  <c r="K128" i="2"/>
  <c r="M128" i="2" s="1"/>
  <c r="L128" i="2"/>
  <c r="N128" i="2" s="1"/>
  <c r="K129" i="2"/>
  <c r="M129" i="2" s="1"/>
  <c r="L129" i="2"/>
  <c r="N129" i="2" s="1"/>
  <c r="K130" i="2"/>
  <c r="M130" i="2" s="1"/>
  <c r="L130" i="2"/>
  <c r="N130" i="2" s="1"/>
  <c r="K131" i="2"/>
  <c r="M131" i="2" s="1"/>
  <c r="L131" i="2"/>
  <c r="N131" i="2" s="1"/>
  <c r="K132" i="2"/>
  <c r="M132" i="2" s="1"/>
  <c r="L132" i="2"/>
  <c r="N132" i="2" s="1"/>
  <c r="K133" i="2"/>
  <c r="M133" i="2" s="1"/>
  <c r="L133" i="2"/>
  <c r="N133" i="2" s="1"/>
  <c r="K134" i="2"/>
  <c r="M134" i="2" s="1"/>
  <c r="L134" i="2"/>
  <c r="N134" i="2" s="1"/>
  <c r="K135" i="2"/>
  <c r="M135" i="2" s="1"/>
  <c r="L135" i="2"/>
  <c r="N135" i="2" s="1"/>
  <c r="K136" i="2"/>
  <c r="M136" i="2" s="1"/>
  <c r="L136" i="2"/>
  <c r="N136" i="2" s="1"/>
  <c r="K137" i="2"/>
  <c r="M137" i="2" s="1"/>
  <c r="L137" i="2"/>
  <c r="N137" i="2" s="1"/>
  <c r="K138" i="2"/>
  <c r="M138" i="2" s="1"/>
  <c r="L138" i="2"/>
  <c r="N138" i="2" s="1"/>
  <c r="L139" i="2"/>
  <c r="N139" i="2" s="1"/>
  <c r="K139" i="2"/>
  <c r="M139" i="2" s="1"/>
  <c r="L140" i="2"/>
  <c r="N140" i="2" s="1"/>
  <c r="K140" i="2"/>
  <c r="M140" i="2" s="1"/>
  <c r="L141" i="2"/>
  <c r="N141" i="2" s="1"/>
  <c r="K141" i="2"/>
  <c r="M141" i="2" s="1"/>
  <c r="K142" i="2"/>
  <c r="M142" i="2" s="1"/>
  <c r="L142" i="2"/>
  <c r="N142" i="2" s="1"/>
  <c r="K143" i="2"/>
  <c r="M143" i="2" s="1"/>
  <c r="L143" i="2"/>
  <c r="N143" i="2" s="1"/>
  <c r="L144" i="2"/>
  <c r="N144" i="2" s="1"/>
  <c r="K144" i="2"/>
  <c r="M144" i="2" s="1"/>
  <c r="L145" i="2"/>
  <c r="N145" i="2" s="1"/>
  <c r="K145" i="2"/>
  <c r="M145" i="2" s="1"/>
  <c r="L146" i="2"/>
  <c r="N146" i="2" s="1"/>
  <c r="K146" i="2"/>
  <c r="M146" i="2" s="1"/>
  <c r="L147" i="2"/>
  <c r="N147" i="2" s="1"/>
  <c r="K147" i="2"/>
  <c r="M147" i="2" s="1"/>
  <c r="L148" i="2"/>
  <c r="N148" i="2" s="1"/>
  <c r="K148" i="2"/>
  <c r="M148" i="2" s="1"/>
  <c r="K149" i="2"/>
  <c r="M149" i="2" s="1"/>
  <c r="L149" i="2"/>
  <c r="N149" i="2" s="1"/>
  <c r="K150" i="2"/>
  <c r="M150" i="2" s="1"/>
  <c r="L150" i="2"/>
  <c r="N150" i="2" s="1"/>
  <c r="K151" i="2"/>
  <c r="M151" i="2" s="1"/>
  <c r="L151" i="2"/>
  <c r="N151" i="2" s="1"/>
  <c r="L152" i="2"/>
  <c r="N152" i="2" s="1"/>
  <c r="K152" i="2"/>
  <c r="M152" i="2" s="1"/>
  <c r="L153" i="2"/>
  <c r="N153" i="2" s="1"/>
  <c r="K153" i="2"/>
  <c r="M153" i="2" s="1"/>
  <c r="L154" i="2"/>
  <c r="N154" i="2" s="1"/>
  <c r="K154" i="2"/>
  <c r="M154" i="2" s="1"/>
  <c r="L155" i="2"/>
  <c r="N155" i="2" s="1"/>
  <c r="K155" i="2"/>
  <c r="M155" i="2" s="1"/>
  <c r="K156" i="2"/>
  <c r="M156" i="2" s="1"/>
  <c r="L156" i="2"/>
  <c r="N156" i="2" s="1"/>
  <c r="L157" i="2"/>
  <c r="N157" i="2" s="1"/>
  <c r="K157" i="2"/>
  <c r="M157" i="2" s="1"/>
  <c r="L158" i="2"/>
  <c r="N158" i="2" s="1"/>
  <c r="K158" i="2"/>
  <c r="M158" i="2" s="1"/>
  <c r="L159" i="2"/>
  <c r="N159" i="2" s="1"/>
  <c r="K159" i="2"/>
  <c r="M159" i="2" s="1"/>
  <c r="K160" i="2"/>
  <c r="M160" i="2" s="1"/>
  <c r="L160" i="2"/>
  <c r="N160" i="2" s="1"/>
  <c r="L161" i="2"/>
  <c r="N161" i="2" s="1"/>
  <c r="K161" i="2"/>
  <c r="M161" i="2" s="1"/>
  <c r="L162" i="2"/>
  <c r="N162" i="2" s="1"/>
  <c r="K162" i="2"/>
  <c r="M162" i="2" s="1"/>
  <c r="K163" i="2"/>
  <c r="M163" i="2" s="1"/>
  <c r="L163" i="2"/>
  <c r="N163" i="2" s="1"/>
  <c r="L164" i="2"/>
  <c r="N164" i="2" s="1"/>
  <c r="K164" i="2"/>
  <c r="M164" i="2" s="1"/>
  <c r="K165" i="2"/>
  <c r="M165" i="2" s="1"/>
  <c r="L165" i="2"/>
  <c r="N165" i="2" s="1"/>
  <c r="K166" i="2"/>
  <c r="M166" i="2" s="1"/>
  <c r="L166" i="2"/>
  <c r="N166" i="2" s="1"/>
  <c r="K167" i="2"/>
  <c r="M167" i="2" s="1"/>
  <c r="L167" i="2"/>
  <c r="N167" i="2" s="1"/>
  <c r="K168" i="2"/>
  <c r="M168" i="2" s="1"/>
  <c r="L168" i="2"/>
  <c r="N168" i="2" s="1"/>
  <c r="K169" i="2"/>
  <c r="M169" i="2" s="1"/>
  <c r="L169" i="2"/>
  <c r="N169" i="2" s="1"/>
  <c r="K170" i="2"/>
  <c r="M170" i="2" s="1"/>
  <c r="L170" i="2"/>
  <c r="N170" i="2" s="1"/>
  <c r="K171" i="2"/>
  <c r="M171" i="2" s="1"/>
  <c r="L171" i="2"/>
  <c r="N171" i="2" s="1"/>
  <c r="K172" i="2"/>
  <c r="M172" i="2" s="1"/>
  <c r="L172" i="2"/>
  <c r="N172" i="2" s="1"/>
  <c r="K173" i="2"/>
  <c r="M173" i="2" s="1"/>
  <c r="L173" i="2"/>
  <c r="N173" i="2" s="1"/>
  <c r="K174" i="2"/>
  <c r="M174" i="2" s="1"/>
  <c r="L174" i="2"/>
  <c r="N174" i="2" s="1"/>
  <c r="K175" i="2"/>
  <c r="M175" i="2" s="1"/>
  <c r="L175" i="2"/>
  <c r="N175" i="2" s="1"/>
  <c r="L176" i="2"/>
  <c r="N176" i="2" s="1"/>
  <c r="K176" i="2"/>
  <c r="M176" i="2" s="1"/>
  <c r="L177" i="2"/>
  <c r="N177" i="2" s="1"/>
  <c r="K177" i="2"/>
  <c r="M177" i="2" s="1"/>
  <c r="L178" i="2"/>
  <c r="N178" i="2" s="1"/>
  <c r="K178" i="2"/>
  <c r="M178" i="2" s="1"/>
  <c r="L179" i="2"/>
  <c r="N179" i="2" s="1"/>
  <c r="K179" i="2"/>
  <c r="M179" i="2" s="1"/>
  <c r="K180" i="2"/>
  <c r="M180" i="2" s="1"/>
  <c r="L180" i="2"/>
  <c r="N180" i="2" s="1"/>
  <c r="L181" i="2"/>
  <c r="N181" i="2" s="1"/>
  <c r="K181" i="2"/>
  <c r="M181" i="2" s="1"/>
  <c r="K182" i="2"/>
  <c r="M182" i="2" s="1"/>
  <c r="L182" i="2"/>
  <c r="N182" i="2" s="1"/>
  <c r="L183" i="2"/>
  <c r="N183" i="2" s="1"/>
  <c r="K183" i="2"/>
  <c r="M183" i="2" s="1"/>
  <c r="L184" i="2"/>
  <c r="N184" i="2" s="1"/>
  <c r="K184" i="2"/>
  <c r="M184" i="2" s="1"/>
  <c r="K185" i="2"/>
  <c r="M185" i="2" s="1"/>
  <c r="L185" i="2"/>
  <c r="N185" i="2" s="1"/>
  <c r="K186" i="2"/>
  <c r="M186" i="2" s="1"/>
  <c r="L186" i="2"/>
  <c r="N186" i="2" s="1"/>
  <c r="L187" i="2"/>
  <c r="N187" i="2" s="1"/>
  <c r="K187" i="2"/>
  <c r="M187" i="2" s="1"/>
  <c r="L188" i="2"/>
  <c r="N188" i="2" s="1"/>
  <c r="K188" i="2"/>
  <c r="M188" i="2" s="1"/>
  <c r="L189" i="2"/>
  <c r="N189" i="2" s="1"/>
  <c r="K189" i="2"/>
  <c r="M189" i="2" s="1"/>
  <c r="K190" i="2"/>
  <c r="M190" i="2" s="1"/>
  <c r="L190" i="2"/>
  <c r="N190" i="2" s="1"/>
  <c r="L191" i="2"/>
  <c r="N191" i="2" s="1"/>
  <c r="K191" i="2"/>
  <c r="M191" i="2" s="1"/>
  <c r="K192" i="2"/>
  <c r="M192" i="2" s="1"/>
  <c r="L192" i="2"/>
  <c r="N192" i="2" s="1"/>
  <c r="K193" i="2"/>
  <c r="M193" i="2" s="1"/>
  <c r="L193" i="2"/>
  <c r="N193" i="2" s="1"/>
  <c r="L194" i="2"/>
  <c r="N194" i="2" s="1"/>
  <c r="K194" i="2"/>
  <c r="M194" i="2" s="1"/>
  <c r="L195" i="2"/>
  <c r="N195" i="2" s="1"/>
  <c r="K195" i="2"/>
  <c r="M195" i="2" s="1"/>
  <c r="L196" i="2"/>
  <c r="N196" i="2" s="1"/>
  <c r="K196" i="2"/>
  <c r="M196" i="2" s="1"/>
  <c r="K197" i="2"/>
  <c r="M197" i="2" s="1"/>
  <c r="L197" i="2"/>
  <c r="N197" i="2" s="1"/>
  <c r="K198" i="2"/>
  <c r="M198" i="2" s="1"/>
  <c r="L198" i="2"/>
  <c r="N198" i="2" s="1"/>
  <c r="K199" i="2"/>
  <c r="M199" i="2" s="1"/>
  <c r="L199" i="2"/>
  <c r="N199" i="2" s="1"/>
  <c r="K200" i="2"/>
  <c r="M200" i="2" s="1"/>
  <c r="L200" i="2"/>
  <c r="N200" i="2" s="1"/>
  <c r="K201" i="2"/>
  <c r="M201" i="2" s="1"/>
  <c r="L201" i="2"/>
  <c r="N201" i="2" s="1"/>
  <c r="L202" i="2"/>
  <c r="N202" i="2" s="1"/>
  <c r="K202" i="2"/>
  <c r="M202" i="2" s="1"/>
  <c r="K203" i="2"/>
  <c r="M203" i="2" s="1"/>
  <c r="L203" i="2"/>
  <c r="N203" i="2" s="1"/>
  <c r="L204" i="2"/>
  <c r="N204" i="2" s="1"/>
  <c r="K204" i="2"/>
  <c r="M204" i="2" s="1"/>
  <c r="L205" i="2"/>
  <c r="N205" i="2" s="1"/>
  <c r="K205" i="2"/>
  <c r="M205" i="2" s="1"/>
  <c r="K206" i="2"/>
  <c r="M206" i="2" s="1"/>
  <c r="L206" i="2"/>
  <c r="N206" i="2" s="1"/>
  <c r="L207" i="2"/>
  <c r="N207" i="2" s="1"/>
  <c r="K207" i="2"/>
  <c r="M207" i="2" s="1"/>
  <c r="L208" i="2"/>
  <c r="N208" i="2" s="1"/>
  <c r="K208" i="2"/>
  <c r="M208" i="2" s="1"/>
  <c r="L209" i="2"/>
  <c r="N209" i="2" s="1"/>
  <c r="K209" i="2"/>
  <c r="M209" i="2" s="1"/>
  <c r="K210" i="2"/>
  <c r="M210" i="2" s="1"/>
  <c r="L210" i="2"/>
  <c r="N210" i="2" s="1"/>
  <c r="K211" i="2"/>
  <c r="M211" i="2" s="1"/>
  <c r="L211" i="2"/>
  <c r="N211" i="2" s="1"/>
  <c r="K212" i="2"/>
  <c r="M212" i="2" s="1"/>
  <c r="L212" i="2"/>
  <c r="N212" i="2" s="1"/>
  <c r="K213" i="2"/>
  <c r="M213" i="2" s="1"/>
  <c r="L213" i="2"/>
  <c r="N213" i="2" s="1"/>
  <c r="K214" i="2"/>
  <c r="M214" i="2" s="1"/>
  <c r="L214" i="2"/>
  <c r="N214" i="2" s="1"/>
  <c r="K215" i="2"/>
  <c r="M215" i="2" s="1"/>
  <c r="L215" i="2"/>
  <c r="N215" i="2" s="1"/>
  <c r="K216" i="2"/>
  <c r="M216" i="2" s="1"/>
  <c r="L216" i="2"/>
  <c r="N216" i="2" s="1"/>
  <c r="K217" i="2"/>
  <c r="M217" i="2" s="1"/>
  <c r="L217" i="2"/>
  <c r="N217" i="2" s="1"/>
  <c r="K218" i="2"/>
  <c r="M218" i="2" s="1"/>
  <c r="L218" i="2"/>
  <c r="N218" i="2" s="1"/>
  <c r="K219" i="2"/>
  <c r="M219" i="2" s="1"/>
  <c r="L219" i="2"/>
  <c r="N219" i="2" s="1"/>
  <c r="K220" i="2"/>
  <c r="M220" i="2" s="1"/>
  <c r="L220" i="2"/>
  <c r="N220" i="2" s="1"/>
  <c r="K221" i="2"/>
  <c r="M221" i="2" s="1"/>
  <c r="L221" i="2"/>
  <c r="N221" i="2" s="1"/>
  <c r="L222" i="2"/>
  <c r="N222" i="2" s="1"/>
  <c r="K222" i="2"/>
  <c r="M222" i="2" s="1"/>
  <c r="L223" i="2"/>
  <c r="N223" i="2" s="1"/>
  <c r="K223" i="2"/>
  <c r="M223" i="2" s="1"/>
  <c r="K224" i="2"/>
  <c r="M224" i="2" s="1"/>
  <c r="L224" i="2"/>
  <c r="N224" i="2" s="1"/>
  <c r="K225" i="2"/>
  <c r="M225" i="2" s="1"/>
  <c r="L225" i="2"/>
  <c r="N225" i="2" s="1"/>
  <c r="K226" i="2"/>
  <c r="M226" i="2" s="1"/>
  <c r="L226" i="2"/>
  <c r="N226" i="2" s="1"/>
  <c r="L227" i="2"/>
  <c r="N227" i="2" s="1"/>
  <c r="K227" i="2"/>
  <c r="M227" i="2" s="1"/>
  <c r="K228" i="2"/>
  <c r="M228" i="2" s="1"/>
  <c r="L228" i="2"/>
  <c r="N228" i="2" s="1"/>
  <c r="K229" i="2"/>
  <c r="M229" i="2" s="1"/>
  <c r="L229" i="2"/>
  <c r="N229" i="2" s="1"/>
  <c r="L230" i="2"/>
  <c r="N230" i="2" s="1"/>
  <c r="K230" i="2"/>
  <c r="M230" i="2" s="1"/>
  <c r="L231" i="2"/>
  <c r="N231" i="2" s="1"/>
  <c r="K231" i="2"/>
  <c r="M231" i="2" s="1"/>
  <c r="W2" i="2"/>
  <c r="AC368" i="2" l="1"/>
  <c r="AD368" i="2"/>
  <c r="AC369" i="2"/>
  <c r="AD369" i="2"/>
  <c r="AD370" i="2"/>
  <c r="AC370" i="2"/>
  <c r="AD371" i="2"/>
  <c r="AC371" i="2"/>
  <c r="AC372" i="2"/>
  <c r="AD372" i="2"/>
  <c r="AC373" i="2"/>
  <c r="AD373" i="2"/>
  <c r="AD374" i="2"/>
  <c r="AC374" i="2"/>
  <c r="AD375" i="2"/>
  <c r="AC375" i="2"/>
  <c r="AD376" i="2"/>
  <c r="AC376" i="2"/>
  <c r="AD377" i="2"/>
  <c r="AC377" i="2"/>
  <c r="AD378" i="2"/>
  <c r="AC378" i="2"/>
  <c r="AD379" i="2"/>
  <c r="AC379" i="2"/>
  <c r="AD380" i="2"/>
  <c r="AC380" i="2"/>
  <c r="AC381" i="2"/>
  <c r="AD381" i="2"/>
  <c r="AC382" i="2"/>
  <c r="AD382" i="2"/>
  <c r="AD383" i="2"/>
  <c r="AC383" i="2"/>
  <c r="AD384" i="2"/>
  <c r="AC384" i="2"/>
  <c r="AD385" i="2"/>
  <c r="AC385" i="2"/>
  <c r="AD386" i="2"/>
  <c r="AC386" i="2"/>
  <c r="AD387" i="2"/>
  <c r="AC387" i="2"/>
  <c r="AD388" i="2"/>
  <c r="AC388" i="2"/>
  <c r="AD389" i="2"/>
  <c r="AC389" i="2"/>
  <c r="AD390" i="2"/>
  <c r="AC390" i="2"/>
  <c r="AD391" i="2"/>
  <c r="AC391" i="2"/>
  <c r="AD392" i="2"/>
  <c r="AC392" i="2"/>
  <c r="AC393" i="2"/>
  <c r="AD393" i="2"/>
  <c r="AC394" i="2"/>
  <c r="AD394" i="2"/>
  <c r="AD395" i="2"/>
  <c r="AC395" i="2"/>
  <c r="AC396" i="2"/>
  <c r="AD396" i="2"/>
  <c r="AC397" i="2"/>
  <c r="AD397" i="2"/>
  <c r="AC398" i="2"/>
  <c r="AD398" i="2"/>
  <c r="AC399" i="2"/>
  <c r="AD399" i="2"/>
  <c r="AC400" i="2"/>
  <c r="AD400" i="2"/>
  <c r="AC401" i="2"/>
  <c r="AD401" i="2"/>
  <c r="AC402" i="2"/>
  <c r="AD402" i="2"/>
  <c r="AD403" i="2"/>
  <c r="AC403" i="2"/>
  <c r="AC404" i="2"/>
  <c r="AD404" i="2"/>
  <c r="AC405" i="2"/>
  <c r="AD405" i="2"/>
  <c r="AD406" i="2"/>
  <c r="AC406" i="2"/>
  <c r="AD407" i="2"/>
  <c r="AC407" i="2"/>
  <c r="AC408" i="2"/>
  <c r="AD408" i="2"/>
  <c r="AD409" i="2"/>
  <c r="AC409" i="2"/>
  <c r="AD410" i="2"/>
  <c r="AC410" i="2"/>
  <c r="AC411" i="2"/>
  <c r="AD411" i="2"/>
  <c r="AD412" i="2"/>
  <c r="AC412" i="2"/>
  <c r="AD413" i="2"/>
  <c r="AC413" i="2"/>
  <c r="AC414" i="2"/>
  <c r="AD414" i="2"/>
  <c r="AC415" i="2"/>
  <c r="AD415" i="2"/>
  <c r="AD416" i="2"/>
  <c r="AC416" i="2"/>
  <c r="AC417" i="2"/>
  <c r="AD417" i="2"/>
  <c r="AC418" i="2"/>
  <c r="AD418" i="2"/>
  <c r="AD419" i="2"/>
  <c r="AC419" i="2"/>
  <c r="AC420" i="2"/>
  <c r="AD420" i="2"/>
  <c r="AC421" i="2"/>
  <c r="AD421" i="2"/>
  <c r="Q2" i="2"/>
  <c r="AA2" i="2" l="1"/>
  <c r="AB2" i="2" s="1"/>
  <c r="P3" i="2" a="1"/>
  <c r="O3" i="2" a="1"/>
  <c r="W3" i="2" l="1"/>
  <c r="Q3" i="2"/>
  <c r="AU9" i="3"/>
  <c r="AT9" i="3"/>
  <c r="AS9" i="3"/>
  <c r="AR9" i="3"/>
  <c r="AQ9" i="3"/>
  <c r="AP9" i="3"/>
  <c r="AO9" i="3"/>
  <c r="AN9" i="3"/>
  <c r="AU8" i="3"/>
  <c r="AT8" i="3"/>
  <c r="AS8" i="3"/>
  <c r="AR8" i="3"/>
  <c r="AQ8" i="3"/>
  <c r="AP8" i="3"/>
  <c r="AO8" i="3"/>
  <c r="AN8" i="3"/>
  <c r="AU7" i="3"/>
  <c r="AT7" i="3"/>
  <c r="AS7" i="3"/>
  <c r="AR7" i="3"/>
  <c r="AQ7" i="3"/>
  <c r="AP7" i="3"/>
  <c r="AO7" i="3"/>
  <c r="AN7" i="3"/>
  <c r="AU6" i="3"/>
  <c r="AT6" i="3"/>
  <c r="AS6" i="3"/>
  <c r="AR6" i="3"/>
  <c r="AQ6" i="3"/>
  <c r="AP6" i="3"/>
  <c r="AO6" i="3"/>
  <c r="AN6" i="3"/>
  <c r="AU5" i="3"/>
  <c r="AT5" i="3"/>
  <c r="AS5" i="3"/>
  <c r="AR5" i="3"/>
  <c r="AQ5" i="3"/>
  <c r="AP5" i="3"/>
  <c r="AO5" i="3"/>
  <c r="AN5" i="3"/>
  <c r="AU4" i="3"/>
  <c r="AT4" i="3"/>
  <c r="AS4" i="3"/>
  <c r="AR4" i="3"/>
  <c r="AQ4" i="3"/>
  <c r="AP4" i="3"/>
  <c r="AO4" i="3"/>
  <c r="AN4" i="3"/>
  <c r="AU3" i="3"/>
  <c r="AT3" i="3"/>
  <c r="AS3" i="3"/>
  <c r="AR3" i="3"/>
  <c r="AQ3" i="3"/>
  <c r="AP3" i="3"/>
  <c r="AO3" i="3"/>
  <c r="AN3" i="3"/>
  <c r="AU2" i="3"/>
  <c r="AT2" i="3"/>
  <c r="AS2" i="3"/>
  <c r="AR2" i="3"/>
  <c r="AQ2" i="3"/>
  <c r="AP2" i="3"/>
  <c r="AO2" i="3"/>
  <c r="AN2" i="3"/>
  <c r="AA3" i="2" l="1"/>
  <c r="AB3" i="2" s="1"/>
  <c r="P4" i="2" l="1" a="1"/>
  <c r="O5" i="2" a="1"/>
  <c r="P5" i="2" a="1"/>
  <c r="O4" i="2" a="1"/>
  <c r="Q5" i="2" l="1"/>
  <c r="W4" i="2"/>
  <c r="Q4" i="2"/>
  <c r="W5" i="2"/>
  <c r="AA5" i="2" l="1"/>
  <c r="AB5" i="2" s="1"/>
  <c r="P7" i="2" a="1"/>
  <c r="O6" i="2" a="1"/>
  <c r="P6" i="2" a="1"/>
  <c r="O7" i="2" a="1"/>
  <c r="AA4" i="2"/>
  <c r="AB4" i="2" s="1"/>
  <c r="W6" i="2" l="1"/>
  <c r="W7" i="2"/>
  <c r="Q7" i="2"/>
  <c r="Q6" i="2"/>
  <c r="AA7" i="2" l="1"/>
  <c r="AB7" i="2" s="1"/>
  <c r="AA6" i="2"/>
  <c r="AB6" i="2" s="1"/>
  <c r="P8" i="2" l="1" a="1"/>
  <c r="O8" i="2" a="1"/>
  <c r="O9" i="2" a="1"/>
  <c r="P9" i="2" a="1"/>
  <c r="W8" i="2" l="1"/>
  <c r="W9" i="2"/>
  <c r="Q8" i="2"/>
  <c r="Q9" i="2"/>
  <c r="AA8" i="2" l="1"/>
  <c r="AB8" i="2" s="1"/>
  <c r="AA9" i="2"/>
  <c r="AB9" i="2" s="1"/>
  <c r="O10" i="2" a="1"/>
  <c r="P11" i="2" a="1"/>
  <c r="P10" i="2" a="1"/>
  <c r="O11" i="2" a="1"/>
  <c r="W10" i="2" l="1"/>
  <c r="W11" i="2"/>
  <c r="Q11" i="2"/>
  <c r="Q10" i="2"/>
  <c r="AA10" i="2" l="1"/>
  <c r="AB10" i="2" s="1"/>
  <c r="AA11" i="2"/>
  <c r="AB11" i="2" s="1"/>
  <c r="O13" i="2" l="1" a="1"/>
  <c r="P12" i="2" a="1"/>
  <c r="P13" i="2" a="1"/>
  <c r="O12" i="2" a="1"/>
  <c r="W12" i="2" l="1"/>
  <c r="W13" i="2"/>
  <c r="Q12" i="2"/>
  <c r="Q13" i="2"/>
  <c r="AY9" i="3"/>
  <c r="AY8" i="3"/>
  <c r="AY7" i="3"/>
  <c r="AY6" i="3"/>
  <c r="AY5" i="3"/>
  <c r="AY4" i="3"/>
  <c r="AY3" i="3"/>
  <c r="AY2" i="3"/>
  <c r="AA12" i="2" l="1"/>
  <c r="AB12" i="2" s="1"/>
  <c r="AA13" i="2"/>
  <c r="AB13" i="2" s="1"/>
  <c r="AM8" i="3"/>
  <c r="AL8" i="3"/>
  <c r="AM9" i="3"/>
  <c r="AL9" i="3"/>
  <c r="AM7" i="3"/>
  <c r="AL7" i="3"/>
  <c r="AM6" i="3"/>
  <c r="AL6" i="3"/>
  <c r="AM5" i="3"/>
  <c r="AL5" i="3"/>
  <c r="AM2" i="3"/>
  <c r="AL2" i="3"/>
  <c r="AM4" i="3"/>
  <c r="AL4" i="3"/>
  <c r="AM3" i="3"/>
  <c r="AL3" i="3"/>
  <c r="P14" i="2" l="1" a="1"/>
  <c r="P15" i="2" a="1"/>
  <c r="O14" i="2" a="1"/>
  <c r="O15" i="2" a="1"/>
  <c r="AV7" i="3"/>
  <c r="AV8" i="3"/>
  <c r="AV5" i="3"/>
  <c r="AW7" i="3"/>
  <c r="AW5" i="3"/>
  <c r="AW9" i="3"/>
  <c r="AW8" i="3"/>
  <c r="AV9" i="3"/>
  <c r="W14" i="2" l="1"/>
  <c r="Q15" i="2"/>
  <c r="Q14" i="2"/>
  <c r="W15" i="2"/>
  <c r="AZ9" i="3"/>
  <c r="AZ7" i="3"/>
  <c r="AZ8" i="3"/>
  <c r="AZ5" i="3"/>
  <c r="AA14" i="2" l="1"/>
  <c r="AB14" i="2" s="1"/>
  <c r="AA15" i="2"/>
  <c r="AB15" i="2" s="1"/>
  <c r="O17" i="2" l="1" a="1"/>
  <c r="O16" i="2" a="1"/>
  <c r="P16" i="2" a="1"/>
  <c r="P17" i="2" a="1"/>
  <c r="C34" i="3"/>
  <c r="B34" i="3"/>
  <c r="C31" i="3"/>
  <c r="B31" i="3"/>
  <c r="C30" i="3"/>
  <c r="B30" i="3"/>
  <c r="C33" i="3"/>
  <c r="B33" i="3"/>
  <c r="Q16" i="2" l="1"/>
  <c r="Q17" i="2"/>
  <c r="W16" i="2"/>
  <c r="W17" i="2"/>
  <c r="AA16" i="2" l="1"/>
  <c r="AB16" i="2" s="1"/>
  <c r="AA17" i="2"/>
  <c r="AB17" i="2" s="1"/>
  <c r="E34" i="3"/>
  <c r="D34" i="3"/>
  <c r="E31" i="3"/>
  <c r="D31" i="3"/>
  <c r="E30" i="3"/>
  <c r="D30" i="3"/>
  <c r="E33" i="3"/>
  <c r="D33" i="3"/>
  <c r="O19" i="2" l="1" a="1"/>
  <c r="O18" i="2" a="1"/>
  <c r="P19" i="2" a="1"/>
  <c r="P18" i="2" a="1"/>
  <c r="F30" i="3"/>
  <c r="F34" i="3"/>
  <c r="F31" i="3"/>
  <c r="F33" i="3"/>
  <c r="Q18" i="2" l="1"/>
  <c r="W19" i="2"/>
  <c r="Q19" i="2"/>
  <c r="W18" i="2"/>
  <c r="AA19" i="2" l="1"/>
  <c r="AB19" i="2" s="1"/>
  <c r="AA18" i="2"/>
  <c r="AB18" i="2" s="1"/>
  <c r="P21" i="2" l="1" a="1"/>
  <c r="O20" i="2" a="1"/>
  <c r="O21" i="2" a="1"/>
  <c r="P20" i="2" a="1"/>
  <c r="W20" i="2" l="1"/>
  <c r="Q21" i="2"/>
  <c r="W21" i="2"/>
  <c r="Q20" i="2"/>
  <c r="AA20" i="2" l="1"/>
  <c r="AB20" i="2" s="1"/>
  <c r="AA21" i="2"/>
  <c r="AB21" i="2" s="1"/>
  <c r="P23" i="2" a="1"/>
  <c r="O23" i="2" a="1"/>
  <c r="AW3" i="3"/>
  <c r="AV3" i="3"/>
  <c r="O22" i="2" l="1" a="1"/>
  <c r="P22" i="2" a="1"/>
  <c r="W23" i="2"/>
  <c r="Q23" i="2"/>
  <c r="AZ3" i="3"/>
  <c r="AV2" i="3"/>
  <c r="AW2" i="3"/>
  <c r="AV4" i="3"/>
  <c r="AW4" i="3"/>
  <c r="W22" i="2" l="1"/>
  <c r="Q22" i="2"/>
  <c r="AA23" i="2"/>
  <c r="AB23" i="2" s="1"/>
  <c r="AZ4" i="3"/>
  <c r="AZ2" i="3"/>
  <c r="AW6" i="3"/>
  <c r="AV6" i="3"/>
  <c r="AA22" i="2" l="1"/>
  <c r="AB22" i="2" s="1"/>
  <c r="P25" i="2" a="1"/>
  <c r="O24" i="2" a="1"/>
  <c r="P24" i="2" a="1"/>
  <c r="O25" i="2" a="1"/>
  <c r="AZ6" i="3"/>
  <c r="W25" i="2" l="1"/>
  <c r="W24" i="2"/>
  <c r="Q25" i="2"/>
  <c r="Q24" i="2"/>
  <c r="AA24" i="2" l="1"/>
  <c r="AB24" i="2" s="1"/>
  <c r="AA25" i="2"/>
  <c r="AB25" i="2" s="1"/>
  <c r="P26" i="2" l="1" a="1"/>
  <c r="P27" i="2" a="1"/>
  <c r="O26" i="2" a="1"/>
  <c r="O27" i="2" a="1"/>
  <c r="Q26" i="2" l="1"/>
  <c r="Q27" i="2"/>
  <c r="W26" i="2"/>
  <c r="W27" i="2"/>
  <c r="AA26" i="2" l="1"/>
  <c r="AB26" i="2" s="1"/>
  <c r="AA27" i="2"/>
  <c r="AB27" i="2" s="1"/>
  <c r="O29" i="2" l="1" a="1"/>
  <c r="P29" i="2" a="1"/>
  <c r="O28" i="2" a="1"/>
  <c r="P28" i="2" a="1"/>
  <c r="Q28" i="2" l="1"/>
  <c r="Q29" i="2"/>
  <c r="W28" i="2"/>
  <c r="W29" i="2"/>
  <c r="AA28" i="2" l="1"/>
  <c r="AB28" i="2" s="1"/>
  <c r="AA29" i="2"/>
  <c r="AB29" i="2" s="1"/>
  <c r="P32" i="2" a="1"/>
  <c r="P33" i="2" a="1"/>
  <c r="O33" i="2" a="1"/>
  <c r="O32" i="2" a="1"/>
  <c r="P31" i="2" l="1" a="1"/>
  <c r="O31" i="2" a="1"/>
  <c r="P30" i="2" a="1"/>
  <c r="O30" i="2" a="1"/>
  <c r="W32" i="2"/>
  <c r="Q33" i="2"/>
  <c r="Q32" i="2"/>
  <c r="W33" i="2"/>
  <c r="Q31" i="2" l="1"/>
  <c r="W30" i="2"/>
  <c r="W31" i="2"/>
  <c r="Q30" i="2"/>
  <c r="AA32" i="2"/>
  <c r="AB32" i="2" s="1"/>
  <c r="AA33" i="2"/>
  <c r="AB33" i="2" s="1"/>
  <c r="AA31" i="2" l="1"/>
  <c r="AB31" i="2" s="1"/>
  <c r="AA30" i="2"/>
  <c r="AB30" i="2" s="1"/>
  <c r="O35" i="2" a="1"/>
  <c r="O34" i="2" a="1"/>
  <c r="P34" i="2" a="1"/>
  <c r="P35" i="2" a="1"/>
  <c r="O37" i="2" a="1"/>
  <c r="P36" i="2" a="1"/>
  <c r="O36" i="2" a="1"/>
  <c r="P37" i="2" a="1"/>
  <c r="Q34" i="2" l="1"/>
  <c r="Q35" i="2"/>
  <c r="W35" i="2"/>
  <c r="W34" i="2"/>
  <c r="W36" i="2"/>
  <c r="Q37" i="2"/>
  <c r="W37" i="2"/>
  <c r="Q36" i="2"/>
  <c r="AA35" i="2" l="1"/>
  <c r="AB35" i="2" s="1"/>
  <c r="AA34" i="2"/>
  <c r="AB34" i="2" s="1"/>
  <c r="AA37" i="2"/>
  <c r="AB37" i="2" s="1"/>
  <c r="P39" i="2" a="1"/>
  <c r="P38" i="2" a="1"/>
  <c r="O38" i="2" a="1"/>
  <c r="O39" i="2" a="1"/>
  <c r="AA36" i="2"/>
  <c r="AB36" i="2" s="1"/>
  <c r="W38" i="2" l="1"/>
  <c r="Q39" i="2"/>
  <c r="Q38" i="2"/>
  <c r="W39" i="2"/>
  <c r="AA38" i="2" l="1"/>
  <c r="AB38" i="2" s="1"/>
  <c r="AA39" i="2"/>
  <c r="AB39" i="2" s="1"/>
  <c r="P40" i="2" l="1" a="1"/>
  <c r="O41" i="2" a="1"/>
  <c r="P41" i="2" a="1"/>
  <c r="O40" i="2" a="1"/>
  <c r="W41" i="2" l="1"/>
  <c r="W40" i="2"/>
  <c r="Q41" i="2"/>
  <c r="Q40" i="2"/>
  <c r="O43" i="2" a="1"/>
  <c r="O42" i="2" a="1"/>
  <c r="P43" i="2" a="1"/>
  <c r="P42" i="2" a="1"/>
  <c r="AA41" i="2" l="1"/>
  <c r="AB41" i="2" s="1"/>
  <c r="AA40" i="2"/>
  <c r="AB40" i="2" s="1"/>
  <c r="Q43" i="2"/>
  <c r="Q42" i="2"/>
  <c r="W43" i="2"/>
  <c r="W42" i="2"/>
  <c r="AA43" i="2" l="1"/>
  <c r="AB43" i="2" s="1"/>
  <c r="P45" i="2" a="1"/>
  <c r="O44" i="2" a="1"/>
  <c r="P44" i="2" a="1"/>
  <c r="O45" i="2" a="1"/>
  <c r="AA42" i="2"/>
  <c r="AB42" i="2" s="1"/>
  <c r="W44" i="2" l="1"/>
  <c r="W45" i="2"/>
  <c r="Q44" i="2"/>
  <c r="Q45" i="2"/>
  <c r="AA44" i="2" l="1"/>
  <c r="AB44" i="2" s="1"/>
  <c r="AA45" i="2"/>
  <c r="AB45" i="2" s="1"/>
  <c r="O46" i="2" a="1"/>
  <c r="P46" i="2" a="1"/>
  <c r="O47" i="2" a="1"/>
  <c r="P47" i="2" a="1"/>
  <c r="W46" i="2" l="1"/>
  <c r="Q47" i="2"/>
  <c r="Q46" i="2"/>
  <c r="W47" i="2"/>
  <c r="AA46" i="2" l="1"/>
  <c r="AB46" i="2" s="1"/>
  <c r="AA47" i="2"/>
  <c r="AB47" i="2" s="1"/>
  <c r="P49" i="2" a="1"/>
  <c r="O49" i="2" a="1"/>
  <c r="P48" i="2" a="1"/>
  <c r="O48" i="2" a="1"/>
  <c r="W48" i="2" l="1"/>
  <c r="Q49" i="2"/>
  <c r="W49" i="2"/>
  <c r="Q48" i="2"/>
  <c r="AA49" i="2" l="1"/>
  <c r="AB49" i="2" s="1"/>
  <c r="AA48" i="2"/>
  <c r="AB48" i="2" s="1"/>
  <c r="P50" i="2" a="1"/>
  <c r="P51" i="2" a="1"/>
  <c r="O51" i="2" a="1"/>
  <c r="O50" i="2" a="1"/>
  <c r="Q50" i="2" l="1"/>
  <c r="Q51" i="2"/>
  <c r="W51" i="2"/>
  <c r="W50" i="2"/>
  <c r="AA51" i="2" l="1"/>
  <c r="AB51" i="2" s="1"/>
  <c r="AA50" i="2"/>
  <c r="AB50" i="2" s="1"/>
  <c r="O53" i="2" a="1"/>
  <c r="P53" i="2" a="1"/>
  <c r="O52" i="2" a="1"/>
  <c r="P52" i="2" a="1"/>
  <c r="Q53" i="2" l="1"/>
  <c r="W52" i="2"/>
  <c r="Q52" i="2"/>
  <c r="W53" i="2"/>
  <c r="AA52" i="2" l="1"/>
  <c r="AB52" i="2" s="1"/>
  <c r="AA53" i="2"/>
  <c r="AB53" i="2" s="1"/>
  <c r="P55" i="2" l="1" a="1"/>
  <c r="O54" i="2" a="1"/>
  <c r="O55" i="2" a="1"/>
  <c r="P54" i="2" a="1"/>
  <c r="Q55" i="2" l="1"/>
  <c r="W54" i="2"/>
  <c r="W55" i="2"/>
  <c r="Q54" i="2"/>
  <c r="AA55" i="2" l="1"/>
  <c r="AB55" i="2" s="1"/>
  <c r="P57" i="2" a="1"/>
  <c r="P56" i="2" a="1"/>
  <c r="O57" i="2" a="1"/>
  <c r="O56" i="2" a="1"/>
  <c r="AA54" i="2"/>
  <c r="AB54" i="2" s="1"/>
  <c r="Q57" i="2" l="1"/>
  <c r="Q56" i="2"/>
  <c r="W57" i="2"/>
  <c r="W56" i="2"/>
  <c r="AA57" i="2" l="1"/>
  <c r="AB57" i="2" s="1"/>
  <c r="AA56" i="2"/>
  <c r="AB56" i="2" s="1"/>
  <c r="O59" i="2" l="1" a="1"/>
  <c r="P58" i="2" a="1"/>
  <c r="O58" i="2" a="1"/>
  <c r="P59" i="2" a="1"/>
  <c r="O60" i="2" a="1"/>
  <c r="P60" i="2" a="1"/>
  <c r="P61" i="2" a="1"/>
  <c r="O61" i="2" a="1"/>
  <c r="W58" i="2" l="1"/>
  <c r="Q59" i="2"/>
  <c r="W59" i="2"/>
  <c r="Q58" i="2"/>
  <c r="Q60" i="2"/>
  <c r="W61" i="2"/>
  <c r="Q61" i="2"/>
  <c r="W60" i="2"/>
  <c r="AA58" i="2" l="1"/>
  <c r="AB58" i="2" s="1"/>
  <c r="AA59" i="2"/>
  <c r="AB59" i="2" s="1"/>
  <c r="AA60" i="2"/>
  <c r="AB60" i="2" s="1"/>
  <c r="AA61" i="2"/>
  <c r="AB61" i="2" s="1"/>
  <c r="P64" i="2" a="1"/>
  <c r="P65" i="2" a="1"/>
  <c r="O64" i="2" a="1"/>
  <c r="O65" i="2" a="1"/>
  <c r="P63" i="2" l="1" a="1"/>
  <c r="O62" i="2" a="1"/>
  <c r="O63" i="2" a="1"/>
  <c r="P62" i="2" a="1"/>
  <c r="Q65" i="2"/>
  <c r="W64" i="2"/>
  <c r="W65" i="2"/>
  <c r="Q64" i="2"/>
  <c r="W62" i="2" l="1"/>
  <c r="W63" i="2"/>
  <c r="Q63" i="2"/>
  <c r="Q62" i="2"/>
  <c r="AA64" i="2"/>
  <c r="AB64" i="2" s="1"/>
  <c r="AA65" i="2"/>
  <c r="AB65" i="2" s="1"/>
  <c r="AA62" i="2" l="1"/>
  <c r="AB62" i="2" s="1"/>
  <c r="AA63" i="2"/>
  <c r="AB63" i="2" s="1"/>
  <c r="O67" i="2" a="1"/>
  <c r="P66" i="2" a="1"/>
  <c r="P67" i="2" a="1"/>
  <c r="O66" i="2" a="1"/>
  <c r="W67" i="2" l="1"/>
  <c r="W66" i="2"/>
  <c r="Q66" i="2"/>
  <c r="Q67" i="2"/>
  <c r="AA67" i="2" l="1"/>
  <c r="AB67" i="2" s="1"/>
  <c r="AA66" i="2"/>
  <c r="AB66" i="2" s="1"/>
  <c r="P68" i="2" l="1" a="1"/>
  <c r="O68" i="2" a="1"/>
  <c r="P69" i="2" a="1"/>
  <c r="O69" i="2" a="1"/>
  <c r="W68" i="2" l="1"/>
  <c r="Q69" i="2"/>
  <c r="W69" i="2"/>
  <c r="Q68" i="2"/>
  <c r="AA69" i="2" l="1"/>
  <c r="AB69" i="2" s="1"/>
  <c r="AA68" i="2"/>
  <c r="AB68" i="2" s="1"/>
  <c r="O70" i="2" l="1" a="1"/>
  <c r="P70" i="2" a="1"/>
  <c r="O71" i="2" a="1"/>
  <c r="P71" i="2" a="1"/>
  <c r="P73" i="2" a="1"/>
  <c r="O73" i="2" a="1"/>
  <c r="P72" i="2" a="1"/>
  <c r="O72" i="2" a="1"/>
  <c r="W71" i="2" l="1"/>
  <c r="W70" i="2"/>
  <c r="Q70" i="2"/>
  <c r="Q71" i="2"/>
  <c r="Q72" i="2"/>
  <c r="Q73" i="2"/>
  <c r="W73" i="2"/>
  <c r="W72" i="2"/>
  <c r="AA71" i="2" l="1"/>
  <c r="AB71" i="2" s="1"/>
  <c r="AA70" i="2"/>
  <c r="AB70" i="2" s="1"/>
  <c r="AA72" i="2"/>
  <c r="AB72" i="2" s="1"/>
  <c r="AA73" i="2"/>
  <c r="AB73" i="2" s="1"/>
  <c r="P75" i="2" l="1" a="1"/>
  <c r="O74" i="2" a="1"/>
  <c r="P74" i="2" a="1"/>
  <c r="O75" i="2" a="1"/>
  <c r="W74" i="2" l="1"/>
  <c r="Q75" i="2"/>
  <c r="Q74" i="2"/>
  <c r="W75" i="2"/>
  <c r="AA74" i="2" l="1"/>
  <c r="AB74" i="2" s="1"/>
  <c r="AA75" i="2"/>
  <c r="AB75" i="2" s="1"/>
  <c r="P83" i="2" a="1"/>
  <c r="O83" i="2" a="1"/>
  <c r="O82" i="2" a="1"/>
  <c r="P82" i="2" a="1"/>
  <c r="O81" i="2" a="1"/>
  <c r="P80" i="2" a="1"/>
  <c r="P81" i="2" a="1"/>
  <c r="O80" i="2" a="1"/>
  <c r="O78" i="2" l="1" a="1"/>
  <c r="P79" i="2" a="1"/>
  <c r="O79" i="2" a="1"/>
  <c r="P78" i="2" a="1"/>
  <c r="P76" i="2" a="1"/>
  <c r="P77" i="2" a="1"/>
  <c r="O77" i="2" a="1"/>
  <c r="O76" i="2" a="1"/>
  <c r="Q81" i="2"/>
  <c r="Q82" i="2"/>
  <c r="W83" i="2"/>
  <c r="W80" i="2"/>
  <c r="Q83" i="2"/>
  <c r="W82" i="2"/>
  <c r="W81" i="2"/>
  <c r="Q80" i="2"/>
  <c r="W77" i="2" l="1"/>
  <c r="Q76" i="2"/>
  <c r="W78" i="2"/>
  <c r="W79" i="2"/>
  <c r="W76" i="2"/>
  <c r="Q79" i="2"/>
  <c r="Q78" i="2"/>
  <c r="Q77" i="2"/>
  <c r="AA81" i="2"/>
  <c r="AB81" i="2" s="1"/>
  <c r="AA83" i="2"/>
  <c r="AB83" i="2" s="1"/>
  <c r="AA82" i="2"/>
  <c r="AB82" i="2" s="1"/>
  <c r="AA80" i="2"/>
  <c r="AB80" i="2" s="1"/>
  <c r="P86" i="2" a="1"/>
  <c r="O87" i="2" a="1"/>
  <c r="AA77" i="2" l="1"/>
  <c r="AB77" i="2" s="1"/>
  <c r="AA76" i="2"/>
  <c r="AB76" i="2" s="1"/>
  <c r="AA78" i="2"/>
  <c r="AB78" i="2" s="1"/>
  <c r="AA79" i="2"/>
  <c r="AB79" i="2" s="1"/>
  <c r="P84" i="2" a="1"/>
  <c r="O84" i="2" a="1"/>
  <c r="O85" i="2" a="1"/>
  <c r="P85" i="2" a="1"/>
  <c r="O88" i="2" l="1" a="1"/>
  <c r="P89" i="2" a="1"/>
  <c r="O89" i="2" a="1"/>
  <c r="P88" i="2" a="1"/>
  <c r="P87" i="2" a="1"/>
  <c r="O86" i="2" a="1"/>
  <c r="W85" i="2"/>
  <c r="W84" i="2"/>
  <c r="Q84" i="2"/>
  <c r="Q85" i="2"/>
  <c r="AA84" i="2" l="1"/>
  <c r="AB84" i="2" s="1"/>
  <c r="W89" i="2"/>
  <c r="Q89" i="2"/>
  <c r="W88" i="2"/>
  <c r="Q88" i="2"/>
  <c r="W87" i="2"/>
  <c r="Q87" i="2"/>
  <c r="Q86" i="2"/>
  <c r="W86" i="2"/>
  <c r="AA85" i="2"/>
  <c r="AB85" i="2" s="1"/>
  <c r="O91" i="2" a="1"/>
  <c r="O90" i="2" a="1"/>
  <c r="P90" i="2" a="1"/>
  <c r="P91" i="2" a="1"/>
  <c r="AA89" i="2" l="1"/>
  <c r="AB89" i="2" s="1"/>
  <c r="AA88" i="2"/>
  <c r="AB88" i="2" s="1"/>
  <c r="AA87" i="2"/>
  <c r="AB87" i="2" s="1"/>
  <c r="AA86" i="2"/>
  <c r="AB86" i="2" s="1"/>
  <c r="Q90" i="2"/>
  <c r="W91" i="2"/>
  <c r="W90" i="2"/>
  <c r="Q91" i="2"/>
  <c r="AA90" i="2" l="1"/>
  <c r="AB90" i="2" s="1"/>
  <c r="AA91" i="2"/>
  <c r="AB91" i="2" s="1"/>
  <c r="P92" i="2" a="1"/>
  <c r="O93" i="2" a="1"/>
  <c r="O92" i="2" a="1"/>
  <c r="P93" i="2" a="1"/>
  <c r="Q93" i="2" l="1"/>
  <c r="W92" i="2"/>
  <c r="W93" i="2"/>
  <c r="Q92" i="2"/>
  <c r="AA93" i="2" l="1"/>
  <c r="AB93" i="2" s="1"/>
  <c r="AA92" i="2"/>
  <c r="AB92" i="2" s="1"/>
  <c r="O94" i="2" l="1" a="1"/>
  <c r="P94" i="2" a="1"/>
  <c r="P95" i="2" a="1"/>
  <c r="O95" i="2" a="1"/>
  <c r="O97" i="2" a="1"/>
  <c r="P97" i="2" a="1"/>
  <c r="O96" i="2" a="1"/>
  <c r="P96" i="2" a="1"/>
  <c r="W95" i="2" l="1"/>
  <c r="W94" i="2"/>
  <c r="Q95" i="2"/>
  <c r="Q94" i="2"/>
  <c r="W97" i="2"/>
  <c r="W96" i="2"/>
  <c r="Q97" i="2"/>
  <c r="Q96" i="2"/>
  <c r="AA95" i="2" l="1"/>
  <c r="AB95" i="2" s="1"/>
  <c r="AA94" i="2"/>
  <c r="AB94" i="2" s="1"/>
  <c r="AA96" i="2"/>
  <c r="AB96" i="2" s="1"/>
  <c r="AA97" i="2"/>
  <c r="AB97" i="2" s="1"/>
  <c r="P98" i="2" l="1" a="1"/>
  <c r="O99" i="2" a="1"/>
  <c r="O98" i="2" a="1"/>
  <c r="P99" i="2" a="1"/>
  <c r="W99" i="2" l="1"/>
  <c r="Q98" i="2"/>
  <c r="W98" i="2"/>
  <c r="Q99" i="2"/>
  <c r="AA98" i="2" l="1"/>
  <c r="AB98" i="2" s="1"/>
  <c r="AA99" i="2"/>
  <c r="AB99" i="2" s="1"/>
  <c r="P102" i="2" l="1" a="1"/>
  <c r="O101" i="2" a="1"/>
  <c r="P101" i="2" a="1"/>
  <c r="O102" i="2" a="1"/>
  <c r="O100" i="2" a="1"/>
  <c r="P103" i="2" a="1"/>
  <c r="O103" i="2" a="1"/>
  <c r="P100" i="2" a="1"/>
  <c r="W100" i="2" l="1"/>
  <c r="Q102" i="2"/>
  <c r="W101" i="2"/>
  <c r="W103" i="2"/>
  <c r="Q101" i="2"/>
  <c r="W102" i="2"/>
  <c r="Q103" i="2"/>
  <c r="Q100" i="2"/>
  <c r="AA103" i="2" l="1"/>
  <c r="AB103" i="2" s="1"/>
  <c r="AA100" i="2"/>
  <c r="AB100" i="2" s="1"/>
  <c r="AA101" i="2"/>
  <c r="AB101" i="2" s="1"/>
  <c r="AA102" i="2"/>
  <c r="AB102" i="2" s="1"/>
  <c r="O106" i="2" a="1"/>
  <c r="P106" i="2" a="1"/>
  <c r="P107" i="2" a="1"/>
  <c r="O107" i="2" a="1"/>
  <c r="O105" i="2" a="1"/>
  <c r="P105" i="2" a="1"/>
  <c r="O104" i="2" a="1"/>
  <c r="P104" i="2" a="1"/>
  <c r="Q106" i="2" l="1"/>
  <c r="Q107" i="2"/>
  <c r="W105" i="2"/>
  <c r="Q104" i="2"/>
  <c r="W106" i="2"/>
  <c r="Q105" i="2"/>
  <c r="W104" i="2"/>
  <c r="W107" i="2"/>
  <c r="AA105" i="2" l="1"/>
  <c r="AB105" i="2" s="1"/>
  <c r="AA106" i="2"/>
  <c r="AB106" i="2" s="1"/>
  <c r="AA104" i="2"/>
  <c r="AB104" i="2" s="1"/>
  <c r="AA107" i="2"/>
  <c r="AB107" i="2" s="1"/>
  <c r="P110" i="2" a="1"/>
  <c r="O110" i="2" a="1"/>
  <c r="P111" i="2" a="1"/>
  <c r="P108" i="2" a="1"/>
  <c r="P109" i="2" a="1"/>
  <c r="O108" i="2" a="1"/>
  <c r="O109" i="2" a="1"/>
  <c r="O111" i="2" a="1"/>
  <c r="Q109" i="2" l="1"/>
  <c r="Q108" i="2"/>
  <c r="W110" i="2"/>
  <c r="W111" i="2"/>
  <c r="Q111" i="2"/>
  <c r="W108" i="2"/>
  <c r="W109" i="2"/>
  <c r="Q110" i="2"/>
  <c r="AA109" i="2" l="1"/>
  <c r="AB109" i="2" s="1"/>
  <c r="AA111" i="2"/>
  <c r="AB111" i="2" s="1"/>
  <c r="AA108" i="2"/>
  <c r="AB108" i="2" s="1"/>
  <c r="AA110" i="2"/>
  <c r="AB110" i="2" s="1"/>
  <c r="P112" i="2" a="1"/>
  <c r="P113" i="2" a="1"/>
  <c r="O113" i="2" a="1"/>
  <c r="O112" i="2" a="1"/>
  <c r="Q113" i="2" l="1"/>
  <c r="Q112" i="2"/>
  <c r="W113" i="2"/>
  <c r="W112" i="2"/>
  <c r="AA113" i="2" l="1"/>
  <c r="AB113" i="2" s="1"/>
  <c r="AA112" i="2"/>
  <c r="AB112" i="2" s="1"/>
  <c r="O114" i="2" a="1"/>
  <c r="O115" i="2" a="1"/>
  <c r="P114" i="2" a="1"/>
  <c r="P115" i="2" a="1"/>
  <c r="O117" i="2" a="1"/>
  <c r="P117" i="2" a="1"/>
  <c r="O116" i="2" a="1"/>
  <c r="P116" i="2" a="1"/>
  <c r="Q115" i="2" l="1"/>
  <c r="Q117" i="2"/>
  <c r="W114" i="2"/>
  <c r="Q116" i="2"/>
  <c r="Q114" i="2"/>
  <c r="W116" i="2"/>
  <c r="W115" i="2"/>
  <c r="W117" i="2"/>
  <c r="AA116" i="2" l="1"/>
  <c r="AB116" i="2" s="1"/>
  <c r="AA115" i="2"/>
  <c r="AB115" i="2" s="1"/>
  <c r="AA117" i="2"/>
  <c r="AB117" i="2" s="1"/>
  <c r="AA114" i="2"/>
  <c r="AB114" i="2" s="1"/>
  <c r="O118" i="2" a="1"/>
  <c r="P120" i="2" a="1"/>
  <c r="O119" i="2" a="1"/>
  <c r="P118" i="2" a="1"/>
  <c r="P119" i="2" a="1"/>
  <c r="P121" i="2" a="1"/>
  <c r="O121" i="2" a="1"/>
  <c r="O120" i="2" a="1"/>
  <c r="W121" i="2" l="1"/>
  <c r="W119" i="2"/>
  <c r="W120" i="2"/>
  <c r="Q118" i="2"/>
  <c r="W118" i="2"/>
  <c r="Q119" i="2"/>
  <c r="Q121" i="2"/>
  <c r="Q120" i="2"/>
  <c r="AA119" i="2" l="1"/>
  <c r="AB119" i="2" s="1"/>
  <c r="AA120" i="2"/>
  <c r="AB120" i="2" s="1"/>
  <c r="AA121" i="2"/>
  <c r="AB121" i="2" s="1"/>
  <c r="AA118" i="2"/>
  <c r="AB118" i="2" s="1"/>
  <c r="P125" i="2" a="1"/>
  <c r="P123" i="2" a="1"/>
  <c r="P124" i="2" a="1"/>
  <c r="O124" i="2" a="1"/>
  <c r="O123" i="2" a="1"/>
  <c r="P122" i="2" a="1"/>
  <c r="O125" i="2" a="1"/>
  <c r="O122" i="2" a="1"/>
  <c r="O126" i="2" a="1"/>
  <c r="P126" i="2" a="1"/>
  <c r="O127" i="2" a="1"/>
  <c r="P127" i="2" a="1"/>
  <c r="O128" i="2" a="1"/>
  <c r="O129" i="2" a="1"/>
  <c r="P128" i="2" a="1"/>
  <c r="P129" i="2" a="1"/>
  <c r="Q126" i="2" l="1"/>
  <c r="Q127" i="2"/>
  <c r="W122" i="2"/>
  <c r="W124" i="2"/>
  <c r="Q129" i="2"/>
  <c r="Q125" i="2"/>
  <c r="Q123" i="2"/>
  <c r="Q128" i="2"/>
  <c r="W123" i="2"/>
  <c r="Q122" i="2"/>
  <c r="W125" i="2"/>
  <c r="W127" i="2"/>
  <c r="W126" i="2"/>
  <c r="W128" i="2"/>
  <c r="W129" i="2"/>
  <c r="Q124" i="2"/>
  <c r="AA126" i="2" l="1"/>
  <c r="AB126" i="2" s="1"/>
  <c r="AA122" i="2"/>
  <c r="AB122" i="2" s="1"/>
  <c r="AA127" i="2"/>
  <c r="AB127" i="2" s="1"/>
  <c r="AA123" i="2"/>
  <c r="AB123" i="2" s="1"/>
  <c r="AA124" i="2"/>
  <c r="AB124" i="2" s="1"/>
  <c r="AA125" i="2"/>
  <c r="AB125" i="2" s="1"/>
  <c r="AA129" i="2"/>
  <c r="AB129" i="2" s="1"/>
  <c r="AA128" i="2"/>
  <c r="AB128" i="2" s="1"/>
  <c r="P133" i="2" a="1"/>
  <c r="O131" i="2" a="1"/>
  <c r="O132" i="2" a="1"/>
  <c r="P130" i="2" a="1"/>
  <c r="P132" i="2" a="1"/>
  <c r="O133" i="2" a="1"/>
  <c r="O130" i="2" a="1"/>
  <c r="P131" i="2" a="1"/>
  <c r="P135" i="2" a="1"/>
  <c r="O134" i="2" a="1"/>
  <c r="P134" i="2" a="1"/>
  <c r="O135" i="2" a="1"/>
  <c r="W133" i="2" l="1"/>
  <c r="Q130" i="2"/>
  <c r="Q132" i="2"/>
  <c r="Q131" i="2"/>
  <c r="Q135" i="2"/>
  <c r="W134" i="2"/>
  <c r="Q133" i="2"/>
  <c r="W132" i="2"/>
  <c r="W130" i="2"/>
  <c r="Q134" i="2"/>
  <c r="W135" i="2"/>
  <c r="W131" i="2"/>
  <c r="AA133" i="2" l="1"/>
  <c r="AB133" i="2" s="1"/>
  <c r="AA134" i="2"/>
  <c r="AB134" i="2" s="1"/>
  <c r="AA135" i="2"/>
  <c r="AB135" i="2" s="1"/>
  <c r="AA131" i="2"/>
  <c r="AB131" i="2" s="1"/>
  <c r="AA132" i="2"/>
  <c r="AB132" i="2" s="1"/>
  <c r="AA130" i="2"/>
  <c r="AB130" i="2" s="1"/>
  <c r="O137" i="2" a="1"/>
  <c r="P137" i="2" a="1"/>
  <c r="P136" i="2" a="1"/>
  <c r="O136" i="2" a="1"/>
  <c r="W137" i="2" l="1"/>
  <c r="W136" i="2"/>
  <c r="Q137" i="2"/>
  <c r="Q136" i="2"/>
  <c r="AA137" i="2" l="1"/>
  <c r="AB137" i="2" s="1"/>
  <c r="AA136" i="2"/>
  <c r="AB136" i="2" s="1"/>
  <c r="O139" i="2" a="1"/>
  <c r="P139" i="2" a="1"/>
  <c r="P138" i="2" a="1"/>
  <c r="O138" i="2" a="1"/>
  <c r="O144" i="2" a="1"/>
  <c r="P143" i="2" a="1"/>
  <c r="O142" i="2" a="1"/>
  <c r="P142" i="2" a="1"/>
  <c r="O140" i="2" a="1"/>
  <c r="P145" i="2" a="1"/>
  <c r="O141" i="2" a="1"/>
  <c r="P144" i="2" a="1"/>
  <c r="P140" i="2" a="1"/>
  <c r="O145" i="2" a="1"/>
  <c r="P141" i="2" a="1"/>
  <c r="O143" i="2" a="1"/>
  <c r="O147" i="2" a="1"/>
  <c r="P146" i="2" a="1"/>
  <c r="P147" i="2" a="1"/>
  <c r="O146" i="2" a="1"/>
  <c r="Q139" i="2" l="1"/>
  <c r="Q141" i="2"/>
  <c r="Q142" i="2"/>
  <c r="W140" i="2"/>
  <c r="Q138" i="2"/>
  <c r="Q144" i="2"/>
  <c r="W145" i="2"/>
  <c r="W143" i="2"/>
  <c r="W139" i="2"/>
  <c r="W138" i="2"/>
  <c r="W144" i="2"/>
  <c r="Q143" i="2"/>
  <c r="W142" i="2"/>
  <c r="Q145" i="2"/>
  <c r="W141" i="2"/>
  <c r="Q140" i="2"/>
  <c r="Q147" i="2"/>
  <c r="W146" i="2"/>
  <c r="W147" i="2"/>
  <c r="Q146" i="2"/>
  <c r="AA139" i="2" l="1"/>
  <c r="AB139" i="2" s="1"/>
  <c r="AA141" i="2"/>
  <c r="AB141" i="2" s="1"/>
  <c r="AA142" i="2"/>
  <c r="AB142" i="2" s="1"/>
  <c r="AA138" i="2"/>
  <c r="AB138" i="2" s="1"/>
  <c r="AA140" i="2"/>
  <c r="AB140" i="2" s="1"/>
  <c r="AA144" i="2"/>
  <c r="AB144" i="2" s="1"/>
  <c r="AA143" i="2"/>
  <c r="AB143" i="2" s="1"/>
  <c r="AA145" i="2"/>
  <c r="AB145" i="2" s="1"/>
  <c r="AA147" i="2"/>
  <c r="AB147" i="2" s="1"/>
  <c r="AA146" i="2"/>
  <c r="AB146" i="2" s="1"/>
  <c r="O149" i="2" l="1" a="1"/>
  <c r="P149" i="2" a="1"/>
  <c r="P148" i="2" a="1"/>
  <c r="O148" i="2" a="1"/>
  <c r="W149" i="2" l="1"/>
  <c r="Q148" i="2"/>
  <c r="Q149" i="2"/>
  <c r="W148" i="2"/>
  <c r="AA149" i="2" l="1"/>
  <c r="AB149" i="2" s="1"/>
  <c r="AA148" i="2"/>
  <c r="AB148" i="2" s="1"/>
  <c r="O150" i="2" a="1"/>
  <c r="P150" i="2" a="1"/>
  <c r="O151" i="2" a="1"/>
  <c r="P151" i="2" a="1"/>
  <c r="O155" i="2" a="1"/>
  <c r="P155" i="2" a="1"/>
  <c r="O154" i="2" a="1"/>
  <c r="O153" i="2" a="1"/>
  <c r="P154" i="2" a="1"/>
  <c r="P153" i="2" a="1"/>
  <c r="P152" i="2" a="1"/>
  <c r="O152" i="2" a="1"/>
  <c r="Q150" i="2" l="1"/>
  <c r="Q151" i="2"/>
  <c r="Q155" i="2"/>
  <c r="Q154" i="2"/>
  <c r="W152" i="2"/>
  <c r="W153" i="2"/>
  <c r="W150" i="2"/>
  <c r="W151" i="2"/>
  <c r="W155" i="2"/>
  <c r="W154" i="2"/>
  <c r="Q153" i="2"/>
  <c r="Q152" i="2"/>
  <c r="AA150" i="2" l="1"/>
  <c r="AB150" i="2" s="1"/>
  <c r="AA151" i="2"/>
  <c r="AB151" i="2" s="1"/>
  <c r="AA155" i="2"/>
  <c r="AB155" i="2" s="1"/>
  <c r="AA154" i="2"/>
  <c r="AB154" i="2" s="1"/>
  <c r="AA153" i="2"/>
  <c r="AB153" i="2" s="1"/>
  <c r="AA152" i="2"/>
  <c r="AB152" i="2" s="1"/>
  <c r="O157" i="2" a="1"/>
  <c r="P156" i="2" a="1"/>
  <c r="P157" i="2" a="1"/>
  <c r="O156" i="2" a="1"/>
  <c r="Q156" i="2" l="1"/>
  <c r="Q157" i="2"/>
  <c r="W157" i="2"/>
  <c r="W156" i="2"/>
  <c r="O162" i="2" a="1"/>
  <c r="P163" i="2" a="1"/>
  <c r="P162" i="2" a="1"/>
  <c r="O163" i="2" a="1"/>
  <c r="AA156" i="2" l="1"/>
  <c r="AB156" i="2" s="1"/>
  <c r="AA157" i="2"/>
  <c r="AB157" i="2" s="1"/>
  <c r="P158" i="2" a="1"/>
  <c r="O159" i="2" a="1"/>
  <c r="P159" i="2" a="1"/>
  <c r="O158" i="2" a="1"/>
  <c r="O161" i="2" a="1"/>
  <c r="P160" i="2" a="1"/>
  <c r="O160" i="2" a="1"/>
  <c r="P161" i="2" a="1"/>
  <c r="Q162" i="2"/>
  <c r="W163" i="2"/>
  <c r="W162" i="2"/>
  <c r="Q163" i="2"/>
  <c r="W161" i="2" l="1"/>
  <c r="W160" i="2"/>
  <c r="W159" i="2"/>
  <c r="W158" i="2"/>
  <c r="Q158" i="2"/>
  <c r="Q159" i="2"/>
  <c r="Q160" i="2"/>
  <c r="Q161" i="2"/>
  <c r="AA162" i="2"/>
  <c r="AB162" i="2" s="1"/>
  <c r="AA163" i="2"/>
  <c r="AB163" i="2" s="1"/>
  <c r="AA158" i="2" l="1"/>
  <c r="AB158" i="2" s="1"/>
  <c r="AA159" i="2"/>
  <c r="AB159" i="2" s="1"/>
  <c r="AA161" i="2"/>
  <c r="AB161" i="2" s="1"/>
  <c r="AA160" i="2"/>
  <c r="AB160" i="2" s="1"/>
  <c r="O164" i="2" a="1"/>
  <c r="O165" i="2" a="1"/>
  <c r="P165" i="2" a="1"/>
  <c r="P164" i="2" a="1"/>
  <c r="Q164" i="2" l="1"/>
  <c r="W165" i="2"/>
  <c r="W164" i="2"/>
  <c r="Q165" i="2"/>
  <c r="AA164" i="2" l="1"/>
  <c r="AB164" i="2" s="1"/>
  <c r="AA165" i="2"/>
  <c r="AB165" i="2" s="1"/>
  <c r="P166" i="2" l="1" a="1"/>
  <c r="P167" i="2" a="1"/>
  <c r="O166" i="2" a="1"/>
  <c r="P168" i="2" a="1"/>
  <c r="O167" i="2" a="1"/>
  <c r="O169" i="2" a="1"/>
  <c r="O168" i="2" a="1"/>
  <c r="P169" i="2" a="1"/>
  <c r="P170" i="2" a="1"/>
  <c r="P171" i="2" a="1"/>
  <c r="O170" i="2" a="1"/>
  <c r="O171" i="2" a="1"/>
  <c r="Q168" i="2" l="1"/>
  <c r="Q167" i="2"/>
  <c r="Q166" i="2"/>
  <c r="W169" i="2"/>
  <c r="W166" i="2"/>
  <c r="W167" i="2"/>
  <c r="W168" i="2"/>
  <c r="Q169" i="2"/>
  <c r="W170" i="2"/>
  <c r="W171" i="2"/>
  <c r="Q170" i="2"/>
  <c r="Q171" i="2"/>
  <c r="AA166" i="2" l="1"/>
  <c r="AB166" i="2" s="1"/>
  <c r="AA168" i="2"/>
  <c r="AB168" i="2" s="1"/>
  <c r="AA167" i="2"/>
  <c r="AB167" i="2" s="1"/>
  <c r="AA170" i="2"/>
  <c r="AB170" i="2" s="1"/>
  <c r="AA169" i="2"/>
  <c r="AB169" i="2" s="1"/>
  <c r="AA171" i="2"/>
  <c r="AB171" i="2" s="1"/>
  <c r="P172" i="2" l="1" a="1"/>
  <c r="O172" i="2" a="1"/>
  <c r="P173" i="2" a="1"/>
  <c r="O173" i="2" a="1"/>
  <c r="Q172" i="2" l="1"/>
  <c r="W173" i="2"/>
  <c r="W172" i="2"/>
  <c r="Q173" i="2"/>
  <c r="AA173" i="2" l="1"/>
  <c r="AB173" i="2" s="1"/>
  <c r="AA172" i="2"/>
  <c r="AB172" i="2" s="1"/>
  <c r="P174" i="2" a="1"/>
  <c r="O174" i="2" a="1"/>
  <c r="P175" i="2" a="1"/>
  <c r="O175" i="2" a="1"/>
  <c r="P176" i="2" a="1"/>
  <c r="O176" i="2" a="1"/>
  <c r="P177" i="2" a="1"/>
  <c r="O177" i="2" a="1"/>
  <c r="W174" i="2" l="1"/>
  <c r="Q175" i="2"/>
  <c r="Q176" i="2"/>
  <c r="Q177" i="2"/>
  <c r="Q174" i="2"/>
  <c r="AA174" i="2" s="1"/>
  <c r="AB174" i="2" s="1"/>
  <c r="W175" i="2"/>
  <c r="W176" i="2"/>
  <c r="W177" i="2"/>
  <c r="P178" i="2" a="1"/>
  <c r="O179" i="2" a="1"/>
  <c r="P179" i="2" a="1"/>
  <c r="O178" i="2" a="1"/>
  <c r="AA175" i="2" l="1"/>
  <c r="AB175" i="2" s="1"/>
  <c r="AA176" i="2"/>
  <c r="AB176" i="2" s="1"/>
  <c r="AA177" i="2"/>
  <c r="AB177" i="2" s="1"/>
  <c r="O181" i="2" a="1"/>
  <c r="O180" i="2" a="1"/>
  <c r="P181" i="2" a="1"/>
  <c r="P180" i="2" a="1"/>
  <c r="W178" i="2"/>
  <c r="W179" i="2"/>
  <c r="Q178" i="2"/>
  <c r="Q179" i="2"/>
  <c r="Q180" i="2" l="1"/>
  <c r="W181" i="2"/>
  <c r="Q181" i="2"/>
  <c r="W180" i="2"/>
  <c r="AA178" i="2"/>
  <c r="AB178" i="2" s="1"/>
  <c r="O182" i="2" a="1"/>
  <c r="P183" i="2" a="1"/>
  <c r="P182" i="2" a="1"/>
  <c r="O183" i="2" a="1"/>
  <c r="AA179" i="2"/>
  <c r="AB179" i="2" s="1"/>
  <c r="AA180" i="2" l="1"/>
  <c r="AB180" i="2" s="1"/>
  <c r="AA181" i="2"/>
  <c r="AB181" i="2" s="1"/>
  <c r="W182" i="2"/>
  <c r="Q183" i="2"/>
  <c r="Q182" i="2"/>
  <c r="W183" i="2"/>
  <c r="AA182" i="2" l="1"/>
  <c r="AB182" i="2" s="1"/>
  <c r="AA183" i="2"/>
  <c r="AB183" i="2" s="1"/>
  <c r="O185" i="2" l="1" a="1"/>
  <c r="P186" i="2" a="1"/>
  <c r="P185" i="2" a="1"/>
  <c r="P187" i="2" a="1"/>
  <c r="O184" i="2" a="1"/>
  <c r="O186" i="2" a="1"/>
  <c r="O187" i="2" a="1"/>
  <c r="P184" i="2" a="1"/>
  <c r="W184" i="2" l="1"/>
  <c r="Q186" i="2"/>
  <c r="Q185" i="2"/>
  <c r="W187" i="2"/>
  <c r="W185" i="2"/>
  <c r="Q187" i="2"/>
  <c r="W186" i="2"/>
  <c r="Q184" i="2"/>
  <c r="AA185" i="2" l="1"/>
  <c r="AB185" i="2" s="1"/>
  <c r="AA184" i="2"/>
  <c r="AB184" i="2" s="1"/>
  <c r="AA187" i="2"/>
  <c r="AB187" i="2" s="1"/>
  <c r="AA186" i="2"/>
  <c r="AB186" i="2" s="1"/>
  <c r="P189" i="2" a="1"/>
  <c r="O189" i="2" a="1"/>
  <c r="P188" i="2" a="1"/>
  <c r="O188" i="2" a="1"/>
  <c r="O191" i="2" a="1"/>
  <c r="O190" i="2" a="1"/>
  <c r="P191" i="2" a="1"/>
  <c r="P190" i="2" a="1"/>
  <c r="P192" i="2" a="1"/>
  <c r="P193" i="2" a="1"/>
  <c r="O192" i="2" a="1"/>
  <c r="O193" i="2" a="1"/>
  <c r="W190" i="2" l="1"/>
  <c r="W188" i="2"/>
  <c r="W189" i="2"/>
  <c r="Q191" i="2"/>
  <c r="Q189" i="2"/>
  <c r="Q188" i="2"/>
  <c r="W191" i="2"/>
  <c r="W193" i="2"/>
  <c r="Q190" i="2"/>
  <c r="W192" i="2"/>
  <c r="Q193" i="2"/>
  <c r="Q192" i="2"/>
  <c r="AA188" i="2" l="1"/>
  <c r="AB188" i="2" s="1"/>
  <c r="AA190" i="2"/>
  <c r="AB190" i="2" s="1"/>
  <c r="AA191" i="2"/>
  <c r="AB191" i="2" s="1"/>
  <c r="AA189" i="2"/>
  <c r="AB189" i="2" s="1"/>
  <c r="AA193" i="2"/>
  <c r="AB193" i="2" s="1"/>
  <c r="O194" i="2" a="1"/>
  <c r="O195" i="2" a="1"/>
  <c r="P194" i="2" a="1"/>
  <c r="P195" i="2" a="1"/>
  <c r="AA192" i="2"/>
  <c r="AB192" i="2" s="1"/>
  <c r="Q194" i="2" l="1"/>
  <c r="Q195" i="2"/>
  <c r="W195" i="2"/>
  <c r="W194" i="2"/>
  <c r="AA195" i="2" l="1"/>
  <c r="AB195" i="2" s="1"/>
  <c r="AA194" i="2"/>
  <c r="AB194" i="2" s="1"/>
  <c r="O196" i="2" a="1"/>
  <c r="O197" i="2" a="1"/>
  <c r="P197" i="2" a="1"/>
  <c r="P196" i="2" a="1"/>
  <c r="P201" i="2" a="1"/>
  <c r="O200" i="2" a="1"/>
  <c r="P198" i="2" a="1"/>
  <c r="O199" i="2" a="1"/>
  <c r="P199" i="2" a="1"/>
  <c r="P200" i="2" a="1"/>
  <c r="O198" i="2" a="1"/>
  <c r="O201" i="2" a="1"/>
  <c r="W197" i="2" l="1"/>
  <c r="W201" i="2"/>
  <c r="Q196" i="2"/>
  <c r="Q200" i="2"/>
  <c r="W199" i="2"/>
  <c r="W198" i="2"/>
  <c r="W196" i="2"/>
  <c r="Q197" i="2"/>
  <c r="Q201" i="2"/>
  <c r="W200" i="2"/>
  <c r="Q198" i="2"/>
  <c r="Q199" i="2"/>
  <c r="O205" i="2" a="1"/>
  <c r="O204" i="2" a="1"/>
  <c r="P205" i="2" a="1"/>
  <c r="P204" i="2" a="1"/>
  <c r="P203" i="2" a="1"/>
  <c r="P202" i="2" a="1"/>
  <c r="O203" i="2" a="1"/>
  <c r="O202" i="2" a="1"/>
  <c r="O207" i="2" a="1"/>
  <c r="P206" i="2" a="1"/>
  <c r="O206" i="2" a="1"/>
  <c r="P207" i="2" a="1"/>
  <c r="AA196" i="2" l="1"/>
  <c r="AB196" i="2" s="1"/>
  <c r="AA197" i="2"/>
  <c r="AB197" i="2" s="1"/>
  <c r="AA201" i="2"/>
  <c r="AB201" i="2" s="1"/>
  <c r="AA200" i="2"/>
  <c r="AB200" i="2" s="1"/>
  <c r="AA198" i="2"/>
  <c r="AB198" i="2" s="1"/>
  <c r="AA199" i="2"/>
  <c r="AB199" i="2" s="1"/>
  <c r="Q204" i="2"/>
  <c r="W205" i="2"/>
  <c r="W204" i="2"/>
  <c r="Q202" i="2"/>
  <c r="Q205" i="2"/>
  <c r="Q203" i="2"/>
  <c r="W203" i="2"/>
  <c r="W202" i="2"/>
  <c r="W206" i="2"/>
  <c r="W207" i="2"/>
  <c r="Q206" i="2"/>
  <c r="Q207" i="2"/>
  <c r="AA204" i="2" l="1"/>
  <c r="AB204" i="2" s="1"/>
  <c r="AA203" i="2"/>
  <c r="AB203" i="2" s="1"/>
  <c r="AA205" i="2"/>
  <c r="AB205" i="2" s="1"/>
  <c r="AA202" i="2"/>
  <c r="AB202" i="2" s="1"/>
  <c r="AA207" i="2"/>
  <c r="AB207" i="2" s="1"/>
  <c r="AA206" i="2"/>
  <c r="AB206" i="2" s="1"/>
  <c r="O209" i="2" a="1"/>
  <c r="O208" i="2" a="1"/>
  <c r="P209" i="2" a="1"/>
  <c r="P208" i="2" a="1"/>
  <c r="Q208" i="2" l="1"/>
  <c r="W209" i="2"/>
  <c r="W208" i="2"/>
  <c r="Q209" i="2"/>
  <c r="AA208" i="2" l="1"/>
  <c r="AB208" i="2" s="1"/>
  <c r="AA209" i="2"/>
  <c r="AB209" i="2" s="1"/>
  <c r="O211" i="2" l="1" a="1"/>
  <c r="O210" i="2" a="1"/>
  <c r="P211" i="2" a="1"/>
  <c r="P210" i="2" a="1"/>
  <c r="W210" i="2" l="1"/>
  <c r="Q211" i="2"/>
  <c r="W211" i="2"/>
  <c r="Q210" i="2"/>
  <c r="AA210" i="2" l="1"/>
  <c r="AB210" i="2" s="1"/>
  <c r="AA211" i="2"/>
  <c r="AB211" i="2" s="1"/>
  <c r="P212" i="2" l="1" a="1"/>
  <c r="O212" i="2" a="1"/>
  <c r="O213" i="2" a="1"/>
  <c r="P213" i="2" a="1"/>
  <c r="P218" i="2" a="1"/>
  <c r="W213" i="2" l="1"/>
  <c r="W212" i="2"/>
  <c r="Q213" i="2"/>
  <c r="P215" i="2" a="1"/>
  <c r="P214" i="2" a="1"/>
  <c r="O215" i="2" a="1"/>
  <c r="O214" i="2" a="1"/>
  <c r="Q212" i="2"/>
  <c r="O219" i="2" a="1"/>
  <c r="P219" i="2" a="1"/>
  <c r="O218" i="2" a="1"/>
  <c r="P216" i="2" a="1"/>
  <c r="O217" i="2" a="1"/>
  <c r="AA213" i="2" l="1"/>
  <c r="AB213" i="2" s="1"/>
  <c r="AA212" i="2"/>
  <c r="AB212" i="2" s="1"/>
  <c r="W214" i="2"/>
  <c r="W219" i="2"/>
  <c r="Q215" i="2"/>
  <c r="Q219" i="2"/>
  <c r="W215" i="2"/>
  <c r="Q214" i="2"/>
  <c r="W218" i="2"/>
  <c r="Q218" i="2"/>
  <c r="O216" i="2" l="1" a="1"/>
  <c r="P217" i="2" a="1"/>
  <c r="AA219" i="2"/>
  <c r="AB219" i="2" s="1"/>
  <c r="AA215" i="2"/>
  <c r="AB215" i="2" s="1"/>
  <c r="AA214" i="2"/>
  <c r="AB214" i="2" s="1"/>
  <c r="AA218" i="2"/>
  <c r="AB218" i="2" s="1"/>
  <c r="P221" i="2" a="1"/>
  <c r="P220" i="2" a="1"/>
  <c r="O221" i="2" a="1"/>
  <c r="O220" i="2" a="1"/>
  <c r="P222" i="2" a="1"/>
  <c r="O223" i="2" a="1"/>
  <c r="O222" i="2" a="1"/>
  <c r="P223" i="2" a="1"/>
  <c r="W216" i="2" l="1"/>
  <c r="Q216" i="2"/>
  <c r="W217" i="2"/>
  <c r="Q217" i="2"/>
  <c r="O225" i="2" a="1"/>
  <c r="P224" i="2" a="1"/>
  <c r="Q221" i="2"/>
  <c r="Q220" i="2"/>
  <c r="W221" i="2"/>
  <c r="W220" i="2"/>
  <c r="W222" i="2"/>
  <c r="W223" i="2"/>
  <c r="Q222" i="2"/>
  <c r="Q223" i="2"/>
  <c r="AA217" i="2" l="1"/>
  <c r="AB217" i="2" s="1"/>
  <c r="AA221" i="2"/>
  <c r="AB221" i="2" s="1"/>
  <c r="AA216" i="2"/>
  <c r="AB216" i="2" s="1"/>
  <c r="AA220" i="2"/>
  <c r="AB220" i="2" s="1"/>
  <c r="AA222" i="2"/>
  <c r="AB222" i="2" s="1"/>
  <c r="AA223" i="2"/>
  <c r="AB223" i="2" s="1"/>
  <c r="O227" i="2" a="1"/>
  <c r="O226" i="2" a="1"/>
  <c r="P226" i="2" a="1"/>
  <c r="P227" i="2" a="1"/>
  <c r="P225" i="2" l="1" a="1"/>
  <c r="O224" i="2" a="1"/>
  <c r="W227" i="2"/>
  <c r="W226" i="2"/>
  <c r="Q227" i="2"/>
  <c r="Q226" i="2"/>
  <c r="Q225" i="2" l="1"/>
  <c r="W225" i="2"/>
  <c r="W224" i="2"/>
  <c r="Q224" i="2"/>
  <c r="AA227" i="2"/>
  <c r="AB227" i="2" s="1"/>
  <c r="AA226" i="2"/>
  <c r="AB226" i="2" s="1"/>
  <c r="AA225" i="2" l="1"/>
  <c r="AB225" i="2" s="1"/>
  <c r="AA224" i="2"/>
  <c r="AB224" i="2" s="1"/>
  <c r="O229" i="2" a="1"/>
  <c r="P228" i="2" a="1"/>
  <c r="P229" i="2" a="1"/>
  <c r="O228" i="2" a="1"/>
  <c r="W228" i="2" l="1"/>
  <c r="Q229" i="2"/>
  <c r="Q228" i="2"/>
  <c r="W229" i="2"/>
  <c r="AA228" i="2" l="1"/>
  <c r="AB228" i="2" s="1"/>
  <c r="AA229" i="2"/>
  <c r="AB229" i="2" s="1"/>
  <c r="O231" i="2" a="1"/>
  <c r="P230" i="2" a="1"/>
  <c r="O230" i="2" a="1"/>
  <c r="P231" i="2" a="1"/>
  <c r="O232" i="2" a="1"/>
  <c r="P232" i="2" a="1"/>
  <c r="P233" i="2" a="1"/>
  <c r="O233" i="2" a="1"/>
  <c r="W231" i="2" l="1"/>
  <c r="Q230" i="2"/>
  <c r="W230" i="2"/>
  <c r="Q231" i="2"/>
  <c r="Q233" i="2"/>
  <c r="W232" i="2"/>
  <c r="Q232" i="2"/>
  <c r="W233" i="2"/>
  <c r="AA230" i="2" l="1"/>
  <c r="AB230" i="2" s="1"/>
  <c r="AA231" i="2"/>
  <c r="AB231" i="2" s="1"/>
  <c r="AA232" i="2"/>
  <c r="AB232" i="2" s="1"/>
  <c r="AA233" i="2"/>
  <c r="AB233" i="2" s="1"/>
  <c r="P234" i="2" l="1" a="1"/>
  <c r="P235" i="2" a="1"/>
  <c r="O234" i="2" a="1"/>
  <c r="O235" i="2" a="1"/>
  <c r="Q234" i="2" l="1"/>
  <c r="Q235" i="2"/>
  <c r="W234" i="2"/>
  <c r="W235" i="2"/>
  <c r="AA234" i="2" l="1"/>
  <c r="AB234" i="2" s="1"/>
  <c r="AA235" i="2"/>
  <c r="AB235" i="2" s="1"/>
  <c r="P239" i="2" l="1" a="1"/>
  <c r="P238" i="2" a="1"/>
  <c r="O239" i="2" a="1"/>
  <c r="O238" i="2" a="1"/>
  <c r="P236" i="2" a="1"/>
  <c r="P237" i="2" a="1"/>
  <c r="O236" i="2" a="1"/>
  <c r="O237" i="2" a="1"/>
  <c r="Q237" i="2" l="1"/>
  <c r="W239" i="2"/>
  <c r="W236" i="2"/>
  <c r="Q238" i="2"/>
  <c r="Q239" i="2"/>
  <c r="W238" i="2"/>
  <c r="Q236" i="2"/>
  <c r="W237" i="2"/>
  <c r="AA239" i="2" l="1"/>
  <c r="AB239" i="2" s="1"/>
  <c r="O243" i="2" a="1"/>
  <c r="P242" i="2" a="1"/>
  <c r="AA238" i="2"/>
  <c r="AB238" i="2" s="1"/>
  <c r="AA237" i="2"/>
  <c r="AB237" i="2" s="1"/>
  <c r="AA236" i="2"/>
  <c r="AB236" i="2" s="1"/>
  <c r="O247" i="2" a="1"/>
  <c r="O249" i="2" a="1"/>
  <c r="O246" i="2" a="1"/>
  <c r="O245" i="2" a="1"/>
  <c r="P248" i="2" a="1"/>
  <c r="P247" i="2" a="1"/>
  <c r="P246" i="2" a="1"/>
  <c r="P244" i="2" a="1"/>
  <c r="O248" i="2" a="1"/>
  <c r="P249" i="2" a="1"/>
  <c r="O240" i="2" l="1" a="1"/>
  <c r="P241" i="2" a="1"/>
  <c r="O241" i="2" a="1"/>
  <c r="P240" i="2" a="1"/>
  <c r="Q240" i="2" s="1"/>
  <c r="W248" i="2"/>
  <c r="Q246" i="2"/>
  <c r="Q249" i="2"/>
  <c r="W247" i="2"/>
  <c r="W249" i="2"/>
  <c r="Q248" i="2"/>
  <c r="Q247" i="2"/>
  <c r="W246" i="2"/>
  <c r="O253" i="2" a="1"/>
  <c r="P252" i="2" a="1"/>
  <c r="O252" i="2" a="1"/>
  <c r="P253" i="2" a="1"/>
  <c r="W241" i="2" l="1"/>
  <c r="W240" i="2"/>
  <c r="AA240" i="2" s="1"/>
  <c r="AB240" i="2" s="1"/>
  <c r="Q241" i="2"/>
  <c r="AA249" i="2"/>
  <c r="AB249" i="2" s="1"/>
  <c r="AA248" i="2"/>
  <c r="AB248" i="2" s="1"/>
  <c r="AA246" i="2"/>
  <c r="AB246" i="2" s="1"/>
  <c r="AA247" i="2"/>
  <c r="AB247" i="2" s="1"/>
  <c r="P251" i="2" a="1"/>
  <c r="P250" i="2" a="1"/>
  <c r="O250" i="2" a="1"/>
  <c r="O251" i="2" a="1"/>
  <c r="W252" i="2"/>
  <c r="W253" i="2"/>
  <c r="Q252" i="2"/>
  <c r="Q253" i="2"/>
  <c r="AA241" i="2" l="1"/>
  <c r="AB241" i="2" s="1"/>
  <c r="O242" i="2" a="1"/>
  <c r="P243" i="2" a="1"/>
  <c r="P245" i="2" a="1"/>
  <c r="O244" i="2" a="1"/>
  <c r="W251" i="2"/>
  <c r="Q250" i="2"/>
  <c r="Q251" i="2"/>
  <c r="W250" i="2"/>
  <c r="AA252" i="2"/>
  <c r="AB252" i="2" s="1"/>
  <c r="AA253" i="2"/>
  <c r="AB253" i="2" s="1"/>
  <c r="Q242" i="2" l="1"/>
  <c r="W242" i="2"/>
  <c r="AA242" i="2" s="1"/>
  <c r="AB242" i="2" s="1"/>
  <c r="W243" i="2"/>
  <c r="Q243" i="2"/>
  <c r="Q245" i="2"/>
  <c r="W245" i="2"/>
  <c r="Q244" i="2"/>
  <c r="W244" i="2"/>
  <c r="AA251" i="2"/>
  <c r="AB251" i="2" s="1"/>
  <c r="AA250" i="2"/>
  <c r="AB250" i="2" s="1"/>
  <c r="P258" i="2" a="1"/>
  <c r="O258" i="2" a="1"/>
  <c r="P259" i="2" a="1"/>
  <c r="P260" i="2" a="1"/>
  <c r="O259" i="2" a="1"/>
  <c r="O260" i="2" a="1"/>
  <c r="O261" i="2" a="1"/>
  <c r="P261" i="2" a="1"/>
  <c r="Q261" i="2" l="1"/>
  <c r="AA245" i="2"/>
  <c r="AB245" i="2" s="1"/>
  <c r="AA243" i="2"/>
  <c r="AB243" i="2" s="1"/>
  <c r="AA244" i="2"/>
  <c r="AB244" i="2" s="1"/>
  <c r="O256" i="2" a="1"/>
  <c r="P257" i="2" a="1"/>
  <c r="Q258" i="2"/>
  <c r="W259" i="2"/>
  <c r="W260" i="2"/>
  <c r="Q259" i="2"/>
  <c r="W261" i="2"/>
  <c r="Q260" i="2"/>
  <c r="W258" i="2"/>
  <c r="AA261" i="2" l="1"/>
  <c r="AB261" i="2" s="1"/>
  <c r="O254" i="2" a="1"/>
  <c r="P255" i="2" a="1"/>
  <c r="O255" i="2" a="1"/>
  <c r="P254" i="2" a="1"/>
  <c r="P256" i="2" a="1"/>
  <c r="O257" i="2" a="1"/>
  <c r="AA258" i="2"/>
  <c r="AB258" i="2" s="1"/>
  <c r="AA259" i="2"/>
  <c r="AB259" i="2" s="1"/>
  <c r="AA260" i="2"/>
  <c r="AB260" i="2" s="1"/>
  <c r="O263" i="2" a="1"/>
  <c r="P263" i="2" a="1"/>
  <c r="O262" i="2" a="1"/>
  <c r="P262" i="2" a="1"/>
  <c r="Q255" i="2" l="1"/>
  <c r="W255" i="2"/>
  <c r="AA255" i="2" s="1"/>
  <c r="AB255" i="2" s="1"/>
  <c r="W254" i="2"/>
  <c r="Q254" i="2"/>
  <c r="W256" i="2"/>
  <c r="Q256" i="2"/>
  <c r="W257" i="2"/>
  <c r="Q257" i="2"/>
  <c r="W263" i="2"/>
  <c r="Q262" i="2"/>
  <c r="Q263" i="2"/>
  <c r="W262" i="2"/>
  <c r="AA256" i="2" l="1"/>
  <c r="AB256" i="2" s="1"/>
  <c r="AA257" i="2"/>
  <c r="AB257" i="2" s="1"/>
  <c r="AA254" i="2"/>
  <c r="AB254" i="2" s="1"/>
  <c r="AA263" i="2"/>
  <c r="AB263" i="2" s="1"/>
  <c r="AA262" i="2"/>
  <c r="AB262" i="2" s="1"/>
  <c r="P265" i="2" l="1" a="1"/>
  <c r="P264" i="2" a="1"/>
  <c r="O265" i="2" a="1"/>
  <c r="O264" i="2" a="1"/>
  <c r="Q264" i="2" l="1"/>
  <c r="W264" i="2"/>
  <c r="W265" i="2"/>
  <c r="Q265" i="2"/>
  <c r="P270" i="2" a="1"/>
  <c r="O270" i="2" a="1"/>
  <c r="O271" i="2" a="1"/>
  <c r="P271" i="2" a="1"/>
  <c r="AA264" i="2" l="1"/>
  <c r="AB264" i="2" s="1"/>
  <c r="AA265" i="2"/>
  <c r="AB265" i="2" s="1"/>
  <c r="P267" i="2" a="1"/>
  <c r="P266" i="2" a="1"/>
  <c r="O266" i="2" a="1"/>
  <c r="O267" i="2" a="1"/>
  <c r="P268" i="2" a="1"/>
  <c r="P269" i="2" a="1"/>
  <c r="O269" i="2" a="1"/>
  <c r="O268" i="2" a="1"/>
  <c r="W270" i="2"/>
  <c r="Q271" i="2"/>
  <c r="Q270" i="2"/>
  <c r="W271" i="2"/>
  <c r="Q267" i="2" l="1"/>
  <c r="W268" i="2"/>
  <c r="W266" i="2"/>
  <c r="W267" i="2"/>
  <c r="W269" i="2"/>
  <c r="Q268" i="2"/>
  <c r="Q269" i="2"/>
  <c r="Q266" i="2"/>
  <c r="AA270" i="2"/>
  <c r="AB270" i="2" s="1"/>
  <c r="AA271" i="2"/>
  <c r="AB271" i="2" s="1"/>
  <c r="AA266" i="2" l="1"/>
  <c r="AB266" i="2" s="1"/>
  <c r="AA267" i="2"/>
  <c r="AB267" i="2" s="1"/>
  <c r="AA268" i="2"/>
  <c r="AB268" i="2" s="1"/>
  <c r="AA269" i="2"/>
  <c r="AB269" i="2" s="1"/>
  <c r="O272" i="2" a="1"/>
  <c r="O273" i="2" a="1"/>
  <c r="P273" i="2" a="1"/>
  <c r="P272" i="2" a="1"/>
  <c r="P274" i="2" a="1"/>
  <c r="O275" i="2" a="1"/>
  <c r="O274" i="2" a="1"/>
  <c r="P275" i="2" a="1"/>
  <c r="W274" i="2" l="1"/>
  <c r="Q273" i="2"/>
  <c r="Q272" i="2"/>
  <c r="Q275" i="2"/>
  <c r="W272" i="2"/>
  <c r="W273" i="2"/>
  <c r="Q274" i="2"/>
  <c r="W275" i="2"/>
  <c r="AA272" i="2" l="1"/>
  <c r="AB272" i="2" s="1"/>
  <c r="AA273" i="2"/>
  <c r="AB273" i="2" s="1"/>
  <c r="AA274" i="2"/>
  <c r="AB274" i="2" s="1"/>
  <c r="AA275" i="2"/>
  <c r="AB275" i="2" s="1"/>
  <c r="P276" i="2" a="1"/>
  <c r="O276" i="2" a="1"/>
  <c r="P277" i="2" a="1"/>
  <c r="O277" i="2" a="1"/>
  <c r="W277" i="2" l="1"/>
  <c r="W276" i="2"/>
  <c r="Q276" i="2"/>
  <c r="Q277" i="2"/>
  <c r="AA276" i="2" l="1"/>
  <c r="AB276" i="2" s="1"/>
  <c r="AA277" i="2"/>
  <c r="AB277" i="2" s="1"/>
  <c r="P278" i="2" a="1"/>
  <c r="P279" i="2" a="1"/>
  <c r="O278" i="2" a="1"/>
  <c r="O279" i="2" a="1"/>
  <c r="W278" i="2" l="1"/>
  <c r="W279" i="2"/>
  <c r="Q278" i="2"/>
  <c r="Q279" i="2"/>
  <c r="AA278" i="2" l="1"/>
  <c r="AB278" i="2" s="1"/>
  <c r="AA279" i="2"/>
  <c r="AB279" i="2" s="1"/>
  <c r="O280" i="2" l="1" a="1"/>
  <c r="P281" i="2" a="1"/>
  <c r="O281" i="2" a="1"/>
  <c r="P280" i="2" a="1"/>
  <c r="P282" i="2" a="1"/>
  <c r="O283" i="2" a="1"/>
  <c r="O282" i="2" a="1"/>
  <c r="P283" i="2" a="1"/>
  <c r="Q281" i="2" l="1"/>
  <c r="Q280" i="2"/>
  <c r="W280" i="2"/>
  <c r="W281" i="2"/>
  <c r="W282" i="2"/>
  <c r="Q282" i="2"/>
  <c r="W283" i="2"/>
  <c r="Q283" i="2"/>
  <c r="AA281" i="2" l="1"/>
  <c r="AB281" i="2" s="1"/>
  <c r="AA280" i="2"/>
  <c r="AB280" i="2" s="1"/>
  <c r="AA282" i="2"/>
  <c r="AB282" i="2" s="1"/>
  <c r="AA283" i="2"/>
  <c r="AB283" i="2" s="1"/>
  <c r="O285" i="2" l="1" a="1"/>
  <c r="P284" i="2" a="1"/>
  <c r="O284" i="2" a="1"/>
  <c r="P285" i="2" a="1"/>
  <c r="O289" i="2" a="1"/>
  <c r="P288" i="2" a="1"/>
  <c r="O288" i="2" a="1"/>
  <c r="P289" i="2" a="1"/>
  <c r="O286" i="2" a="1"/>
  <c r="P287" i="2" a="1"/>
  <c r="O287" i="2" a="1"/>
  <c r="P286" i="2" a="1"/>
  <c r="W284" i="2" l="1"/>
  <c r="Q285" i="2"/>
  <c r="W285" i="2"/>
  <c r="Q284" i="2"/>
  <c r="AA284" i="2" s="1"/>
  <c r="AB284" i="2" s="1"/>
  <c r="W288" i="2"/>
  <c r="Q289" i="2"/>
  <c r="Q287" i="2"/>
  <c r="W286" i="2"/>
  <c r="Q286" i="2"/>
  <c r="W289" i="2"/>
  <c r="Q288" i="2"/>
  <c r="W287" i="2"/>
  <c r="AA285" i="2" l="1"/>
  <c r="AB285" i="2" s="1"/>
  <c r="AA289" i="2"/>
  <c r="AB289" i="2" s="1"/>
  <c r="AA286" i="2"/>
  <c r="AB286" i="2" s="1"/>
  <c r="AA288" i="2"/>
  <c r="AB288" i="2" s="1"/>
  <c r="AA287" i="2"/>
  <c r="AB287" i="2" s="1"/>
  <c r="O290" i="2" a="1"/>
  <c r="P291" i="2" a="1"/>
  <c r="O291" i="2" a="1"/>
  <c r="P290" i="2" a="1"/>
  <c r="W290" i="2" l="1"/>
  <c r="W291" i="2"/>
  <c r="Q290" i="2"/>
  <c r="Q291" i="2"/>
  <c r="AA290" i="2" l="1"/>
  <c r="AB290" i="2" s="1"/>
  <c r="AA291" i="2"/>
  <c r="AB291" i="2" s="1"/>
  <c r="P292" i="2" a="1"/>
  <c r="O293" i="2" a="1"/>
  <c r="O292" i="2" l="1" a="1"/>
  <c r="P293" i="2" a="1"/>
  <c r="W292" i="2" l="1"/>
  <c r="Q292" i="2"/>
  <c r="Q293" i="2"/>
  <c r="W293" i="2"/>
  <c r="AA293" i="2" l="1"/>
  <c r="AB293" i="2" s="1"/>
  <c r="AA292" i="2"/>
  <c r="AB292" i="2" s="1"/>
  <c r="P294" i="2" a="1"/>
  <c r="O295" i="2" a="1"/>
  <c r="P298" i="2" a="1"/>
  <c r="O299" i="2" a="1"/>
  <c r="P299" i="2" a="1"/>
  <c r="O298" i="2" a="1"/>
  <c r="P295" i="2" a="1"/>
  <c r="O294" i="2" a="1"/>
  <c r="Q295" i="2" l="1"/>
  <c r="Q294" i="2"/>
  <c r="W295" i="2"/>
  <c r="W294" i="2"/>
  <c r="W299" i="2"/>
  <c r="W298" i="2"/>
  <c r="Q299" i="2"/>
  <c r="Q298" i="2"/>
  <c r="O297" i="2" a="1"/>
  <c r="P296" i="2" a="1"/>
  <c r="O296" i="2" a="1"/>
  <c r="P297" i="2" a="1"/>
  <c r="AA295" i="2" l="1"/>
  <c r="AB295" i="2" s="1"/>
  <c r="AA294" i="2"/>
  <c r="AB294" i="2" s="1"/>
  <c r="AA299" i="2"/>
  <c r="AB299" i="2" s="1"/>
  <c r="AA298" i="2"/>
  <c r="AB298" i="2" s="1"/>
  <c r="P300" i="2" a="1"/>
  <c r="O303" i="2" a="1"/>
  <c r="O301" i="2" a="1"/>
  <c r="O300" i="2" a="1"/>
  <c r="O302" i="2" a="1"/>
  <c r="P302" i="2" a="1"/>
  <c r="P303" i="2" a="1"/>
  <c r="P301" i="2" a="1"/>
  <c r="Q297" i="2"/>
  <c r="W296" i="2"/>
  <c r="W297" i="2"/>
  <c r="Q296" i="2"/>
  <c r="Q303" i="2" l="1"/>
  <c r="Q302" i="2"/>
  <c r="W303" i="2"/>
  <c r="W301" i="2"/>
  <c r="W300" i="2"/>
  <c r="W302" i="2"/>
  <c r="Q300" i="2"/>
  <c r="Q301" i="2"/>
  <c r="AA297" i="2"/>
  <c r="AB297" i="2" s="1"/>
  <c r="AA296" i="2"/>
  <c r="AB296" i="2" s="1"/>
  <c r="AA303" i="2" l="1"/>
  <c r="AB303" i="2" s="1"/>
  <c r="AA300" i="2"/>
  <c r="AB300" i="2" s="1"/>
  <c r="AA302" i="2"/>
  <c r="AB302" i="2" s="1"/>
  <c r="AA301" i="2"/>
  <c r="AB301" i="2" s="1"/>
  <c r="P308" i="2" a="1"/>
  <c r="O309" i="2" a="1"/>
  <c r="O306" i="2" a="1"/>
  <c r="P305" i="2" a="1"/>
  <c r="O308" i="2" a="1"/>
  <c r="O305" i="2" a="1"/>
  <c r="P306" i="2" a="1"/>
  <c r="O307" i="2" a="1"/>
  <c r="O304" i="2" a="1"/>
  <c r="P307" i="2" a="1"/>
  <c r="P309" i="2" a="1"/>
  <c r="P304" i="2" a="1"/>
  <c r="Q309" i="2" l="1"/>
  <c r="Q308" i="2"/>
  <c r="Q304" i="2"/>
  <c r="W309" i="2"/>
  <c r="W306" i="2"/>
  <c r="W308" i="2"/>
  <c r="W305" i="2"/>
  <c r="W307" i="2"/>
  <c r="W304" i="2"/>
  <c r="Q305" i="2"/>
  <c r="Q307" i="2"/>
  <c r="Q306" i="2"/>
  <c r="AA309" i="2" l="1"/>
  <c r="AB309" i="2" s="1"/>
  <c r="AA308" i="2"/>
  <c r="AB308" i="2" s="1"/>
  <c r="AA304" i="2"/>
  <c r="AB304" i="2" s="1"/>
  <c r="O311" i="2" a="1"/>
  <c r="O310" i="2" a="1"/>
  <c r="P310" i="2" a="1"/>
  <c r="P311" i="2" a="1"/>
  <c r="AA306" i="2"/>
  <c r="AB306" i="2" s="1"/>
  <c r="AA305" i="2"/>
  <c r="AB305" i="2" s="1"/>
  <c r="AA307" i="2"/>
  <c r="AB307" i="2" s="1"/>
  <c r="Q311" i="2" l="1"/>
  <c r="Q310" i="2"/>
  <c r="W311" i="2"/>
  <c r="W310" i="2"/>
  <c r="AA311" i="2" l="1"/>
  <c r="AB311" i="2" s="1"/>
  <c r="AA310" i="2"/>
  <c r="AB310" i="2" s="1"/>
  <c r="P315" i="2" a="1"/>
  <c r="O318" i="2" a="1"/>
  <c r="O315" i="2" a="1"/>
  <c r="O312" i="2" a="1"/>
  <c r="P313" i="2" a="1"/>
  <c r="O317" i="2" a="1"/>
  <c r="O314" i="2" a="1"/>
  <c r="P314" i="2" a="1"/>
  <c r="O319" i="2" a="1"/>
  <c r="O316" i="2" a="1"/>
  <c r="O313" i="2" a="1"/>
  <c r="P318" i="2" a="1"/>
  <c r="P317" i="2" a="1"/>
  <c r="P316" i="2" a="1"/>
  <c r="P319" i="2" a="1"/>
  <c r="P312" i="2" a="1"/>
  <c r="Q313" i="2" l="1"/>
  <c r="Q318" i="2"/>
  <c r="Q317" i="2"/>
  <c r="Q316" i="2"/>
  <c r="Q319" i="2"/>
  <c r="W318" i="2"/>
  <c r="W315" i="2"/>
  <c r="W312" i="2"/>
  <c r="W317" i="2"/>
  <c r="W314" i="2"/>
  <c r="W319" i="2"/>
  <c r="W316" i="2"/>
  <c r="W313" i="2"/>
  <c r="Q315" i="2"/>
  <c r="Q314" i="2"/>
  <c r="Q312" i="2"/>
  <c r="AA313" i="2" l="1"/>
  <c r="AB313" i="2" s="1"/>
  <c r="AA319" i="2"/>
  <c r="AB319" i="2" s="1"/>
  <c r="AA318" i="2"/>
  <c r="AB318" i="2" s="1"/>
  <c r="AA317" i="2"/>
  <c r="AB317" i="2" s="1"/>
  <c r="AA316" i="2"/>
  <c r="AB316" i="2" s="1"/>
  <c r="AA315" i="2"/>
  <c r="AB315" i="2" s="1"/>
  <c r="AA312" i="2"/>
  <c r="AB312" i="2" s="1"/>
  <c r="P323" i="2" a="1"/>
  <c r="O327" i="2" a="1"/>
  <c r="O324" i="2" a="1"/>
  <c r="O321" i="2" a="1"/>
  <c r="P321" i="2" a="1"/>
  <c r="O323" i="2" a="1"/>
  <c r="O320" i="2" a="1"/>
  <c r="P322" i="2" a="1"/>
  <c r="O325" i="2" a="1"/>
  <c r="O322" i="2" a="1"/>
  <c r="P326" i="2" a="1"/>
  <c r="P320" i="2" a="1"/>
  <c r="P325" i="2" a="1"/>
  <c r="P324" i="2" a="1"/>
  <c r="AA314" i="2"/>
  <c r="AB314" i="2" s="1"/>
  <c r="Q321" i="2" l="1"/>
  <c r="O326" i="2" a="1"/>
  <c r="P327" i="2" a="1"/>
  <c r="Q322" i="2"/>
  <c r="Q320" i="2"/>
  <c r="W324" i="2"/>
  <c r="W321" i="2"/>
  <c r="W323" i="2"/>
  <c r="W320" i="2"/>
  <c r="W325" i="2"/>
  <c r="W322" i="2"/>
  <c r="Q325" i="2"/>
  <c r="Q324" i="2"/>
  <c r="Q323" i="2"/>
  <c r="AA321" i="2" l="1"/>
  <c r="AB321" i="2" s="1"/>
  <c r="AA325" i="2"/>
  <c r="AB325" i="2" s="1"/>
  <c r="W326" i="2"/>
  <c r="Q326" i="2"/>
  <c r="AA320" i="2"/>
  <c r="AB320" i="2" s="1"/>
  <c r="AA322" i="2"/>
  <c r="AB322" i="2" s="1"/>
  <c r="W327" i="2"/>
  <c r="Q327" i="2"/>
  <c r="AA323" i="2"/>
  <c r="AB323" i="2" s="1"/>
  <c r="AA324" i="2"/>
  <c r="AB324" i="2" s="1"/>
  <c r="AA326" i="2" l="1"/>
  <c r="AB326" i="2" s="1"/>
  <c r="AA327" i="2"/>
  <c r="AB327" i="2" s="1"/>
  <c r="P328" i="2" a="1"/>
  <c r="O328" i="2" a="1"/>
  <c r="O331" i="2" a="1"/>
  <c r="P330" i="2" a="1"/>
  <c r="O329" i="2" a="1"/>
  <c r="P329" i="2" a="1"/>
  <c r="O330" i="2" a="1"/>
  <c r="P331" i="2" a="1"/>
  <c r="Q330" i="2" l="1"/>
  <c r="Q331" i="2"/>
  <c r="Q328" i="2"/>
  <c r="W328" i="2"/>
  <c r="W331" i="2"/>
  <c r="W329" i="2"/>
  <c r="W330" i="2"/>
  <c r="Q329" i="2"/>
  <c r="AA330" i="2" l="1"/>
  <c r="AB330" i="2" s="1"/>
  <c r="AA331" i="2"/>
  <c r="AB331" i="2" s="1"/>
  <c r="AA329" i="2"/>
  <c r="AB329" i="2" s="1"/>
  <c r="AA328" i="2"/>
  <c r="AB328" i="2" s="1"/>
  <c r="O333" i="2" a="1"/>
  <c r="O335" i="2" a="1"/>
  <c r="O332" i="2" a="1"/>
  <c r="O334" i="2" a="1"/>
  <c r="P335" i="2" a="1"/>
  <c r="P334" i="2" a="1"/>
  <c r="P333" i="2" a="1"/>
  <c r="P332" i="2" a="1"/>
  <c r="Q335" i="2" l="1"/>
  <c r="Q334" i="2"/>
  <c r="Q332" i="2"/>
  <c r="W333" i="2"/>
  <c r="W335" i="2"/>
  <c r="W332" i="2"/>
  <c r="W334" i="2"/>
  <c r="Q333" i="2"/>
  <c r="AA335" i="2" l="1"/>
  <c r="AB335" i="2" s="1"/>
  <c r="AA333" i="2"/>
  <c r="AB333" i="2" s="1"/>
  <c r="AA332" i="2"/>
  <c r="AB332" i="2" s="1"/>
  <c r="AA334" i="2"/>
  <c r="AB334" i="2" s="1"/>
  <c r="O336" i="2" a="1"/>
  <c r="P337" i="2" a="1"/>
  <c r="O337" i="2" a="1"/>
  <c r="P336" i="2" a="1"/>
  <c r="Q336" i="2" l="1"/>
  <c r="Q337" i="2"/>
  <c r="W336" i="2"/>
  <c r="W337" i="2"/>
  <c r="AA337" i="2" l="1"/>
  <c r="AB337" i="2" s="1"/>
  <c r="AA336" i="2"/>
  <c r="AB336" i="2" s="1"/>
  <c r="P340" i="2" a="1"/>
  <c r="O339" i="2" a="1"/>
  <c r="O341" i="2" a="1"/>
  <c r="O338" i="2" a="1"/>
  <c r="P338" i="2" a="1"/>
  <c r="O340" i="2" a="1"/>
  <c r="P339" i="2" a="1"/>
  <c r="P341" i="2" a="1"/>
  <c r="Q338" i="2" l="1"/>
  <c r="Q340" i="2"/>
  <c r="Q339" i="2"/>
  <c r="Q341" i="2"/>
  <c r="W339" i="2"/>
  <c r="W341" i="2"/>
  <c r="W338" i="2"/>
  <c r="W340" i="2"/>
  <c r="AA341" i="2" l="1"/>
  <c r="AB341" i="2" s="1"/>
  <c r="AA338" i="2"/>
  <c r="AB338" i="2" s="1"/>
  <c r="AA339" i="2"/>
  <c r="AB339" i="2" s="1"/>
  <c r="AA340" i="2"/>
  <c r="AB340" i="2" s="1"/>
  <c r="O345" i="2" a="1"/>
  <c r="O342" i="2" a="1"/>
  <c r="P345" i="2" a="1"/>
  <c r="O344" i="2" a="1"/>
  <c r="O343" i="2" a="1"/>
  <c r="P343" i="2" a="1"/>
  <c r="P342" i="2" a="1"/>
  <c r="P344" i="2" a="1"/>
  <c r="Q344" i="2" l="1"/>
  <c r="Q345" i="2"/>
  <c r="Q342" i="2"/>
  <c r="W345" i="2"/>
  <c r="W342" i="2"/>
  <c r="W344" i="2"/>
  <c r="W343" i="2"/>
  <c r="Q343" i="2"/>
  <c r="AA344" i="2" l="1"/>
  <c r="AB344" i="2" s="1"/>
  <c r="AA345" i="2"/>
  <c r="AB345" i="2" s="1"/>
  <c r="AA342" i="2"/>
  <c r="AB342" i="2" s="1"/>
  <c r="AA343" i="2"/>
  <c r="AB343" i="2" s="1"/>
  <c r="O346" i="2" a="1"/>
  <c r="P346" i="2" a="1"/>
  <c r="O347" i="2" a="1"/>
  <c r="P347" i="2" a="1"/>
  <c r="W346" i="2" l="1"/>
  <c r="W347" i="2"/>
  <c r="Q346" i="2"/>
  <c r="Q347" i="2"/>
  <c r="AA347" i="2" l="1"/>
  <c r="AB347" i="2" s="1"/>
  <c r="P348" i="2" a="1"/>
  <c r="O348" i="2" a="1"/>
  <c r="O349" i="2" a="1"/>
  <c r="O350" i="2" a="1"/>
  <c r="P351" i="2" a="1"/>
  <c r="P350" i="2" a="1"/>
  <c r="O351" i="2" a="1"/>
  <c r="P349" i="2" a="1"/>
  <c r="AA346" i="2"/>
  <c r="AB346" i="2" s="1"/>
  <c r="Q348" i="2" l="1"/>
  <c r="W348" i="2"/>
  <c r="W349" i="2"/>
  <c r="W350" i="2"/>
  <c r="W351" i="2"/>
  <c r="Q351" i="2"/>
  <c r="Q350" i="2"/>
  <c r="Q349" i="2"/>
  <c r="AA348" i="2" l="1"/>
  <c r="AB348" i="2" s="1"/>
  <c r="AA349" i="2"/>
  <c r="AB349" i="2" s="1"/>
  <c r="AA350" i="2"/>
  <c r="AB350" i="2" s="1"/>
  <c r="AA351" i="2"/>
  <c r="AB351" i="2" s="1"/>
  <c r="O352" i="2" l="1" a="1"/>
  <c r="P352" i="2" a="1"/>
  <c r="O354" i="2" a="1"/>
  <c r="O353" i="2" a="1"/>
  <c r="P354" i="2" a="1"/>
  <c r="P353" i="2" a="1"/>
  <c r="O355" i="2" a="1"/>
  <c r="P355" i="2" a="1"/>
  <c r="Q352" i="2" l="1"/>
  <c r="Q354" i="2"/>
  <c r="Q355" i="2"/>
  <c r="W352" i="2"/>
  <c r="W354" i="2"/>
  <c r="W353" i="2"/>
  <c r="W355" i="2"/>
  <c r="Q353" i="2"/>
  <c r="AA352" i="2" l="1"/>
  <c r="AB352" i="2" s="1"/>
  <c r="AA354" i="2"/>
  <c r="AB354" i="2" s="1"/>
  <c r="AA355" i="2"/>
  <c r="AB355" i="2" s="1"/>
  <c r="O359" i="2" a="1"/>
  <c r="P361" i="2" a="1"/>
  <c r="O357" i="2" a="1"/>
  <c r="O358" i="2" a="1"/>
  <c r="P358" i="2" a="1"/>
  <c r="P360" i="2" a="1"/>
  <c r="P356" i="2" a="1"/>
  <c r="P357" i="2" a="1"/>
  <c r="O360" i="2" a="1"/>
  <c r="O356" i="2" a="1"/>
  <c r="P359" i="2" a="1"/>
  <c r="O361" i="2" a="1"/>
  <c r="AA353" i="2"/>
  <c r="AB353" i="2" s="1"/>
  <c r="Q357" i="2" l="1"/>
  <c r="Q361" i="2"/>
  <c r="Q359" i="2"/>
  <c r="W359" i="2"/>
  <c r="W357" i="2"/>
  <c r="W358" i="2"/>
  <c r="W360" i="2"/>
  <c r="W356" i="2"/>
  <c r="W361" i="2"/>
  <c r="Q358" i="2"/>
  <c r="Q356" i="2"/>
  <c r="Q360" i="2"/>
  <c r="AA359" i="2" l="1"/>
  <c r="AB359" i="2" s="1"/>
  <c r="AA358" i="2"/>
  <c r="AB358" i="2" s="1"/>
  <c r="AA357" i="2"/>
  <c r="AB357" i="2" s="1"/>
  <c r="AA361" i="2"/>
  <c r="AB361" i="2" s="1"/>
  <c r="P363" i="2" a="1"/>
  <c r="P362" i="2" a="1"/>
  <c r="O362" i="2" a="1"/>
  <c r="O363" i="2" a="1"/>
  <c r="AA356" i="2"/>
  <c r="AB356" i="2" s="1"/>
  <c r="AA360" i="2"/>
  <c r="AB360" i="2" s="1"/>
  <c r="W362" i="2" l="1"/>
  <c r="W363" i="2"/>
  <c r="Q362" i="2"/>
  <c r="Q363" i="2"/>
  <c r="AA362" i="2" l="1"/>
  <c r="AB362" i="2" s="1"/>
  <c r="AA363" i="2"/>
  <c r="AB363" i="2" s="1"/>
  <c r="P365" i="2" l="1" a="1"/>
  <c r="P364" i="2" a="1"/>
  <c r="O364" i="2" a="1"/>
  <c r="O365" i="2" a="1"/>
  <c r="W364" i="2" l="1"/>
  <c r="W365" i="2"/>
  <c r="Q364" i="2"/>
  <c r="Q365" i="2"/>
  <c r="AA364" i="2" l="1"/>
  <c r="AB364" i="2" s="1"/>
  <c r="AA365" i="2"/>
  <c r="AB365" i="2" s="1"/>
  <c r="O367" i="2" a="1"/>
  <c r="O366" i="2" a="1"/>
  <c r="P366" i="2" a="1"/>
  <c r="P367" i="2" a="1"/>
  <c r="Q366" i="2" l="1"/>
  <c r="Q367" i="2"/>
  <c r="W367" i="2"/>
  <c r="W366" i="2"/>
  <c r="AA367" i="2" l="1"/>
  <c r="AB367" i="2" s="1"/>
  <c r="AA366" i="2"/>
  <c r="AB366" i="2" s="1"/>
  <c r="P369" i="2" a="1"/>
  <c r="O369" i="2" a="1"/>
  <c r="P368" i="2" a="1"/>
  <c r="O368" i="2" a="1"/>
  <c r="W369" i="2" l="1"/>
  <c r="W368" i="2"/>
  <c r="Q368" i="2"/>
  <c r="Q369" i="2"/>
  <c r="AA369" i="2" l="1"/>
  <c r="AB369" i="2" s="1"/>
  <c r="P371" i="2" a="1"/>
  <c r="O375" i="2" a="1"/>
  <c r="P377" i="2" a="1"/>
  <c r="O373" i="2" a="1"/>
  <c r="P370" i="2" a="1"/>
  <c r="O374" i="2" a="1"/>
  <c r="P374" i="2" a="1"/>
  <c r="P375" i="2" a="1"/>
  <c r="O372" i="2" a="1"/>
  <c r="P373" i="2" a="1"/>
  <c r="O376" i="2" a="1"/>
  <c r="O371" i="2" a="1"/>
  <c r="P372" i="2" a="1"/>
  <c r="O377" i="2" a="1"/>
  <c r="O370" i="2" a="1"/>
  <c r="P376" i="2" a="1"/>
  <c r="AA368" i="2"/>
  <c r="AB368" i="2" s="1"/>
  <c r="Q376" i="2" l="1"/>
  <c r="Q370" i="2"/>
  <c r="Q372" i="2"/>
  <c r="Q377" i="2"/>
  <c r="W375" i="2"/>
  <c r="W373" i="2"/>
  <c r="W374" i="2"/>
  <c r="W372" i="2"/>
  <c r="W376" i="2"/>
  <c r="W371" i="2"/>
  <c r="W377" i="2"/>
  <c r="W370" i="2"/>
  <c r="Q371" i="2"/>
  <c r="Q374" i="2"/>
  <c r="Q375" i="2"/>
  <c r="Q373" i="2"/>
  <c r="AA376" i="2" l="1"/>
  <c r="AB376" i="2" s="1"/>
  <c r="AA375" i="2"/>
  <c r="AB375" i="2" s="1"/>
  <c r="AA370" i="2"/>
  <c r="AB370" i="2" s="1"/>
  <c r="AA371" i="2"/>
  <c r="AB371" i="2" s="1"/>
  <c r="AA373" i="2"/>
  <c r="AB373" i="2" s="1"/>
  <c r="AA374" i="2"/>
  <c r="AB374" i="2" s="1"/>
  <c r="AA377" i="2"/>
  <c r="AB377" i="2" s="1"/>
  <c r="AA372" i="2"/>
  <c r="AB372" i="2" s="1"/>
  <c r="P380" i="2" a="1"/>
  <c r="O381" i="2" a="1"/>
  <c r="P386" i="2" a="1"/>
  <c r="P378" i="2" a="1"/>
  <c r="O382" i="2" a="1"/>
  <c r="P382" i="2" a="1"/>
  <c r="O379" i="2" a="1"/>
  <c r="P383" i="2" a="1"/>
  <c r="O385" i="2" a="1"/>
  <c r="O378" i="2" a="1"/>
  <c r="P387" i="2" a="1"/>
  <c r="P379" i="2" a="1"/>
  <c r="O383" i="2" a="1"/>
  <c r="P381" i="2" a="1"/>
  <c r="Q381" i="2" s="1"/>
  <c r="O386" i="2" a="1"/>
  <c r="P384" i="2" a="1"/>
  <c r="O387" i="2" a="1"/>
  <c r="O380" i="2" a="1"/>
  <c r="Q386" i="2" l="1"/>
  <c r="P385" i="2" a="1"/>
  <c r="O384" i="2" a="1"/>
  <c r="Q383" i="2"/>
  <c r="W381" i="2"/>
  <c r="AA381" i="2" s="1"/>
  <c r="AB381" i="2" s="1"/>
  <c r="W382" i="2"/>
  <c r="W379" i="2"/>
  <c r="W378" i="2"/>
  <c r="W383" i="2"/>
  <c r="W386" i="2"/>
  <c r="W387" i="2"/>
  <c r="W380" i="2"/>
  <c r="Q380" i="2"/>
  <c r="Q378" i="2"/>
  <c r="Q382" i="2"/>
  <c r="Q387" i="2"/>
  <c r="Q379" i="2"/>
  <c r="AA386" i="2" l="1"/>
  <c r="AB386" i="2" s="1"/>
  <c r="W385" i="2"/>
  <c r="Q385" i="2"/>
  <c r="W384" i="2"/>
  <c r="Q384" i="2"/>
  <c r="AA383" i="2"/>
  <c r="AB383" i="2" s="1"/>
  <c r="AA380" i="2"/>
  <c r="AB380" i="2" s="1"/>
  <c r="AA382" i="2"/>
  <c r="AB382" i="2" s="1"/>
  <c r="AA379" i="2"/>
  <c r="AB379" i="2" s="1"/>
  <c r="AA378" i="2"/>
  <c r="AB378" i="2" s="1"/>
  <c r="AA387" i="2"/>
  <c r="AB387" i="2" s="1"/>
  <c r="AA385" i="2" l="1"/>
  <c r="AB385" i="2" s="1"/>
  <c r="AA384" i="2"/>
  <c r="AB384" i="2" s="1"/>
  <c r="P391" i="2" a="1"/>
  <c r="P390" i="2" a="1"/>
  <c r="O388" i="2" a="1"/>
  <c r="P389" i="2" a="1"/>
  <c r="O389" i="2" a="1"/>
  <c r="O390" i="2" a="1"/>
  <c r="O391" i="2" a="1"/>
  <c r="P388" i="2" a="1"/>
  <c r="Q388" i="2" l="1"/>
  <c r="Q389" i="2"/>
  <c r="W388" i="2"/>
  <c r="W389" i="2"/>
  <c r="W390" i="2"/>
  <c r="W391" i="2"/>
  <c r="Q391" i="2"/>
  <c r="Q390" i="2"/>
  <c r="AA388" i="2" l="1"/>
  <c r="AB388" i="2" s="1"/>
  <c r="AA391" i="2"/>
  <c r="AB391" i="2" s="1"/>
  <c r="AA389" i="2"/>
  <c r="AB389" i="2" s="1"/>
  <c r="AA390" i="2"/>
  <c r="AB390" i="2" s="1"/>
  <c r="P395" i="2" a="1"/>
  <c r="P393" i="2" a="1"/>
  <c r="P394" i="2" a="1"/>
  <c r="O395" i="2" a="1"/>
  <c r="O394" i="2" a="1"/>
  <c r="O392" i="2" a="1"/>
  <c r="O393" i="2" a="1"/>
  <c r="P392" i="2" a="1"/>
  <c r="Q392" i="2" l="1"/>
  <c r="W395" i="2"/>
  <c r="W394" i="2"/>
  <c r="W392" i="2"/>
  <c r="W393" i="2"/>
  <c r="Q395" i="2"/>
  <c r="Q393" i="2"/>
  <c r="Q394" i="2"/>
  <c r="AA395" i="2" l="1"/>
  <c r="AB395" i="2" s="1"/>
  <c r="AA392" i="2"/>
  <c r="AB392" i="2" s="1"/>
  <c r="AA394" i="2"/>
  <c r="AB394" i="2" s="1"/>
  <c r="AA393" i="2"/>
  <c r="AB393" i="2" s="1"/>
  <c r="O399" i="2" a="1"/>
  <c r="O397" i="2" a="1"/>
  <c r="O398" i="2" a="1"/>
  <c r="P397" i="2" a="1"/>
  <c r="P396" i="2" a="1"/>
  <c r="P398" i="2" a="1"/>
  <c r="P399" i="2" a="1"/>
  <c r="O396" i="2" a="1"/>
  <c r="Q397" i="2" l="1"/>
  <c r="Q396" i="2"/>
  <c r="W399" i="2"/>
  <c r="W397" i="2"/>
  <c r="W398" i="2"/>
  <c r="W396" i="2"/>
  <c r="Q399" i="2"/>
  <c r="Q398" i="2"/>
  <c r="AA397" i="2" l="1"/>
  <c r="AB397" i="2" s="1"/>
  <c r="AA399" i="2"/>
  <c r="AB399" i="2" s="1"/>
  <c r="AA396" i="2"/>
  <c r="AB396" i="2" s="1"/>
  <c r="P401" i="2" a="1"/>
  <c r="P402" i="2" a="1"/>
  <c r="O403" i="2" a="1"/>
  <c r="P400" i="2" a="1"/>
  <c r="O401" i="2" a="1"/>
  <c r="O400" i="2" a="1"/>
  <c r="AA398" i="2"/>
  <c r="AB398" i="2" s="1"/>
  <c r="P403" i="2" l="1" a="1"/>
  <c r="O402" i="2" a="1"/>
  <c r="W401" i="2"/>
  <c r="W400" i="2"/>
  <c r="Q401" i="2"/>
  <c r="Q400" i="2"/>
  <c r="W403" i="2" l="1"/>
  <c r="Q403" i="2"/>
  <c r="Q402" i="2"/>
  <c r="W402" i="2"/>
  <c r="AA402" i="2" s="1"/>
  <c r="AB402" i="2" s="1"/>
  <c r="AA400" i="2"/>
  <c r="AB400" i="2" s="1"/>
  <c r="AA401" i="2"/>
  <c r="AB401" i="2" s="1"/>
  <c r="AA403" i="2" l="1"/>
  <c r="AB403" i="2" s="1"/>
  <c r="P407" i="2" a="1"/>
  <c r="P406" i="2" a="1"/>
  <c r="P404" i="2" a="1"/>
  <c r="O404" i="2" a="1"/>
  <c r="P405" i="2" a="1"/>
  <c r="O406" i="2" a="1"/>
  <c r="O405" i="2" a="1"/>
  <c r="O407" i="2" a="1"/>
  <c r="Q405" i="2" l="1"/>
  <c r="W404" i="2"/>
  <c r="W406" i="2"/>
  <c r="W405" i="2"/>
  <c r="W407" i="2"/>
  <c r="Q407" i="2"/>
  <c r="Q406" i="2"/>
  <c r="Q404" i="2"/>
  <c r="AA405" i="2" l="1"/>
  <c r="AB405" i="2" s="1"/>
  <c r="AA404" i="2"/>
  <c r="AB404" i="2" s="1"/>
  <c r="AA407" i="2"/>
  <c r="AB407" i="2" s="1"/>
  <c r="AA406" i="2"/>
  <c r="AB406" i="2" s="1"/>
  <c r="P409" i="2" a="1"/>
  <c r="P410" i="2" a="1"/>
  <c r="O410" i="2" a="1"/>
  <c r="P408" i="2" a="1"/>
  <c r="P411" i="2" a="1"/>
  <c r="O409" i="2" a="1"/>
  <c r="O408" i="2" a="1"/>
  <c r="O411" i="2" a="1"/>
  <c r="Q410" i="2" l="1"/>
  <c r="Q409" i="2"/>
  <c r="Q408" i="2"/>
  <c r="Q411" i="2"/>
  <c r="W410" i="2"/>
  <c r="W409" i="2"/>
  <c r="W408" i="2"/>
  <c r="W411" i="2"/>
  <c r="AA409" i="2" l="1"/>
  <c r="AB409" i="2" s="1"/>
  <c r="AA408" i="2"/>
  <c r="AB408" i="2" s="1"/>
  <c r="AA411" i="2"/>
  <c r="AB411" i="2" s="1"/>
  <c r="AA410" i="2"/>
  <c r="AB410" i="2" s="1"/>
  <c r="P412" i="2" a="1"/>
  <c r="O413" i="2" a="1"/>
  <c r="P413" i="2" a="1"/>
  <c r="O412" i="2" a="1"/>
  <c r="Q413" i="2" l="1"/>
  <c r="W413" i="2"/>
  <c r="W412" i="2"/>
  <c r="Q412" i="2"/>
  <c r="AA413" i="2" l="1"/>
  <c r="AB413" i="2" s="1"/>
  <c r="O415" i="2" a="1"/>
  <c r="O414" i="2" a="1"/>
  <c r="P414" i="2" a="1"/>
  <c r="P415" i="2" a="1"/>
  <c r="AA412" i="2"/>
  <c r="AB412" i="2" s="1"/>
  <c r="Q415" i="2" l="1"/>
  <c r="Q414" i="2"/>
  <c r="W415" i="2"/>
  <c r="W414" i="2"/>
  <c r="AA415" i="2" l="1"/>
  <c r="AB415" i="2" s="1"/>
  <c r="AA414" i="2"/>
  <c r="AB414" i="2" s="1"/>
  <c r="P417" i="2" a="1"/>
  <c r="O416" i="2" a="1"/>
  <c r="P416" i="2" a="1"/>
  <c r="O417" i="2" a="1"/>
  <c r="Q417" i="2" l="1"/>
  <c r="W416" i="2"/>
  <c r="W417" i="2"/>
  <c r="Q416" i="2"/>
  <c r="AA417" i="2" l="1"/>
  <c r="AB417" i="2" s="1"/>
  <c r="P418" i="2" a="1"/>
  <c r="O418" i="2" a="1"/>
  <c r="P419" i="2" a="1"/>
  <c r="O419" i="2" a="1"/>
  <c r="AA416" i="2"/>
  <c r="AB416" i="2" s="1"/>
  <c r="Q419" i="2" l="1"/>
  <c r="W418" i="2"/>
  <c r="W419" i="2"/>
  <c r="Q418" i="2"/>
  <c r="AA418" i="2" l="1"/>
  <c r="AB418" i="2" s="1"/>
  <c r="AA419" i="2"/>
  <c r="AB419" i="2" s="1"/>
  <c r="P420" i="2" a="1"/>
  <c r="O421" i="2" a="1"/>
  <c r="P421" i="2" a="1"/>
  <c r="O420" i="2" a="1"/>
  <c r="AX5" i="3" a="1"/>
  <c r="Q421" i="2" l="1"/>
  <c r="W421" i="2"/>
  <c r="W420" i="2"/>
  <c r="Q420" i="2"/>
  <c r="AA421" i="2" l="1"/>
  <c r="AB421" i="2" s="1"/>
  <c r="AA420" i="2"/>
  <c r="AB420" i="2" s="1"/>
  <c r="AX2" i="3" l="1" a="1"/>
  <c r="G26" i="3" l="1" a="1"/>
  <c r="AX9" i="3" a="1"/>
  <c r="AX4" i="3" l="1" a="1"/>
  <c r="G25" i="3" l="1" a="1"/>
  <c r="AX6" i="3" l="1" a="1"/>
  <c r="G34" i="3" a="1"/>
  <c r="G27" i="3" l="1" a="1"/>
  <c r="G36" i="3" a="1"/>
  <c r="G35" i="3" a="1"/>
  <c r="AX8" i="3" l="1" a="1"/>
  <c r="AX7" i="3" l="1" a="1"/>
  <c r="G30" i="3" a="1"/>
  <c r="G32" i="3" l="1" a="1"/>
  <c r="AX3" i="3" a="1"/>
  <c r="G33" i="3" a="1"/>
  <c r="G29" i="3" l="1" a="1"/>
  <c r="G28" i="3" a="1"/>
  <c r="G31" i="3" a="1"/>
  <c r="A2" i="3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<sst xmlns="http://schemas.openxmlformats.org/spreadsheetml/2006/main" count="2176" uniqueCount="89">
  <si>
    <t>Team</t>
  </si>
  <si>
    <t>CLE</t>
  </si>
  <si>
    <t>HOU</t>
  </si>
  <si>
    <t>Opponent</t>
  </si>
  <si>
    <t>PreGmRate</t>
  </si>
  <si>
    <t>OppPreGmRate</t>
  </si>
  <si>
    <t>ExpectedWin%</t>
  </si>
  <si>
    <t>PointsFor</t>
  </si>
  <si>
    <t>PointsAgainst</t>
  </si>
  <si>
    <t>MOV</t>
  </si>
  <si>
    <t>Result</t>
  </si>
  <si>
    <t>RatingChange</t>
  </si>
  <si>
    <t>PostGmRate</t>
  </si>
  <si>
    <t>MOVMult</t>
  </si>
  <si>
    <t>HomeAway</t>
  </si>
  <si>
    <t>W</t>
  </si>
  <si>
    <t>L</t>
  </si>
  <si>
    <t>Row Labels</t>
  </si>
  <si>
    <t>Grand Total</t>
  </si>
  <si>
    <t>Sum of W</t>
  </si>
  <si>
    <t>Sum of L</t>
  </si>
  <si>
    <t>OT</t>
  </si>
  <si>
    <t>Keff</t>
  </si>
  <si>
    <t>POMult</t>
  </si>
  <si>
    <t>Round</t>
  </si>
  <si>
    <t>Type</t>
  </si>
  <si>
    <t>Season</t>
  </si>
  <si>
    <t>Logo</t>
  </si>
  <si>
    <t>TeamName</t>
  </si>
  <si>
    <t>TeamID</t>
  </si>
  <si>
    <t>GamesPlayed</t>
  </si>
  <si>
    <t>Date</t>
  </si>
  <si>
    <t>K</t>
  </si>
  <si>
    <t>DaysOff</t>
  </si>
  <si>
    <t>OppDaysOff</t>
  </si>
  <si>
    <t>RestDiff</t>
  </si>
  <si>
    <t>OppRestDiff</t>
  </si>
  <si>
    <t>RestAdj</t>
  </si>
  <si>
    <t>OppRestAdj</t>
  </si>
  <si>
    <t>UTA</t>
  </si>
  <si>
    <t>PHX</t>
  </si>
  <si>
    <t>SAC</t>
  </si>
  <si>
    <t>R1W</t>
  </si>
  <si>
    <t>R1L</t>
  </si>
  <si>
    <t>R2W</t>
  </si>
  <si>
    <t>R2L</t>
  </si>
  <si>
    <t>R3W</t>
  </si>
  <si>
    <t>R3L</t>
  </si>
  <si>
    <t>FW</t>
  </si>
  <si>
    <t>FL</t>
  </si>
  <si>
    <t>Sum of R1W</t>
  </si>
  <si>
    <t>Sum of R1L</t>
  </si>
  <si>
    <t>Sum of R2W</t>
  </si>
  <si>
    <t>Sum of R2L</t>
  </si>
  <si>
    <t>Sum of R3W</t>
  </si>
  <si>
    <t>Sum of R3L</t>
  </si>
  <si>
    <t>Sum of FW</t>
  </si>
  <si>
    <t>Sum of FL</t>
  </si>
  <si>
    <t>PreSeasonElo</t>
  </si>
  <si>
    <t>CHA</t>
  </si>
  <si>
    <t>NYL</t>
  </si>
  <si>
    <t>New York Liberty</t>
  </si>
  <si>
    <t>Phoenix Mercury</t>
  </si>
  <si>
    <t>LAS</t>
  </si>
  <si>
    <t>Los Angeles Sparks</t>
  </si>
  <si>
    <t>WAS</t>
  </si>
  <si>
    <t>Washington Mystics</t>
  </si>
  <si>
    <t>MIN</t>
  </si>
  <si>
    <t>Minnesota Lynx</t>
  </si>
  <si>
    <t>IND</t>
  </si>
  <si>
    <t>Indiana Fever</t>
  </si>
  <si>
    <t>SEA</t>
  </si>
  <si>
    <t>Seattle Storm</t>
  </si>
  <si>
    <t>Connecticut Sun</t>
  </si>
  <si>
    <t>CON</t>
  </si>
  <si>
    <t>CHI</t>
  </si>
  <si>
    <t>Chicago Sky</t>
  </si>
  <si>
    <t>ATL</t>
  </si>
  <si>
    <t>Atlanta Dream</t>
  </si>
  <si>
    <t>R</t>
  </si>
  <si>
    <t>RS</t>
  </si>
  <si>
    <t>A</t>
  </si>
  <si>
    <t>H</t>
  </si>
  <si>
    <t>Dallas Wings</t>
  </si>
  <si>
    <t>DAL</t>
  </si>
  <si>
    <t>LVA</t>
  </si>
  <si>
    <t>Las Vegas Aces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</si>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</sst>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mm/dd/yy;@"/>
  </numFmts>
  <fonts count="4" x14ac:knownFonts="1">
    <font>
      <sz val="12"/>
      <color theme="1"/>
      <name val="Times New Roman"/>
      <family val="2"/>
    </font>
    <font>
      <sz val="8"/>
      <name val="Times New Roman"/>
      <family val="2"/>
    </font>
    <font>
      <b/>
      <i/>
      <u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" fontId="0" fillId="0" borderId="0" xfId="0" applyNumberFormat="1" applyAlignment="1">
      <alignment horizontal="left"/>
    </xf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47">
    <dxf>
      <alignment horizontal="center"/>
    </dxf>
    <dxf>
      <alignment horizontal="center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66" formatCode="0.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165" formatCode="0.00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67" formatCode="mm/dd/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numFmt numFmtId="165" formatCode="0.00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EB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J Sutton" refreshedDate="46259.585120138887" createdVersion="8" refreshedVersion="8" minRefreshableVersion="3" recordCount="420" xr:uid="{62758027-916D-4613-9367-4993747D6E91}">
  <cacheSource type="worksheet">
    <worksheetSource name="Games"/>
  </cacheSource>
  <cacheFields count="38">
    <cacheField name="Date" numFmtId="167">
      <sharedItems containsSemiMixedTypes="0" containsNonDate="0" containsDate="1" containsString="0" minDate="2021-05-14T00:00:00" maxDate="2021-10-18T00:00:00"/>
    </cacheField>
    <cacheField name="Season" numFmtId="1">
      <sharedItems containsSemiMixedTypes="0" containsString="0" containsNumber="1" containsInteger="1" minValue="2021" maxValue="2021"/>
    </cacheField>
    <cacheField name="GamesPlayed" numFmtId="1">
      <sharedItems containsSemiMixedTypes="0" containsString="0" containsNumber="1" containsInteger="1" minValue="0" maxValue="202" count="20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 u="1"/>
        <n v="45" u="1"/>
        <n v="46" u="1"/>
        <n v="47" u="1"/>
        <n v="48" u="1"/>
        <n v="49" u="1"/>
        <n v="50" u="1"/>
        <n v="51" u="1"/>
        <n v="52" u="1"/>
        <n v="53" u="1"/>
        <n v="54" u="1"/>
        <n v="55" u="1"/>
        <n v="56" u="1"/>
        <n v="57" u="1"/>
        <n v="58" u="1"/>
        <n v="59" u="1"/>
        <n v="60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82" u="1"/>
        <n v="83" u="1"/>
        <n v="84" u="1"/>
        <n v="85" u="1"/>
        <n v="86" u="1"/>
        <n v="87" u="1"/>
        <n v="88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109" u="1"/>
        <n v="110" u="1"/>
        <n v="111" u="1"/>
        <n v="112" u="1"/>
        <n v="113" u="1"/>
        <n v="114" u="1"/>
        <n v="115" u="1"/>
        <n v="116" u="1"/>
        <n v="117" u="1"/>
        <n v="118" u="1"/>
        <n v="119" u="1"/>
        <n v="120" u="1"/>
        <n v="121" u="1"/>
        <n v="122" u="1"/>
        <n v="123" u="1"/>
        <n v="124" u="1"/>
        <n v="125" u="1"/>
        <n v="126" u="1"/>
        <n v="127" u="1"/>
        <n v="128" u="1"/>
        <n v="129" u="1"/>
        <n v="130" u="1"/>
        <n v="131" u="1"/>
        <n v="132" u="1"/>
        <n v="133" u="1"/>
        <n v="134" u="1"/>
        <n v="135" u="1"/>
        <n v="136" u="1"/>
        <n v="137" u="1"/>
        <n v="138" u="1"/>
        <n v="139" u="1"/>
        <n v="140" u="1"/>
        <n v="141" u="1"/>
        <n v="142" u="1"/>
        <n v="143" u="1"/>
        <n v="144" u="1"/>
        <n v="145" u="1"/>
        <n v="146" u="1"/>
        <n v="147" u="1"/>
        <n v="148" u="1"/>
        <n v="149" u="1"/>
        <n v="150" u="1"/>
        <n v="151" u="1"/>
        <n v="152" u="1"/>
        <n v="153" u="1"/>
        <n v="154" u="1"/>
        <n v="155" u="1"/>
        <n v="156" u="1"/>
        <n v="157" u="1"/>
        <n v="158" u="1"/>
        <n v="159" u="1"/>
        <n v="160" u="1"/>
        <n v="161" u="1"/>
        <n v="162" u="1"/>
        <n v="163" u="1"/>
        <n v="164" u="1"/>
        <n v="165" u="1"/>
        <n v="166" u="1"/>
        <n v="167" u="1"/>
        <n v="168" u="1"/>
        <n v="169" u="1"/>
        <n v="170" u="1"/>
        <n v="171" u="1"/>
        <n v="172" u="1"/>
        <n v="173" u="1"/>
        <n v="174" u="1"/>
        <n v="175" u="1"/>
        <n v="176" u="1"/>
        <n v="177" u="1"/>
        <n v="178" u="1"/>
        <n v="179" u="1"/>
        <n v="180" u="1"/>
        <n v="181" u="1"/>
        <n v="182" u="1"/>
        <n v="183" u="1"/>
        <n v="184" u="1"/>
        <n v="185" u="1"/>
        <n v="186" u="1"/>
        <n v="187" u="1"/>
        <n v="188" u="1"/>
        <n v="189" u="1"/>
        <n v="190" u="1"/>
        <n v="191" u="1"/>
        <n v="192" u="1"/>
        <n v="193" u="1"/>
        <n v="194" u="1"/>
        <n v="195" u="1"/>
        <n v="196" u="1"/>
        <n v="197" u="1"/>
        <n v="198" u="1"/>
        <n v="199" u="1"/>
        <n v="200" u="1"/>
        <n v="201" u="1"/>
        <n v="202" u="1"/>
        <n v="0" u="1"/>
      </sharedItems>
    </cacheField>
    <cacheField name="Type" numFmtId="1">
      <sharedItems/>
    </cacheField>
    <cacheField name="Round" numFmtId="0">
      <sharedItems containsMixedTypes="1" containsNumber="1" minValue="0.1" maxValue="3"/>
    </cacheField>
    <cacheField name="Team" numFmtId="0">
      <sharedItems containsBlank="1" count="59">
        <s v="CON"/>
        <s v="ATL"/>
        <s v="DAL"/>
        <s v="LAS"/>
        <s v="PHX"/>
        <s v="MIN"/>
        <s v="IND"/>
        <s v="NYL"/>
        <s v="LVA"/>
        <s v="SEA"/>
        <s v="CHI"/>
        <s v="WAS"/>
        <s v="SAS" u="1"/>
        <s v="TUL" u="1"/>
        <s v="DET" u="1"/>
        <s v="SAC" u="1"/>
        <s v="HOU" u="1"/>
        <s v="CHA" u="1"/>
        <s v="CLE" u="1"/>
        <s v="UTA" u="1"/>
        <s v="MIA" u="1"/>
        <s v="POR" u="1"/>
        <s v="ORL" u="1"/>
        <s v="NO" u="1"/>
        <s v="TOR" u="1"/>
        <s v="LAL" u="1"/>
        <s v="LAC" u="1"/>
        <s v="BRK" u="1"/>
        <s v="MEM" u="1"/>
        <s v="BOS" u="1"/>
        <s v="PHI" u="1"/>
        <s v="NY" u="1"/>
        <s v="SA" u="1"/>
        <s v="OKC" u="1"/>
        <s v="DEN" u="1"/>
        <s v="MIL" u="1"/>
        <s v="GS" u="1"/>
        <m u="1"/>
        <s v="VAN" u="1"/>
        <s v="BUF" u="1"/>
        <s v="ARI" u="1"/>
        <s v="CIN" u="1"/>
        <s v="SD" u="1"/>
        <s v="NE" u="1"/>
        <s v="NYG" u="1"/>
        <s v="OAK" u="1"/>
        <s v="TEN" u="1"/>
        <s v="PIT" u="1"/>
        <s v="STL" u="1"/>
        <s v="KC" u="1"/>
        <s v="JAX" u="1"/>
        <s v="BAL" u="1"/>
        <s v="NYJ" u="1"/>
        <s v="SF" u="1"/>
        <s v="TB" u="1"/>
        <s v="CAR" u="1"/>
        <s v="GB" u="1"/>
        <s v="LV" u="1"/>
        <s v="LAR" u="1"/>
      </sharedItems>
    </cacheField>
    <cacheField name="Opponent" numFmtId="0">
      <sharedItems/>
    </cacheField>
    <cacheField name="HomeAway" numFmtId="0">
      <sharedItems/>
    </cacheField>
    <cacheField name="DaysOff" numFmtId="1">
      <sharedItems containsSemiMixedTypes="0" containsString="0" containsNumber="1" containsInteger="1" minValue="0" maxValue="35"/>
    </cacheField>
    <cacheField name="OppDaysOff" numFmtId="1">
      <sharedItems containsSemiMixedTypes="0" containsString="0" containsNumber="1" containsInteger="1" minValue="0" maxValue="35"/>
    </cacheField>
    <cacheField name="RestDiff" numFmtId="1">
      <sharedItems containsSemiMixedTypes="0" containsString="0" containsNumber="1" containsInteger="1" minValue="-33" maxValue="33"/>
    </cacheField>
    <cacheField name="OppRestDiff" numFmtId="1">
      <sharedItems containsSemiMixedTypes="0" containsString="0" containsNumber="1" containsInteger="1" minValue="-33" maxValue="33"/>
    </cacheField>
    <cacheField name="RestAdj" numFmtId="0">
      <sharedItems containsSemiMixedTypes="0" containsString="0" containsNumber="1" containsInteger="1" minValue="-16" maxValue="16"/>
    </cacheField>
    <cacheField name="OppRestAdj" numFmtId="0">
      <sharedItems containsSemiMixedTypes="0" containsString="0" containsNumber="1" containsInteger="1" minValue="-16" maxValue="16"/>
    </cacheField>
    <cacheField name="PreGmRate" numFmtId="165">
      <sharedItems containsSemiMixedTypes="0" containsString="0" containsNumber="1" minValue="1294.2109010614895" maxValue="1702.655222534308"/>
    </cacheField>
    <cacheField name="OppPreGmRate" numFmtId="165">
      <sharedItems containsSemiMixedTypes="0" containsString="0" containsNumber="1" minValue="1294.2109010614895" maxValue="1702.655222534308"/>
    </cacheField>
    <cacheField name="ExpectedWin%" numFmtId="165">
      <sharedItems containsSemiMixedTypes="0" containsString="0" containsNumber="1" minValue="6.1230381004687022E-2" maxValue="0.93876961899531286"/>
    </cacheField>
    <cacheField name="PointsFor" numFmtId="0">
      <sharedItems containsSemiMixedTypes="0" containsString="0" containsNumber="1" containsInteger="1" minValue="50" maxValue="118"/>
    </cacheField>
    <cacheField name="PointsAgainst" numFmtId="0">
      <sharedItems containsSemiMixedTypes="0" containsString="0" containsNumber="1" containsInteger="1" minValue="50" maxValue="118"/>
    </cacheField>
    <cacheField name="OT" numFmtId="0">
      <sharedItems containsSemiMixedTypes="0" containsString="0" containsNumber="1" containsInteger="1" minValue="0" maxValue="1"/>
    </cacheField>
    <cacheField name="MOV" numFmtId="0">
      <sharedItems containsSemiMixedTypes="0" containsString="0" containsNumber="1" containsInteger="1" minValue="-36" maxValue="36"/>
    </cacheField>
    <cacheField name="Result" numFmtId="0">
      <sharedItems containsSemiMixedTypes="0" containsString="0" containsNumber="1" containsInteger="1" minValue="0" maxValue="1"/>
    </cacheField>
    <cacheField name="MOVMult" numFmtId="165">
      <sharedItems containsSemiMixedTypes="0" containsString="0" containsNumber="1" minValue="0.19825127353058811" maxValue="0.76555233182640414"/>
    </cacheField>
    <cacheField name="POMult" numFmtId="166">
      <sharedItems containsSemiMixedTypes="0" containsString="0" containsNumber="1" minValue="1" maxValue="1.35"/>
    </cacheField>
    <cacheField name="K" numFmtId="2">
      <sharedItems containsSemiMixedTypes="0" containsString="0" containsNumber="1" minValue="69.55" maxValue="75.849999999999994"/>
    </cacheField>
    <cacheField name="Keff" numFmtId="165">
      <sharedItems containsSemiMixedTypes="0" containsString="0" containsNumber="1" minValue="71.05" maxValue="94.702500000000015"/>
    </cacheField>
    <cacheField name="RatingChange" numFmtId="165">
      <sharedItems containsSemiMixedTypes="0" containsString="0" containsNumber="1" minValue="-38.641269760154934" maxValue="38.477766503059769"/>
    </cacheField>
    <cacheField name="PostGmRate" numFmtId="165">
      <sharedItems containsSemiMixedTypes="0" containsString="0" containsNumber="1" minValue="1294.2109010614895" maxValue="1702.655222534308"/>
    </cacheField>
    <cacheField name="W" numFmtId="1">
      <sharedItems containsSemiMixedTypes="0" containsString="0" containsNumber="1" containsInteger="1" minValue="0" maxValue="1"/>
    </cacheField>
    <cacheField name="L" numFmtId="1">
      <sharedItems containsSemiMixedTypes="0" containsString="0" containsNumber="1" containsInteger="1" minValue="0" maxValue="1"/>
    </cacheField>
    <cacheField name="R1W" numFmtId="1">
      <sharedItems containsSemiMixedTypes="0" containsString="0" containsNumber="1" containsInteger="1" minValue="0" maxValue="1"/>
    </cacheField>
    <cacheField name="R1L" numFmtId="1">
      <sharedItems containsSemiMixedTypes="0" containsString="0" containsNumber="1" containsInteger="1" minValue="0" maxValue="1"/>
    </cacheField>
    <cacheField name="R2W" numFmtId="1">
      <sharedItems containsSemiMixedTypes="0" containsString="0" containsNumber="1" containsInteger="1" minValue="0" maxValue="1"/>
    </cacheField>
    <cacheField name="R2L" numFmtId="1">
      <sharedItems containsSemiMixedTypes="0" containsString="0" containsNumber="1" containsInteger="1" minValue="0" maxValue="1"/>
    </cacheField>
    <cacheField name="R3W" numFmtId="1">
      <sharedItems containsSemiMixedTypes="0" containsString="0" containsNumber="1" containsInteger="1" minValue="0" maxValue="1"/>
    </cacheField>
    <cacheField name="R3L" numFmtId="1">
      <sharedItems containsSemiMixedTypes="0" containsString="0" containsNumber="1" containsInteger="1" minValue="0" maxValue="1"/>
    </cacheField>
    <cacheField name="FW" numFmtId="1">
      <sharedItems containsSemiMixedTypes="0" containsString="0" containsNumber="1" containsInteger="1" minValue="0" maxValue="0"/>
    </cacheField>
    <cacheField name="FL" numFmtId="1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d v="2021-05-14T00:00:00"/>
    <n v="2021"/>
    <x v="0"/>
    <s v="R"/>
    <s v="RS"/>
    <x v="0"/>
    <s v="ATL"/>
    <s v="A"/>
    <n v="0"/>
    <n v="0"/>
    <n v="0"/>
    <n v="0"/>
    <n v="0"/>
    <n v="0"/>
    <n v="1540.7094010252476"/>
    <n v="1442.570626504448"/>
    <n v="0.5203361074832602"/>
    <n v="78"/>
    <n v="67"/>
    <n v="0"/>
    <n v="11"/>
    <n v="1"/>
    <n v="0.40658454601973748"/>
    <n v="1"/>
    <n v="75.849999999999994"/>
    <n v="75.849999999999994"/>
    <n v="14.792564785657241"/>
    <n v="1555.5019658109049"/>
    <n v="1"/>
    <n v="0"/>
    <n v="0"/>
    <n v="0"/>
    <n v="0"/>
    <n v="0"/>
    <n v="0"/>
    <n v="0"/>
    <n v="0"/>
    <n v="0"/>
  </r>
  <r>
    <d v="2021-05-14T00:00:00"/>
    <n v="2021"/>
    <x v="0"/>
    <s v="R"/>
    <s v="RS"/>
    <x v="1"/>
    <s v="CON"/>
    <s v="H"/>
    <n v="0"/>
    <n v="0"/>
    <n v="0"/>
    <n v="0"/>
    <n v="0"/>
    <n v="0"/>
    <n v="1442.570626504448"/>
    <n v="1540.7094010252476"/>
    <n v="0.4796638925167398"/>
    <n v="67"/>
    <n v="78"/>
    <n v="0"/>
    <n v="-11"/>
    <n v="0"/>
    <n v="0.40658454601973748"/>
    <n v="1"/>
    <n v="75.849999999999994"/>
    <n v="75.849999999999994"/>
    <n v="-14.792564785657241"/>
    <n v="1427.7780617187907"/>
    <n v="0"/>
    <n v="1"/>
    <n v="0"/>
    <n v="0"/>
    <n v="0"/>
    <n v="0"/>
    <n v="0"/>
    <n v="0"/>
    <n v="0"/>
    <n v="0"/>
  </r>
  <r>
    <d v="2021-05-14T00:00:00"/>
    <n v="2021"/>
    <x v="0"/>
    <s v="R"/>
    <s v="RS"/>
    <x v="2"/>
    <s v="LAS"/>
    <s v="A"/>
    <n v="0"/>
    <n v="0"/>
    <n v="0"/>
    <n v="0"/>
    <n v="0"/>
    <n v="0"/>
    <n v="1458.0505271021543"/>
    <n v="1527.8052535628258"/>
    <n v="0.2921254918993631"/>
    <n v="94"/>
    <n v="71"/>
    <n v="0"/>
    <n v="23"/>
    <n v="1"/>
    <n v="0.58153382514476737"/>
    <n v="1"/>
    <n v="75.849999999999994"/>
    <n v="75.849999999999994"/>
    <n v="31.223877806223047"/>
    <n v="1489.2744049083774"/>
    <n v="1"/>
    <n v="0"/>
    <n v="0"/>
    <n v="0"/>
    <n v="0"/>
    <n v="0"/>
    <n v="0"/>
    <n v="0"/>
    <n v="0"/>
    <n v="0"/>
  </r>
  <r>
    <d v="2021-05-14T00:00:00"/>
    <n v="2021"/>
    <x v="0"/>
    <s v="R"/>
    <s v="RS"/>
    <x v="3"/>
    <s v="DAL"/>
    <s v="H"/>
    <n v="0"/>
    <n v="0"/>
    <n v="0"/>
    <n v="0"/>
    <n v="0"/>
    <n v="0"/>
    <n v="1527.8052535628258"/>
    <n v="1458.0505271021543"/>
    <n v="0.7078745081006369"/>
    <n v="71"/>
    <n v="94"/>
    <n v="0"/>
    <n v="-23"/>
    <n v="0"/>
    <n v="0.58153382514476737"/>
    <n v="1"/>
    <n v="75.849999999999994"/>
    <n v="75.849999999999994"/>
    <n v="-31.223877806223047"/>
    <n v="1496.5813757566027"/>
    <n v="0"/>
    <n v="1"/>
    <n v="0"/>
    <n v="0"/>
    <n v="0"/>
    <n v="0"/>
    <n v="0"/>
    <n v="0"/>
    <n v="0"/>
    <n v="0"/>
  </r>
  <r>
    <d v="2021-05-14T00:00:00"/>
    <n v="2021"/>
    <x v="0"/>
    <s v="R"/>
    <s v="RS"/>
    <x v="4"/>
    <s v="MIN"/>
    <s v="A"/>
    <n v="0"/>
    <n v="0"/>
    <n v="0"/>
    <n v="0"/>
    <n v="0"/>
    <n v="0"/>
    <n v="1512.5608461110223"/>
    <n v="1518.2922850047244"/>
    <n v="0.37366266281859961"/>
    <n v="77"/>
    <n v="75"/>
    <n v="0"/>
    <n v="2"/>
    <n v="1"/>
    <n v="0.26656813831321147"/>
    <n v="1"/>
    <n v="75.849999999999994"/>
    <n v="75.849999999999994"/>
    <n v="12.664035685876732"/>
    <n v="1525.2248817968991"/>
    <n v="1"/>
    <n v="0"/>
    <n v="0"/>
    <n v="0"/>
    <n v="0"/>
    <n v="0"/>
    <n v="0"/>
    <n v="0"/>
    <n v="0"/>
    <n v="0"/>
  </r>
  <r>
    <d v="2021-05-14T00:00:00"/>
    <n v="2021"/>
    <x v="0"/>
    <s v="R"/>
    <s v="RS"/>
    <x v="5"/>
    <s v="PHX"/>
    <s v="H"/>
    <n v="0"/>
    <n v="0"/>
    <n v="0"/>
    <n v="0"/>
    <n v="0"/>
    <n v="0"/>
    <n v="1518.2922850047244"/>
    <n v="1512.5608461110223"/>
    <n v="0.62633733718140039"/>
    <n v="75"/>
    <n v="77"/>
    <n v="0"/>
    <n v="-2"/>
    <n v="0"/>
    <n v="0.26656813831321147"/>
    <n v="1"/>
    <n v="75.849999999999994"/>
    <n v="75.849999999999994"/>
    <n v="-12.664035685876732"/>
    <n v="1505.6282493188476"/>
    <n v="0"/>
    <n v="1"/>
    <n v="0"/>
    <n v="0"/>
    <n v="0"/>
    <n v="0"/>
    <n v="0"/>
    <n v="0"/>
    <n v="0"/>
    <n v="0"/>
  </r>
  <r>
    <d v="2021-05-14T00:00:00"/>
    <n v="2021"/>
    <x v="0"/>
    <s v="R"/>
    <s v="RS"/>
    <x v="6"/>
    <s v="NYL"/>
    <s v="A"/>
    <n v="0"/>
    <n v="0"/>
    <n v="0"/>
    <n v="0"/>
    <n v="0"/>
    <n v="0"/>
    <n v="1433.1513579183743"/>
    <n v="1381.8033941718413"/>
    <n v="0.45314779836372249"/>
    <n v="87"/>
    <n v="90"/>
    <n v="0"/>
    <n v="-3"/>
    <n v="0"/>
    <n v="0.27827609538427589"/>
    <n v="1"/>
    <n v="75.849999999999994"/>
    <n v="75.849999999999994"/>
    <n v="-9.5647001670143794"/>
    <n v="1423.58665775136"/>
    <n v="0"/>
    <n v="1"/>
    <n v="0"/>
    <n v="0"/>
    <n v="0"/>
    <n v="0"/>
    <n v="0"/>
    <n v="0"/>
    <n v="0"/>
    <n v="0"/>
  </r>
  <r>
    <d v="2021-05-14T00:00:00"/>
    <n v="2021"/>
    <x v="0"/>
    <s v="R"/>
    <s v="RS"/>
    <x v="7"/>
    <s v="IND"/>
    <s v="H"/>
    <n v="0"/>
    <n v="0"/>
    <n v="0"/>
    <n v="0"/>
    <n v="0"/>
    <n v="0"/>
    <n v="1381.8033941718413"/>
    <n v="1433.1513579183743"/>
    <n v="0.54685220163627757"/>
    <n v="90"/>
    <n v="87"/>
    <n v="0"/>
    <n v="3"/>
    <n v="1"/>
    <n v="0.27827609538427589"/>
    <n v="1"/>
    <n v="75.849999999999994"/>
    <n v="75.849999999999994"/>
    <n v="9.5647001670143794"/>
    <n v="1391.3680943388556"/>
    <n v="1"/>
    <n v="0"/>
    <n v="0"/>
    <n v="0"/>
    <n v="0"/>
    <n v="0"/>
    <n v="0"/>
    <n v="0"/>
    <n v="0"/>
    <n v="0"/>
  </r>
  <r>
    <d v="2021-05-15T00:00:00"/>
    <n v="2021"/>
    <x v="0"/>
    <s v="R"/>
    <s v="RS"/>
    <x v="8"/>
    <s v="SEA"/>
    <s v="A"/>
    <n v="1"/>
    <n v="1"/>
    <n v="0"/>
    <n v="0"/>
    <n v="0"/>
    <n v="0"/>
    <n v="1552.9910031520365"/>
    <n v="1630.2801913636583"/>
    <n v="0.28323822578447549"/>
    <n v="83"/>
    <n v="97"/>
    <n v="0"/>
    <n v="-14"/>
    <n v="0"/>
    <n v="0.45810277706975855"/>
    <n v="1"/>
    <n v="75.849999999999994"/>
    <n v="75.849999999999994"/>
    <n v="-9.8417057204470169"/>
    <n v="1543.1492974315895"/>
    <n v="0"/>
    <n v="1"/>
    <n v="0"/>
    <n v="0"/>
    <n v="0"/>
    <n v="0"/>
    <n v="0"/>
    <n v="0"/>
    <n v="0"/>
    <n v="0"/>
  </r>
  <r>
    <d v="2021-05-15T00:00:00"/>
    <n v="2021"/>
    <x v="0"/>
    <s v="R"/>
    <s v="RS"/>
    <x v="9"/>
    <s v="LVA"/>
    <s v="H"/>
    <n v="1"/>
    <n v="1"/>
    <n v="0"/>
    <n v="0"/>
    <n v="0"/>
    <n v="0"/>
    <n v="1630.2801913636583"/>
    <n v="1552.9910031520365"/>
    <n v="0.71676177421552456"/>
    <n v="97"/>
    <n v="83"/>
    <n v="0"/>
    <n v="14"/>
    <n v="1"/>
    <n v="0.45810277706975855"/>
    <n v="1"/>
    <n v="75.849999999999994"/>
    <n v="75.849999999999994"/>
    <n v="9.8417057204470151"/>
    <n v="1640.1218970841053"/>
    <n v="1"/>
    <n v="0"/>
    <n v="0"/>
    <n v="0"/>
    <n v="0"/>
    <n v="0"/>
    <n v="0"/>
    <n v="0"/>
    <n v="0"/>
    <n v="0"/>
  </r>
  <r>
    <d v="2021-05-15T00:00:00"/>
    <n v="2021"/>
    <x v="0"/>
    <s v="R"/>
    <s v="RS"/>
    <x v="10"/>
    <s v="WAS"/>
    <s v="A"/>
    <n v="1"/>
    <n v="1"/>
    <n v="0"/>
    <n v="0"/>
    <n v="0"/>
    <n v="0"/>
    <n v="1502.1110580436962"/>
    <n v="1499.9681201953374"/>
    <n v="0.38433057250299768"/>
    <n v="70"/>
    <n v="56"/>
    <n v="0"/>
    <n v="14"/>
    <n v="1"/>
    <n v="0.48673889420189004"/>
    <n v="1"/>
    <n v="75.849999999999994"/>
    <n v="75.849999999999994"/>
    <n v="22.729988942918848"/>
    <n v="1524.8410469866151"/>
    <n v="1"/>
    <n v="0"/>
    <n v="0"/>
    <n v="0"/>
    <n v="0"/>
    <n v="0"/>
    <n v="0"/>
    <n v="0"/>
    <n v="0"/>
    <n v="0"/>
  </r>
  <r>
    <d v="2021-05-15T00:00:00"/>
    <n v="2021"/>
    <x v="0"/>
    <s v="R"/>
    <s v="RS"/>
    <x v="11"/>
    <s v="CHI"/>
    <s v="H"/>
    <n v="1"/>
    <n v="1"/>
    <n v="0"/>
    <n v="0"/>
    <n v="0"/>
    <n v="0"/>
    <n v="1499.9681201953374"/>
    <n v="1502.1110580436962"/>
    <n v="0.61566942749700238"/>
    <n v="56"/>
    <n v="70"/>
    <n v="0"/>
    <n v="-14"/>
    <n v="0"/>
    <n v="0.48673889420189004"/>
    <n v="1"/>
    <n v="75.849999999999994"/>
    <n v="75.849999999999994"/>
    <n v="-22.729988942918851"/>
    <n v="1477.2381312524185"/>
    <n v="0"/>
    <n v="1"/>
    <n v="0"/>
    <n v="0"/>
    <n v="0"/>
    <n v="0"/>
    <n v="0"/>
    <n v="0"/>
    <n v="0"/>
    <n v="0"/>
  </r>
  <r>
    <d v="2021-05-16T00:00:00"/>
    <n v="2021"/>
    <x v="1"/>
    <s v="R"/>
    <s v="RS"/>
    <x v="4"/>
    <s v="CON"/>
    <s v="A"/>
    <n v="1"/>
    <n v="1"/>
    <n v="0"/>
    <n v="0"/>
    <n v="0"/>
    <n v="0"/>
    <n v="1525.2248817968991"/>
    <n v="1555.5019658109049"/>
    <n v="0.34122684120599683"/>
    <n v="78"/>
    <n v="86"/>
    <n v="0"/>
    <n v="-8"/>
    <n v="0"/>
    <n v="0.37875910074116426"/>
    <n v="1"/>
    <n v="75.7"/>
    <n v="75.7"/>
    <n v="-9.7836778043616075"/>
    <n v="1515.4412039925376"/>
    <n v="0"/>
    <n v="1"/>
    <n v="0"/>
    <n v="0"/>
    <n v="0"/>
    <n v="0"/>
    <n v="0"/>
    <n v="0"/>
    <n v="0"/>
    <n v="0"/>
  </r>
  <r>
    <d v="2021-05-16T00:00:00"/>
    <n v="2021"/>
    <x v="1"/>
    <s v="R"/>
    <s v="RS"/>
    <x v="0"/>
    <s v="PHX"/>
    <s v="H"/>
    <n v="1"/>
    <n v="1"/>
    <n v="0"/>
    <n v="0"/>
    <n v="0"/>
    <n v="0"/>
    <n v="1555.5019658109049"/>
    <n v="1525.2248817968991"/>
    <n v="0.65877315879400311"/>
    <n v="86"/>
    <n v="78"/>
    <n v="0"/>
    <n v="8"/>
    <n v="1"/>
    <n v="0.37875910074116426"/>
    <n v="1"/>
    <n v="75.7"/>
    <n v="75.7"/>
    <n v="9.7836778043616093"/>
    <n v="1565.2856436152665"/>
    <n v="1"/>
    <n v="0"/>
    <n v="0"/>
    <n v="0"/>
    <n v="0"/>
    <n v="0"/>
    <n v="0"/>
    <n v="0"/>
    <n v="0"/>
    <n v="0"/>
  </r>
  <r>
    <d v="2021-05-16T00:00:00"/>
    <n v="2021"/>
    <x v="1"/>
    <s v="R"/>
    <s v="RS"/>
    <x v="7"/>
    <s v="IND"/>
    <s v="A"/>
    <n v="1"/>
    <n v="1"/>
    <n v="0"/>
    <n v="0"/>
    <n v="0"/>
    <n v="0"/>
    <n v="1391.3680943388556"/>
    <n v="1423.58665775136"/>
    <n v="0.33871904004526965"/>
    <n v="73"/>
    <n v="65"/>
    <n v="0"/>
    <n v="8"/>
    <n v="1"/>
    <n v="0.37816232918381459"/>
    <n v="1"/>
    <n v="75.7"/>
    <n v="75.7"/>
    <n v="18.930416188247197"/>
    <n v="1410.2985105271027"/>
    <n v="1"/>
    <n v="0"/>
    <n v="0"/>
    <n v="0"/>
    <n v="0"/>
    <n v="0"/>
    <n v="0"/>
    <n v="0"/>
    <n v="0"/>
    <n v="0"/>
  </r>
  <r>
    <d v="2021-05-16T00:00:00"/>
    <n v="2021"/>
    <x v="1"/>
    <s v="R"/>
    <s v="RS"/>
    <x v="6"/>
    <s v="NYL"/>
    <s v="H"/>
    <n v="1"/>
    <n v="1"/>
    <n v="0"/>
    <n v="0"/>
    <n v="0"/>
    <n v="0"/>
    <n v="1423.58665775136"/>
    <n v="1391.3680943388556"/>
    <n v="0.66128095995473035"/>
    <n v="65"/>
    <n v="73"/>
    <n v="0"/>
    <n v="-8"/>
    <n v="0"/>
    <n v="0.37816232918381459"/>
    <n v="1"/>
    <n v="75.7"/>
    <n v="75.7"/>
    <n v="-18.930416188247197"/>
    <n v="1404.6562415631129"/>
    <n v="0"/>
    <n v="1"/>
    <n v="0"/>
    <n v="0"/>
    <n v="0"/>
    <n v="0"/>
    <n v="0"/>
    <n v="0"/>
    <n v="0"/>
    <n v="0"/>
  </r>
  <r>
    <d v="2021-05-18T00:00:00"/>
    <n v="2021"/>
    <x v="1"/>
    <s v="R"/>
    <s v="RS"/>
    <x v="5"/>
    <s v="NYL"/>
    <s v="A"/>
    <n v="3"/>
    <n v="1"/>
    <n v="2"/>
    <n v="-2"/>
    <n v="16"/>
    <n v="-16"/>
    <n v="1505.6282493188476"/>
    <n v="1410.2985105271027"/>
    <n v="0.56203522142231011"/>
    <n v="75"/>
    <n v="86"/>
    <n v="0"/>
    <n v="-11"/>
    <n v="0"/>
    <n v="0.40746626013657411"/>
    <n v="1"/>
    <n v="75.7"/>
    <n v="75.7"/>
    <n v="-17.336086503165092"/>
    <n v="1488.2921628156826"/>
    <n v="0"/>
    <n v="1"/>
    <n v="0"/>
    <n v="0"/>
    <n v="0"/>
    <n v="0"/>
    <n v="0"/>
    <n v="0"/>
    <n v="0"/>
    <n v="0"/>
  </r>
  <r>
    <d v="2021-05-18T00:00:00"/>
    <n v="2021"/>
    <x v="2"/>
    <s v="R"/>
    <s v="RS"/>
    <x v="7"/>
    <s v="MIN"/>
    <s v="H"/>
    <n v="1"/>
    <n v="3"/>
    <n v="-2"/>
    <n v="2"/>
    <n v="-16"/>
    <n v="16"/>
    <n v="1410.2985105271027"/>
    <n v="1505.6282493188476"/>
    <n v="0.43796477857768995"/>
    <n v="86"/>
    <n v="75"/>
    <n v="0"/>
    <n v="11"/>
    <n v="1"/>
    <n v="0.40746626013657411"/>
    <n v="1"/>
    <n v="75.55"/>
    <n v="75.55"/>
    <n v="17.301734944704393"/>
    <n v="1427.6002454718071"/>
    <n v="1"/>
    <n v="0"/>
    <n v="0"/>
    <n v="0"/>
    <n v="0"/>
    <n v="0"/>
    <n v="0"/>
    <n v="0"/>
    <n v="0"/>
    <n v="0"/>
  </r>
  <r>
    <d v="2021-05-18T00:00:00"/>
    <n v="2021"/>
    <x v="1"/>
    <s v="R"/>
    <s v="RS"/>
    <x v="8"/>
    <s v="SEA"/>
    <s v="A"/>
    <n v="2"/>
    <n v="2"/>
    <n v="0"/>
    <n v="0"/>
    <n v="0"/>
    <n v="0"/>
    <n v="1543.1492974315895"/>
    <n v="1640.1218970841053"/>
    <n v="0.26081015302004668"/>
    <n v="96"/>
    <n v="80"/>
    <n v="0"/>
    <n v="16"/>
    <n v="1"/>
    <n v="0.47907198571700299"/>
    <n v="1"/>
    <n v="75.7"/>
    <n v="75.7"/>
    <n v="26.807273689560212"/>
    <n v="1569.9565711211496"/>
    <n v="1"/>
    <n v="0"/>
    <n v="0"/>
    <n v="0"/>
    <n v="0"/>
    <n v="0"/>
    <n v="0"/>
    <n v="0"/>
    <n v="0"/>
    <n v="0"/>
  </r>
  <r>
    <d v="2021-05-18T00:00:00"/>
    <n v="2021"/>
    <x v="1"/>
    <s v="R"/>
    <s v="RS"/>
    <x v="9"/>
    <s v="LVA"/>
    <s v="H"/>
    <n v="2"/>
    <n v="2"/>
    <n v="0"/>
    <n v="0"/>
    <n v="0"/>
    <n v="0"/>
    <n v="1640.1218970841053"/>
    <n v="1543.1492974315895"/>
    <n v="0.73918984697995338"/>
    <n v="80"/>
    <n v="96"/>
    <n v="0"/>
    <n v="-16"/>
    <n v="0"/>
    <n v="0.47907198571700299"/>
    <n v="1"/>
    <n v="75.7"/>
    <n v="75.7"/>
    <n v="-26.807273689560212"/>
    <n v="1613.3146233945452"/>
    <n v="0"/>
    <n v="1"/>
    <n v="0"/>
    <n v="0"/>
    <n v="0"/>
    <n v="0"/>
    <n v="0"/>
    <n v="0"/>
    <n v="0"/>
    <n v="0"/>
  </r>
  <r>
    <d v="2021-05-18T00:00:00"/>
    <n v="2021"/>
    <x v="2"/>
    <s v="R"/>
    <s v="RS"/>
    <x v="4"/>
    <s v="WAS"/>
    <s v="A"/>
    <n v="1"/>
    <n v="2"/>
    <n v="-1"/>
    <n v="1"/>
    <n v="-8"/>
    <n v="8"/>
    <n v="1515.4412039925376"/>
    <n v="1477.2381312524185"/>
    <n v="0.41199319015114522"/>
    <n v="91"/>
    <n v="70"/>
    <n v="0"/>
    <n v="21"/>
    <n v="1"/>
    <n v="0.57041656806898022"/>
    <n v="1"/>
    <n v="75.55"/>
    <n v="75.55"/>
    <n v="25.340136840199335"/>
    <n v="1540.781340832737"/>
    <n v="1"/>
    <n v="0"/>
    <n v="0"/>
    <n v="0"/>
    <n v="0"/>
    <n v="0"/>
    <n v="0"/>
    <n v="0"/>
    <n v="0"/>
    <n v="0"/>
  </r>
  <r>
    <d v="2021-05-18T00:00:00"/>
    <n v="2021"/>
    <x v="1"/>
    <s v="R"/>
    <s v="RS"/>
    <x v="11"/>
    <s v="PHX"/>
    <s v="H"/>
    <n v="2"/>
    <n v="1"/>
    <n v="1"/>
    <n v="-1"/>
    <n v="8"/>
    <n v="-8"/>
    <n v="1477.2381312524185"/>
    <n v="1515.4412039925376"/>
    <n v="0.58800680984885478"/>
    <n v="70"/>
    <n v="91"/>
    <n v="0"/>
    <n v="-21"/>
    <n v="0"/>
    <n v="0.57041656806898022"/>
    <n v="1"/>
    <n v="75.7"/>
    <n v="75.7"/>
    <n v="-25.390448164170611"/>
    <n v="1451.8476830882478"/>
    <n v="0"/>
    <n v="1"/>
    <n v="0"/>
    <n v="0"/>
    <n v="0"/>
    <n v="0"/>
    <n v="0"/>
    <n v="0"/>
    <n v="0"/>
    <n v="0"/>
  </r>
  <r>
    <d v="2021-05-19T00:00:00"/>
    <n v="2021"/>
    <x v="1"/>
    <s v="R"/>
    <s v="RS"/>
    <x v="10"/>
    <s v="ATL"/>
    <s v="A"/>
    <n v="3"/>
    <n v="4"/>
    <n v="-1"/>
    <n v="1"/>
    <n v="-8"/>
    <n v="8"/>
    <n v="1524.8410469866151"/>
    <n v="1427.7780617187907"/>
    <n v="0.4957733967147272"/>
    <n v="85"/>
    <n v="77"/>
    <n v="0"/>
    <n v="8"/>
    <n v="1"/>
    <n v="0.35925675722477646"/>
    <n v="1"/>
    <n v="75.7"/>
    <n v="75.7"/>
    <n v="13.71281385028673"/>
    <n v="1538.5538608369018"/>
    <n v="1"/>
    <n v="0"/>
    <n v="0"/>
    <n v="0"/>
    <n v="0"/>
    <n v="0"/>
    <n v="0"/>
    <n v="0"/>
    <n v="0"/>
    <n v="0"/>
  </r>
  <r>
    <d v="2021-05-19T00:00:00"/>
    <n v="2021"/>
    <x v="1"/>
    <s v="R"/>
    <s v="RS"/>
    <x v="1"/>
    <s v="CHI"/>
    <s v="H"/>
    <n v="4"/>
    <n v="3"/>
    <n v="1"/>
    <n v="-1"/>
    <n v="8"/>
    <n v="-8"/>
    <n v="1427.7780617187907"/>
    <n v="1524.8410469866151"/>
    <n v="0.5042266032852728"/>
    <n v="77"/>
    <n v="85"/>
    <n v="0"/>
    <n v="-8"/>
    <n v="0"/>
    <n v="0.35925675722477646"/>
    <n v="1"/>
    <n v="75.7"/>
    <n v="75.7"/>
    <n v="-13.71281385028673"/>
    <n v="1414.065247868504"/>
    <n v="0"/>
    <n v="1"/>
    <n v="0"/>
    <n v="0"/>
    <n v="0"/>
    <n v="0"/>
    <n v="0"/>
    <n v="0"/>
    <n v="0"/>
    <n v="0"/>
  </r>
  <r>
    <d v="2021-05-19T00:00:00"/>
    <n v="2021"/>
    <x v="2"/>
    <s v="R"/>
    <s v="RS"/>
    <x v="6"/>
    <s v="CON"/>
    <s v="A"/>
    <n v="2"/>
    <n v="2"/>
    <n v="0"/>
    <n v="0"/>
    <n v="0"/>
    <n v="0"/>
    <n v="1404.6562415631129"/>
    <n v="1565.2856436152665"/>
    <n v="0.19651811314777817"/>
    <n v="67"/>
    <n v="88"/>
    <n v="0"/>
    <n v="-21"/>
    <n v="0"/>
    <n v="0.51909178668315448"/>
    <n v="1"/>
    <n v="75.55"/>
    <n v="75.55"/>
    <n v="-7.706926401369401"/>
    <n v="1396.9493151617435"/>
    <n v="0"/>
    <n v="1"/>
    <n v="0"/>
    <n v="0"/>
    <n v="0"/>
    <n v="0"/>
    <n v="0"/>
    <n v="0"/>
    <n v="0"/>
    <n v="0"/>
  </r>
  <r>
    <d v="2021-05-19T00:00:00"/>
    <n v="2021"/>
    <x v="2"/>
    <s v="R"/>
    <s v="RS"/>
    <x v="0"/>
    <s v="IND"/>
    <s v="H"/>
    <n v="2"/>
    <n v="2"/>
    <n v="0"/>
    <n v="0"/>
    <n v="0"/>
    <n v="0"/>
    <n v="1565.2856436152665"/>
    <n v="1404.6562415631129"/>
    <n v="0.80348188685222188"/>
    <n v="88"/>
    <n v="67"/>
    <n v="0"/>
    <n v="21"/>
    <n v="1"/>
    <n v="0.51909178668315448"/>
    <n v="1"/>
    <n v="75.55"/>
    <n v="75.55"/>
    <n v="7.7069264013693992"/>
    <n v="1572.9925700166359"/>
    <n v="1"/>
    <n v="0"/>
    <n v="0"/>
    <n v="0"/>
    <n v="0"/>
    <n v="0"/>
    <n v="0"/>
    <n v="0"/>
    <n v="0"/>
    <n v="0"/>
  </r>
  <r>
    <d v="2021-05-20T00:00:00"/>
    <n v="2021"/>
    <x v="2"/>
    <s v="R"/>
    <s v="RS"/>
    <x v="9"/>
    <s v="MIN"/>
    <s v="A"/>
    <n v="1"/>
    <n v="1"/>
    <n v="0"/>
    <n v="0"/>
    <n v="0"/>
    <n v="0"/>
    <n v="1613.3146233945452"/>
    <n v="1488.2921628156826"/>
    <n v="0.55876324647239506"/>
    <n v="90"/>
    <n v="78"/>
    <n v="0"/>
    <n v="12"/>
    <n v="1"/>
    <n v="0.41309136107226874"/>
    <n v="1"/>
    <n v="75.55"/>
    <n v="75.55"/>
    <n v="13.770580930325467"/>
    <n v="1627.0852043248706"/>
    <n v="1"/>
    <n v="0"/>
    <n v="0"/>
    <n v="0"/>
    <n v="0"/>
    <n v="0"/>
    <n v="0"/>
    <n v="0"/>
    <n v="0"/>
    <n v="0"/>
  </r>
  <r>
    <d v="2021-05-20T00:00:00"/>
    <n v="2021"/>
    <x v="2"/>
    <s v="R"/>
    <s v="RS"/>
    <x v="5"/>
    <s v="SEA"/>
    <s v="H"/>
    <n v="1"/>
    <n v="1"/>
    <n v="0"/>
    <n v="0"/>
    <n v="0"/>
    <n v="0"/>
    <n v="1488.2921628156826"/>
    <n v="1613.3146233945452"/>
    <n v="0.44123675352760494"/>
    <n v="78"/>
    <n v="90"/>
    <n v="0"/>
    <n v="-12"/>
    <n v="0"/>
    <n v="0.41309136107226874"/>
    <n v="1"/>
    <n v="75.55"/>
    <n v="75.55"/>
    <n v="-13.770580930325467"/>
    <n v="1474.5215818853571"/>
    <n v="0"/>
    <n v="1"/>
    <n v="0"/>
    <n v="0"/>
    <n v="0"/>
    <n v="0"/>
    <n v="0"/>
    <n v="0"/>
    <n v="0"/>
    <n v="0"/>
  </r>
  <r>
    <d v="2021-05-21T00:00:00"/>
    <n v="2021"/>
    <x v="2"/>
    <s v="R"/>
    <s v="RS"/>
    <x v="1"/>
    <s v="IND"/>
    <s v="A"/>
    <n v="1"/>
    <n v="1"/>
    <n v="0"/>
    <n v="0"/>
    <n v="0"/>
    <n v="0"/>
    <n v="1414.065247868504"/>
    <n v="1396.9493151617435"/>
    <n v="0.40491775733808577"/>
    <n v="83"/>
    <n v="79"/>
    <n v="0"/>
    <n v="4"/>
    <n v="1"/>
    <n v="0.30705315068346517"/>
    <n v="1"/>
    <n v="75.55"/>
    <n v="75.55"/>
    <n v="13.804637847023052"/>
    <n v="1427.8698857155271"/>
    <n v="1"/>
    <n v="0"/>
    <n v="0"/>
    <n v="0"/>
    <n v="0"/>
    <n v="0"/>
    <n v="0"/>
    <n v="0"/>
    <n v="0"/>
    <n v="0"/>
  </r>
  <r>
    <d v="2021-05-21T00:00:00"/>
    <n v="2021"/>
    <x v="3"/>
    <s v="R"/>
    <s v="RS"/>
    <x v="6"/>
    <s v="ATL"/>
    <s v="H"/>
    <n v="1"/>
    <n v="1"/>
    <n v="0"/>
    <n v="0"/>
    <n v="0"/>
    <n v="0"/>
    <n v="1396.9493151617435"/>
    <n v="1414.065247868504"/>
    <n v="0.59508224266191423"/>
    <n v="79"/>
    <n v="83"/>
    <n v="0"/>
    <n v="-4"/>
    <n v="0"/>
    <n v="0.30705315068346517"/>
    <n v="1"/>
    <n v="75.400000000000006"/>
    <n v="75.400000000000006"/>
    <n v="-13.777229565394284"/>
    <n v="1383.1720855963492"/>
    <n v="0"/>
    <n v="1"/>
    <n v="0"/>
    <n v="0"/>
    <n v="0"/>
    <n v="0"/>
    <n v="0"/>
    <n v="0"/>
    <n v="0"/>
    <n v="0"/>
  </r>
  <r>
    <d v="2021-05-21T00:00:00"/>
    <n v="2021"/>
    <x v="1"/>
    <s v="R"/>
    <s v="RS"/>
    <x v="3"/>
    <s v="LVA"/>
    <s v="A"/>
    <n v="6"/>
    <n v="2"/>
    <n v="4"/>
    <n v="-4"/>
    <n v="16"/>
    <n v="-16"/>
    <n v="1496.5813757566027"/>
    <n v="1569.9565711211496"/>
    <n v="0.32701485915916628"/>
    <n v="69"/>
    <n v="97"/>
    <n v="0"/>
    <n v="-28"/>
    <n v="0"/>
    <n v="0.639958745114387"/>
    <n v="1"/>
    <n v="75.7"/>
    <n v="75.7"/>
    <n v="-15.842194630825237"/>
    <n v="1480.7391811257776"/>
    <n v="0"/>
    <n v="1"/>
    <n v="0"/>
    <n v="0"/>
    <n v="0"/>
    <n v="0"/>
    <n v="0"/>
    <n v="0"/>
    <n v="0"/>
    <n v="0"/>
  </r>
  <r>
    <d v="2021-05-21T00:00:00"/>
    <n v="2021"/>
    <x v="2"/>
    <s v="R"/>
    <s v="RS"/>
    <x v="8"/>
    <s v="LAS"/>
    <s v="H"/>
    <n v="2"/>
    <n v="6"/>
    <n v="-4"/>
    <n v="4"/>
    <n v="-16"/>
    <n v="16"/>
    <n v="1569.9565711211496"/>
    <n v="1496.5813757566027"/>
    <n v="0.67298514084083383"/>
    <n v="97"/>
    <n v="69"/>
    <n v="0"/>
    <n v="28"/>
    <n v="1"/>
    <n v="0.639958745114387"/>
    <n v="1"/>
    <n v="75.55"/>
    <n v="75.55"/>
    <n v="15.810803227990039"/>
    <n v="1585.7673743491396"/>
    <n v="1"/>
    <n v="0"/>
    <n v="0"/>
    <n v="0"/>
    <n v="0"/>
    <n v="0"/>
    <n v="0"/>
    <n v="0"/>
    <n v="0"/>
    <n v="0"/>
  </r>
  <r>
    <d v="2021-05-21T00:00:00"/>
    <n v="2021"/>
    <x v="3"/>
    <s v="R"/>
    <s v="RS"/>
    <x v="0"/>
    <s v="PHX"/>
    <s v="A"/>
    <n v="1"/>
    <n v="2"/>
    <n v="-1"/>
    <n v="1"/>
    <n v="-8"/>
    <n v="8"/>
    <n v="1572.9925700166359"/>
    <n v="1540.781340832737"/>
    <n v="0.40366349087048436"/>
    <n v="84"/>
    <n v="67"/>
    <n v="0"/>
    <n v="17"/>
    <n v="1"/>
    <n v="0.51852350292373517"/>
    <n v="1"/>
    <n v="75.400000000000006"/>
    <n v="75.400000000000006"/>
    <n v="23.314772970890193"/>
    <n v="1596.307342987526"/>
    <n v="1"/>
    <n v="0"/>
    <n v="0"/>
    <n v="0"/>
    <n v="0"/>
    <n v="0"/>
    <n v="0"/>
    <n v="0"/>
    <n v="0"/>
    <n v="0"/>
  </r>
  <r>
    <d v="2021-05-21T00:00:00"/>
    <n v="2021"/>
    <x v="3"/>
    <s v="R"/>
    <s v="RS"/>
    <x v="4"/>
    <s v="CON"/>
    <s v="H"/>
    <n v="2"/>
    <n v="1"/>
    <n v="1"/>
    <n v="-1"/>
    <n v="8"/>
    <n v="-8"/>
    <n v="1540.781340832737"/>
    <n v="1572.9925700166359"/>
    <n v="0.59633650912951564"/>
    <n v="67"/>
    <n v="84"/>
    <n v="0"/>
    <n v="-17"/>
    <n v="0"/>
    <n v="0.51852350292373517"/>
    <n v="1"/>
    <n v="75.400000000000006"/>
    <n v="75.400000000000006"/>
    <n v="-23.314772970890193"/>
    <n v="1517.4665678618469"/>
    <n v="0"/>
    <n v="1"/>
    <n v="0"/>
    <n v="0"/>
    <n v="0"/>
    <n v="0"/>
    <n v="0"/>
    <n v="0"/>
    <n v="0"/>
    <n v="0"/>
  </r>
  <r>
    <d v="2021-05-21T00:00:00"/>
    <n v="2021"/>
    <x v="3"/>
    <s v="R"/>
    <s v="RS"/>
    <x v="7"/>
    <s v="WAS"/>
    <s v="A"/>
    <n v="2"/>
    <n v="2"/>
    <n v="0"/>
    <n v="0"/>
    <n v="0"/>
    <n v="0"/>
    <n v="1427.6002454718071"/>
    <n v="1451.8476830882478"/>
    <n v="0.3490716573143901"/>
    <n v="72"/>
    <n v="101"/>
    <n v="0"/>
    <n v="-29"/>
    <n v="0"/>
    <n v="0.67766982271851461"/>
    <n v="1"/>
    <n v="75.400000000000006"/>
    <n v="75.400000000000006"/>
    <n v="-17.836271740873883"/>
    <n v="1409.7639737309332"/>
    <n v="0"/>
    <n v="1"/>
    <n v="0"/>
    <n v="0"/>
    <n v="0"/>
    <n v="0"/>
    <n v="0"/>
    <n v="0"/>
    <n v="0"/>
    <n v="0"/>
  </r>
  <r>
    <d v="2021-05-21T00:00:00"/>
    <n v="2021"/>
    <x v="2"/>
    <s v="R"/>
    <s v="RS"/>
    <x v="11"/>
    <s v="NYL"/>
    <s v="H"/>
    <n v="2"/>
    <n v="2"/>
    <n v="0"/>
    <n v="0"/>
    <n v="0"/>
    <n v="0"/>
    <n v="1451.8476830882478"/>
    <n v="1427.6002454718071"/>
    <n v="0.65092834268560995"/>
    <n v="101"/>
    <n v="72"/>
    <n v="0"/>
    <n v="29"/>
    <n v="1"/>
    <n v="0.67766982271851461"/>
    <n v="1"/>
    <n v="75.55"/>
    <n v="75.55"/>
    <n v="17.871755040093124"/>
    <n v="1469.7194381283409"/>
    <n v="1"/>
    <n v="0"/>
    <n v="0"/>
    <n v="0"/>
    <n v="0"/>
    <n v="0"/>
    <n v="0"/>
    <n v="0"/>
    <n v="0"/>
    <n v="0"/>
  </r>
  <r>
    <d v="2021-05-22T00:00:00"/>
    <n v="2021"/>
    <x v="3"/>
    <s v="R"/>
    <s v="RS"/>
    <x v="9"/>
    <s v="DAL"/>
    <s v="A"/>
    <n v="1"/>
    <n v="7"/>
    <n v="-6"/>
    <n v="6"/>
    <n v="-16"/>
    <n v="16"/>
    <n v="1627.0852043248706"/>
    <n v="1489.2744049083774"/>
    <n v="0.53134709580635853"/>
    <n v="100"/>
    <n v="97"/>
    <n v="1"/>
    <n v="3"/>
    <n v="1"/>
    <n v="0.23426197704735091"/>
    <n v="1"/>
    <n v="75.400000000000006"/>
    <n v="75.400000000000006"/>
    <n v="8.2779817137580434"/>
    <n v="1635.3631860386286"/>
    <n v="1"/>
    <n v="0"/>
    <n v="0"/>
    <n v="0"/>
    <n v="0"/>
    <n v="0"/>
    <n v="0"/>
    <n v="0"/>
    <n v="0"/>
    <n v="0"/>
  </r>
  <r>
    <d v="2021-05-22T00:00:00"/>
    <n v="2021"/>
    <x v="1"/>
    <s v="R"/>
    <s v="RS"/>
    <x v="2"/>
    <s v="SEA"/>
    <s v="H"/>
    <n v="7"/>
    <n v="1"/>
    <n v="6"/>
    <n v="-6"/>
    <n v="16"/>
    <n v="-16"/>
    <n v="1489.2744049083774"/>
    <n v="1627.0852043248706"/>
    <n v="0.46865290419364153"/>
    <n v="97"/>
    <n v="100"/>
    <n v="1"/>
    <n v="-3"/>
    <n v="0"/>
    <n v="0.23426197704735091"/>
    <n v="1"/>
    <n v="75.7"/>
    <n v="75.7"/>
    <n v="-8.3109179805236604"/>
    <n v="1480.9634869278536"/>
    <n v="0"/>
    <n v="1"/>
    <n v="0"/>
    <n v="0"/>
    <n v="0"/>
    <n v="0"/>
    <n v="0"/>
    <n v="0"/>
    <n v="0"/>
    <n v="0"/>
  </r>
  <r>
    <d v="2021-05-23T00:00:00"/>
    <n v="2021"/>
    <x v="4"/>
    <s v="R"/>
    <s v="RS"/>
    <x v="7"/>
    <s v="CHI"/>
    <s v="A"/>
    <n v="1"/>
    <n v="3"/>
    <n v="-2"/>
    <n v="2"/>
    <n v="-16"/>
    <n v="16"/>
    <n v="1409.7639737309332"/>
    <n v="1538.5538608369018"/>
    <n v="0.19637228304179946"/>
    <n v="93"/>
    <n v="85"/>
    <n v="0"/>
    <n v="8"/>
    <n v="1"/>
    <n v="0.35067894971603264"/>
    <n v="1"/>
    <n v="75.25"/>
    <n v="75.25"/>
    <n v="21.206603111856019"/>
    <n v="1430.9705768427893"/>
    <n v="1"/>
    <n v="0"/>
    <n v="0"/>
    <n v="0"/>
    <n v="0"/>
    <n v="0"/>
    <n v="0"/>
    <n v="0"/>
    <n v="0"/>
    <n v="0"/>
  </r>
  <r>
    <d v="2021-05-23T00:00:00"/>
    <n v="2021"/>
    <x v="2"/>
    <s v="R"/>
    <s v="RS"/>
    <x v="10"/>
    <s v="NYL"/>
    <s v="H"/>
    <n v="3"/>
    <n v="1"/>
    <n v="2"/>
    <n v="-2"/>
    <n v="16"/>
    <n v="-16"/>
    <n v="1538.5538608369018"/>
    <n v="1409.7639737309332"/>
    <n v="0.80362771695820057"/>
    <n v="85"/>
    <n v="93"/>
    <n v="0"/>
    <n v="-8"/>
    <n v="0"/>
    <n v="0.35067894971603264"/>
    <n v="1"/>
    <n v="75.55"/>
    <n v="75.55"/>
    <n v="-21.291147708979697"/>
    <n v="1517.2627131279221"/>
    <n v="0"/>
    <n v="1"/>
    <n v="0"/>
    <n v="0"/>
    <n v="0"/>
    <n v="0"/>
    <n v="0"/>
    <n v="0"/>
    <n v="0"/>
    <n v="0"/>
  </r>
  <r>
    <d v="2021-05-23T00:00:00"/>
    <n v="2021"/>
    <x v="3"/>
    <s v="R"/>
    <s v="RS"/>
    <x v="11"/>
    <s v="IND"/>
    <s v="A"/>
    <n v="1"/>
    <n v="1"/>
    <n v="0"/>
    <n v="0"/>
    <n v="0"/>
    <n v="0"/>
    <n v="1469.7194381283409"/>
    <n v="1383.1720855963492"/>
    <n v="0.50366586929158597"/>
    <n v="77"/>
    <n v="89"/>
    <n v="0"/>
    <n v="-12"/>
    <n v="0"/>
    <n v="0.42544515024233293"/>
    <n v="1"/>
    <n v="75.400000000000006"/>
    <n v="75.400000000000006"/>
    <n v="-16.156877988025126"/>
    <n v="1453.5625601403158"/>
    <n v="0"/>
    <n v="1"/>
    <n v="0"/>
    <n v="0"/>
    <n v="0"/>
    <n v="0"/>
    <n v="0"/>
    <n v="0"/>
    <n v="0"/>
    <n v="0"/>
  </r>
  <r>
    <d v="2021-05-23T00:00:00"/>
    <n v="2021"/>
    <x v="4"/>
    <s v="R"/>
    <s v="RS"/>
    <x v="6"/>
    <s v="WAS"/>
    <s v="H"/>
    <n v="1"/>
    <n v="1"/>
    <n v="0"/>
    <n v="0"/>
    <n v="0"/>
    <n v="0"/>
    <n v="1383.1720855963492"/>
    <n v="1469.7194381283409"/>
    <n v="0.49633413070841398"/>
    <n v="89"/>
    <n v="77"/>
    <n v="0"/>
    <n v="12"/>
    <n v="1"/>
    <n v="0.42544515024233293"/>
    <n v="1"/>
    <n v="75.25"/>
    <n v="75.25"/>
    <n v="16.124735657810227"/>
    <n v="1399.2968212541596"/>
    <n v="1"/>
    <n v="0"/>
    <n v="0"/>
    <n v="0"/>
    <n v="0"/>
    <n v="0"/>
    <n v="0"/>
    <n v="0"/>
    <n v="0"/>
    <n v="0"/>
  </r>
  <r>
    <d v="2021-05-23T00:00:00"/>
    <n v="2021"/>
    <x v="4"/>
    <s v="R"/>
    <s v="RS"/>
    <x v="0"/>
    <s v="LVA"/>
    <s v="A"/>
    <n v="1"/>
    <n v="1"/>
    <n v="0"/>
    <n v="0"/>
    <n v="0"/>
    <n v="0"/>
    <n v="1596.307342987526"/>
    <n v="1585.7673743491396"/>
    <n v="0.39583020477674785"/>
    <n v="72"/>
    <n v="65"/>
    <n v="0"/>
    <n v="7"/>
    <n v="1"/>
    <n v="0.3668847113607816"/>
    <n v="1"/>
    <n v="75.25"/>
    <n v="75.25"/>
    <n v="16.679964735237249"/>
    <n v="1612.9873077227633"/>
    <n v="1"/>
    <n v="0"/>
    <n v="0"/>
    <n v="0"/>
    <n v="0"/>
    <n v="0"/>
    <n v="0"/>
    <n v="0"/>
    <n v="0"/>
    <n v="0"/>
  </r>
  <r>
    <d v="2021-05-23T00:00:00"/>
    <n v="2021"/>
    <x v="3"/>
    <s v="R"/>
    <s v="RS"/>
    <x v="8"/>
    <s v="CON"/>
    <s v="H"/>
    <n v="1"/>
    <n v="1"/>
    <n v="0"/>
    <n v="0"/>
    <n v="0"/>
    <n v="0"/>
    <n v="1585.7673743491396"/>
    <n v="1596.307342987526"/>
    <n v="0.6041697952232522"/>
    <n v="65"/>
    <n v="72"/>
    <n v="0"/>
    <n v="-7"/>
    <n v="0"/>
    <n v="0.3668847113607816"/>
    <n v="1"/>
    <n v="75.400000000000006"/>
    <n v="75.400000000000006"/>
    <n v="-16.713213834377264"/>
    <n v="1569.0541605147623"/>
    <n v="0"/>
    <n v="1"/>
    <n v="0"/>
    <n v="0"/>
    <n v="0"/>
    <n v="0"/>
    <n v="0"/>
    <n v="0"/>
    <n v="0"/>
    <n v="0"/>
  </r>
  <r>
    <d v="2021-05-24T00:00:00"/>
    <n v="2021"/>
    <x v="2"/>
    <s v="R"/>
    <s v="RS"/>
    <x v="2"/>
    <s v="NYL"/>
    <s v="A"/>
    <n v="1"/>
    <n v="0"/>
    <n v="1"/>
    <n v="-1"/>
    <n v="8"/>
    <n v="-8"/>
    <n v="1480.9634869278536"/>
    <n v="1430.9705768427893"/>
    <n v="0.47410889324916083"/>
    <n v="81"/>
    <n v="88"/>
    <n v="0"/>
    <n v="-7"/>
    <n v="0"/>
    <n v="0.35530490085288585"/>
    <n v="1"/>
    <n v="75.55"/>
    <n v="75.55"/>
    <n v="-12.726640265522491"/>
    <n v="1468.2368466623311"/>
    <n v="0"/>
    <n v="1"/>
    <n v="0"/>
    <n v="0"/>
    <n v="0"/>
    <n v="0"/>
    <n v="0"/>
    <n v="0"/>
    <n v="0"/>
    <n v="0"/>
  </r>
  <r>
    <d v="2021-05-24T00:00:00"/>
    <n v="2021"/>
    <x v="5"/>
    <s v="R"/>
    <s v="RS"/>
    <x v="7"/>
    <s v="DAL"/>
    <s v="H"/>
    <n v="0"/>
    <n v="1"/>
    <n v="-1"/>
    <n v="1"/>
    <n v="-8"/>
    <n v="8"/>
    <n v="1430.9705768427893"/>
    <n v="1480.9634869278536"/>
    <n v="0.52589110675083917"/>
    <n v="88"/>
    <n v="81"/>
    <n v="0"/>
    <n v="7"/>
    <n v="1"/>
    <n v="0.35530490085288585"/>
    <n v="1"/>
    <n v="75.099999999999994"/>
    <n v="75.099999999999994"/>
    <n v="12.650836319533274"/>
    <n v="1443.6214131623226"/>
    <n v="1"/>
    <n v="0"/>
    <n v="0"/>
    <n v="0"/>
    <n v="0"/>
    <n v="0"/>
    <n v="0"/>
    <n v="0"/>
    <n v="0"/>
    <n v="0"/>
  </r>
  <r>
    <d v="2021-05-25T00:00:00"/>
    <n v="2021"/>
    <x v="3"/>
    <s v="R"/>
    <s v="RS"/>
    <x v="1"/>
    <s v="CHI"/>
    <s v="A"/>
    <n v="3"/>
    <n v="1"/>
    <n v="2"/>
    <n v="-2"/>
    <n v="16"/>
    <n v="-16"/>
    <n v="1427.8698857155271"/>
    <n v="1517.2627131279221"/>
    <n v="0.30705525632360203"/>
    <n v="90"/>
    <n v="83"/>
    <n v="0"/>
    <n v="7"/>
    <n v="1"/>
    <n v="0.34444786533819877"/>
    <n v="1"/>
    <n v="75.400000000000006"/>
    <n v="75.400000000000006"/>
    <n v="17.996723666852212"/>
    <n v="1445.8666093823792"/>
    <n v="1"/>
    <n v="0"/>
    <n v="0"/>
    <n v="0"/>
    <n v="0"/>
    <n v="0"/>
    <n v="0"/>
    <n v="0"/>
    <n v="0"/>
    <n v="0"/>
  </r>
  <r>
    <d v="2021-05-25T00:00:00"/>
    <n v="2021"/>
    <x v="3"/>
    <s v="R"/>
    <s v="RS"/>
    <x v="10"/>
    <s v="ATL"/>
    <s v="H"/>
    <n v="1"/>
    <n v="3"/>
    <n v="-2"/>
    <n v="2"/>
    <n v="-16"/>
    <n v="16"/>
    <n v="1517.2627131279221"/>
    <n v="1427.8698857155271"/>
    <n v="0.69294474367639802"/>
    <n v="83"/>
    <n v="90"/>
    <n v="0"/>
    <n v="-7"/>
    <n v="0"/>
    <n v="0.34444786533819877"/>
    <n v="1"/>
    <n v="75.400000000000006"/>
    <n v="75.400000000000006"/>
    <n v="-17.996723666852212"/>
    <n v="1499.2659894610699"/>
    <n v="0"/>
    <n v="1"/>
    <n v="0"/>
    <n v="0"/>
    <n v="0"/>
    <n v="0"/>
    <n v="0"/>
    <n v="0"/>
    <n v="0"/>
    <n v="0"/>
  </r>
  <r>
    <d v="2021-05-25T00:00:00"/>
    <n v="2021"/>
    <x v="4"/>
    <s v="R"/>
    <s v="RS"/>
    <x v="11"/>
    <s v="IND"/>
    <s v="A"/>
    <n v="1"/>
    <n v="1"/>
    <n v="0"/>
    <n v="0"/>
    <n v="0"/>
    <n v="0"/>
    <n v="1453.5625601403158"/>
    <n v="1399.2968212541596"/>
    <n v="0.45731312471237207"/>
    <n v="85"/>
    <n v="69"/>
    <n v="0"/>
    <n v="16"/>
    <n v="1"/>
    <n v="0.49538404779186168"/>
    <n v="1"/>
    <n v="75.25"/>
    <n v="75.25"/>
    <n v="20.230091177503549"/>
    <n v="1473.7926513178193"/>
    <n v="1"/>
    <n v="0"/>
    <n v="0"/>
    <n v="0"/>
    <n v="0"/>
    <n v="0"/>
    <n v="0"/>
    <n v="0"/>
    <n v="0"/>
    <n v="0"/>
  </r>
  <r>
    <d v="2021-05-25T00:00:00"/>
    <n v="2021"/>
    <x v="5"/>
    <s v="R"/>
    <s v="RS"/>
    <x v="6"/>
    <s v="WAS"/>
    <s v="H"/>
    <n v="1"/>
    <n v="1"/>
    <n v="0"/>
    <n v="0"/>
    <n v="0"/>
    <n v="0"/>
    <n v="1399.2968212541596"/>
    <n v="1453.5625601403158"/>
    <n v="0.54268687528762782"/>
    <n v="69"/>
    <n v="85"/>
    <n v="0"/>
    <n v="-16"/>
    <n v="0"/>
    <n v="0.49538404779186168"/>
    <n v="1"/>
    <n v="75.099999999999994"/>
    <n v="75.099999999999994"/>
    <n v="-20.189765414359023"/>
    <n v="1379.1070558398005"/>
    <n v="0"/>
    <n v="1"/>
    <n v="0"/>
    <n v="0"/>
    <n v="0"/>
    <n v="0"/>
    <n v="0"/>
    <n v="0"/>
    <n v="0"/>
    <n v="0"/>
  </r>
  <r>
    <d v="2021-05-25T00:00:00"/>
    <n v="2021"/>
    <x v="5"/>
    <s v="R"/>
    <s v="RS"/>
    <x v="0"/>
    <s v="SEA"/>
    <s v="A"/>
    <n v="1"/>
    <n v="2"/>
    <n v="-1"/>
    <n v="1"/>
    <n v="-8"/>
    <n v="8"/>
    <n v="1612.9873077227633"/>
    <n v="1635.3631860386286"/>
    <n v="0.3308258617958682"/>
    <n v="87"/>
    <n v="90"/>
    <n v="1"/>
    <n v="-3"/>
    <n v="0"/>
    <n v="0.2563844790674295"/>
    <n v="1"/>
    <n v="75.099999999999994"/>
    <n v="75.099999999999994"/>
    <n v="-6.369878079516389"/>
    <n v="1606.6174296432469"/>
    <n v="0"/>
    <n v="1"/>
    <n v="0"/>
    <n v="0"/>
    <n v="0"/>
    <n v="0"/>
    <n v="0"/>
    <n v="0"/>
    <n v="0"/>
    <n v="0"/>
  </r>
  <r>
    <d v="2021-05-25T00:00:00"/>
    <n v="2021"/>
    <x v="4"/>
    <s v="R"/>
    <s v="RS"/>
    <x v="9"/>
    <s v="CON"/>
    <s v="H"/>
    <n v="2"/>
    <n v="1"/>
    <n v="1"/>
    <n v="-1"/>
    <n v="8"/>
    <n v="-8"/>
    <n v="1635.3631860386286"/>
    <n v="1612.9873077227633"/>
    <n v="0.66917413820413185"/>
    <n v="90"/>
    <n v="87"/>
    <n v="1"/>
    <n v="3"/>
    <n v="1"/>
    <n v="0.2563844790674295"/>
    <n v="1"/>
    <n v="75.25"/>
    <n v="75.25"/>
    <n v="6.3826008719521727"/>
    <n v="1641.7457869105808"/>
    <n v="1"/>
    <n v="0"/>
    <n v="0"/>
    <n v="0"/>
    <n v="0"/>
    <n v="0"/>
    <n v="0"/>
    <n v="0"/>
    <n v="0"/>
    <n v="0"/>
  </r>
  <r>
    <d v="2021-05-26T00:00:00"/>
    <n v="2021"/>
    <x v="4"/>
    <s v="R"/>
    <s v="RS"/>
    <x v="8"/>
    <s v="PHX"/>
    <s v="A"/>
    <n v="2"/>
    <n v="4"/>
    <n v="-2"/>
    <n v="2"/>
    <n v="-16"/>
    <n v="16"/>
    <n v="1569.0541605147623"/>
    <n v="1517.4665678618469"/>
    <n v="0.40835071794517092"/>
    <n v="85"/>
    <n v="79"/>
    <n v="0"/>
    <n v="6"/>
    <n v="1"/>
    <n v="0.33680176743817297"/>
    <n v="1"/>
    <n v="75.25"/>
    <n v="75.25"/>
    <n v="14.994956423444341"/>
    <n v="1584.0491169382067"/>
    <n v="1"/>
    <n v="0"/>
    <n v="0"/>
    <n v="0"/>
    <n v="0"/>
    <n v="0"/>
    <n v="0"/>
    <n v="0"/>
    <n v="0"/>
    <n v="0"/>
  </r>
  <r>
    <d v="2021-05-26T00:00:00"/>
    <n v="2021"/>
    <x v="4"/>
    <s v="R"/>
    <s v="RS"/>
    <x v="4"/>
    <s v="LVA"/>
    <s v="H"/>
    <n v="4"/>
    <n v="2"/>
    <n v="2"/>
    <n v="-2"/>
    <n v="16"/>
    <n v="-16"/>
    <n v="1517.4665678618469"/>
    <n v="1569.0541605147623"/>
    <n v="0.59164928205482914"/>
    <n v="79"/>
    <n v="85"/>
    <n v="0"/>
    <n v="-6"/>
    <n v="0"/>
    <n v="0.33680176743817297"/>
    <n v="1"/>
    <n v="75.25"/>
    <n v="75.25"/>
    <n v="-14.994956423444341"/>
    <n v="1502.4716114384025"/>
    <n v="0"/>
    <n v="1"/>
    <n v="0"/>
    <n v="0"/>
    <n v="0"/>
    <n v="0"/>
    <n v="0"/>
    <n v="0"/>
    <n v="0"/>
    <n v="0"/>
  </r>
  <r>
    <d v="2021-05-27T00:00:00"/>
    <n v="2021"/>
    <x v="3"/>
    <s v="R"/>
    <s v="RS"/>
    <x v="2"/>
    <s v="ATL"/>
    <s v="A"/>
    <n v="2"/>
    <n v="1"/>
    <n v="1"/>
    <n v="-1"/>
    <n v="8"/>
    <n v="-8"/>
    <n v="1468.2368466623311"/>
    <n v="1445.8666093823792"/>
    <n v="0.43470845262077079"/>
    <n v="95"/>
    <n v="101"/>
    <n v="0"/>
    <n v="-6"/>
    <n v="0"/>
    <n v="0.34485207546218094"/>
    <n v="1"/>
    <n v="75.400000000000006"/>
    <n v="75.400000000000006"/>
    <n v="-11.303222452884837"/>
    <n v="1456.9336242094462"/>
    <n v="0"/>
    <n v="1"/>
    <n v="0"/>
    <n v="0"/>
    <n v="0"/>
    <n v="0"/>
    <n v="0"/>
    <n v="0"/>
    <n v="0"/>
    <n v="0"/>
  </r>
  <r>
    <d v="2021-05-27T00:00:00"/>
    <n v="2021"/>
    <x v="4"/>
    <s v="R"/>
    <s v="RS"/>
    <x v="1"/>
    <s v="DAL"/>
    <s v="H"/>
    <n v="1"/>
    <n v="2"/>
    <n v="-1"/>
    <n v="1"/>
    <n v="-8"/>
    <n v="8"/>
    <n v="1445.8666093823792"/>
    <n v="1468.2368466623311"/>
    <n v="0.56529154737922915"/>
    <n v="101"/>
    <n v="95"/>
    <n v="0"/>
    <n v="6"/>
    <n v="1"/>
    <n v="0.34485207546218094"/>
    <n v="1"/>
    <n v="75.25"/>
    <n v="75.25"/>
    <n v="11.280735936068755"/>
    <n v="1457.1473453184481"/>
    <n v="1"/>
    <n v="0"/>
    <n v="0"/>
    <n v="0"/>
    <n v="0"/>
    <n v="0"/>
    <n v="0"/>
    <n v="0"/>
    <n v="0"/>
    <n v="0"/>
  </r>
  <r>
    <d v="2021-05-28T00:00:00"/>
    <n v="2021"/>
    <x v="2"/>
    <s v="R"/>
    <s v="RS"/>
    <x v="3"/>
    <s v="CHI"/>
    <s v="A"/>
    <n v="6"/>
    <n v="2"/>
    <n v="4"/>
    <n v="-4"/>
    <n v="16"/>
    <n v="-16"/>
    <n v="1480.7391811257776"/>
    <n v="1499.2659894610699"/>
    <n v="0.3998752459163562"/>
    <n v="76"/>
    <n v="61"/>
    <n v="0"/>
    <n v="15"/>
    <n v="1"/>
    <n v="0.4952025917910528"/>
    <n v="1"/>
    <n v="75.55"/>
    <n v="75.55"/>
    <n v="22.452200855005252"/>
    <n v="1503.1913819807828"/>
    <n v="1"/>
    <n v="0"/>
    <n v="0"/>
    <n v="0"/>
    <n v="0"/>
    <n v="0"/>
    <n v="0"/>
    <n v="0"/>
    <n v="0"/>
    <n v="0"/>
  </r>
  <r>
    <d v="2021-05-28T00:00:00"/>
    <n v="2021"/>
    <x v="4"/>
    <s v="R"/>
    <s v="RS"/>
    <x v="10"/>
    <s v="LAS"/>
    <s v="H"/>
    <n v="2"/>
    <n v="6"/>
    <n v="-4"/>
    <n v="4"/>
    <n v="-16"/>
    <n v="16"/>
    <n v="1499.2659894610699"/>
    <n v="1480.7391811257776"/>
    <n v="0.60012475408364385"/>
    <n v="61"/>
    <n v="76"/>
    <n v="0"/>
    <n v="-15"/>
    <n v="0"/>
    <n v="0.4952025917910528"/>
    <n v="1"/>
    <n v="75.25"/>
    <n v="75.25"/>
    <n v="-22.363045854919196"/>
    <n v="1476.9029436061508"/>
    <n v="0"/>
    <n v="1"/>
    <n v="0"/>
    <n v="0"/>
    <n v="0"/>
    <n v="0"/>
    <n v="0"/>
    <n v="0"/>
    <n v="0"/>
    <n v="0"/>
  </r>
  <r>
    <d v="2021-05-28T00:00:00"/>
    <n v="2021"/>
    <x v="5"/>
    <s v="R"/>
    <s v="RS"/>
    <x v="11"/>
    <s v="CON"/>
    <s v="A"/>
    <n v="2"/>
    <n v="2"/>
    <n v="0"/>
    <n v="0"/>
    <n v="0"/>
    <n v="0"/>
    <n v="1473.7926513178193"/>
    <n v="1606.6174296432469"/>
    <n v="0.22302162895347594"/>
    <n v="81"/>
    <n v="86"/>
    <n v="0"/>
    <n v="-5"/>
    <n v="0"/>
    <n v="0.29869430477851894"/>
    <n v="1"/>
    <n v="75.099999999999994"/>
    <n v="75.099999999999994"/>
    <n v="-5.0028083098534308"/>
    <n v="1468.7898430079658"/>
    <n v="0"/>
    <n v="1"/>
    <n v="0"/>
    <n v="0"/>
    <n v="0"/>
    <n v="0"/>
    <n v="0"/>
    <n v="0"/>
    <n v="0"/>
    <n v="0"/>
  </r>
  <r>
    <d v="2021-05-28T00:00:00"/>
    <n v="2021"/>
    <x v="6"/>
    <s v="R"/>
    <s v="RS"/>
    <x v="0"/>
    <s v="WAS"/>
    <s v="H"/>
    <n v="2"/>
    <n v="2"/>
    <n v="0"/>
    <n v="0"/>
    <n v="0"/>
    <n v="0"/>
    <n v="1606.6174296432469"/>
    <n v="1473.7926513178193"/>
    <n v="0.77697837104652401"/>
    <n v="86"/>
    <n v="81"/>
    <n v="0"/>
    <n v="5"/>
    <n v="1"/>
    <n v="0.29869430477851894"/>
    <n v="1"/>
    <n v="74.95"/>
    <n v="74.95"/>
    <n v="4.9928160162918083"/>
    <n v="1611.6102456595386"/>
    <n v="1"/>
    <n v="0"/>
    <n v="0"/>
    <n v="0"/>
    <n v="0"/>
    <n v="0"/>
    <n v="0"/>
    <n v="0"/>
    <n v="0"/>
    <n v="0"/>
  </r>
  <r>
    <d v="2021-05-28T00:00:00"/>
    <n v="2021"/>
    <x v="6"/>
    <s v="R"/>
    <s v="RS"/>
    <x v="6"/>
    <s v="LVA"/>
    <s v="A"/>
    <n v="2"/>
    <n v="1"/>
    <n v="1"/>
    <n v="-1"/>
    <n v="8"/>
    <n v="-8"/>
    <n v="1379.1070558398005"/>
    <n v="1584.0491169382067"/>
    <n v="0.17204812410050746"/>
    <n v="77"/>
    <n v="113"/>
    <n v="0"/>
    <n v="-36"/>
    <n v="0"/>
    <n v="0.66071155091544398"/>
    <n v="1"/>
    <n v="74.95"/>
    <n v="74.95"/>
    <n v="-8.519880008845103"/>
    <n v="1370.5871758309554"/>
    <n v="0"/>
    <n v="1"/>
    <n v="0"/>
    <n v="0"/>
    <n v="0"/>
    <n v="0"/>
    <n v="0"/>
    <n v="0"/>
    <n v="0"/>
    <n v="0"/>
  </r>
  <r>
    <d v="2021-05-28T00:00:00"/>
    <n v="2021"/>
    <x v="5"/>
    <s v="R"/>
    <s v="RS"/>
    <x v="8"/>
    <s v="IND"/>
    <s v="H"/>
    <n v="1"/>
    <n v="2"/>
    <n v="-1"/>
    <n v="1"/>
    <n v="-8"/>
    <n v="8"/>
    <n v="1584.0491169382067"/>
    <n v="1379.1070558398005"/>
    <n v="0.82795187589949248"/>
    <n v="113"/>
    <n v="77"/>
    <n v="0"/>
    <n v="36"/>
    <n v="1"/>
    <n v="0.66071155091544398"/>
    <n v="1"/>
    <n v="75.099999999999994"/>
    <n v="75.099999999999994"/>
    <n v="8.5369311362810851"/>
    <n v="1592.5860480744877"/>
    <n v="1"/>
    <n v="0"/>
    <n v="0"/>
    <n v="0"/>
    <n v="0"/>
    <n v="0"/>
    <n v="0"/>
    <n v="0"/>
    <n v="0"/>
    <n v="0"/>
  </r>
  <r>
    <d v="2021-05-28T00:00:00"/>
    <n v="2021"/>
    <x v="3"/>
    <s v="R"/>
    <s v="RS"/>
    <x v="5"/>
    <s v="SEA"/>
    <s v="A"/>
    <n v="7"/>
    <n v="2"/>
    <n v="5"/>
    <n v="-5"/>
    <n v="16"/>
    <n v="-16"/>
    <n v="1474.5215818853571"/>
    <n v="1641.7457869105808"/>
    <n v="0.22063736728745956"/>
    <n v="72"/>
    <n v="82"/>
    <n v="0"/>
    <n v="-10"/>
    <n v="0"/>
    <n v="0.3713770114166266"/>
    <n v="1"/>
    <n v="75.400000000000006"/>
    <n v="75.400000000000006"/>
    <n v="-6.178249313681718"/>
    <n v="1468.3433325716753"/>
    <n v="0"/>
    <n v="1"/>
    <n v="0"/>
    <n v="0"/>
    <n v="0"/>
    <n v="0"/>
    <n v="0"/>
    <n v="0"/>
    <n v="0"/>
    <n v="0"/>
  </r>
  <r>
    <d v="2021-05-28T00:00:00"/>
    <n v="2021"/>
    <x v="5"/>
    <s v="R"/>
    <s v="RS"/>
    <x v="9"/>
    <s v="MIN"/>
    <s v="H"/>
    <n v="2"/>
    <n v="7"/>
    <n v="-5"/>
    <n v="5"/>
    <n v="-16"/>
    <n v="16"/>
    <n v="1641.7457869105808"/>
    <n v="1474.5215818853571"/>
    <n v="0.77936263271254047"/>
    <n v="82"/>
    <n v="72"/>
    <n v="0"/>
    <n v="10"/>
    <n v="1"/>
    <n v="0.3713770114166266"/>
    <n v="1"/>
    <n v="75.099999999999994"/>
    <n v="75.099999999999994"/>
    <n v="6.1536674198607013"/>
    <n v="1647.8994543304416"/>
    <n v="1"/>
    <n v="0"/>
    <n v="0"/>
    <n v="0"/>
    <n v="0"/>
    <n v="0"/>
    <n v="0"/>
    <n v="0"/>
    <n v="0"/>
    <n v="0"/>
  </r>
  <r>
    <d v="2021-05-29T00:00:00"/>
    <n v="2021"/>
    <x v="5"/>
    <s v="R"/>
    <s v="RS"/>
    <x v="4"/>
    <s v="DAL"/>
    <s v="A"/>
    <n v="2"/>
    <n v="1"/>
    <n v="1"/>
    <n v="-1"/>
    <n v="8"/>
    <n v="-8"/>
    <n v="1502.4716114384025"/>
    <n v="1456.9336242094462"/>
    <n v="0.46771952722637072"/>
    <n v="89"/>
    <n v="85"/>
    <n v="0"/>
    <n v="4"/>
    <n v="1"/>
    <n v="0.30004647446851229"/>
    <n v="1"/>
    <n v="75.099999999999994"/>
    <n v="75.099999999999994"/>
    <n v="11.994136834240445"/>
    <n v="1514.4657482726429"/>
    <n v="1"/>
    <n v="0"/>
    <n v="0"/>
    <n v="0"/>
    <n v="0"/>
    <n v="0"/>
    <n v="0"/>
    <n v="0"/>
    <n v="0"/>
    <n v="0"/>
  </r>
  <r>
    <d v="2021-05-29T00:00:00"/>
    <n v="2021"/>
    <x v="4"/>
    <s v="R"/>
    <s v="RS"/>
    <x v="2"/>
    <s v="PHX"/>
    <s v="H"/>
    <n v="1"/>
    <n v="2"/>
    <n v="-1"/>
    <n v="1"/>
    <n v="-8"/>
    <n v="8"/>
    <n v="1456.9336242094462"/>
    <n v="1502.4716114384025"/>
    <n v="0.53228047277362933"/>
    <n v="85"/>
    <n v="89"/>
    <n v="0"/>
    <n v="-4"/>
    <n v="0"/>
    <n v="0.30004647446851229"/>
    <n v="1"/>
    <n v="75.25"/>
    <n v="75.25"/>
    <n v="-12.018093166133072"/>
    <n v="1444.9155310433132"/>
    <n v="0"/>
    <n v="1"/>
    <n v="0"/>
    <n v="0"/>
    <n v="0"/>
    <n v="0"/>
    <n v="0"/>
    <n v="0"/>
    <n v="0"/>
    <n v="0"/>
  </r>
  <r>
    <d v="2021-05-29T00:00:00"/>
    <n v="2021"/>
    <x v="5"/>
    <s v="R"/>
    <s v="RS"/>
    <x v="1"/>
    <s v="NYL"/>
    <s v="A"/>
    <n v="1"/>
    <n v="4"/>
    <n v="-3"/>
    <n v="3"/>
    <n v="-16"/>
    <n v="16"/>
    <n v="1457.1473453184481"/>
    <n v="1443.6214131623226"/>
    <n v="0.35666051770670737"/>
    <n v="90"/>
    <n v="87"/>
    <n v="1"/>
    <n v="3"/>
    <n v="1"/>
    <n v="0.25825422801618764"/>
    <n v="1"/>
    <n v="75.099999999999994"/>
    <n v="75.099999999999994"/>
    <n v="12.477500115534307"/>
    <n v="1469.6248454339823"/>
    <n v="1"/>
    <n v="0"/>
    <n v="0"/>
    <n v="0"/>
    <n v="0"/>
    <n v="0"/>
    <n v="0"/>
    <n v="0"/>
    <n v="0"/>
    <n v="0"/>
  </r>
  <r>
    <d v="2021-05-29T00:00:00"/>
    <n v="2021"/>
    <x v="6"/>
    <s v="R"/>
    <s v="RS"/>
    <x v="7"/>
    <s v="ATL"/>
    <s v="H"/>
    <n v="4"/>
    <n v="1"/>
    <n v="3"/>
    <n v="-3"/>
    <n v="16"/>
    <n v="-16"/>
    <n v="1443.6214131623226"/>
    <n v="1457.1473453184481"/>
    <n v="0.64333948229329263"/>
    <n v="87"/>
    <n v="90"/>
    <n v="1"/>
    <n v="-3"/>
    <n v="0"/>
    <n v="0.25825422801618764"/>
    <n v="1"/>
    <n v="74.95"/>
    <n v="74.95"/>
    <n v="-12.452578344331508"/>
    <n v="1431.1688348179912"/>
    <n v="0"/>
    <n v="1"/>
    <n v="0"/>
    <n v="0"/>
    <n v="0"/>
    <n v="0"/>
    <n v="0"/>
    <n v="0"/>
    <n v="0"/>
    <n v="0"/>
  </r>
  <r>
    <d v="2021-05-30T00:00:00"/>
    <n v="2021"/>
    <x v="3"/>
    <s v="R"/>
    <s v="RS"/>
    <x v="3"/>
    <s v="CHI"/>
    <s v="A"/>
    <n v="1"/>
    <n v="1"/>
    <n v="0"/>
    <n v="0"/>
    <n v="0"/>
    <n v="0"/>
    <n v="1503.1913819807828"/>
    <n v="1476.9029436061508"/>
    <n v="0.41770191020895558"/>
    <n v="82"/>
    <n v="79"/>
    <n v="1"/>
    <n v="3"/>
    <n v="1"/>
    <n v="0.25556646624018919"/>
    <n v="1"/>
    <n v="75.400000000000006"/>
    <n v="75.400000000000006"/>
    <n v="11.220716229015745"/>
    <n v="1514.4120982097986"/>
    <n v="1"/>
    <n v="0"/>
    <n v="0"/>
    <n v="0"/>
    <n v="0"/>
    <n v="0"/>
    <n v="0"/>
    <n v="0"/>
    <n v="0"/>
    <n v="0"/>
  </r>
  <r>
    <d v="2021-05-30T00:00:00"/>
    <n v="2021"/>
    <x v="5"/>
    <s v="R"/>
    <s v="RS"/>
    <x v="10"/>
    <s v="LAS"/>
    <s v="H"/>
    <n v="1"/>
    <n v="1"/>
    <n v="0"/>
    <n v="0"/>
    <n v="0"/>
    <n v="0"/>
    <n v="1476.9029436061508"/>
    <n v="1503.1913819807828"/>
    <n v="0.58229808979104447"/>
    <n v="79"/>
    <n v="82"/>
    <n v="1"/>
    <n v="-3"/>
    <n v="0"/>
    <n v="0.25556646624018919"/>
    <n v="1"/>
    <n v="75.099999999999994"/>
    <n v="75.099999999999994"/>
    <n v="-11.176071469483853"/>
    <n v="1465.726872136667"/>
    <n v="0"/>
    <n v="1"/>
    <n v="0"/>
    <n v="0"/>
    <n v="0"/>
    <n v="0"/>
    <n v="0"/>
    <n v="0"/>
    <n v="0"/>
    <n v="0"/>
  </r>
  <r>
    <d v="2021-05-30T00:00:00"/>
    <n v="2021"/>
    <x v="7"/>
    <s v="R"/>
    <s v="RS"/>
    <x v="6"/>
    <s v="LVA"/>
    <s v="A"/>
    <n v="1"/>
    <n v="1"/>
    <n v="0"/>
    <n v="0"/>
    <n v="0"/>
    <n v="0"/>
    <n v="1370.5871758309554"/>
    <n v="1592.5860480744877"/>
    <n v="0.14660619010464768"/>
    <n v="78"/>
    <n v="101"/>
    <n v="0"/>
    <n v="-23"/>
    <n v="0"/>
    <n v="0.51927279091952916"/>
    <n v="1"/>
    <n v="74.8"/>
    <n v="74.8"/>
    <n v="-5.6944196915286156"/>
    <n v="1364.8927561394269"/>
    <n v="0"/>
    <n v="1"/>
    <n v="0"/>
    <n v="0"/>
    <n v="0"/>
    <n v="0"/>
    <n v="0"/>
    <n v="0"/>
    <n v="0"/>
    <n v="0"/>
  </r>
  <r>
    <d v="2021-05-30T00:00:00"/>
    <n v="2021"/>
    <x v="6"/>
    <s v="R"/>
    <s v="RS"/>
    <x v="8"/>
    <s v="IND"/>
    <s v="H"/>
    <n v="1"/>
    <n v="1"/>
    <n v="0"/>
    <n v="0"/>
    <n v="0"/>
    <n v="0"/>
    <n v="1592.5860480744877"/>
    <n v="1370.5871758309554"/>
    <n v="0.85339380989535241"/>
    <n v="101"/>
    <n v="78"/>
    <n v="0"/>
    <n v="23"/>
    <n v="1"/>
    <n v="0.51927279091952916"/>
    <n v="1"/>
    <n v="74.95"/>
    <n v="74.95"/>
    <n v="5.7058389823538702"/>
    <n v="1598.2918870568417"/>
    <n v="1"/>
    <n v="0"/>
    <n v="0"/>
    <n v="0"/>
    <n v="0"/>
    <n v="0"/>
    <n v="0"/>
    <n v="0"/>
    <n v="0"/>
    <n v="0"/>
  </r>
  <r>
    <d v="2021-05-30T00:00:00"/>
    <n v="2021"/>
    <x v="7"/>
    <s v="R"/>
    <s v="RS"/>
    <x v="0"/>
    <s v="MIN"/>
    <s v="A"/>
    <n v="1"/>
    <n v="1"/>
    <n v="0"/>
    <n v="0"/>
    <n v="0"/>
    <n v="0"/>
    <n v="1611.6102456595386"/>
    <n v="1468.3433325716753"/>
    <n v="0.58447416188083301"/>
    <n v="74"/>
    <n v="79"/>
    <n v="1"/>
    <n v="-5"/>
    <n v="0"/>
    <n v="0.26673511422573937"/>
    <n v="1"/>
    <n v="74.8"/>
    <n v="74.8"/>
    <n v="-11.661303718379541"/>
    <n v="1599.9489419411591"/>
    <n v="0"/>
    <n v="1"/>
    <n v="0"/>
    <n v="0"/>
    <n v="0"/>
    <n v="0"/>
    <n v="0"/>
    <n v="0"/>
    <n v="0"/>
    <n v="0"/>
  </r>
  <r>
    <d v="2021-05-30T00:00:00"/>
    <n v="2021"/>
    <x v="4"/>
    <s v="R"/>
    <s v="RS"/>
    <x v="5"/>
    <s v="CON"/>
    <s v="H"/>
    <n v="1"/>
    <n v="1"/>
    <n v="0"/>
    <n v="0"/>
    <n v="0"/>
    <n v="0"/>
    <n v="1468.3433325716753"/>
    <n v="1611.6102456595386"/>
    <n v="0.41552583811916693"/>
    <n v="79"/>
    <n v="74"/>
    <n v="1"/>
    <n v="5"/>
    <n v="1"/>
    <n v="0.26673511422573937"/>
    <n v="1"/>
    <n v="75.25"/>
    <n v="75.25"/>
    <n v="11.731458620428617"/>
    <n v="1480.0747911921039"/>
    <n v="1"/>
    <n v="0"/>
    <n v="0"/>
    <n v="0"/>
    <n v="0"/>
    <n v="0"/>
    <n v="0"/>
    <n v="0"/>
    <n v="0"/>
    <n v="0"/>
  </r>
  <r>
    <d v="2021-06-01T00:00:00"/>
    <n v="2021"/>
    <x v="6"/>
    <s v="R"/>
    <s v="RS"/>
    <x v="4"/>
    <s v="CHI"/>
    <s v="A"/>
    <n v="2"/>
    <n v="1"/>
    <n v="1"/>
    <n v="-1"/>
    <n v="8"/>
    <n v="-8"/>
    <n v="1514.4657482726429"/>
    <n v="1465.726872136667"/>
    <n v="0.47230937659306826"/>
    <n v="84"/>
    <n v="83"/>
    <n v="0"/>
    <n v="1"/>
    <n v="1"/>
    <n v="0.23464922151302148"/>
    <n v="1"/>
    <n v="74.95"/>
    <n v="74.95"/>
    <n v="9.2804734389627068"/>
    <n v="1523.7462217116056"/>
    <n v="1"/>
    <n v="0"/>
    <n v="0"/>
    <n v="0"/>
    <n v="0"/>
    <n v="0"/>
    <n v="0"/>
    <n v="0"/>
    <n v="0"/>
    <n v="0"/>
  </r>
  <r>
    <d v="2021-06-01T00:00:00"/>
    <n v="2021"/>
    <x v="6"/>
    <s v="R"/>
    <s v="RS"/>
    <x v="10"/>
    <s v="PHX"/>
    <s v="H"/>
    <n v="1"/>
    <n v="2"/>
    <n v="-1"/>
    <n v="1"/>
    <n v="-8"/>
    <n v="8"/>
    <n v="1465.726872136667"/>
    <n v="1514.4657482726429"/>
    <n v="0.52769062340693174"/>
    <n v="83"/>
    <n v="84"/>
    <n v="0"/>
    <n v="-1"/>
    <n v="0"/>
    <n v="0.23464922151302148"/>
    <n v="1"/>
    <n v="74.95"/>
    <n v="74.95"/>
    <n v="-9.2804734389627068"/>
    <n v="1456.4463986977044"/>
    <n v="0"/>
    <n v="1"/>
    <n v="0"/>
    <n v="0"/>
    <n v="0"/>
    <n v="0"/>
    <n v="0"/>
    <n v="0"/>
    <n v="0"/>
    <n v="0"/>
  </r>
  <r>
    <d v="2021-06-01T00:00:00"/>
    <n v="2021"/>
    <x v="7"/>
    <s v="R"/>
    <s v="RS"/>
    <x v="8"/>
    <s v="CON"/>
    <s v="A"/>
    <n v="1"/>
    <n v="1"/>
    <n v="0"/>
    <n v="0"/>
    <n v="0"/>
    <n v="0"/>
    <n v="1598.2918870568417"/>
    <n v="1599.9489419411591"/>
    <n v="0.37916788020088954"/>
    <n v="67"/>
    <n v="74"/>
    <n v="0"/>
    <n v="-7"/>
    <n v="0"/>
    <n v="0.36959680399607853"/>
    <n v="1"/>
    <n v="74.8"/>
    <n v="74.8"/>
    <n v="-10.482414905176213"/>
    <n v="1587.8094721516654"/>
    <n v="0"/>
    <n v="1"/>
    <n v="0"/>
    <n v="0"/>
    <n v="0"/>
    <n v="0"/>
    <n v="0"/>
    <n v="0"/>
    <n v="0"/>
    <n v="0"/>
  </r>
  <r>
    <d v="2021-06-01T00:00:00"/>
    <n v="2021"/>
    <x v="8"/>
    <s v="R"/>
    <s v="RS"/>
    <x v="0"/>
    <s v="LVA"/>
    <s v="H"/>
    <n v="1"/>
    <n v="1"/>
    <n v="0"/>
    <n v="0"/>
    <n v="0"/>
    <n v="0"/>
    <n v="1599.9489419411591"/>
    <n v="1598.2918870568417"/>
    <n v="0.62083211979911046"/>
    <n v="74"/>
    <n v="67"/>
    <n v="0"/>
    <n v="7"/>
    <n v="1"/>
    <n v="0.36959680399607853"/>
    <n v="1"/>
    <n v="74.650000000000006"/>
    <n v="74.650000000000006"/>
    <n v="10.461394019671181"/>
    <n v="1610.4103359608303"/>
    <n v="1"/>
    <n v="0"/>
    <n v="0"/>
    <n v="0"/>
    <n v="0"/>
    <n v="0"/>
    <n v="0"/>
    <n v="0"/>
    <n v="0"/>
    <n v="0"/>
  </r>
  <r>
    <d v="2021-06-01T00:00:00"/>
    <n v="2021"/>
    <x v="4"/>
    <s v="R"/>
    <s v="RS"/>
    <x v="3"/>
    <s v="DAL"/>
    <s v="A"/>
    <n v="1"/>
    <n v="2"/>
    <n v="-1"/>
    <n v="1"/>
    <n v="-8"/>
    <n v="8"/>
    <n v="1514.4120982097986"/>
    <n v="1444.9155310433132"/>
    <n v="0.45621447510706942"/>
    <n v="69"/>
    <n v="79"/>
    <n v="0"/>
    <n v="-10"/>
    <n v="0"/>
    <n v="0.39996613801961722"/>
    <n v="1"/>
    <n v="75.25"/>
    <n v="75.25"/>
    <n v="-13.730893214220906"/>
    <n v="1500.6812049955777"/>
    <n v="0"/>
    <n v="1"/>
    <n v="0"/>
    <n v="0"/>
    <n v="0"/>
    <n v="0"/>
    <n v="0"/>
    <n v="0"/>
    <n v="0"/>
    <n v="0"/>
  </r>
  <r>
    <d v="2021-06-01T00:00:00"/>
    <n v="2021"/>
    <x v="5"/>
    <s v="R"/>
    <s v="RS"/>
    <x v="2"/>
    <s v="LAS"/>
    <s v="H"/>
    <n v="2"/>
    <n v="1"/>
    <n v="1"/>
    <n v="-1"/>
    <n v="8"/>
    <n v="-8"/>
    <n v="1444.9155310433132"/>
    <n v="1514.4120982097986"/>
    <n v="0.54378552489293053"/>
    <n v="79"/>
    <n v="69"/>
    <n v="0"/>
    <n v="10"/>
    <n v="1"/>
    <n v="0.39996613801961722"/>
    <n v="1"/>
    <n v="75.099999999999994"/>
    <n v="75.099999999999994"/>
    <n v="13.703522662963325"/>
    <n v="1458.6190537062764"/>
    <n v="1"/>
    <n v="0"/>
    <n v="0"/>
    <n v="0"/>
    <n v="0"/>
    <n v="0"/>
    <n v="0"/>
    <n v="0"/>
    <n v="0"/>
    <n v="0"/>
  </r>
  <r>
    <d v="2021-06-01T00:00:00"/>
    <n v="2021"/>
    <x v="8"/>
    <s v="R"/>
    <s v="RS"/>
    <x v="6"/>
    <s v="SEA"/>
    <s v="A"/>
    <n v="1"/>
    <n v="3"/>
    <n v="-2"/>
    <n v="2"/>
    <n v="-16"/>
    <n v="16"/>
    <n v="1364.8927561394269"/>
    <n v="1647.8994543304416"/>
    <n v="9.1382751698319206E-2"/>
    <n v="73"/>
    <n v="88"/>
    <n v="0"/>
    <n v="-15"/>
    <n v="0"/>
    <n v="0.40688800285971105"/>
    <n v="1"/>
    <n v="74.650000000000006"/>
    <n v="74.650000000000006"/>
    <n v="-2.7756770092095242"/>
    <n v="1362.1170791302172"/>
    <n v="0"/>
    <n v="1"/>
    <n v="0"/>
    <n v="0"/>
    <n v="0"/>
    <n v="0"/>
    <n v="0"/>
    <n v="0"/>
    <n v="0"/>
    <n v="0"/>
  </r>
  <r>
    <d v="2021-06-01T00:00:00"/>
    <n v="2021"/>
    <x v="6"/>
    <s v="R"/>
    <s v="RS"/>
    <x v="9"/>
    <s v="IND"/>
    <s v="H"/>
    <n v="3"/>
    <n v="1"/>
    <n v="2"/>
    <n v="-2"/>
    <n v="16"/>
    <n v="-16"/>
    <n v="1647.8994543304416"/>
    <n v="1364.8927561394269"/>
    <n v="0.90861724830168078"/>
    <n v="88"/>
    <n v="73"/>
    <n v="0"/>
    <n v="15"/>
    <n v="1"/>
    <n v="0.40688800285971105"/>
    <n v="1"/>
    <n v="74.95"/>
    <n v="74.95"/>
    <n v="2.7868317728098306"/>
    <n v="1650.6862861032514"/>
    <n v="1"/>
    <n v="0"/>
    <n v="0"/>
    <n v="0"/>
    <n v="0"/>
    <n v="0"/>
    <n v="0"/>
    <n v="0"/>
    <n v="0"/>
    <n v="0"/>
  </r>
  <r>
    <d v="2021-06-03T00:00:00"/>
    <n v="2021"/>
    <x v="9"/>
    <s v="R"/>
    <s v="RS"/>
    <x v="6"/>
    <s v="LAS"/>
    <s v="A"/>
    <n v="1"/>
    <n v="1"/>
    <n v="0"/>
    <n v="0"/>
    <n v="0"/>
    <n v="0"/>
    <n v="1362.1170791302172"/>
    <n v="1500.6812049955777"/>
    <n v="0.21734907184727553"/>
    <n v="63"/>
    <n v="98"/>
    <n v="0"/>
    <n v="-35"/>
    <n v="0"/>
    <n v="0.68327701765006699"/>
    <n v="1"/>
    <n v="74.5"/>
    <n v="74.5"/>
    <n v="-11.063967107260833"/>
    <n v="1351.0531120229564"/>
    <n v="0"/>
    <n v="1"/>
    <n v="0"/>
    <n v="0"/>
    <n v="0"/>
    <n v="0"/>
    <n v="0"/>
    <n v="0"/>
    <n v="0"/>
    <n v="0"/>
  </r>
  <r>
    <d v="2021-06-03T00:00:00"/>
    <n v="2021"/>
    <x v="5"/>
    <s v="R"/>
    <s v="RS"/>
    <x v="3"/>
    <s v="IND"/>
    <s v="H"/>
    <n v="1"/>
    <n v="1"/>
    <n v="0"/>
    <n v="0"/>
    <n v="0"/>
    <n v="0"/>
    <n v="1500.6812049955777"/>
    <n v="1362.1170791302172"/>
    <n v="0.78265092815272452"/>
    <n v="98"/>
    <n v="63"/>
    <n v="0"/>
    <n v="35"/>
    <n v="1"/>
    <n v="0.68327701765006699"/>
    <n v="1"/>
    <n v="75.099999999999994"/>
    <n v="75.099999999999994"/>
    <n v="11.15307288262132"/>
    <n v="1511.8342778781989"/>
    <n v="1"/>
    <n v="0"/>
    <n v="0"/>
    <n v="0"/>
    <n v="0"/>
    <n v="0"/>
    <n v="0"/>
    <n v="0"/>
    <n v="0"/>
    <n v="0"/>
  </r>
  <r>
    <d v="2021-06-03T00:00:00"/>
    <n v="2021"/>
    <x v="8"/>
    <s v="R"/>
    <s v="RS"/>
    <x v="8"/>
    <s v="NYL"/>
    <s v="A"/>
    <n v="1"/>
    <n v="4"/>
    <n v="-3"/>
    <n v="3"/>
    <n v="-16"/>
    <n v="16"/>
    <n v="1587.8094721516654"/>
    <n v="1431.1688348179912"/>
    <n v="0.55822127865799342"/>
    <n v="94"/>
    <n v="82"/>
    <n v="0"/>
    <n v="12"/>
    <n v="1"/>
    <n v="0.40346375939881518"/>
    <n v="1"/>
    <n v="74.650000000000006"/>
    <n v="74.650000000000006"/>
    <n v="13.305743183821301"/>
    <n v="1601.1152153354867"/>
    <n v="1"/>
    <n v="0"/>
    <n v="0"/>
    <n v="0"/>
    <n v="0"/>
    <n v="0"/>
    <n v="0"/>
    <n v="0"/>
    <n v="0"/>
    <n v="0"/>
  </r>
  <r>
    <d v="2021-06-03T00:00:00"/>
    <n v="2021"/>
    <x v="7"/>
    <s v="R"/>
    <s v="RS"/>
    <x v="7"/>
    <s v="LVA"/>
    <s v="H"/>
    <n v="4"/>
    <n v="1"/>
    <n v="3"/>
    <n v="-3"/>
    <n v="16"/>
    <n v="-16"/>
    <n v="1431.1688348179912"/>
    <n v="1587.8094721516654"/>
    <n v="0.44177872134200646"/>
    <n v="82"/>
    <n v="94"/>
    <n v="0"/>
    <n v="-12"/>
    <n v="0"/>
    <n v="0.40346375939881518"/>
    <n v="1"/>
    <n v="74.8"/>
    <n v="74.8"/>
    <n v="-13.332479439381553"/>
    <n v="1417.8363553786096"/>
    <n v="0"/>
    <n v="1"/>
    <n v="0"/>
    <n v="0"/>
    <n v="0"/>
    <n v="0"/>
    <n v="0"/>
    <n v="0"/>
    <n v="0"/>
    <n v="0"/>
  </r>
  <r>
    <d v="2021-06-03T00:00:00"/>
    <n v="2021"/>
    <x v="7"/>
    <s v="R"/>
    <s v="RS"/>
    <x v="10"/>
    <s v="PHX"/>
    <s v="A"/>
    <n v="1"/>
    <n v="1"/>
    <n v="0"/>
    <n v="0"/>
    <n v="0"/>
    <n v="0"/>
    <n v="1456.4463986977044"/>
    <n v="1523.7462217116056"/>
    <n v="0.29505629235979464"/>
    <n v="74"/>
    <n v="77"/>
    <n v="1"/>
    <n v="-3"/>
    <n v="0"/>
    <n v="0.2472960203223882"/>
    <n v="1"/>
    <n v="74.8"/>
    <n v="74.8"/>
    <n v="-5.4578752659998901"/>
    <n v="1450.9885234317044"/>
    <n v="0"/>
    <n v="1"/>
    <n v="0"/>
    <n v="0"/>
    <n v="0"/>
    <n v="0"/>
    <n v="0"/>
    <n v="0"/>
    <n v="0"/>
    <n v="0"/>
  </r>
  <r>
    <d v="2021-06-03T00:00:00"/>
    <n v="2021"/>
    <x v="7"/>
    <s v="R"/>
    <s v="RS"/>
    <x v="4"/>
    <s v="CHI"/>
    <s v="H"/>
    <n v="1"/>
    <n v="1"/>
    <n v="0"/>
    <n v="0"/>
    <n v="0"/>
    <n v="0"/>
    <n v="1523.7462217116056"/>
    <n v="1456.4463986977044"/>
    <n v="0.70494370764020531"/>
    <n v="77"/>
    <n v="74"/>
    <n v="1"/>
    <n v="3"/>
    <n v="1"/>
    <n v="0.2472960203223882"/>
    <n v="1"/>
    <n v="74.8"/>
    <n v="74.8"/>
    <n v="5.457875265999891"/>
    <n v="1529.2040969776056"/>
    <n v="1"/>
    <n v="0"/>
    <n v="0"/>
    <n v="0"/>
    <n v="0"/>
    <n v="0"/>
    <n v="0"/>
    <n v="0"/>
    <n v="0"/>
    <n v="0"/>
  </r>
  <r>
    <d v="2021-06-04T00:00:00"/>
    <n v="2021"/>
    <x v="6"/>
    <s v="R"/>
    <s v="RS"/>
    <x v="1"/>
    <s v="MIN"/>
    <s v="A"/>
    <n v="5"/>
    <n v="4"/>
    <n v="1"/>
    <n v="-1"/>
    <n v="8"/>
    <n v="-8"/>
    <n v="1469.6248454339823"/>
    <n v="1480.0747911921039"/>
    <n v="0.38898180022540474"/>
    <n v="84"/>
    <n v="86"/>
    <n v="0"/>
    <n v="-2"/>
    <n v="0"/>
    <n v="0.26552901761691644"/>
    <n v="1"/>
    <n v="74.95"/>
    <n v="74.95"/>
    <n v="-7.7412823485891167"/>
    <n v="1461.8835630853932"/>
    <n v="0"/>
    <n v="1"/>
    <n v="0"/>
    <n v="0"/>
    <n v="0"/>
    <n v="0"/>
    <n v="0"/>
    <n v="0"/>
    <n v="0"/>
    <n v="0"/>
  </r>
  <r>
    <d v="2021-06-04T00:00:00"/>
    <n v="2021"/>
    <x v="5"/>
    <s v="R"/>
    <s v="RS"/>
    <x v="5"/>
    <s v="ATL"/>
    <s v="H"/>
    <n v="4"/>
    <n v="5"/>
    <n v="-1"/>
    <n v="1"/>
    <n v="-8"/>
    <n v="8"/>
    <n v="1480.0747911921039"/>
    <n v="1469.6248454339823"/>
    <n v="0.61101819977459526"/>
    <n v="86"/>
    <n v="84"/>
    <n v="0"/>
    <n v="2"/>
    <n v="1"/>
    <n v="0.26552901761691644"/>
    <n v="1"/>
    <n v="75.099999999999994"/>
    <n v="75.099999999999994"/>
    <n v="7.7567752418818223"/>
    <n v="1487.8315664339857"/>
    <n v="1"/>
    <n v="0"/>
    <n v="0"/>
    <n v="0"/>
    <n v="0"/>
    <n v="0"/>
    <n v="0"/>
    <n v="0"/>
    <n v="0"/>
    <n v="0"/>
  </r>
  <r>
    <d v="2021-06-04T00:00:00"/>
    <n v="2021"/>
    <x v="6"/>
    <s v="R"/>
    <s v="RS"/>
    <x v="2"/>
    <s v="SEA"/>
    <s v="A"/>
    <n v="2"/>
    <n v="2"/>
    <n v="0"/>
    <n v="0"/>
    <n v="0"/>
    <n v="0"/>
    <n v="1458.6190537062764"/>
    <n v="1650.6862861032514"/>
    <n v="0.16950060070469458"/>
    <n v="102"/>
    <n v="105"/>
    <n v="1"/>
    <n v="-3"/>
    <n v="0"/>
    <n v="0.22513151340181328"/>
    <n v="1"/>
    <n v="74.95"/>
    <n v="74.95"/>
    <n v="-2.8600865105993685"/>
    <n v="1455.7589671956771"/>
    <n v="0"/>
    <n v="1"/>
    <n v="0"/>
    <n v="0"/>
    <n v="0"/>
    <n v="0"/>
    <n v="0"/>
    <n v="0"/>
    <n v="0"/>
    <n v="0"/>
  </r>
  <r>
    <d v="2021-06-04T00:00:00"/>
    <n v="2021"/>
    <x v="7"/>
    <s v="R"/>
    <s v="RS"/>
    <x v="9"/>
    <s v="DAL"/>
    <s v="H"/>
    <n v="2"/>
    <n v="2"/>
    <n v="0"/>
    <n v="0"/>
    <n v="0"/>
    <n v="0"/>
    <n v="1650.6862861032514"/>
    <n v="1458.6190537062764"/>
    <n v="0.83049939929530536"/>
    <n v="105"/>
    <n v="102"/>
    <n v="1"/>
    <n v="3"/>
    <n v="1"/>
    <n v="0.22513151340181328"/>
    <n v="1"/>
    <n v="74.8"/>
    <n v="74.8"/>
    <n v="2.8543625215854944"/>
    <n v="1653.5406486248369"/>
    <n v="1"/>
    <n v="0"/>
    <n v="0"/>
    <n v="0"/>
    <n v="0"/>
    <n v="0"/>
    <n v="0"/>
    <n v="0"/>
    <n v="0"/>
    <n v="0"/>
  </r>
  <r>
    <d v="2021-06-05T00:00:00"/>
    <n v="2021"/>
    <x v="8"/>
    <s v="R"/>
    <s v="RS"/>
    <x v="7"/>
    <s v="CON"/>
    <s v="A"/>
    <n v="1"/>
    <n v="3"/>
    <n v="-2"/>
    <n v="2"/>
    <n v="-16"/>
    <n v="16"/>
    <n v="1417.8363553786096"/>
    <n v="1610.4103359608303"/>
    <n v="0.14476127682198267"/>
    <n v="64"/>
    <n v="85"/>
    <n v="0"/>
    <n v="-21"/>
    <n v="0"/>
    <n v="0.50718421941905834"/>
    <n v="1"/>
    <n v="74.650000000000006"/>
    <n v="74.650000000000006"/>
    <n v="-5.4808504167142909"/>
    <n v="1412.3555049618953"/>
    <n v="0"/>
    <n v="1"/>
    <n v="0"/>
    <n v="0"/>
    <n v="0"/>
    <n v="0"/>
    <n v="0"/>
    <n v="0"/>
    <n v="0"/>
    <n v="0"/>
  </r>
  <r>
    <d v="2021-06-05T00:00:00"/>
    <n v="2021"/>
    <x v="9"/>
    <s v="R"/>
    <s v="RS"/>
    <x v="0"/>
    <s v="NYL"/>
    <s v="H"/>
    <n v="3"/>
    <n v="1"/>
    <n v="2"/>
    <n v="-2"/>
    <n v="16"/>
    <n v="-16"/>
    <n v="1610.4103359608303"/>
    <n v="1417.8363553786096"/>
    <n v="0.8552387231780173"/>
    <n v="85"/>
    <n v="64"/>
    <n v="0"/>
    <n v="21"/>
    <n v="1"/>
    <n v="0.50718421941905834"/>
    <n v="1"/>
    <n v="74.5"/>
    <n v="74.5"/>
    <n v="5.4698373214362315"/>
    <n v="1615.8801732822665"/>
    <n v="1"/>
    <n v="0"/>
    <n v="0"/>
    <n v="0"/>
    <n v="0"/>
    <n v="0"/>
    <n v="0"/>
    <n v="0"/>
    <n v="0"/>
    <n v="0"/>
  </r>
  <r>
    <d v="2021-06-05T00:00:00"/>
    <n v="2021"/>
    <x v="8"/>
    <s v="R"/>
    <s v="RS"/>
    <x v="10"/>
    <s v="LAS"/>
    <s v="A"/>
    <n v="1"/>
    <n v="1"/>
    <n v="0"/>
    <n v="0"/>
    <n v="0"/>
    <n v="0"/>
    <n v="1450.9885234317044"/>
    <n v="1511.8342778781989"/>
    <n v="0.30284235175678526"/>
    <n v="63"/>
    <n v="68"/>
    <n v="0"/>
    <n v="-5"/>
    <n v="0"/>
    <n v="0.31574613242701083"/>
    <n v="1"/>
    <n v="74.650000000000006"/>
    <n v="74.650000000000006"/>
    <n v="-7.1381301422170917"/>
    <n v="1443.8503932894873"/>
    <n v="0"/>
    <n v="1"/>
    <n v="0"/>
    <n v="0"/>
    <n v="0"/>
    <n v="0"/>
    <n v="0"/>
    <n v="0"/>
    <n v="0"/>
    <n v="0"/>
  </r>
  <r>
    <d v="2021-06-05T00:00:00"/>
    <n v="2021"/>
    <x v="6"/>
    <s v="R"/>
    <s v="RS"/>
    <x v="3"/>
    <s v="CHI"/>
    <s v="H"/>
    <n v="1"/>
    <n v="1"/>
    <n v="0"/>
    <n v="0"/>
    <n v="0"/>
    <n v="0"/>
    <n v="1511.8342778781989"/>
    <n v="1450.9885234317044"/>
    <n v="0.69715764824321469"/>
    <n v="68"/>
    <n v="63"/>
    <n v="0"/>
    <n v="5"/>
    <n v="1"/>
    <n v="0.31574613242701083"/>
    <n v="1"/>
    <n v="74.95"/>
    <n v="74.95"/>
    <n v="7.1668165326077844"/>
    <n v="1519.0010944108067"/>
    <n v="1"/>
    <n v="0"/>
    <n v="0"/>
    <n v="0"/>
    <n v="0"/>
    <n v="0"/>
    <n v="0"/>
    <n v="0"/>
    <n v="0"/>
    <n v="0"/>
  </r>
  <r>
    <d v="2021-06-05T00:00:00"/>
    <n v="2021"/>
    <x v="9"/>
    <s v="R"/>
    <s v="RS"/>
    <x v="8"/>
    <s v="WAS"/>
    <s v="A"/>
    <n v="1"/>
    <n v="7"/>
    <n v="-6"/>
    <n v="6"/>
    <n v="-16"/>
    <n v="16"/>
    <n v="1601.1152153354867"/>
    <n v="1468.7898430079658"/>
    <n v="0.52347682380410743"/>
    <n v="96"/>
    <n v="93"/>
    <n v="0"/>
    <n v="3"/>
    <n v="1"/>
    <n v="0.26136275158531463"/>
    <n v="1"/>
    <n v="74.5"/>
    <n v="74.5"/>
    <n v="9.2786329350925492"/>
    <n v="1610.3938482705792"/>
    <n v="1"/>
    <n v="0"/>
    <n v="0"/>
    <n v="0"/>
    <n v="0"/>
    <n v="0"/>
    <n v="0"/>
    <n v="0"/>
    <n v="0"/>
    <n v="0"/>
  </r>
  <r>
    <d v="2021-06-05T00:00:00"/>
    <n v="2021"/>
    <x v="6"/>
    <s v="R"/>
    <s v="RS"/>
    <x v="11"/>
    <s v="LVA"/>
    <s v="H"/>
    <n v="7"/>
    <n v="1"/>
    <n v="6"/>
    <n v="-6"/>
    <n v="16"/>
    <n v="-16"/>
    <n v="1468.7898430079658"/>
    <n v="1601.1152153354867"/>
    <n v="0.47652317619589246"/>
    <n v="93"/>
    <n v="96"/>
    <n v="0"/>
    <n v="-3"/>
    <n v="0"/>
    <n v="0.26136275158531463"/>
    <n v="1"/>
    <n v="74.95"/>
    <n v="74.95"/>
    <n v="-9.3346783689286745"/>
    <n v="1459.4551646390371"/>
    <n v="0"/>
    <n v="1"/>
    <n v="0"/>
    <n v="0"/>
    <n v="0"/>
    <n v="0"/>
    <n v="0"/>
    <n v="0"/>
    <n v="0"/>
    <n v="0"/>
  </r>
  <r>
    <d v="2021-06-06T00:00:00"/>
    <n v="2021"/>
    <x v="7"/>
    <s v="R"/>
    <s v="RS"/>
    <x v="1"/>
    <s v="MIN"/>
    <s v="A"/>
    <n v="1"/>
    <n v="1"/>
    <n v="0"/>
    <n v="0"/>
    <n v="0"/>
    <n v="0"/>
    <n v="1461.8835630853932"/>
    <n v="1487.8315664339857"/>
    <n v="0.34685063847542574"/>
    <n v="80"/>
    <n v="100"/>
    <n v="0"/>
    <n v="-20"/>
    <n v="0"/>
    <n v="0.56271948634549673"/>
    <n v="1"/>
    <n v="74.8"/>
    <n v="74.8"/>
    <n v="-14.599435061488137"/>
    <n v="1447.2841280239052"/>
    <n v="0"/>
    <n v="1"/>
    <n v="0"/>
    <n v="0"/>
    <n v="0"/>
    <n v="0"/>
    <n v="0"/>
    <n v="0"/>
    <n v="0"/>
    <n v="0"/>
  </r>
  <r>
    <d v="2021-06-06T00:00:00"/>
    <n v="2021"/>
    <x v="6"/>
    <s v="R"/>
    <s v="RS"/>
    <x v="5"/>
    <s v="ATL"/>
    <s v="H"/>
    <n v="1"/>
    <n v="1"/>
    <n v="0"/>
    <n v="0"/>
    <n v="0"/>
    <n v="0"/>
    <n v="1487.8315664339857"/>
    <n v="1461.8835630853932"/>
    <n v="0.65314936152457426"/>
    <n v="100"/>
    <n v="80"/>
    <n v="0"/>
    <n v="20"/>
    <n v="1"/>
    <n v="0.56271948634549673"/>
    <n v="1"/>
    <n v="74.95"/>
    <n v="74.95"/>
    <n v="14.628712003456361"/>
    <n v="1502.460278437442"/>
    <n v="1"/>
    <n v="0"/>
    <n v="0"/>
    <n v="0"/>
    <n v="0"/>
    <n v="0"/>
    <n v="0"/>
    <n v="0"/>
    <n v="0"/>
    <n v="0"/>
  </r>
  <r>
    <d v="2021-06-06T00:00:00"/>
    <n v="2021"/>
    <x v="7"/>
    <s v="R"/>
    <s v="RS"/>
    <x v="2"/>
    <s v="SEA"/>
    <s v="A"/>
    <n v="1"/>
    <n v="1"/>
    <n v="0"/>
    <n v="0"/>
    <n v="0"/>
    <n v="0"/>
    <n v="1455.7589671956771"/>
    <n v="1653.5406486248369"/>
    <n v="0.16492017531419034"/>
    <n v="68"/>
    <n v="67"/>
    <n v="0"/>
    <n v="1"/>
    <n v="1"/>
    <n v="0.20962902079154361"/>
    <n v="1"/>
    <n v="74.8"/>
    <n v="74.8"/>
    <n v="13.094261051688182"/>
    <n v="1468.8532282473652"/>
    <n v="1"/>
    <n v="0"/>
    <n v="0"/>
    <n v="0"/>
    <n v="0"/>
    <n v="0"/>
    <n v="0"/>
    <n v="0"/>
    <n v="0"/>
    <n v="0"/>
  </r>
  <r>
    <d v="2021-06-06T00:00:00"/>
    <n v="2021"/>
    <x v="8"/>
    <s v="R"/>
    <s v="RS"/>
    <x v="9"/>
    <s v="DAL"/>
    <s v="H"/>
    <n v="1"/>
    <n v="1"/>
    <n v="0"/>
    <n v="0"/>
    <n v="0"/>
    <n v="0"/>
    <n v="1653.5406486248369"/>
    <n v="1455.7589671956771"/>
    <n v="0.83507982468580966"/>
    <n v="67"/>
    <n v="68"/>
    <n v="0"/>
    <n v="-1"/>
    <n v="0"/>
    <n v="0.20962902079154361"/>
    <n v="1"/>
    <n v="74.650000000000006"/>
    <n v="74.650000000000006"/>
    <n v="-13.068002506798432"/>
    <n v="1640.4726461180385"/>
    <n v="0"/>
    <n v="1"/>
    <n v="0"/>
    <n v="0"/>
    <n v="0"/>
    <n v="0"/>
    <n v="0"/>
    <n v="0"/>
    <n v="0"/>
    <n v="0"/>
  </r>
  <r>
    <d v="2021-06-08T00:00:00"/>
    <n v="2021"/>
    <x v="8"/>
    <s v="R"/>
    <s v="RS"/>
    <x v="2"/>
    <s v="PHX"/>
    <s v="A"/>
    <n v="1"/>
    <n v="4"/>
    <n v="-3"/>
    <n v="3"/>
    <n v="-16"/>
    <n v="16"/>
    <n v="1468.8532282473652"/>
    <n v="1529.2040969776056"/>
    <n v="0.26597179134813487"/>
    <n v="85"/>
    <n v="81"/>
    <n v="0"/>
    <n v="4"/>
    <n v="1"/>
    <n v="0.29652003355316792"/>
    <n v="1"/>
    <n v="74.650000000000006"/>
    <n v="74.650000000000006"/>
    <n v="16.247876255211263"/>
    <n v="1485.1011045025764"/>
    <n v="1"/>
    <n v="0"/>
    <n v="0"/>
    <n v="0"/>
    <n v="0"/>
    <n v="0"/>
    <n v="0"/>
    <n v="0"/>
    <n v="0"/>
    <n v="0"/>
  </r>
  <r>
    <d v="2021-06-08T00:00:00"/>
    <n v="2021"/>
    <x v="8"/>
    <s v="R"/>
    <s v="RS"/>
    <x v="4"/>
    <s v="DAL"/>
    <s v="H"/>
    <n v="4"/>
    <n v="1"/>
    <n v="3"/>
    <n v="-3"/>
    <n v="16"/>
    <n v="-16"/>
    <n v="1529.2040969776056"/>
    <n v="1468.8532282473652"/>
    <n v="0.73402820865186513"/>
    <n v="81"/>
    <n v="85"/>
    <n v="0"/>
    <n v="-4"/>
    <n v="0"/>
    <n v="0.29652003355316792"/>
    <n v="1"/>
    <n v="74.650000000000006"/>
    <n v="74.650000000000006"/>
    <n v="-16.247876255211263"/>
    <n v="1512.9562207223944"/>
    <n v="0"/>
    <n v="1"/>
    <n v="0"/>
    <n v="0"/>
    <n v="0"/>
    <n v="0"/>
    <n v="0"/>
    <n v="0"/>
    <n v="0"/>
    <n v="0"/>
  </r>
  <r>
    <d v="2021-06-08T00:00:00"/>
    <n v="2021"/>
    <x v="7"/>
    <s v="R"/>
    <s v="RS"/>
    <x v="5"/>
    <s v="WAS"/>
    <s v="A"/>
    <n v="1"/>
    <n v="2"/>
    <n v="-1"/>
    <n v="1"/>
    <n v="-8"/>
    <n v="8"/>
    <n v="1502.460278437442"/>
    <n v="1459.4551646390371"/>
    <n v="0.41870568641661854"/>
    <n v="81"/>
    <n v="85"/>
    <n v="0"/>
    <n v="-4"/>
    <n v="0"/>
    <n v="0.30065787963062751"/>
    <n v="1"/>
    <n v="74.8"/>
    <n v="74.8"/>
    <n v="-9.4163598572745606"/>
    <n v="1493.0439185801674"/>
    <n v="0"/>
    <n v="1"/>
    <n v="0"/>
    <n v="0"/>
    <n v="0"/>
    <n v="0"/>
    <n v="0"/>
    <n v="0"/>
    <n v="0"/>
    <n v="0"/>
  </r>
  <r>
    <d v="2021-06-08T00:00:00"/>
    <n v="2021"/>
    <x v="7"/>
    <s v="R"/>
    <s v="RS"/>
    <x v="11"/>
    <s v="MIN"/>
    <s v="H"/>
    <n v="2"/>
    <n v="1"/>
    <n v="1"/>
    <n v="-1"/>
    <n v="8"/>
    <n v="-8"/>
    <n v="1459.4551646390371"/>
    <n v="1502.460278437442"/>
    <n v="0.58129431358338146"/>
    <n v="85"/>
    <n v="81"/>
    <n v="0"/>
    <n v="4"/>
    <n v="1"/>
    <n v="0.30065787963062751"/>
    <n v="1"/>
    <n v="74.8"/>
    <n v="74.8"/>
    <n v="9.4163598572745606"/>
    <n v="1468.8715244963116"/>
    <n v="1"/>
    <n v="0"/>
    <n v="0"/>
    <n v="0"/>
    <n v="0"/>
    <n v="0"/>
    <n v="0"/>
    <n v="0"/>
    <n v="0"/>
    <n v="0"/>
  </r>
  <r>
    <d v="2021-06-09T00:00:00"/>
    <n v="2021"/>
    <x v="9"/>
    <s v="R"/>
    <s v="RS"/>
    <x v="9"/>
    <s v="ATL"/>
    <s v="A"/>
    <n v="2"/>
    <n v="2"/>
    <n v="0"/>
    <n v="0"/>
    <n v="0"/>
    <n v="0"/>
    <n v="1640.4726461180385"/>
    <n v="1447.2841280239052"/>
    <n v="0.65215825521590753"/>
    <n v="95"/>
    <n v="71"/>
    <n v="0"/>
    <n v="24"/>
    <n v="1"/>
    <n v="0.5412886393647488"/>
    <n v="1"/>
    <n v="74.5"/>
    <n v="74.5"/>
    <n v="14.027067463758902"/>
    <n v="1654.4997135817973"/>
    <n v="1"/>
    <n v="0"/>
    <n v="0"/>
    <n v="0"/>
    <n v="0"/>
    <n v="0"/>
    <n v="0"/>
    <n v="0"/>
    <n v="0"/>
    <n v="0"/>
  </r>
  <r>
    <d v="2021-06-09T00:00:00"/>
    <n v="2021"/>
    <x v="8"/>
    <s v="R"/>
    <s v="RS"/>
    <x v="1"/>
    <s v="SEA"/>
    <s v="H"/>
    <n v="2"/>
    <n v="2"/>
    <n v="0"/>
    <n v="0"/>
    <n v="0"/>
    <n v="0"/>
    <n v="1447.2841280239052"/>
    <n v="1640.4726461180385"/>
    <n v="0.34784174478409247"/>
    <n v="71"/>
    <n v="95"/>
    <n v="0"/>
    <n v="-24"/>
    <n v="0"/>
    <n v="0.5412886393647488"/>
    <n v="1"/>
    <n v="74.650000000000006"/>
    <n v="74.650000000000006"/>
    <n v="-14.055309881471167"/>
    <n v="1433.228818142434"/>
    <n v="0"/>
    <n v="1"/>
    <n v="0"/>
    <n v="0"/>
    <n v="0"/>
    <n v="0"/>
    <n v="0"/>
    <n v="0"/>
    <n v="0"/>
    <n v="0"/>
  </r>
  <r>
    <d v="2021-06-09T00:00:00"/>
    <n v="2021"/>
    <x v="10"/>
    <s v="R"/>
    <s v="RS"/>
    <x v="6"/>
    <s v="CHI"/>
    <s v="A"/>
    <n v="5"/>
    <n v="3"/>
    <n v="2"/>
    <n v="-2"/>
    <n v="16"/>
    <n v="-16"/>
    <n v="1351.0531120229564"/>
    <n v="1443.8503932894873"/>
    <n v="0.30290126713976046"/>
    <n v="76"/>
    <n v="92"/>
    <n v="0"/>
    <n v="-16"/>
    <n v="0"/>
    <n v="0.48061923376521576"/>
    <n v="1"/>
    <n v="74.349999999999994"/>
    <n v="74.349999999999994"/>
    <n v="-10.823886005244347"/>
    <n v="1340.2292260177121"/>
    <n v="0"/>
    <n v="1"/>
    <n v="0"/>
    <n v="0"/>
    <n v="0"/>
    <n v="0"/>
    <n v="0"/>
    <n v="0"/>
    <n v="0"/>
    <n v="0"/>
  </r>
  <r>
    <d v="2021-06-09T00:00:00"/>
    <n v="2021"/>
    <x v="9"/>
    <s v="R"/>
    <s v="RS"/>
    <x v="10"/>
    <s v="IND"/>
    <s v="H"/>
    <n v="3"/>
    <n v="5"/>
    <n v="-2"/>
    <n v="2"/>
    <n v="-16"/>
    <n v="16"/>
    <n v="1443.8503932894873"/>
    <n v="1351.0531120229564"/>
    <n v="0.6970987328602396"/>
    <n v="92"/>
    <n v="76"/>
    <n v="0"/>
    <n v="16"/>
    <n v="1"/>
    <n v="0.48061923376521576"/>
    <n v="1"/>
    <n v="74.5"/>
    <n v="74.5"/>
    <n v="10.845723031482231"/>
    <n v="1454.6961163209696"/>
    <n v="1"/>
    <n v="0"/>
    <n v="0"/>
    <n v="0"/>
    <n v="0"/>
    <n v="0"/>
    <n v="0"/>
    <n v="0"/>
    <n v="0"/>
    <n v="0"/>
  </r>
  <r>
    <d v="2021-06-10T00:00:00"/>
    <n v="2021"/>
    <x v="7"/>
    <s v="R"/>
    <s v="RS"/>
    <x v="3"/>
    <s v="WAS"/>
    <s v="A"/>
    <n v="4"/>
    <n v="1"/>
    <n v="3"/>
    <n v="-3"/>
    <n v="16"/>
    <n v="-16"/>
    <n v="1519.0010944108067"/>
    <n v="1468.8715244963116"/>
    <n v="0.49730826073407336"/>
    <n v="71"/>
    <n v="89"/>
    <n v="0"/>
    <n v="-18"/>
    <n v="0"/>
    <n v="0.52490616520371369"/>
    <n v="1"/>
    <n v="74.8"/>
    <n v="74.8"/>
    <n v="-19.525804870540615"/>
    <n v="1499.475289540266"/>
    <n v="0"/>
    <n v="1"/>
    <n v="0"/>
    <n v="0"/>
    <n v="0"/>
    <n v="0"/>
    <n v="0"/>
    <n v="0"/>
    <n v="0"/>
    <n v="0"/>
  </r>
  <r>
    <d v="2021-06-10T00:00:00"/>
    <n v="2021"/>
    <x v="8"/>
    <s v="R"/>
    <s v="RS"/>
    <x v="11"/>
    <s v="LAS"/>
    <s v="H"/>
    <n v="1"/>
    <n v="4"/>
    <n v="-3"/>
    <n v="3"/>
    <n v="-16"/>
    <n v="16"/>
    <n v="1468.8715244963116"/>
    <n v="1519.0010944108067"/>
    <n v="0.50269173926592658"/>
    <n v="89"/>
    <n v="71"/>
    <n v="0"/>
    <n v="18"/>
    <n v="1"/>
    <n v="0.52490616520371369"/>
    <n v="1"/>
    <n v="74.650000000000006"/>
    <n v="74.650000000000006"/>
    <n v="19.486648844730713"/>
    <n v="1488.3581733410424"/>
    <n v="1"/>
    <n v="0"/>
    <n v="0"/>
    <n v="0"/>
    <n v="0"/>
    <n v="0"/>
    <n v="0"/>
    <n v="0"/>
    <n v="0"/>
    <n v="0"/>
  </r>
  <r>
    <d v="2021-06-11T00:00:00"/>
    <n v="2021"/>
    <x v="10"/>
    <s v="R"/>
    <s v="RS"/>
    <x v="9"/>
    <s v="ATL"/>
    <s v="A"/>
    <n v="1"/>
    <n v="1"/>
    <n v="0"/>
    <n v="0"/>
    <n v="0"/>
    <n v="0"/>
    <n v="1654.4997135817973"/>
    <n v="1433.228818142434"/>
    <n v="0.68787315506964319"/>
    <n v="86"/>
    <n v="75"/>
    <n v="0"/>
    <n v="11"/>
    <n v="1"/>
    <n v="0.37136000322162066"/>
    <n v="1"/>
    <n v="74.349999999999994"/>
    <n v="74.349999999999994"/>
    <n v="8.6180145334265905"/>
    <n v="1663.1177281152238"/>
    <n v="1"/>
    <n v="0"/>
    <n v="0"/>
    <n v="0"/>
    <n v="0"/>
    <n v="0"/>
    <n v="0"/>
    <n v="0"/>
    <n v="0"/>
    <n v="0"/>
  </r>
  <r>
    <d v="2021-06-11T00:00:00"/>
    <n v="2021"/>
    <x v="9"/>
    <s v="R"/>
    <s v="RS"/>
    <x v="1"/>
    <s v="SEA"/>
    <s v="H"/>
    <n v="1"/>
    <n v="1"/>
    <n v="0"/>
    <n v="0"/>
    <n v="0"/>
    <n v="0"/>
    <n v="1433.228818142434"/>
    <n v="1654.4997135817973"/>
    <n v="0.31212684493035681"/>
    <n v="75"/>
    <n v="86"/>
    <n v="0"/>
    <n v="-11"/>
    <n v="0"/>
    <n v="0.37136000322162066"/>
    <n v="1"/>
    <n v="74.5"/>
    <n v="74.5"/>
    <n v="-8.6354012473474242"/>
    <n v="1424.5934168950866"/>
    <n v="0"/>
    <n v="1"/>
    <n v="0"/>
    <n v="0"/>
    <n v="0"/>
    <n v="0"/>
    <n v="0"/>
    <n v="0"/>
    <n v="0"/>
    <n v="0"/>
  </r>
  <r>
    <d v="2021-06-11T00:00:00"/>
    <n v="2021"/>
    <x v="9"/>
    <s v="R"/>
    <s v="RS"/>
    <x v="2"/>
    <s v="PHX"/>
    <s v="A"/>
    <n v="2"/>
    <n v="2"/>
    <n v="0"/>
    <n v="0"/>
    <n v="0"/>
    <n v="0"/>
    <n v="1485.1011045025764"/>
    <n v="1512.9562207223944"/>
    <n v="0.34436777308109329"/>
    <n v="77"/>
    <n v="59"/>
    <n v="0"/>
    <n v="18"/>
    <n v="1"/>
    <n v="0.53442845974517117"/>
    <n v="1"/>
    <n v="74.5"/>
    <n v="74.5"/>
    <n v="26.103944828771809"/>
    <n v="1511.2050493313482"/>
    <n v="1"/>
    <n v="0"/>
    <n v="0"/>
    <n v="0"/>
    <n v="0"/>
    <n v="0"/>
    <n v="0"/>
    <n v="0"/>
    <n v="0"/>
    <n v="0"/>
  </r>
  <r>
    <d v="2021-06-11T00:00:00"/>
    <n v="2021"/>
    <x v="9"/>
    <s v="R"/>
    <s v="RS"/>
    <x v="4"/>
    <s v="DAL"/>
    <s v="H"/>
    <n v="2"/>
    <n v="2"/>
    <n v="0"/>
    <n v="0"/>
    <n v="0"/>
    <n v="0"/>
    <n v="1512.9562207223944"/>
    <n v="1485.1011045025764"/>
    <n v="0.65563222691890677"/>
    <n v="59"/>
    <n v="77"/>
    <n v="0"/>
    <n v="-18"/>
    <n v="0"/>
    <n v="0.53442845974517117"/>
    <n v="1"/>
    <n v="74.5"/>
    <n v="74.5"/>
    <n v="-26.103944828771809"/>
    <n v="1486.8522758936226"/>
    <n v="0"/>
    <n v="1"/>
    <n v="0"/>
    <n v="0"/>
    <n v="0"/>
    <n v="0"/>
    <n v="0"/>
    <n v="0"/>
    <n v="0"/>
    <n v="0"/>
  </r>
  <r>
    <d v="2021-06-12T00:00:00"/>
    <n v="2021"/>
    <x v="10"/>
    <s v="R"/>
    <s v="RS"/>
    <x v="10"/>
    <s v="IND"/>
    <s v="A"/>
    <n v="2"/>
    <n v="2"/>
    <n v="0"/>
    <n v="0"/>
    <n v="0"/>
    <n v="0"/>
    <n v="1454.6961163209696"/>
    <n v="1340.2292260177121"/>
    <n v="0.5437333387721911"/>
    <n v="83"/>
    <n v="79"/>
    <n v="0"/>
    <n v="4"/>
    <n v="1"/>
    <n v="0.28431243467717576"/>
    <n v="1"/>
    <n v="74.349999999999994"/>
    <n v="74.349999999999994"/>
    <n v="9.6448519132226291"/>
    <n v="1464.3409682341924"/>
    <n v="1"/>
    <n v="0"/>
    <n v="0"/>
    <n v="0"/>
    <n v="0"/>
    <n v="0"/>
    <n v="0"/>
    <n v="0"/>
    <n v="0"/>
    <n v="0"/>
  </r>
  <r>
    <d v="2021-06-12T00:00:00"/>
    <n v="2021"/>
    <x v="11"/>
    <s v="R"/>
    <s v="RS"/>
    <x v="6"/>
    <s v="CHI"/>
    <s v="H"/>
    <n v="2"/>
    <n v="2"/>
    <n v="0"/>
    <n v="0"/>
    <n v="0"/>
    <n v="0"/>
    <n v="1340.2292260177121"/>
    <n v="1454.6961163209696"/>
    <n v="0.45626666122780896"/>
    <n v="79"/>
    <n v="83"/>
    <n v="0"/>
    <n v="-4"/>
    <n v="0"/>
    <n v="0.28431243467717576"/>
    <n v="1"/>
    <n v="74.2"/>
    <n v="74.2"/>
    <n v="-9.6253935704252758"/>
    <n v="1330.6038324472868"/>
    <n v="0"/>
    <n v="1"/>
    <n v="0"/>
    <n v="0"/>
    <n v="0"/>
    <n v="0"/>
    <n v="0"/>
    <n v="0"/>
    <n v="0"/>
    <n v="0"/>
  </r>
  <r>
    <d v="2021-06-12T00:00:00"/>
    <n v="2021"/>
    <x v="8"/>
    <s v="R"/>
    <s v="RS"/>
    <x v="3"/>
    <s v="MIN"/>
    <s v="A"/>
    <n v="1"/>
    <n v="3"/>
    <n v="-2"/>
    <n v="2"/>
    <n v="-16"/>
    <n v="16"/>
    <n v="1499.475289540266"/>
    <n v="1493.0439185801674"/>
    <n v="0.34734554561986553"/>
    <n v="64"/>
    <n v="80"/>
    <n v="0"/>
    <n v="-16"/>
    <n v="0"/>
    <n v="0.51502576416062418"/>
    <n v="1"/>
    <n v="74.650000000000006"/>
    <n v="74.650000000000006"/>
    <n v="-13.354280712778284"/>
    <n v="1486.1210088274877"/>
    <n v="0"/>
    <n v="1"/>
    <n v="0"/>
    <n v="0"/>
    <n v="0"/>
    <n v="0"/>
    <n v="0"/>
    <n v="0"/>
    <n v="0"/>
    <n v="0"/>
  </r>
  <r>
    <d v="2021-06-12T00:00:00"/>
    <n v="2021"/>
    <x v="8"/>
    <s v="R"/>
    <s v="RS"/>
    <x v="5"/>
    <s v="LAS"/>
    <s v="H"/>
    <n v="3"/>
    <n v="1"/>
    <n v="2"/>
    <n v="-2"/>
    <n v="16"/>
    <n v="-16"/>
    <n v="1493.0439185801674"/>
    <n v="1499.475289540266"/>
    <n v="0.65265445438013447"/>
    <n v="80"/>
    <n v="64"/>
    <n v="0"/>
    <n v="16"/>
    <n v="1"/>
    <n v="0.51502576416062418"/>
    <n v="1"/>
    <n v="74.650000000000006"/>
    <n v="74.650000000000006"/>
    <n v="13.354280712778284"/>
    <n v="1506.3981992929457"/>
    <n v="1"/>
    <n v="0"/>
    <n v="0"/>
    <n v="0"/>
    <n v="0"/>
    <n v="0"/>
    <n v="0"/>
    <n v="0"/>
    <n v="0"/>
    <n v="0"/>
  </r>
  <r>
    <d v="2021-06-13T00:00:00"/>
    <n v="2021"/>
    <x v="9"/>
    <s v="R"/>
    <s v="RS"/>
    <x v="11"/>
    <s v="ATL"/>
    <s v="A"/>
    <n v="2"/>
    <n v="1"/>
    <n v="1"/>
    <n v="-1"/>
    <n v="8"/>
    <n v="-8"/>
    <n v="1488.3581733410424"/>
    <n v="1424.5934168950866"/>
    <n v="0.49390529646014197"/>
    <n v="78"/>
    <n v="101"/>
    <n v="0"/>
    <n v="-23"/>
    <n v="0"/>
    <n v="0.58429016896381503"/>
    <n v="1"/>
    <n v="74.5"/>
    <n v="74.5"/>
    <n v="-21.499508679501051"/>
    <n v="1466.8586646615413"/>
    <n v="0"/>
    <n v="1"/>
    <n v="0"/>
    <n v="0"/>
    <n v="0"/>
    <n v="0"/>
    <n v="0"/>
    <n v="0"/>
    <n v="0"/>
    <n v="0"/>
  </r>
  <r>
    <d v="2021-06-13T00:00:00"/>
    <n v="2021"/>
    <x v="10"/>
    <s v="R"/>
    <s v="RS"/>
    <x v="1"/>
    <s v="WAS"/>
    <s v="H"/>
    <n v="1"/>
    <n v="2"/>
    <n v="-1"/>
    <n v="1"/>
    <n v="-8"/>
    <n v="8"/>
    <n v="1424.5934168950866"/>
    <n v="1488.3581733410424"/>
    <n v="0.50609470353985808"/>
    <n v="101"/>
    <n v="78"/>
    <n v="0"/>
    <n v="23"/>
    <n v="1"/>
    <n v="0.58429016896381503"/>
    <n v="1"/>
    <n v="74.349999999999994"/>
    <n v="74.349999999999994"/>
    <n v="21.456221078132927"/>
    <n v="1446.0496379732197"/>
    <n v="1"/>
    <n v="0"/>
    <n v="0"/>
    <n v="0"/>
    <n v="0"/>
    <n v="0"/>
    <n v="0"/>
    <n v="0"/>
    <n v="0"/>
    <n v="0"/>
  </r>
  <r>
    <d v="2021-06-13T00:00:00"/>
    <n v="2021"/>
    <x v="11"/>
    <s v="R"/>
    <s v="RS"/>
    <x v="9"/>
    <s v="CON"/>
    <s v="A"/>
    <n v="1"/>
    <n v="7"/>
    <n v="-6"/>
    <n v="6"/>
    <n v="-16"/>
    <n v="16"/>
    <n v="1663.1177281152238"/>
    <n v="1615.8801732822665"/>
    <n v="0.40231501020650023"/>
    <n v="89"/>
    <n v="66"/>
    <n v="0"/>
    <n v="23"/>
    <n v="1"/>
    <n v="0.59203262458948069"/>
    <n v="1"/>
    <n v="74.2"/>
    <n v="74.2"/>
    <n v="26.255596778340553"/>
    <n v="1689.3733248935644"/>
    <n v="1"/>
    <n v="0"/>
    <n v="0"/>
    <n v="0"/>
    <n v="0"/>
    <n v="0"/>
    <n v="0"/>
    <n v="0"/>
    <n v="0"/>
    <n v="0"/>
  </r>
  <r>
    <d v="2021-06-13T00:00:00"/>
    <n v="2021"/>
    <x v="10"/>
    <s v="R"/>
    <s v="RS"/>
    <x v="0"/>
    <s v="SEA"/>
    <s v="H"/>
    <n v="7"/>
    <n v="1"/>
    <n v="6"/>
    <n v="-6"/>
    <n v="16"/>
    <n v="-16"/>
    <n v="1615.8801732822665"/>
    <n v="1663.1177281152238"/>
    <n v="0.59768498979349982"/>
    <n v="66"/>
    <n v="89"/>
    <n v="0"/>
    <n v="-23"/>
    <n v="0"/>
    <n v="0.59203262458948069"/>
    <n v="1"/>
    <n v="74.349999999999994"/>
    <n v="74.349999999999994"/>
    <n v="-26.30867413031833"/>
    <n v="1589.571499151948"/>
    <n v="0"/>
    <n v="1"/>
    <n v="0"/>
    <n v="0"/>
    <n v="0"/>
    <n v="0"/>
    <n v="0"/>
    <n v="0"/>
    <n v="0"/>
    <n v="0"/>
  </r>
  <r>
    <d v="2021-06-13T00:00:00"/>
    <n v="2021"/>
    <x v="10"/>
    <s v="R"/>
    <s v="RS"/>
    <x v="2"/>
    <s v="LVA"/>
    <s v="A"/>
    <n v="1"/>
    <n v="7"/>
    <n v="-6"/>
    <n v="6"/>
    <n v="-16"/>
    <n v="16"/>
    <n v="1511.2050493313482"/>
    <n v="1610.3938482705792"/>
    <n v="0.22465776919590655"/>
    <n v="78"/>
    <n v="85"/>
    <n v="0"/>
    <n v="-7"/>
    <n v="0"/>
    <n v="0.34185070510707039"/>
    <n v="1"/>
    <n v="74.349999999999994"/>
    <n v="74.349999999999994"/>
    <n v="-5.7100366396303484"/>
    <n v="1505.4950126917179"/>
    <n v="0"/>
    <n v="1"/>
    <n v="0"/>
    <n v="0"/>
    <n v="0"/>
    <n v="0"/>
    <n v="0"/>
    <n v="0"/>
    <n v="0"/>
    <n v="0"/>
  </r>
  <r>
    <d v="2021-06-13T00:00:00"/>
    <n v="2021"/>
    <x v="10"/>
    <s v="R"/>
    <s v="RS"/>
    <x v="8"/>
    <s v="DAL"/>
    <s v="H"/>
    <n v="7"/>
    <n v="1"/>
    <n v="6"/>
    <n v="-6"/>
    <n v="16"/>
    <n v="-16"/>
    <n v="1610.3938482705792"/>
    <n v="1511.2050493313482"/>
    <n v="0.77534223080409348"/>
    <n v="85"/>
    <n v="78"/>
    <n v="0"/>
    <n v="7"/>
    <n v="1"/>
    <n v="0.34185070510707039"/>
    <n v="1"/>
    <n v="74.349999999999994"/>
    <n v="74.349999999999994"/>
    <n v="5.7100366396303475"/>
    <n v="1616.1038849102094"/>
    <n v="1"/>
    <n v="0"/>
    <n v="0"/>
    <n v="0"/>
    <n v="0"/>
    <n v="0"/>
    <n v="0"/>
    <n v="0"/>
    <n v="0"/>
    <n v="0"/>
  </r>
  <r>
    <d v="2021-06-13T00:00:00"/>
    <n v="2021"/>
    <x v="9"/>
    <s v="R"/>
    <s v="RS"/>
    <x v="7"/>
    <s v="PHX"/>
    <s v="A"/>
    <n v="7"/>
    <n v="1"/>
    <n v="6"/>
    <n v="-6"/>
    <n v="16"/>
    <n v="-16"/>
    <n v="1412.3555049618953"/>
    <n v="1486.8522758936226"/>
    <n v="0.32559556987594718"/>
    <n v="85"/>
    <n v="83"/>
    <n v="0"/>
    <n v="2"/>
    <n v="1"/>
    <n v="0.25218548395115647"/>
    <n v="1"/>
    <n v="74.5"/>
    <n v="74.5"/>
    <n v="12.670588065428042"/>
    <n v="1425.0260930273234"/>
    <n v="1"/>
    <n v="0"/>
    <n v="0"/>
    <n v="0"/>
    <n v="0"/>
    <n v="0"/>
    <n v="0"/>
    <n v="0"/>
    <n v="0"/>
    <n v="0"/>
  </r>
  <r>
    <d v="2021-06-13T00:00:00"/>
    <n v="2021"/>
    <x v="10"/>
    <s v="R"/>
    <s v="RS"/>
    <x v="4"/>
    <s v="NYL"/>
    <s v="H"/>
    <n v="1"/>
    <n v="7"/>
    <n v="-6"/>
    <n v="6"/>
    <n v="-16"/>
    <n v="16"/>
    <n v="1486.8522758936226"/>
    <n v="1412.3555049618953"/>
    <n v="0.67440443012405282"/>
    <n v="83"/>
    <n v="85"/>
    <n v="0"/>
    <n v="-2"/>
    <n v="0"/>
    <n v="0.25218548395115647"/>
    <n v="1"/>
    <n v="74.349999999999994"/>
    <n v="74.349999999999994"/>
    <n v="-12.645076814289595"/>
    <n v="1474.2071990793331"/>
    <n v="0"/>
    <n v="1"/>
    <n v="0"/>
    <n v="0"/>
    <n v="0"/>
    <n v="0"/>
    <n v="0"/>
    <n v="0"/>
    <n v="0"/>
    <n v="0"/>
  </r>
  <r>
    <d v="2021-06-15T00:00:00"/>
    <n v="2021"/>
    <x v="12"/>
    <s v="R"/>
    <s v="RS"/>
    <x v="9"/>
    <s v="IND"/>
    <s v="A"/>
    <n v="1"/>
    <n v="2"/>
    <n v="-1"/>
    <n v="1"/>
    <n v="-8"/>
    <n v="8"/>
    <n v="1689.3733248935644"/>
    <n v="1330.6038324472868"/>
    <n v="0.8160177677092092"/>
    <n v="87"/>
    <n v="70"/>
    <n v="0"/>
    <n v="17"/>
    <n v="1"/>
    <n v="0.4098941414972665"/>
    <n v="1"/>
    <n v="74.05"/>
    <n v="74.05"/>
    <n v="5.5843503594710215"/>
    <n v="1694.9576752530354"/>
    <n v="1"/>
    <n v="0"/>
    <n v="0"/>
    <n v="0"/>
    <n v="0"/>
    <n v="0"/>
    <n v="0"/>
    <n v="0"/>
    <n v="0"/>
    <n v="0"/>
  </r>
  <r>
    <d v="2021-06-15T00:00:00"/>
    <n v="2021"/>
    <x v="12"/>
    <s v="R"/>
    <s v="RS"/>
    <x v="6"/>
    <s v="SEA"/>
    <s v="H"/>
    <n v="2"/>
    <n v="1"/>
    <n v="1"/>
    <n v="-1"/>
    <n v="8"/>
    <n v="-8"/>
    <n v="1330.6038324472868"/>
    <n v="1689.3733248935644"/>
    <n v="0.18398223229079083"/>
    <n v="70"/>
    <n v="87"/>
    <n v="0"/>
    <n v="-17"/>
    <n v="0"/>
    <n v="0.4098941414972665"/>
    <n v="1"/>
    <n v="74.05"/>
    <n v="74.05"/>
    <n v="-5.5843503594710224"/>
    <n v="1325.0194820878157"/>
    <n v="0"/>
    <n v="1"/>
    <n v="0"/>
    <n v="0"/>
    <n v="0"/>
    <n v="0"/>
    <n v="0"/>
    <n v="0"/>
    <n v="0"/>
    <n v="0"/>
  </r>
  <r>
    <d v="2021-06-15T00:00:00"/>
    <n v="2021"/>
    <x v="10"/>
    <s v="R"/>
    <s v="RS"/>
    <x v="7"/>
    <s v="LVA"/>
    <s v="A"/>
    <n v="1"/>
    <n v="1"/>
    <n v="0"/>
    <n v="0"/>
    <n v="0"/>
    <n v="0"/>
    <n v="1425.0260930273234"/>
    <n v="1616.1038849102094"/>
    <n v="0.17030389201470375"/>
    <n v="78"/>
    <n v="100"/>
    <n v="0"/>
    <n v="-22"/>
    <n v="0"/>
    <n v="0.51935801850902652"/>
    <n v="1"/>
    <n v="74.349999999999994"/>
    <n v="74.349999999999994"/>
    <n v="-6.5761602428491459"/>
    <n v="1418.4499327844742"/>
    <n v="0"/>
    <n v="1"/>
    <n v="0"/>
    <n v="0"/>
    <n v="0"/>
    <n v="0"/>
    <n v="0"/>
    <n v="0"/>
    <n v="0"/>
    <n v="0"/>
  </r>
  <r>
    <d v="2021-06-15T00:00:00"/>
    <n v="2021"/>
    <x v="11"/>
    <s v="R"/>
    <s v="RS"/>
    <x v="8"/>
    <s v="NYL"/>
    <s v="H"/>
    <n v="1"/>
    <n v="1"/>
    <n v="0"/>
    <n v="0"/>
    <n v="0"/>
    <n v="0"/>
    <n v="1616.1038849102094"/>
    <n v="1425.0260930273234"/>
    <n v="0.82969610798529625"/>
    <n v="100"/>
    <n v="78"/>
    <n v="0"/>
    <n v="22"/>
    <n v="1"/>
    <n v="0.51935801850902652"/>
    <n v="1"/>
    <n v="74.2"/>
    <n v="74.2"/>
    <n v="6.5628929390639774"/>
    <n v="1622.6667778492733"/>
    <n v="1"/>
    <n v="0"/>
    <n v="0"/>
    <n v="0"/>
    <n v="0"/>
    <n v="0"/>
    <n v="0"/>
    <n v="0"/>
    <n v="0"/>
    <n v="0"/>
  </r>
  <r>
    <d v="2021-06-15T00:00:00"/>
    <n v="2021"/>
    <x v="11"/>
    <s v="R"/>
    <s v="RS"/>
    <x v="10"/>
    <s v="MIN"/>
    <s v="A"/>
    <n v="2"/>
    <n v="2"/>
    <n v="0"/>
    <n v="0"/>
    <n v="0"/>
    <n v="0"/>
    <n v="1464.3409682341924"/>
    <n v="1506.3981992929457"/>
    <n v="0.3261514028819264"/>
    <n v="105"/>
    <n v="89"/>
    <n v="0"/>
    <n v="16"/>
    <n v="1"/>
    <n v="0.5002533081397782"/>
    <n v="1"/>
    <n v="74.2"/>
    <n v="74.2"/>
    <n v="25.012448250109941"/>
    <n v="1489.3534164843022"/>
    <n v="1"/>
    <n v="0"/>
    <n v="0"/>
    <n v="0"/>
    <n v="0"/>
    <n v="0"/>
    <n v="0"/>
    <n v="0"/>
    <n v="0"/>
    <n v="0"/>
  </r>
  <r>
    <d v="2021-06-15T00:00:00"/>
    <n v="2021"/>
    <x v="9"/>
    <s v="R"/>
    <s v="RS"/>
    <x v="5"/>
    <s v="CHI"/>
    <s v="H"/>
    <n v="2"/>
    <n v="2"/>
    <n v="0"/>
    <n v="0"/>
    <n v="0"/>
    <n v="0"/>
    <n v="1506.3981992929457"/>
    <n v="1464.3409682341924"/>
    <n v="0.67384859711807354"/>
    <n v="89"/>
    <n v="105"/>
    <n v="0"/>
    <n v="-16"/>
    <n v="0"/>
    <n v="0.5002533081397782"/>
    <n v="1"/>
    <n v="74.5"/>
    <n v="74.5"/>
    <n v="-25.113576747078035"/>
    <n v="1481.2846225458677"/>
    <n v="0"/>
    <n v="1"/>
    <n v="0"/>
    <n v="0"/>
    <n v="0"/>
    <n v="0"/>
    <n v="0"/>
    <n v="0"/>
    <n v="0"/>
    <n v="0"/>
  </r>
  <r>
    <d v="2021-06-16T00:00:00"/>
    <n v="2021"/>
    <x v="11"/>
    <s v="R"/>
    <s v="RS"/>
    <x v="4"/>
    <s v="LAS"/>
    <s v="A"/>
    <n v="2"/>
    <n v="3"/>
    <n v="-1"/>
    <n v="1"/>
    <n v="-8"/>
    <n v="8"/>
    <n v="1474.2071990793331"/>
    <n v="1486.1210088274877"/>
    <n v="0.34429149392670172"/>
    <n v="80"/>
    <n v="85"/>
    <n v="0"/>
    <n v="-5"/>
    <n v="0"/>
    <n v="0.32849462342229363"/>
    <n v="1"/>
    <n v="74.2"/>
    <n v="74.2"/>
    <n v="-8.3918645246553485"/>
    <n v="1465.8153345546777"/>
    <n v="0"/>
    <n v="1"/>
    <n v="0"/>
    <n v="0"/>
    <n v="0"/>
    <n v="0"/>
    <n v="0"/>
    <n v="0"/>
    <n v="0"/>
    <n v="0"/>
  </r>
  <r>
    <d v="2021-06-16T00:00:00"/>
    <n v="2021"/>
    <x v="9"/>
    <s v="R"/>
    <s v="RS"/>
    <x v="3"/>
    <s v="PHX"/>
    <s v="H"/>
    <n v="3"/>
    <n v="2"/>
    <n v="1"/>
    <n v="-1"/>
    <n v="8"/>
    <n v="-8"/>
    <n v="1486.1210088274877"/>
    <n v="1474.2071990793331"/>
    <n v="0.65570850607329823"/>
    <n v="85"/>
    <n v="80"/>
    <n v="0"/>
    <n v="5"/>
    <n v="1"/>
    <n v="0.32849462342229363"/>
    <n v="1"/>
    <n v="74.5"/>
    <n v="74.5"/>
    <n v="8.4257938960488339"/>
    <n v="1494.5468027235365"/>
    <n v="1"/>
    <n v="0"/>
    <n v="0"/>
    <n v="0"/>
    <n v="0"/>
    <n v="0"/>
    <n v="0"/>
    <n v="0"/>
    <n v="0"/>
    <n v="0"/>
  </r>
  <r>
    <d v="2021-06-17T00:00:00"/>
    <n v="2021"/>
    <x v="11"/>
    <s v="R"/>
    <s v="RS"/>
    <x v="0"/>
    <s v="CHI"/>
    <s v="A"/>
    <n v="3"/>
    <n v="1"/>
    <n v="2"/>
    <n v="-2"/>
    <n v="16"/>
    <n v="-16"/>
    <n v="1589.571499151948"/>
    <n v="1489.3534164843022"/>
    <n v="0.5689492965760391"/>
    <n v="75"/>
    <n v="81"/>
    <n v="0"/>
    <n v="-6"/>
    <n v="0"/>
    <n v="0.32420477682045962"/>
    <n v="1"/>
    <n v="74.2"/>
    <n v="74.2"/>
    <n v="-13.686641115119546"/>
    <n v="1575.8848580368285"/>
    <n v="0"/>
    <n v="1"/>
    <n v="0"/>
    <n v="0"/>
    <n v="0"/>
    <n v="0"/>
    <n v="0"/>
    <n v="0"/>
    <n v="0"/>
    <n v="0"/>
  </r>
  <r>
    <d v="2021-06-17T00:00:00"/>
    <n v="2021"/>
    <x v="12"/>
    <s v="R"/>
    <s v="RS"/>
    <x v="10"/>
    <s v="CON"/>
    <s v="H"/>
    <n v="1"/>
    <n v="3"/>
    <n v="-2"/>
    <n v="2"/>
    <n v="-16"/>
    <n v="16"/>
    <n v="1489.3534164843022"/>
    <n v="1589.571499151948"/>
    <n v="0.4310507034239609"/>
    <n v="81"/>
    <n v="75"/>
    <n v="0"/>
    <n v="6"/>
    <n v="1"/>
    <n v="0.32420477682045962"/>
    <n v="1"/>
    <n v="74.05"/>
    <n v="74.05"/>
    <n v="13.658972703161755"/>
    <n v="1503.0123891874639"/>
    <n v="1"/>
    <n v="0"/>
    <n v="0"/>
    <n v="0"/>
    <n v="0"/>
    <n v="0"/>
    <n v="0"/>
    <n v="0"/>
    <n v="0"/>
    <n v="0"/>
  </r>
  <r>
    <d v="2021-06-17T00:00:00"/>
    <n v="2021"/>
    <x v="10"/>
    <s v="R"/>
    <s v="RS"/>
    <x v="5"/>
    <s v="DAL"/>
    <s v="A"/>
    <n v="1"/>
    <n v="3"/>
    <n v="-2"/>
    <n v="2"/>
    <n v="-16"/>
    <n v="16"/>
    <n v="1481.2846225458677"/>
    <n v="1505.4950126917179"/>
    <n v="0.30850542328234659"/>
    <n v="85"/>
    <n v="73"/>
    <n v="0"/>
    <n v="12"/>
    <n v="1"/>
    <n v="0.44710887613577432"/>
    <n v="1"/>
    <n v="74.349999999999994"/>
    <n v="74.349999999999994"/>
    <n v="22.987039542783336"/>
    <n v="1504.2716620886511"/>
    <n v="1"/>
    <n v="0"/>
    <n v="0"/>
    <n v="0"/>
    <n v="0"/>
    <n v="0"/>
    <n v="0"/>
    <n v="0"/>
    <n v="0"/>
    <n v="0"/>
  </r>
  <r>
    <d v="2021-06-17T00:00:00"/>
    <n v="2021"/>
    <x v="11"/>
    <s v="R"/>
    <s v="RS"/>
    <x v="2"/>
    <s v="MIN"/>
    <s v="H"/>
    <n v="3"/>
    <n v="1"/>
    <n v="2"/>
    <n v="-2"/>
    <n v="16"/>
    <n v="-16"/>
    <n v="1505.4950126917179"/>
    <n v="1481.2846225458677"/>
    <n v="0.69149457671765335"/>
    <n v="73"/>
    <n v="85"/>
    <n v="0"/>
    <n v="-12"/>
    <n v="0"/>
    <n v="0.44710887613577432"/>
    <n v="1"/>
    <n v="74.2"/>
    <n v="74.2"/>
    <n v="-22.940663538325804"/>
    <n v="1482.554349153392"/>
    <n v="0"/>
    <n v="1"/>
    <n v="0"/>
    <n v="0"/>
    <n v="0"/>
    <n v="0"/>
    <n v="0"/>
    <n v="0"/>
    <n v="0"/>
    <n v="0"/>
  </r>
  <r>
    <d v="2021-06-17T00:00:00"/>
    <n v="2021"/>
    <x v="13"/>
    <s v="R"/>
    <s v="RS"/>
    <x v="9"/>
    <s v="IND"/>
    <s v="A"/>
    <n v="1"/>
    <n v="1"/>
    <n v="0"/>
    <n v="0"/>
    <n v="0"/>
    <n v="0"/>
    <n v="1694.9576752530354"/>
    <n v="1325.0194820878157"/>
    <n v="0.83834869664416811"/>
    <n v="79"/>
    <n v="69"/>
    <n v="0"/>
    <n v="10"/>
    <n v="1"/>
    <n v="0.3234239675225894"/>
    <n v="1"/>
    <n v="73.900000000000006"/>
    <n v="73.900000000000006"/>
    <n v="3.863632845015367"/>
    <n v="1698.8213080980508"/>
    <n v="1"/>
    <n v="0"/>
    <n v="0"/>
    <n v="0"/>
    <n v="0"/>
    <n v="0"/>
    <n v="0"/>
    <n v="0"/>
    <n v="0"/>
    <n v="0"/>
  </r>
  <r>
    <d v="2021-06-17T00:00:00"/>
    <n v="2021"/>
    <x v="13"/>
    <s v="R"/>
    <s v="RS"/>
    <x v="6"/>
    <s v="SEA"/>
    <s v="H"/>
    <n v="1"/>
    <n v="1"/>
    <n v="0"/>
    <n v="0"/>
    <n v="0"/>
    <n v="0"/>
    <n v="1325.0194820878157"/>
    <n v="1694.9576752530354"/>
    <n v="0.16165130335583194"/>
    <n v="69"/>
    <n v="79"/>
    <n v="0"/>
    <n v="-10"/>
    <n v="0"/>
    <n v="0.3234239675225894"/>
    <n v="1"/>
    <n v="73.900000000000006"/>
    <n v="73.900000000000006"/>
    <n v="-3.8636328450153683"/>
    <n v="1321.1558492428003"/>
    <n v="0"/>
    <n v="1"/>
    <n v="0"/>
    <n v="0"/>
    <n v="0"/>
    <n v="0"/>
    <n v="0"/>
    <n v="0"/>
    <n v="0"/>
    <n v="0"/>
  </r>
  <r>
    <d v="2021-06-17T00:00:00"/>
    <n v="2021"/>
    <x v="11"/>
    <s v="R"/>
    <s v="RS"/>
    <x v="7"/>
    <s v="LVA"/>
    <s v="A"/>
    <n v="1"/>
    <n v="1"/>
    <n v="0"/>
    <n v="0"/>
    <n v="0"/>
    <n v="0"/>
    <n v="1418.4499327844742"/>
    <n v="1622.6667778492733"/>
    <n v="0.15988156850165985"/>
    <n v="76"/>
    <n v="103"/>
    <n v="0"/>
    <n v="-27"/>
    <n v="0"/>
    <n v="0.56971257880265846"/>
    <n v="1"/>
    <n v="74.2"/>
    <n v="74.2"/>
    <n v="-6.7586213195018141"/>
    <n v="1411.6913114649724"/>
    <n v="0"/>
    <n v="1"/>
    <n v="0"/>
    <n v="0"/>
    <n v="0"/>
    <n v="0"/>
    <n v="0"/>
    <n v="0"/>
    <n v="0"/>
    <n v="0"/>
  </r>
  <r>
    <d v="2021-06-17T00:00:00"/>
    <n v="2021"/>
    <x v="12"/>
    <s v="R"/>
    <s v="RS"/>
    <x v="8"/>
    <s v="NYL"/>
    <s v="H"/>
    <n v="1"/>
    <n v="1"/>
    <n v="0"/>
    <n v="0"/>
    <n v="0"/>
    <n v="0"/>
    <n v="1622.6667778492733"/>
    <n v="1418.4499327844742"/>
    <n v="0.84011843149834009"/>
    <n v="103"/>
    <n v="76"/>
    <n v="0"/>
    <n v="27"/>
    <n v="1"/>
    <n v="0.56971257880265846"/>
    <n v="1"/>
    <n v="74.05"/>
    <n v="74.05"/>
    <n v="6.7449583383977014"/>
    <n v="1629.4117361876711"/>
    <n v="1"/>
    <n v="0"/>
    <n v="0"/>
    <n v="0"/>
    <n v="0"/>
    <n v="0"/>
    <n v="0"/>
    <n v="0"/>
    <n v="0"/>
    <n v="0"/>
  </r>
  <r>
    <d v="2021-06-17T00:00:00"/>
    <n v="2021"/>
    <x v="11"/>
    <s v="R"/>
    <s v="RS"/>
    <x v="1"/>
    <s v="WAS"/>
    <s v="A"/>
    <n v="3"/>
    <n v="3"/>
    <n v="0"/>
    <n v="0"/>
    <n v="0"/>
    <n v="0"/>
    <n v="1446.0496379732197"/>
    <n v="1466.8586646615413"/>
    <n v="0.35358238231629302"/>
    <n v="93"/>
    <n v="96"/>
    <n v="0"/>
    <n v="-3"/>
    <n v="0"/>
    <n v="0.28523726291823359"/>
    <n v="1"/>
    <n v="74.2"/>
    <n v="74.2"/>
    <n v="-7.4834314243421831"/>
    <n v="1438.5662065488775"/>
    <n v="0"/>
    <n v="1"/>
    <n v="0"/>
    <n v="0"/>
    <n v="0"/>
    <n v="0"/>
    <n v="0"/>
    <n v="0"/>
    <n v="0"/>
    <n v="0"/>
  </r>
  <r>
    <d v="2021-06-17T00:00:00"/>
    <n v="2021"/>
    <x v="10"/>
    <s v="R"/>
    <s v="RS"/>
    <x v="11"/>
    <s v="ATL"/>
    <s v="H"/>
    <n v="3"/>
    <n v="3"/>
    <n v="0"/>
    <n v="0"/>
    <n v="0"/>
    <n v="0"/>
    <n v="1466.8586646615413"/>
    <n v="1446.0496379732197"/>
    <n v="0.64641761768370698"/>
    <n v="96"/>
    <n v="93"/>
    <n v="0"/>
    <n v="3"/>
    <n v="1"/>
    <n v="0.28523726291823359"/>
    <n v="1"/>
    <n v="74.349999999999994"/>
    <n v="74.349999999999994"/>
    <n v="7.4985596549843843"/>
    <n v="1474.3572243165256"/>
    <n v="1"/>
    <n v="0"/>
    <n v="0"/>
    <n v="0"/>
    <n v="0"/>
    <n v="0"/>
    <n v="0"/>
    <n v="0"/>
    <n v="0"/>
    <n v="0"/>
  </r>
  <r>
    <d v="2021-06-18T00:00:00"/>
    <n v="2021"/>
    <x v="12"/>
    <s v="R"/>
    <s v="RS"/>
    <x v="4"/>
    <s v="LAS"/>
    <s v="A"/>
    <n v="1"/>
    <n v="1"/>
    <n v="0"/>
    <n v="0"/>
    <n v="0"/>
    <n v="0"/>
    <n v="1465.8153345546777"/>
    <n v="1494.5468027235365"/>
    <n v="0.34322968653040747"/>
    <n v="80"/>
    <n v="66"/>
    <n v="0"/>
    <n v="14"/>
    <n v="1"/>
    <n v="0.476206347276938"/>
    <n v="1"/>
    <n v="74.05"/>
    <n v="74.05"/>
    <n v="23.159744115917896"/>
    <n v="1488.9750786705956"/>
    <n v="1"/>
    <n v="0"/>
    <n v="0"/>
    <n v="0"/>
    <n v="0"/>
    <n v="0"/>
    <n v="0"/>
    <n v="0"/>
    <n v="0"/>
    <n v="0"/>
  </r>
  <r>
    <d v="2021-06-18T00:00:00"/>
    <n v="2021"/>
    <x v="10"/>
    <s v="R"/>
    <s v="RS"/>
    <x v="3"/>
    <s v="PHX"/>
    <s v="H"/>
    <n v="1"/>
    <n v="1"/>
    <n v="0"/>
    <n v="0"/>
    <n v="0"/>
    <n v="0"/>
    <n v="1494.5468027235365"/>
    <n v="1465.8153345546777"/>
    <n v="0.65677031346959247"/>
    <n v="66"/>
    <n v="80"/>
    <n v="0"/>
    <n v="-14"/>
    <n v="0"/>
    <n v="0.476206347276938"/>
    <n v="1"/>
    <n v="74.349999999999994"/>
    <n v="74.349999999999994"/>
    <n v="-23.253571573511081"/>
    <n v="1471.2932311500253"/>
    <n v="0"/>
    <n v="1"/>
    <n v="0"/>
    <n v="0"/>
    <n v="0"/>
    <n v="0"/>
    <n v="0"/>
    <n v="0"/>
    <n v="0"/>
    <n v="0"/>
  </r>
  <r>
    <d v="2021-06-19T00:00:00"/>
    <n v="2021"/>
    <x v="12"/>
    <s v="R"/>
    <s v="RS"/>
    <x v="0"/>
    <s v="CHI"/>
    <s v="A"/>
    <n v="1"/>
    <n v="1"/>
    <n v="0"/>
    <n v="0"/>
    <n v="0"/>
    <n v="0"/>
    <n v="1575.8848580368285"/>
    <n v="1503.0123891874639"/>
    <n v="0.4839916686424402"/>
    <n v="81"/>
    <n v="91"/>
    <n v="0"/>
    <n v="-10"/>
    <n v="0"/>
    <n v="0.39890535118395276"/>
    <n v="1"/>
    <n v="74.05"/>
    <n v="74.05"/>
    <n v="-14.296601468021567"/>
    <n v="1561.5882565688069"/>
    <n v="0"/>
    <n v="1"/>
    <n v="0"/>
    <n v="0"/>
    <n v="0"/>
    <n v="0"/>
    <n v="0"/>
    <n v="0"/>
    <n v="0"/>
    <n v="0"/>
  </r>
  <r>
    <d v="2021-06-19T00:00:00"/>
    <n v="2021"/>
    <x v="13"/>
    <s v="R"/>
    <s v="RS"/>
    <x v="10"/>
    <s v="CON"/>
    <s v="H"/>
    <n v="1"/>
    <n v="1"/>
    <n v="0"/>
    <n v="0"/>
    <n v="0"/>
    <n v="0"/>
    <n v="1503.0123891874639"/>
    <n v="1575.8848580368285"/>
    <n v="0.51600833135755975"/>
    <n v="91"/>
    <n v="81"/>
    <n v="0"/>
    <n v="10"/>
    <n v="1"/>
    <n v="0.39890535118395276"/>
    <n v="1"/>
    <n v="73.900000000000006"/>
    <n v="73.900000000000006"/>
    <n v="14.267641438039083"/>
    <n v="1517.2800306255031"/>
    <n v="1"/>
    <n v="0"/>
    <n v="0"/>
    <n v="0"/>
    <n v="0"/>
    <n v="0"/>
    <n v="0"/>
    <n v="0"/>
    <n v="0"/>
    <n v="0"/>
  </r>
  <r>
    <d v="2021-06-19T00:00:00"/>
    <n v="2021"/>
    <x v="11"/>
    <s v="R"/>
    <s v="RS"/>
    <x v="5"/>
    <s v="DAL"/>
    <s v="A"/>
    <n v="1"/>
    <n v="1"/>
    <n v="0"/>
    <n v="0"/>
    <n v="0"/>
    <n v="0"/>
    <n v="1504.2716620886511"/>
    <n v="1482.554349153392"/>
    <n v="0.41131595027596923"/>
    <n v="77"/>
    <n v="95"/>
    <n v="0"/>
    <n v="-18"/>
    <n v="0"/>
    <n v="0.53711338261632591"/>
    <n v="1"/>
    <n v="74.2"/>
    <n v="74.2"/>
    <n v="-16.392508962156654"/>
    <n v="1487.8791531264944"/>
    <n v="0"/>
    <n v="1"/>
    <n v="0"/>
    <n v="0"/>
    <n v="0"/>
    <n v="0"/>
    <n v="0"/>
    <n v="0"/>
    <n v="0"/>
    <n v="0"/>
  </r>
  <r>
    <d v="2021-06-19T00:00:00"/>
    <n v="2021"/>
    <x v="12"/>
    <s v="R"/>
    <s v="RS"/>
    <x v="2"/>
    <s v="MIN"/>
    <s v="H"/>
    <n v="1"/>
    <n v="1"/>
    <n v="0"/>
    <n v="0"/>
    <n v="0"/>
    <n v="0"/>
    <n v="1482.554349153392"/>
    <n v="1504.2716620886511"/>
    <n v="0.58868404972403077"/>
    <n v="95"/>
    <n v="77"/>
    <n v="0"/>
    <n v="18"/>
    <n v="1"/>
    <n v="0.53711338261632591"/>
    <n v="1"/>
    <n v="74.05"/>
    <n v="74.05"/>
    <n v="16.359370466950139"/>
    <n v="1498.9137196203421"/>
    <n v="1"/>
    <n v="0"/>
    <n v="0"/>
    <n v="0"/>
    <n v="0"/>
    <n v="0"/>
    <n v="0"/>
    <n v="0"/>
    <n v="0"/>
    <n v="0"/>
  </r>
  <r>
    <d v="2021-06-19T00:00:00"/>
    <n v="2021"/>
    <x v="14"/>
    <s v="R"/>
    <s v="RS"/>
    <x v="6"/>
    <s v="WAS"/>
    <s v="A"/>
    <n v="1"/>
    <n v="1"/>
    <n v="0"/>
    <n v="0"/>
    <n v="0"/>
    <n v="0"/>
    <n v="1321.1558492428003"/>
    <n v="1474.3572243165256"/>
    <n v="0.20335744029652192"/>
    <n v="77"/>
    <n v="82"/>
    <n v="0"/>
    <n v="-5"/>
    <n v="0"/>
    <n v="0.29419654597366007"/>
    <n v="1"/>
    <n v="73.75"/>
    <n v="73.75"/>
    <n v="-4.4122454193295138"/>
    <n v="1316.7436038234707"/>
    <n v="0"/>
    <n v="1"/>
    <n v="0"/>
    <n v="0"/>
    <n v="0"/>
    <n v="0"/>
    <n v="0"/>
    <n v="0"/>
    <n v="0"/>
    <n v="0"/>
  </r>
  <r>
    <d v="2021-06-19T00:00:00"/>
    <n v="2021"/>
    <x v="11"/>
    <s v="R"/>
    <s v="RS"/>
    <x v="11"/>
    <s v="IND"/>
    <s v="H"/>
    <n v="1"/>
    <n v="1"/>
    <n v="0"/>
    <n v="0"/>
    <n v="0"/>
    <n v="0"/>
    <n v="1474.3572243165256"/>
    <n v="1321.1558492428003"/>
    <n v="0.79664255970347819"/>
    <n v="82"/>
    <n v="77"/>
    <n v="0"/>
    <n v="5"/>
    <n v="1"/>
    <n v="0.29419654597366007"/>
    <n v="1"/>
    <n v="74.2"/>
    <n v="74.2"/>
    <n v="4.4391675947694882"/>
    <n v="1478.7963919112951"/>
    <n v="1"/>
    <n v="0"/>
    <n v="0"/>
    <n v="0"/>
    <n v="0"/>
    <n v="0"/>
    <n v="0"/>
    <n v="0"/>
    <n v="0"/>
    <n v="0"/>
  </r>
  <r>
    <d v="2021-06-20T00:00:00"/>
    <n v="2021"/>
    <x v="12"/>
    <s v="R"/>
    <s v="RS"/>
    <x v="7"/>
    <s v="LAS"/>
    <s v="A"/>
    <n v="2"/>
    <n v="1"/>
    <n v="1"/>
    <n v="-1"/>
    <n v="8"/>
    <n v="-8"/>
    <n v="1411.6913114649724"/>
    <n v="1471.2932311500253"/>
    <n v="0.32420019055034816"/>
    <n v="76"/>
    <n v="73"/>
    <n v="0"/>
    <n v="3"/>
    <n v="1"/>
    <n v="0.27645259972731512"/>
    <n v="1"/>
    <n v="74.05"/>
    <n v="74.05"/>
    <n v="13.834510782811828"/>
    <n v="1425.5258222477842"/>
    <n v="1"/>
    <n v="0"/>
    <n v="0"/>
    <n v="0"/>
    <n v="0"/>
    <n v="0"/>
    <n v="0"/>
    <n v="0"/>
    <n v="0"/>
    <n v="0"/>
  </r>
  <r>
    <d v="2021-06-20T00:00:00"/>
    <n v="2021"/>
    <x v="11"/>
    <s v="R"/>
    <s v="RS"/>
    <x v="3"/>
    <s v="NYL"/>
    <s v="H"/>
    <n v="1"/>
    <n v="2"/>
    <n v="-1"/>
    <n v="1"/>
    <n v="-8"/>
    <n v="8"/>
    <n v="1471.2932311500253"/>
    <n v="1411.6913114649724"/>
    <n v="0.6757998094496519"/>
    <n v="73"/>
    <n v="76"/>
    <n v="0"/>
    <n v="-3"/>
    <n v="0"/>
    <n v="0.27645259972731512"/>
    <n v="1"/>
    <n v="74.2"/>
    <n v="74.2"/>
    <n v="-13.86253477494447"/>
    <n v="1457.430696375081"/>
    <n v="0"/>
    <n v="1"/>
    <n v="0"/>
    <n v="0"/>
    <n v="0"/>
    <n v="0"/>
    <n v="0"/>
    <n v="0"/>
    <n v="0"/>
    <n v="0"/>
  </r>
  <r>
    <d v="2021-06-22T00:00:00"/>
    <n v="2021"/>
    <x v="13"/>
    <s v="R"/>
    <s v="RS"/>
    <x v="2"/>
    <s v="CON"/>
    <s v="A"/>
    <n v="2"/>
    <n v="2"/>
    <n v="0"/>
    <n v="0"/>
    <n v="0"/>
    <n v="0"/>
    <n v="1498.9137196203421"/>
    <n v="1561.5882565688069"/>
    <n v="0.3006243550508485"/>
    <n v="70"/>
    <n v="80"/>
    <n v="0"/>
    <n v="-10"/>
    <n v="0"/>
    <n v="0.40212709161447552"/>
    <n v="1"/>
    <n v="73.900000000000006"/>
    <n v="73.900000000000006"/>
    <n v="-8.9337117000590549"/>
    <n v="1489.980007920283"/>
    <n v="0"/>
    <n v="1"/>
    <n v="0"/>
    <n v="0"/>
    <n v="0"/>
    <n v="0"/>
    <n v="0"/>
    <n v="0"/>
    <n v="0"/>
    <n v="0"/>
  </r>
  <r>
    <d v="2021-06-22T00:00:00"/>
    <n v="2021"/>
    <x v="13"/>
    <s v="R"/>
    <s v="RS"/>
    <x v="0"/>
    <s v="DAL"/>
    <s v="H"/>
    <n v="2"/>
    <n v="2"/>
    <n v="0"/>
    <n v="0"/>
    <n v="0"/>
    <n v="0"/>
    <n v="1561.5882565688069"/>
    <n v="1498.9137196203421"/>
    <n v="0.6993756449491515"/>
    <n v="80"/>
    <n v="70"/>
    <n v="0"/>
    <n v="10"/>
    <n v="1"/>
    <n v="0.40212709161447552"/>
    <n v="1"/>
    <n v="73.900000000000006"/>
    <n v="73.900000000000006"/>
    <n v="8.9337117000590549"/>
    <n v="1570.521968268866"/>
    <n v="1"/>
    <n v="0"/>
    <n v="0"/>
    <n v="0"/>
    <n v="0"/>
    <n v="0"/>
    <n v="0"/>
    <n v="0"/>
    <n v="0"/>
    <n v="0"/>
  </r>
  <r>
    <d v="2021-06-22T00:00:00"/>
    <n v="2021"/>
    <x v="14"/>
    <s v="R"/>
    <s v="RS"/>
    <x v="10"/>
    <s v="NYL"/>
    <s v="A"/>
    <n v="2"/>
    <n v="1"/>
    <n v="1"/>
    <n v="-1"/>
    <n v="8"/>
    <n v="-8"/>
    <n v="1517.2800306255031"/>
    <n v="1425.5258222477842"/>
    <n v="0.53413188753606256"/>
    <n v="92"/>
    <n v="72"/>
    <n v="0"/>
    <n v="20"/>
    <n v="1"/>
    <n v="0.53405270620096601"/>
    <n v="1"/>
    <n v="73.75"/>
    <n v="73.75"/>
    <n v="18.348861806815005"/>
    <n v="1535.628892432318"/>
    <n v="1"/>
    <n v="0"/>
    <n v="0"/>
    <n v="0"/>
    <n v="0"/>
    <n v="0"/>
    <n v="0"/>
    <n v="0"/>
    <n v="0"/>
    <n v="0"/>
  </r>
  <r>
    <d v="2021-06-22T00:00:00"/>
    <n v="2021"/>
    <x v="13"/>
    <s v="R"/>
    <s v="RS"/>
    <x v="7"/>
    <s v="CHI"/>
    <s v="H"/>
    <n v="1"/>
    <n v="2"/>
    <n v="-1"/>
    <n v="1"/>
    <n v="-8"/>
    <n v="8"/>
    <n v="1425.5258222477842"/>
    <n v="1517.2800306255031"/>
    <n v="0.46586811246393744"/>
    <n v="72"/>
    <n v="92"/>
    <n v="0"/>
    <n v="-20"/>
    <n v="0"/>
    <n v="0.53405270620096601"/>
    <n v="1"/>
    <n v="73.900000000000006"/>
    <n v="73.900000000000006"/>
    <n v="-18.386181525744121"/>
    <n v="1407.13964072204"/>
    <n v="0"/>
    <n v="1"/>
    <n v="0"/>
    <n v="0"/>
    <n v="0"/>
    <n v="0"/>
    <n v="0"/>
    <n v="0"/>
    <n v="0"/>
    <n v="0"/>
  </r>
  <r>
    <d v="2021-06-22T00:00:00"/>
    <n v="2021"/>
    <x v="12"/>
    <s v="R"/>
    <s v="RS"/>
    <x v="11"/>
    <s v="SEA"/>
    <s v="A"/>
    <n v="2"/>
    <n v="4"/>
    <n v="-2"/>
    <n v="2"/>
    <n v="-16"/>
    <n v="16"/>
    <n v="1478.7963919112951"/>
    <n v="1698.8213080980508"/>
    <n v="0.12627375386147621"/>
    <n v="87"/>
    <n v="83"/>
    <n v="0"/>
    <n v="4"/>
    <n v="1"/>
    <n v="0.26317797499512696"/>
    <n v="1"/>
    <n v="74.05"/>
    <n v="74.05"/>
    <n v="17.027464582961404"/>
    <n v="1495.8238564942565"/>
    <n v="1"/>
    <n v="0"/>
    <n v="0"/>
    <n v="0"/>
    <n v="0"/>
    <n v="0"/>
    <n v="0"/>
    <n v="0"/>
    <n v="0"/>
    <n v="0"/>
  </r>
  <r>
    <d v="2021-06-22T00:00:00"/>
    <n v="2021"/>
    <x v="14"/>
    <s v="R"/>
    <s v="RS"/>
    <x v="9"/>
    <s v="WAS"/>
    <s v="H"/>
    <n v="4"/>
    <n v="2"/>
    <n v="2"/>
    <n v="-2"/>
    <n v="16"/>
    <n v="-16"/>
    <n v="1698.8213080980508"/>
    <n v="1478.7963919112951"/>
    <n v="0.87372624613852379"/>
    <n v="83"/>
    <n v="87"/>
    <n v="0"/>
    <n v="-4"/>
    <n v="0"/>
    <n v="0.26317797499512696"/>
    <n v="1"/>
    <n v="73.75"/>
    <n v="73.75"/>
    <n v="-16.958480931713755"/>
    <n v="1681.8628271663372"/>
    <n v="0"/>
    <n v="1"/>
    <n v="0"/>
    <n v="0"/>
    <n v="0"/>
    <n v="0"/>
    <n v="0"/>
    <n v="0"/>
    <n v="0"/>
    <n v="0"/>
  </r>
  <r>
    <d v="2021-06-23T00:00:00"/>
    <n v="2021"/>
    <x v="12"/>
    <s v="R"/>
    <s v="RS"/>
    <x v="5"/>
    <s v="ATL"/>
    <s v="A"/>
    <n v="3"/>
    <n v="5"/>
    <n v="-2"/>
    <n v="2"/>
    <n v="-16"/>
    <n v="16"/>
    <n v="1487.8791531264944"/>
    <n v="1438.5662065488775"/>
    <n v="0.40519105952223661"/>
    <n v="87"/>
    <n v="85"/>
    <n v="0"/>
    <n v="2"/>
    <n v="1"/>
    <n v="0.25726907405552563"/>
    <n v="1"/>
    <n v="74.05"/>
    <n v="74.05"/>
    <n v="11.331571253660854"/>
    <n v="1499.2107243801552"/>
    <n v="1"/>
    <n v="0"/>
    <n v="0"/>
    <n v="0"/>
    <n v="0"/>
    <n v="0"/>
    <n v="0"/>
    <n v="0"/>
    <n v="0"/>
    <n v="0"/>
  </r>
  <r>
    <d v="2021-06-23T00:00:00"/>
    <n v="2021"/>
    <x v="12"/>
    <s v="R"/>
    <s v="RS"/>
    <x v="1"/>
    <s v="MIN"/>
    <s v="H"/>
    <n v="5"/>
    <n v="3"/>
    <n v="2"/>
    <n v="-2"/>
    <n v="16"/>
    <n v="-16"/>
    <n v="1438.5662065488775"/>
    <n v="1487.8791531264944"/>
    <n v="0.59480894047776345"/>
    <n v="85"/>
    <n v="87"/>
    <n v="0"/>
    <n v="-2"/>
    <n v="0"/>
    <n v="0.25726907405552563"/>
    <n v="1"/>
    <n v="74.05"/>
    <n v="74.05"/>
    <n v="-11.331571253660854"/>
    <n v="1427.2346352952168"/>
    <n v="0"/>
    <n v="1"/>
    <n v="0"/>
    <n v="0"/>
    <n v="0"/>
    <n v="0"/>
    <n v="0"/>
    <n v="0"/>
    <n v="0"/>
    <n v="0"/>
  </r>
  <r>
    <d v="2021-06-24T00:00:00"/>
    <n v="2021"/>
    <x v="14"/>
    <s v="R"/>
    <s v="RS"/>
    <x v="2"/>
    <s v="IND"/>
    <s v="A"/>
    <n v="1"/>
    <n v="4"/>
    <n v="-3"/>
    <n v="3"/>
    <n v="-16"/>
    <n v="16"/>
    <n v="1489.980007920283"/>
    <n v="1316.7436038234707"/>
    <n v="0.58163265938662889"/>
    <n v="89"/>
    <n v="64"/>
    <n v="0"/>
    <n v="25"/>
    <n v="1"/>
    <n v="0.56043783268241298"/>
    <n v="1"/>
    <n v="73.75"/>
    <n v="73.75"/>
    <n v="17.292080315836614"/>
    <n v="1507.2720882361195"/>
    <n v="1"/>
    <n v="0"/>
    <n v="0"/>
    <n v="0"/>
    <n v="0"/>
    <n v="0"/>
    <n v="0"/>
    <n v="0"/>
    <n v="0"/>
    <n v="0"/>
  </r>
  <r>
    <d v="2021-06-24T00:00:00"/>
    <n v="2021"/>
    <x v="15"/>
    <s v="R"/>
    <s v="RS"/>
    <x v="6"/>
    <s v="DAL"/>
    <s v="H"/>
    <n v="4"/>
    <n v="1"/>
    <n v="3"/>
    <n v="-3"/>
    <n v="16"/>
    <n v="-16"/>
    <n v="1316.7436038234707"/>
    <n v="1489.980007920283"/>
    <n v="0.41836734061337105"/>
    <n v="64"/>
    <n v="89"/>
    <n v="0"/>
    <n v="-25"/>
    <n v="0"/>
    <n v="0.56043783268241298"/>
    <n v="1"/>
    <n v="73.599999999999994"/>
    <n v="73.599999999999994"/>
    <n v="-17.256909982990841"/>
    <n v="1299.4866938404798"/>
    <n v="0"/>
    <n v="1"/>
    <n v="0"/>
    <n v="0"/>
    <n v="0"/>
    <n v="0"/>
    <n v="0"/>
    <n v="0"/>
    <n v="0"/>
    <n v="0"/>
  </r>
  <r>
    <d v="2021-06-24T00:00:00"/>
    <n v="2021"/>
    <x v="13"/>
    <s v="R"/>
    <s v="RS"/>
    <x v="11"/>
    <s v="LAS"/>
    <s v="A"/>
    <n v="1"/>
    <n v="3"/>
    <n v="-2"/>
    <n v="2"/>
    <n v="-16"/>
    <n v="16"/>
    <n v="1495.8238564942565"/>
    <n v="1457.430696375081"/>
    <n v="0.39013592948855108"/>
    <n v="82"/>
    <n v="89"/>
    <n v="0"/>
    <n v="-7"/>
    <n v="0"/>
    <n v="0.35863296187928217"/>
    <n v="1"/>
    <n v="73.900000000000006"/>
    <n v="73.900000000000006"/>
    <n v="-10.339763130279634"/>
    <n v="1485.4840933639769"/>
    <n v="0"/>
    <n v="1"/>
    <n v="0"/>
    <n v="0"/>
    <n v="0"/>
    <n v="0"/>
    <n v="0"/>
    <n v="0"/>
    <n v="0"/>
    <n v="0"/>
  </r>
  <r>
    <d v="2021-06-24T00:00:00"/>
    <n v="2021"/>
    <x v="12"/>
    <s v="R"/>
    <s v="RS"/>
    <x v="3"/>
    <s v="WAS"/>
    <s v="H"/>
    <n v="3"/>
    <n v="1"/>
    <n v="2"/>
    <n v="-2"/>
    <n v="16"/>
    <n v="-16"/>
    <n v="1457.430696375081"/>
    <n v="1495.8238564942565"/>
    <n v="0.60986407051144897"/>
    <n v="89"/>
    <n v="82"/>
    <n v="0"/>
    <n v="7"/>
    <n v="1"/>
    <n v="0.35863296187928217"/>
    <n v="1"/>
    <n v="74.05"/>
    <n v="74.05"/>
    <n v="10.360750470868831"/>
    <n v="1467.7914468459498"/>
    <n v="1"/>
    <n v="0"/>
    <n v="0"/>
    <n v="0"/>
    <n v="0"/>
    <n v="0"/>
    <n v="0"/>
    <n v="0"/>
    <n v="0"/>
    <n v="0"/>
  </r>
  <r>
    <d v="2021-06-24T00:00:00"/>
    <n v="2021"/>
    <x v="15"/>
    <s v="R"/>
    <s v="RS"/>
    <x v="10"/>
    <s v="NYL"/>
    <s v="A"/>
    <n v="1"/>
    <n v="1"/>
    <n v="0"/>
    <n v="0"/>
    <n v="0"/>
    <n v="0"/>
    <n v="1535.628892432318"/>
    <n v="1407.13964072204"/>
    <n v="0.56367752185082254"/>
    <n v="91"/>
    <n v="68"/>
    <n v="0"/>
    <n v="23"/>
    <n v="1"/>
    <n v="0.5558233324987083"/>
    <n v="1"/>
    <n v="73.599999999999994"/>
    <n v="73.599999999999994"/>
    <n v="17.849340539284238"/>
    <n v="1553.4782329716022"/>
    <n v="1"/>
    <n v="0"/>
    <n v="0"/>
    <n v="0"/>
    <n v="0"/>
    <n v="0"/>
    <n v="0"/>
    <n v="0"/>
    <n v="0"/>
    <n v="0"/>
  </r>
  <r>
    <d v="2021-06-24T00:00:00"/>
    <n v="2021"/>
    <x v="14"/>
    <s v="R"/>
    <s v="RS"/>
    <x v="7"/>
    <s v="CHI"/>
    <s v="H"/>
    <n v="1"/>
    <n v="1"/>
    <n v="0"/>
    <n v="0"/>
    <n v="0"/>
    <n v="0"/>
    <n v="1407.13964072204"/>
    <n v="1535.628892432318"/>
    <n v="0.43632247814917746"/>
    <n v="68"/>
    <n v="91"/>
    <n v="0"/>
    <n v="-23"/>
    <n v="0"/>
    <n v="0.5558233324987083"/>
    <n v="1"/>
    <n v="73.75"/>
    <n v="73.75"/>
    <n v="-17.885718271361583"/>
    <n v="1389.2539224506784"/>
    <n v="0"/>
    <n v="1"/>
    <n v="0"/>
    <n v="0"/>
    <n v="0"/>
    <n v="0"/>
    <n v="0"/>
    <n v="0"/>
    <n v="0"/>
    <n v="0"/>
  </r>
  <r>
    <d v="2021-06-25T00:00:00"/>
    <n v="2021"/>
    <x v="13"/>
    <s v="R"/>
    <s v="RS"/>
    <x v="8"/>
    <s v="MIN"/>
    <s v="A"/>
    <n v="7"/>
    <n v="1"/>
    <n v="6"/>
    <n v="-6"/>
    <n v="16"/>
    <n v="-16"/>
    <n v="1629.4117361876711"/>
    <n v="1499.2107243801552"/>
    <n v="0.61067756241420368"/>
    <n v="89"/>
    <n v="90"/>
    <n v="1"/>
    <n v="-1"/>
    <n v="0"/>
    <n v="0.19825127353058811"/>
    <n v="1"/>
    <n v="73.900000000000006"/>
    <n v="73.900000000000006"/>
    <n v="-8.9468959699761434"/>
    <n v="1620.4648402176949"/>
    <n v="0"/>
    <n v="1"/>
    <n v="0"/>
    <n v="0"/>
    <n v="0"/>
    <n v="0"/>
    <n v="0"/>
    <n v="0"/>
    <n v="0"/>
    <n v="0"/>
  </r>
  <r>
    <d v="2021-06-25T00:00:00"/>
    <n v="2021"/>
    <x v="13"/>
    <s v="R"/>
    <s v="RS"/>
    <x v="5"/>
    <s v="LVA"/>
    <s v="H"/>
    <n v="1"/>
    <n v="7"/>
    <n v="-6"/>
    <n v="6"/>
    <n v="-16"/>
    <n v="16"/>
    <n v="1499.2107243801552"/>
    <n v="1629.4117361876711"/>
    <n v="0.38932243758579632"/>
    <n v="90"/>
    <n v="89"/>
    <n v="1"/>
    <n v="1"/>
    <n v="1"/>
    <n v="0.19825127353058811"/>
    <n v="1"/>
    <n v="73.900000000000006"/>
    <n v="73.900000000000006"/>
    <n v="8.9468959699761434"/>
    <n v="1508.1576203501313"/>
    <n v="1"/>
    <n v="0"/>
    <n v="0"/>
    <n v="0"/>
    <n v="0"/>
    <n v="0"/>
    <n v="0"/>
    <n v="0"/>
    <n v="0"/>
    <n v="0"/>
  </r>
  <r>
    <d v="2021-06-26T00:00:00"/>
    <n v="2021"/>
    <x v="15"/>
    <s v="R"/>
    <s v="RS"/>
    <x v="7"/>
    <s v="ATL"/>
    <s v="A"/>
    <n v="1"/>
    <n v="2"/>
    <n v="-1"/>
    <n v="1"/>
    <n v="-8"/>
    <n v="8"/>
    <n v="1389.2539224506784"/>
    <n v="1427.2346352952168"/>
    <n v="0.31125023182281619"/>
    <n v="101"/>
    <n v="78"/>
    <n v="0"/>
    <n v="23"/>
    <n v="1"/>
    <n v="0.59645947260169363"/>
    <n v="1"/>
    <n v="73.599999999999994"/>
    <n v="73.599999999999994"/>
    <n v="30.235713408238531"/>
    <n v="1419.4896358589169"/>
    <n v="1"/>
    <n v="0"/>
    <n v="0"/>
    <n v="0"/>
    <n v="0"/>
    <n v="0"/>
    <n v="0"/>
    <n v="0"/>
    <n v="0"/>
    <n v="0"/>
  </r>
  <r>
    <d v="2021-06-26T00:00:00"/>
    <n v="2021"/>
    <x v="13"/>
    <s v="R"/>
    <s v="RS"/>
    <x v="1"/>
    <s v="NYL"/>
    <s v="H"/>
    <n v="2"/>
    <n v="1"/>
    <n v="1"/>
    <n v="-1"/>
    <n v="8"/>
    <n v="-8"/>
    <n v="1427.2346352952168"/>
    <n v="1389.2539224506784"/>
    <n v="0.68874976817718381"/>
    <n v="78"/>
    <n v="101"/>
    <n v="0"/>
    <n v="-23"/>
    <n v="0"/>
    <n v="0.59645947260169363"/>
    <n v="1"/>
    <n v="73.900000000000006"/>
    <n v="73.900000000000006"/>
    <n v="-30.358956805282986"/>
    <n v="1396.8756784899338"/>
    <n v="0"/>
    <n v="1"/>
    <n v="0"/>
    <n v="0"/>
    <n v="0"/>
    <n v="0"/>
    <n v="0"/>
    <n v="0"/>
    <n v="0"/>
    <n v="0"/>
  </r>
  <r>
    <d v="2021-06-26T00:00:00"/>
    <n v="2021"/>
    <x v="14"/>
    <s v="R"/>
    <s v="RS"/>
    <x v="11"/>
    <s v="DAL"/>
    <s v="A"/>
    <n v="1"/>
    <n v="1"/>
    <n v="0"/>
    <n v="0"/>
    <n v="0"/>
    <n v="0"/>
    <n v="1485.4840933639769"/>
    <n v="1507.2720882361195"/>
    <n v="0.35229541140527831"/>
    <n v="74"/>
    <n v="85"/>
    <n v="0"/>
    <n v="-11"/>
    <n v="0"/>
    <n v="0.4319924295576264"/>
    <n v="1"/>
    <n v="73.75"/>
    <n v="73.75"/>
    <n v="-11.223935113754015"/>
    <n v="1474.2601582502227"/>
    <n v="0"/>
    <n v="1"/>
    <n v="0"/>
    <n v="0"/>
    <n v="0"/>
    <n v="0"/>
    <n v="0"/>
    <n v="0"/>
    <n v="0"/>
    <n v="0"/>
  </r>
  <r>
    <d v="2021-06-26T00:00:00"/>
    <n v="2021"/>
    <x v="15"/>
    <s v="R"/>
    <s v="RS"/>
    <x v="2"/>
    <s v="WAS"/>
    <s v="H"/>
    <n v="1"/>
    <n v="1"/>
    <n v="0"/>
    <n v="0"/>
    <n v="0"/>
    <n v="0"/>
    <n v="1507.2720882361195"/>
    <n v="1485.4840933639769"/>
    <n v="0.64770458859472169"/>
    <n v="85"/>
    <n v="74"/>
    <n v="0"/>
    <n v="11"/>
    <n v="1"/>
    <n v="0.4319924295576264"/>
    <n v="1"/>
    <n v="73.599999999999994"/>
    <n v="73.599999999999994"/>
    <n v="11.201106771149769"/>
    <n v="1518.4731950072694"/>
    <n v="1"/>
    <n v="0"/>
    <n v="0"/>
    <n v="0"/>
    <n v="0"/>
    <n v="0"/>
    <n v="0"/>
    <n v="0"/>
    <n v="0"/>
    <n v="0"/>
  </r>
  <r>
    <d v="2021-06-27T00:00:00"/>
    <n v="2021"/>
    <x v="16"/>
    <s v="R"/>
    <s v="RS"/>
    <x v="10"/>
    <s v="CON"/>
    <s v="A"/>
    <n v="2"/>
    <n v="4"/>
    <n v="-2"/>
    <n v="2"/>
    <n v="-16"/>
    <n v="16"/>
    <n v="1553.4782329716022"/>
    <n v="1570.521968268866"/>
    <n v="0.31737506855140052"/>
    <n v="58"/>
    <n v="74"/>
    <n v="0"/>
    <n v="-16"/>
    <n v="0"/>
    <n v="0.51053484826846485"/>
    <n v="1"/>
    <n v="73.45"/>
    <n v="73.45"/>
    <n v="-11.901179334707241"/>
    <n v="1541.577053636895"/>
    <n v="0"/>
    <n v="1"/>
    <n v="0"/>
    <n v="0"/>
    <n v="0"/>
    <n v="0"/>
    <n v="0"/>
    <n v="0"/>
    <n v="0"/>
    <n v="0"/>
  </r>
  <r>
    <d v="2021-06-27T00:00:00"/>
    <n v="2021"/>
    <x v="14"/>
    <s v="R"/>
    <s v="RS"/>
    <x v="0"/>
    <s v="CHI"/>
    <s v="H"/>
    <n v="4"/>
    <n v="2"/>
    <n v="2"/>
    <n v="-2"/>
    <n v="16"/>
    <n v="-16"/>
    <n v="1570.521968268866"/>
    <n v="1553.4782329716022"/>
    <n v="0.68262493144859948"/>
    <n v="74"/>
    <n v="58"/>
    <n v="0"/>
    <n v="16"/>
    <n v="1"/>
    <n v="0.51053484826846485"/>
    <n v="1"/>
    <n v="73.75"/>
    <n v="73.75"/>
    <n v="11.949788644447363"/>
    <n v="1582.4717569133134"/>
    <n v="1"/>
    <n v="0"/>
    <n v="0"/>
    <n v="0"/>
    <n v="0"/>
    <n v="0"/>
    <n v="0"/>
    <n v="0"/>
    <n v="0"/>
    <n v="0"/>
  </r>
  <r>
    <d v="2021-06-27T00:00:00"/>
    <n v="2021"/>
    <x v="15"/>
    <s v="R"/>
    <s v="RS"/>
    <x v="9"/>
    <s v="LVA"/>
    <s v="A"/>
    <n v="4"/>
    <n v="1"/>
    <n v="3"/>
    <n v="-3"/>
    <n v="16"/>
    <n v="-16"/>
    <n v="1681.8628271663372"/>
    <n v="1620.4648402176949"/>
    <n v="0.51352149276726966"/>
    <n v="92"/>
    <n v="95"/>
    <n v="1"/>
    <n v="-3"/>
    <n v="0"/>
    <n v="0.24845307034675385"/>
    <n v="1"/>
    <n v="73.599999999999994"/>
    <n v="73.599999999999994"/>
    <n v="-9.3903289793368288"/>
    <n v="1672.4724981870004"/>
    <n v="0"/>
    <n v="1"/>
    <n v="0"/>
    <n v="0"/>
    <n v="0"/>
    <n v="0"/>
    <n v="0"/>
    <n v="0"/>
    <n v="0"/>
    <n v="0"/>
  </r>
  <r>
    <d v="2021-06-27T00:00:00"/>
    <n v="2021"/>
    <x v="14"/>
    <s v="R"/>
    <s v="RS"/>
    <x v="8"/>
    <s v="SEA"/>
    <s v="H"/>
    <n v="1"/>
    <n v="4"/>
    <n v="-3"/>
    <n v="3"/>
    <n v="-16"/>
    <n v="16"/>
    <n v="1620.4648402176949"/>
    <n v="1681.8628271663372"/>
    <n v="0.48647850723273034"/>
    <n v="95"/>
    <n v="92"/>
    <n v="1"/>
    <n v="3"/>
    <n v="1"/>
    <n v="0.24845307034675385"/>
    <n v="1"/>
    <n v="73.75"/>
    <n v="73.75"/>
    <n v="9.4094668780718909"/>
    <n v="1629.8743070957669"/>
    <n v="1"/>
    <n v="0"/>
    <n v="0"/>
    <n v="0"/>
    <n v="0"/>
    <n v="0"/>
    <n v="0"/>
    <n v="0"/>
    <n v="0"/>
    <n v="0"/>
  </r>
  <r>
    <d v="2021-06-27T00:00:00"/>
    <n v="2021"/>
    <x v="13"/>
    <s v="R"/>
    <s v="RS"/>
    <x v="3"/>
    <s v="PHX"/>
    <s v="A"/>
    <n v="2"/>
    <n v="8"/>
    <n v="-6"/>
    <n v="6"/>
    <n v="-16"/>
    <n v="16"/>
    <n v="1467.7914468459498"/>
    <n v="1488.9750786705956"/>
    <n v="0.31223470715134877"/>
    <n v="79"/>
    <n v="88"/>
    <n v="0"/>
    <n v="-9"/>
    <n v="0"/>
    <n v="0.39892921906330081"/>
    <n v="1"/>
    <n v="73.900000000000006"/>
    <n v="73.900000000000006"/>
    <n v="-9.2049505889487691"/>
    <n v="1458.586496257001"/>
    <n v="0"/>
    <n v="1"/>
    <n v="0"/>
    <n v="0"/>
    <n v="0"/>
    <n v="0"/>
    <n v="0"/>
    <n v="0"/>
    <n v="0"/>
    <n v="0"/>
  </r>
  <r>
    <d v="2021-06-27T00:00:00"/>
    <n v="2021"/>
    <x v="13"/>
    <s v="R"/>
    <s v="RS"/>
    <x v="4"/>
    <s v="LAS"/>
    <s v="H"/>
    <n v="8"/>
    <n v="2"/>
    <n v="6"/>
    <n v="-6"/>
    <n v="16"/>
    <n v="-16"/>
    <n v="1488.9750786705956"/>
    <n v="1467.7914468459498"/>
    <n v="0.68776529284865129"/>
    <n v="88"/>
    <n v="79"/>
    <n v="0"/>
    <n v="9"/>
    <n v="1"/>
    <n v="0.39892921906330081"/>
    <n v="1"/>
    <n v="73.900000000000006"/>
    <n v="73.900000000000006"/>
    <n v="9.2049505889487673"/>
    <n v="1498.1800292595444"/>
    <n v="1"/>
    <n v="0"/>
    <n v="0"/>
    <n v="0"/>
    <n v="0"/>
    <n v="0"/>
    <n v="0"/>
    <n v="0"/>
    <n v="0"/>
    <n v="0"/>
  </r>
  <r>
    <d v="2021-06-29T00:00:00"/>
    <n v="2021"/>
    <x v="16"/>
    <s v="R"/>
    <s v="RS"/>
    <x v="7"/>
    <s v="ATL"/>
    <s v="A"/>
    <n v="2"/>
    <n v="2"/>
    <n v="0"/>
    <n v="0"/>
    <n v="0"/>
    <n v="0"/>
    <n v="1419.4896358589169"/>
    <n v="1396.8756784899338"/>
    <n v="0.41256630042507048"/>
    <n v="69"/>
    <n v="73"/>
    <n v="0"/>
    <n v="-4"/>
    <n v="0"/>
    <n v="0.30567235032134293"/>
    <n v="1"/>
    <n v="73.45"/>
    <n v="73.45"/>
    <n v="-9.2627876319662583"/>
    <n v="1410.2268482269508"/>
    <n v="0"/>
    <n v="1"/>
    <n v="0"/>
    <n v="0"/>
    <n v="0"/>
    <n v="0"/>
    <n v="0"/>
    <n v="0"/>
    <n v="0"/>
    <n v="0"/>
  </r>
  <r>
    <d v="2021-06-29T00:00:00"/>
    <n v="2021"/>
    <x v="14"/>
    <s v="R"/>
    <s v="RS"/>
    <x v="1"/>
    <s v="NYL"/>
    <s v="H"/>
    <n v="2"/>
    <n v="2"/>
    <n v="0"/>
    <n v="0"/>
    <n v="0"/>
    <n v="0"/>
    <n v="1396.8756784899338"/>
    <n v="1419.4896358589169"/>
    <n v="0.58743369957492952"/>
    <n v="73"/>
    <n v="69"/>
    <n v="0"/>
    <n v="4"/>
    <n v="1"/>
    <n v="0.30567235032134293"/>
    <n v="1"/>
    <n v="73.75"/>
    <n v="73.75"/>
    <n v="9.300620665180551"/>
    <n v="1406.1762991551143"/>
    <n v="1"/>
    <n v="0"/>
    <n v="0"/>
    <n v="0"/>
    <n v="0"/>
    <n v="0"/>
    <n v="0"/>
    <n v="0"/>
    <n v="0"/>
    <n v="0"/>
  </r>
  <r>
    <d v="2021-06-29T00:00:00"/>
    <n v="2021"/>
    <x v="15"/>
    <s v="R"/>
    <s v="RS"/>
    <x v="0"/>
    <s v="WAS"/>
    <s v="A"/>
    <n v="1"/>
    <n v="2"/>
    <n v="-1"/>
    <n v="1"/>
    <n v="-8"/>
    <n v="8"/>
    <n v="1582.4717569133134"/>
    <n v="1474.2601582502227"/>
    <n v="0.51181524047379945"/>
    <n v="90"/>
    <n v="71"/>
    <n v="0"/>
    <n v="19"/>
    <n v="1"/>
    <n v="0.51457507941044089"/>
    <n v="1"/>
    <n v="73.599999999999994"/>
    <n v="73.599999999999994"/>
    <n v="18.488887559051896"/>
    <n v="1600.9606444723652"/>
    <n v="1"/>
    <n v="0"/>
    <n v="0"/>
    <n v="0"/>
    <n v="0"/>
    <n v="0"/>
    <n v="0"/>
    <n v="0"/>
    <n v="0"/>
    <n v="0"/>
  </r>
  <r>
    <d v="2021-06-29T00:00:00"/>
    <n v="2021"/>
    <x v="15"/>
    <s v="R"/>
    <s v="RS"/>
    <x v="11"/>
    <s v="CON"/>
    <s v="H"/>
    <n v="2"/>
    <n v="1"/>
    <n v="1"/>
    <n v="-1"/>
    <n v="8"/>
    <n v="-8"/>
    <n v="1474.2601582502227"/>
    <n v="1582.4717569133134"/>
    <n v="0.4881847595262005"/>
    <n v="71"/>
    <n v="90"/>
    <n v="0"/>
    <n v="-19"/>
    <n v="0"/>
    <n v="0.51457507941044089"/>
    <n v="1"/>
    <n v="73.599999999999994"/>
    <n v="73.599999999999994"/>
    <n v="-18.488887559051893"/>
    <n v="1455.7712706911709"/>
    <n v="0"/>
    <n v="1"/>
    <n v="0"/>
    <n v="0"/>
    <n v="0"/>
    <n v="0"/>
    <n v="0"/>
    <n v="0"/>
    <n v="0"/>
    <n v="0"/>
  </r>
  <r>
    <d v="2021-06-30T00:00:00"/>
    <n v="2021"/>
    <x v="17"/>
    <s v="R"/>
    <s v="RS"/>
    <x v="10"/>
    <s v="DAL"/>
    <s v="A"/>
    <n v="2"/>
    <n v="3"/>
    <n v="-1"/>
    <n v="1"/>
    <n v="-8"/>
    <n v="8"/>
    <n v="1541.577053636895"/>
    <n v="1518.4731950072694"/>
    <n v="0.3911097630497804"/>
    <n v="91"/>
    <n v="81"/>
    <n v="0"/>
    <n v="10"/>
    <n v="1"/>
    <n v="0.41513697762971152"/>
    <n v="1"/>
    <n v="73.3"/>
    <n v="73.3"/>
    <n v="18.528250101132699"/>
    <n v="1560.1053037380277"/>
    <n v="1"/>
    <n v="0"/>
    <n v="0"/>
    <n v="0"/>
    <n v="0"/>
    <n v="0"/>
    <n v="0"/>
    <n v="0"/>
    <n v="0"/>
    <n v="0"/>
  </r>
  <r>
    <d v="2021-06-30T00:00:00"/>
    <n v="2021"/>
    <x v="16"/>
    <s v="R"/>
    <s v="RS"/>
    <x v="2"/>
    <s v="CHI"/>
    <s v="H"/>
    <n v="3"/>
    <n v="2"/>
    <n v="1"/>
    <n v="-1"/>
    <n v="8"/>
    <n v="-8"/>
    <n v="1518.4731950072694"/>
    <n v="1541.577053636895"/>
    <n v="0.60889023695021971"/>
    <n v="81"/>
    <n v="91"/>
    <n v="0"/>
    <n v="-10"/>
    <n v="0"/>
    <n v="0.41513697762971152"/>
    <n v="1"/>
    <n v="73.45"/>
    <n v="73.45"/>
    <n v="-18.566166029034068"/>
    <n v="1499.9070289782353"/>
    <n v="0"/>
    <n v="1"/>
    <n v="0"/>
    <n v="0"/>
    <n v="0"/>
    <n v="0"/>
    <n v="0"/>
    <n v="0"/>
    <n v="0"/>
    <n v="0"/>
  </r>
  <r>
    <d v="2021-06-30T00:00:00"/>
    <n v="2021"/>
    <x v="15"/>
    <s v="R"/>
    <s v="RS"/>
    <x v="8"/>
    <s v="LAS"/>
    <s v="A"/>
    <n v="2"/>
    <n v="2"/>
    <n v="0"/>
    <n v="0"/>
    <n v="0"/>
    <n v="0"/>
    <n v="1629.8743070957669"/>
    <n v="1458.586496257001"/>
    <n v="0.62303938676155868"/>
    <n v="99"/>
    <n v="75"/>
    <n v="0"/>
    <n v="24"/>
    <n v="1"/>
    <n v="0.54993350876246661"/>
    <n v="1"/>
    <n v="73.599999999999994"/>
    <n v="73.599999999999994"/>
    <n v="15.257520870975181"/>
    <n v="1645.1318279667421"/>
    <n v="1"/>
    <n v="0"/>
    <n v="0"/>
    <n v="0"/>
    <n v="0"/>
    <n v="0"/>
    <n v="0"/>
    <n v="0"/>
    <n v="0"/>
    <n v="0"/>
  </r>
  <r>
    <d v="2021-06-30T00:00:00"/>
    <n v="2021"/>
    <x v="14"/>
    <s v="R"/>
    <s v="RS"/>
    <x v="3"/>
    <s v="LVA"/>
    <s v="H"/>
    <n v="2"/>
    <n v="2"/>
    <n v="0"/>
    <n v="0"/>
    <n v="0"/>
    <n v="0"/>
    <n v="1458.586496257001"/>
    <n v="1629.8743070957669"/>
    <n v="0.37696061323844121"/>
    <n v="75"/>
    <n v="99"/>
    <n v="0"/>
    <n v="-24"/>
    <n v="0"/>
    <n v="0.54993350876246661"/>
    <n v="1"/>
    <n v="73.75"/>
    <n v="73.75"/>
    <n v="-15.288616361880699"/>
    <n v="1443.2978798951203"/>
    <n v="0"/>
    <n v="1"/>
    <n v="0"/>
    <n v="0"/>
    <n v="0"/>
    <n v="0"/>
    <n v="0"/>
    <n v="0"/>
    <n v="0"/>
    <n v="0"/>
  </r>
  <r>
    <d v="2021-06-30T00:00:00"/>
    <n v="2021"/>
    <x v="14"/>
    <s v="R"/>
    <s v="RS"/>
    <x v="5"/>
    <s v="PHX"/>
    <s v="A"/>
    <n v="4"/>
    <n v="2"/>
    <n v="2"/>
    <n v="-2"/>
    <n v="16"/>
    <n v="-16"/>
    <n v="1508.1576203501313"/>
    <n v="1498.1800292595444"/>
    <n v="0.43981807271463624"/>
    <n v="82"/>
    <n v="76"/>
    <n v="0"/>
    <n v="6"/>
    <n v="1"/>
    <n v="0.34838406629435748"/>
    <n v="1"/>
    <n v="73.75"/>
    <n v="73.75"/>
    <n v="14.392936254806026"/>
    <n v="1522.5505566049374"/>
    <n v="1"/>
    <n v="0"/>
    <n v="0"/>
    <n v="0"/>
    <n v="0"/>
    <n v="0"/>
    <n v="0"/>
    <n v="0"/>
    <n v="0"/>
    <n v="0"/>
  </r>
  <r>
    <d v="2021-06-30T00:00:00"/>
    <n v="2021"/>
    <x v="14"/>
    <s v="R"/>
    <s v="RS"/>
    <x v="4"/>
    <s v="MIN"/>
    <s v="H"/>
    <n v="2"/>
    <n v="4"/>
    <n v="-2"/>
    <n v="2"/>
    <n v="-16"/>
    <n v="16"/>
    <n v="1498.1800292595444"/>
    <n v="1508.1576203501313"/>
    <n v="0.56018192728536376"/>
    <n v="76"/>
    <n v="82"/>
    <n v="0"/>
    <n v="-6"/>
    <n v="0"/>
    <n v="0.34838406629435748"/>
    <n v="1"/>
    <n v="73.75"/>
    <n v="73.75"/>
    <n v="-14.392936254806026"/>
    <n v="1483.7870930047384"/>
    <n v="0"/>
    <n v="1"/>
    <n v="0"/>
    <n v="0"/>
    <n v="0"/>
    <n v="0"/>
    <n v="0"/>
    <n v="0"/>
    <n v="0"/>
    <n v="0"/>
  </r>
  <r>
    <d v="2021-07-01T00:00:00"/>
    <n v="2021"/>
    <x v="16"/>
    <s v="R"/>
    <s v="RS"/>
    <x v="0"/>
    <s v="IND"/>
    <s v="A"/>
    <n v="1"/>
    <n v="6"/>
    <n v="-5"/>
    <n v="5"/>
    <n v="-16"/>
    <n v="16"/>
    <n v="1600.9606444723652"/>
    <n v="1299.4866938404798"/>
    <n v="0.74415430137899374"/>
    <n v="86"/>
    <n v="80"/>
    <n v="0"/>
    <n v="6"/>
    <n v="1"/>
    <n v="0.28074873568854725"/>
    <n v="1"/>
    <n v="73.45"/>
    <n v="73.45"/>
    <n v="5.2757927789902848"/>
    <n v="1606.2364372513555"/>
    <n v="1"/>
    <n v="0"/>
    <n v="0"/>
    <n v="0"/>
    <n v="0"/>
    <n v="0"/>
    <n v="0"/>
    <n v="0"/>
    <n v="0"/>
    <n v="0"/>
  </r>
  <r>
    <d v="2021-07-01T00:00:00"/>
    <n v="2021"/>
    <x v="16"/>
    <s v="R"/>
    <s v="RS"/>
    <x v="6"/>
    <s v="CON"/>
    <s v="H"/>
    <n v="6"/>
    <n v="1"/>
    <n v="5"/>
    <n v="-5"/>
    <n v="16"/>
    <n v="-16"/>
    <n v="1299.4866938404798"/>
    <n v="1600.9606444723652"/>
    <n v="0.2558456986210062"/>
    <n v="80"/>
    <n v="86"/>
    <n v="0"/>
    <n v="-6"/>
    <n v="0"/>
    <n v="0.28074873568854725"/>
    <n v="1"/>
    <n v="73.45"/>
    <n v="73.45"/>
    <n v="-5.2757927789902839"/>
    <n v="1294.2109010614895"/>
    <n v="0"/>
    <n v="1"/>
    <n v="0"/>
    <n v="0"/>
    <n v="0"/>
    <n v="0"/>
    <n v="0"/>
    <n v="0"/>
    <n v="0"/>
    <n v="0"/>
  </r>
  <r>
    <d v="2021-07-02T00:00:00"/>
    <n v="2021"/>
    <x v="18"/>
    <s v="R"/>
    <s v="RS"/>
    <x v="10"/>
    <s v="DAL"/>
    <s v="A"/>
    <n v="1"/>
    <n v="1"/>
    <n v="0"/>
    <n v="0"/>
    <n v="0"/>
    <n v="0"/>
    <n v="1560.1053037380277"/>
    <n v="1499.9070289782353"/>
    <n v="0.46580004949522413"/>
    <n v="91"/>
    <n v="100"/>
    <n v="0"/>
    <n v="-9"/>
    <n v="0"/>
    <n v="0.3865787172812552"/>
    <n v="1"/>
    <n v="73.150000000000006"/>
    <n v="73.150000000000006"/>
    <n v="-13.172002409815363"/>
    <n v="1546.9333013282123"/>
    <n v="0"/>
    <n v="1"/>
    <n v="0"/>
    <n v="0"/>
    <n v="0"/>
    <n v="0"/>
    <n v="0"/>
    <n v="0"/>
    <n v="0"/>
    <n v="0"/>
  </r>
  <r>
    <d v="2021-07-02T00:00:00"/>
    <n v="2021"/>
    <x v="17"/>
    <s v="R"/>
    <s v="RS"/>
    <x v="2"/>
    <s v="CHI"/>
    <s v="H"/>
    <n v="1"/>
    <n v="1"/>
    <n v="0"/>
    <n v="0"/>
    <n v="0"/>
    <n v="0"/>
    <n v="1499.9070289782353"/>
    <n v="1560.1053037380277"/>
    <n v="0.53419995050477587"/>
    <n v="100"/>
    <n v="91"/>
    <n v="0"/>
    <n v="9"/>
    <n v="1"/>
    <n v="0.3865787172812552"/>
    <n v="1"/>
    <n v="73.3"/>
    <n v="73.3"/>
    <n v="13.199012667661874"/>
    <n v="1513.1060416458972"/>
    <n v="1"/>
    <n v="0"/>
    <n v="0"/>
    <n v="0"/>
    <n v="0"/>
    <n v="0"/>
    <n v="0"/>
    <n v="0"/>
    <n v="0"/>
    <n v="0"/>
  </r>
  <r>
    <d v="2021-07-02T00:00:00"/>
    <n v="2021"/>
    <x v="16"/>
    <s v="R"/>
    <s v="RS"/>
    <x v="8"/>
    <s v="LAS"/>
    <s v="A"/>
    <n v="1"/>
    <n v="1"/>
    <n v="0"/>
    <n v="0"/>
    <n v="0"/>
    <n v="0"/>
    <n v="1645.1318279667421"/>
    <n v="1443.2978798951203"/>
    <n v="0.66336067252120257"/>
    <n v="66"/>
    <n v="58"/>
    <n v="0"/>
    <n v="8"/>
    <n v="1"/>
    <n v="0.33240644702934463"/>
    <n v="1"/>
    <n v="73.45"/>
    <n v="73.45"/>
    <n v="8.2191345300128908"/>
    <n v="1653.3509624967551"/>
    <n v="1"/>
    <n v="0"/>
    <n v="0"/>
    <n v="0"/>
    <n v="0"/>
    <n v="0"/>
    <n v="0"/>
    <n v="0"/>
    <n v="0"/>
    <n v="0"/>
  </r>
  <r>
    <d v="2021-07-02T00:00:00"/>
    <n v="2021"/>
    <x v="15"/>
    <s v="R"/>
    <s v="RS"/>
    <x v="3"/>
    <s v="LVA"/>
    <s v="H"/>
    <n v="1"/>
    <n v="1"/>
    <n v="0"/>
    <n v="0"/>
    <n v="0"/>
    <n v="0"/>
    <n v="1443.2978798951203"/>
    <n v="1645.1318279667421"/>
    <n v="0.33663932747879738"/>
    <n v="58"/>
    <n v="66"/>
    <n v="0"/>
    <n v="-8"/>
    <n v="0"/>
    <n v="0.33240644702934463"/>
    <n v="1"/>
    <n v="73.599999999999994"/>
    <n v="73.599999999999994"/>
    <n v="-8.2359196924295244"/>
    <n v="1435.0619602026909"/>
    <n v="0"/>
    <n v="1"/>
    <n v="0"/>
    <n v="0"/>
    <n v="0"/>
    <n v="0"/>
    <n v="0"/>
    <n v="0"/>
    <n v="0"/>
    <n v="0"/>
  </r>
  <r>
    <d v="2021-07-02T00:00:00"/>
    <n v="2021"/>
    <x v="15"/>
    <s v="R"/>
    <s v="RS"/>
    <x v="1"/>
    <s v="SEA"/>
    <s v="A"/>
    <n v="2"/>
    <n v="4"/>
    <n v="-2"/>
    <n v="2"/>
    <n v="-16"/>
    <n v="16"/>
    <n v="1406.1762991551143"/>
    <n v="1672.4724981870004"/>
    <n v="9.9689995954792832E-2"/>
    <n v="88"/>
    <n v="91"/>
    <n v="0"/>
    <n v="-3"/>
    <n v="0"/>
    <n v="0.23748286706898655"/>
    <n v="1"/>
    <n v="73.599999999999994"/>
    <n v="73.599999999999994"/>
    <n v="-1.7424554218275745"/>
    <n v="1404.4338437332867"/>
    <n v="0"/>
    <n v="1"/>
    <n v="0"/>
    <n v="0"/>
    <n v="0"/>
    <n v="0"/>
    <n v="0"/>
    <n v="0"/>
    <n v="0"/>
    <n v="0"/>
  </r>
  <r>
    <d v="2021-07-02T00:00:00"/>
    <n v="2021"/>
    <x v="16"/>
    <s v="R"/>
    <s v="RS"/>
    <x v="9"/>
    <s v="ATL"/>
    <s v="H"/>
    <n v="4"/>
    <n v="2"/>
    <n v="2"/>
    <n v="-2"/>
    <n v="16"/>
    <n v="-16"/>
    <n v="1672.4724981870004"/>
    <n v="1406.1762991551143"/>
    <n v="0.90031000404520711"/>
    <n v="91"/>
    <n v="88"/>
    <n v="0"/>
    <n v="3"/>
    <n v="1"/>
    <n v="0.23748286706898655"/>
    <n v="1"/>
    <n v="73.45"/>
    <n v="73.45"/>
    <n v="1.7389042219189597"/>
    <n v="1674.2114024089194"/>
    <n v="1"/>
    <n v="0"/>
    <n v="0"/>
    <n v="0"/>
    <n v="0"/>
    <n v="0"/>
    <n v="0"/>
    <n v="0"/>
    <n v="0"/>
    <n v="0"/>
  </r>
  <r>
    <d v="2021-07-03T00:00:00"/>
    <n v="2021"/>
    <x v="17"/>
    <s v="R"/>
    <s v="RS"/>
    <x v="0"/>
    <s v="IND"/>
    <s v="A"/>
    <n v="1"/>
    <n v="1"/>
    <n v="0"/>
    <n v="0"/>
    <n v="0"/>
    <n v="0"/>
    <n v="1606.2364372513555"/>
    <n v="1294.2109010614895"/>
    <n v="0.78795133015642027"/>
    <n v="67"/>
    <n v="73"/>
    <n v="0"/>
    <n v="-6"/>
    <n v="0"/>
    <n v="0.27878954635344022"/>
    <n v="1"/>
    <n v="73.3"/>
    <n v="73.3"/>
    <n v="-16.10200113161644"/>
    <n v="1590.1344361197391"/>
    <n v="0"/>
    <n v="1"/>
    <n v="0"/>
    <n v="0"/>
    <n v="0"/>
    <n v="0"/>
    <n v="0"/>
    <n v="0"/>
    <n v="0"/>
    <n v="0"/>
  </r>
  <r>
    <d v="2021-07-03T00:00:00"/>
    <n v="2021"/>
    <x v="17"/>
    <s v="R"/>
    <s v="RS"/>
    <x v="6"/>
    <s v="CON"/>
    <s v="H"/>
    <n v="1"/>
    <n v="1"/>
    <n v="0"/>
    <n v="0"/>
    <n v="0"/>
    <n v="0"/>
    <n v="1294.2109010614895"/>
    <n v="1606.2364372513555"/>
    <n v="0.21204866984357967"/>
    <n v="73"/>
    <n v="67"/>
    <n v="0"/>
    <n v="6"/>
    <n v="1"/>
    <n v="0.27878954635344022"/>
    <n v="1"/>
    <n v="73.3"/>
    <n v="73.3"/>
    <n v="16.10200113161644"/>
    <n v="1310.3129021931059"/>
    <n v="1"/>
    <n v="0"/>
    <n v="0"/>
    <n v="0"/>
    <n v="0"/>
    <n v="0"/>
    <n v="0"/>
    <n v="0"/>
    <n v="0"/>
    <n v="0"/>
  </r>
  <r>
    <d v="2021-07-03T00:00:00"/>
    <n v="2021"/>
    <x v="16"/>
    <s v="R"/>
    <s v="RS"/>
    <x v="11"/>
    <s v="NYL"/>
    <s v="A"/>
    <n v="3"/>
    <n v="3"/>
    <n v="0"/>
    <n v="0"/>
    <n v="0"/>
    <n v="0"/>
    <n v="1455.7712706911709"/>
    <n v="1410.2268482269508"/>
    <n v="0.44488287087606171"/>
    <n v="79"/>
    <n v="82"/>
    <n v="0"/>
    <n v="-3"/>
    <n v="0"/>
    <n v="0.27957270655150213"/>
    <n v="1"/>
    <n v="73.45"/>
    <n v="73.45"/>
    <n v="-9.1354986053124314"/>
    <n v="1446.6357720858584"/>
    <n v="0"/>
    <n v="1"/>
    <n v="0"/>
    <n v="0"/>
    <n v="0"/>
    <n v="0"/>
    <n v="0"/>
    <n v="0"/>
    <n v="0"/>
    <n v="0"/>
  </r>
  <r>
    <d v="2021-07-03T00:00:00"/>
    <n v="2021"/>
    <x v="17"/>
    <s v="R"/>
    <s v="RS"/>
    <x v="7"/>
    <s v="WAS"/>
    <s v="H"/>
    <n v="3"/>
    <n v="3"/>
    <n v="0"/>
    <n v="0"/>
    <n v="0"/>
    <n v="0"/>
    <n v="1410.2268482269508"/>
    <n v="1455.7712706911709"/>
    <n v="0.55511712912393829"/>
    <n v="82"/>
    <n v="79"/>
    <n v="0"/>
    <n v="3"/>
    <n v="1"/>
    <n v="0.27957270655150213"/>
    <n v="1"/>
    <n v="73.3"/>
    <n v="73.3"/>
    <n v="9.1168420390660465"/>
    <n v="1419.3436902660169"/>
    <n v="1"/>
    <n v="0"/>
    <n v="0"/>
    <n v="0"/>
    <n v="0"/>
    <n v="0"/>
    <n v="0"/>
    <n v="0"/>
    <n v="0"/>
    <n v="0"/>
  </r>
  <r>
    <d v="2021-07-03T00:00:00"/>
    <n v="2021"/>
    <x v="15"/>
    <s v="R"/>
    <s v="RS"/>
    <x v="5"/>
    <s v="PHX"/>
    <s v="A"/>
    <n v="2"/>
    <n v="2"/>
    <n v="0"/>
    <n v="0"/>
    <n v="0"/>
    <n v="0"/>
    <n v="1522.5505566049374"/>
    <n v="1483.7870930047384"/>
    <n v="0.43526478310554878"/>
    <n v="99"/>
    <n v="68"/>
    <n v="0"/>
    <n v="31"/>
    <n v="1"/>
    <n v="0.69309555366435427"/>
    <n v="1"/>
    <n v="73.599999999999994"/>
    <n v="73.599999999999994"/>
    <n v="28.808178432083306"/>
    <n v="1551.3587350370206"/>
    <n v="1"/>
    <n v="0"/>
    <n v="0"/>
    <n v="0"/>
    <n v="0"/>
    <n v="0"/>
    <n v="0"/>
    <n v="0"/>
    <n v="0"/>
    <n v="0"/>
  </r>
  <r>
    <d v="2021-07-03T00:00:00"/>
    <n v="2021"/>
    <x v="15"/>
    <s v="R"/>
    <s v="RS"/>
    <x v="4"/>
    <s v="MIN"/>
    <s v="H"/>
    <n v="2"/>
    <n v="2"/>
    <n v="0"/>
    <n v="0"/>
    <n v="0"/>
    <n v="0"/>
    <n v="1483.7870930047384"/>
    <n v="1522.5505566049374"/>
    <n v="0.56473521689445116"/>
    <n v="68"/>
    <n v="99"/>
    <n v="0"/>
    <n v="-31"/>
    <n v="0"/>
    <n v="0.69309555366435427"/>
    <n v="1"/>
    <n v="73.599999999999994"/>
    <n v="73.599999999999994"/>
    <n v="-28.808178432083302"/>
    <n v="1454.9789145726552"/>
    <n v="0"/>
    <n v="1"/>
    <n v="0"/>
    <n v="0"/>
    <n v="0"/>
    <n v="0"/>
    <n v="0"/>
    <n v="0"/>
    <n v="0"/>
    <n v="0"/>
  </r>
  <r>
    <d v="2021-07-04T00:00:00"/>
    <n v="2021"/>
    <x v="17"/>
    <s v="R"/>
    <s v="RS"/>
    <x v="9"/>
    <s v="LAS"/>
    <s v="A"/>
    <n v="1"/>
    <n v="1"/>
    <n v="0"/>
    <n v="0"/>
    <n v="0"/>
    <n v="0"/>
    <n v="1674.2114024089194"/>
    <n v="1435.0619602026909"/>
    <n v="0.70953195869365004"/>
    <n v="84"/>
    <n v="74"/>
    <n v="0"/>
    <n v="10"/>
    <n v="1"/>
    <n v="0.35281647917004849"/>
    <n v="1"/>
    <n v="73.3"/>
    <n v="73.3"/>
    <n v="7.5119241235877805"/>
    <n v="1681.7233265325071"/>
    <n v="1"/>
    <n v="0"/>
    <n v="0"/>
    <n v="0"/>
    <n v="0"/>
    <n v="0"/>
    <n v="0"/>
    <n v="0"/>
    <n v="0"/>
    <n v="0"/>
  </r>
  <r>
    <d v="2021-07-04T00:00:00"/>
    <n v="2021"/>
    <x v="16"/>
    <s v="R"/>
    <s v="RS"/>
    <x v="3"/>
    <s v="SEA"/>
    <s v="H"/>
    <n v="1"/>
    <n v="1"/>
    <n v="0"/>
    <n v="0"/>
    <n v="0"/>
    <n v="0"/>
    <n v="1435.0619602026909"/>
    <n v="1674.2114024089194"/>
    <n v="0.29046804130634996"/>
    <n v="74"/>
    <n v="84"/>
    <n v="0"/>
    <n v="-10"/>
    <n v="0"/>
    <n v="0.35281647917004849"/>
    <n v="1"/>
    <n v="73.45"/>
    <n v="73.45"/>
    <n v="-7.5272964103345492"/>
    <n v="1427.5346637923562"/>
    <n v="0"/>
    <n v="1"/>
    <n v="0"/>
    <n v="0"/>
    <n v="0"/>
    <n v="0"/>
    <n v="0"/>
    <n v="0"/>
    <n v="0"/>
    <n v="0"/>
  </r>
  <r>
    <d v="2021-07-04T00:00:00"/>
    <n v="2021"/>
    <x v="16"/>
    <s v="R"/>
    <s v="RS"/>
    <x v="1"/>
    <s v="LVA"/>
    <s v="A"/>
    <n v="1"/>
    <n v="1"/>
    <n v="0"/>
    <n v="0"/>
    <n v="0"/>
    <n v="0"/>
    <n v="1404.4338437332867"/>
    <n v="1653.3509624967551"/>
    <n v="0.12826075733400991"/>
    <n v="95"/>
    <n v="118"/>
    <n v="0"/>
    <n v="-23"/>
    <n v="0"/>
    <n v="0.50962564629265361"/>
    <n v="1"/>
    <n v="73.45"/>
    <n v="73.45"/>
    <n v="-4.8010571456817397"/>
    <n v="1399.6327865876049"/>
    <n v="0"/>
    <n v="1"/>
    <n v="0"/>
    <n v="0"/>
    <n v="0"/>
    <n v="0"/>
    <n v="0"/>
    <n v="0"/>
    <n v="0"/>
    <n v="0"/>
  </r>
  <r>
    <d v="2021-07-04T00:00:00"/>
    <n v="2021"/>
    <x v="17"/>
    <s v="R"/>
    <s v="RS"/>
    <x v="8"/>
    <s v="ATL"/>
    <s v="H"/>
    <n v="1"/>
    <n v="1"/>
    <n v="0"/>
    <n v="0"/>
    <n v="0"/>
    <n v="0"/>
    <n v="1653.3509624967551"/>
    <n v="1404.4338437332867"/>
    <n v="0.87173924266599012"/>
    <n v="118"/>
    <n v="95"/>
    <n v="0"/>
    <n v="23"/>
    <n v="1"/>
    <n v="0.50962564629265361"/>
    <n v="1"/>
    <n v="73.3"/>
    <n v="73.3"/>
    <n v="4.7912523999791885"/>
    <n v="1658.1422148967342"/>
    <n v="1"/>
    <n v="0"/>
    <n v="0"/>
    <n v="0"/>
    <n v="0"/>
    <n v="0"/>
    <n v="0"/>
    <n v="0"/>
    <n v="0"/>
    <n v="0"/>
  </r>
  <r>
    <d v="2021-07-05T00:00:00"/>
    <n v="2021"/>
    <x v="18"/>
    <s v="R"/>
    <s v="RS"/>
    <x v="2"/>
    <s v="NYL"/>
    <s v="A"/>
    <n v="2"/>
    <n v="1"/>
    <n v="1"/>
    <n v="-1"/>
    <n v="8"/>
    <n v="-8"/>
    <n v="1513.1060416458972"/>
    <n v="1419.3436902660169"/>
    <n v="0.53700720412444092"/>
    <n v="96"/>
    <n v="99"/>
    <n v="0"/>
    <n v="-3"/>
    <n v="0"/>
    <n v="0.26915316012021101"/>
    <n v="1"/>
    <n v="73.150000000000006"/>
    <n v="73.150000000000006"/>
    <n v="-10.572895155710725"/>
    <n v="1502.5331464901865"/>
    <n v="0"/>
    <n v="1"/>
    <n v="0"/>
    <n v="0"/>
    <n v="0"/>
    <n v="0"/>
    <n v="0"/>
    <n v="0"/>
    <n v="0"/>
    <n v="0"/>
  </r>
  <r>
    <d v="2021-07-05T00:00:00"/>
    <n v="2021"/>
    <x v="18"/>
    <s v="R"/>
    <s v="RS"/>
    <x v="7"/>
    <s v="DAL"/>
    <s v="H"/>
    <n v="1"/>
    <n v="2"/>
    <n v="-1"/>
    <n v="1"/>
    <n v="-8"/>
    <n v="8"/>
    <n v="1419.3436902660169"/>
    <n v="1513.1060416458972"/>
    <n v="0.46299279587555919"/>
    <n v="99"/>
    <n v="96"/>
    <n v="0"/>
    <n v="3"/>
    <n v="1"/>
    <n v="0.26915316012021101"/>
    <n v="1"/>
    <n v="73.150000000000006"/>
    <n v="73.150000000000006"/>
    <n v="10.572895155710723"/>
    <n v="1429.9165854217276"/>
    <n v="1"/>
    <n v="0"/>
    <n v="0"/>
    <n v="0"/>
    <n v="0"/>
    <n v="0"/>
    <n v="0"/>
    <n v="0"/>
    <n v="0"/>
    <n v="0"/>
  </r>
  <r>
    <d v="2021-07-07T00:00:00"/>
    <n v="2021"/>
    <x v="16"/>
    <s v="R"/>
    <s v="RS"/>
    <x v="4"/>
    <s v="LVA"/>
    <s v="A"/>
    <n v="3"/>
    <n v="2"/>
    <n v="1"/>
    <n v="-1"/>
    <n v="8"/>
    <n v="-8"/>
    <n v="1454.9789145726552"/>
    <n v="1658.1422148967342"/>
    <n v="0.17351159905353161"/>
    <n v="99"/>
    <n v="90"/>
    <n v="1"/>
    <n v="9"/>
    <n v="1"/>
    <n v="0.31247200466100888"/>
    <n v="1"/>
    <n v="73.45"/>
    <n v="73.45"/>
    <n v="18.968792104878236"/>
    <n v="1473.9477066775335"/>
    <n v="1"/>
    <n v="0"/>
    <n v="0"/>
    <n v="0"/>
    <n v="0"/>
    <n v="0"/>
    <n v="0"/>
    <n v="0"/>
    <n v="0"/>
    <n v="0"/>
  </r>
  <r>
    <d v="2021-07-07T00:00:00"/>
    <n v="2021"/>
    <x v="18"/>
    <s v="R"/>
    <s v="RS"/>
    <x v="8"/>
    <s v="PHX"/>
    <s v="H"/>
    <n v="2"/>
    <n v="3"/>
    <n v="-1"/>
    <n v="1"/>
    <n v="-8"/>
    <n v="8"/>
    <n v="1658.1422148967342"/>
    <n v="1454.9789145726552"/>
    <n v="0.82648840094646836"/>
    <n v="90"/>
    <n v="99"/>
    <n v="1"/>
    <n v="-9"/>
    <n v="0"/>
    <n v="0.31247200466100888"/>
    <n v="1"/>
    <n v="73.150000000000006"/>
    <n v="73.150000000000006"/>
    <n v="-18.891315758636392"/>
    <n v="1639.2508991380978"/>
    <n v="0"/>
    <n v="1"/>
    <n v="0"/>
    <n v="0"/>
    <n v="0"/>
    <n v="0"/>
    <n v="0"/>
    <n v="0"/>
    <n v="0"/>
    <n v="0"/>
  </r>
  <r>
    <d v="2021-07-07T00:00:00"/>
    <n v="2021"/>
    <x v="19"/>
    <s v="R"/>
    <s v="RS"/>
    <x v="2"/>
    <s v="MIN"/>
    <s v="A"/>
    <n v="1"/>
    <n v="3"/>
    <n v="-2"/>
    <n v="2"/>
    <n v="-16"/>
    <n v="16"/>
    <n v="1502.5331464901865"/>
    <n v="1551.3587350370206"/>
    <n v="0.27912372912169825"/>
    <n v="79"/>
    <n v="85"/>
    <n v="0"/>
    <n v="-6"/>
    <n v="0"/>
    <n v="0.33754666558338325"/>
    <n v="1"/>
    <n v="73"/>
    <n v="73"/>
    <n v="-6.8778617356666976"/>
    <n v="1495.6552847545197"/>
    <n v="0"/>
    <n v="1"/>
    <n v="0"/>
    <n v="0"/>
    <n v="0"/>
    <n v="0"/>
    <n v="0"/>
    <n v="0"/>
    <n v="0"/>
    <n v="0"/>
  </r>
  <r>
    <d v="2021-07-07T00:00:00"/>
    <n v="2021"/>
    <x v="16"/>
    <s v="R"/>
    <s v="RS"/>
    <x v="5"/>
    <s v="DAL"/>
    <s v="H"/>
    <n v="3"/>
    <n v="1"/>
    <n v="2"/>
    <n v="-2"/>
    <n v="16"/>
    <n v="-16"/>
    <n v="1551.3587350370206"/>
    <n v="1502.5331464901865"/>
    <n v="0.72087627087830175"/>
    <n v="85"/>
    <n v="79"/>
    <n v="0"/>
    <n v="6"/>
    <n v="1"/>
    <n v="0.33754666558338325"/>
    <n v="1"/>
    <n v="73.45"/>
    <n v="73.45"/>
    <n v="6.9202595134893006"/>
    <n v="1558.2789945505099"/>
    <n v="1"/>
    <n v="0"/>
    <n v="0"/>
    <n v="0"/>
    <n v="0"/>
    <n v="0"/>
    <n v="0"/>
    <n v="0"/>
    <n v="0"/>
    <n v="0"/>
  </r>
  <r>
    <d v="2021-07-07T00:00:00"/>
    <n v="2021"/>
    <x v="17"/>
    <s v="R"/>
    <s v="RS"/>
    <x v="3"/>
    <s v="SEA"/>
    <s v="A"/>
    <n v="2"/>
    <n v="2"/>
    <n v="0"/>
    <n v="0"/>
    <n v="0"/>
    <n v="0"/>
    <n v="1427.5346637923562"/>
    <n v="1681.7233265325071"/>
    <n v="0.12490593672778459"/>
    <n v="62"/>
    <n v="71"/>
    <n v="0"/>
    <n v="-9"/>
    <n v="0"/>
    <n v="0.33500868563967279"/>
    <n v="1"/>
    <n v="73.3"/>
    <n v="73.3"/>
    <n v="-3.067207251606539"/>
    <n v="1424.4674565407497"/>
    <n v="0"/>
    <n v="1"/>
    <n v="0"/>
    <n v="0"/>
    <n v="0"/>
    <n v="0"/>
    <n v="0"/>
    <n v="0"/>
    <n v="0"/>
    <n v="0"/>
  </r>
  <r>
    <d v="2021-07-07T00:00:00"/>
    <n v="2021"/>
    <x v="18"/>
    <s v="R"/>
    <s v="RS"/>
    <x v="9"/>
    <s v="LAS"/>
    <s v="H"/>
    <n v="2"/>
    <n v="2"/>
    <n v="0"/>
    <n v="0"/>
    <n v="0"/>
    <n v="0"/>
    <n v="1681.7233265325071"/>
    <n v="1427.5346637923562"/>
    <n v="0.87509406327221539"/>
    <n v="71"/>
    <n v="62"/>
    <n v="0"/>
    <n v="9"/>
    <n v="1"/>
    <n v="0.33500868563967279"/>
    <n v="1"/>
    <n v="73.150000000000006"/>
    <n v="73.150000000000006"/>
    <n v="3.0609305655527748"/>
    <n v="1684.7842570980599"/>
    <n v="1"/>
    <n v="0"/>
    <n v="0"/>
    <n v="0"/>
    <n v="0"/>
    <n v="0"/>
    <n v="0"/>
    <n v="0"/>
    <n v="0"/>
    <n v="0"/>
  </r>
  <r>
    <d v="2021-07-09T00:00:00"/>
    <n v="2021"/>
    <x v="17"/>
    <s v="R"/>
    <s v="RS"/>
    <x v="1"/>
    <s v="CON"/>
    <s v="A"/>
    <n v="4"/>
    <n v="5"/>
    <n v="-1"/>
    <n v="1"/>
    <n v="-8"/>
    <n v="8"/>
    <n v="1399.6327865876049"/>
    <n v="1590.1344361197391"/>
    <n v="0.15812283924072074"/>
    <n v="72"/>
    <n v="84"/>
    <n v="0"/>
    <n v="-12"/>
    <n v="0"/>
    <n v="0.39363875035748352"/>
    <n v="1"/>
    <n v="73.3"/>
    <n v="73.3"/>
    <n v="-4.5624321924962121"/>
    <n v="1395.0703543951086"/>
    <n v="0"/>
    <n v="1"/>
    <n v="0"/>
    <n v="0"/>
    <n v="0"/>
    <n v="0"/>
    <n v="0"/>
    <n v="0"/>
    <n v="0"/>
    <n v="0"/>
  </r>
  <r>
    <d v="2021-07-09T00:00:00"/>
    <n v="2021"/>
    <x v="18"/>
    <s v="R"/>
    <s v="RS"/>
    <x v="0"/>
    <s v="ATL"/>
    <s v="H"/>
    <n v="5"/>
    <n v="4"/>
    <n v="1"/>
    <n v="-1"/>
    <n v="8"/>
    <n v="-8"/>
    <n v="1590.1344361197391"/>
    <n v="1399.6327865876049"/>
    <n v="0.84187716075927921"/>
    <n v="84"/>
    <n v="72"/>
    <n v="0"/>
    <n v="12"/>
    <n v="1"/>
    <n v="0.39363875035748352"/>
    <n v="1"/>
    <n v="73.150000000000006"/>
    <n v="73.150000000000006"/>
    <n v="4.5530957009699593"/>
    <n v="1594.6875318207092"/>
    <n v="1"/>
    <n v="0"/>
    <n v="0"/>
    <n v="0"/>
    <n v="0"/>
    <n v="0"/>
    <n v="0"/>
    <n v="0"/>
    <n v="0"/>
    <n v="0"/>
  </r>
  <r>
    <d v="2021-07-09T00:00:00"/>
    <n v="2021"/>
    <x v="19"/>
    <s v="R"/>
    <s v="RS"/>
    <x v="7"/>
    <s v="IND"/>
    <s v="A"/>
    <n v="3"/>
    <n v="5"/>
    <n v="-2"/>
    <n v="2"/>
    <n v="-16"/>
    <n v="16"/>
    <n v="1429.9165854217276"/>
    <n v="1310.3129021931059"/>
    <n v="0.50518593107955478"/>
    <n v="69"/>
    <n v="82"/>
    <n v="0"/>
    <n v="-13"/>
    <n v="0"/>
    <n v="0.42925956783556735"/>
    <n v="1"/>
    <n v="73"/>
    <n v="73"/>
    <n v="-15.830480294982742"/>
    <n v="1414.086105126745"/>
    <n v="0"/>
    <n v="1"/>
    <n v="0"/>
    <n v="0"/>
    <n v="0"/>
    <n v="0"/>
    <n v="0"/>
    <n v="0"/>
    <n v="0"/>
    <n v="0"/>
  </r>
  <r>
    <d v="2021-07-09T00:00:00"/>
    <n v="2021"/>
    <x v="18"/>
    <s v="R"/>
    <s v="RS"/>
    <x v="6"/>
    <s v="NYL"/>
    <s v="H"/>
    <n v="5"/>
    <n v="3"/>
    <n v="2"/>
    <n v="-2"/>
    <n v="16"/>
    <n v="-16"/>
    <n v="1310.3129021931059"/>
    <n v="1429.9165854217276"/>
    <n v="0.49481406892044522"/>
    <n v="82"/>
    <n v="69"/>
    <n v="0"/>
    <n v="13"/>
    <n v="1"/>
    <n v="0.42925956783556735"/>
    <n v="1"/>
    <n v="73.150000000000006"/>
    <n v="73.150000000000006"/>
    <n v="15.863008679150516"/>
    <n v="1326.1759108722563"/>
    <n v="1"/>
    <n v="0"/>
    <n v="0"/>
    <n v="0"/>
    <n v="0"/>
    <n v="0"/>
    <n v="0"/>
    <n v="0"/>
    <n v="0"/>
    <n v="0"/>
  </r>
  <r>
    <d v="2021-07-09T00:00:00"/>
    <n v="2021"/>
    <x v="17"/>
    <s v="R"/>
    <s v="RS"/>
    <x v="5"/>
    <s v="LVA"/>
    <s v="A"/>
    <n v="1"/>
    <n v="1"/>
    <n v="0"/>
    <n v="0"/>
    <n v="0"/>
    <n v="0"/>
    <n v="1558.2789945505099"/>
    <n v="1639.2508991380978"/>
    <n v="0.27895428585545712"/>
    <n v="77"/>
    <n v="67"/>
    <n v="0"/>
    <n v="10"/>
    <n v="1"/>
    <n v="0.39638311923961672"/>
    <n v="1"/>
    <n v="73.3"/>
    <n v="73.3"/>
    <n v="20.949898602734969"/>
    <n v="1579.2288931532448"/>
    <n v="1"/>
    <n v="0"/>
    <n v="0"/>
    <n v="0"/>
    <n v="0"/>
    <n v="0"/>
    <n v="0"/>
    <n v="0"/>
    <n v="0"/>
    <n v="0"/>
  </r>
  <r>
    <d v="2021-07-09T00:00:00"/>
    <n v="2021"/>
    <x v="19"/>
    <s v="R"/>
    <s v="RS"/>
    <x v="8"/>
    <s v="MIN"/>
    <s v="H"/>
    <n v="1"/>
    <n v="1"/>
    <n v="0"/>
    <n v="0"/>
    <n v="0"/>
    <n v="0"/>
    <n v="1639.2508991380978"/>
    <n v="1558.2789945505099"/>
    <n v="0.72104571414454288"/>
    <n v="67"/>
    <n v="77"/>
    <n v="0"/>
    <n v="-10"/>
    <n v="0"/>
    <n v="0.39638311923961672"/>
    <n v="1"/>
    <n v="73"/>
    <n v="73"/>
    <n v="-20.864155497948879"/>
    <n v="1618.386743640149"/>
    <n v="0"/>
    <n v="1"/>
    <n v="0"/>
    <n v="0"/>
    <n v="0"/>
    <n v="0"/>
    <n v="0"/>
    <n v="0"/>
    <n v="0"/>
    <n v="0"/>
  </r>
  <r>
    <d v="2021-07-09T00:00:00"/>
    <n v="2021"/>
    <x v="19"/>
    <s v="R"/>
    <s v="RS"/>
    <x v="9"/>
    <s v="PHX"/>
    <s v="A"/>
    <n v="1"/>
    <n v="1"/>
    <n v="0"/>
    <n v="0"/>
    <n v="0"/>
    <n v="0"/>
    <n v="1684.7842570980599"/>
    <n v="1473.9477066775335"/>
    <n v="0.67483377224448504"/>
    <n v="77"/>
    <n v="85"/>
    <n v="0"/>
    <n v="-8"/>
    <n v="0"/>
    <n v="0.33028534869238596"/>
    <n v="1"/>
    <n v="73"/>
    <n v="73"/>
    <n v="-16.270802667587258"/>
    <n v="1668.5134544304726"/>
    <n v="0"/>
    <n v="1"/>
    <n v="0"/>
    <n v="0"/>
    <n v="0"/>
    <n v="0"/>
    <n v="0"/>
    <n v="0"/>
    <n v="0"/>
    <n v="0"/>
  </r>
  <r>
    <d v="2021-07-09T00:00:00"/>
    <n v="2021"/>
    <x v="17"/>
    <s v="R"/>
    <s v="RS"/>
    <x v="4"/>
    <s v="SEA"/>
    <s v="H"/>
    <n v="1"/>
    <n v="1"/>
    <n v="0"/>
    <n v="0"/>
    <n v="0"/>
    <n v="0"/>
    <n v="1473.9477066775335"/>
    <n v="1684.7842570980599"/>
    <n v="0.32516622775551485"/>
    <n v="85"/>
    <n v="77"/>
    <n v="0"/>
    <n v="8"/>
    <n v="1"/>
    <n v="0.33028534869238596"/>
    <n v="1"/>
    <n v="73.3"/>
    <n v="73.3"/>
    <n v="16.337668979919812"/>
    <n v="1490.2853756574532"/>
    <n v="1"/>
    <n v="0"/>
    <n v="0"/>
    <n v="0"/>
    <n v="0"/>
    <n v="0"/>
    <n v="0"/>
    <n v="0"/>
    <n v="0"/>
    <n v="0"/>
  </r>
  <r>
    <d v="2021-07-10T00:00:00"/>
    <n v="2021"/>
    <x v="17"/>
    <s v="R"/>
    <s v="RS"/>
    <x v="11"/>
    <s v="CHI"/>
    <s v="A"/>
    <n v="6"/>
    <n v="7"/>
    <n v="-1"/>
    <n v="1"/>
    <n v="-8"/>
    <n v="8"/>
    <n v="1446.6357720858584"/>
    <n v="1546.9333013282123"/>
    <n v="0.23994058776662117"/>
    <n v="89"/>
    <n v="85"/>
    <n v="1"/>
    <n v="4"/>
    <n v="1"/>
    <n v="0.25866953226633421"/>
    <n v="1"/>
    <n v="73.3"/>
    <n v="73.3"/>
    <n v="14.411088787760518"/>
    <n v="1461.0468608736189"/>
    <n v="1"/>
    <n v="0"/>
    <n v="0"/>
    <n v="0"/>
    <n v="0"/>
    <n v="0"/>
    <n v="0"/>
    <n v="0"/>
    <n v="0"/>
    <n v="0"/>
  </r>
  <r>
    <d v="2021-07-10T00:00:00"/>
    <n v="2021"/>
    <x v="19"/>
    <s v="R"/>
    <s v="RS"/>
    <x v="10"/>
    <s v="WAS"/>
    <s v="H"/>
    <n v="7"/>
    <n v="6"/>
    <n v="1"/>
    <n v="-1"/>
    <n v="8"/>
    <n v="-8"/>
    <n v="1546.9333013282123"/>
    <n v="1446.6357720858584"/>
    <n v="0.76005941223337881"/>
    <n v="85"/>
    <n v="89"/>
    <n v="1"/>
    <n v="-4"/>
    <n v="0"/>
    <n v="0.25866953226633421"/>
    <n v="1"/>
    <n v="73"/>
    <n v="73"/>
    <n v="-14.352107523963408"/>
    <n v="1532.5811938042489"/>
    <n v="0"/>
    <n v="1"/>
    <n v="0"/>
    <n v="0"/>
    <n v="0"/>
    <n v="0"/>
    <n v="0"/>
    <n v="0"/>
    <n v="0"/>
    <n v="0"/>
  </r>
  <r>
    <d v="2021-07-11T00:00:00"/>
    <n v="2021"/>
    <x v="19"/>
    <s v="R"/>
    <s v="RS"/>
    <x v="6"/>
    <s v="ATL"/>
    <s v="A"/>
    <n v="1"/>
    <n v="1"/>
    <n v="0"/>
    <n v="0"/>
    <n v="0"/>
    <n v="0"/>
    <n v="1326.1759108722563"/>
    <n v="1395.0703543951086"/>
    <n v="0.29315059879631061"/>
    <n v="79"/>
    <n v="68"/>
    <n v="0"/>
    <n v="11"/>
    <n v="1"/>
    <n v="0.41595513874566997"/>
    <n v="1"/>
    <n v="73"/>
    <n v="73"/>
    <n v="21.463287774748128"/>
    <n v="1347.6391986470044"/>
    <n v="1"/>
    <n v="0"/>
    <n v="0"/>
    <n v="0"/>
    <n v="0"/>
    <n v="0"/>
    <n v="0"/>
    <n v="0"/>
    <n v="0"/>
    <n v="0"/>
  </r>
  <r>
    <d v="2021-07-11T00:00:00"/>
    <n v="2021"/>
    <x v="18"/>
    <s v="R"/>
    <s v="RS"/>
    <x v="1"/>
    <s v="IND"/>
    <s v="H"/>
    <n v="1"/>
    <n v="1"/>
    <n v="0"/>
    <n v="0"/>
    <n v="0"/>
    <n v="0"/>
    <n v="1395.0703543951086"/>
    <n v="1326.1759108722563"/>
    <n v="0.70684940120368944"/>
    <n v="68"/>
    <n v="79"/>
    <n v="0"/>
    <n v="-11"/>
    <n v="0"/>
    <n v="0.41595513874566997"/>
    <n v="1"/>
    <n v="73.150000000000006"/>
    <n v="73.150000000000006"/>
    <n v="-21.507390420860627"/>
    <n v="1373.5629639742479"/>
    <n v="0"/>
    <n v="1"/>
    <n v="0"/>
    <n v="0"/>
    <n v="0"/>
    <n v="0"/>
    <n v="0"/>
    <n v="0"/>
    <n v="0"/>
    <n v="0"/>
  </r>
  <r>
    <d v="2021-07-11T00:00:00"/>
    <n v="2021"/>
    <x v="20"/>
    <s v="R"/>
    <s v="RS"/>
    <x v="8"/>
    <s v="DAL"/>
    <s v="A"/>
    <n v="1"/>
    <n v="3"/>
    <n v="-2"/>
    <n v="2"/>
    <n v="-16"/>
    <n v="16"/>
    <n v="1618.386743640149"/>
    <n v="1495.6552847545197"/>
    <n v="0.50968613609271807"/>
    <n v="95"/>
    <n v="79"/>
    <n v="0"/>
    <n v="16"/>
    <n v="1"/>
    <n v="0.46974254264697202"/>
    <n v="1"/>
    <n v="72.849999999999994"/>
    <n v="72.849999999999994"/>
    <n v="16.778905330092332"/>
    <n v="1635.1656489702414"/>
    <n v="1"/>
    <n v="0"/>
    <n v="0"/>
    <n v="0"/>
    <n v="0"/>
    <n v="0"/>
    <n v="0"/>
    <n v="0"/>
    <n v="0"/>
    <n v="0"/>
  </r>
  <r>
    <d v="2021-07-11T00:00:00"/>
    <n v="2021"/>
    <x v="20"/>
    <s v="R"/>
    <s v="RS"/>
    <x v="2"/>
    <s v="LVA"/>
    <s v="H"/>
    <n v="3"/>
    <n v="1"/>
    <n v="2"/>
    <n v="-2"/>
    <n v="16"/>
    <n v="-16"/>
    <n v="1495.6552847545197"/>
    <n v="1618.386743640149"/>
    <n v="0.49031386390728199"/>
    <n v="79"/>
    <n v="95"/>
    <n v="0"/>
    <n v="-16"/>
    <n v="0"/>
    <n v="0.46974254264697202"/>
    <n v="1"/>
    <n v="72.849999999999994"/>
    <n v="72.849999999999994"/>
    <n v="-16.778905330092336"/>
    <n v="1478.8763794244273"/>
    <n v="0"/>
    <n v="1"/>
    <n v="0"/>
    <n v="0"/>
    <n v="0"/>
    <n v="0"/>
    <n v="0"/>
    <n v="0"/>
    <n v="0"/>
    <n v="0"/>
  </r>
  <r>
    <d v="2021-07-11T00:00:00"/>
    <n v="2021"/>
    <x v="18"/>
    <s v="R"/>
    <s v="RS"/>
    <x v="5"/>
    <s v="LAS"/>
    <s v="A"/>
    <n v="1"/>
    <n v="3"/>
    <n v="-2"/>
    <n v="2"/>
    <n v="-16"/>
    <n v="16"/>
    <n v="1579.2288931532448"/>
    <n v="1424.4674565407497"/>
    <n v="0.55555190468914983"/>
    <n v="86"/>
    <n v="61"/>
    <n v="0"/>
    <n v="25"/>
    <n v="1"/>
    <n v="0.56808055888938169"/>
    <n v="1"/>
    <n v="73.150000000000006"/>
    <n v="73.150000000000006"/>
    <n v="18.46908188220738"/>
    <n v="1597.6979750354521"/>
    <n v="1"/>
    <n v="0"/>
    <n v="0"/>
    <n v="0"/>
    <n v="0"/>
    <n v="0"/>
    <n v="0"/>
    <n v="0"/>
    <n v="0"/>
    <n v="0"/>
  </r>
  <r>
    <d v="2021-07-11T00:00:00"/>
    <n v="2021"/>
    <x v="18"/>
    <s v="R"/>
    <s v="RS"/>
    <x v="3"/>
    <s v="MIN"/>
    <s v="H"/>
    <n v="3"/>
    <n v="1"/>
    <n v="2"/>
    <n v="-2"/>
    <n v="16"/>
    <n v="-16"/>
    <n v="1424.4674565407497"/>
    <n v="1579.2288931532448"/>
    <n v="0.44444809531085022"/>
    <n v="61"/>
    <n v="86"/>
    <n v="0"/>
    <n v="-25"/>
    <n v="0"/>
    <n v="0.56808055888938169"/>
    <n v="1"/>
    <n v="73.150000000000006"/>
    <n v="73.150000000000006"/>
    <n v="-18.469081882207384"/>
    <n v="1405.9983746585424"/>
    <n v="0"/>
    <n v="1"/>
    <n v="0"/>
    <n v="0"/>
    <n v="0"/>
    <n v="0"/>
    <n v="0"/>
    <n v="0"/>
    <n v="0"/>
    <n v="0"/>
  </r>
  <r>
    <d v="2021-07-11T00:00:00"/>
    <n v="2021"/>
    <x v="19"/>
    <s v="R"/>
    <s v="RS"/>
    <x v="0"/>
    <s v="NYL"/>
    <s v="A"/>
    <n v="1"/>
    <n v="1"/>
    <n v="0"/>
    <n v="0"/>
    <n v="0"/>
    <n v="0"/>
    <n v="1594.6875318207092"/>
    <n v="1414.086105126745"/>
    <n v="0.63554562567160167"/>
    <n v="71"/>
    <n v="54"/>
    <n v="0"/>
    <n v="17"/>
    <n v="1"/>
    <n v="0.46279141144189728"/>
    <n v="1"/>
    <n v="73"/>
    <n v="73"/>
    <n v="12.312643864017751"/>
    <n v="1607.0001756847269"/>
    <n v="1"/>
    <n v="0"/>
    <n v="0"/>
    <n v="0"/>
    <n v="0"/>
    <n v="0"/>
    <n v="0"/>
    <n v="0"/>
    <n v="0"/>
    <n v="0"/>
  </r>
  <r>
    <d v="2021-07-11T00:00:00"/>
    <n v="2021"/>
    <x v="20"/>
    <s v="R"/>
    <s v="RS"/>
    <x v="7"/>
    <s v="CON"/>
    <s v="H"/>
    <n v="1"/>
    <n v="1"/>
    <n v="0"/>
    <n v="0"/>
    <n v="0"/>
    <n v="0"/>
    <n v="1414.086105126745"/>
    <n v="1594.6875318207092"/>
    <n v="0.36445437432839833"/>
    <n v="54"/>
    <n v="71"/>
    <n v="0"/>
    <n v="-17"/>
    <n v="0"/>
    <n v="0.46279141144189728"/>
    <n v="1"/>
    <n v="72.849999999999994"/>
    <n v="72.849999999999994"/>
    <n v="-12.28734391087251"/>
    <n v="1401.7987612158724"/>
    <n v="0"/>
    <n v="1"/>
    <n v="0"/>
    <n v="0"/>
    <n v="0"/>
    <n v="0"/>
    <n v="0"/>
    <n v="0"/>
    <n v="0"/>
    <n v="0"/>
  </r>
  <r>
    <d v="2021-07-11T00:00:00"/>
    <n v="2021"/>
    <x v="18"/>
    <s v="R"/>
    <s v="RS"/>
    <x v="4"/>
    <s v="SEA"/>
    <s v="A"/>
    <n v="1"/>
    <n v="1"/>
    <n v="0"/>
    <n v="0"/>
    <n v="0"/>
    <n v="0"/>
    <n v="1490.2853756574532"/>
    <n v="1668.5134544304726"/>
    <n v="0.18101199132049783"/>
    <n v="75"/>
    <n v="82"/>
    <n v="0"/>
    <n v="-7"/>
    <n v="0"/>
    <n v="0.32224608816559136"/>
    <n v="1"/>
    <n v="73.150000000000006"/>
    <n v="73.150000000000006"/>
    <n v="-4.2668692072460059"/>
    <n v="1486.0185064502073"/>
    <n v="0"/>
    <n v="1"/>
    <n v="0"/>
    <n v="0"/>
    <n v="0"/>
    <n v="0"/>
    <n v="0"/>
    <n v="0"/>
    <n v="0"/>
    <n v="0"/>
  </r>
  <r>
    <d v="2021-07-11T00:00:00"/>
    <n v="2021"/>
    <x v="20"/>
    <s v="R"/>
    <s v="RS"/>
    <x v="9"/>
    <s v="PHX"/>
    <s v="H"/>
    <n v="1"/>
    <n v="1"/>
    <n v="0"/>
    <n v="0"/>
    <n v="0"/>
    <n v="0"/>
    <n v="1668.5134544304726"/>
    <n v="1490.2853756574532"/>
    <n v="0.81898800867950217"/>
    <n v="82"/>
    <n v="75"/>
    <n v="0"/>
    <n v="7"/>
    <n v="1"/>
    <n v="0.32224608816559136"/>
    <n v="1"/>
    <n v="72.849999999999994"/>
    <n v="72.849999999999994"/>
    <n v="4.2493700854117762"/>
    <n v="1672.7628245158844"/>
    <n v="1"/>
    <n v="0"/>
    <n v="0"/>
    <n v="0"/>
    <n v="0"/>
    <n v="0"/>
    <n v="0"/>
    <n v="0"/>
    <n v="0"/>
    <n v="0"/>
  </r>
  <r>
    <d v="2021-08-12T00:00:00"/>
    <n v="2021"/>
    <x v="21"/>
    <s v="P"/>
    <n v="0.1"/>
    <x v="9"/>
    <s v="CON"/>
    <s v="N"/>
    <n v="31"/>
    <n v="31"/>
    <n v="0"/>
    <n v="0"/>
    <n v="0"/>
    <n v="0"/>
    <n v="1672.7628245158844"/>
    <n v="1607.0001756847269"/>
    <n v="0.59352580277079092"/>
    <n v="79"/>
    <n v="57"/>
    <n v="0"/>
    <n v="22"/>
    <n v="1"/>
    <n v="0.57077636652602703"/>
    <n v="1.02"/>
    <n v="72.7"/>
    <n v="74.154000000000011"/>
    <n v="17.204162941467988"/>
    <n v="1689.9669874573524"/>
    <n v="0"/>
    <n v="0"/>
    <n v="0"/>
    <n v="0"/>
    <n v="0"/>
    <n v="0"/>
    <n v="0"/>
    <n v="0"/>
    <n v="0"/>
    <n v="0"/>
  </r>
  <r>
    <d v="2021-08-12T00:00:00"/>
    <n v="2021"/>
    <x v="20"/>
    <s v="P"/>
    <n v="0.1"/>
    <x v="0"/>
    <s v="SEA"/>
    <s v="N"/>
    <n v="31"/>
    <n v="31"/>
    <n v="0"/>
    <n v="0"/>
    <n v="0"/>
    <n v="0"/>
    <n v="1607.0001756847269"/>
    <n v="1672.7628245158844"/>
    <n v="0.40647419722920913"/>
    <n v="57"/>
    <n v="79"/>
    <n v="0"/>
    <n v="-22"/>
    <n v="0"/>
    <n v="0.57077636652602703"/>
    <n v="1.02"/>
    <n v="72.849999999999994"/>
    <n v="74.307000000000002"/>
    <n v="-17.239659838871294"/>
    <n v="1589.7605158458555"/>
    <n v="0"/>
    <n v="0"/>
    <n v="0"/>
    <n v="0"/>
    <n v="0"/>
    <n v="0"/>
    <n v="0"/>
    <n v="0"/>
    <n v="0"/>
    <n v="0"/>
  </r>
  <r>
    <d v="2021-08-15T00:00:00"/>
    <n v="2021"/>
    <x v="22"/>
    <s v="R"/>
    <s v="RS"/>
    <x v="9"/>
    <s v="CHI"/>
    <s v="A"/>
    <n v="2"/>
    <n v="35"/>
    <n v="-33"/>
    <n v="33"/>
    <n v="-16"/>
    <n v="16"/>
    <n v="1689.9669874573524"/>
    <n v="1532.5811938042489"/>
    <n v="0.55927883899673481"/>
    <n v="85"/>
    <n v="87"/>
    <n v="1"/>
    <n v="-2"/>
    <n v="0"/>
    <n v="0.21310715629043159"/>
    <n v="1"/>
    <n v="72.55"/>
    <n v="72.55"/>
    <n v="-8.6469677301682015"/>
    <n v="1681.3200197271842"/>
    <n v="0"/>
    <n v="1"/>
    <n v="0"/>
    <n v="0"/>
    <n v="0"/>
    <n v="0"/>
    <n v="0"/>
    <n v="0"/>
    <n v="0"/>
    <n v="0"/>
  </r>
  <r>
    <d v="2021-08-15T00:00:00"/>
    <n v="2021"/>
    <x v="20"/>
    <s v="R"/>
    <s v="RS"/>
    <x v="10"/>
    <s v="SEA"/>
    <s v="H"/>
    <n v="35"/>
    <n v="2"/>
    <n v="33"/>
    <n v="-33"/>
    <n v="16"/>
    <n v="-16"/>
    <n v="1532.5811938042489"/>
    <n v="1689.9669874573524"/>
    <n v="0.44072116100326514"/>
    <n v="87"/>
    <n v="85"/>
    <n v="1"/>
    <n v="2"/>
    <n v="1"/>
    <n v="0.21310715629043159"/>
    <n v="1"/>
    <n v="72.849999999999994"/>
    <n v="72.849999999999994"/>
    <n v="8.6827236270538055"/>
    <n v="1541.2639174313026"/>
    <n v="1"/>
    <n v="0"/>
    <n v="0"/>
    <n v="0"/>
    <n v="0"/>
    <n v="0"/>
    <n v="0"/>
    <n v="0"/>
    <n v="0"/>
    <n v="0"/>
  </r>
  <r>
    <d v="2021-08-15T00:00:00"/>
    <n v="2021"/>
    <x v="21"/>
    <s v="R"/>
    <s v="RS"/>
    <x v="0"/>
    <s v="DAL"/>
    <s v="A"/>
    <n v="2"/>
    <n v="34"/>
    <n v="-32"/>
    <n v="32"/>
    <n v="-16"/>
    <n v="16"/>
    <n v="1589.7605158458555"/>
    <n v="1478.8763794244273"/>
    <n v="0.49263821253231366"/>
    <n v="80"/>
    <n v="59"/>
    <n v="0"/>
    <n v="21"/>
    <n v="1"/>
    <n v="0.53879021623755707"/>
    <n v="1"/>
    <n v="72.7"/>
    <n v="72.7"/>
    <n v="19.87338593401422"/>
    <n v="1609.6339017798698"/>
    <n v="1"/>
    <n v="0"/>
    <n v="0"/>
    <n v="0"/>
    <n v="0"/>
    <n v="0"/>
    <n v="0"/>
    <n v="0"/>
    <n v="0"/>
    <n v="0"/>
  </r>
  <r>
    <d v="2021-08-15T00:00:00"/>
    <n v="2021"/>
    <x v="21"/>
    <s v="R"/>
    <s v="RS"/>
    <x v="2"/>
    <s v="CON"/>
    <s v="H"/>
    <n v="34"/>
    <n v="2"/>
    <n v="32"/>
    <n v="-32"/>
    <n v="16"/>
    <n v="-16"/>
    <n v="1478.8763794244273"/>
    <n v="1589.7605158458555"/>
    <n v="0.50736178746768634"/>
    <n v="59"/>
    <n v="80"/>
    <n v="0"/>
    <n v="-21"/>
    <n v="0"/>
    <n v="0.53879021623755707"/>
    <n v="1"/>
    <n v="72.7"/>
    <n v="72.7"/>
    <n v="-19.87338593401422"/>
    <n v="1459.002993490413"/>
    <n v="0"/>
    <n v="1"/>
    <n v="0"/>
    <n v="0"/>
    <n v="0"/>
    <n v="0"/>
    <n v="0"/>
    <n v="0"/>
    <n v="0"/>
    <n v="0"/>
  </r>
  <r>
    <d v="2021-08-15T00:00:00"/>
    <n v="2021"/>
    <x v="20"/>
    <s v="R"/>
    <s v="RS"/>
    <x v="6"/>
    <s v="LAS"/>
    <s v="A"/>
    <n v="34"/>
    <n v="34"/>
    <n v="0"/>
    <n v="0"/>
    <n v="0"/>
    <n v="0"/>
    <n v="1347.6391986470044"/>
    <n v="1405.9983746585424"/>
    <n v="0.30587292917661224"/>
    <n v="70"/>
    <n v="75"/>
    <n v="0"/>
    <n v="-5"/>
    <n v="0"/>
    <n v="0.31637006201625772"/>
    <n v="1"/>
    <n v="72.849999999999994"/>
    <n v="72.849999999999994"/>
    <n v="-7.0496243871711384"/>
    <n v="1340.5895742598332"/>
    <n v="0"/>
    <n v="1"/>
    <n v="0"/>
    <n v="0"/>
    <n v="0"/>
    <n v="0"/>
    <n v="0"/>
    <n v="0"/>
    <n v="0"/>
    <n v="0"/>
  </r>
  <r>
    <d v="2021-08-15T00:00:00"/>
    <n v="2021"/>
    <x v="19"/>
    <s v="R"/>
    <s v="RS"/>
    <x v="3"/>
    <s v="IND"/>
    <s v="H"/>
    <n v="34"/>
    <n v="34"/>
    <n v="0"/>
    <n v="0"/>
    <n v="0"/>
    <n v="0"/>
    <n v="1405.9983746585424"/>
    <n v="1347.6391986470044"/>
    <n v="0.69412707082338776"/>
    <n v="75"/>
    <n v="70"/>
    <n v="0"/>
    <n v="5"/>
    <n v="1"/>
    <n v="0.31637006201625772"/>
    <n v="1"/>
    <n v="73"/>
    <n v="73"/>
    <n v="7.0641397428070425"/>
    <n v="1413.0625144013495"/>
    <n v="1"/>
    <n v="0"/>
    <n v="0"/>
    <n v="0"/>
    <n v="0"/>
    <n v="0"/>
    <n v="0"/>
    <n v="0"/>
    <n v="0"/>
    <n v="0"/>
  </r>
  <r>
    <d v="2021-08-15T00:00:00"/>
    <n v="2021"/>
    <x v="18"/>
    <s v="R"/>
    <s v="RS"/>
    <x v="11"/>
    <s v="LVA"/>
    <s v="A"/>
    <n v="35"/>
    <n v="34"/>
    <n v="1"/>
    <n v="-1"/>
    <n v="8"/>
    <n v="-8"/>
    <n v="1461.0468608736189"/>
    <n v="1635.1656489702414"/>
    <n v="0.19881011901026438"/>
    <n v="83"/>
    <n v="84"/>
    <n v="0"/>
    <n v="-1"/>
    <n v="0"/>
    <n v="0.21323891915066986"/>
    <n v="1"/>
    <n v="73.150000000000006"/>
    <n v="73.150000000000006"/>
    <n v="-3.1011251154935269"/>
    <n v="1457.9457357581255"/>
    <n v="0"/>
    <n v="1"/>
    <n v="0"/>
    <n v="0"/>
    <n v="0"/>
    <n v="0"/>
    <n v="0"/>
    <n v="0"/>
    <n v="0"/>
    <n v="0"/>
  </r>
  <r>
    <d v="2021-08-15T00:00:00"/>
    <n v="2021"/>
    <x v="21"/>
    <s v="R"/>
    <s v="RS"/>
    <x v="8"/>
    <s v="WAS"/>
    <s v="H"/>
    <n v="34"/>
    <n v="35"/>
    <n v="-1"/>
    <n v="1"/>
    <n v="-8"/>
    <n v="8"/>
    <n v="1635.1656489702414"/>
    <n v="1461.0468608736189"/>
    <n v="0.80118988098973565"/>
    <n v="84"/>
    <n v="83"/>
    <n v="0"/>
    <n v="1"/>
    <n v="1"/>
    <n v="0.21323891915066986"/>
    <n v="1"/>
    <n v="72.7"/>
    <n v="72.7"/>
    <n v="3.082047790791242"/>
    <n v="1638.2476967610326"/>
    <n v="1"/>
    <n v="0"/>
    <n v="0"/>
    <n v="0"/>
    <n v="0"/>
    <n v="0"/>
    <n v="0"/>
    <n v="0"/>
    <n v="0"/>
    <n v="0"/>
  </r>
  <r>
    <d v="2021-08-15T00:00:00"/>
    <n v="2021"/>
    <x v="21"/>
    <s v="R"/>
    <s v="RS"/>
    <x v="7"/>
    <s v="MIN"/>
    <s v="A"/>
    <n v="34"/>
    <n v="34"/>
    <n v="0"/>
    <n v="0"/>
    <n v="0"/>
    <n v="0"/>
    <n v="1401.7987612158724"/>
    <n v="1597.6979750354521"/>
    <n v="0.16641799845430869"/>
    <n v="78"/>
    <n v="88"/>
    <n v="0"/>
    <n v="-10"/>
    <n v="0"/>
    <n v="0.36374806588605779"/>
    <n v="1"/>
    <n v="72.7"/>
    <n v="72.7"/>
    <n v="-4.4008381623260986"/>
    <n v="1397.3979230535463"/>
    <n v="0"/>
    <n v="1"/>
    <n v="0"/>
    <n v="0"/>
    <n v="0"/>
    <n v="0"/>
    <n v="0"/>
    <n v="0"/>
    <n v="0"/>
    <n v="0"/>
  </r>
  <r>
    <d v="2021-08-15T00:00:00"/>
    <n v="2021"/>
    <x v="19"/>
    <s v="R"/>
    <s v="RS"/>
    <x v="5"/>
    <s v="NYL"/>
    <s v="H"/>
    <n v="34"/>
    <n v="34"/>
    <n v="0"/>
    <n v="0"/>
    <n v="0"/>
    <n v="0"/>
    <n v="1597.6979750354521"/>
    <n v="1401.7987612158724"/>
    <n v="0.83358200154569129"/>
    <n v="88"/>
    <n v="78"/>
    <n v="0"/>
    <n v="10"/>
    <n v="1"/>
    <n v="0.36374806588605779"/>
    <n v="1"/>
    <n v="73"/>
    <n v="73"/>
    <n v="4.4189984298460141"/>
    <n v="1602.1169734652981"/>
    <n v="1"/>
    <n v="0"/>
    <n v="0"/>
    <n v="0"/>
    <n v="0"/>
    <n v="0"/>
    <n v="0"/>
    <n v="0"/>
    <n v="0"/>
    <n v="0"/>
  </r>
  <r>
    <d v="2021-08-15T00:00:00"/>
    <n v="2021"/>
    <x v="19"/>
    <s v="R"/>
    <s v="RS"/>
    <x v="1"/>
    <s v="PHX"/>
    <s v="A"/>
    <n v="34"/>
    <n v="34"/>
    <n v="0"/>
    <n v="0"/>
    <n v="0"/>
    <n v="0"/>
    <n v="1373.5629639742479"/>
    <n v="1486.0185064502073"/>
    <n v="0.24399707478791052"/>
    <n v="81"/>
    <n v="92"/>
    <n v="0"/>
    <n v="-11"/>
    <n v="0"/>
    <n v="0.40214936599943962"/>
    <n v="1"/>
    <n v="73"/>
    <n v="73"/>
    <n v="-7.1629986320123527"/>
    <n v="1366.3999653422354"/>
    <n v="0"/>
    <n v="1"/>
    <n v="0"/>
    <n v="0"/>
    <n v="0"/>
    <n v="0"/>
    <n v="0"/>
    <n v="0"/>
    <n v="0"/>
    <n v="0"/>
  </r>
  <r>
    <d v="2021-08-15T00:00:00"/>
    <n v="2021"/>
    <x v="19"/>
    <s v="R"/>
    <s v="RS"/>
    <x v="4"/>
    <s v="ATL"/>
    <s v="H"/>
    <n v="34"/>
    <n v="34"/>
    <n v="0"/>
    <n v="0"/>
    <n v="0"/>
    <n v="0"/>
    <n v="1486.0185064502073"/>
    <n v="1373.5629639742479"/>
    <n v="0.75600292521208945"/>
    <n v="92"/>
    <n v="81"/>
    <n v="0"/>
    <n v="11"/>
    <n v="1"/>
    <n v="0.40214936599943962"/>
    <n v="1"/>
    <n v="73"/>
    <n v="73"/>
    <n v="7.1629986320123535"/>
    <n v="1493.1815050822197"/>
    <n v="1"/>
    <n v="0"/>
    <n v="0"/>
    <n v="0"/>
    <n v="0"/>
    <n v="0"/>
    <n v="0"/>
    <n v="0"/>
    <n v="0"/>
    <n v="0"/>
  </r>
  <r>
    <d v="2021-08-17T00:00:00"/>
    <n v="2021"/>
    <x v="22"/>
    <s v="R"/>
    <s v="RS"/>
    <x v="2"/>
    <s v="CHI"/>
    <s v="A"/>
    <n v="1"/>
    <n v="1"/>
    <n v="0"/>
    <n v="0"/>
    <n v="0"/>
    <n v="0"/>
    <n v="1459.002993490413"/>
    <n v="1541.2639174313026"/>
    <n v="0.27746424822346871"/>
    <n v="80"/>
    <n v="76"/>
    <n v="0"/>
    <n v="4"/>
    <n v="1"/>
    <n v="0.29145338121672587"/>
    <n v="1"/>
    <n v="72.55"/>
    <n v="72.55"/>
    <n v="15.277977147525089"/>
    <n v="1474.280970637938"/>
    <n v="1"/>
    <n v="0"/>
    <n v="0"/>
    <n v="0"/>
    <n v="0"/>
    <n v="0"/>
    <n v="0"/>
    <n v="0"/>
    <n v="0"/>
    <n v="0"/>
  </r>
  <r>
    <d v="2021-08-17T00:00:00"/>
    <n v="2021"/>
    <x v="21"/>
    <s v="R"/>
    <s v="RS"/>
    <x v="10"/>
    <s v="DAL"/>
    <s v="H"/>
    <n v="1"/>
    <n v="1"/>
    <n v="0"/>
    <n v="0"/>
    <n v="0"/>
    <n v="0"/>
    <n v="1541.2639174313026"/>
    <n v="1459.002993490413"/>
    <n v="0.72253575177653129"/>
    <n v="76"/>
    <n v="80"/>
    <n v="0"/>
    <n v="-4"/>
    <n v="0"/>
    <n v="0.29145338121672587"/>
    <n v="1"/>
    <n v="72.7"/>
    <n v="72.7"/>
    <n v="-15.309564970710875"/>
    <n v="1525.9543524605917"/>
    <n v="0"/>
    <n v="1"/>
    <n v="0"/>
    <n v="0"/>
    <n v="0"/>
    <n v="0"/>
    <n v="0"/>
    <n v="0"/>
    <n v="0"/>
    <n v="0"/>
  </r>
  <r>
    <d v="2021-08-17T00:00:00"/>
    <n v="2021"/>
    <x v="20"/>
    <s v="R"/>
    <s v="RS"/>
    <x v="5"/>
    <s v="CON"/>
    <s v="A"/>
    <n v="1"/>
    <n v="1"/>
    <n v="0"/>
    <n v="0"/>
    <n v="0"/>
    <n v="0"/>
    <n v="1602.1169734652981"/>
    <n v="1609.6339017798698"/>
    <n v="0.37126032766003247"/>
    <n v="60"/>
    <n v="72"/>
    <n v="0"/>
    <n v="-12"/>
    <n v="0"/>
    <n v="0.45328998613364091"/>
    <n v="1"/>
    <n v="72.849999999999994"/>
    <n v="72.849999999999994"/>
    <n v="-12.25982369240351"/>
    <n v="1589.8571497728947"/>
    <n v="0"/>
    <n v="1"/>
    <n v="0"/>
    <n v="0"/>
    <n v="0"/>
    <n v="0"/>
    <n v="0"/>
    <n v="0"/>
    <n v="0"/>
    <n v="0"/>
  </r>
  <r>
    <d v="2021-08-17T00:00:00"/>
    <n v="2021"/>
    <x v="22"/>
    <s v="R"/>
    <s v="RS"/>
    <x v="0"/>
    <s v="MIN"/>
    <s v="H"/>
    <n v="1"/>
    <n v="1"/>
    <n v="0"/>
    <n v="0"/>
    <n v="0"/>
    <n v="0"/>
    <n v="1609.6339017798698"/>
    <n v="1602.1169734652981"/>
    <n v="0.62873967233996764"/>
    <n v="72"/>
    <n v="60"/>
    <n v="0"/>
    <n v="12"/>
    <n v="1"/>
    <n v="0.45328998613364091"/>
    <n v="1"/>
    <n v="72.55"/>
    <n v="72.55"/>
    <n v="12.20933711577041"/>
    <n v="1621.8432388956403"/>
    <n v="1"/>
    <n v="0"/>
    <n v="0"/>
    <n v="0"/>
    <n v="0"/>
    <n v="0"/>
    <n v="0"/>
    <n v="0"/>
    <n v="0"/>
    <n v="0"/>
  </r>
  <r>
    <d v="2021-08-17T00:00:00"/>
    <n v="2021"/>
    <x v="20"/>
    <s v="R"/>
    <s v="RS"/>
    <x v="1"/>
    <s v="LAS"/>
    <s v="A"/>
    <n v="1"/>
    <n v="1"/>
    <n v="0"/>
    <n v="0"/>
    <n v="0"/>
    <n v="0"/>
    <n v="1366.3999653422354"/>
    <n v="1413.0625144013495"/>
    <n v="0.32035211575619887"/>
    <n v="80"/>
    <n v="85"/>
    <n v="1"/>
    <n v="-5"/>
    <n v="0"/>
    <n v="0.28740452159131791"/>
    <n v="1"/>
    <n v="72.849999999999994"/>
    <n v="72.849999999999994"/>
    <n v="-6.7073466026009561"/>
    <n v="1359.6926187396346"/>
    <n v="0"/>
    <n v="1"/>
    <n v="0"/>
    <n v="0"/>
    <n v="0"/>
    <n v="0"/>
    <n v="0"/>
    <n v="0"/>
    <n v="0"/>
    <n v="0"/>
  </r>
  <r>
    <d v="2021-08-17T00:00:00"/>
    <n v="2021"/>
    <x v="20"/>
    <s v="R"/>
    <s v="RS"/>
    <x v="3"/>
    <s v="ATL"/>
    <s v="H"/>
    <n v="1"/>
    <n v="1"/>
    <n v="0"/>
    <n v="0"/>
    <n v="0"/>
    <n v="0"/>
    <n v="1413.0625144013495"/>
    <n v="1366.3999653422354"/>
    <n v="0.67964788424380107"/>
    <n v="85"/>
    <n v="80"/>
    <n v="1"/>
    <n v="5"/>
    <n v="1"/>
    <n v="0.28740452159131791"/>
    <n v="1"/>
    <n v="72.849999999999994"/>
    <n v="72.849999999999994"/>
    <n v="6.7073466026009578"/>
    <n v="1419.7698610039504"/>
    <n v="1"/>
    <n v="0"/>
    <n v="0"/>
    <n v="0"/>
    <n v="0"/>
    <n v="0"/>
    <n v="0"/>
    <n v="0"/>
    <n v="0"/>
    <n v="0"/>
  </r>
  <r>
    <d v="2021-08-17T00:00:00"/>
    <n v="2021"/>
    <x v="19"/>
    <s v="R"/>
    <s v="RS"/>
    <x v="11"/>
    <s v="LVA"/>
    <s v="A"/>
    <n v="1"/>
    <n v="1"/>
    <n v="0"/>
    <n v="0"/>
    <n v="0"/>
    <n v="0"/>
    <n v="1457.9457357581255"/>
    <n v="1638.2476967610326"/>
    <n v="0.17924892430433001"/>
    <n v="83"/>
    <n v="93"/>
    <n v="0"/>
    <n v="-10"/>
    <n v="0"/>
    <n v="0.36785837703933488"/>
    <n v="1"/>
    <n v="73"/>
    <n v="73"/>
    <n v="-4.813489941786532"/>
    <n v="1453.132245816339"/>
    <n v="0"/>
    <n v="1"/>
    <n v="0"/>
    <n v="0"/>
    <n v="0"/>
    <n v="0"/>
    <n v="0"/>
    <n v="0"/>
    <n v="0"/>
    <n v="0"/>
  </r>
  <r>
    <d v="2021-08-17T00:00:00"/>
    <n v="2021"/>
    <x v="22"/>
    <s v="R"/>
    <s v="RS"/>
    <x v="8"/>
    <s v="WAS"/>
    <s v="H"/>
    <n v="1"/>
    <n v="1"/>
    <n v="0"/>
    <n v="0"/>
    <n v="0"/>
    <n v="0"/>
    <n v="1638.2476967610326"/>
    <n v="1457.9457357581255"/>
    <n v="0.82075107569567007"/>
    <n v="93"/>
    <n v="83"/>
    <n v="0"/>
    <n v="10"/>
    <n v="1"/>
    <n v="0.36785837703933488"/>
    <n v="1"/>
    <n v="72.55"/>
    <n v="72.55"/>
    <n v="4.7838177435152431"/>
    <n v="1643.0315145045479"/>
    <n v="1"/>
    <n v="0"/>
    <n v="0"/>
    <n v="0"/>
    <n v="0"/>
    <n v="0"/>
    <n v="0"/>
    <n v="0"/>
    <n v="0"/>
    <n v="0"/>
  </r>
  <r>
    <d v="2021-08-17T00:00:00"/>
    <n v="2021"/>
    <x v="21"/>
    <s v="R"/>
    <s v="RS"/>
    <x v="6"/>
    <s v="PHX"/>
    <s v="A"/>
    <n v="1"/>
    <n v="1"/>
    <n v="0"/>
    <n v="0"/>
    <n v="0"/>
    <n v="0"/>
    <n v="1340.5895742598332"/>
    <n v="1493.1815050822197"/>
    <n v="0.20392637838658584"/>
    <n v="80"/>
    <n v="84"/>
    <n v="0"/>
    <n v="-4"/>
    <n v="0"/>
    <n v="0.27629861850309201"/>
    <n v="1"/>
    <n v="72.7"/>
    <n v="72.7"/>
    <n v="-4.0962507206049645"/>
    <n v="1336.4933235392282"/>
    <n v="0"/>
    <n v="1"/>
    <n v="0"/>
    <n v="0"/>
    <n v="0"/>
    <n v="0"/>
    <n v="0"/>
    <n v="0"/>
    <n v="0"/>
    <n v="0"/>
  </r>
  <r>
    <d v="2021-08-17T00:00:00"/>
    <n v="2021"/>
    <x v="20"/>
    <s v="R"/>
    <s v="RS"/>
    <x v="4"/>
    <s v="IND"/>
    <s v="H"/>
    <n v="1"/>
    <n v="1"/>
    <n v="0"/>
    <n v="0"/>
    <n v="0"/>
    <n v="0"/>
    <n v="1493.1815050822197"/>
    <n v="1340.5895742598332"/>
    <n v="0.79607362161341411"/>
    <n v="84"/>
    <n v="80"/>
    <n v="0"/>
    <n v="4"/>
    <n v="1"/>
    <n v="0.27629861850309201"/>
    <n v="1"/>
    <n v="72.849999999999994"/>
    <n v="72.849999999999994"/>
    <n v="4.1047024070986478"/>
    <n v="1497.2862074893183"/>
    <n v="1"/>
    <n v="0"/>
    <n v="0"/>
    <n v="0"/>
    <n v="0"/>
    <n v="0"/>
    <n v="0"/>
    <n v="0"/>
    <n v="0"/>
    <n v="0"/>
  </r>
  <r>
    <d v="2021-08-18T00:00:00"/>
    <n v="2021"/>
    <x v="23"/>
    <s v="R"/>
    <s v="RS"/>
    <x v="9"/>
    <s v="NYL"/>
    <s v="A"/>
    <n v="2"/>
    <n v="2"/>
    <n v="0"/>
    <n v="0"/>
    <n v="0"/>
    <n v="0"/>
    <n v="1681.3200197271842"/>
    <n v="1397.3979230535463"/>
    <n v="0.75966506128594991"/>
    <n v="79"/>
    <n v="83"/>
    <n v="0"/>
    <n v="-4"/>
    <n v="0"/>
    <n v="0.25184562095435126"/>
    <n v="1"/>
    <n v="72.400000000000006"/>
    <n v="72.400000000000006"/>
    <n v="-13.851446301166501"/>
    <n v="1667.4685734260177"/>
    <n v="0"/>
    <n v="1"/>
    <n v="0"/>
    <n v="0"/>
    <n v="0"/>
    <n v="0"/>
    <n v="0"/>
    <n v="0"/>
    <n v="0"/>
    <n v="0"/>
  </r>
  <r>
    <d v="2021-08-18T00:00:00"/>
    <n v="2021"/>
    <x v="22"/>
    <s v="R"/>
    <s v="RS"/>
    <x v="7"/>
    <s v="SEA"/>
    <s v="H"/>
    <n v="2"/>
    <n v="2"/>
    <n v="0"/>
    <n v="0"/>
    <n v="0"/>
    <n v="0"/>
    <n v="1397.3979230535463"/>
    <n v="1681.3200197271842"/>
    <n v="0.24033493871405009"/>
    <n v="83"/>
    <n v="79"/>
    <n v="0"/>
    <n v="4"/>
    <n v="1"/>
    <n v="0.25184562095435126"/>
    <n v="1"/>
    <n v="72.55"/>
    <n v="72.55"/>
    <n v="13.880144049028031"/>
    <n v="1411.2780671025744"/>
    <n v="1"/>
    <n v="0"/>
    <n v="0"/>
    <n v="0"/>
    <n v="0"/>
    <n v="0"/>
    <n v="0"/>
    <n v="0"/>
    <n v="0"/>
    <n v="0"/>
  </r>
  <r>
    <d v="2021-08-19T00:00:00"/>
    <n v="2021"/>
    <x v="21"/>
    <s v="R"/>
    <s v="RS"/>
    <x v="5"/>
    <s v="CON"/>
    <s v="A"/>
    <n v="1"/>
    <n v="1"/>
    <n v="0"/>
    <n v="0"/>
    <n v="0"/>
    <n v="0"/>
    <n v="1589.8571497728947"/>
    <n v="1621.8432388956403"/>
    <n v="0.33901885268253673"/>
    <n v="71"/>
    <n v="82"/>
    <n v="0"/>
    <n v="-11"/>
    <n v="0"/>
    <n v="0.42841649671952703"/>
    <n v="1"/>
    <n v="72.7"/>
    <n v="72.7"/>
    <n v="-10.559040269976748"/>
    <n v="1579.2981095029179"/>
    <n v="0"/>
    <n v="1"/>
    <n v="0"/>
    <n v="0"/>
    <n v="0"/>
    <n v="0"/>
    <n v="0"/>
    <n v="0"/>
    <n v="0"/>
    <n v="0"/>
  </r>
  <r>
    <d v="2021-08-19T00:00:00"/>
    <n v="2021"/>
    <x v="23"/>
    <s v="R"/>
    <s v="RS"/>
    <x v="0"/>
    <s v="MIN"/>
    <s v="H"/>
    <n v="1"/>
    <n v="1"/>
    <n v="0"/>
    <n v="0"/>
    <n v="0"/>
    <n v="0"/>
    <n v="1621.8432388956403"/>
    <n v="1589.8571497728947"/>
    <n v="0.66098114731746327"/>
    <n v="82"/>
    <n v="71"/>
    <n v="0"/>
    <n v="11"/>
    <n v="1"/>
    <n v="0.42841649671952703"/>
    <n v="1"/>
    <n v="72.400000000000006"/>
    <n v="72.400000000000006"/>
    <n v="10.515467889220309"/>
    <n v="1632.3587067848607"/>
    <n v="1"/>
    <n v="0"/>
    <n v="0"/>
    <n v="0"/>
    <n v="0"/>
    <n v="0"/>
    <n v="0"/>
    <n v="0"/>
    <n v="0"/>
    <n v="0"/>
  </r>
  <r>
    <d v="2021-08-19T00:00:00"/>
    <n v="2021"/>
    <x v="21"/>
    <s v="R"/>
    <s v="RS"/>
    <x v="1"/>
    <s v="LAS"/>
    <s v="A"/>
    <n v="1"/>
    <n v="1"/>
    <n v="0"/>
    <n v="0"/>
    <n v="0"/>
    <n v="0"/>
    <n v="1359.6926187396346"/>
    <n v="1419.7698610039504"/>
    <n v="0.30377718104706763"/>
    <n v="64"/>
    <n v="66"/>
    <n v="0"/>
    <n v="-2"/>
    <n v="0"/>
    <n v="0.25507133546356392"/>
    <n v="1"/>
    <n v="72.7"/>
    <n v="72.7"/>
    <n v="-5.6331486860954545"/>
    <n v="1354.0594700535391"/>
    <n v="0"/>
    <n v="1"/>
    <n v="0"/>
    <n v="0"/>
    <n v="0"/>
    <n v="0"/>
    <n v="0"/>
    <n v="0"/>
    <n v="0"/>
    <n v="0"/>
  </r>
  <r>
    <d v="2021-08-19T00:00:00"/>
    <n v="2021"/>
    <x v="21"/>
    <s v="R"/>
    <s v="RS"/>
    <x v="3"/>
    <s v="ATL"/>
    <s v="H"/>
    <n v="1"/>
    <n v="1"/>
    <n v="0"/>
    <n v="0"/>
    <n v="0"/>
    <n v="0"/>
    <n v="1419.7698610039504"/>
    <n v="1359.6926187396346"/>
    <n v="0.69622281895293237"/>
    <n v="66"/>
    <n v="64"/>
    <n v="0"/>
    <n v="2"/>
    <n v="1"/>
    <n v="0.25507133546356392"/>
    <n v="1"/>
    <n v="72.7"/>
    <n v="72.7"/>
    <n v="5.6331486860954545"/>
    <n v="1425.4030096900458"/>
    <n v="1"/>
    <n v="0"/>
    <n v="0"/>
    <n v="0"/>
    <n v="0"/>
    <n v="0"/>
    <n v="0"/>
    <n v="0"/>
    <n v="0"/>
    <n v="0"/>
  </r>
  <r>
    <d v="2021-08-19T00:00:00"/>
    <n v="2021"/>
    <x v="20"/>
    <s v="R"/>
    <s v="RS"/>
    <x v="11"/>
    <s v="PHX"/>
    <s v="A"/>
    <n v="1"/>
    <n v="1"/>
    <n v="0"/>
    <n v="0"/>
    <n v="0"/>
    <n v="0"/>
    <n v="1453.132245816339"/>
    <n v="1497.2862074893183"/>
    <n v="0.32350433960829367"/>
    <n v="64"/>
    <n v="77"/>
    <n v="0"/>
    <n v="-13"/>
    <n v="0"/>
    <n v="0.45529132585427629"/>
    <n v="1"/>
    <n v="72.849999999999994"/>
    <n v="72.849999999999994"/>
    <n v="-10.729983230135682"/>
    <n v="1442.4022625862033"/>
    <n v="0"/>
    <n v="1"/>
    <n v="0"/>
    <n v="0"/>
    <n v="0"/>
    <n v="0"/>
    <n v="0"/>
    <n v="0"/>
    <n v="0"/>
    <n v="0"/>
  </r>
  <r>
    <d v="2021-08-19T00:00:00"/>
    <n v="2021"/>
    <x v="21"/>
    <s v="R"/>
    <s v="RS"/>
    <x v="4"/>
    <s v="WAS"/>
    <s v="H"/>
    <n v="1"/>
    <n v="1"/>
    <n v="0"/>
    <n v="0"/>
    <n v="0"/>
    <n v="0"/>
    <n v="1497.2862074893183"/>
    <n v="1453.132245816339"/>
    <n v="0.67649566039170639"/>
    <n v="77"/>
    <n v="64"/>
    <n v="0"/>
    <n v="13"/>
    <n v="1"/>
    <n v="0.45529132585427629"/>
    <n v="1"/>
    <n v="72.7"/>
    <n v="72.7"/>
    <n v="10.7078899221807"/>
    <n v="1507.9940974114991"/>
    <n v="1"/>
    <n v="0"/>
    <n v="0"/>
    <n v="0"/>
    <n v="0"/>
    <n v="0"/>
    <n v="0"/>
    <n v="0"/>
    <n v="0"/>
    <n v="0"/>
  </r>
  <r>
    <d v="2021-08-20T00:00:00"/>
    <n v="2021"/>
    <x v="22"/>
    <s v="R"/>
    <s v="RS"/>
    <x v="6"/>
    <s v="DAL"/>
    <s v="A"/>
    <n v="2"/>
    <n v="2"/>
    <n v="0"/>
    <n v="0"/>
    <n v="0"/>
    <n v="0"/>
    <n v="1336.4933235392282"/>
    <n v="1474.280970637938"/>
    <n v="0.21811037824614452"/>
    <n v="83"/>
    <n v="81"/>
    <n v="0"/>
    <n v="2"/>
    <n v="1"/>
    <n v="0.24025456182724667"/>
    <n v="1"/>
    <n v="72.55"/>
    <n v="72.55"/>
    <n v="13.628702391625039"/>
    <n v="1350.1220259308532"/>
    <n v="1"/>
    <n v="0"/>
    <n v="0"/>
    <n v="0"/>
    <n v="0"/>
    <n v="0"/>
    <n v="0"/>
    <n v="0"/>
    <n v="0"/>
    <n v="0"/>
  </r>
  <r>
    <d v="2021-08-20T00:00:00"/>
    <n v="2021"/>
    <x v="23"/>
    <s v="R"/>
    <s v="RS"/>
    <x v="2"/>
    <s v="IND"/>
    <s v="H"/>
    <n v="2"/>
    <n v="2"/>
    <n v="0"/>
    <n v="0"/>
    <n v="0"/>
    <n v="0"/>
    <n v="1474.280970637938"/>
    <n v="1336.4933235392282"/>
    <n v="0.78188962175385546"/>
    <n v="81"/>
    <n v="83"/>
    <n v="0"/>
    <n v="-2"/>
    <n v="0"/>
    <n v="0.24025456182724667"/>
    <n v="1"/>
    <n v="72.400000000000006"/>
    <n v="72.400000000000006"/>
    <n v="-13.60052450935428"/>
    <n v="1460.6804461285838"/>
    <n v="0"/>
    <n v="1"/>
    <n v="0"/>
    <n v="0"/>
    <n v="0"/>
    <n v="0"/>
    <n v="0"/>
    <n v="0"/>
    <n v="0"/>
    <n v="0"/>
  </r>
  <r>
    <d v="2021-08-20T00:00:00"/>
    <n v="2021"/>
    <x v="24"/>
    <s v="R"/>
    <s v="RS"/>
    <x v="9"/>
    <s v="NYL"/>
    <s v="A"/>
    <n v="1"/>
    <n v="1"/>
    <n v="0"/>
    <n v="0"/>
    <n v="0"/>
    <n v="0"/>
    <n v="1667.4685734260177"/>
    <n v="1411.2780671025744"/>
    <n v="0.72932650483181072"/>
    <n v="99"/>
    <n v="83"/>
    <n v="0"/>
    <n v="16"/>
    <n v="1"/>
    <n v="0.42669090070146626"/>
    <n v="1"/>
    <n v="72.25"/>
    <n v="72.25"/>
    <n v="8.3444355357139965"/>
    <n v="1675.8130089617316"/>
    <n v="1"/>
    <n v="0"/>
    <n v="0"/>
    <n v="0"/>
    <n v="0"/>
    <n v="0"/>
    <n v="0"/>
    <n v="0"/>
    <n v="0"/>
    <n v="0"/>
  </r>
  <r>
    <d v="2021-08-20T00:00:00"/>
    <n v="2021"/>
    <x v="23"/>
    <s v="R"/>
    <s v="RS"/>
    <x v="7"/>
    <s v="SEA"/>
    <s v="H"/>
    <n v="1"/>
    <n v="1"/>
    <n v="0"/>
    <n v="0"/>
    <n v="0"/>
    <n v="0"/>
    <n v="1411.2780671025744"/>
    <n v="1667.4685734260177"/>
    <n v="0.27067349516818923"/>
    <n v="83"/>
    <n v="99"/>
    <n v="0"/>
    <n v="-16"/>
    <n v="0"/>
    <n v="0.42669090070146626"/>
    <n v="1"/>
    <n v="72.400000000000006"/>
    <n v="72.400000000000006"/>
    <n v="-8.3617596233313947"/>
    <n v="1402.916307479243"/>
    <n v="0"/>
    <n v="1"/>
    <n v="0"/>
    <n v="0"/>
    <n v="0"/>
    <n v="0"/>
    <n v="0"/>
    <n v="0"/>
    <n v="0"/>
    <n v="0"/>
  </r>
  <r>
    <d v="2021-08-21T00:00:00"/>
    <n v="2021"/>
    <x v="22"/>
    <s v="R"/>
    <s v="RS"/>
    <x v="4"/>
    <s v="ATL"/>
    <s v="A"/>
    <n v="1"/>
    <n v="1"/>
    <n v="0"/>
    <n v="0"/>
    <n v="0"/>
    <n v="0"/>
    <n v="1507.9940974114991"/>
    <n v="1354.0594700535391"/>
    <n v="0.59930643242567272"/>
    <n v="84"/>
    <n v="69"/>
    <n v="0"/>
    <n v="15"/>
    <n v="1"/>
    <n v="0.44567708178940135"/>
    <n v="1"/>
    <n v="72.55"/>
    <n v="72.55"/>
    <n v="12.955974638896924"/>
    <n v="1520.9500720503961"/>
    <n v="1"/>
    <n v="0"/>
    <n v="0"/>
    <n v="0"/>
    <n v="0"/>
    <n v="0"/>
    <n v="0"/>
    <n v="0"/>
    <n v="0"/>
    <n v="0"/>
  </r>
  <r>
    <d v="2021-08-21T00:00:00"/>
    <n v="2021"/>
    <x v="22"/>
    <s v="R"/>
    <s v="RS"/>
    <x v="1"/>
    <s v="PHX"/>
    <s v="H"/>
    <n v="1"/>
    <n v="1"/>
    <n v="0"/>
    <n v="0"/>
    <n v="0"/>
    <n v="0"/>
    <n v="1354.0594700535391"/>
    <n v="1507.9940974114991"/>
    <n v="0.40069356757432723"/>
    <n v="69"/>
    <n v="84"/>
    <n v="0"/>
    <n v="-15"/>
    <n v="0"/>
    <n v="0.44567708178940135"/>
    <n v="1"/>
    <n v="72.55"/>
    <n v="72.55"/>
    <n v="-12.955974638896922"/>
    <n v="1341.1034954146421"/>
    <n v="0"/>
    <n v="1"/>
    <n v="0"/>
    <n v="0"/>
    <n v="0"/>
    <n v="0"/>
    <n v="0"/>
    <n v="0"/>
    <n v="0"/>
    <n v="0"/>
  </r>
  <r>
    <d v="2021-08-21T00:00:00"/>
    <n v="2021"/>
    <x v="22"/>
    <s v="R"/>
    <s v="RS"/>
    <x v="5"/>
    <s v="CHI"/>
    <s v="A"/>
    <n v="1"/>
    <n v="3"/>
    <n v="-2"/>
    <n v="2"/>
    <n v="-16"/>
    <n v="16"/>
    <n v="1579.2981095029179"/>
    <n v="1525.9543524605917"/>
    <n v="0.41079537189455373"/>
    <n v="101"/>
    <n v="95"/>
    <n v="0"/>
    <n v="6"/>
    <n v="1"/>
    <n v="0.33632984641336067"/>
    <n v="1"/>
    <n v="72.55"/>
    <n v="72.55"/>
    <n v="14.377023255667924"/>
    <n v="1593.6751327585857"/>
    <n v="1"/>
    <n v="0"/>
    <n v="0"/>
    <n v="0"/>
    <n v="0"/>
    <n v="0"/>
    <n v="0"/>
    <n v="0"/>
    <n v="0"/>
    <n v="0"/>
  </r>
  <r>
    <d v="2021-08-21T00:00:00"/>
    <n v="2021"/>
    <x v="22"/>
    <s v="R"/>
    <s v="RS"/>
    <x v="10"/>
    <s v="MIN"/>
    <s v="H"/>
    <n v="3"/>
    <n v="1"/>
    <n v="2"/>
    <n v="-2"/>
    <n v="16"/>
    <n v="-16"/>
    <n v="1525.9543524605917"/>
    <n v="1579.2981095029179"/>
    <n v="0.58920462810544627"/>
    <n v="95"/>
    <n v="101"/>
    <n v="0"/>
    <n v="-6"/>
    <n v="0"/>
    <n v="0.33632984641336067"/>
    <n v="1"/>
    <n v="72.55"/>
    <n v="72.55"/>
    <n v="-14.377023255667924"/>
    <n v="1511.5773292049239"/>
    <n v="0"/>
    <n v="1"/>
    <n v="0"/>
    <n v="0"/>
    <n v="0"/>
    <n v="0"/>
    <n v="0"/>
    <n v="0"/>
    <n v="0"/>
    <n v="0"/>
  </r>
  <r>
    <d v="2021-08-22T00:00:00"/>
    <n v="2021"/>
    <x v="22"/>
    <s v="R"/>
    <s v="RS"/>
    <x v="3"/>
    <s v="NYL"/>
    <s v="A"/>
    <n v="2"/>
    <n v="1"/>
    <n v="1"/>
    <n v="-1"/>
    <n v="8"/>
    <n v="-8"/>
    <n v="1425.4030096900458"/>
    <n v="1402.916307479243"/>
    <n v="0.43487320831809329"/>
    <n v="86"/>
    <n v="83"/>
    <n v="0"/>
    <n v="3"/>
    <n v="1"/>
    <n v="0.28484581851787155"/>
    <n v="1"/>
    <n v="72.55"/>
    <n v="72.55"/>
    <n v="11.678663957045476"/>
    <n v="1437.0816736470913"/>
    <n v="1"/>
    <n v="0"/>
    <n v="0"/>
    <n v="0"/>
    <n v="0"/>
    <n v="0"/>
    <n v="0"/>
    <n v="0"/>
    <n v="0"/>
    <n v="0"/>
  </r>
  <r>
    <d v="2021-08-22T00:00:00"/>
    <n v="2021"/>
    <x v="24"/>
    <s v="R"/>
    <s v="RS"/>
    <x v="7"/>
    <s v="LAS"/>
    <s v="H"/>
    <n v="1"/>
    <n v="2"/>
    <n v="-1"/>
    <n v="1"/>
    <n v="-8"/>
    <n v="8"/>
    <n v="1402.916307479243"/>
    <n v="1425.4030096900458"/>
    <n v="0.56512679168190671"/>
    <n v="83"/>
    <n v="86"/>
    <n v="0"/>
    <n v="-3"/>
    <n v="0"/>
    <n v="0.28484581851787155"/>
    <n v="1"/>
    <n v="72.25"/>
    <n v="72.25"/>
    <n v="-11.630371755982575"/>
    <n v="1391.2859357232603"/>
    <n v="0"/>
    <n v="1"/>
    <n v="0"/>
    <n v="0"/>
    <n v="0"/>
    <n v="0"/>
    <n v="0"/>
    <n v="0"/>
    <n v="0"/>
    <n v="0"/>
  </r>
  <r>
    <d v="2021-08-22T00:00:00"/>
    <n v="2021"/>
    <x v="25"/>
    <s v="R"/>
    <s v="RS"/>
    <x v="9"/>
    <s v="WAS"/>
    <s v="A"/>
    <n v="1"/>
    <n v="2"/>
    <n v="-1"/>
    <n v="1"/>
    <n v="-8"/>
    <n v="8"/>
    <n v="1675.8130089617316"/>
    <n v="1442.4022625862033"/>
    <n v="0.6830824641416462"/>
    <n v="85"/>
    <n v="78"/>
    <n v="0"/>
    <n v="7"/>
    <n v="1"/>
    <n v="0.30984043346095447"/>
    <n v="1"/>
    <n v="72.099999999999994"/>
    <n v="72.099999999999994"/>
    <n v="7.0797777877527261"/>
    <n v="1682.8927867494842"/>
    <n v="1"/>
    <n v="0"/>
    <n v="0"/>
    <n v="0"/>
    <n v="0"/>
    <n v="0"/>
    <n v="0"/>
    <n v="0"/>
    <n v="0"/>
    <n v="0"/>
  </r>
  <r>
    <d v="2021-08-22T00:00:00"/>
    <n v="2021"/>
    <x v="21"/>
    <s v="R"/>
    <s v="RS"/>
    <x v="11"/>
    <s v="SEA"/>
    <s v="H"/>
    <n v="2"/>
    <n v="1"/>
    <n v="1"/>
    <n v="-1"/>
    <n v="8"/>
    <n v="-8"/>
    <n v="1442.4022625862033"/>
    <n v="1675.8130089617316"/>
    <n v="0.31691753585835375"/>
    <n v="78"/>
    <n v="85"/>
    <n v="0"/>
    <n v="-7"/>
    <n v="0"/>
    <n v="0.30984043346095447"/>
    <n v="1"/>
    <n v="72.7"/>
    <n v="72.7"/>
    <n v="-7.1386941077617641"/>
    <n v="1435.2635684784416"/>
    <n v="0"/>
    <n v="1"/>
    <n v="0"/>
    <n v="0"/>
    <n v="0"/>
    <n v="0"/>
    <n v="0"/>
    <n v="0"/>
    <n v="0"/>
    <n v="0"/>
  </r>
  <r>
    <d v="2021-08-24T00:00:00"/>
    <n v="2021"/>
    <x v="23"/>
    <s v="R"/>
    <s v="RS"/>
    <x v="10"/>
    <s v="ATL"/>
    <s v="A"/>
    <n v="2"/>
    <n v="2"/>
    <n v="0"/>
    <n v="0"/>
    <n v="0"/>
    <n v="0"/>
    <n v="1511.5773292049239"/>
    <n v="1341.1034954146421"/>
    <n v="0.62193828111523453"/>
    <n v="86"/>
    <n v="79"/>
    <n v="0"/>
    <n v="7"/>
    <n v="1"/>
    <n v="0.32406938099377625"/>
    <n v="1"/>
    <n v="72.400000000000006"/>
    <n v="72.400000000000006"/>
    <n v="8.8703196504694599"/>
    <n v="1520.4476488553933"/>
    <n v="1"/>
    <n v="0"/>
    <n v="0"/>
    <n v="0"/>
    <n v="0"/>
    <n v="0"/>
    <n v="0"/>
    <n v="0"/>
    <n v="0"/>
    <n v="0"/>
  </r>
  <r>
    <d v="2021-08-24T00:00:00"/>
    <n v="2021"/>
    <x v="23"/>
    <s v="R"/>
    <s v="RS"/>
    <x v="1"/>
    <s v="CHI"/>
    <s v="H"/>
    <n v="2"/>
    <n v="2"/>
    <n v="0"/>
    <n v="0"/>
    <n v="0"/>
    <n v="0"/>
    <n v="1341.1034954146421"/>
    <n v="1511.5773292049239"/>
    <n v="0.37806171888476559"/>
    <n v="79"/>
    <n v="86"/>
    <n v="0"/>
    <n v="-7"/>
    <n v="0"/>
    <n v="0.32406938099377625"/>
    <n v="1"/>
    <n v="72.400000000000006"/>
    <n v="72.400000000000006"/>
    <n v="-8.8703196504694617"/>
    <n v="1332.2331757641728"/>
    <n v="0"/>
    <n v="1"/>
    <n v="0"/>
    <n v="0"/>
    <n v="0"/>
    <n v="0"/>
    <n v="0"/>
    <n v="0"/>
    <n v="0"/>
    <n v="0"/>
  </r>
  <r>
    <d v="2021-08-24T00:00:00"/>
    <n v="2021"/>
    <x v="23"/>
    <s v="R"/>
    <s v="RS"/>
    <x v="8"/>
    <s v="CON"/>
    <s v="A"/>
    <n v="6"/>
    <n v="4"/>
    <n v="2"/>
    <n v="-2"/>
    <n v="16"/>
    <n v="-16"/>
    <n v="1643.0315145045479"/>
    <n v="1632.3587067848607"/>
    <n v="0.44080431142547999"/>
    <n v="62"/>
    <n v="76"/>
    <n v="0"/>
    <n v="-14"/>
    <n v="0"/>
    <n v="0.48330954532878168"/>
    <n v="1"/>
    <n v="72.400000000000006"/>
    <n v="72.400000000000006"/>
    <n v="-15.424453028582718"/>
    <n v="1627.6070614759651"/>
    <n v="0"/>
    <n v="1"/>
    <n v="0"/>
    <n v="0"/>
    <n v="0"/>
    <n v="0"/>
    <n v="0"/>
    <n v="0"/>
    <n v="0"/>
    <n v="0"/>
  </r>
  <r>
    <d v="2021-08-24T00:00:00"/>
    <n v="2021"/>
    <x v="24"/>
    <s v="R"/>
    <s v="RS"/>
    <x v="0"/>
    <s v="LVA"/>
    <s v="H"/>
    <n v="4"/>
    <n v="6"/>
    <n v="-2"/>
    <n v="2"/>
    <n v="-16"/>
    <n v="16"/>
    <n v="1632.3587067848607"/>
    <n v="1643.0315145045479"/>
    <n v="0.55919568857452007"/>
    <n v="76"/>
    <n v="62"/>
    <n v="0"/>
    <n v="14"/>
    <n v="1"/>
    <n v="0.48330954532878168"/>
    <n v="1"/>
    <n v="72.25"/>
    <n v="72.25"/>
    <n v="15.392496288882612"/>
    <n v="1647.7512030737432"/>
    <n v="1"/>
    <n v="0"/>
    <n v="0"/>
    <n v="0"/>
    <n v="0"/>
    <n v="0"/>
    <n v="0"/>
    <n v="0"/>
    <n v="0"/>
    <n v="0"/>
  </r>
  <r>
    <d v="2021-08-24T00:00:00"/>
    <n v="2021"/>
    <x v="26"/>
    <s v="R"/>
    <s v="RS"/>
    <x v="9"/>
    <s v="MIN"/>
    <s v="A"/>
    <n v="1"/>
    <n v="2"/>
    <n v="-1"/>
    <n v="1"/>
    <n v="-8"/>
    <n v="8"/>
    <n v="1682.8927867494842"/>
    <n v="1593.6751327585857"/>
    <n v="0.48448793640232202"/>
    <n v="70"/>
    <n v="76"/>
    <n v="0"/>
    <n v="-6"/>
    <n v="0"/>
    <n v="0.32697109910361649"/>
    <n v="1"/>
    <n v="71.95"/>
    <n v="71.95"/>
    <n v="-11.397855143236145"/>
    <n v="1671.494931606248"/>
    <n v="0"/>
    <n v="1"/>
    <n v="0"/>
    <n v="0"/>
    <n v="0"/>
    <n v="0"/>
    <n v="0"/>
    <n v="0"/>
    <n v="0"/>
    <n v="0"/>
  </r>
  <r>
    <d v="2021-08-24T00:00:00"/>
    <n v="2021"/>
    <x v="23"/>
    <s v="R"/>
    <s v="RS"/>
    <x v="5"/>
    <s v="SEA"/>
    <s v="H"/>
    <n v="2"/>
    <n v="1"/>
    <n v="1"/>
    <n v="-1"/>
    <n v="8"/>
    <n v="-8"/>
    <n v="1593.6751327585857"/>
    <n v="1682.8927867494842"/>
    <n v="0.51551206359767798"/>
    <n v="76"/>
    <n v="70"/>
    <n v="0"/>
    <n v="6"/>
    <n v="1"/>
    <n v="0.32697109910361649"/>
    <n v="1"/>
    <n v="72.400000000000006"/>
    <n v="72.400000000000006"/>
    <n v="11.469141242116704"/>
    <n v="1605.1442740007024"/>
    <n v="1"/>
    <n v="0"/>
    <n v="0"/>
    <n v="0"/>
    <n v="0"/>
    <n v="0"/>
    <n v="0"/>
    <n v="0"/>
    <n v="0"/>
    <n v="0"/>
  </r>
  <r>
    <d v="2021-08-24T00:00:00"/>
    <n v="2021"/>
    <x v="23"/>
    <s v="R"/>
    <s v="RS"/>
    <x v="3"/>
    <s v="WAS"/>
    <s v="A"/>
    <n v="1"/>
    <n v="1"/>
    <n v="0"/>
    <n v="0"/>
    <n v="0"/>
    <n v="0"/>
    <n v="1437.0816736470913"/>
    <n v="1435.2635684784416"/>
    <n v="0.38388821450498117"/>
    <n v="68"/>
    <n v="78"/>
    <n v="0"/>
    <n v="-10"/>
    <n v="0"/>
    <n v="0.42248959057534585"/>
    <n v="1"/>
    <n v="72.400000000000006"/>
    <n v="72.400000000000006"/>
    <n v="-11.742467279078687"/>
    <n v="1425.3392063680126"/>
    <n v="0"/>
    <n v="1"/>
    <n v="0"/>
    <n v="0"/>
    <n v="0"/>
    <n v="0"/>
    <n v="0"/>
    <n v="0"/>
    <n v="0"/>
    <n v="0"/>
  </r>
  <r>
    <d v="2021-08-24T00:00:00"/>
    <n v="2021"/>
    <x v="22"/>
    <s v="R"/>
    <s v="RS"/>
    <x v="11"/>
    <s v="LAS"/>
    <s v="H"/>
    <n v="1"/>
    <n v="1"/>
    <n v="0"/>
    <n v="0"/>
    <n v="0"/>
    <n v="0"/>
    <n v="1435.2635684784416"/>
    <n v="1437.0816736470913"/>
    <n v="0.61611178549501888"/>
    <n v="78"/>
    <n v="68"/>
    <n v="0"/>
    <n v="10"/>
    <n v="1"/>
    <n v="0.42248959057534585"/>
    <n v="1"/>
    <n v="72.55"/>
    <n v="72.55"/>
    <n v="11.766795595264622"/>
    <n v="1447.0303640737061"/>
    <n v="1"/>
    <n v="0"/>
    <n v="0"/>
    <n v="0"/>
    <n v="0"/>
    <n v="0"/>
    <n v="0"/>
    <n v="0"/>
    <n v="0"/>
    <n v="0"/>
  </r>
  <r>
    <d v="2021-08-25T00:00:00"/>
    <n v="2021"/>
    <x v="23"/>
    <s v="R"/>
    <s v="RS"/>
    <x v="4"/>
    <s v="NYL"/>
    <s v="A"/>
    <n v="3"/>
    <n v="2"/>
    <n v="1"/>
    <n v="-1"/>
    <n v="8"/>
    <n v="-8"/>
    <n v="1520.9500720503961"/>
    <n v="1391.2859357232603"/>
    <n v="0.58782161636216845"/>
    <n v="106"/>
    <n v="79"/>
    <n v="0"/>
    <n v="27"/>
    <n v="1"/>
    <n v="0.60165569495602056"/>
    <n v="1"/>
    <n v="72.400000000000006"/>
    <n v="72.400000000000006"/>
    <n v="17.954437762191141"/>
    <n v="1538.9045098125873"/>
    <n v="1"/>
    <n v="0"/>
    <n v="0"/>
    <n v="0"/>
    <n v="0"/>
    <n v="0"/>
    <n v="0"/>
    <n v="0"/>
    <n v="0"/>
    <n v="0"/>
  </r>
  <r>
    <d v="2021-08-25T00:00:00"/>
    <n v="2021"/>
    <x v="25"/>
    <s v="R"/>
    <s v="RS"/>
    <x v="7"/>
    <s v="PHX"/>
    <s v="H"/>
    <n v="2"/>
    <n v="3"/>
    <n v="-1"/>
    <n v="1"/>
    <n v="-8"/>
    <n v="8"/>
    <n v="1391.2859357232603"/>
    <n v="1520.9500720503961"/>
    <n v="0.41217838363783155"/>
    <n v="79"/>
    <n v="106"/>
    <n v="0"/>
    <n v="-27"/>
    <n v="0"/>
    <n v="0.60165569495602056"/>
    <n v="1"/>
    <n v="72.099999999999994"/>
    <n v="72.099999999999994"/>
    <n v="-17.880040920635096"/>
    <n v="1373.4058948026252"/>
    <n v="0"/>
    <n v="1"/>
    <n v="0"/>
    <n v="0"/>
    <n v="0"/>
    <n v="0"/>
    <n v="0"/>
    <n v="0"/>
    <n v="0"/>
    <n v="0"/>
  </r>
  <r>
    <d v="2021-08-26T00:00:00"/>
    <n v="2021"/>
    <x v="24"/>
    <s v="R"/>
    <s v="RS"/>
    <x v="8"/>
    <s v="ATL"/>
    <s v="A"/>
    <n v="1"/>
    <n v="1"/>
    <n v="0"/>
    <n v="0"/>
    <n v="0"/>
    <n v="0"/>
    <n v="1627.6070614759651"/>
    <n v="1332.2331757641728"/>
    <n v="0.77149390642479254"/>
    <n v="78"/>
    <n v="71"/>
    <n v="0"/>
    <n v="7"/>
    <n v="1"/>
    <n v="0.29700171390460017"/>
    <n v="1"/>
    <n v="72.25"/>
    <n v="72.25"/>
    <n v="4.9033691782800428"/>
    <n v="1632.5104306542451"/>
    <n v="1"/>
    <n v="0"/>
    <n v="0"/>
    <n v="0"/>
    <n v="0"/>
    <n v="0"/>
    <n v="0"/>
    <n v="0"/>
    <n v="0"/>
    <n v="0"/>
  </r>
  <r>
    <d v="2021-08-26T00:00:00"/>
    <n v="2021"/>
    <x v="24"/>
    <s v="R"/>
    <s v="RS"/>
    <x v="1"/>
    <s v="LVA"/>
    <s v="H"/>
    <n v="1"/>
    <n v="1"/>
    <n v="0"/>
    <n v="0"/>
    <n v="0"/>
    <n v="0"/>
    <n v="1332.2331757641728"/>
    <n v="1627.6070614759651"/>
    <n v="0.22850609357520746"/>
    <n v="71"/>
    <n v="78"/>
    <n v="0"/>
    <n v="-7"/>
    <n v="0"/>
    <n v="0.29700171390460017"/>
    <n v="1"/>
    <n v="72.25"/>
    <n v="72.25"/>
    <n v="-4.9033691782800428"/>
    <n v="1327.3298065858928"/>
    <n v="0"/>
    <n v="1"/>
    <n v="0"/>
    <n v="0"/>
    <n v="0"/>
    <n v="0"/>
    <n v="0"/>
    <n v="0"/>
    <n v="0"/>
    <n v="0"/>
  </r>
  <r>
    <d v="2021-08-26T00:00:00"/>
    <n v="2021"/>
    <x v="24"/>
    <s v="R"/>
    <s v="RS"/>
    <x v="3"/>
    <s v="CON"/>
    <s v="A"/>
    <n v="1"/>
    <n v="1"/>
    <n v="0"/>
    <n v="0"/>
    <n v="0"/>
    <n v="0"/>
    <n v="1425.3392063680126"/>
    <n v="1647.7512030737432"/>
    <n v="0.14630890485276585"/>
    <n v="72"/>
    <n v="76"/>
    <n v="0"/>
    <n v="-4"/>
    <n v="0"/>
    <n v="0.2627363118071131"/>
    <n v="1"/>
    <n v="72.25"/>
    <n v="72.25"/>
    <n v="-2.7773378327912424"/>
    <n v="1422.5618685352213"/>
    <n v="0"/>
    <n v="1"/>
    <n v="0"/>
    <n v="0"/>
    <n v="0"/>
    <n v="0"/>
    <n v="0"/>
    <n v="0"/>
    <n v="0"/>
    <n v="0"/>
  </r>
  <r>
    <d v="2021-08-26T00:00:00"/>
    <n v="2021"/>
    <x v="25"/>
    <s v="R"/>
    <s v="RS"/>
    <x v="0"/>
    <s v="LAS"/>
    <s v="H"/>
    <n v="1"/>
    <n v="1"/>
    <n v="0"/>
    <n v="0"/>
    <n v="0"/>
    <n v="0"/>
    <n v="1647.7512030737432"/>
    <n v="1425.3392063680126"/>
    <n v="0.85369109514723418"/>
    <n v="76"/>
    <n v="72"/>
    <n v="0"/>
    <n v="4"/>
    <n v="1"/>
    <n v="0.2627363118071131"/>
    <n v="1"/>
    <n v="72.099999999999994"/>
    <n v="72.099999999999994"/>
    <n v="2.7715717334844086"/>
    <n v="1650.5227748072277"/>
    <n v="1"/>
    <n v="0"/>
    <n v="0"/>
    <n v="0"/>
    <n v="0"/>
    <n v="0"/>
    <n v="0"/>
    <n v="0"/>
    <n v="0"/>
    <n v="0"/>
  </r>
  <r>
    <d v="2021-08-26T00:00:00"/>
    <n v="2021"/>
    <x v="24"/>
    <s v="R"/>
    <s v="RS"/>
    <x v="2"/>
    <s v="WAS"/>
    <s v="A"/>
    <n v="5"/>
    <n v="1"/>
    <n v="4"/>
    <n v="-4"/>
    <n v="16"/>
    <n v="-16"/>
    <n v="1460.6804461285838"/>
    <n v="1447.0303640737061"/>
    <n v="0.4450330845541573"/>
    <n v="82"/>
    <n v="77"/>
    <n v="0"/>
    <n v="5"/>
    <n v="1"/>
    <n v="0.32802467238287225"/>
    <n v="1"/>
    <n v="72.25"/>
    <n v="72.25"/>
    <n v="13.152595234972427"/>
    <n v="1473.8330413635563"/>
    <n v="1"/>
    <n v="0"/>
    <n v="0"/>
    <n v="0"/>
    <n v="0"/>
    <n v="0"/>
    <n v="0"/>
    <n v="0"/>
    <n v="0"/>
    <n v="0"/>
  </r>
  <r>
    <d v="2021-08-26T00:00:00"/>
    <n v="2021"/>
    <x v="23"/>
    <s v="R"/>
    <s v="RS"/>
    <x v="11"/>
    <s v="DAL"/>
    <s v="H"/>
    <n v="1"/>
    <n v="5"/>
    <n v="-4"/>
    <n v="4"/>
    <n v="-16"/>
    <n v="16"/>
    <n v="1447.0303640737061"/>
    <n v="1460.6804461285838"/>
    <n v="0.55496691544584276"/>
    <n v="77"/>
    <n v="82"/>
    <n v="0"/>
    <n v="-5"/>
    <n v="0"/>
    <n v="0.32802467238287225"/>
    <n v="1"/>
    <n v="72.400000000000006"/>
    <n v="72.400000000000006"/>
    <n v="-13.179901661065797"/>
    <n v="1433.8504624126404"/>
    <n v="0"/>
    <n v="1"/>
    <n v="0"/>
    <n v="0"/>
    <n v="0"/>
    <n v="0"/>
    <n v="0"/>
    <n v="0"/>
    <n v="0"/>
    <n v="0"/>
  </r>
  <r>
    <d v="2021-08-27T00:00:00"/>
    <n v="2021"/>
    <x v="24"/>
    <s v="R"/>
    <s v="RS"/>
    <x v="4"/>
    <s v="NYL"/>
    <s v="A"/>
    <n v="1"/>
    <n v="1"/>
    <n v="0"/>
    <n v="0"/>
    <n v="0"/>
    <n v="0"/>
    <n v="1538.9045098125873"/>
    <n v="1373.4058948026252"/>
    <n v="0.61518107113285692"/>
    <n v="80"/>
    <n v="64"/>
    <n v="0"/>
    <n v="16"/>
    <n v="1"/>
    <n v="0.45503029582460708"/>
    <n v="1"/>
    <n v="72.25"/>
    <n v="72.25"/>
    <n v="12.651283582735699"/>
    <n v="1551.555793395323"/>
    <n v="1"/>
    <n v="0"/>
    <n v="0"/>
    <n v="0"/>
    <n v="0"/>
    <n v="0"/>
    <n v="0"/>
    <n v="0"/>
    <n v="0"/>
    <n v="0"/>
  </r>
  <r>
    <d v="2021-08-27T00:00:00"/>
    <n v="2021"/>
    <x v="26"/>
    <s v="R"/>
    <s v="RS"/>
    <x v="7"/>
    <s v="PHX"/>
    <s v="H"/>
    <n v="1"/>
    <n v="1"/>
    <n v="0"/>
    <n v="0"/>
    <n v="0"/>
    <n v="0"/>
    <n v="1373.4058948026252"/>
    <n v="1538.9045098125873"/>
    <n v="0.38481892886714303"/>
    <n v="64"/>
    <n v="80"/>
    <n v="0"/>
    <n v="-16"/>
    <n v="0"/>
    <n v="0.45503029582460708"/>
    <n v="1"/>
    <n v="71.95"/>
    <n v="71.95"/>
    <n v="-12.5987523014233"/>
    <n v="1360.807142501202"/>
    <n v="0"/>
    <n v="1"/>
    <n v="0"/>
    <n v="0"/>
    <n v="0"/>
    <n v="0"/>
    <n v="0"/>
    <n v="0"/>
    <n v="0"/>
    <n v="0"/>
  </r>
  <r>
    <d v="2021-08-27T00:00:00"/>
    <n v="2021"/>
    <x v="24"/>
    <s v="R"/>
    <s v="RS"/>
    <x v="10"/>
    <s v="SEA"/>
    <s v="A"/>
    <n v="2"/>
    <n v="2"/>
    <n v="0"/>
    <n v="0"/>
    <n v="0"/>
    <n v="0"/>
    <n v="1520.4476488553933"/>
    <n v="1671.494931606248"/>
    <n v="0.20537366267181392"/>
    <n v="73"/>
    <n v="69"/>
    <n v="0"/>
    <n v="4"/>
    <n v="1"/>
    <n v="0.27661450983693842"/>
    <n v="1"/>
    <n v="72.25"/>
    <n v="72.25"/>
    <n v="15.880923879557058"/>
    <n v="1536.3285727349503"/>
    <n v="1"/>
    <n v="0"/>
    <n v="0"/>
    <n v="0"/>
    <n v="0"/>
    <n v="0"/>
    <n v="0"/>
    <n v="0"/>
    <n v="0"/>
    <n v="0"/>
  </r>
  <r>
    <d v="2021-08-27T00:00:00"/>
    <n v="2021"/>
    <x v="27"/>
    <s v="R"/>
    <s v="RS"/>
    <x v="9"/>
    <s v="CHI"/>
    <s v="H"/>
    <n v="2"/>
    <n v="2"/>
    <n v="0"/>
    <n v="0"/>
    <n v="0"/>
    <n v="0"/>
    <n v="1671.494931606248"/>
    <n v="1520.4476488553933"/>
    <n v="0.79462633732818599"/>
    <n v="69"/>
    <n v="73"/>
    <n v="0"/>
    <n v="-4"/>
    <n v="0"/>
    <n v="0.27661450983693842"/>
    <n v="1"/>
    <n v="71.8"/>
    <n v="71.8"/>
    <n v="-15.782011550895454"/>
    <n v="1655.7129200553525"/>
    <n v="0"/>
    <n v="1"/>
    <n v="0"/>
    <n v="0"/>
    <n v="0"/>
    <n v="0"/>
    <n v="0"/>
    <n v="0"/>
    <n v="0"/>
    <n v="0"/>
  </r>
  <r>
    <d v="2021-08-28T00:00:00"/>
    <n v="2021"/>
    <x v="25"/>
    <s v="R"/>
    <s v="RS"/>
    <x v="3"/>
    <s v="CON"/>
    <s v="A"/>
    <n v="1"/>
    <n v="1"/>
    <n v="0"/>
    <n v="0"/>
    <n v="0"/>
    <n v="0"/>
    <n v="1422.5618685352213"/>
    <n v="1650.5227748072277"/>
    <n v="0.14236415604827896"/>
    <n v="61"/>
    <n v="76"/>
    <n v="0"/>
    <n v="-15"/>
    <n v="0"/>
    <n v="0.42257293669885221"/>
    <n v="1"/>
    <n v="72.099999999999994"/>
    <n v="72.099999999999994"/>
    <n v="-4.3374811680923901"/>
    <n v="1418.2243873671289"/>
    <n v="0"/>
    <n v="1"/>
    <n v="0"/>
    <n v="0"/>
    <n v="0"/>
    <n v="0"/>
    <n v="0"/>
    <n v="0"/>
    <n v="0"/>
    <n v="0"/>
  </r>
  <r>
    <d v="2021-08-28T00:00:00"/>
    <n v="2021"/>
    <x v="26"/>
    <s v="R"/>
    <s v="RS"/>
    <x v="0"/>
    <s v="LAS"/>
    <s v="H"/>
    <n v="1"/>
    <n v="1"/>
    <n v="0"/>
    <n v="0"/>
    <n v="0"/>
    <n v="0"/>
    <n v="1650.5227748072277"/>
    <n v="1422.5618685352213"/>
    <n v="0.8576358439517211"/>
    <n v="76"/>
    <n v="61"/>
    <n v="0"/>
    <n v="15"/>
    <n v="1"/>
    <n v="0.42257293669885221"/>
    <n v="1"/>
    <n v="71.95"/>
    <n v="71.95"/>
    <n v="4.3284572821670926"/>
    <n v="1654.8512320893949"/>
    <n v="1"/>
    <n v="0"/>
    <n v="0"/>
    <n v="0"/>
    <n v="0"/>
    <n v="0"/>
    <n v="0"/>
    <n v="0"/>
    <n v="0"/>
    <n v="0"/>
  </r>
  <r>
    <d v="2021-08-28T00:00:00"/>
    <n v="2021"/>
    <x v="25"/>
    <s v="R"/>
    <s v="RS"/>
    <x v="8"/>
    <s v="IND"/>
    <s v="A"/>
    <n v="1"/>
    <n v="7"/>
    <n v="-6"/>
    <n v="6"/>
    <n v="-16"/>
    <n v="16"/>
    <n v="1632.5104306542451"/>
    <n v="1350.1220259308532"/>
    <n v="0.7226828460800987"/>
    <n v="87"/>
    <n v="71"/>
    <n v="0"/>
    <n v="16"/>
    <n v="1"/>
    <n v="0.41915009369761941"/>
    <n v="1"/>
    <n v="72.099999999999994"/>
    <n v="72.099999999999994"/>
    <n v="8.3807245466677802"/>
    <n v="1640.8911552009129"/>
    <n v="1"/>
    <n v="0"/>
    <n v="0"/>
    <n v="0"/>
    <n v="0"/>
    <n v="0"/>
    <n v="0"/>
    <n v="0"/>
    <n v="0"/>
    <n v="0"/>
  </r>
  <r>
    <d v="2021-08-28T00:00:00"/>
    <n v="2021"/>
    <x v="23"/>
    <s v="R"/>
    <s v="RS"/>
    <x v="6"/>
    <s v="LVA"/>
    <s v="H"/>
    <n v="7"/>
    <n v="1"/>
    <n v="6"/>
    <n v="-6"/>
    <n v="16"/>
    <n v="-16"/>
    <n v="1350.1220259308532"/>
    <n v="1632.5104306542451"/>
    <n v="0.27731715391990125"/>
    <n v="71"/>
    <n v="87"/>
    <n v="0"/>
    <n v="-16"/>
    <n v="0"/>
    <n v="0.41915009369761941"/>
    <n v="1"/>
    <n v="72.400000000000006"/>
    <n v="72.400000000000006"/>
    <n v="-8.4155957999826239"/>
    <n v="1341.7064301308706"/>
    <n v="0"/>
    <n v="1"/>
    <n v="0"/>
    <n v="0"/>
    <n v="0"/>
    <n v="0"/>
    <n v="0"/>
    <n v="0"/>
    <n v="0"/>
    <n v="0"/>
  </r>
  <r>
    <d v="2021-08-28T00:00:00"/>
    <n v="2021"/>
    <x v="25"/>
    <s v="R"/>
    <s v="RS"/>
    <x v="2"/>
    <s v="WAS"/>
    <s v="A"/>
    <n v="1"/>
    <n v="1"/>
    <n v="0"/>
    <n v="0"/>
    <n v="0"/>
    <n v="0"/>
    <n v="1473.8330413635563"/>
    <n v="1433.8504624126404"/>
    <n v="0.43699059898005277"/>
    <n v="75"/>
    <n v="76"/>
    <n v="0"/>
    <n v="-1"/>
    <n v="0"/>
    <n v="0.23630622730704592"/>
    <n v="1"/>
    <n v="72.099999999999994"/>
    <n v="72.099999999999994"/>
    <n v="-7.4453055465621816"/>
    <n v="1466.3877358169941"/>
    <n v="0"/>
    <n v="1"/>
    <n v="0"/>
    <n v="0"/>
    <n v="0"/>
    <n v="0"/>
    <n v="0"/>
    <n v="0"/>
    <n v="0"/>
    <n v="0"/>
  </r>
  <r>
    <d v="2021-08-28T00:00:00"/>
    <n v="2021"/>
    <x v="24"/>
    <s v="R"/>
    <s v="RS"/>
    <x v="11"/>
    <s v="DAL"/>
    <s v="H"/>
    <n v="1"/>
    <n v="1"/>
    <n v="0"/>
    <n v="0"/>
    <n v="0"/>
    <n v="0"/>
    <n v="1433.8504624126404"/>
    <n v="1473.8330413635563"/>
    <n v="0.56300940101994723"/>
    <n v="76"/>
    <n v="75"/>
    <n v="0"/>
    <n v="1"/>
    <n v="1"/>
    <n v="0.23630622730704592"/>
    <n v="1"/>
    <n v="72.25"/>
    <n v="72.25"/>
    <n v="7.4607950865342252"/>
    <n v="1441.3112574991746"/>
    <n v="1"/>
    <n v="0"/>
    <n v="0"/>
    <n v="0"/>
    <n v="0"/>
    <n v="0"/>
    <n v="0"/>
    <n v="0"/>
    <n v="0"/>
    <n v="0"/>
  </r>
  <r>
    <d v="2021-08-29T00:00:00"/>
    <n v="2021"/>
    <x v="25"/>
    <s v="R"/>
    <s v="RS"/>
    <x v="10"/>
    <s v="SEA"/>
    <s v="A"/>
    <n v="1"/>
    <n v="1"/>
    <n v="0"/>
    <n v="0"/>
    <n v="0"/>
    <n v="0"/>
    <n v="1536.3285727349503"/>
    <n v="1655.7129200553525"/>
    <n v="0.23671503351800094"/>
    <n v="107"/>
    <n v="75"/>
    <n v="0"/>
    <n v="32"/>
    <n v="1"/>
    <n v="0.66153024828606455"/>
    <n v="1"/>
    <n v="72.099999999999994"/>
    <n v="72.099999999999994"/>
    <n v="36.405892333408708"/>
    <n v="1572.734465068359"/>
    <n v="1"/>
    <n v="0"/>
    <n v="0"/>
    <n v="0"/>
    <n v="0"/>
    <n v="0"/>
    <n v="0"/>
    <n v="0"/>
    <n v="0"/>
    <n v="0"/>
  </r>
  <r>
    <d v="2021-08-29T00:00:00"/>
    <n v="2021"/>
    <x v="28"/>
    <s v="R"/>
    <s v="RS"/>
    <x v="9"/>
    <s v="CHI"/>
    <s v="H"/>
    <n v="1"/>
    <n v="1"/>
    <n v="0"/>
    <n v="0"/>
    <n v="0"/>
    <n v="0"/>
    <n v="1655.7129200553525"/>
    <n v="1536.3285727349503"/>
    <n v="0.76328496648199906"/>
    <n v="75"/>
    <n v="107"/>
    <n v="0"/>
    <n v="-32"/>
    <n v="0"/>
    <n v="0.66153024828606455"/>
    <n v="1"/>
    <n v="71.650000000000006"/>
    <n v="71.650000000000006"/>
    <n v="-36.178671091383272"/>
    <n v="1619.5342489639693"/>
    <n v="0"/>
    <n v="1"/>
    <n v="0"/>
    <n v="0"/>
    <n v="0"/>
    <n v="0"/>
    <n v="0"/>
    <n v="0"/>
    <n v="0"/>
    <n v="0"/>
  </r>
  <r>
    <d v="2021-08-31T00:00:00"/>
    <n v="2021"/>
    <x v="26"/>
    <s v="R"/>
    <s v="RS"/>
    <x v="3"/>
    <s v="IND"/>
    <s v="A"/>
    <n v="2"/>
    <n v="2"/>
    <n v="0"/>
    <n v="0"/>
    <n v="0"/>
    <n v="0"/>
    <n v="1418.2243873671289"/>
    <n v="1341.7064301308706"/>
    <n v="0.48923413911821767"/>
    <n v="72"/>
    <n v="74"/>
    <n v="0"/>
    <n v="-2"/>
    <n v="0"/>
    <n v="0.25178618377408163"/>
    <n v="1"/>
    <n v="71.95"/>
    <n v="71.95"/>
    <n v="-8.8629734541183112"/>
    <n v="1409.3614139130107"/>
    <n v="0"/>
    <n v="1"/>
    <n v="0"/>
    <n v="0"/>
    <n v="0"/>
    <n v="0"/>
    <n v="0"/>
    <n v="0"/>
    <n v="0"/>
    <n v="0"/>
  </r>
  <r>
    <d v="2021-08-31T00:00:00"/>
    <n v="2021"/>
    <x v="24"/>
    <s v="R"/>
    <s v="RS"/>
    <x v="6"/>
    <s v="LAS"/>
    <s v="H"/>
    <n v="2"/>
    <n v="2"/>
    <n v="0"/>
    <n v="0"/>
    <n v="0"/>
    <n v="0"/>
    <n v="1341.7064301308706"/>
    <n v="1418.2243873671289"/>
    <n v="0.51076586088178222"/>
    <n v="74"/>
    <n v="72"/>
    <n v="0"/>
    <n v="2"/>
    <n v="1"/>
    <n v="0.25178618377408163"/>
    <n v="1"/>
    <n v="72.25"/>
    <n v="72.25"/>
    <n v="8.8999281731764857"/>
    <n v="1350.606358304047"/>
    <n v="1"/>
    <n v="0"/>
    <n v="0"/>
    <n v="0"/>
    <n v="0"/>
    <n v="0"/>
    <n v="0"/>
    <n v="0"/>
    <n v="0"/>
    <n v="0"/>
  </r>
  <r>
    <d v="2021-08-31T00:00:00"/>
    <n v="2021"/>
    <x v="27"/>
    <s v="R"/>
    <s v="RS"/>
    <x v="7"/>
    <s v="MIN"/>
    <s v="A"/>
    <n v="3"/>
    <n v="6"/>
    <n v="-3"/>
    <n v="3"/>
    <n v="-16"/>
    <n v="16"/>
    <n v="1360.807142501202"/>
    <n v="1605.1442740007024"/>
    <n v="0.11162317967766103"/>
    <n v="66"/>
    <n v="74"/>
    <n v="0"/>
    <n v="-8"/>
    <n v="0"/>
    <n v="0.32262456724340449"/>
    <n v="1"/>
    <n v="71.8"/>
    <n v="71.8"/>
    <n v="-2.5856888867167807"/>
    <n v="1358.2214536144852"/>
    <n v="0"/>
    <n v="1"/>
    <n v="0"/>
    <n v="0"/>
    <n v="0"/>
    <n v="0"/>
    <n v="0"/>
    <n v="0"/>
    <n v="0"/>
    <n v="0"/>
  </r>
  <r>
    <d v="2021-08-31T00:00:00"/>
    <n v="2021"/>
    <x v="24"/>
    <s v="R"/>
    <s v="RS"/>
    <x v="5"/>
    <s v="NYL"/>
    <s v="H"/>
    <n v="6"/>
    <n v="3"/>
    <n v="3"/>
    <n v="-3"/>
    <n v="16"/>
    <n v="-16"/>
    <n v="1605.1442740007024"/>
    <n v="1360.807142501202"/>
    <n v="0.88837682032233889"/>
    <n v="74"/>
    <n v="66"/>
    <n v="0"/>
    <n v="8"/>
    <n v="1"/>
    <n v="0.32262456724340449"/>
    <n v="1"/>
    <n v="72.25"/>
    <n v="72.25"/>
    <n v="2.6018944577338101"/>
    <n v="1607.7461684584362"/>
    <n v="1"/>
    <n v="0"/>
    <n v="0"/>
    <n v="0"/>
    <n v="0"/>
    <n v="0"/>
    <n v="0"/>
    <n v="0"/>
    <n v="0"/>
    <n v="0"/>
  </r>
  <r>
    <d v="2021-08-31T00:00:00"/>
    <n v="2021"/>
    <x v="26"/>
    <s v="R"/>
    <s v="RS"/>
    <x v="10"/>
    <s v="PHX"/>
    <s v="A"/>
    <n v="1"/>
    <n v="3"/>
    <n v="-2"/>
    <n v="2"/>
    <n v="-16"/>
    <n v="16"/>
    <n v="1572.734465068359"/>
    <n v="1551.555793395323"/>
    <n v="0.36683115674267491"/>
    <n v="83"/>
    <n v="103"/>
    <n v="0"/>
    <n v="-20"/>
    <n v="0"/>
    <n v="0.5649171957658583"/>
    <n v="1"/>
    <n v="71.95"/>
    <n v="71.95"/>
    <n v="-14.91014298241716"/>
    <n v="1557.8243220859417"/>
    <n v="0"/>
    <n v="1"/>
    <n v="0"/>
    <n v="0"/>
    <n v="0"/>
    <n v="0"/>
    <n v="0"/>
    <n v="0"/>
    <n v="0"/>
    <n v="0"/>
  </r>
  <r>
    <d v="2021-08-31T00:00:00"/>
    <n v="2021"/>
    <x v="25"/>
    <s v="R"/>
    <s v="RS"/>
    <x v="4"/>
    <s v="CHI"/>
    <s v="H"/>
    <n v="3"/>
    <n v="1"/>
    <n v="2"/>
    <n v="-2"/>
    <n v="16"/>
    <n v="-16"/>
    <n v="1551.555793395323"/>
    <n v="1572.734465068359"/>
    <n v="0.63316884325732514"/>
    <n v="103"/>
    <n v="83"/>
    <n v="0"/>
    <n v="20"/>
    <n v="1"/>
    <n v="0.5649171957658583"/>
    <n v="1"/>
    <n v="72.099999999999994"/>
    <n v="72.099999999999994"/>
    <n v="14.94122736667515"/>
    <n v="1566.4970207619981"/>
    <n v="1"/>
    <n v="0"/>
    <n v="0"/>
    <n v="0"/>
    <n v="0"/>
    <n v="0"/>
    <n v="0"/>
    <n v="0"/>
    <n v="0"/>
    <n v="0"/>
  </r>
  <r>
    <d v="2021-08-31T00:00:00"/>
    <n v="2021"/>
    <x v="27"/>
    <s v="R"/>
    <s v="RS"/>
    <x v="0"/>
    <s v="WAS"/>
    <s v="A"/>
    <n v="2"/>
    <n v="2"/>
    <n v="0"/>
    <n v="0"/>
    <n v="0"/>
    <n v="0"/>
    <n v="1654.8512320893949"/>
    <n v="1441.3112574991746"/>
    <n v="0.67823929173591802"/>
    <n v="85"/>
    <n v="75"/>
    <n v="0"/>
    <n v="10"/>
    <n v="1"/>
    <n v="0.35920854615090542"/>
    <n v="1"/>
    <n v="71.8"/>
    <n v="71.8"/>
    <n v="8.2985862888851027"/>
    <n v="1663.1498183782801"/>
    <n v="1"/>
    <n v="0"/>
    <n v="0"/>
    <n v="0"/>
    <n v="0"/>
    <n v="0"/>
    <n v="0"/>
    <n v="0"/>
    <n v="0"/>
    <n v="0"/>
  </r>
  <r>
    <d v="2021-08-31T00:00:00"/>
    <n v="2021"/>
    <x v="25"/>
    <s v="R"/>
    <s v="RS"/>
    <x v="11"/>
    <s v="CON"/>
    <s v="H"/>
    <n v="2"/>
    <n v="2"/>
    <n v="0"/>
    <n v="0"/>
    <n v="0"/>
    <n v="0"/>
    <n v="1441.3112574991746"/>
    <n v="1654.8512320893949"/>
    <n v="0.32176070826408198"/>
    <n v="75"/>
    <n v="85"/>
    <n v="0"/>
    <n v="-10"/>
    <n v="0"/>
    <n v="0.35920854615090542"/>
    <n v="1"/>
    <n v="72.099999999999994"/>
    <n v="72.099999999999994"/>
    <n v="-8.3332600477523116"/>
    <n v="1432.9779974514224"/>
    <n v="0"/>
    <n v="1"/>
    <n v="0"/>
    <n v="0"/>
    <n v="0"/>
    <n v="0"/>
    <n v="0"/>
    <n v="0"/>
    <n v="0"/>
    <n v="0"/>
  </r>
  <r>
    <d v="2021-09-02T00:00:00"/>
    <n v="2021"/>
    <x v="25"/>
    <s v="R"/>
    <s v="RS"/>
    <x v="1"/>
    <s v="DAL"/>
    <s v="A"/>
    <n v="6"/>
    <n v="4"/>
    <n v="2"/>
    <n v="-2"/>
    <n v="16"/>
    <n v="-16"/>
    <n v="1327.3298065858928"/>
    <n v="1466.3877358169941"/>
    <n v="0.24977402550326736"/>
    <n v="68"/>
    <n v="72"/>
    <n v="0"/>
    <n v="-4"/>
    <n v="0"/>
    <n v="0.27909119816739225"/>
    <n v="1"/>
    <n v="72.099999999999994"/>
    <n v="72.099999999999994"/>
    <n v="-5.0260716807184567"/>
    <n v="1322.3037349051745"/>
    <n v="0"/>
    <n v="1"/>
    <n v="0"/>
    <n v="0"/>
    <n v="0"/>
    <n v="0"/>
    <n v="0"/>
    <n v="0"/>
    <n v="0"/>
    <n v="0"/>
  </r>
  <r>
    <d v="2021-09-02T00:00:00"/>
    <n v="2021"/>
    <x v="26"/>
    <s v="R"/>
    <s v="RS"/>
    <x v="2"/>
    <s v="ATL"/>
    <s v="H"/>
    <n v="4"/>
    <n v="6"/>
    <n v="-2"/>
    <n v="2"/>
    <n v="-16"/>
    <n v="16"/>
    <n v="1466.3877358169941"/>
    <n v="1327.3298065858928"/>
    <n v="0.75022597449673256"/>
    <n v="72"/>
    <n v="68"/>
    <n v="0"/>
    <n v="4"/>
    <n v="1"/>
    <n v="0.27909119816739225"/>
    <n v="1"/>
    <n v="71.95"/>
    <n v="71.95"/>
    <n v="5.0156152209111386"/>
    <n v="1471.4033510379052"/>
    <n v="1"/>
    <n v="0"/>
    <n v="0"/>
    <n v="0"/>
    <n v="0"/>
    <n v="0"/>
    <n v="0"/>
    <n v="0"/>
    <n v="0"/>
    <n v="0"/>
  </r>
  <r>
    <d v="2021-09-02T00:00:00"/>
    <n v="2021"/>
    <x v="27"/>
    <s v="R"/>
    <s v="RS"/>
    <x v="10"/>
    <s v="LVA"/>
    <s v="A"/>
    <n v="1"/>
    <n v="4"/>
    <n v="-3"/>
    <n v="3"/>
    <n v="-16"/>
    <n v="16"/>
    <n v="1557.8243220859417"/>
    <n v="1640.8911552009129"/>
    <n v="0.24123495301627221"/>
    <n v="83"/>
    <n v="90"/>
    <n v="0"/>
    <n v="-7"/>
    <n v="0"/>
    <n v="0.34614612078027834"/>
    <n v="1"/>
    <n v="71.8"/>
    <n v="71.8"/>
    <n v="-5.9954826005534239"/>
    <n v="1551.8288394853882"/>
    <n v="0"/>
    <n v="1"/>
    <n v="0"/>
    <n v="0"/>
    <n v="0"/>
    <n v="0"/>
    <n v="0"/>
    <n v="0"/>
    <n v="0"/>
    <n v="0"/>
  </r>
  <r>
    <d v="2021-09-02T00:00:00"/>
    <n v="2021"/>
    <x v="26"/>
    <s v="R"/>
    <s v="RS"/>
    <x v="8"/>
    <s v="CHI"/>
    <s v="H"/>
    <n v="4"/>
    <n v="1"/>
    <n v="3"/>
    <n v="-3"/>
    <n v="16"/>
    <n v="-16"/>
    <n v="1640.8911552009129"/>
    <n v="1557.8243220859417"/>
    <n v="0.75876504698372782"/>
    <n v="90"/>
    <n v="83"/>
    <n v="0"/>
    <n v="7"/>
    <n v="1"/>
    <n v="0.34614612078027834"/>
    <n v="1"/>
    <n v="71.95"/>
    <n v="71.95"/>
    <n v="6.0080079820309038"/>
    <n v="1646.8991631829438"/>
    <n v="1"/>
    <n v="0"/>
    <n v="0"/>
    <n v="0"/>
    <n v="0"/>
    <n v="0"/>
    <n v="0"/>
    <n v="0"/>
    <n v="0"/>
    <n v="0"/>
  </r>
  <r>
    <d v="2021-09-02T00:00:00"/>
    <n v="2021"/>
    <x v="27"/>
    <s v="R"/>
    <s v="RS"/>
    <x v="3"/>
    <s v="MIN"/>
    <s v="A"/>
    <n v="1"/>
    <n v="1"/>
    <n v="0"/>
    <n v="0"/>
    <n v="0"/>
    <n v="0"/>
    <n v="1409.3614139130107"/>
    <n v="1607.7461684584362"/>
    <n v="0.16444262172952731"/>
    <n v="57"/>
    <n v="66"/>
    <n v="0"/>
    <n v="-9"/>
    <n v="0"/>
    <n v="0.34837753414656963"/>
    <n v="1"/>
    <n v="71.8"/>
    <n v="71.8"/>
    <n v="-4.1132866617912018"/>
    <n v="1405.2481272512196"/>
    <n v="0"/>
    <n v="1"/>
    <n v="0"/>
    <n v="0"/>
    <n v="0"/>
    <n v="0"/>
    <n v="0"/>
    <n v="0"/>
    <n v="0"/>
    <n v="0"/>
  </r>
  <r>
    <d v="2021-09-02T00:00:00"/>
    <n v="2021"/>
    <x v="25"/>
    <s v="R"/>
    <s v="RS"/>
    <x v="5"/>
    <s v="LAS"/>
    <s v="H"/>
    <n v="1"/>
    <n v="1"/>
    <n v="0"/>
    <n v="0"/>
    <n v="0"/>
    <n v="0"/>
    <n v="1607.7461684584362"/>
    <n v="1409.3614139130107"/>
    <n v="0.83555737827047272"/>
    <n v="66"/>
    <n v="57"/>
    <n v="0"/>
    <n v="9"/>
    <n v="1"/>
    <n v="0.34837753414656963"/>
    <n v="1"/>
    <n v="72.099999999999994"/>
    <n v="72.099999999999994"/>
    <n v="4.1304730963112197"/>
    <n v="1611.8766415547473"/>
    <n v="1"/>
    <n v="0"/>
    <n v="0"/>
    <n v="0"/>
    <n v="0"/>
    <n v="0"/>
    <n v="0"/>
    <n v="0"/>
    <n v="0"/>
    <n v="0"/>
  </r>
  <r>
    <d v="2021-09-02T00:00:00"/>
    <n v="2021"/>
    <x v="28"/>
    <s v="R"/>
    <s v="RS"/>
    <x v="7"/>
    <s v="SEA"/>
    <s v="A"/>
    <n v="1"/>
    <n v="3"/>
    <n v="-2"/>
    <n v="2"/>
    <n v="-16"/>
    <n v="16"/>
    <n v="1358.2214536144852"/>
    <n v="1619.5342489639693"/>
    <n v="0.10229441831894567"/>
    <n v="75"/>
    <n v="85"/>
    <n v="0"/>
    <n v="-10"/>
    <n v="0"/>
    <n v="0.34746540289979949"/>
    <n v="1"/>
    <n v="71.650000000000006"/>
    <n v="71.650000000000006"/>
    <n v="-2.5467112118962452"/>
    <n v="1355.6747424025889"/>
    <n v="0"/>
    <n v="1"/>
    <n v="0"/>
    <n v="0"/>
    <n v="0"/>
    <n v="0"/>
    <n v="0"/>
    <n v="0"/>
    <n v="0"/>
    <n v="0"/>
  </r>
  <r>
    <d v="2021-09-02T00:00:00"/>
    <n v="2021"/>
    <x v="29"/>
    <s v="R"/>
    <s v="RS"/>
    <x v="9"/>
    <s v="NYL"/>
    <s v="H"/>
    <n v="3"/>
    <n v="1"/>
    <n v="2"/>
    <n v="-2"/>
    <n v="16"/>
    <n v="-16"/>
    <n v="1619.5342489639693"/>
    <n v="1358.2214536144852"/>
    <n v="0.8977055816810543"/>
    <n v="85"/>
    <n v="75"/>
    <n v="0"/>
    <n v="10"/>
    <n v="1"/>
    <n v="0.34746540289979949"/>
    <n v="1"/>
    <n v="71.5"/>
    <n v="71.5"/>
    <n v="2.5413796462049065"/>
    <n v="1622.0756286101741"/>
    <n v="1"/>
    <n v="0"/>
    <n v="0"/>
    <n v="0"/>
    <n v="0"/>
    <n v="0"/>
    <n v="0"/>
    <n v="0"/>
    <n v="0"/>
    <n v="0"/>
  </r>
  <r>
    <d v="2021-09-04T00:00:00"/>
    <n v="2021"/>
    <x v="26"/>
    <s v="R"/>
    <s v="RS"/>
    <x v="4"/>
    <s v="IND"/>
    <s v="A"/>
    <n v="3"/>
    <n v="3"/>
    <n v="0"/>
    <n v="0"/>
    <n v="0"/>
    <n v="0"/>
    <n v="1566.4970207619981"/>
    <n v="1350.606358304047"/>
    <n v="0.6811851632856798"/>
    <n v="87"/>
    <n v="65"/>
    <n v="0"/>
    <n v="22"/>
    <n v="1"/>
    <n v="0.51025649419145269"/>
    <n v="1"/>
    <n v="71.95"/>
    <n v="71.95"/>
    <n v="11.704634676177099"/>
    <n v="1578.2016554381753"/>
    <n v="1"/>
    <n v="0"/>
    <n v="0"/>
    <n v="0"/>
    <n v="0"/>
    <n v="0"/>
    <n v="0"/>
    <n v="0"/>
    <n v="0"/>
    <n v="0"/>
  </r>
  <r>
    <d v="2021-09-04T00:00:00"/>
    <n v="2021"/>
    <x v="25"/>
    <s v="R"/>
    <s v="RS"/>
    <x v="6"/>
    <s v="PHX"/>
    <s v="H"/>
    <n v="3"/>
    <n v="3"/>
    <n v="0"/>
    <n v="0"/>
    <n v="0"/>
    <n v="0"/>
    <n v="1350.606358304047"/>
    <n v="1566.4970207619981"/>
    <n v="0.3188148367143202"/>
    <n v="65"/>
    <n v="87"/>
    <n v="0"/>
    <n v="-22"/>
    <n v="0"/>
    <n v="0.51025649419145269"/>
    <n v="1"/>
    <n v="72.099999999999994"/>
    <n v="72.099999999999994"/>
    <n v="-11.729036277308808"/>
    <n v="1338.8773220267383"/>
    <n v="0"/>
    <n v="1"/>
    <n v="0"/>
    <n v="0"/>
    <n v="0"/>
    <n v="0"/>
    <n v="0"/>
    <n v="0"/>
    <n v="0"/>
    <n v="0"/>
  </r>
  <r>
    <d v="2021-09-04T00:00:00"/>
    <n v="2021"/>
    <x v="26"/>
    <s v="R"/>
    <s v="RS"/>
    <x v="11"/>
    <s v="MIN"/>
    <s v="A"/>
    <n v="3"/>
    <n v="1"/>
    <n v="2"/>
    <n v="-2"/>
    <n v="16"/>
    <n v="-16"/>
    <n v="1432.9779974514224"/>
    <n v="1611.8766415547473"/>
    <n v="0.20929843772284618"/>
    <n v="75"/>
    <n v="93"/>
    <n v="0"/>
    <n v="-18"/>
    <n v="0"/>
    <n v="0.47588756530999565"/>
    <n v="1"/>
    <n v="71.95"/>
    <n v="71.95"/>
    <n v="-7.1664015982824374"/>
    <n v="1425.81159585314"/>
    <n v="0"/>
    <n v="1"/>
    <n v="0"/>
    <n v="0"/>
    <n v="0"/>
    <n v="0"/>
    <n v="0"/>
    <n v="0"/>
    <n v="0"/>
    <n v="0"/>
  </r>
  <r>
    <d v="2021-09-04T00:00:00"/>
    <n v="2021"/>
    <x v="26"/>
    <s v="R"/>
    <s v="RS"/>
    <x v="5"/>
    <s v="WAS"/>
    <s v="H"/>
    <n v="1"/>
    <n v="3"/>
    <n v="-2"/>
    <n v="2"/>
    <n v="-16"/>
    <n v="16"/>
    <n v="1611.8766415547473"/>
    <n v="1432.9779974514224"/>
    <n v="0.79070156227715382"/>
    <n v="93"/>
    <n v="75"/>
    <n v="0"/>
    <n v="18"/>
    <n v="1"/>
    <n v="0.47588756530999565"/>
    <n v="1"/>
    <n v="71.95"/>
    <n v="71.95"/>
    <n v="7.1664015982824374"/>
    <n v="1619.0430431530297"/>
    <n v="1"/>
    <n v="0"/>
    <n v="0"/>
    <n v="0"/>
    <n v="0"/>
    <n v="0"/>
    <n v="0"/>
    <n v="0"/>
    <n v="0"/>
    <n v="0"/>
  </r>
  <r>
    <d v="2021-09-05T00:00:00"/>
    <n v="2021"/>
    <x v="27"/>
    <s v="R"/>
    <s v="RS"/>
    <x v="8"/>
    <s v="CHI"/>
    <s v="A"/>
    <n v="2"/>
    <n v="2"/>
    <n v="0"/>
    <n v="0"/>
    <n v="0"/>
    <n v="0"/>
    <n v="1646.8991631829438"/>
    <n v="1551.8288394853882"/>
    <n v="0.51592608717365118"/>
    <n v="84"/>
    <n v="92"/>
    <n v="0"/>
    <n v="-8"/>
    <n v="0"/>
    <n v="0.35980952808276151"/>
    <n v="1"/>
    <n v="71.8"/>
    <n v="71.8"/>
    <n v="-13.328601756120365"/>
    <n v="1633.5705614268234"/>
    <n v="0"/>
    <n v="1"/>
    <n v="0"/>
    <n v="0"/>
    <n v="0"/>
    <n v="0"/>
    <n v="0"/>
    <n v="0"/>
    <n v="0"/>
    <n v="0"/>
  </r>
  <r>
    <d v="2021-09-05T00:00:00"/>
    <n v="2021"/>
    <x v="28"/>
    <s v="R"/>
    <s v="RS"/>
    <x v="10"/>
    <s v="LVA"/>
    <s v="H"/>
    <n v="2"/>
    <n v="2"/>
    <n v="0"/>
    <n v="0"/>
    <n v="0"/>
    <n v="0"/>
    <n v="1551.8288394853882"/>
    <n v="1646.8991631829438"/>
    <n v="0.48407391282634887"/>
    <n v="92"/>
    <n v="84"/>
    <n v="0"/>
    <n v="8"/>
    <n v="1"/>
    <n v="0.35980952808276151"/>
    <n v="1"/>
    <n v="71.650000000000006"/>
    <n v="71.650000000000006"/>
    <n v="13.300756487827631"/>
    <n v="1565.1295959732158"/>
    <n v="1"/>
    <n v="0"/>
    <n v="0"/>
    <n v="0"/>
    <n v="0"/>
    <n v="0"/>
    <n v="0"/>
    <n v="0"/>
    <n v="0"/>
    <n v="0"/>
  </r>
  <r>
    <d v="2021-09-05T00:00:00"/>
    <n v="2021"/>
    <x v="26"/>
    <s v="R"/>
    <s v="RS"/>
    <x v="1"/>
    <s v="DAL"/>
    <s v="A"/>
    <n v="2"/>
    <n v="2"/>
    <n v="0"/>
    <n v="0"/>
    <n v="0"/>
    <n v="0"/>
    <n v="1322.3037349051745"/>
    <n v="1471.4033510379052"/>
    <n v="0.20720939948398195"/>
    <n v="69"/>
    <n v="64"/>
    <n v="0"/>
    <n v="5"/>
    <n v="1"/>
    <n v="0.2950910116590898"/>
    <n v="1"/>
    <n v="71.95"/>
    <n v="71.95"/>
    <n v="16.832370115469409"/>
    <n v="1339.1361050206438"/>
    <n v="1"/>
    <n v="0"/>
    <n v="0"/>
    <n v="0"/>
    <n v="0"/>
    <n v="0"/>
    <n v="0"/>
    <n v="0"/>
    <n v="0"/>
    <n v="0"/>
  </r>
  <r>
    <d v="2021-09-05T00:00:00"/>
    <n v="2021"/>
    <x v="27"/>
    <s v="R"/>
    <s v="RS"/>
    <x v="2"/>
    <s v="ATL"/>
    <s v="H"/>
    <n v="2"/>
    <n v="2"/>
    <n v="0"/>
    <n v="0"/>
    <n v="0"/>
    <n v="0"/>
    <n v="1471.4033510379052"/>
    <n v="1322.3037349051745"/>
    <n v="0.79279060051601813"/>
    <n v="64"/>
    <n v="69"/>
    <n v="0"/>
    <n v="-5"/>
    <n v="0"/>
    <n v="0.2950910116590898"/>
    <n v="1"/>
    <n v="71.8"/>
    <n v="71.8"/>
    <n v="-16.797278308418395"/>
    <n v="1454.6060727294869"/>
    <n v="0"/>
    <n v="1"/>
    <n v="0"/>
    <n v="0"/>
    <n v="0"/>
    <n v="0"/>
    <n v="0"/>
    <n v="0"/>
    <n v="0"/>
    <n v="0"/>
  </r>
  <r>
    <d v="2021-09-06T00:00:00"/>
    <n v="2021"/>
    <x v="27"/>
    <s v="R"/>
    <s v="RS"/>
    <x v="4"/>
    <s v="IND"/>
    <s v="A"/>
    <n v="1"/>
    <n v="1"/>
    <n v="0"/>
    <n v="0"/>
    <n v="0"/>
    <n v="0"/>
    <n v="1578.2016554381753"/>
    <n v="1338.8773220267383"/>
    <n v="0.70973940339462449"/>
    <n v="86"/>
    <n v="81"/>
    <n v="0"/>
    <n v="5"/>
    <n v="1"/>
    <n v="0.27659309393451115"/>
    <n v="1"/>
    <n v="71.8"/>
    <n v="71.8"/>
    <n v="5.7643966899972945"/>
    <n v="1583.9660521281726"/>
    <n v="1"/>
    <n v="0"/>
    <n v="0"/>
    <n v="0"/>
    <n v="0"/>
    <n v="0"/>
    <n v="0"/>
    <n v="0"/>
    <n v="0"/>
    <n v="0"/>
  </r>
  <r>
    <d v="2021-09-06T00:00:00"/>
    <n v="2021"/>
    <x v="26"/>
    <s v="R"/>
    <s v="RS"/>
    <x v="6"/>
    <s v="PHX"/>
    <s v="H"/>
    <n v="1"/>
    <n v="1"/>
    <n v="0"/>
    <n v="0"/>
    <n v="0"/>
    <n v="0"/>
    <n v="1338.8773220267383"/>
    <n v="1578.2016554381753"/>
    <n v="0.29026059660537545"/>
    <n v="81"/>
    <n v="86"/>
    <n v="0"/>
    <n v="-5"/>
    <n v="0"/>
    <n v="0.27659309393451115"/>
    <n v="1"/>
    <n v="71.95"/>
    <n v="71.95"/>
    <n v="-5.776439301466648"/>
    <n v="1333.1008827252717"/>
    <n v="0"/>
    <n v="1"/>
    <n v="0"/>
    <n v="0"/>
    <n v="0"/>
    <n v="0"/>
    <n v="0"/>
    <n v="0"/>
    <n v="0"/>
    <n v="0"/>
  </r>
  <r>
    <d v="2021-09-07T00:00:00"/>
    <n v="2021"/>
    <x v="28"/>
    <s v="R"/>
    <s v="RS"/>
    <x v="0"/>
    <s v="DAL"/>
    <s v="A"/>
    <n v="6"/>
    <n v="1"/>
    <n v="5"/>
    <n v="-5"/>
    <n v="16"/>
    <n v="-16"/>
    <n v="1663.1498183782801"/>
    <n v="1454.6060727294869"/>
    <n v="0.71118335467345595"/>
    <n v="83"/>
    <n v="56"/>
    <n v="0"/>
    <n v="27"/>
    <n v="1"/>
    <n v="0.56796248073325517"/>
    <n v="1"/>
    <n v="71.650000000000006"/>
    <n v="71.650000000000006"/>
    <n v="11.753252365259037"/>
    <n v="1674.903070743539"/>
    <n v="1"/>
    <n v="0"/>
    <n v="0"/>
    <n v="0"/>
    <n v="0"/>
    <n v="0"/>
    <n v="0"/>
    <n v="0"/>
    <n v="0"/>
    <n v="0"/>
  </r>
  <r>
    <d v="2021-09-07T00:00:00"/>
    <n v="2021"/>
    <x v="28"/>
    <s v="R"/>
    <s v="RS"/>
    <x v="2"/>
    <s v="CON"/>
    <s v="H"/>
    <n v="1"/>
    <n v="6"/>
    <n v="-5"/>
    <n v="5"/>
    <n v="-16"/>
    <n v="16"/>
    <n v="1454.6060727294869"/>
    <n v="1663.1498183782801"/>
    <n v="0.28881664532654405"/>
    <n v="56"/>
    <n v="83"/>
    <n v="0"/>
    <n v="-27"/>
    <n v="0"/>
    <n v="0.56796248073325517"/>
    <n v="1"/>
    <n v="71.650000000000006"/>
    <n v="71.650000000000006"/>
    <n v="-11.753252365259037"/>
    <n v="1442.8528203642279"/>
    <n v="0"/>
    <n v="1"/>
    <n v="0"/>
    <n v="0"/>
    <n v="0"/>
    <n v="0"/>
    <n v="0"/>
    <n v="0"/>
    <n v="0"/>
    <n v="0"/>
  </r>
  <r>
    <d v="2021-09-07T00:00:00"/>
    <n v="2021"/>
    <x v="27"/>
    <s v="R"/>
    <s v="RS"/>
    <x v="11"/>
    <s v="SEA"/>
    <s v="A"/>
    <n v="2"/>
    <n v="4"/>
    <n v="-2"/>
    <n v="2"/>
    <n v="-16"/>
    <n v="16"/>
    <n v="1425.81159585314"/>
    <n v="1622.0756286101741"/>
    <n v="0.14215123817744055"/>
    <n v="71"/>
    <n v="105"/>
    <n v="0"/>
    <n v="-34"/>
    <n v="0"/>
    <n v="0.64516561546336937"/>
    <n v="1"/>
    <n v="71.8"/>
    <n v="71.8"/>
    <n v="-6.5848563386557224"/>
    <n v="1419.2267395144843"/>
    <n v="0"/>
    <n v="1"/>
    <n v="0"/>
    <n v="0"/>
    <n v="0"/>
    <n v="0"/>
    <n v="0"/>
    <n v="0"/>
    <n v="0"/>
    <n v="0"/>
  </r>
  <r>
    <d v="2021-09-07T00:00:00"/>
    <n v="2021"/>
    <x v="30"/>
    <s v="R"/>
    <s v="RS"/>
    <x v="9"/>
    <s v="WAS"/>
    <s v="H"/>
    <n v="4"/>
    <n v="2"/>
    <n v="2"/>
    <n v="-2"/>
    <n v="16"/>
    <n v="-16"/>
    <n v="1622.0756286101741"/>
    <n v="1425.81159585314"/>
    <n v="0.85784876182255954"/>
    <n v="105"/>
    <n v="71"/>
    <n v="0"/>
    <n v="34"/>
    <n v="1"/>
    <n v="0.64516561546336937"/>
    <n v="1"/>
    <n v="71.349999999999994"/>
    <n v="71.349999999999994"/>
    <n v="6.5435863476752845"/>
    <n v="1628.6192149578494"/>
    <n v="1"/>
    <n v="0"/>
    <n v="0"/>
    <n v="0"/>
    <n v="0"/>
    <n v="0"/>
    <n v="0"/>
    <n v="0"/>
    <n v="0"/>
    <n v="0"/>
  </r>
  <r>
    <d v="2021-09-08T00:00:00"/>
    <n v="2021"/>
    <x v="28"/>
    <s v="R"/>
    <s v="RS"/>
    <x v="4"/>
    <s v="ATL"/>
    <s v="A"/>
    <n v="1"/>
    <n v="2"/>
    <n v="-1"/>
    <n v="1"/>
    <n v="-8"/>
    <n v="8"/>
    <n v="1583.9660521281726"/>
    <n v="1339.1361050206438"/>
    <n v="0.69713843636340578"/>
    <n v="76"/>
    <n v="75"/>
    <n v="0"/>
    <n v="1"/>
    <n v="1"/>
    <n v="0.20280283208757782"/>
    <n v="1"/>
    <n v="71.650000000000006"/>
    <n v="71.650000000000006"/>
    <n v="4.4008277501975002"/>
    <n v="1588.3668798783701"/>
    <n v="1"/>
    <n v="0"/>
    <n v="0"/>
    <n v="0"/>
    <n v="0"/>
    <n v="0"/>
    <n v="0"/>
    <n v="0"/>
    <n v="0"/>
    <n v="0"/>
  </r>
  <r>
    <d v="2021-09-08T00:00:00"/>
    <n v="2021"/>
    <x v="27"/>
    <s v="R"/>
    <s v="RS"/>
    <x v="1"/>
    <s v="PHX"/>
    <s v="H"/>
    <n v="2"/>
    <n v="1"/>
    <n v="1"/>
    <n v="-1"/>
    <n v="8"/>
    <n v="-8"/>
    <n v="1339.1361050206438"/>
    <n v="1583.9660521281726"/>
    <n v="0.30286156363659417"/>
    <n v="75"/>
    <n v="76"/>
    <n v="0"/>
    <n v="-1"/>
    <n v="0"/>
    <n v="0.20280283208757782"/>
    <n v="1"/>
    <n v="71.8"/>
    <n v="71.8"/>
    <n v="-4.4100409276228953"/>
    <n v="1334.7260640930208"/>
    <n v="0"/>
    <n v="1"/>
    <n v="0"/>
    <n v="0"/>
    <n v="0"/>
    <n v="0"/>
    <n v="0"/>
    <n v="0"/>
    <n v="0"/>
    <n v="0"/>
  </r>
  <r>
    <d v="2021-09-08T00:00:00"/>
    <n v="2021"/>
    <x v="27"/>
    <s v="R"/>
    <s v="RS"/>
    <x v="5"/>
    <s v="LVA"/>
    <s v="A"/>
    <n v="3"/>
    <n v="2"/>
    <n v="1"/>
    <n v="-1"/>
    <n v="8"/>
    <n v="-8"/>
    <n v="1619.0430431530297"/>
    <n v="1633.5705614268234"/>
    <n v="0.38341775448184351"/>
    <n v="81"/>
    <n v="102"/>
    <n v="0"/>
    <n v="-21"/>
    <n v="0"/>
    <n v="0.5815360596594269"/>
    <n v="1"/>
    <n v="71.8"/>
    <n v="71.8"/>
    <n v="-16.009335760399285"/>
    <n v="1603.0337073926303"/>
    <n v="0"/>
    <n v="1"/>
    <n v="0"/>
    <n v="0"/>
    <n v="0"/>
    <n v="0"/>
    <n v="0"/>
    <n v="0"/>
    <n v="0"/>
    <n v="0"/>
  </r>
  <r>
    <d v="2021-09-08T00:00:00"/>
    <n v="2021"/>
    <x v="28"/>
    <s v="R"/>
    <s v="RS"/>
    <x v="8"/>
    <s v="MIN"/>
    <s v="H"/>
    <n v="2"/>
    <n v="3"/>
    <n v="-1"/>
    <n v="1"/>
    <n v="-8"/>
    <n v="8"/>
    <n v="1633.5705614268234"/>
    <n v="1619.0430431530297"/>
    <n v="0.61658224551815644"/>
    <n v="102"/>
    <n v="81"/>
    <n v="0"/>
    <n v="21"/>
    <n v="1"/>
    <n v="0.5815360596594269"/>
    <n v="1"/>
    <n v="71.650000000000006"/>
    <n v="71.650000000000006"/>
    <n v="15.975890072877563"/>
    <n v="1649.5464514997009"/>
    <n v="1"/>
    <n v="0"/>
    <n v="0"/>
    <n v="0"/>
    <n v="0"/>
    <n v="0"/>
    <n v="0"/>
    <n v="0"/>
    <n v="0"/>
    <n v="0"/>
  </r>
  <r>
    <d v="2021-09-09T00:00:00"/>
    <n v="2021"/>
    <x v="29"/>
    <s v="R"/>
    <s v="RS"/>
    <x v="0"/>
    <s v="LAS"/>
    <s v="A"/>
    <n v="1"/>
    <n v="6"/>
    <n v="-5"/>
    <n v="5"/>
    <n v="-16"/>
    <n v="16"/>
    <n v="1674.903070743539"/>
    <n v="1405.2481272512196"/>
    <n v="0.70775571541711813"/>
    <n v="75"/>
    <n v="57"/>
    <n v="0"/>
    <n v="18"/>
    <n v="1"/>
    <n v="0.44649985457965069"/>
    <n v="1"/>
    <n v="71.5"/>
    <n v="71.5"/>
    <n v="9.3298226856113438"/>
    <n v="1684.2328934291504"/>
    <n v="1"/>
    <n v="0"/>
    <n v="0"/>
    <n v="0"/>
    <n v="0"/>
    <n v="0"/>
    <n v="0"/>
    <n v="0"/>
    <n v="0"/>
    <n v="0"/>
  </r>
  <r>
    <d v="2021-09-09T00:00:00"/>
    <n v="2021"/>
    <x v="28"/>
    <s v="R"/>
    <s v="RS"/>
    <x v="3"/>
    <s v="CON"/>
    <s v="H"/>
    <n v="6"/>
    <n v="1"/>
    <n v="5"/>
    <n v="-5"/>
    <n v="16"/>
    <n v="-16"/>
    <n v="1405.2481272512196"/>
    <n v="1674.903070743539"/>
    <n v="0.29224428458288187"/>
    <n v="57"/>
    <n v="75"/>
    <n v="0"/>
    <n v="-18"/>
    <n v="0"/>
    <n v="0.44649985457965069"/>
    <n v="1"/>
    <n v="71.650000000000006"/>
    <n v="71.650000000000006"/>
    <n v="-9.3493957401965417"/>
    <n v="1395.898731511023"/>
    <n v="0"/>
    <n v="1"/>
    <n v="0"/>
    <n v="0"/>
    <n v="0"/>
    <n v="0"/>
    <n v="0"/>
    <n v="0"/>
    <n v="0"/>
    <n v="0"/>
  </r>
  <r>
    <d v="2021-09-10T00:00:00"/>
    <n v="2021"/>
    <x v="27"/>
    <s v="R"/>
    <s v="RS"/>
    <x v="6"/>
    <s v="MIN"/>
    <s v="A"/>
    <n v="3"/>
    <n v="1"/>
    <n v="2"/>
    <n v="-2"/>
    <n v="16"/>
    <n v="-16"/>
    <n v="1333.1008827252717"/>
    <n v="1603.0337073926303"/>
    <n v="0.13549828476017559"/>
    <n v="72"/>
    <n v="89"/>
    <n v="0"/>
    <n v="-17"/>
    <n v="0"/>
    <n v="0.43466645017807859"/>
    <n v="1"/>
    <n v="71.8"/>
    <n v="71.8"/>
    <n v="-4.228772896130141"/>
    <n v="1328.8721098291417"/>
    <n v="0"/>
    <n v="1"/>
    <n v="0"/>
    <n v="0"/>
    <n v="0"/>
    <n v="0"/>
    <n v="0"/>
    <n v="0"/>
    <n v="0"/>
    <n v="0"/>
  </r>
  <r>
    <d v="2021-09-10T00:00:00"/>
    <n v="2021"/>
    <x v="28"/>
    <s v="R"/>
    <s v="RS"/>
    <x v="5"/>
    <s v="IND"/>
    <s v="H"/>
    <n v="1"/>
    <n v="3"/>
    <n v="-2"/>
    <n v="2"/>
    <n v="-16"/>
    <n v="16"/>
    <n v="1603.0337073926303"/>
    <n v="1333.1008827252717"/>
    <n v="0.86450171523982444"/>
    <n v="89"/>
    <n v="72"/>
    <n v="0"/>
    <n v="17"/>
    <n v="1"/>
    <n v="0.43466645017807859"/>
    <n v="1"/>
    <n v="71.650000000000006"/>
    <n v="71.650000000000006"/>
    <n v="4.2199384123638515"/>
    <n v="1607.2536458049942"/>
    <n v="1"/>
    <n v="0"/>
    <n v="0"/>
    <n v="0"/>
    <n v="0"/>
    <n v="0"/>
    <n v="0"/>
    <n v="0"/>
    <n v="0"/>
    <n v="0"/>
  </r>
  <r>
    <d v="2021-09-10T00:00:00"/>
    <n v="2021"/>
    <x v="28"/>
    <s v="R"/>
    <s v="RS"/>
    <x v="1"/>
    <s v="WAS"/>
    <s v="A"/>
    <n v="1"/>
    <n v="2"/>
    <n v="-1"/>
    <n v="1"/>
    <n v="-8"/>
    <n v="8"/>
    <n v="1334.7260640930208"/>
    <n v="1419.2267395144843"/>
    <n v="0.25691383281427499"/>
    <n v="74"/>
    <n v="82"/>
    <n v="0"/>
    <n v="-8"/>
    <n v="0"/>
    <n v="0.36277025845137228"/>
    <n v="1"/>
    <n v="71.650000000000006"/>
    <n v="71.650000000000006"/>
    <n v="-6.6778299780078187"/>
    <n v="1328.048234115013"/>
    <n v="0"/>
    <n v="1"/>
    <n v="0"/>
    <n v="0"/>
    <n v="0"/>
    <n v="0"/>
    <n v="0"/>
    <n v="0"/>
    <n v="0"/>
    <n v="0"/>
  </r>
  <r>
    <d v="2021-09-10T00:00:00"/>
    <n v="2021"/>
    <x v="28"/>
    <s v="R"/>
    <s v="RS"/>
    <x v="11"/>
    <s v="ATL"/>
    <s v="H"/>
    <n v="2"/>
    <n v="1"/>
    <n v="1"/>
    <n v="-1"/>
    <n v="8"/>
    <n v="-8"/>
    <n v="1419.2267395144843"/>
    <n v="1334.7260640930208"/>
    <n v="0.74308616718572496"/>
    <n v="82"/>
    <n v="74"/>
    <n v="0"/>
    <n v="8"/>
    <n v="1"/>
    <n v="0.36277025845137228"/>
    <n v="1"/>
    <n v="71.650000000000006"/>
    <n v="71.650000000000006"/>
    <n v="6.6778299780078205"/>
    <n v="1425.9045694924921"/>
    <n v="1"/>
    <n v="0"/>
    <n v="0"/>
    <n v="0"/>
    <n v="0"/>
    <n v="0"/>
    <n v="0"/>
    <n v="0"/>
    <n v="0"/>
    <n v="0"/>
  </r>
  <r>
    <d v="2021-09-11T00:00:00"/>
    <n v="2021"/>
    <x v="29"/>
    <s v="R"/>
    <s v="RS"/>
    <x v="7"/>
    <s v="DAL"/>
    <s v="A"/>
    <n v="8"/>
    <n v="3"/>
    <n v="5"/>
    <n v="-5"/>
    <n v="16"/>
    <n v="-16"/>
    <n v="1355.6747424025889"/>
    <n v="1442.8528203642279"/>
    <n v="0.30977456914809715"/>
    <n v="76"/>
    <n v="77"/>
    <n v="0"/>
    <n v="-1"/>
    <n v="0"/>
    <n v="0.22764185482584381"/>
    <n v="1"/>
    <n v="71.5"/>
    <n v="71.5"/>
    <n v="-5.0420125111605856"/>
    <n v="1350.6327298914282"/>
    <n v="0"/>
    <n v="1"/>
    <n v="0"/>
    <n v="0"/>
    <n v="0"/>
    <n v="0"/>
    <n v="0"/>
    <n v="0"/>
    <n v="0"/>
    <n v="0"/>
  </r>
  <r>
    <d v="2021-09-11T00:00:00"/>
    <n v="2021"/>
    <x v="29"/>
    <s v="R"/>
    <s v="RS"/>
    <x v="2"/>
    <s v="NYL"/>
    <s v="H"/>
    <n v="3"/>
    <n v="8"/>
    <n v="-5"/>
    <n v="5"/>
    <n v="-16"/>
    <n v="16"/>
    <n v="1442.8528203642279"/>
    <n v="1355.6747424025889"/>
    <n v="0.69022543085190291"/>
    <n v="77"/>
    <n v="76"/>
    <n v="0"/>
    <n v="1"/>
    <n v="1"/>
    <n v="0.22764185482584381"/>
    <n v="1"/>
    <n v="71.5"/>
    <n v="71.5"/>
    <n v="5.0420125111605847"/>
    <n v="1447.8948328753886"/>
    <n v="1"/>
    <n v="0"/>
    <n v="0"/>
    <n v="0"/>
    <n v="0"/>
    <n v="0"/>
    <n v="0"/>
    <n v="0"/>
    <n v="0"/>
    <n v="0"/>
  </r>
  <r>
    <d v="2021-09-11T00:00:00"/>
    <n v="2021"/>
    <x v="30"/>
    <s v="R"/>
    <s v="RS"/>
    <x v="0"/>
    <s v="PHX"/>
    <s v="A"/>
    <n v="1"/>
    <n v="2"/>
    <n v="-1"/>
    <n v="1"/>
    <n v="-8"/>
    <n v="8"/>
    <n v="1684.2328934291504"/>
    <n v="1588.3668798783701"/>
    <n v="0.49405099600977503"/>
    <n v="76"/>
    <n v="67"/>
    <n v="0"/>
    <n v="9"/>
    <n v="1"/>
    <n v="0.3759384284196301"/>
    <n v="1"/>
    <n v="71.349999999999994"/>
    <n v="71.349999999999994"/>
    <n v="13.571174798557124"/>
    <n v="1697.8040682277076"/>
    <n v="1"/>
    <n v="0"/>
    <n v="0"/>
    <n v="0"/>
    <n v="0"/>
    <n v="0"/>
    <n v="0"/>
    <n v="0"/>
    <n v="0"/>
    <n v="0"/>
  </r>
  <r>
    <d v="2021-09-11T00:00:00"/>
    <n v="2021"/>
    <x v="29"/>
    <s v="R"/>
    <s v="RS"/>
    <x v="4"/>
    <s v="CON"/>
    <s v="H"/>
    <n v="2"/>
    <n v="1"/>
    <n v="1"/>
    <n v="-1"/>
    <n v="8"/>
    <n v="-8"/>
    <n v="1588.3668798783701"/>
    <n v="1684.2328934291504"/>
    <n v="0.50594900399022491"/>
    <n v="67"/>
    <n v="76"/>
    <n v="0"/>
    <n v="-9"/>
    <n v="0"/>
    <n v="0.3759384284196301"/>
    <n v="1"/>
    <n v="71.5"/>
    <n v="71.5"/>
    <n v="-13.599705649570206"/>
    <n v="1574.7671742287998"/>
    <n v="0"/>
    <n v="1"/>
    <n v="0"/>
    <n v="0"/>
    <n v="0"/>
    <n v="0"/>
    <n v="0"/>
    <n v="0"/>
    <n v="0"/>
    <n v="0"/>
  </r>
  <r>
    <d v="2021-09-12T00:00:00"/>
    <n v="2021"/>
    <x v="29"/>
    <s v="R"/>
    <s v="RS"/>
    <x v="11"/>
    <s v="CHI"/>
    <s v="A"/>
    <n v="1"/>
    <n v="6"/>
    <n v="-5"/>
    <n v="5"/>
    <n v="-16"/>
    <n v="16"/>
    <n v="1425.9045694924921"/>
    <n v="1565.1295959732158"/>
    <n v="0.18706525124953752"/>
    <n v="79"/>
    <n v="71"/>
    <n v="0"/>
    <n v="8"/>
    <n v="1"/>
    <n v="0.34794648605703432"/>
    <n v="1"/>
    <n v="71.5"/>
    <n v="71.5"/>
    <n v="20.224331929328773"/>
    <n v="1446.128901421821"/>
    <n v="1"/>
    <n v="0"/>
    <n v="0"/>
    <n v="0"/>
    <n v="0"/>
    <n v="0"/>
    <n v="0"/>
    <n v="0"/>
    <n v="0"/>
    <n v="0"/>
  </r>
  <r>
    <d v="2021-09-12T00:00:00"/>
    <n v="2021"/>
    <x v="29"/>
    <s v="R"/>
    <s v="RS"/>
    <x v="10"/>
    <s v="WAS"/>
    <s v="H"/>
    <n v="6"/>
    <n v="1"/>
    <n v="5"/>
    <n v="-5"/>
    <n v="16"/>
    <n v="-16"/>
    <n v="1565.1295959732158"/>
    <n v="1425.9045694924921"/>
    <n v="0.81293474875046245"/>
    <n v="71"/>
    <n v="79"/>
    <n v="0"/>
    <n v="-8"/>
    <n v="0"/>
    <n v="0.34794648605703432"/>
    <n v="1"/>
    <n v="71.5"/>
    <n v="71.5"/>
    <n v="-20.224331929328773"/>
    <n v="1544.905264043887"/>
    <n v="0"/>
    <n v="1"/>
    <n v="0"/>
    <n v="0"/>
    <n v="0"/>
    <n v="0"/>
    <n v="0"/>
    <n v="0"/>
    <n v="0"/>
    <n v="0"/>
  </r>
  <r>
    <d v="2021-09-12T00:00:00"/>
    <n v="2021"/>
    <x v="31"/>
    <s v="R"/>
    <s v="RS"/>
    <x v="9"/>
    <s v="LAS"/>
    <s v="A"/>
    <n v="4"/>
    <n v="2"/>
    <n v="2"/>
    <n v="-2"/>
    <n v="16"/>
    <n v="-16"/>
    <n v="1628.6192149578494"/>
    <n v="1395.898731511023"/>
    <n v="0.7389099568035602"/>
    <n v="53"/>
    <n v="81"/>
    <n v="0"/>
    <n v="-28"/>
    <n v="0"/>
    <n v="0.56878337505497611"/>
    <n v="1"/>
    <n v="71.2"/>
    <n v="71.2"/>
    <n v="-29.923914575382838"/>
    <n v="1598.6953003824665"/>
    <n v="0"/>
    <n v="1"/>
    <n v="0"/>
    <n v="0"/>
    <n v="0"/>
    <n v="0"/>
    <n v="0"/>
    <n v="0"/>
    <n v="0"/>
    <n v="0"/>
  </r>
  <r>
    <d v="2021-09-12T00:00:00"/>
    <n v="2021"/>
    <x v="29"/>
    <s v="R"/>
    <s v="RS"/>
    <x v="3"/>
    <s v="SEA"/>
    <s v="H"/>
    <n v="2"/>
    <n v="4"/>
    <n v="-2"/>
    <n v="2"/>
    <n v="-16"/>
    <n v="16"/>
    <n v="1395.898731511023"/>
    <n v="1628.6192149578494"/>
    <n v="0.2610900431964398"/>
    <n v="81"/>
    <n v="53"/>
    <n v="0"/>
    <n v="28"/>
    <n v="1"/>
    <n v="0.56878337505497611"/>
    <n v="1"/>
    <n v="71.5"/>
    <n v="71.5"/>
    <n v="30.049998485110574"/>
    <n v="1425.9487299961336"/>
    <n v="1"/>
    <n v="0"/>
    <n v="0"/>
    <n v="0"/>
    <n v="0"/>
    <n v="0"/>
    <n v="0"/>
    <n v="0"/>
    <n v="0"/>
    <n v="0"/>
  </r>
  <r>
    <d v="2021-09-12T00:00:00"/>
    <n v="2021"/>
    <x v="28"/>
    <s v="R"/>
    <s v="RS"/>
    <x v="6"/>
    <s v="MIN"/>
    <s v="A"/>
    <n v="1"/>
    <n v="1"/>
    <n v="0"/>
    <n v="0"/>
    <n v="0"/>
    <n v="0"/>
    <n v="1328.8721098291417"/>
    <n v="1607.2536458049942"/>
    <n v="0.11046149392454699"/>
    <n v="80"/>
    <n v="90"/>
    <n v="0"/>
    <n v="-10"/>
    <n v="0"/>
    <n v="0.34345372073629188"/>
    <n v="1"/>
    <n v="71.650000000000006"/>
    <n v="71.650000000000006"/>
    <n v="-2.7182871543459313"/>
    <n v="1326.1538226747957"/>
    <n v="0"/>
    <n v="1"/>
    <n v="0"/>
    <n v="0"/>
    <n v="0"/>
    <n v="0"/>
    <n v="0"/>
    <n v="0"/>
    <n v="0"/>
    <n v="0"/>
  </r>
  <r>
    <d v="2021-09-12T00:00:00"/>
    <n v="2021"/>
    <x v="29"/>
    <s v="R"/>
    <s v="RS"/>
    <x v="5"/>
    <s v="IND"/>
    <s v="H"/>
    <n v="1"/>
    <n v="1"/>
    <n v="0"/>
    <n v="0"/>
    <n v="0"/>
    <n v="0"/>
    <n v="1607.2536458049942"/>
    <n v="1328.8721098291417"/>
    <n v="0.88953850607545304"/>
    <n v="90"/>
    <n v="80"/>
    <n v="0"/>
    <n v="10"/>
    <n v="1"/>
    <n v="0.34345372073629188"/>
    <n v="1"/>
    <n v="71.5"/>
    <n v="71.5"/>
    <n v="2.712596392682959"/>
    <n v="1609.9662421976773"/>
    <n v="1"/>
    <n v="0"/>
    <n v="0"/>
    <n v="0"/>
    <n v="0"/>
    <n v="0"/>
    <n v="0"/>
    <n v="0"/>
    <n v="0"/>
    <n v="0"/>
  </r>
  <r>
    <d v="2021-09-13T00:00:00"/>
    <n v="2021"/>
    <x v="30"/>
    <s v="R"/>
    <s v="RS"/>
    <x v="2"/>
    <s v="LVA"/>
    <s v="A"/>
    <n v="1"/>
    <n v="4"/>
    <n v="-3"/>
    <n v="3"/>
    <n v="-16"/>
    <n v="16"/>
    <n v="1447.8948328753886"/>
    <n v="1649.5464514997009"/>
    <n v="0.13841113529267784"/>
    <n v="75"/>
    <n v="85"/>
    <n v="0"/>
    <n v="-10"/>
    <n v="0"/>
    <n v="0.36225523693047978"/>
    <n v="1"/>
    <n v="71.349999999999994"/>
    <n v="71.349999999999994"/>
    <n v="-3.5775003167711077"/>
    <n v="1444.3173325586174"/>
    <n v="0"/>
    <n v="1"/>
    <n v="0"/>
    <n v="0"/>
    <n v="0"/>
    <n v="0"/>
    <n v="0"/>
    <n v="0"/>
    <n v="0"/>
    <n v="0"/>
  </r>
  <r>
    <d v="2021-09-13T00:00:00"/>
    <n v="2021"/>
    <x v="29"/>
    <s v="R"/>
    <s v="RS"/>
    <x v="8"/>
    <s v="DAL"/>
    <s v="H"/>
    <n v="4"/>
    <n v="1"/>
    <n v="3"/>
    <n v="-3"/>
    <n v="16"/>
    <n v="-16"/>
    <n v="1649.5464514997009"/>
    <n v="1447.8948328753886"/>
    <n v="0.86158886470732221"/>
    <n v="85"/>
    <n v="75"/>
    <n v="0"/>
    <n v="10"/>
    <n v="1"/>
    <n v="0.36225523693047978"/>
    <n v="1"/>
    <n v="71.5"/>
    <n v="71.5"/>
    <n v="3.5850213405624967"/>
    <n v="1653.1314728402633"/>
    <n v="1"/>
    <n v="0"/>
    <n v="0"/>
    <n v="0"/>
    <n v="0"/>
    <n v="0"/>
    <n v="0"/>
    <n v="0"/>
    <n v="0"/>
    <n v="0"/>
  </r>
  <r>
    <d v="2021-09-14T00:00:00"/>
    <n v="2021"/>
    <x v="29"/>
    <s v="R"/>
    <s v="RS"/>
    <x v="6"/>
    <s v="ATL"/>
    <s v="A"/>
    <n v="1"/>
    <n v="3"/>
    <n v="-2"/>
    <n v="2"/>
    <n v="-16"/>
    <n v="16"/>
    <n v="1326.1538226747957"/>
    <n v="1328.048234115013"/>
    <n v="0.33656160656270867"/>
    <n v="78"/>
    <n v="85"/>
    <n v="0"/>
    <n v="-7"/>
    <n v="0"/>
    <n v="0.36952381403653373"/>
    <n v="1"/>
    <n v="71.5"/>
    <n v="71.5"/>
    <n v="-8.8922782888450502"/>
    <n v="1317.2615443859506"/>
    <n v="0"/>
    <n v="1"/>
    <n v="0"/>
    <n v="0"/>
    <n v="0"/>
    <n v="0"/>
    <n v="0"/>
    <n v="0"/>
    <n v="0"/>
    <n v="0"/>
  </r>
  <r>
    <d v="2021-09-14T00:00:00"/>
    <n v="2021"/>
    <x v="29"/>
    <s v="R"/>
    <s v="RS"/>
    <x v="1"/>
    <s v="IND"/>
    <s v="H"/>
    <n v="3"/>
    <n v="1"/>
    <n v="2"/>
    <n v="-2"/>
    <n v="16"/>
    <n v="-16"/>
    <n v="1328.048234115013"/>
    <n v="1326.1538226747957"/>
    <n v="0.66343839343729138"/>
    <n v="85"/>
    <n v="78"/>
    <n v="0"/>
    <n v="7"/>
    <n v="1"/>
    <n v="0.36952381403653373"/>
    <n v="1"/>
    <n v="71.5"/>
    <n v="71.5"/>
    <n v="8.8922782888450485"/>
    <n v="1336.9405124038581"/>
    <n v="1"/>
    <n v="0"/>
    <n v="0"/>
    <n v="0"/>
    <n v="0"/>
    <n v="0"/>
    <n v="0"/>
    <n v="0"/>
    <n v="0"/>
    <n v="0"/>
  </r>
  <r>
    <d v="2021-09-15T00:00:00"/>
    <n v="2021"/>
    <x v="30"/>
    <s v="R"/>
    <s v="RS"/>
    <x v="7"/>
    <s v="CON"/>
    <s v="A"/>
    <n v="3"/>
    <n v="3"/>
    <n v="0"/>
    <n v="0"/>
    <n v="0"/>
    <n v="0"/>
    <n v="1350.6327298914282"/>
    <n v="1697.8040682277076"/>
    <n v="7.7128172741759926E-2"/>
    <n v="69"/>
    <n v="98"/>
    <n v="0"/>
    <n v="-29"/>
    <n v="0"/>
    <n v="0.53622732237611226"/>
    <n v="1"/>
    <n v="71.349999999999994"/>
    <n v="71.349999999999994"/>
    <n v="-2.9509099637265845"/>
    <n v="1347.6818199277016"/>
    <n v="0"/>
    <n v="1"/>
    <n v="0"/>
    <n v="0"/>
    <n v="0"/>
    <n v="0"/>
    <n v="0"/>
    <n v="0"/>
    <n v="0"/>
    <n v="0"/>
  </r>
  <r>
    <d v="2021-09-15T00:00:00"/>
    <n v="2021"/>
    <x v="31"/>
    <s v="R"/>
    <s v="RS"/>
    <x v="0"/>
    <s v="NYL"/>
    <s v="H"/>
    <n v="3"/>
    <n v="3"/>
    <n v="0"/>
    <n v="0"/>
    <n v="0"/>
    <n v="0"/>
    <n v="1697.8040682277076"/>
    <n v="1350.6327298914282"/>
    <n v="0.92287182725824002"/>
    <n v="98"/>
    <n v="69"/>
    <n v="0"/>
    <n v="29"/>
    <n v="1"/>
    <n v="0.53622732237611226"/>
    <n v="1"/>
    <n v="71.2"/>
    <n v="71.2"/>
    <n v="2.9447062286942258"/>
    <n v="1700.7487744564019"/>
    <n v="1"/>
    <n v="0"/>
    <n v="0"/>
    <n v="0"/>
    <n v="0"/>
    <n v="0"/>
    <n v="0"/>
    <n v="0"/>
    <n v="0"/>
    <n v="0"/>
  </r>
  <r>
    <d v="2021-09-16T00:00:00"/>
    <n v="2021"/>
    <x v="30"/>
    <s v="R"/>
    <s v="RS"/>
    <x v="3"/>
    <s v="ATL"/>
    <s v="A"/>
    <n v="3"/>
    <n v="1"/>
    <n v="2"/>
    <n v="-2"/>
    <n v="16"/>
    <n v="-16"/>
    <n v="1425.9487299961336"/>
    <n v="1336.9405124038581"/>
    <n v="0.55305858809311503"/>
    <n v="74"/>
    <n v="68"/>
    <n v="0"/>
    <n v="6"/>
    <n v="1"/>
    <n v="0.32702422494759131"/>
    <n v="1"/>
    <n v="71.349999999999994"/>
    <n v="71.349999999999994"/>
    <n v="10.428563720723057"/>
    <n v="1436.3772937168567"/>
    <n v="1"/>
    <n v="0"/>
    <n v="0"/>
    <n v="0"/>
    <n v="0"/>
    <n v="0"/>
    <n v="0"/>
    <n v="0"/>
    <n v="0"/>
    <n v="0"/>
  </r>
  <r>
    <d v="2021-09-16T00:00:00"/>
    <n v="2021"/>
    <x v="30"/>
    <s v="R"/>
    <s v="RS"/>
    <x v="1"/>
    <s v="LAS"/>
    <s v="H"/>
    <n v="1"/>
    <n v="3"/>
    <n v="-2"/>
    <n v="2"/>
    <n v="-16"/>
    <n v="16"/>
    <n v="1336.9405124038581"/>
    <n v="1425.9487299961336"/>
    <n v="0.44694141190688497"/>
    <n v="68"/>
    <n v="74"/>
    <n v="0"/>
    <n v="-6"/>
    <n v="0"/>
    <n v="0.32702422494759131"/>
    <n v="1"/>
    <n v="71.349999999999994"/>
    <n v="71.349999999999994"/>
    <n v="-10.428563720723057"/>
    <n v="1326.511948683135"/>
    <n v="0"/>
    <n v="1"/>
    <n v="0"/>
    <n v="0"/>
    <n v="0"/>
    <n v="0"/>
    <n v="0"/>
    <n v="0"/>
    <n v="0"/>
    <n v="0"/>
  </r>
  <r>
    <d v="2021-09-17T00:00:00"/>
    <n v="2021"/>
    <x v="30"/>
    <s v="R"/>
    <s v="RS"/>
    <x v="8"/>
    <s v="CHI"/>
    <s v="A"/>
    <n v="3"/>
    <n v="4"/>
    <n v="-1"/>
    <n v="1"/>
    <n v="-8"/>
    <n v="8"/>
    <n v="1653.1314728402633"/>
    <n v="1544.905264043887"/>
    <n v="0.51183625438412228"/>
    <n v="103"/>
    <n v="70"/>
    <n v="0"/>
    <n v="33"/>
    <n v="1"/>
    <n v="0.67793383944325891"/>
    <n v="1"/>
    <n v="71.349999999999994"/>
    <n v="71.349999999999994"/>
    <n v="23.612763239128409"/>
    <n v="1676.7442360793916"/>
    <n v="1"/>
    <n v="0"/>
    <n v="0"/>
    <n v="0"/>
    <n v="0"/>
    <n v="0"/>
    <n v="0"/>
    <n v="0"/>
    <n v="0"/>
    <n v="0"/>
  </r>
  <r>
    <d v="2021-09-17T00:00:00"/>
    <n v="2021"/>
    <x v="30"/>
    <s v="R"/>
    <s v="RS"/>
    <x v="10"/>
    <s v="LVA"/>
    <s v="H"/>
    <n v="4"/>
    <n v="3"/>
    <n v="1"/>
    <n v="-1"/>
    <n v="8"/>
    <n v="-8"/>
    <n v="1544.905264043887"/>
    <n v="1653.1314728402633"/>
    <n v="0.48816374561587778"/>
    <n v="70"/>
    <n v="103"/>
    <n v="0"/>
    <n v="-33"/>
    <n v="0"/>
    <n v="0.67793383944325891"/>
    <n v="1"/>
    <n v="71.349999999999994"/>
    <n v="71.349999999999994"/>
    <n v="-23.612763239128412"/>
    <n v="1521.2925008047587"/>
    <n v="0"/>
    <n v="1"/>
    <n v="0"/>
    <n v="0"/>
    <n v="0"/>
    <n v="0"/>
    <n v="0"/>
    <n v="0"/>
    <n v="0"/>
    <n v="0"/>
  </r>
  <r>
    <d v="2021-09-17T00:00:00"/>
    <n v="2021"/>
    <x v="30"/>
    <s v="R"/>
    <s v="RS"/>
    <x v="5"/>
    <s v="IND"/>
    <s v="A"/>
    <n v="4"/>
    <n v="2"/>
    <n v="2"/>
    <n v="-2"/>
    <n v="16"/>
    <n v="-16"/>
    <n v="1609.9662421976773"/>
    <n v="1317.2615443859506"/>
    <n v="0.79989009918116261"/>
    <n v="92"/>
    <n v="73"/>
    <n v="0"/>
    <n v="19"/>
    <n v="1"/>
    <n v="0.45097539269125175"/>
    <n v="1"/>
    <n v="71.349999999999994"/>
    <n v="71.349999999999994"/>
    <n v="6.4389551427120804"/>
    <n v="1616.4051973403893"/>
    <n v="1"/>
    <n v="0"/>
    <n v="0"/>
    <n v="0"/>
    <n v="0"/>
    <n v="0"/>
    <n v="0"/>
    <n v="0"/>
    <n v="0"/>
    <n v="0"/>
  </r>
  <r>
    <d v="2021-09-17T00:00:00"/>
    <n v="2021"/>
    <x v="30"/>
    <s v="R"/>
    <s v="RS"/>
    <x v="6"/>
    <s v="MIN"/>
    <s v="H"/>
    <n v="2"/>
    <n v="4"/>
    <n v="-2"/>
    <n v="2"/>
    <n v="-16"/>
    <n v="16"/>
    <n v="1317.2615443859506"/>
    <n v="1609.9662421976773"/>
    <n v="0.20010990081883739"/>
    <n v="73"/>
    <n v="92"/>
    <n v="0"/>
    <n v="-19"/>
    <n v="0"/>
    <n v="0.45097539269125175"/>
    <n v="1"/>
    <n v="71.349999999999994"/>
    <n v="71.349999999999994"/>
    <n v="-6.4389551427120804"/>
    <n v="1310.8225892432386"/>
    <n v="0"/>
    <n v="1"/>
    <n v="0"/>
    <n v="0"/>
    <n v="0"/>
    <n v="0"/>
    <n v="0"/>
    <n v="0"/>
    <n v="0"/>
    <n v="0"/>
  </r>
  <r>
    <d v="2021-09-17T00:00:00"/>
    <n v="2021"/>
    <x v="30"/>
    <s v="R"/>
    <s v="RS"/>
    <x v="11"/>
    <s v="NYL"/>
    <s v="A"/>
    <n v="4"/>
    <n v="1"/>
    <n v="3"/>
    <n v="-3"/>
    <n v="16"/>
    <n v="-16"/>
    <n v="1446.128901421821"/>
    <n v="1347.6818199277016"/>
    <n v="0.56644734968990451"/>
    <n v="80"/>
    <n v="91"/>
    <n v="0"/>
    <n v="-11"/>
    <n v="0"/>
    <n v="0.40648800542707991"/>
    <n v="1"/>
    <n v="71.349999999999994"/>
    <n v="71.349999999999994"/>
    <n v="-16.428626706872468"/>
    <n v="1429.7002747149486"/>
    <n v="0"/>
    <n v="1"/>
    <n v="0"/>
    <n v="0"/>
    <n v="0"/>
    <n v="0"/>
    <n v="0"/>
    <n v="0"/>
    <n v="0"/>
    <n v="0"/>
  </r>
  <r>
    <d v="2021-09-17T00:00:00"/>
    <n v="2021"/>
    <x v="31"/>
    <s v="R"/>
    <s v="RS"/>
    <x v="7"/>
    <s v="WAS"/>
    <s v="H"/>
    <n v="1"/>
    <n v="4"/>
    <n v="-3"/>
    <n v="3"/>
    <n v="-16"/>
    <n v="16"/>
    <n v="1347.6818199277016"/>
    <n v="1446.128901421821"/>
    <n v="0.43355265031009549"/>
    <n v="91"/>
    <n v="80"/>
    <n v="0"/>
    <n v="11"/>
    <n v="1"/>
    <n v="0.40648800542707991"/>
    <n v="1"/>
    <n v="71.2"/>
    <n v="71.2"/>
    <n v="16.394088598869232"/>
    <n v="1364.0759085265709"/>
    <n v="1"/>
    <n v="0"/>
    <n v="0"/>
    <n v="0"/>
    <n v="0"/>
    <n v="0"/>
    <n v="0"/>
    <n v="0"/>
    <n v="0"/>
    <n v="0"/>
  </r>
  <r>
    <d v="2021-09-17T00:00:00"/>
    <n v="2021"/>
    <x v="30"/>
    <s v="R"/>
    <s v="RS"/>
    <x v="4"/>
    <s v="SEA"/>
    <s v="A"/>
    <n v="5"/>
    <n v="4"/>
    <n v="1"/>
    <n v="-1"/>
    <n v="8"/>
    <n v="-8"/>
    <n v="1574.7671742287998"/>
    <n v="1598.6953003824665"/>
    <n v="0.37070796615677071"/>
    <n v="85"/>
    <n v="94"/>
    <n v="0"/>
    <n v="-9"/>
    <n v="0"/>
    <n v="0.3980346739049665"/>
    <n v="1"/>
    <n v="71.349999999999994"/>
    <n v="71.349999999999994"/>
    <n v="-10.528022452594147"/>
    <n v="1564.2391517762057"/>
    <n v="0"/>
    <n v="1"/>
    <n v="0"/>
    <n v="0"/>
    <n v="0"/>
    <n v="0"/>
    <n v="0"/>
    <n v="0"/>
    <n v="0"/>
    <n v="0"/>
  </r>
  <r>
    <d v="2021-09-17T00:00:00"/>
    <n v="2021"/>
    <x v="32"/>
    <s v="R"/>
    <s v="RS"/>
    <x v="9"/>
    <s v="PHX"/>
    <s v="H"/>
    <n v="4"/>
    <n v="5"/>
    <n v="-1"/>
    <n v="1"/>
    <n v="-8"/>
    <n v="8"/>
    <n v="1598.6953003824665"/>
    <n v="1574.7671742287998"/>
    <n v="0.62929203384322929"/>
    <n v="94"/>
    <n v="85"/>
    <n v="0"/>
    <n v="9"/>
    <n v="1"/>
    <n v="0.3980346739049665"/>
    <n v="1"/>
    <n v="71.05"/>
    <n v="71.05"/>
    <n v="10.483756065267192"/>
    <n v="1609.1790564477337"/>
    <n v="1"/>
    <n v="0"/>
    <n v="0"/>
    <n v="0"/>
    <n v="0"/>
    <n v="0"/>
    <n v="0"/>
    <n v="0"/>
    <n v="0"/>
    <n v="0"/>
  </r>
  <r>
    <d v="2021-09-19T00:00:00"/>
    <n v="2021"/>
    <x v="31"/>
    <s v="R"/>
    <s v="RS"/>
    <x v="6"/>
    <s v="CHI"/>
    <s v="A"/>
    <n v="1"/>
    <n v="1"/>
    <n v="0"/>
    <n v="0"/>
    <n v="0"/>
    <n v="0"/>
    <n v="1310.8225892432386"/>
    <n v="1521.2925008047587"/>
    <n v="0.15510565269729901"/>
    <n v="87"/>
    <n v="98"/>
    <n v="0"/>
    <n v="-11"/>
    <n v="0"/>
    <n v="0.3742037742051732"/>
    <n v="1"/>
    <n v="71.2"/>
    <n v="71.2"/>
    <n v="-4.13252778955989"/>
    <n v="1306.6900614536787"/>
    <n v="0"/>
    <n v="1"/>
    <n v="0"/>
    <n v="0"/>
    <n v="0"/>
    <n v="0"/>
    <n v="0"/>
    <n v="0"/>
    <n v="0"/>
    <n v="0"/>
  </r>
  <r>
    <d v="2021-09-19T00:00:00"/>
    <n v="2021"/>
    <x v="31"/>
    <s v="R"/>
    <s v="RS"/>
    <x v="10"/>
    <s v="IND"/>
    <s v="H"/>
    <n v="1"/>
    <n v="1"/>
    <n v="0"/>
    <n v="0"/>
    <n v="0"/>
    <n v="0"/>
    <n v="1521.2925008047587"/>
    <n v="1310.8225892432386"/>
    <n v="0.84489434730270097"/>
    <n v="98"/>
    <n v="87"/>
    <n v="0"/>
    <n v="11"/>
    <n v="1"/>
    <n v="0.3742037742051732"/>
    <n v="1"/>
    <n v="71.2"/>
    <n v="71.2"/>
    <n v="4.13252778955989"/>
    <n v="1525.4250285943185"/>
    <n v="1"/>
    <n v="0"/>
    <n v="0"/>
    <n v="0"/>
    <n v="0"/>
    <n v="0"/>
    <n v="0"/>
    <n v="0"/>
    <n v="0"/>
    <n v="0"/>
  </r>
  <r>
    <d v="2021-09-19T00:00:00"/>
    <n v="2021"/>
    <x v="31"/>
    <s v="R"/>
    <s v="RS"/>
    <x v="1"/>
    <s v="CON"/>
    <s v="A"/>
    <n v="2"/>
    <n v="3"/>
    <n v="-1"/>
    <n v="1"/>
    <n v="-8"/>
    <n v="8"/>
    <n v="1326.511948683135"/>
    <n v="1700.7487744564019"/>
    <n v="6.1230381004687022E-2"/>
    <n v="64"/>
    <n v="84"/>
    <n v="0"/>
    <n v="-20"/>
    <n v="0"/>
    <n v="0.43822175890958776"/>
    <n v="1"/>
    <n v="71.2"/>
    <n v="71.2"/>
    <n v="-1.9104729506955651"/>
    <n v="1324.6014757324394"/>
    <n v="0"/>
    <n v="1"/>
    <n v="0"/>
    <n v="0"/>
    <n v="0"/>
    <n v="0"/>
    <n v="0"/>
    <n v="0"/>
    <n v="0"/>
    <n v="0"/>
  </r>
  <r>
    <d v="2021-09-19T00:00:00"/>
    <n v="2021"/>
    <x v="32"/>
    <s v="R"/>
    <s v="RS"/>
    <x v="0"/>
    <s v="ATL"/>
    <s v="H"/>
    <n v="3"/>
    <n v="2"/>
    <n v="1"/>
    <n v="-1"/>
    <n v="8"/>
    <n v="-8"/>
    <n v="1700.7487744564019"/>
    <n v="1326.511948683135"/>
    <n v="0.93876961899531286"/>
    <n v="84"/>
    <n v="64"/>
    <n v="0"/>
    <n v="20"/>
    <n v="1"/>
    <n v="0.43822175890958776"/>
    <n v="1"/>
    <n v="71.05"/>
    <n v="71.05"/>
    <n v="1.9064480779061816"/>
    <n v="1702.655222534308"/>
    <n v="1"/>
    <n v="0"/>
    <n v="0"/>
    <n v="0"/>
    <n v="0"/>
    <n v="0"/>
    <n v="0"/>
    <n v="0"/>
    <n v="0"/>
    <n v="0"/>
  </r>
  <r>
    <d v="2021-09-19T00:00:00"/>
    <n v="2021"/>
    <x v="31"/>
    <s v="R"/>
    <s v="RS"/>
    <x v="3"/>
    <s v="DAL"/>
    <s v="A"/>
    <n v="2"/>
    <n v="5"/>
    <n v="-3"/>
    <n v="3"/>
    <n v="-16"/>
    <n v="16"/>
    <n v="1436.3772937168567"/>
    <n v="1444.3173325586174"/>
    <n v="0.32883559336377882"/>
    <n v="84"/>
    <n v="87"/>
    <n v="0"/>
    <n v="-3"/>
    <n v="0"/>
    <n v="0.28827608500529739"/>
    <n v="1"/>
    <n v="71.2"/>
    <n v="71.2"/>
    <n v="-6.7494351475296526"/>
    <n v="1429.6278585693271"/>
    <n v="0"/>
    <n v="1"/>
    <n v="0"/>
    <n v="0"/>
    <n v="0"/>
    <n v="0"/>
    <n v="0"/>
    <n v="0"/>
    <n v="0"/>
    <n v="0"/>
  </r>
  <r>
    <d v="2021-09-19T00:00:00"/>
    <n v="2021"/>
    <x v="31"/>
    <s v="R"/>
    <s v="RS"/>
    <x v="2"/>
    <s v="LAS"/>
    <s v="H"/>
    <n v="5"/>
    <n v="2"/>
    <n v="3"/>
    <n v="-3"/>
    <n v="16"/>
    <n v="-16"/>
    <n v="1444.3173325586174"/>
    <n v="1436.3772937168567"/>
    <n v="0.67116440663622123"/>
    <n v="87"/>
    <n v="84"/>
    <n v="0"/>
    <n v="3"/>
    <n v="1"/>
    <n v="0.28827608500529739"/>
    <n v="1"/>
    <n v="71.2"/>
    <n v="71.2"/>
    <n v="6.7494351475296508"/>
    <n v="1451.0667677061469"/>
    <n v="1"/>
    <n v="0"/>
    <n v="0"/>
    <n v="0"/>
    <n v="0"/>
    <n v="0"/>
    <n v="0"/>
    <n v="0"/>
    <n v="0"/>
    <n v="0"/>
  </r>
  <r>
    <d v="2021-09-19T00:00:00"/>
    <n v="2021"/>
    <x v="31"/>
    <s v="R"/>
    <s v="RS"/>
    <x v="8"/>
    <s v="PHX"/>
    <s v="A"/>
    <n v="1"/>
    <n v="1"/>
    <n v="0"/>
    <n v="0"/>
    <n v="0"/>
    <n v="0"/>
    <n v="1676.7442360793916"/>
    <n v="1564.2391517762057"/>
    <n v="0.54093031758264709"/>
    <n v="84"/>
    <n v="83"/>
    <n v="0"/>
    <n v="1"/>
    <n v="1"/>
    <n v="0.22324912007020167"/>
    <n v="1"/>
    <n v="71.2"/>
    <n v="71.2"/>
    <n v="7.2970674687213659"/>
    <n v="1684.0413035481129"/>
    <n v="1"/>
    <n v="0"/>
    <n v="0"/>
    <n v="0"/>
    <n v="0"/>
    <n v="0"/>
    <n v="0"/>
    <n v="0"/>
    <n v="0"/>
    <n v="0"/>
  </r>
  <r>
    <d v="2021-09-19T00:00:00"/>
    <n v="2021"/>
    <x v="31"/>
    <s v="R"/>
    <s v="RS"/>
    <x v="4"/>
    <s v="LVA"/>
    <s v="H"/>
    <n v="1"/>
    <n v="1"/>
    <n v="0"/>
    <n v="0"/>
    <n v="0"/>
    <n v="0"/>
    <n v="1564.2391517762057"/>
    <n v="1676.7442360793916"/>
    <n v="0.45906968241735296"/>
    <n v="83"/>
    <n v="84"/>
    <n v="0"/>
    <n v="-1"/>
    <n v="0"/>
    <n v="0.22324912007020167"/>
    <n v="1"/>
    <n v="71.2"/>
    <n v="71.2"/>
    <n v="-7.2970674687213668"/>
    <n v="1556.9420843074843"/>
    <n v="0"/>
    <n v="1"/>
    <n v="0"/>
    <n v="0"/>
    <n v="0"/>
    <n v="0"/>
    <n v="0"/>
    <n v="0"/>
    <n v="0"/>
    <n v="0"/>
  </r>
  <r>
    <d v="2021-09-19T00:00:00"/>
    <n v="2021"/>
    <x v="31"/>
    <s v="R"/>
    <s v="RS"/>
    <x v="5"/>
    <s v="WAS"/>
    <s v="A"/>
    <n v="1"/>
    <n v="1"/>
    <n v="0"/>
    <n v="0"/>
    <n v="0"/>
    <n v="0"/>
    <n v="1616.4051973403893"/>
    <n v="1429.7002747149486"/>
    <n v="0.64364434691556005"/>
    <n v="83"/>
    <n v="77"/>
    <n v="0"/>
    <n v="6"/>
    <n v="1"/>
    <n v="0.30398457987089028"/>
    <n v="1"/>
    <n v="71.2"/>
    <n v="71.2"/>
    <n v="7.7128555923093023"/>
    <n v="1624.1180529326987"/>
    <n v="1"/>
    <n v="0"/>
    <n v="0"/>
    <n v="0"/>
    <n v="0"/>
    <n v="0"/>
    <n v="0"/>
    <n v="0"/>
    <n v="0"/>
    <n v="0"/>
  </r>
  <r>
    <d v="2021-09-19T00:00:00"/>
    <n v="2021"/>
    <x v="31"/>
    <s v="R"/>
    <s v="RS"/>
    <x v="11"/>
    <s v="MIN"/>
    <s v="H"/>
    <n v="1"/>
    <n v="1"/>
    <n v="0"/>
    <n v="0"/>
    <n v="0"/>
    <n v="0"/>
    <n v="1429.7002747149486"/>
    <n v="1616.4051973403893"/>
    <n v="0.35635565308443984"/>
    <n v="77"/>
    <n v="83"/>
    <n v="0"/>
    <n v="-6"/>
    <n v="0"/>
    <n v="0.30398457987089028"/>
    <n v="1"/>
    <n v="71.2"/>
    <n v="71.2"/>
    <n v="-7.7128555923092996"/>
    <n v="1421.9874191226393"/>
    <n v="0"/>
    <n v="1"/>
    <n v="0"/>
    <n v="0"/>
    <n v="0"/>
    <n v="0"/>
    <n v="0"/>
    <n v="0"/>
    <n v="0"/>
    <n v="0"/>
  </r>
  <r>
    <d v="2021-09-23T00:00:00"/>
    <n v="2021"/>
    <x v="32"/>
    <s v="P"/>
    <n v="0.5"/>
    <x v="2"/>
    <s v="CHI"/>
    <s v="A"/>
    <n v="3"/>
    <n v="3"/>
    <n v="0"/>
    <n v="0"/>
    <n v="0"/>
    <n v="0"/>
    <n v="1451.0667677061469"/>
    <n v="1525.4250285943185"/>
    <n v="0.28667592838192957"/>
    <n v="64"/>
    <n v="81"/>
    <n v="0"/>
    <n v="-17"/>
    <n v="0"/>
    <n v="0.50137430148809981"/>
    <n v="1.05"/>
    <n v="71.05"/>
    <n v="74.602500000000006"/>
    <n v="-10.722762303465673"/>
    <n v="1440.3440054026812"/>
    <n v="0"/>
    <n v="0"/>
    <n v="0"/>
    <n v="0"/>
    <n v="0"/>
    <n v="0"/>
    <n v="0"/>
    <n v="0"/>
    <n v="0"/>
    <n v="0"/>
  </r>
  <r>
    <d v="2021-09-23T00:00:00"/>
    <n v="2021"/>
    <x v="32"/>
    <s v="P"/>
    <n v="0.5"/>
    <x v="10"/>
    <s v="DAL"/>
    <s v="H"/>
    <n v="3"/>
    <n v="3"/>
    <n v="0"/>
    <n v="0"/>
    <n v="0"/>
    <n v="0"/>
    <n v="1525.4250285943185"/>
    <n v="1451.0667677061469"/>
    <n v="0.71332407161807043"/>
    <n v="81"/>
    <n v="64"/>
    <n v="0"/>
    <n v="17"/>
    <n v="1"/>
    <n v="0.50137430148809981"/>
    <n v="1.05"/>
    <n v="71.05"/>
    <n v="74.602500000000006"/>
    <n v="10.722762303465673"/>
    <n v="1536.1477908977843"/>
    <n v="0"/>
    <n v="0"/>
    <n v="0"/>
    <n v="0"/>
    <n v="0"/>
    <n v="0"/>
    <n v="0"/>
    <n v="0"/>
    <n v="0"/>
    <n v="0"/>
  </r>
  <r>
    <d v="2021-09-23T00:00:00"/>
    <n v="2021"/>
    <x v="32"/>
    <s v="P"/>
    <n v="0.5"/>
    <x v="7"/>
    <s v="PHX"/>
    <s v="A"/>
    <n v="5"/>
    <n v="3"/>
    <n v="2"/>
    <n v="-2"/>
    <n v="16"/>
    <n v="-16"/>
    <n v="1364.0759085265709"/>
    <n v="1556.9420843074843"/>
    <n v="0.19630298946905358"/>
    <n v="82"/>
    <n v="83"/>
    <n v="0"/>
    <n v="-1"/>
    <n v="0"/>
    <n v="0.21036881378361585"/>
    <n v="1.05"/>
    <n v="71.05"/>
    <n v="74.602500000000006"/>
    <n v="-3.0807868570115624"/>
    <n v="1360.9951216695592"/>
    <n v="0"/>
    <n v="0"/>
    <n v="0"/>
    <n v="0"/>
    <n v="0"/>
    <n v="0"/>
    <n v="0"/>
    <n v="0"/>
    <n v="0"/>
    <n v="0"/>
  </r>
  <r>
    <d v="2021-09-23T00:00:00"/>
    <n v="2021"/>
    <x v="32"/>
    <s v="P"/>
    <n v="0.5"/>
    <x v="4"/>
    <s v="NYL"/>
    <s v="H"/>
    <n v="3"/>
    <n v="5"/>
    <n v="-2"/>
    <n v="2"/>
    <n v="-16"/>
    <n v="16"/>
    <n v="1556.9420843074843"/>
    <n v="1364.0759085265709"/>
    <n v="0.80369701053094633"/>
    <n v="83"/>
    <n v="82"/>
    <n v="0"/>
    <n v="1"/>
    <n v="1"/>
    <n v="0.21036881378361585"/>
    <n v="1.05"/>
    <n v="71.05"/>
    <n v="74.602500000000006"/>
    <n v="3.0807868570115633"/>
    <n v="1560.0228711644959"/>
    <n v="0"/>
    <n v="0"/>
    <n v="0"/>
    <n v="0"/>
    <n v="0"/>
    <n v="0"/>
    <n v="0"/>
    <n v="0"/>
    <n v="0"/>
    <n v="0"/>
  </r>
  <r>
    <d v="2021-09-26T00:00:00"/>
    <n v="2021"/>
    <x v="33"/>
    <s v="P"/>
    <n v="1"/>
    <x v="10"/>
    <s v="MIN"/>
    <s v="A"/>
    <n v="2"/>
    <n v="6"/>
    <n v="-4"/>
    <n v="4"/>
    <n v="-16"/>
    <n v="16"/>
    <n v="1536.1477908977843"/>
    <n v="1624.1180529326987"/>
    <n v="0.23610617448331081"/>
    <n v="89"/>
    <n v="76"/>
    <n v="0"/>
    <n v="13"/>
    <n v="1"/>
    <n v="0.43980247329777683"/>
    <n v="1.1000000000000001"/>
    <n v="70.900000000000006"/>
    <n v="77.990000000000009"/>
    <n v="26.201707092394955"/>
    <n v="1562.3494979901793"/>
    <n v="0"/>
    <n v="0"/>
    <n v="1"/>
    <n v="0"/>
    <n v="0"/>
    <n v="0"/>
    <n v="0"/>
    <n v="0"/>
    <n v="0"/>
    <n v="0"/>
  </r>
  <r>
    <d v="2021-09-26T00:00:00"/>
    <n v="2021"/>
    <x v="32"/>
    <s v="P"/>
    <n v="1"/>
    <x v="5"/>
    <s v="CHI"/>
    <s v="H"/>
    <n v="6"/>
    <n v="2"/>
    <n v="4"/>
    <n v="-4"/>
    <n v="16"/>
    <n v="-16"/>
    <n v="1624.1180529326987"/>
    <n v="1536.1477908977843"/>
    <n v="0.76389382551668916"/>
    <n v="76"/>
    <n v="89"/>
    <n v="0"/>
    <n v="-13"/>
    <n v="0"/>
    <n v="0.43980247329777683"/>
    <n v="1.1000000000000001"/>
    <n v="71.05"/>
    <n v="78.155000000000001"/>
    <n v="-26.257140887371811"/>
    <n v="1597.8609120453268"/>
    <n v="0"/>
    <n v="0"/>
    <n v="0"/>
    <n v="1"/>
    <n v="0"/>
    <n v="0"/>
    <n v="0"/>
    <n v="0"/>
    <n v="0"/>
    <n v="0"/>
  </r>
  <r>
    <d v="2021-09-26T00:00:00"/>
    <n v="2021"/>
    <x v="33"/>
    <s v="P"/>
    <n v="1"/>
    <x v="4"/>
    <s v="SEA"/>
    <s v="A"/>
    <n v="2"/>
    <n v="8"/>
    <n v="-6"/>
    <n v="6"/>
    <n v="-16"/>
    <n v="16"/>
    <n v="1560.0228711644959"/>
    <n v="1609.1790564477337"/>
    <n v="0.27874096686802291"/>
    <n v="85"/>
    <n v="80"/>
    <n v="1"/>
    <n v="5"/>
    <n v="1"/>
    <n v="0.28683078843091686"/>
    <n v="1.1000000000000001"/>
    <n v="70.900000000000006"/>
    <n v="77.990000000000009"/>
    <n v="16.134516383649569"/>
    <n v="1576.1573875481454"/>
    <n v="0"/>
    <n v="0"/>
    <n v="1"/>
    <n v="0"/>
    <n v="0"/>
    <n v="0"/>
    <n v="0"/>
    <n v="0"/>
    <n v="0"/>
    <n v="0"/>
  </r>
  <r>
    <d v="2021-09-26T00:00:00"/>
    <n v="2021"/>
    <x v="33"/>
    <s v="P"/>
    <n v="1"/>
    <x v="9"/>
    <s v="PHX"/>
    <s v="H"/>
    <n v="8"/>
    <n v="2"/>
    <n v="6"/>
    <n v="-6"/>
    <n v="16"/>
    <n v="-16"/>
    <n v="1609.1790564477337"/>
    <n v="1560.0228711644959"/>
    <n v="0.72125903313197715"/>
    <n v="80"/>
    <n v="85"/>
    <n v="1"/>
    <n v="-5"/>
    <n v="0"/>
    <n v="0.28683078843091686"/>
    <n v="1.1000000000000001"/>
    <n v="70.900000000000006"/>
    <n v="77.990000000000009"/>
    <n v="-16.134516383649572"/>
    <n v="1593.0445400640842"/>
    <n v="0"/>
    <n v="0"/>
    <n v="0"/>
    <n v="1"/>
    <n v="0"/>
    <n v="0"/>
    <n v="0"/>
    <n v="0"/>
    <n v="0"/>
    <n v="0"/>
  </r>
  <r>
    <d v="2021-09-28T00:00:00"/>
    <n v="2021"/>
    <x v="34"/>
    <s v="P"/>
    <n v="2"/>
    <x v="10"/>
    <s v="CON"/>
    <s v="A"/>
    <n v="1"/>
    <n v="8"/>
    <n v="-7"/>
    <n v="7"/>
    <n v="-16"/>
    <n v="16"/>
    <n v="1562.3494979901793"/>
    <n v="1702.655222534308"/>
    <n v="0.18612105377600047"/>
    <n v="101"/>
    <n v="95"/>
    <n v="1"/>
    <n v="6"/>
    <n v="1"/>
    <n v="0.283057227191437"/>
    <n v="1.2"/>
    <n v="70.75"/>
    <n v="84.899999999999991"/>
    <n v="19.558779580171819"/>
    <n v="1581.9082775703512"/>
    <n v="0"/>
    <n v="0"/>
    <n v="0"/>
    <n v="0"/>
    <n v="1"/>
    <n v="0"/>
    <n v="0"/>
    <n v="0"/>
    <n v="0"/>
    <n v="0"/>
  </r>
  <r>
    <d v="2021-09-28T00:00:00"/>
    <n v="2021"/>
    <x v="33"/>
    <s v="P"/>
    <n v="2"/>
    <x v="0"/>
    <s v="CHI"/>
    <s v="H"/>
    <n v="8"/>
    <n v="1"/>
    <n v="7"/>
    <n v="-7"/>
    <n v="16"/>
    <n v="-16"/>
    <n v="1702.655222534308"/>
    <n v="1562.3494979901793"/>
    <n v="0.81387894622399959"/>
    <n v="95"/>
    <n v="101"/>
    <n v="1"/>
    <n v="-6"/>
    <n v="0"/>
    <n v="0.283057227191437"/>
    <n v="1.2"/>
    <n v="70.900000000000006"/>
    <n v="85.08"/>
    <n v="-19.600246957373603"/>
    <n v="1683.0549755769343"/>
    <n v="0"/>
    <n v="0"/>
    <n v="0"/>
    <n v="0"/>
    <n v="0"/>
    <n v="1"/>
    <n v="0"/>
    <n v="0"/>
    <n v="0"/>
    <n v="0"/>
  </r>
  <r>
    <d v="2021-09-28T00:00:00"/>
    <n v="2021"/>
    <x v="34"/>
    <s v="P"/>
    <n v="2"/>
    <x v="4"/>
    <s v="LVA"/>
    <s v="A"/>
    <n v="1"/>
    <n v="8"/>
    <n v="-7"/>
    <n v="7"/>
    <n v="-16"/>
    <n v="16"/>
    <n v="1576.1573875481454"/>
    <n v="1684.0413035481129"/>
    <n v="0.21605947849621016"/>
    <n v="90"/>
    <n v="96"/>
    <n v="0"/>
    <n v="-6"/>
    <n v="0"/>
    <n v="0.32230453188721719"/>
    <n v="1.2"/>
    <n v="70.75"/>
    <n v="84.899999999999991"/>
    <n v="-5.9121769765963164"/>
    <n v="1570.245210571549"/>
    <n v="0"/>
    <n v="0"/>
    <n v="0"/>
    <n v="0"/>
    <n v="0"/>
    <n v="1"/>
    <n v="0"/>
    <n v="0"/>
    <n v="0"/>
    <n v="0"/>
  </r>
  <r>
    <d v="2021-09-28T00:00:00"/>
    <n v="2021"/>
    <x v="32"/>
    <s v="P"/>
    <n v="2"/>
    <x v="8"/>
    <s v="PHX"/>
    <s v="H"/>
    <n v="8"/>
    <n v="1"/>
    <n v="7"/>
    <n v="-7"/>
    <n v="16"/>
    <n v="-16"/>
    <n v="1684.0413035481129"/>
    <n v="1576.1573875481454"/>
    <n v="0.78394052150378979"/>
    <n v="96"/>
    <n v="90"/>
    <n v="0"/>
    <n v="6"/>
    <n v="1"/>
    <n v="0.32230453188721719"/>
    <n v="1.2"/>
    <n v="71.05"/>
    <n v="85.259999999999991"/>
    <n v="5.9372462782638644"/>
    <n v="1689.9785498263768"/>
    <n v="0"/>
    <n v="0"/>
    <n v="0"/>
    <n v="0"/>
    <n v="1"/>
    <n v="0"/>
    <n v="0"/>
    <n v="0"/>
    <n v="0"/>
    <n v="0"/>
  </r>
  <r>
    <d v="2021-09-30T00:00:00"/>
    <n v="2021"/>
    <x v="35"/>
    <s v="P"/>
    <n v="2"/>
    <x v="10"/>
    <s v="CON"/>
    <s v="A"/>
    <n v="1"/>
    <n v="1"/>
    <n v="0"/>
    <n v="0"/>
    <n v="0"/>
    <n v="0"/>
    <n v="1581.9082775703512"/>
    <n v="1683.0549755769343"/>
    <n v="0.2562045210821563"/>
    <n v="68"/>
    <n v="79"/>
    <n v="0"/>
    <n v="-11"/>
    <n v="0"/>
    <n v="0.40564462494334919"/>
    <n v="1.2"/>
    <n v="70.599999999999994"/>
    <n v="84.719999999999985"/>
    <n v="-8.8047790470470577"/>
    <n v="1573.1034985233041"/>
    <n v="0"/>
    <n v="0"/>
    <n v="0"/>
    <n v="0"/>
    <n v="0"/>
    <n v="1"/>
    <n v="0"/>
    <n v="0"/>
    <n v="0"/>
    <n v="0"/>
  </r>
  <r>
    <d v="2021-09-30T00:00:00"/>
    <n v="2021"/>
    <x v="34"/>
    <s v="P"/>
    <n v="2"/>
    <x v="0"/>
    <s v="CHI"/>
    <s v="H"/>
    <n v="1"/>
    <n v="1"/>
    <n v="0"/>
    <n v="0"/>
    <n v="0"/>
    <n v="0"/>
    <n v="1683.0549755769343"/>
    <n v="1581.9082775703512"/>
    <n v="0.7437954789178437"/>
    <n v="79"/>
    <n v="68"/>
    <n v="0"/>
    <n v="11"/>
    <n v="1"/>
    <n v="0.40564462494334919"/>
    <n v="1.2"/>
    <n v="70.75"/>
    <n v="84.899999999999991"/>
    <n v="8.8234860846824272"/>
    <n v="1691.8784616616167"/>
    <n v="0"/>
    <n v="0"/>
    <n v="0"/>
    <n v="0"/>
    <n v="1"/>
    <n v="0"/>
    <n v="0"/>
    <n v="0"/>
    <n v="0"/>
    <n v="0"/>
  </r>
  <r>
    <d v="2021-09-30T00:00:00"/>
    <n v="2021"/>
    <x v="35"/>
    <s v="P"/>
    <n v="2"/>
    <x v="4"/>
    <s v="LVA"/>
    <s v="A"/>
    <n v="1"/>
    <n v="1"/>
    <n v="0"/>
    <n v="0"/>
    <n v="0"/>
    <n v="0"/>
    <n v="1570.245210571549"/>
    <n v="1689.9785498263768"/>
    <n v="0.23635224474360703"/>
    <n v="117"/>
    <n v="91"/>
    <n v="0"/>
    <n v="26"/>
    <n v="1"/>
    <n v="0.59474503922390176"/>
    <n v="1.2"/>
    <n v="70.599999999999994"/>
    <n v="84.719999999999985"/>
    <n v="38.477766503059769"/>
    <n v="1608.7229770746087"/>
    <n v="0"/>
    <n v="0"/>
    <n v="0"/>
    <n v="0"/>
    <n v="1"/>
    <n v="0"/>
    <n v="0"/>
    <n v="0"/>
    <n v="0"/>
    <n v="0"/>
  </r>
  <r>
    <d v="2021-09-30T00:00:00"/>
    <n v="2021"/>
    <x v="33"/>
    <s v="P"/>
    <n v="2"/>
    <x v="8"/>
    <s v="PHX"/>
    <s v="H"/>
    <n v="1"/>
    <n v="1"/>
    <n v="0"/>
    <n v="0"/>
    <n v="0"/>
    <n v="0"/>
    <n v="1689.9785498263768"/>
    <n v="1570.245210571549"/>
    <n v="0.76364775525639295"/>
    <n v="91"/>
    <n v="117"/>
    <n v="0"/>
    <n v="-26"/>
    <n v="0"/>
    <n v="0.59474503922390176"/>
    <n v="1.2"/>
    <n v="70.900000000000006"/>
    <n v="85.08"/>
    <n v="-38.641269760154934"/>
    <n v="1651.3372800662219"/>
    <n v="0"/>
    <n v="0"/>
    <n v="0"/>
    <n v="0"/>
    <n v="0"/>
    <n v="1"/>
    <n v="0"/>
    <n v="0"/>
    <n v="0"/>
    <n v="0"/>
  </r>
  <r>
    <d v="2021-10-03T00:00:00"/>
    <n v="2021"/>
    <x v="35"/>
    <s v="P"/>
    <n v="2"/>
    <x v="0"/>
    <s v="CHI"/>
    <s v="A"/>
    <n v="2"/>
    <n v="2"/>
    <n v="0"/>
    <n v="0"/>
    <n v="0"/>
    <n v="0"/>
    <n v="1691.8784616616167"/>
    <n v="1573.1034985233041"/>
    <n v="0.54987874278923665"/>
    <n v="83"/>
    <n v="86"/>
    <n v="0"/>
    <n v="-3"/>
    <n v="0"/>
    <n v="0.26404825315289859"/>
    <n v="1.2"/>
    <n v="70.599999999999994"/>
    <n v="84.719999999999985"/>
    <n v="-12.300879859735611"/>
    <n v="1679.577581801881"/>
    <n v="0"/>
    <n v="0"/>
    <n v="0"/>
    <n v="0"/>
    <n v="0"/>
    <n v="1"/>
    <n v="0"/>
    <n v="0"/>
    <n v="0"/>
    <n v="0"/>
  </r>
  <r>
    <d v="2021-10-03T00:00:00"/>
    <n v="2021"/>
    <x v="36"/>
    <s v="P"/>
    <n v="2"/>
    <x v="10"/>
    <s v="CON"/>
    <s v="H"/>
    <n v="2"/>
    <n v="2"/>
    <n v="0"/>
    <n v="0"/>
    <n v="0"/>
    <n v="0"/>
    <n v="1573.1034985233041"/>
    <n v="1691.8784616616167"/>
    <n v="0.4501212572107634"/>
    <n v="86"/>
    <n v="83"/>
    <n v="0"/>
    <n v="3"/>
    <n v="1"/>
    <n v="0.26404825315289859"/>
    <n v="1.2"/>
    <n v="70.45"/>
    <n v="84.54"/>
    <n v="12.27474484586932"/>
    <n v="1585.3782433691733"/>
    <n v="0"/>
    <n v="0"/>
    <n v="0"/>
    <n v="0"/>
    <n v="1"/>
    <n v="0"/>
    <n v="0"/>
    <n v="0"/>
    <n v="0"/>
    <n v="0"/>
  </r>
  <r>
    <d v="2021-10-03T00:00:00"/>
    <n v="2021"/>
    <x v="34"/>
    <s v="P"/>
    <n v="2"/>
    <x v="8"/>
    <s v="PHX"/>
    <s v="A"/>
    <n v="2"/>
    <n v="2"/>
    <n v="0"/>
    <n v="0"/>
    <n v="0"/>
    <n v="0"/>
    <n v="1651.3372800662219"/>
    <n v="1608.7229770746087"/>
    <n v="0.44072129813125821"/>
    <n v="60"/>
    <n v="87"/>
    <n v="0"/>
    <n v="-27"/>
    <n v="0"/>
    <n v="0.64380395274220448"/>
    <n v="1.2"/>
    <n v="70.75"/>
    <n v="84.899999999999991"/>
    <n v="-24.089365861159802"/>
    <n v="1627.247914205062"/>
    <n v="0"/>
    <n v="0"/>
    <n v="0"/>
    <n v="0"/>
    <n v="0"/>
    <n v="1"/>
    <n v="0"/>
    <n v="0"/>
    <n v="0"/>
    <n v="0"/>
  </r>
  <r>
    <d v="2021-10-03T00:00:00"/>
    <n v="2021"/>
    <x v="36"/>
    <s v="P"/>
    <n v="2"/>
    <x v="4"/>
    <s v="LVA"/>
    <s v="H"/>
    <n v="2"/>
    <n v="2"/>
    <n v="0"/>
    <n v="0"/>
    <n v="0"/>
    <n v="0"/>
    <n v="1608.7229770746087"/>
    <n v="1651.3372800662219"/>
    <n v="0.55927870186874173"/>
    <n v="87"/>
    <n v="60"/>
    <n v="0"/>
    <n v="27"/>
    <n v="1"/>
    <n v="0.64380395274220448"/>
    <n v="1.2"/>
    <n v="70.45"/>
    <n v="84.54"/>
    <n v="23.987220140193759"/>
    <n v="1632.7101972148025"/>
    <n v="0"/>
    <n v="0"/>
    <n v="0"/>
    <n v="0"/>
    <n v="1"/>
    <n v="0"/>
    <n v="0"/>
    <n v="0"/>
    <n v="0"/>
    <n v="0"/>
  </r>
  <r>
    <d v="2021-10-06T00:00:00"/>
    <n v="2021"/>
    <x v="36"/>
    <s v="P"/>
    <n v="2"/>
    <x v="0"/>
    <s v="CHI"/>
    <s v="A"/>
    <n v="2"/>
    <n v="2"/>
    <n v="0"/>
    <n v="0"/>
    <n v="0"/>
    <n v="0"/>
    <n v="1679.577581801881"/>
    <n v="1585.3782433691733"/>
    <n v="0.5146738129483398"/>
    <n v="69"/>
    <n v="79"/>
    <n v="0"/>
    <n v="-10"/>
    <n v="0"/>
    <n v="0.3923318642811543"/>
    <n v="1.2"/>
    <n v="70.45"/>
    <n v="84.54"/>
    <n v="-17.070565054306414"/>
    <n v="1662.5070167475747"/>
    <n v="0"/>
    <n v="0"/>
    <n v="0"/>
    <n v="0"/>
    <n v="0"/>
    <n v="1"/>
    <n v="0"/>
    <n v="0"/>
    <n v="0"/>
    <n v="0"/>
  </r>
  <r>
    <d v="2021-10-06T00:00:00"/>
    <n v="2021"/>
    <x v="37"/>
    <s v="P"/>
    <n v="2"/>
    <x v="10"/>
    <s v="CON"/>
    <s v="H"/>
    <n v="2"/>
    <n v="2"/>
    <n v="0"/>
    <n v="0"/>
    <n v="0"/>
    <n v="0"/>
    <n v="1585.3782433691733"/>
    <n v="1679.577581801881"/>
    <n v="0.48532618705166009"/>
    <n v="79"/>
    <n v="69"/>
    <n v="0"/>
    <n v="10"/>
    <n v="1"/>
    <n v="0.3923318642811543"/>
    <n v="1.2"/>
    <n v="70.3"/>
    <n v="84.36"/>
    <n v="17.034218925730887"/>
    <n v="1602.4124622949041"/>
    <n v="0"/>
    <n v="0"/>
    <n v="0"/>
    <n v="0"/>
    <n v="1"/>
    <n v="0"/>
    <n v="0"/>
    <n v="0"/>
    <n v="0"/>
    <n v="0"/>
  </r>
  <r>
    <d v="2021-10-06T00:00:00"/>
    <n v="2021"/>
    <x v="35"/>
    <s v="P"/>
    <n v="2"/>
    <x v="8"/>
    <s v="PHX"/>
    <s v="A"/>
    <n v="2"/>
    <n v="2"/>
    <n v="0"/>
    <n v="0"/>
    <n v="0"/>
    <n v="0"/>
    <n v="1627.247914205062"/>
    <n v="1632.7101972148025"/>
    <n v="0.37402535025700173"/>
    <n v="93"/>
    <n v="76"/>
    <n v="0"/>
    <n v="17"/>
    <n v="1"/>
    <n v="0.53002942680474885"/>
    <n v="1.2"/>
    <n v="70.599999999999994"/>
    <n v="84.719999999999985"/>
    <n v="28.108823912051385"/>
    <n v="1655.3567381171133"/>
    <n v="0"/>
    <n v="0"/>
    <n v="0"/>
    <n v="0"/>
    <n v="1"/>
    <n v="0"/>
    <n v="0"/>
    <n v="0"/>
    <n v="0"/>
    <n v="0"/>
  </r>
  <r>
    <d v="2021-10-06T00:00:00"/>
    <n v="2021"/>
    <x v="37"/>
    <s v="P"/>
    <n v="2"/>
    <x v="4"/>
    <s v="LVA"/>
    <s v="H"/>
    <n v="2"/>
    <n v="2"/>
    <n v="0"/>
    <n v="0"/>
    <n v="0"/>
    <n v="0"/>
    <n v="1632.7101972148025"/>
    <n v="1627.247914205062"/>
    <n v="0.62597464974299832"/>
    <n v="76"/>
    <n v="93"/>
    <n v="0"/>
    <n v="-17"/>
    <n v="0"/>
    <n v="0.53002942680474885"/>
    <n v="1.2"/>
    <n v="70.3"/>
    <n v="84.36"/>
    <n v="-27.989381317524252"/>
    <n v="1604.7208158972783"/>
    <n v="0"/>
    <n v="0"/>
    <n v="0"/>
    <n v="0"/>
    <n v="0"/>
    <n v="1"/>
    <n v="0"/>
    <n v="0"/>
    <n v="0"/>
    <n v="0"/>
  </r>
  <r>
    <d v="2021-10-08T00:00:00"/>
    <n v="2021"/>
    <x v="38"/>
    <s v="P"/>
    <n v="2"/>
    <x v="4"/>
    <s v="LVA"/>
    <s v="A"/>
    <n v="1"/>
    <n v="1"/>
    <n v="0"/>
    <n v="0"/>
    <n v="0"/>
    <n v="0"/>
    <n v="1604.7208158972783"/>
    <n v="1655.3567381171133"/>
    <n v="0.31539274133560369"/>
    <n v="87"/>
    <n v="84"/>
    <n v="0"/>
    <n v="3"/>
    <n v="1"/>
    <n v="0.27843453009119629"/>
    <n v="1.2"/>
    <n v="70.150000000000006"/>
    <n v="84.18"/>
    <n v="16.04624852457782"/>
    <n v="1620.767064421856"/>
    <n v="0"/>
    <n v="0"/>
    <n v="0"/>
    <n v="0"/>
    <n v="1"/>
    <n v="0"/>
    <n v="0"/>
    <n v="0"/>
    <n v="0"/>
    <n v="0"/>
  </r>
  <r>
    <d v="2021-10-08T00:00:00"/>
    <n v="2021"/>
    <x v="36"/>
    <s v="P"/>
    <n v="2"/>
    <x v="8"/>
    <s v="PHX"/>
    <s v="H"/>
    <n v="1"/>
    <n v="1"/>
    <n v="0"/>
    <n v="0"/>
    <n v="0"/>
    <n v="0"/>
    <n v="1655.3567381171133"/>
    <n v="1604.7208158972783"/>
    <n v="0.68460725866439631"/>
    <n v="84"/>
    <n v="87"/>
    <n v="0"/>
    <n v="-3"/>
    <n v="0"/>
    <n v="0.27843453009119629"/>
    <n v="1.2"/>
    <n v="70.45"/>
    <n v="84.54"/>
    <n v="-16.114871112708585"/>
    <n v="1639.2418670044046"/>
    <n v="0"/>
    <n v="0"/>
    <n v="0"/>
    <n v="0"/>
    <n v="0"/>
    <n v="1"/>
    <n v="0"/>
    <n v="0"/>
    <n v="0"/>
    <n v="0"/>
  </r>
  <r>
    <d v="2021-10-10T00:00:00"/>
    <n v="2021"/>
    <x v="38"/>
    <s v="P"/>
    <n v="3"/>
    <x v="10"/>
    <s v="PHX"/>
    <s v="A"/>
    <n v="3"/>
    <n v="1"/>
    <n v="2"/>
    <n v="-2"/>
    <n v="16"/>
    <n v="-16"/>
    <n v="1602.4124622949041"/>
    <n v="1620.767064421856"/>
    <n v="0.40011315643014134"/>
    <n v="91"/>
    <n v="77"/>
    <n v="0"/>
    <n v="14"/>
    <n v="1"/>
    <n v="0.4802622514163174"/>
    <n v="1.35"/>
    <n v="70.150000000000006"/>
    <n v="94.702500000000015"/>
    <n v="27.284074934038266"/>
    <n v="1629.6965372289424"/>
    <n v="0"/>
    <n v="0"/>
    <n v="0"/>
    <n v="0"/>
    <n v="0"/>
    <n v="0"/>
    <n v="1"/>
    <n v="0"/>
    <n v="0"/>
    <n v="0"/>
  </r>
  <r>
    <d v="2021-10-10T00:00:00"/>
    <n v="2021"/>
    <x v="39"/>
    <s v="P"/>
    <n v="3"/>
    <x v="4"/>
    <s v="CHI"/>
    <s v="H"/>
    <n v="1"/>
    <n v="3"/>
    <n v="-2"/>
    <n v="2"/>
    <n v="-16"/>
    <n v="16"/>
    <n v="1620.767064421856"/>
    <n v="1602.4124622949041"/>
    <n v="0.59988684356985866"/>
    <n v="77"/>
    <n v="91"/>
    <n v="0"/>
    <n v="-14"/>
    <n v="0"/>
    <n v="0.4802622514163174"/>
    <n v="1.35"/>
    <n v="70"/>
    <n v="94.5"/>
    <n v="-27.225734075305464"/>
    <n v="1593.5413303465507"/>
    <n v="0"/>
    <n v="0"/>
    <n v="0"/>
    <n v="0"/>
    <n v="0"/>
    <n v="0"/>
    <n v="0"/>
    <n v="1"/>
    <n v="0"/>
    <n v="0"/>
  </r>
  <r>
    <d v="2021-10-13T00:00:00"/>
    <n v="2021"/>
    <x v="39"/>
    <s v="P"/>
    <n v="3"/>
    <x v="10"/>
    <s v="PHX"/>
    <s v="A"/>
    <n v="2"/>
    <n v="2"/>
    <n v="0"/>
    <n v="0"/>
    <n v="0"/>
    <n v="0"/>
    <n v="1629.6965372289424"/>
    <n v="1593.5413303465507"/>
    <n v="0.43157777262040448"/>
    <n v="86"/>
    <n v="91"/>
    <n v="1"/>
    <n v="-5"/>
    <n v="0"/>
    <n v="0.28984746535330169"/>
    <n v="1.35"/>
    <n v="70"/>
    <n v="94.5"/>
    <n v="-11.821167870452118"/>
    <n v="1617.8753693584902"/>
    <n v="0"/>
    <n v="0"/>
    <n v="0"/>
    <n v="0"/>
    <n v="0"/>
    <n v="0"/>
    <n v="0"/>
    <n v="1"/>
    <n v="0"/>
    <n v="0"/>
  </r>
  <r>
    <d v="2021-10-13T00:00:00"/>
    <n v="2021"/>
    <x v="40"/>
    <s v="P"/>
    <n v="3"/>
    <x v="4"/>
    <s v="CHI"/>
    <s v="H"/>
    <n v="2"/>
    <n v="2"/>
    <n v="0"/>
    <n v="0"/>
    <n v="0"/>
    <n v="0"/>
    <n v="1593.5413303465507"/>
    <n v="1629.6965372289424"/>
    <n v="0.56842222737959547"/>
    <n v="91"/>
    <n v="86"/>
    <n v="1"/>
    <n v="5"/>
    <n v="1"/>
    <n v="0.28984746535330169"/>
    <n v="1.35"/>
    <n v="69.849999999999994"/>
    <n v="94.297499999999999"/>
    <n v="11.795836796444007"/>
    <n v="1605.3371671429948"/>
    <n v="0"/>
    <n v="0"/>
    <n v="0"/>
    <n v="0"/>
    <n v="0"/>
    <n v="0"/>
    <n v="1"/>
    <n v="0"/>
    <n v="0"/>
    <n v="0"/>
  </r>
  <r>
    <d v="2021-10-15T00:00:00"/>
    <n v="2021"/>
    <x v="41"/>
    <s v="P"/>
    <n v="3"/>
    <x v="4"/>
    <s v="CHI"/>
    <s v="A"/>
    <n v="1"/>
    <n v="1"/>
    <n v="0"/>
    <n v="0"/>
    <n v="0"/>
    <n v="0"/>
    <n v="1605.3371671429948"/>
    <n v="1617.8753693584902"/>
    <n v="0.36453867912293325"/>
    <n v="50"/>
    <n v="86"/>
    <n v="0"/>
    <n v="-36"/>
    <n v="0"/>
    <n v="0.76555233182640414"/>
    <n v="1.35"/>
    <n v="69.7"/>
    <n v="94.095000000000013"/>
    <n v="-26.259414945692146"/>
    <n v="1579.0777521973025"/>
    <n v="0"/>
    <n v="0"/>
    <n v="0"/>
    <n v="0"/>
    <n v="0"/>
    <n v="0"/>
    <n v="0"/>
    <n v="1"/>
    <n v="0"/>
    <n v="0"/>
  </r>
  <r>
    <d v="2021-10-15T00:00:00"/>
    <n v="2021"/>
    <x v="40"/>
    <s v="P"/>
    <n v="3"/>
    <x v="10"/>
    <s v="PHX"/>
    <s v="H"/>
    <n v="1"/>
    <n v="1"/>
    <n v="0"/>
    <n v="0"/>
    <n v="0"/>
    <n v="0"/>
    <n v="1617.8753693584902"/>
    <n v="1605.3371671429948"/>
    <n v="0.63546132087706686"/>
    <n v="86"/>
    <n v="50"/>
    <n v="0"/>
    <n v="36"/>
    <n v="1"/>
    <n v="0.76555233182640414"/>
    <n v="1.35"/>
    <n v="69.849999999999994"/>
    <n v="94.297499999999999"/>
    <n v="26.315927316450441"/>
    <n v="1644.1912966749405"/>
    <n v="0"/>
    <n v="0"/>
    <n v="0"/>
    <n v="0"/>
    <n v="0"/>
    <n v="0"/>
    <n v="1"/>
    <n v="0"/>
    <n v="0"/>
    <n v="0"/>
  </r>
  <r>
    <d v="2021-10-17T00:00:00"/>
    <n v="2021"/>
    <x v="42"/>
    <s v="P"/>
    <n v="3"/>
    <x v="4"/>
    <s v="CHI"/>
    <s v="A"/>
    <n v="1"/>
    <n v="1"/>
    <n v="0"/>
    <n v="0"/>
    <n v="0"/>
    <n v="0"/>
    <n v="1579.0777521973025"/>
    <n v="1644.1912966749405"/>
    <n v="0.29768073066436557"/>
    <n v="74"/>
    <n v="80"/>
    <n v="0"/>
    <n v="-6"/>
    <n v="0"/>
    <n v="0.33320085390694437"/>
    <n v="1.35"/>
    <n v="69.55"/>
    <n v="93.892499999999998"/>
    <n v="-9.3129598695896458"/>
    <n v="1569.7647923277129"/>
    <n v="0"/>
    <n v="0"/>
    <n v="0"/>
    <n v="0"/>
    <n v="0"/>
    <n v="0"/>
    <n v="0"/>
    <n v="1"/>
    <n v="0"/>
    <n v="0"/>
  </r>
  <r>
    <d v="2021-10-17T00:00:00"/>
    <n v="2021"/>
    <x v="41"/>
    <s v="P"/>
    <n v="3"/>
    <x v="10"/>
    <s v="PHX"/>
    <s v="H"/>
    <n v="1"/>
    <n v="1"/>
    <n v="0"/>
    <n v="0"/>
    <n v="0"/>
    <n v="0"/>
    <n v="1644.1912966749405"/>
    <n v="1579.0777521973025"/>
    <n v="0.70231926933563438"/>
    <n v="80"/>
    <n v="74"/>
    <n v="0"/>
    <n v="6"/>
    <n v="1"/>
    <n v="0.33320085390694437"/>
    <n v="1.35"/>
    <n v="69.7"/>
    <n v="94.095000000000013"/>
    <n v="9.3330453330035734"/>
    <n v="1653.5243420079441"/>
    <n v="0"/>
    <n v="0"/>
    <n v="0"/>
    <n v="0"/>
    <n v="0"/>
    <n v="0"/>
    <n v="1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8C267-77E2-45B0-81EA-9528BBCE6471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6" firstHeaderRow="0" firstDataRow="1" firstDataCol="1"/>
  <pivotFields count="38">
    <pivotField showAll="0"/>
    <pivotField numFmtId="1" showAll="0"/>
    <pivotField numFmtId="1" showAll="0"/>
    <pivotField showAll="0"/>
    <pivotField showAll="0"/>
    <pivotField axis="axisRow" showAll="0" sortType="ascending">
      <items count="60">
        <item m="1" x="40"/>
        <item x="1"/>
        <item m="1" x="51"/>
        <item m="1" x="29"/>
        <item m="1" x="27"/>
        <item m="1" x="39"/>
        <item m="1" x="55"/>
        <item m="1" x="17"/>
        <item x="10"/>
        <item m="1" x="41"/>
        <item m="1" x="18"/>
        <item x="0"/>
        <item x="2"/>
        <item m="1" x="34"/>
        <item m="1" x="14"/>
        <item m="1" x="56"/>
        <item m="1" x="36"/>
        <item m="1" x="16"/>
        <item x="6"/>
        <item m="1" x="50"/>
        <item m="1" x="49"/>
        <item m="1" x="26"/>
        <item m="1" x="25"/>
        <item m="1" x="58"/>
        <item x="3"/>
        <item m="1" x="57"/>
        <item x="8"/>
        <item m="1" x="28"/>
        <item m="1" x="20"/>
        <item m="1" x="35"/>
        <item x="5"/>
        <item m="1" x="43"/>
        <item m="1" x="23"/>
        <item m="1" x="31"/>
        <item m="1" x="44"/>
        <item m="1" x="52"/>
        <item x="7"/>
        <item m="1" x="45"/>
        <item m="1" x="33"/>
        <item m="1" x="22"/>
        <item m="1" x="30"/>
        <item x="4"/>
        <item m="1" x="47"/>
        <item m="1" x="21"/>
        <item m="1" x="32"/>
        <item m="1" x="15"/>
        <item m="1" x="12"/>
        <item m="1" x="42"/>
        <item x="9"/>
        <item m="1" x="53"/>
        <item m="1" x="48"/>
        <item m="1" x="54"/>
        <item m="1" x="46"/>
        <item m="1" x="24"/>
        <item m="1" x="13"/>
        <item m="1" x="19"/>
        <item m="1" x="38"/>
        <item x="11"/>
        <item m="1" x="37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166" showAll="0"/>
    <pivotField numFmtId="165" showAll="0"/>
    <pivotField numFmtId="165" showAll="0"/>
    <pivotField numFmtId="165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  <pivotField dataField="1" numFmtId="1" showAll="0"/>
  </pivotFields>
  <rowFields count="1">
    <field x="5"/>
  </rowFields>
  <rowItems count="13">
    <i>
      <x v="1"/>
    </i>
    <i>
      <x v="8"/>
    </i>
    <i>
      <x v="11"/>
    </i>
    <i>
      <x v="12"/>
    </i>
    <i>
      <x v="18"/>
    </i>
    <i>
      <x v="24"/>
    </i>
    <i>
      <x v="26"/>
    </i>
    <i>
      <x v="30"/>
    </i>
    <i>
      <x v="36"/>
    </i>
    <i>
      <x v="41"/>
    </i>
    <i>
      <x v="48"/>
    </i>
    <i>
      <x v="5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W" fld="28" baseField="0" baseItem="0" numFmtId="1"/>
    <dataField name="Sum of L" fld="29" baseField="0" baseItem="0" numFmtId="1"/>
    <dataField name="Sum of R1W" fld="30" baseField="0" baseItem="0" numFmtId="1"/>
    <dataField name="Sum of R1L" fld="31" baseField="0" baseItem="0" numFmtId="1"/>
    <dataField name="Sum of R2W" fld="32" baseField="0" baseItem="0" numFmtId="1"/>
    <dataField name="Sum of R2L" fld="33" baseField="0" baseItem="0" numFmtId="1"/>
    <dataField name="Sum of R3W" fld="34" baseField="0" baseItem="0" numFmtId="1"/>
    <dataField name="Sum of R3L" fld="35" baseField="0" baseItem="0" numFmtId="1"/>
    <dataField name="Sum of FW" fld="36" baseField="0" baseItem="0" numFmtId="1"/>
    <dataField name="Sum of FL" fld="37" baseField="0" baseItem="0" numFmtId="1"/>
  </dataFields>
  <formats count="2">
    <format dxfId="43">
      <pivotArea outline="0" collapsedLevelsAreSubtotals="1" fieldPosition="0"/>
    </format>
    <format dxfId="4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28535-153F-4C68-8036-A7B493B7B668}" name="PivotTable1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7" firstHeaderRow="1" firstDataRow="1" firstDataCol="1"/>
  <pivotFields count="38">
    <pivotField numFmtId="167" showAll="0"/>
    <pivotField numFmtId="1" showAll="0"/>
    <pivotField axis="axisRow" numFmtId="1" showAll="0">
      <items count="2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m="1" x="43"/>
        <item m="1" x="44"/>
        <item m="1" x="45"/>
        <item m="1" x="46"/>
        <item m="1" x="47"/>
        <item m="1" x="48"/>
        <item m="1" x="202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t="default"/>
      </items>
    </pivotField>
    <pivotField showAll="0"/>
    <pivotField showAll="0"/>
    <pivotField showAll="0"/>
    <pivotField showAll="0"/>
    <pivotField showAll="0"/>
    <pivotField numFmtId="1" showAll="0"/>
    <pivotField numFmtId="1" showAll="0"/>
    <pivotField numFmtId="1" showAll="0"/>
    <pivotField numFmtId="1" showAll="0"/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numFmtId="165" showAll="0"/>
    <pivotField numFmtId="166" showAll="0"/>
    <pivotField numFmtId="2" showAll="0"/>
    <pivotField numFmtId="165" showAll="0"/>
    <pivotField numFmtId="165" showAll="0"/>
    <pivotField numFmtId="165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numFmtId="1" showAll="0"/>
  </pivotFields>
  <rowFields count="1">
    <field x="2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411122-E0D9-44C2-8346-8B5172CF6F69}" name="ConfDiv" displayName="ConfDiv" ref="A1:D13" totalsRowShown="0">
  <autoFilter ref="A1:D13" xr:uid="{A0411122-E0D9-44C2-8346-8B5172CF6F69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13">
    <sortCondition ref="C12:C13"/>
  </sortState>
  <tableColumns count="4">
    <tableColumn id="1" xr3:uid="{8C17ECDF-4459-4994-A3F5-8E8FEDF92B6F}" name="TeamID"/>
    <tableColumn id="4" xr3:uid="{789F069E-DAF9-4B19-A6DB-107BA6995CE5}" name="Logo" dataDxfId="46"/>
    <tableColumn id="5" xr3:uid="{A9DA91BA-5529-4913-978B-19C8EF225B29}" name="TeamName" dataDxfId="45"/>
    <tableColumn id="2" xr3:uid="{AA4C8157-DB69-4779-8EEE-6F419B992D71}" name="PreSeasonElo" dataDxfId="4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31CB27-66FD-438A-AAF6-82527D3C642A}" name="Games" displayName="Games" ref="A1:AL421" totalsRowShown="0" headerRowDxfId="41" dataDxfId="40">
  <autoFilter ref="A1:AL421" xr:uid="{DC31CB27-66FD-438A-AAF6-82527D3C64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</autoFilter>
  <tableColumns count="38">
    <tableColumn id="1" xr3:uid="{FF1E0701-17EB-4F45-BA0D-2BA8901E1EBC}" name="Date" dataDxfId="39"/>
    <tableColumn id="21" xr3:uid="{D754AB95-C77C-4DD5-B1B9-A24A4FEE7279}" name="Season" dataDxfId="38"/>
    <tableColumn id="19" xr3:uid="{4C42B78B-6AFC-42C3-A5F4-3266E247C458}" name="GamesPlayed" dataDxfId="37">
      <calculatedColumnFormula>COUNTIFS(Games[Team],Games[[#This Row],[Team]],Games[Season],Games[[#This Row],[Season]],Games[Date],"&lt;=" &amp; Games[[#This Row],[Date]])</calculatedColumnFormula>
    </tableColumn>
    <tableColumn id="20" xr3:uid="{57D65017-56B1-4253-988D-82A168A33AEF}" name="Type" dataDxfId="36"/>
    <tableColumn id="14" xr3:uid="{EFA83923-8CCA-4DC9-BC85-5D86949A45D9}" name="Round" dataDxfId="35"/>
    <tableColumn id="2" xr3:uid="{6E102E51-A49B-416B-8CD2-B93B2A4EA389}" name="Team" dataDxfId="34"/>
    <tableColumn id="3" xr3:uid="{19101345-1C34-4AF3-88E6-76A7F19B7FE6}" name="Opponent" dataDxfId="33"/>
    <tableColumn id="16" xr3:uid="{4CBCDF29-B095-48DF-8EF6-06DC7D78C844}" name="HomeAway" dataDxfId="32"/>
    <tableColumn id="32" xr3:uid="{E3FA53E3-DAD6-4BC2-969A-C53F4798E86D}" name="DaysOff" dataDxfId="31">
      <calculatedColumnFormula array="1">IFERROR(
    Games[[#This Row],[Date]]
    - LOOKUP(
        2,
        1/((Games[Team]=Games[[#This Row],[Team]]) * (Games[Date] &lt; Games[[#This Row],[Date]])),
        Games[Date]
    )
    - 1,
Games[[#This Row],[Date]]-$A$2)</calculatedColumnFormula>
    </tableColumn>
    <tableColumn id="33" xr3:uid="{1121987E-1D41-452F-B87B-43C155AB8246}" name="OppDaysOff" dataDxfId="30">
      <calculatedColumnFormula array="1">IFERROR(
    Games[[#This Row],[Date]]
    - LOOKUP(
        2,
        1/((Games[Opponent]=Games[[#This Row],[Opponent]]) * (Games[Date] &lt; Games[[#This Row],[Date]])),
        Games[Date]
    )
    - 1,
Games[[#This Row],[Date]]-$A$2)</calculatedColumnFormula>
    </tableColumn>
    <tableColumn id="34" xr3:uid="{F36FF437-DF9A-4AE2-9EBA-AF838836F0F0}" name="RestDiff" dataDxfId="29">
      <calculatedColumnFormula>Games[[#This Row],[DaysOff]]-Games[[#This Row],[OppDaysOff]]</calculatedColumnFormula>
    </tableColumn>
    <tableColumn id="35" xr3:uid="{3F2DB366-7372-41BA-8B0C-09F9BA7EA850}" name="OppRestDiff" dataDxfId="28">
      <calculatedColumnFormula>Games[[#This Row],[OppDaysOff]]-Games[[#This Row],[DaysOff]]</calculatedColumnFormula>
    </tableColumn>
    <tableColumn id="36" xr3:uid="{BDD0FD2C-608F-4CCC-867B-4481F0F4B802}" name="RestAdj" dataDxfId="27">
      <calculatedColumnFormula>MAX(-16, MIN(16, Games[[#This Row],[RestDiff]]*8))</calculatedColumnFormula>
    </tableColumn>
    <tableColumn id="37" xr3:uid="{5F89213A-4C28-428C-B766-3B05D4F530A5}" name="OppRestAdj" dataDxfId="26">
      <calculatedColumnFormula>MAX(-16, MIN(16, Games[[#This Row],[OppRestDiff]]*8))</calculatedColumnFormula>
    </tableColumn>
    <tableColumn id="4" xr3:uid="{68053CFA-948B-4F2C-A114-7C46ABD9EA33}" name="PreGmRate" dataDxfId="25">
      <calculatedColumnFormula array="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calculatedColumnFormula>
    </tableColumn>
    <tableColumn id="5" xr3:uid="{14B91314-96C2-44CD-B03B-905B04A3F3F0}" name="OppPreGmRate" dataDxfId="24">
      <calculatedColumnFormula array="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calculatedColumnFormula>
    </tableColumn>
    <tableColumn id="6" xr3:uid="{8BA0C013-5040-4A7D-AD77-5AB196967F62}" name="ExpectedWin%" dataDxfId="23">
      <calculatedColumnFormula>1/(1+10^(((Games[[#This Row],[OppPreGmRate]]+IF(Games[[#This Row],[HomeAway]]="A",HCA,0)+Games[[#This Row],[OppRestAdj]])-(Games[[#This Row],[PreGmRate]]+IF(Games[[#This Row],[HomeAway]]="H",HCA,0)+Games[[#This Row],[RestAdj]]))/400))</calculatedColumnFormula>
    </tableColumn>
    <tableColumn id="7" xr3:uid="{33F3D358-BA7C-41B4-84B5-FEE3DD78DE4C}" name="PointsFor" dataDxfId="22"/>
    <tableColumn id="8" xr3:uid="{0CDDF0F9-2F1E-487C-96DD-90F70CE7DAFC}" name="PointsAgainst" dataDxfId="21"/>
    <tableColumn id="22" xr3:uid="{AB7B5B5C-5BAD-4213-990E-8EB9B177497C}" name="OT" dataDxfId="20"/>
    <tableColumn id="9" xr3:uid="{CE171F1D-5E5D-4800-A6DC-8F6DBD74C939}" name="MOV" dataDxfId="19">
      <calculatedColumnFormula>Games[[#This Row],[PointsFor]]-Games[[#This Row],[PointsAgainst]]</calculatedColumnFormula>
    </tableColumn>
    <tableColumn id="10" xr3:uid="{883A3911-25F6-4C39-9637-F1C42D6A1FC2}" name="Result" dataDxfId="18">
      <calculatedColumnFormula>IF(Games[[#This Row],[MOV]]&gt;0,1,IF(Games[[#This Row],[MOV]]=0,0.5,0))</calculatedColumnFormula>
    </tableColumn>
    <tableColumn id="15" xr3:uid="{00048431-5FD6-47EE-807E-5B63FD521193}" name="MOVMult" dataDxfId="17">
      <calculatedColumnFormula>((ABS(Games[[#This Row],[MOV]])+5)^0.6)/(12+0.01*(ABS(Games[[#This Row],[PreGmRate]]-Games[[#This Row],[OppPreGmRate]])))*IF(Games[[#This Row],[OT]]=1,0.9,1)</calculatedColumnFormula>
    </tableColumn>
    <tableColumn id="13" xr3:uid="{ED5D2A79-52FB-495A-B144-3B1C3F39BBCA}" name="POMult" dataDxfId="16">
      <calculatedColumnFormula array="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calculatedColumnFormula>
    </tableColumn>
    <tableColumn id="30" xr3:uid="{F56B2662-6D39-4B84-BEBE-39C9D43603BC}" name="K" dataDxfId="15">
      <calculatedColumnFormula>MAX(kmin, kmax - 0.15 * MIN(Games[[#This Row],[GamesPlayed]], 82))</calculatedColumnFormula>
    </tableColumn>
    <tableColumn id="29" xr3:uid="{FBA5D644-15ED-4725-9E52-1D37FD0FAC64}" name="Keff" dataDxfId="14">
      <calculatedColumnFormula>Games[[#This Row],[K]]*Games[[#This Row],[POMult]]</calculatedColumnFormula>
    </tableColumn>
    <tableColumn id="11" xr3:uid="{309DAEBD-E62C-4090-89E9-A58FD32AB89B}" name="RatingChange" dataDxfId="13">
      <calculatedColumnFormula>(Games[[#This Row],[Keff]]*Games[[#This Row],[MOVMult]])*(Games[[#This Row],[Result]]-Games[[#This Row],[ExpectedWin%]])</calculatedColumnFormula>
    </tableColumn>
    <tableColumn id="12" xr3:uid="{14E27C62-5B5E-4445-96C7-EAFB6057D6D3}" name="PostGmRate" dataDxfId="12">
      <calculatedColumnFormula>Games[[#This Row],[PreGmRate]]+Games[[#This Row],[RatingChange]]</calculatedColumnFormula>
    </tableColumn>
    <tableColumn id="17" xr3:uid="{90B7BF87-E472-4474-A10D-555BD3BF8F04}" name="W" dataDxfId="11">
      <calculatedColumnFormula>IF(Games[[#This Row],[Type]]="R",IF(Games[[#This Row],[Result]]&gt;0.5,1,0),0)</calculatedColumnFormula>
    </tableColumn>
    <tableColumn id="18" xr3:uid="{29756EA1-783D-4C76-A7B8-F906AF0EC7E7}" name="L" dataDxfId="10">
      <calculatedColumnFormula>IF(Games[[#This Row],[Type]]="R",IF(Games[[#This Row],[Result]]&lt;0.5,1,0),0)</calculatedColumnFormula>
    </tableColumn>
    <tableColumn id="23" xr3:uid="{C253CFA7-28A4-4AE5-B131-DC1E8F2B73F8}" name="R1W" dataDxfId="9">
      <calculatedColumnFormula>IF(AND(Games[[#This Row],[Type]]="P",Games[[#This Row],[Round]]=1),IF(Games[[#This Row],[Result]]&gt;0.5,1,0),0)</calculatedColumnFormula>
    </tableColumn>
    <tableColumn id="24" xr3:uid="{2AF5B953-BFA7-49EF-8248-A3D18735544D}" name="R1L" dataDxfId="8">
      <calculatedColumnFormula>IF(AND(Games[[#This Row],[Type]]="P",Games[[#This Row],[Round]]=1),IF(Games[[#This Row],[Result]]&lt;0.5,1,0),0)</calculatedColumnFormula>
    </tableColumn>
    <tableColumn id="25" xr3:uid="{96DF5D4B-41B7-4FB9-B64B-4E1022883966}" name="R2W" dataDxfId="7">
      <calculatedColumnFormula>IF(AND(Games[[#This Row],[Type]]="P",Games[[#This Row],[Round]]=2),IF(Games[[#This Row],[Result]]&gt;0.5,1,0),0)</calculatedColumnFormula>
    </tableColumn>
    <tableColumn id="26" xr3:uid="{46BC3E94-34FA-489D-AF6A-98B7151E6EE4}" name="R2L" dataDxfId="6">
      <calculatedColumnFormula>IF(AND(Games[[#This Row],[Type]]="P",Games[[#This Row],[Round]]=2),IF(Games[[#This Row],[Result]]&lt;0.5,1,0),0)</calculatedColumnFormula>
    </tableColumn>
    <tableColumn id="27" xr3:uid="{FA030EAA-DF20-4A5C-8AF4-BB61B025DE1E}" name="R3W" dataDxfId="5">
      <calculatedColumnFormula>IF(AND(Games[[#This Row],[Type]]="P",Games[[#This Row],[Round]]=3),IF(Games[[#This Row],[Result]]&gt;0.5,1,0),0)</calculatedColumnFormula>
    </tableColumn>
    <tableColumn id="28" xr3:uid="{82A066C2-772E-492B-B693-B398BAF15EF5}" name="R3L" dataDxfId="4">
      <calculatedColumnFormula>IF(AND(Games[[#This Row],[Type]]="P",Games[[#This Row],[Round]]=3),IF(Games[[#This Row],[Result]]&lt;0.5,1,0),0)</calculatedColumnFormula>
    </tableColumn>
    <tableColumn id="31" xr3:uid="{C00D5D4A-27C3-430F-AB40-BC3DF8B6C167}" name="FW" dataDxfId="3">
      <calculatedColumnFormula>IF(AND(Games[[#This Row],[Type]]="P",Games[[#This Row],[Round]]=4),IF(Games[[#This Row],[Result]]&gt;0.5,1,0),0)</calculatedColumnFormula>
    </tableColumn>
    <tableColumn id="39" xr3:uid="{129081B0-EA02-402F-B2C7-46E36806E0D9}" name="FL" dataDxfId="2">
      <calculatedColumnFormula>IF(AND(Games[[#This Row],[Type]]="P",Games[[#This Row],[Round]]=4),IF(Games[[#This Row],[Result]]&lt;0.5,1,0),0)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7B67-F804-4D32-B73D-364A0973FEE5}">
  <dimension ref="A1:H25"/>
  <sheetViews>
    <sheetView workbookViewId="0">
      <selection activeCell="D13" sqref="D13"/>
    </sheetView>
  </sheetViews>
  <sheetFormatPr defaultRowHeight="15.5" x14ac:dyDescent="0.35"/>
  <cols>
    <col min="1" max="1" width="7.6640625" bestFit="1" customWidth="1"/>
    <col min="2" max="2" width="5.08203125" bestFit="1" customWidth="1"/>
    <col min="3" max="3" width="23" bestFit="1" customWidth="1"/>
    <col min="4" max="4" width="9.4140625" customWidth="1"/>
    <col min="7" max="7" width="17" bestFit="1" customWidth="1"/>
    <col min="8" max="8" width="8.6640625" style="12"/>
  </cols>
  <sheetData>
    <row r="1" spans="1:4" x14ac:dyDescent="0.35">
      <c r="A1" t="s">
        <v>29</v>
      </c>
      <c r="B1" t="s">
        <v>27</v>
      </c>
      <c r="C1" t="s">
        <v>28</v>
      </c>
      <c r="D1" t="s">
        <v>58</v>
      </c>
    </row>
    <row r="2" spans="1:4" x14ac:dyDescent="0.35">
      <c r="A2" t="s">
        <v>77</v>
      </c>
      <c r="B2" s="8"/>
      <c r="C2" s="15" t="s">
        <v>78</v>
      </c>
      <c r="D2" s="13">
        <v>1385.141253008896</v>
      </c>
    </row>
    <row r="3" spans="1:4" x14ac:dyDescent="0.35">
      <c r="A3" t="s">
        <v>75</v>
      </c>
      <c r="B3" s="8"/>
      <c r="C3" s="15" t="s">
        <v>76</v>
      </c>
      <c r="D3" s="13">
        <v>1504.2221160873926</v>
      </c>
    </row>
    <row r="4" spans="1:4" x14ac:dyDescent="0.35">
      <c r="A4" t="s">
        <v>74</v>
      </c>
      <c r="B4" s="8"/>
      <c r="C4" s="15" t="s">
        <v>73</v>
      </c>
      <c r="D4" s="13">
        <v>1581.4188020504953</v>
      </c>
    </row>
    <row r="5" spans="1:4" x14ac:dyDescent="0.35">
      <c r="A5" t="s">
        <v>84</v>
      </c>
      <c r="B5" s="8"/>
      <c r="C5" s="15" t="s">
        <v>83</v>
      </c>
      <c r="D5" s="13">
        <v>1416.1010542043084</v>
      </c>
    </row>
    <row r="6" spans="1:4" x14ac:dyDescent="0.35">
      <c r="A6" t="s">
        <v>69</v>
      </c>
      <c r="B6" s="8"/>
      <c r="C6" s="15" t="s">
        <v>70</v>
      </c>
      <c r="D6" s="13">
        <v>1366.3027158367483</v>
      </c>
    </row>
    <row r="7" spans="1:4" x14ac:dyDescent="0.35">
      <c r="A7" t="s">
        <v>85</v>
      </c>
      <c r="B7" s="8"/>
      <c r="C7" s="15" t="s">
        <v>86</v>
      </c>
      <c r="D7" s="13">
        <v>1605.9820063040729</v>
      </c>
    </row>
    <row r="8" spans="1:4" x14ac:dyDescent="0.35">
      <c r="A8" t="s">
        <v>63</v>
      </c>
      <c r="B8" s="8"/>
      <c r="C8" s="15" t="s">
        <v>64</v>
      </c>
      <c r="D8" s="13">
        <v>1555.6105071256516</v>
      </c>
    </row>
    <row r="9" spans="1:4" x14ac:dyDescent="0.35">
      <c r="A9" t="s">
        <v>67</v>
      </c>
      <c r="B9" s="8"/>
      <c r="C9" s="15" t="s">
        <v>68</v>
      </c>
      <c r="D9" s="13">
        <v>1536.5845700094485</v>
      </c>
    </row>
    <row r="10" spans="1:4" x14ac:dyDescent="0.35">
      <c r="A10" t="s">
        <v>60</v>
      </c>
      <c r="B10" s="8"/>
      <c r="C10" s="15" t="s">
        <v>61</v>
      </c>
      <c r="D10" s="13">
        <v>1263.6067883436826</v>
      </c>
    </row>
    <row r="11" spans="1:4" x14ac:dyDescent="0.35">
      <c r="A11" t="s">
        <v>40</v>
      </c>
      <c r="B11" s="8"/>
      <c r="C11" s="15" t="s">
        <v>62</v>
      </c>
      <c r="D11" s="13">
        <v>1525.1216922220447</v>
      </c>
    </row>
    <row r="12" spans="1:4" x14ac:dyDescent="0.35">
      <c r="A12" t="s">
        <v>71</v>
      </c>
      <c r="B12" s="8"/>
      <c r="C12" s="15" t="s">
        <v>72</v>
      </c>
      <c r="D12" s="13">
        <v>1760.5603827273167</v>
      </c>
    </row>
    <row r="13" spans="1:4" x14ac:dyDescent="0.35">
      <c r="A13" t="s">
        <v>65</v>
      </c>
      <c r="B13" s="8"/>
      <c r="C13" s="15" t="s">
        <v>66</v>
      </c>
      <c r="D13" s="13">
        <v>1499.9362403906748</v>
      </c>
    </row>
    <row r="14" spans="1:4" x14ac:dyDescent="0.35">
      <c r="B14" s="8"/>
      <c r="C14" s="15"/>
      <c r="D14" s="13"/>
    </row>
    <row r="15" spans="1:4" x14ac:dyDescent="0.35">
      <c r="B15" s="8"/>
      <c r="C15" s="15"/>
      <c r="D15" s="13"/>
    </row>
    <row r="16" spans="1:4" x14ac:dyDescent="0.35">
      <c r="B16" s="8"/>
      <c r="C16" s="15"/>
      <c r="D16" s="13"/>
    </row>
    <row r="17" spans="2:4" x14ac:dyDescent="0.35">
      <c r="B17" s="8"/>
      <c r="C17" s="15"/>
      <c r="D17" s="13"/>
    </row>
    <row r="18" spans="2:4" x14ac:dyDescent="0.35">
      <c r="B18" s="8"/>
      <c r="C18" s="15"/>
      <c r="D18" s="13"/>
    </row>
    <row r="19" spans="2:4" x14ac:dyDescent="0.35">
      <c r="B19" s="8"/>
      <c r="C19" s="15"/>
      <c r="D19" s="13"/>
    </row>
    <row r="20" spans="2:4" x14ac:dyDescent="0.35">
      <c r="B20" s="8"/>
      <c r="C20" s="15"/>
      <c r="D20" s="13"/>
    </row>
    <row r="21" spans="2:4" x14ac:dyDescent="0.35">
      <c r="B21" s="8"/>
      <c r="C21" s="15"/>
      <c r="D21" s="13"/>
    </row>
    <row r="22" spans="2:4" x14ac:dyDescent="0.35">
      <c r="B22" s="8"/>
      <c r="C22" s="15"/>
      <c r="D22" s="13"/>
    </row>
    <row r="23" spans="2:4" x14ac:dyDescent="0.35">
      <c r="B23" s="8"/>
      <c r="C23" s="8"/>
      <c r="D23" s="13"/>
    </row>
    <row r="24" spans="2:4" x14ac:dyDescent="0.35">
      <c r="B24" s="8"/>
      <c r="C24" s="8"/>
      <c r="D24" s="13"/>
    </row>
    <row r="25" spans="2:4" x14ac:dyDescent="0.35">
      <c r="B25" s="8"/>
      <c r="C25" s="8"/>
      <c r="D25" s="13"/>
    </row>
  </sheetData>
  <sortState xmlns:xlrd2="http://schemas.microsoft.com/office/spreadsheetml/2017/richdata2" ref="G2:H13">
    <sortCondition ref="G2:G13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98F96-16C1-4B0D-8E6B-52874F1AE5CE}">
  <dimension ref="A2:BP36"/>
  <sheetViews>
    <sheetView tabSelected="1" workbookViewId="0">
      <selection activeCell="A2" sqref="A2"/>
    </sheetView>
  </sheetViews>
  <sheetFormatPr defaultRowHeight="15.5" x14ac:dyDescent="0.35"/>
  <cols>
    <col min="1" max="1" width="4.9140625" bestFit="1" customWidth="1"/>
    <col min="2" max="2" width="1.75" bestFit="1" customWidth="1"/>
    <col min="3" max="3" width="18.83203125" bestFit="1" customWidth="1"/>
    <col min="4" max="5" width="2.75" style="1" bestFit="1" customWidth="1"/>
    <col min="6" max="6" width="5.25" style="1" bestFit="1" customWidth="1"/>
    <col min="7" max="7" width="7.25" style="1" bestFit="1" customWidth="1"/>
    <col min="8" max="8" width="5.75" style="1" hidden="1" customWidth="1"/>
    <col min="9" max="9" width="3.58203125" customWidth="1"/>
    <col min="10" max="10" width="4.75" bestFit="1" customWidth="1"/>
    <col min="11" max="11" width="1.75" bestFit="1" customWidth="1"/>
    <col min="12" max="12" width="18.83203125" bestFit="1" customWidth="1"/>
    <col min="13" max="14" width="5.1640625" style="1" bestFit="1" customWidth="1"/>
    <col min="15" max="15" width="5.25" style="1" bestFit="1" customWidth="1"/>
    <col min="16" max="16" width="9.25" bestFit="1" customWidth="1"/>
    <col min="17" max="17" width="5.75" bestFit="1" customWidth="1"/>
    <col min="18" max="18" width="1.75" bestFit="1" customWidth="1"/>
    <col min="19" max="19" width="4.9140625" bestFit="1" customWidth="1"/>
    <col min="20" max="20" width="1.75" bestFit="1" customWidth="1"/>
    <col min="21" max="21" width="16" bestFit="1" customWidth="1"/>
    <col min="22" max="23" width="5.1640625" style="1" bestFit="1" customWidth="1"/>
    <col min="24" max="24" width="6.25" style="4" bestFit="1" customWidth="1"/>
    <col min="25" max="25" width="9.25" style="4" bestFit="1" customWidth="1"/>
    <col min="26" max="26" width="5.75" style="1" bestFit="1" customWidth="1"/>
    <col min="27" max="27" width="3.58203125" customWidth="1"/>
    <col min="28" max="28" width="4.75" bestFit="1" customWidth="1"/>
    <col min="29" max="29" width="1.75" bestFit="1" customWidth="1"/>
    <col min="30" max="30" width="18.83203125" bestFit="1" customWidth="1"/>
    <col min="31" max="32" width="5.1640625" style="1" bestFit="1" customWidth="1"/>
    <col min="33" max="33" width="6.25" style="4" bestFit="1" customWidth="1"/>
    <col min="34" max="34" width="9.25" style="4" bestFit="1" customWidth="1"/>
    <col min="35" max="35" width="5.75" style="1" bestFit="1" customWidth="1"/>
    <col min="37" max="37" width="4.9140625" bestFit="1" customWidth="1"/>
    <col min="38" max="38" width="1.75" bestFit="1" customWidth="1"/>
    <col min="39" max="39" width="18.83203125" bestFit="1" customWidth="1"/>
    <col min="40" max="48" width="1.75" style="1" bestFit="1" customWidth="1"/>
    <col min="49" max="49" width="1.75" style="1" customWidth="1"/>
    <col min="50" max="50" width="9.25" style="1" bestFit="1" customWidth="1"/>
    <col min="51" max="51" width="5.75" style="1" bestFit="1" customWidth="1"/>
    <col min="52" max="52" width="1.75" bestFit="1" customWidth="1"/>
    <col min="53" max="53" width="3.58203125" customWidth="1"/>
    <col min="54" max="54" width="5.5" bestFit="1" customWidth="1"/>
    <col min="55" max="55" width="5.1640625" bestFit="1" customWidth="1"/>
    <col min="56" max="56" width="18.83203125" bestFit="1" customWidth="1"/>
    <col min="57" max="64" width="1.75" style="1" bestFit="1" customWidth="1"/>
    <col min="65" max="66" width="2.75" style="1" bestFit="1" customWidth="1"/>
    <col min="67" max="67" width="9.25" bestFit="1" customWidth="1"/>
    <col min="68" max="68" width="5.75" bestFit="1" customWidth="1"/>
    <col min="69" max="69" width="2.75" bestFit="1" customWidth="1"/>
  </cols>
  <sheetData>
    <row r="2" spans="1:68" x14ac:dyDescent="0.35">
      <c r="A2" t="str" cm="1">
        <f t="array" ref="A2:H13">_xlfn.SORTBY(A25:H36,G25:G36,-1)</f>
        <v>CON</v>
      </c>
      <c r="B2">
        <v>0</v>
      </c>
      <c r="C2" t="str">
        <v>Connecticut Sun</v>
      </c>
      <c r="D2" s="1">
        <v>26</v>
      </c>
      <c r="E2" s="1">
        <v>6</v>
      </c>
      <c r="F2" s="3">
        <v>0.8125</v>
      </c>
      <c r="G2" s="9">
        <v>1662.5070167475747</v>
      </c>
      <c r="H2" s="1">
        <v>44475</v>
      </c>
      <c r="O2" s="4"/>
      <c r="P2" s="4"/>
      <c r="Q2" s="1"/>
      <c r="AK2" t="s">
        <v>2</v>
      </c>
      <c r="AL2" t="e">
        <f>_xlfn.XLOOKUP(AK2,ConfDiv[TeamID],ConfDiv[Logo])</f>
        <v>#N/A</v>
      </c>
      <c r="AM2" t="e">
        <f>_xlfn.XLOOKUP(AK2,ConfDiv[TeamID],ConfDiv[TeamName])</f>
        <v>#N/A</v>
      </c>
      <c r="AN2" s="1" t="e">
        <f>_xlfn.XLOOKUP($AK2,StandingsPivot!$A$4:$A$33,StandingsPivot!D$4:D$33)</f>
        <v>#N/A</v>
      </c>
      <c r="AO2" s="1" t="e">
        <f>_xlfn.XLOOKUP($AK2,StandingsPivot!$A$4:$A$33,StandingsPivot!E$4:E$33)</f>
        <v>#N/A</v>
      </c>
      <c r="AP2" s="1" t="e">
        <f>_xlfn.XLOOKUP($AK2,StandingsPivot!$A$4:$A$33,StandingsPivot!F$4:F$33)</f>
        <v>#N/A</v>
      </c>
      <c r="AQ2" s="1" t="e">
        <f>_xlfn.XLOOKUP($AK2,StandingsPivot!$A$4:$A$33,StandingsPivot!G$4:G$33)</f>
        <v>#N/A</v>
      </c>
      <c r="AR2" s="1" t="e">
        <f>_xlfn.XLOOKUP($AK2,StandingsPivot!$A$4:$A$33,StandingsPivot!H$4:H$33)</f>
        <v>#N/A</v>
      </c>
      <c r="AS2" s="1" t="e">
        <f>_xlfn.XLOOKUP($AK2,StandingsPivot!$A$4:$A$33,StandingsPivot!I$4:I$33)</f>
        <v>#N/A</v>
      </c>
      <c r="AT2" s="1" t="e">
        <f>_xlfn.XLOOKUP($AK2,StandingsPivot!$A$4:$A$33,StandingsPivot!J$4:J$33)</f>
        <v>#N/A</v>
      </c>
      <c r="AU2" s="1" t="e">
        <f>_xlfn.XLOOKUP($AK2,StandingsPivot!$A$4:$A$33,StandingsPivot!K$4:K$33)</f>
        <v>#N/A</v>
      </c>
      <c r="AV2" s="1" t="e">
        <f t="shared" ref="AV2:AV5" si="0">SUM(AN2,AP2,AR2,AT2)</f>
        <v>#N/A</v>
      </c>
      <c r="AW2" s="1" t="e">
        <f t="shared" ref="AW2:AW5" si="1">SUM(AO2,AQ2,AS2,AU2)</f>
        <v>#N/A</v>
      </c>
      <c r="AX2" s="4" cm="1">
        <f t="array" ref="AX2">_xlfn.IFNA(INDEX(Games[PostGmRate], MATCH(1, (Games[Team]=AK2)*(Games[Date]=AY2), 0)),0)</f>
        <v>0</v>
      </c>
      <c r="AY2" s="1">
        <f>_xlfn.MAXIFS(Games[Date], Games[Team], AK2)</f>
        <v>0</v>
      </c>
      <c r="AZ2" t="e">
        <f t="shared" ref="AZ2:AZ5" si="2">SUM(AV2:AW2)</f>
        <v>#N/A</v>
      </c>
    </row>
    <row r="3" spans="1:68" x14ac:dyDescent="0.35">
      <c r="A3" t="str">
        <v>CHI</v>
      </c>
      <c r="B3">
        <v>0</v>
      </c>
      <c r="C3" t="str">
        <v>Chicago Sky</v>
      </c>
      <c r="D3" s="1">
        <v>16</v>
      </c>
      <c r="E3" s="1">
        <v>16</v>
      </c>
      <c r="F3" s="3">
        <v>0.5</v>
      </c>
      <c r="G3" s="9">
        <v>1653.5243420079441</v>
      </c>
      <c r="H3" s="1">
        <v>44486</v>
      </c>
      <c r="O3" s="4"/>
      <c r="P3" s="4"/>
      <c r="Q3" s="1"/>
      <c r="AK3" t="s">
        <v>60</v>
      </c>
      <c r="AL3">
        <f>_xlfn.XLOOKUP(AK3,ConfDiv[TeamID],ConfDiv[Logo])</f>
        <v>0</v>
      </c>
      <c r="AM3" t="str">
        <f>_xlfn.XLOOKUP(AK3,ConfDiv[TeamID],ConfDiv[TeamName])</f>
        <v>New York Liberty</v>
      </c>
      <c r="AN3" s="1">
        <f>_xlfn.XLOOKUP($AK3,StandingsPivot!$A$4:$A$33,StandingsPivot!D$4:D$33)</f>
        <v>0</v>
      </c>
      <c r="AO3" s="1">
        <f>_xlfn.XLOOKUP($AK3,StandingsPivot!$A$4:$A$33,StandingsPivot!E$4:E$33)</f>
        <v>0</v>
      </c>
      <c r="AP3" s="1">
        <f>_xlfn.XLOOKUP($AK3,StandingsPivot!$A$4:$A$33,StandingsPivot!F$4:F$33)</f>
        <v>0</v>
      </c>
      <c r="AQ3" s="1">
        <f>_xlfn.XLOOKUP($AK3,StandingsPivot!$A$4:$A$33,StandingsPivot!G$4:G$33)</f>
        <v>0</v>
      </c>
      <c r="AR3" s="1">
        <f>_xlfn.XLOOKUP($AK3,StandingsPivot!$A$4:$A$33,StandingsPivot!H$4:H$33)</f>
        <v>0</v>
      </c>
      <c r="AS3" s="1">
        <f>_xlfn.XLOOKUP($AK3,StandingsPivot!$A$4:$A$33,StandingsPivot!I$4:I$33)</f>
        <v>0</v>
      </c>
      <c r="AT3" s="1">
        <f>_xlfn.XLOOKUP($AK3,StandingsPivot!$A$4:$A$33,StandingsPivot!J$4:J$33)</f>
        <v>0</v>
      </c>
      <c r="AU3" s="1">
        <f>_xlfn.XLOOKUP($AK3,StandingsPivot!$A$4:$A$33,StandingsPivot!K$4:K$33)</f>
        <v>0</v>
      </c>
      <c r="AV3" s="1">
        <f t="shared" si="0"/>
        <v>0</v>
      </c>
      <c r="AW3" s="1">
        <f t="shared" si="1"/>
        <v>0</v>
      </c>
      <c r="AX3" s="4" cm="1">
        <f t="array" ref="AX3">_xlfn.IFNA(INDEX(Games[PostGmRate], MATCH(1, (Games[Team]=AK3)*(Games[Date]=AY3), 0)),0)</f>
        <v>1360.9951216695592</v>
      </c>
      <c r="AY3" s="1">
        <f>_xlfn.MAXIFS(Games[Date], Games[Team], AK3)</f>
        <v>44462</v>
      </c>
      <c r="AZ3">
        <f t="shared" si="2"/>
        <v>0</v>
      </c>
    </row>
    <row r="4" spans="1:68" x14ac:dyDescent="0.35">
      <c r="A4" t="str">
        <v>LVA</v>
      </c>
      <c r="B4">
        <v>0</v>
      </c>
      <c r="C4" t="str">
        <v>Las Vegas Aces</v>
      </c>
      <c r="D4" s="1">
        <v>24</v>
      </c>
      <c r="E4" s="1">
        <v>8</v>
      </c>
      <c r="F4" s="3">
        <v>0.75</v>
      </c>
      <c r="G4" s="9">
        <v>1639.2418670044046</v>
      </c>
      <c r="H4" s="1">
        <v>44477</v>
      </c>
      <c r="O4" s="4"/>
      <c r="P4" s="4"/>
      <c r="Q4" s="1"/>
      <c r="AK4" t="s">
        <v>59</v>
      </c>
      <c r="AL4" t="e">
        <f>_xlfn.XLOOKUP(AK4,ConfDiv[TeamID],ConfDiv[Logo])</f>
        <v>#N/A</v>
      </c>
      <c r="AM4" t="e">
        <f>_xlfn.XLOOKUP(AK4,ConfDiv[TeamID],ConfDiv[TeamName])</f>
        <v>#N/A</v>
      </c>
      <c r="AN4" s="1" t="e">
        <f>_xlfn.XLOOKUP($AK4,StandingsPivot!$A$4:$A$33,StandingsPivot!D$4:D$33)</f>
        <v>#N/A</v>
      </c>
      <c r="AO4" s="1" t="e">
        <f>_xlfn.XLOOKUP($AK4,StandingsPivot!$A$4:$A$33,StandingsPivot!E$4:E$33)</f>
        <v>#N/A</v>
      </c>
      <c r="AP4" s="1" t="e">
        <f>_xlfn.XLOOKUP($AK4,StandingsPivot!$A$4:$A$33,StandingsPivot!F$4:F$33)</f>
        <v>#N/A</v>
      </c>
      <c r="AQ4" s="1" t="e">
        <f>_xlfn.XLOOKUP($AK4,StandingsPivot!$A$4:$A$33,StandingsPivot!G$4:G$33)</f>
        <v>#N/A</v>
      </c>
      <c r="AR4" s="1" t="e">
        <f>_xlfn.XLOOKUP($AK4,StandingsPivot!$A$4:$A$33,StandingsPivot!H$4:H$33)</f>
        <v>#N/A</v>
      </c>
      <c r="AS4" s="1" t="e">
        <f>_xlfn.XLOOKUP($AK4,StandingsPivot!$A$4:$A$33,StandingsPivot!I$4:I$33)</f>
        <v>#N/A</v>
      </c>
      <c r="AT4" s="1" t="e">
        <f>_xlfn.XLOOKUP($AK4,StandingsPivot!$A$4:$A$33,StandingsPivot!J$4:J$33)</f>
        <v>#N/A</v>
      </c>
      <c r="AU4" s="1" t="e">
        <f>_xlfn.XLOOKUP($AK4,StandingsPivot!$A$4:$A$33,StandingsPivot!K$4:K$33)</f>
        <v>#N/A</v>
      </c>
      <c r="AV4" s="1" t="e">
        <f t="shared" si="0"/>
        <v>#N/A</v>
      </c>
      <c r="AW4" s="1" t="e">
        <f t="shared" si="1"/>
        <v>#N/A</v>
      </c>
      <c r="AX4" s="4" cm="1">
        <f t="array" ref="AX4">_xlfn.IFNA(INDEX(Games[PostGmRate], MATCH(1, (Games[Team]=AK4)*(Games[Date]=AY4), 0)),0)</f>
        <v>0</v>
      </c>
      <c r="AY4" s="1">
        <f>_xlfn.MAXIFS(Games[Date], Games[Team], AK4)</f>
        <v>0</v>
      </c>
      <c r="AZ4" t="e">
        <f t="shared" si="2"/>
        <v>#N/A</v>
      </c>
    </row>
    <row r="5" spans="1:68" x14ac:dyDescent="0.35">
      <c r="A5" t="str">
        <v>MIN</v>
      </c>
      <c r="B5">
        <v>0</v>
      </c>
      <c r="C5" t="str">
        <v>Minnesota Lynx</v>
      </c>
      <c r="D5" s="1">
        <v>22</v>
      </c>
      <c r="E5" s="1">
        <v>10</v>
      </c>
      <c r="F5" s="3">
        <v>0.6875</v>
      </c>
      <c r="G5" s="9">
        <v>1597.8609120453268</v>
      </c>
      <c r="H5" s="1">
        <v>44465</v>
      </c>
      <c r="O5" s="4"/>
      <c r="P5" s="4"/>
      <c r="Q5" s="1"/>
      <c r="AK5" t="s">
        <v>1</v>
      </c>
      <c r="AL5" t="e">
        <f>_xlfn.XLOOKUP(AK5,ConfDiv[TeamID],ConfDiv[Logo])</f>
        <v>#N/A</v>
      </c>
      <c r="AM5" t="e">
        <f>_xlfn.XLOOKUP(AK5,ConfDiv[TeamID],ConfDiv[TeamName])</f>
        <v>#N/A</v>
      </c>
      <c r="AN5" s="1" t="e">
        <f>_xlfn.XLOOKUP($AK5,StandingsPivot!$A$4:$A$33,StandingsPivot!D$4:D$33)</f>
        <v>#N/A</v>
      </c>
      <c r="AO5" s="1" t="e">
        <f>_xlfn.XLOOKUP($AK5,StandingsPivot!$A$4:$A$33,StandingsPivot!E$4:E$33)</f>
        <v>#N/A</v>
      </c>
      <c r="AP5" s="1" t="e">
        <f>_xlfn.XLOOKUP($AK5,StandingsPivot!$A$4:$A$33,StandingsPivot!F$4:F$33)</f>
        <v>#N/A</v>
      </c>
      <c r="AQ5" s="1" t="e">
        <f>_xlfn.XLOOKUP($AK5,StandingsPivot!$A$4:$A$33,StandingsPivot!G$4:G$33)</f>
        <v>#N/A</v>
      </c>
      <c r="AR5" s="1" t="e">
        <f>_xlfn.XLOOKUP($AK5,StandingsPivot!$A$4:$A$33,StandingsPivot!H$4:H$33)</f>
        <v>#N/A</v>
      </c>
      <c r="AS5" s="1" t="e">
        <f>_xlfn.XLOOKUP($AK5,StandingsPivot!$A$4:$A$33,StandingsPivot!I$4:I$33)</f>
        <v>#N/A</v>
      </c>
      <c r="AT5" s="1" t="e">
        <f>_xlfn.XLOOKUP($AK5,StandingsPivot!$A$4:$A$33,StandingsPivot!J$4:J$33)</f>
        <v>#N/A</v>
      </c>
      <c r="AU5" s="1" t="e">
        <f>_xlfn.XLOOKUP($AK5,StandingsPivot!$A$4:$A$33,StandingsPivot!K$4:K$33)</f>
        <v>#N/A</v>
      </c>
      <c r="AV5" s="1" t="e">
        <f t="shared" si="0"/>
        <v>#N/A</v>
      </c>
      <c r="AW5" s="1" t="e">
        <f t="shared" si="1"/>
        <v>#N/A</v>
      </c>
      <c r="AX5" s="4" cm="1">
        <f t="array" ref="AX5">_xlfn.IFNA(INDEX(Games[PostGmRate], MATCH(1, (Games[Team]=AK5)*(Games[Date]=AY5), 0)),0)</f>
        <v>0</v>
      </c>
      <c r="AY5" s="1">
        <f>_xlfn.MAXIFS(Games[Date], Games[Team], AK5)</f>
        <v>0</v>
      </c>
      <c r="AZ5" t="e">
        <f t="shared" si="2"/>
        <v>#N/A</v>
      </c>
    </row>
    <row r="6" spans="1:68" x14ac:dyDescent="0.35">
      <c r="A6" t="str">
        <v>SEA</v>
      </c>
      <c r="B6">
        <v>0</v>
      </c>
      <c r="C6" t="str">
        <v>Seattle Storm</v>
      </c>
      <c r="D6" s="1">
        <v>21</v>
      </c>
      <c r="E6" s="1">
        <v>11</v>
      </c>
      <c r="F6" s="3">
        <v>0.65625</v>
      </c>
      <c r="G6" s="9">
        <v>1593.0445400640842</v>
      </c>
      <c r="H6" s="1">
        <v>44465</v>
      </c>
      <c r="O6" s="3"/>
      <c r="P6" s="4"/>
      <c r="Q6" s="1"/>
      <c r="AK6" t="s">
        <v>40</v>
      </c>
      <c r="AL6">
        <f>_xlfn.XLOOKUP(AK6,ConfDiv[TeamID],ConfDiv[Logo])</f>
        <v>0</v>
      </c>
      <c r="AM6" t="str">
        <f>_xlfn.XLOOKUP(AK6,ConfDiv[TeamID],ConfDiv[TeamName])</f>
        <v>Phoenix Mercury</v>
      </c>
      <c r="AN6" s="1">
        <f>_xlfn.XLOOKUP($AK6,StandingsPivot!$A$4:$A$33,StandingsPivot!D$4:D$33)</f>
        <v>1</v>
      </c>
      <c r="AO6" s="1">
        <f>_xlfn.XLOOKUP($AK6,StandingsPivot!$A$4:$A$33,StandingsPivot!E$4:E$33)</f>
        <v>0</v>
      </c>
      <c r="AP6" s="1">
        <f>_xlfn.XLOOKUP($AK6,StandingsPivot!$A$4:$A$33,StandingsPivot!F$4:F$33)</f>
        <v>3</v>
      </c>
      <c r="AQ6" s="1">
        <f>_xlfn.XLOOKUP($AK6,StandingsPivot!$A$4:$A$33,StandingsPivot!G$4:G$33)</f>
        <v>2</v>
      </c>
      <c r="AR6" s="1">
        <f>_xlfn.XLOOKUP($AK6,StandingsPivot!$A$4:$A$33,StandingsPivot!H$4:H$33)</f>
        <v>1</v>
      </c>
      <c r="AS6" s="1">
        <f>_xlfn.XLOOKUP($AK6,StandingsPivot!$A$4:$A$33,StandingsPivot!I$4:I$33)</f>
        <v>3</v>
      </c>
      <c r="AT6" s="1">
        <f>_xlfn.XLOOKUP($AK6,StandingsPivot!$A$4:$A$33,StandingsPivot!J$4:J$33)</f>
        <v>0</v>
      </c>
      <c r="AU6" s="1">
        <f>_xlfn.XLOOKUP($AK6,StandingsPivot!$A$4:$A$33,StandingsPivot!K$4:K$33)</f>
        <v>0</v>
      </c>
      <c r="AV6" s="1">
        <f t="shared" ref="AV6:AW9" si="3">SUM(AN6,AP6,AR6,AT6)</f>
        <v>5</v>
      </c>
      <c r="AW6" s="1">
        <f t="shared" si="3"/>
        <v>5</v>
      </c>
      <c r="AX6" s="4" cm="1">
        <f t="array" ref="AX6">_xlfn.IFNA(INDEX(Games[PostGmRate], MATCH(1, (Games[Team]=AK6)*(Games[Date]=AY6), 0)),0)</f>
        <v>1569.7647923277129</v>
      </c>
      <c r="AY6" s="1">
        <f>_xlfn.MAXIFS(Games[Date], Games[Team], AK6)</f>
        <v>44486</v>
      </c>
      <c r="AZ6">
        <f>SUM(AV6:AW6)</f>
        <v>10</v>
      </c>
      <c r="BO6" s="4"/>
      <c r="BP6" s="1"/>
    </row>
    <row r="7" spans="1:68" x14ac:dyDescent="0.35">
      <c r="A7" t="str">
        <v>PHX</v>
      </c>
      <c r="B7">
        <v>0</v>
      </c>
      <c r="C7" t="str">
        <v>Phoenix Mercury</v>
      </c>
      <c r="D7" s="1">
        <v>19</v>
      </c>
      <c r="E7" s="1">
        <v>13</v>
      </c>
      <c r="F7" s="3">
        <v>0.59375</v>
      </c>
      <c r="G7" s="9">
        <v>1569.7647923277129</v>
      </c>
      <c r="H7" s="1">
        <v>44486</v>
      </c>
      <c r="AK7" t="s">
        <v>63</v>
      </c>
      <c r="AL7">
        <f>_xlfn.XLOOKUP(AK7,ConfDiv[TeamID],ConfDiv[Logo])</f>
        <v>0</v>
      </c>
      <c r="AM7" t="str">
        <f>_xlfn.XLOOKUP(AK7,ConfDiv[TeamID],ConfDiv[TeamName])</f>
        <v>Los Angeles Sparks</v>
      </c>
      <c r="AN7" s="1">
        <f>_xlfn.XLOOKUP($AK7,StandingsPivot!$A$4:$A$33,StandingsPivot!D$4:D$33)</f>
        <v>0</v>
      </c>
      <c r="AO7" s="1">
        <f>_xlfn.XLOOKUP($AK7,StandingsPivot!$A$4:$A$33,StandingsPivot!E$4:E$33)</f>
        <v>0</v>
      </c>
      <c r="AP7" s="1">
        <f>_xlfn.XLOOKUP($AK7,StandingsPivot!$A$4:$A$33,StandingsPivot!F$4:F$33)</f>
        <v>0</v>
      </c>
      <c r="AQ7" s="1">
        <f>_xlfn.XLOOKUP($AK7,StandingsPivot!$A$4:$A$33,StandingsPivot!G$4:G$33)</f>
        <v>0</v>
      </c>
      <c r="AR7" s="1">
        <f>_xlfn.XLOOKUP($AK7,StandingsPivot!$A$4:$A$33,StandingsPivot!H$4:H$33)</f>
        <v>0</v>
      </c>
      <c r="AS7" s="1">
        <f>_xlfn.XLOOKUP($AK7,StandingsPivot!$A$4:$A$33,StandingsPivot!I$4:I$33)</f>
        <v>0</v>
      </c>
      <c r="AT7" s="1">
        <f>_xlfn.XLOOKUP($AK7,StandingsPivot!$A$4:$A$33,StandingsPivot!J$4:J$33)</f>
        <v>0</v>
      </c>
      <c r="AU7" s="1">
        <f>_xlfn.XLOOKUP($AK7,StandingsPivot!$A$4:$A$33,StandingsPivot!K$4:K$33)</f>
        <v>0</v>
      </c>
      <c r="AV7" s="1">
        <f t="shared" si="3"/>
        <v>0</v>
      </c>
      <c r="AW7" s="1">
        <f t="shared" si="3"/>
        <v>0</v>
      </c>
      <c r="AX7" s="4" cm="1">
        <f t="array" ref="AX7">_xlfn.IFNA(INDEX(Games[PostGmRate], MATCH(1, (Games[Team]=AK7)*(Games[Date]=AY7), 0)),0)</f>
        <v>1429.6278585693271</v>
      </c>
      <c r="AY7" s="1">
        <f>_xlfn.MAXIFS(Games[Date], Games[Team], AK7)</f>
        <v>44458</v>
      </c>
      <c r="AZ7">
        <f>SUM(AV7:AW7)</f>
        <v>0</v>
      </c>
      <c r="BO7" s="4"/>
      <c r="BP7" s="1"/>
    </row>
    <row r="8" spans="1:68" x14ac:dyDescent="0.35">
      <c r="A8" t="str">
        <v>DAL</v>
      </c>
      <c r="B8">
        <v>0</v>
      </c>
      <c r="C8" t="str">
        <v>Dallas Wings</v>
      </c>
      <c r="D8" s="1">
        <v>14</v>
      </c>
      <c r="E8" s="1">
        <v>18</v>
      </c>
      <c r="F8" s="3">
        <v>0.4375</v>
      </c>
      <c r="G8" s="9">
        <v>1440.3440054026812</v>
      </c>
      <c r="H8" s="1">
        <v>44462</v>
      </c>
      <c r="O8" s="3"/>
      <c r="P8" s="4"/>
      <c r="Q8" s="1"/>
      <c r="AK8" t="s">
        <v>41</v>
      </c>
      <c r="AL8" t="e">
        <f>_xlfn.XLOOKUP(AK8,ConfDiv[TeamID],ConfDiv[Logo])</f>
        <v>#N/A</v>
      </c>
      <c r="AM8" t="e">
        <f>_xlfn.XLOOKUP(AK8,ConfDiv[TeamID],ConfDiv[TeamName])</f>
        <v>#N/A</v>
      </c>
      <c r="AN8" s="1" t="e">
        <f>_xlfn.XLOOKUP($AK8,StandingsPivot!$A$4:$A$33,StandingsPivot!D$4:D$33)</f>
        <v>#N/A</v>
      </c>
      <c r="AO8" s="1" t="e">
        <f>_xlfn.XLOOKUP($AK8,StandingsPivot!$A$4:$A$33,StandingsPivot!E$4:E$33)</f>
        <v>#N/A</v>
      </c>
      <c r="AP8" s="1" t="e">
        <f>_xlfn.XLOOKUP($AK8,StandingsPivot!$A$4:$A$33,StandingsPivot!F$4:F$33)</f>
        <v>#N/A</v>
      </c>
      <c r="AQ8" s="1" t="e">
        <f>_xlfn.XLOOKUP($AK8,StandingsPivot!$A$4:$A$33,StandingsPivot!G$4:G$33)</f>
        <v>#N/A</v>
      </c>
      <c r="AR8" s="1" t="e">
        <f>_xlfn.XLOOKUP($AK8,StandingsPivot!$A$4:$A$33,StandingsPivot!H$4:H$33)</f>
        <v>#N/A</v>
      </c>
      <c r="AS8" s="1" t="e">
        <f>_xlfn.XLOOKUP($AK8,StandingsPivot!$A$4:$A$33,StandingsPivot!I$4:I$33)</f>
        <v>#N/A</v>
      </c>
      <c r="AT8" s="1" t="e">
        <f>_xlfn.XLOOKUP($AK8,StandingsPivot!$A$4:$A$33,StandingsPivot!J$4:J$33)</f>
        <v>#N/A</v>
      </c>
      <c r="AU8" s="1" t="e">
        <f>_xlfn.XLOOKUP($AK8,StandingsPivot!$A$4:$A$33,StandingsPivot!K$4:K$33)</f>
        <v>#N/A</v>
      </c>
      <c r="AV8" s="1" t="e">
        <f t="shared" si="3"/>
        <v>#N/A</v>
      </c>
      <c r="AW8" s="1" t="e">
        <f t="shared" si="3"/>
        <v>#N/A</v>
      </c>
      <c r="AX8" s="4" cm="1">
        <f t="array" ref="AX8">_xlfn.IFNA(INDEX(Games[PostGmRate], MATCH(1, (Games[Team]=AK8)*(Games[Date]=AY8), 0)),0)</f>
        <v>0</v>
      </c>
      <c r="AY8" s="1">
        <f>_xlfn.MAXIFS(Games[Date], Games[Team], AK8)</f>
        <v>0</v>
      </c>
      <c r="AZ8" t="e">
        <f>SUM(AV8:AW8)</f>
        <v>#N/A</v>
      </c>
      <c r="BO8" s="4"/>
      <c r="BP8" s="1"/>
    </row>
    <row r="9" spans="1:68" x14ac:dyDescent="0.35">
      <c r="A9" t="str">
        <v>LAS</v>
      </c>
      <c r="B9">
        <v>0</v>
      </c>
      <c r="C9" t="str">
        <v>Los Angeles Sparks</v>
      </c>
      <c r="D9" s="1">
        <v>12</v>
      </c>
      <c r="E9" s="1">
        <v>20</v>
      </c>
      <c r="F9" s="3">
        <v>0.375</v>
      </c>
      <c r="G9" s="9">
        <v>1429.6278585693271</v>
      </c>
      <c r="H9" s="1">
        <v>44458</v>
      </c>
      <c r="O9" s="3"/>
      <c r="P9" s="4"/>
      <c r="Q9" s="1"/>
      <c r="AK9" t="s">
        <v>39</v>
      </c>
      <c r="AL9" t="e">
        <f>_xlfn.XLOOKUP(AK9,ConfDiv[TeamID],ConfDiv[Logo])</f>
        <v>#N/A</v>
      </c>
      <c r="AM9" t="e">
        <f>_xlfn.XLOOKUP(AK9,ConfDiv[TeamID],ConfDiv[TeamName])</f>
        <v>#N/A</v>
      </c>
      <c r="AN9" s="1" t="e">
        <f>_xlfn.XLOOKUP($AK9,StandingsPivot!$A$4:$A$33,StandingsPivot!D$4:D$33)</f>
        <v>#N/A</v>
      </c>
      <c r="AO9" s="1" t="e">
        <f>_xlfn.XLOOKUP($AK9,StandingsPivot!$A$4:$A$33,StandingsPivot!E$4:E$33)</f>
        <v>#N/A</v>
      </c>
      <c r="AP9" s="1" t="e">
        <f>_xlfn.XLOOKUP($AK9,StandingsPivot!$A$4:$A$33,StandingsPivot!F$4:F$33)</f>
        <v>#N/A</v>
      </c>
      <c r="AQ9" s="1" t="e">
        <f>_xlfn.XLOOKUP($AK9,StandingsPivot!$A$4:$A$33,StandingsPivot!G$4:G$33)</f>
        <v>#N/A</v>
      </c>
      <c r="AR9" s="1" t="e">
        <f>_xlfn.XLOOKUP($AK9,StandingsPivot!$A$4:$A$33,StandingsPivot!H$4:H$33)</f>
        <v>#N/A</v>
      </c>
      <c r="AS9" s="1" t="e">
        <f>_xlfn.XLOOKUP($AK9,StandingsPivot!$A$4:$A$33,StandingsPivot!I$4:I$33)</f>
        <v>#N/A</v>
      </c>
      <c r="AT9" s="1" t="e">
        <f>_xlfn.XLOOKUP($AK9,StandingsPivot!$A$4:$A$33,StandingsPivot!J$4:J$33)</f>
        <v>#N/A</v>
      </c>
      <c r="AU9" s="1" t="e">
        <f>_xlfn.XLOOKUP($AK9,StandingsPivot!$A$4:$A$33,StandingsPivot!K$4:K$33)</f>
        <v>#N/A</v>
      </c>
      <c r="AV9" s="1" t="e">
        <f t="shared" si="3"/>
        <v>#N/A</v>
      </c>
      <c r="AW9" s="1" t="e">
        <f t="shared" si="3"/>
        <v>#N/A</v>
      </c>
      <c r="AX9" s="4" cm="1">
        <f t="array" ref="AX9">_xlfn.IFNA(INDEX(Games[PostGmRate], MATCH(1, (Games[Team]=AK9)*(Games[Date]=AY9), 0)),0)</f>
        <v>0</v>
      </c>
      <c r="AY9" s="1">
        <f>_xlfn.MAXIFS(Games[Date], Games[Team], AK9)</f>
        <v>0</v>
      </c>
      <c r="AZ9" t="e">
        <f>SUM(AV9:AW9)</f>
        <v>#N/A</v>
      </c>
      <c r="BO9" s="4"/>
      <c r="BP9" s="1"/>
    </row>
    <row r="10" spans="1:68" x14ac:dyDescent="0.35">
      <c r="A10" t="str">
        <v>WAS</v>
      </c>
      <c r="B10">
        <v>0</v>
      </c>
      <c r="C10" t="str">
        <v>Washington Mystics</v>
      </c>
      <c r="D10" s="1">
        <v>12</v>
      </c>
      <c r="E10" s="1">
        <v>20</v>
      </c>
      <c r="F10" s="3">
        <v>0.375</v>
      </c>
      <c r="G10" s="9">
        <v>1421.9874191226393</v>
      </c>
      <c r="H10" s="1">
        <v>44458</v>
      </c>
      <c r="O10" s="3"/>
      <c r="P10" s="4"/>
      <c r="Q10" s="1"/>
      <c r="AX10" s="4"/>
      <c r="BO10" s="4"/>
      <c r="BP10" s="1"/>
    </row>
    <row r="11" spans="1:68" x14ac:dyDescent="0.35">
      <c r="A11" t="str">
        <v>NYL</v>
      </c>
      <c r="B11">
        <v>0</v>
      </c>
      <c r="C11" t="str">
        <v>New York Liberty</v>
      </c>
      <c r="D11" s="1">
        <v>12</v>
      </c>
      <c r="E11" s="1">
        <v>20</v>
      </c>
      <c r="F11" s="3">
        <v>0.375</v>
      </c>
      <c r="G11" s="9">
        <v>1360.9951216695592</v>
      </c>
      <c r="H11" s="1">
        <v>44462</v>
      </c>
      <c r="O11" s="3"/>
      <c r="P11" s="4"/>
      <c r="Q11" s="1"/>
      <c r="AX11" s="4"/>
      <c r="BO11" s="4"/>
      <c r="BP11" s="1"/>
    </row>
    <row r="12" spans="1:68" x14ac:dyDescent="0.35">
      <c r="A12" t="str">
        <v>ATL</v>
      </c>
      <c r="B12">
        <v>0</v>
      </c>
      <c r="C12" t="str">
        <v>Atlanta Dream</v>
      </c>
      <c r="D12" s="1">
        <v>8</v>
      </c>
      <c r="E12" s="1">
        <v>24</v>
      </c>
      <c r="F12" s="3">
        <v>0.25</v>
      </c>
      <c r="G12" s="9">
        <v>1324.6014757324394</v>
      </c>
      <c r="H12" s="1">
        <v>44458</v>
      </c>
      <c r="O12" s="3"/>
      <c r="P12" s="4"/>
      <c r="Q12" s="1"/>
      <c r="AX12" s="4"/>
      <c r="BO12" s="4"/>
      <c r="BP12" s="1"/>
    </row>
    <row r="13" spans="1:68" x14ac:dyDescent="0.35">
      <c r="A13" t="str">
        <v>IND</v>
      </c>
      <c r="B13">
        <v>0</v>
      </c>
      <c r="C13" t="str">
        <v>Indiana Fever</v>
      </c>
      <c r="D13" s="1">
        <v>6</v>
      </c>
      <c r="E13" s="1">
        <v>26</v>
      </c>
      <c r="F13" s="3">
        <v>0.1875</v>
      </c>
      <c r="G13" s="9">
        <v>1306.6900614536787</v>
      </c>
      <c r="H13" s="1">
        <v>44458</v>
      </c>
      <c r="AX13" s="4"/>
      <c r="BO13" s="4"/>
      <c r="BP13" s="1"/>
    </row>
    <row r="14" spans="1:68" x14ac:dyDescent="0.35">
      <c r="F14" s="3"/>
      <c r="G14" s="9"/>
      <c r="O14" s="3"/>
      <c r="P14" s="4"/>
      <c r="Q14" s="1"/>
      <c r="AX14" s="4"/>
      <c r="BO14" s="4"/>
      <c r="BP14" s="1"/>
    </row>
    <row r="15" spans="1:68" x14ac:dyDescent="0.35">
      <c r="F15" s="3"/>
      <c r="G15" s="9"/>
      <c r="O15" s="3"/>
      <c r="P15" s="4"/>
      <c r="Q15" s="1"/>
      <c r="AX15" s="4"/>
      <c r="BO15" s="4"/>
      <c r="BP15" s="1"/>
    </row>
    <row r="16" spans="1:68" x14ac:dyDescent="0.35">
      <c r="F16" s="3"/>
      <c r="G16" s="9"/>
      <c r="O16" s="3"/>
      <c r="P16" s="4"/>
      <c r="Q16" s="1"/>
      <c r="AX16" s="4"/>
      <c r="BO16" s="4"/>
      <c r="BP16" s="1"/>
    </row>
    <row r="17" spans="1:60" x14ac:dyDescent="0.35">
      <c r="F17" s="3"/>
      <c r="G17" s="9"/>
      <c r="O17" s="3"/>
      <c r="P17" s="4"/>
      <c r="Q17" s="1"/>
    </row>
    <row r="18" spans="1:60" x14ac:dyDescent="0.35">
      <c r="F18" s="3"/>
      <c r="G18" s="9"/>
      <c r="O18" s="3"/>
      <c r="P18" s="4"/>
      <c r="Q18" s="1"/>
    </row>
    <row r="19" spans="1:60" x14ac:dyDescent="0.35">
      <c r="F19" s="3"/>
      <c r="G19" s="9"/>
    </row>
    <row r="20" spans="1:60" x14ac:dyDescent="0.35">
      <c r="F20" s="3"/>
      <c r="G20" s="9"/>
      <c r="O20" s="3"/>
      <c r="P20" s="4"/>
      <c r="Q20" s="1"/>
    </row>
    <row r="21" spans="1:60" x14ac:dyDescent="0.35">
      <c r="F21" s="3"/>
      <c r="G21" s="9"/>
      <c r="AR21" s="3"/>
      <c r="AS21" s="4"/>
      <c r="BD21" s="1"/>
      <c r="BG21" s="3"/>
      <c r="BH21" s="4"/>
    </row>
    <row r="22" spans="1:60" x14ac:dyDescent="0.35">
      <c r="F22" s="3"/>
      <c r="G22" s="9"/>
      <c r="AR22" s="3"/>
      <c r="AS22" s="4"/>
      <c r="BD22" s="1"/>
      <c r="BG22" s="3"/>
      <c r="BH22" s="4"/>
    </row>
    <row r="23" spans="1:60" x14ac:dyDescent="0.35">
      <c r="F23" s="3"/>
      <c r="G23" s="9"/>
      <c r="AR23" s="3"/>
      <c r="AS23" s="4"/>
      <c r="BD23" s="1"/>
      <c r="BG23" s="3"/>
      <c r="BH23" s="4"/>
    </row>
    <row r="24" spans="1:60" x14ac:dyDescent="0.35">
      <c r="F24" s="3"/>
      <c r="G24" s="9"/>
      <c r="AR24" s="3"/>
      <c r="AS24" s="4"/>
      <c r="BD24" s="1"/>
      <c r="BG24" s="3"/>
      <c r="BH24" s="4"/>
    </row>
    <row r="25" spans="1:60" x14ac:dyDescent="0.35">
      <c r="A25" t="s">
        <v>77</v>
      </c>
      <c r="B25">
        <f>_xlfn.XLOOKUP(A25,ConfDiv[TeamID],ConfDiv[Logo])</f>
        <v>0</v>
      </c>
      <c r="C25" t="str">
        <f>_xlfn.XLOOKUP(A25,ConfDiv[TeamID],ConfDiv[TeamName])</f>
        <v>Atlanta Dream</v>
      </c>
      <c r="D25" s="1">
        <f>_xlfn.XLOOKUP($A25,StandingsPivot!$A$4:$A$35,StandingsPivot!B$4:B$35)</f>
        <v>8</v>
      </c>
      <c r="E25" s="1">
        <f>_xlfn.XLOOKUP($A25,StandingsPivot!$A$4:$A$35,StandingsPivot!C$4:C$35)</f>
        <v>24</v>
      </c>
      <c r="F25" s="3">
        <f t="shared" ref="F25:F36" si="4">(D25)/(D25+E25)</f>
        <v>0.25</v>
      </c>
      <c r="G25" s="9" cm="1">
        <f t="array" ref="G25">INDEX(Games[PostGmRate], MATCH(1, (Games[Team]=A25)*(Games[Date]=H25), 0))</f>
        <v>1324.6014757324394</v>
      </c>
      <c r="H25" s="1">
        <f>_xlfn.MAXIFS(Games[Date], Games[Team], A25)</f>
        <v>44458</v>
      </c>
      <c r="AR25" s="3"/>
      <c r="AS25" s="4"/>
      <c r="BD25" s="1"/>
      <c r="BG25" s="3"/>
      <c r="BH25" s="4"/>
    </row>
    <row r="26" spans="1:60" x14ac:dyDescent="0.35">
      <c r="A26" t="s">
        <v>75</v>
      </c>
      <c r="B26">
        <f>_xlfn.XLOOKUP(A26,ConfDiv[TeamID],ConfDiv[Logo])</f>
        <v>0</v>
      </c>
      <c r="C26" t="str">
        <f>_xlfn.XLOOKUP(A26,ConfDiv[TeamID],ConfDiv[TeamName])</f>
        <v>Chicago Sky</v>
      </c>
      <c r="D26" s="1">
        <f>_xlfn.XLOOKUP($A26,StandingsPivot!$A$4:$A$35,StandingsPivot!B$4:B$35)</f>
        <v>16</v>
      </c>
      <c r="E26" s="1">
        <f>_xlfn.XLOOKUP($A26,StandingsPivot!$A$4:$A$35,StandingsPivot!C$4:C$35)</f>
        <v>16</v>
      </c>
      <c r="F26" s="3">
        <f t="shared" si="4"/>
        <v>0.5</v>
      </c>
      <c r="G26" s="9" cm="1">
        <f t="array" ref="G26">INDEX(Games[PostGmRate], MATCH(1, (Games[Team]=A26)*(Games[Date]=H26), 0))</f>
        <v>1653.5243420079441</v>
      </c>
      <c r="H26" s="1">
        <f>_xlfn.MAXIFS(Games[Date], Games[Team], A26)</f>
        <v>44486</v>
      </c>
      <c r="AR26" s="3"/>
      <c r="AS26" s="4"/>
      <c r="BD26" s="1"/>
      <c r="BG26" s="3"/>
      <c r="BH26" s="4"/>
    </row>
    <row r="27" spans="1:60" x14ac:dyDescent="0.35">
      <c r="A27" t="s">
        <v>74</v>
      </c>
      <c r="B27">
        <f>_xlfn.XLOOKUP(A27,ConfDiv[TeamID],ConfDiv[Logo])</f>
        <v>0</v>
      </c>
      <c r="C27" t="str">
        <f>_xlfn.XLOOKUP(A27,ConfDiv[TeamID],ConfDiv[TeamName])</f>
        <v>Connecticut Sun</v>
      </c>
      <c r="D27" s="1">
        <f>_xlfn.XLOOKUP($A27,StandingsPivot!$A$4:$A$35,StandingsPivot!B$4:B$35)</f>
        <v>26</v>
      </c>
      <c r="E27" s="1">
        <f>_xlfn.XLOOKUP($A27,StandingsPivot!$A$4:$A$35,StandingsPivot!C$4:C$35)</f>
        <v>6</v>
      </c>
      <c r="F27" s="3">
        <f t="shared" si="4"/>
        <v>0.8125</v>
      </c>
      <c r="G27" s="9" cm="1">
        <f t="array" ref="G27">INDEX(Games[PostGmRate], MATCH(1, (Games[Team]=A27)*(Games[Date]=H27), 0))</f>
        <v>1662.5070167475747</v>
      </c>
      <c r="H27" s="1">
        <f>_xlfn.MAXIFS(Games[Date], Games[Team], A27)</f>
        <v>44475</v>
      </c>
      <c r="AR27" s="3"/>
      <c r="AS27" s="4"/>
      <c r="BD27" s="1"/>
      <c r="BG27" s="3"/>
      <c r="BH27" s="4"/>
    </row>
    <row r="28" spans="1:60" x14ac:dyDescent="0.35">
      <c r="A28" t="s">
        <v>84</v>
      </c>
      <c r="B28">
        <f>_xlfn.XLOOKUP(A28,ConfDiv[TeamID],ConfDiv[Logo])</f>
        <v>0</v>
      </c>
      <c r="C28" t="str">
        <f>_xlfn.XLOOKUP(A28,ConfDiv[TeamID],ConfDiv[TeamName])</f>
        <v>Dallas Wings</v>
      </c>
      <c r="D28" s="1">
        <f>_xlfn.XLOOKUP($A28,StandingsPivot!$A$4:$A$35,StandingsPivot!B$4:B$35)</f>
        <v>14</v>
      </c>
      <c r="E28" s="1">
        <f>_xlfn.XLOOKUP($A28,StandingsPivot!$A$4:$A$35,StandingsPivot!C$4:C$35)</f>
        <v>18</v>
      </c>
      <c r="F28" s="3">
        <f t="shared" si="4"/>
        <v>0.4375</v>
      </c>
      <c r="G28" s="9" cm="1">
        <f t="array" ref="G28">INDEX(Games[PostGmRate], MATCH(1, (Games[Team]=A28)*(Games[Date]=H28), 0))</f>
        <v>1440.3440054026812</v>
      </c>
      <c r="H28" s="1">
        <f>_xlfn.MAXIFS(Games[Date], Games[Team], A28)</f>
        <v>44462</v>
      </c>
      <c r="AR28" s="3"/>
      <c r="AS28" s="4"/>
      <c r="BD28" s="1"/>
      <c r="BG28" s="3"/>
      <c r="BH28" s="4"/>
    </row>
    <row r="29" spans="1:60" x14ac:dyDescent="0.35">
      <c r="A29" t="s">
        <v>69</v>
      </c>
      <c r="B29">
        <f>_xlfn.XLOOKUP(A29,ConfDiv[TeamID],ConfDiv[Logo])</f>
        <v>0</v>
      </c>
      <c r="C29" t="str">
        <f>_xlfn.XLOOKUP(A29,ConfDiv[TeamID],ConfDiv[TeamName])</f>
        <v>Indiana Fever</v>
      </c>
      <c r="D29" s="1">
        <f>_xlfn.XLOOKUP($A29,StandingsPivot!$A$4:$A$35,StandingsPivot!B$4:B$35)</f>
        <v>6</v>
      </c>
      <c r="E29" s="1">
        <f>_xlfn.XLOOKUP($A29,StandingsPivot!$A$4:$A$35,StandingsPivot!C$4:C$35)</f>
        <v>26</v>
      </c>
      <c r="F29" s="3">
        <f t="shared" si="4"/>
        <v>0.1875</v>
      </c>
      <c r="G29" s="9" cm="1">
        <f t="array" ref="G29">INDEX(Games[PostGmRate], MATCH(1, (Games[Team]=A29)*(Games[Date]=H29), 0))</f>
        <v>1306.6900614536787</v>
      </c>
      <c r="H29" s="1">
        <f>_xlfn.MAXIFS(Games[Date], Games[Team], A29)</f>
        <v>44458</v>
      </c>
      <c r="AR29" s="3"/>
      <c r="AS29" s="4"/>
      <c r="BD29" s="1"/>
      <c r="BG29" s="3"/>
      <c r="BH29" s="4"/>
    </row>
    <row r="30" spans="1:60" x14ac:dyDescent="0.35">
      <c r="A30" t="s">
        <v>63</v>
      </c>
      <c r="B30">
        <f>_xlfn.XLOOKUP(A30,ConfDiv[TeamID],ConfDiv[Logo])</f>
        <v>0</v>
      </c>
      <c r="C30" t="str">
        <f>_xlfn.XLOOKUP(A30,ConfDiv[TeamID],ConfDiv[TeamName])</f>
        <v>Los Angeles Sparks</v>
      </c>
      <c r="D30" s="1">
        <f>_xlfn.XLOOKUP($A30,StandingsPivot!$A$4:$A$35,StandingsPivot!B$4:B$35)</f>
        <v>12</v>
      </c>
      <c r="E30" s="1">
        <f>_xlfn.XLOOKUP($A30,StandingsPivot!$A$4:$A$35,StandingsPivot!C$4:C$35)</f>
        <v>20</v>
      </c>
      <c r="F30" s="3">
        <f t="shared" si="4"/>
        <v>0.375</v>
      </c>
      <c r="G30" s="9" cm="1">
        <f t="array" ref="G30">INDEX(Games[PostGmRate], MATCH(1, (Games[Team]=A30)*(Games[Date]=H30), 0))</f>
        <v>1429.6278585693271</v>
      </c>
      <c r="H30" s="1">
        <f>_xlfn.MAXIFS(Games[Date], Games[Team], A30)</f>
        <v>44458</v>
      </c>
      <c r="AR30" s="3"/>
      <c r="AS30" s="4"/>
      <c r="BD30" s="1"/>
      <c r="BG30" s="3"/>
      <c r="BH30" s="4"/>
    </row>
    <row r="31" spans="1:60" x14ac:dyDescent="0.35">
      <c r="A31" t="s">
        <v>85</v>
      </c>
      <c r="B31">
        <f>_xlfn.XLOOKUP(A31,ConfDiv[TeamID],ConfDiv[Logo])</f>
        <v>0</v>
      </c>
      <c r="C31" t="str">
        <f>_xlfn.XLOOKUP(A31,ConfDiv[TeamID],ConfDiv[TeamName])</f>
        <v>Las Vegas Aces</v>
      </c>
      <c r="D31" s="1">
        <f>_xlfn.XLOOKUP($A31,StandingsPivot!$A$4:$A$35,StandingsPivot!B$4:B$35)</f>
        <v>24</v>
      </c>
      <c r="E31" s="1">
        <f>_xlfn.XLOOKUP($A31,StandingsPivot!$A$4:$A$35,StandingsPivot!C$4:C$35)</f>
        <v>8</v>
      </c>
      <c r="F31" s="3">
        <f t="shared" si="4"/>
        <v>0.75</v>
      </c>
      <c r="G31" s="9" cm="1">
        <f t="array" ref="G31">INDEX(Games[PostGmRate], MATCH(1, (Games[Team]=A31)*(Games[Date]=H31), 0))</f>
        <v>1639.2418670044046</v>
      </c>
      <c r="H31" s="1">
        <f>_xlfn.MAXIFS(Games[Date], Games[Team], A31)</f>
        <v>44477</v>
      </c>
      <c r="AR31" s="3"/>
      <c r="AS31" s="4"/>
      <c r="BD31" s="1"/>
      <c r="BG31" s="3"/>
      <c r="BH31" s="4"/>
    </row>
    <row r="32" spans="1:60" x14ac:dyDescent="0.35">
      <c r="A32" t="s">
        <v>67</v>
      </c>
      <c r="B32">
        <f>_xlfn.XLOOKUP(A32,ConfDiv[TeamID],ConfDiv[Logo])</f>
        <v>0</v>
      </c>
      <c r="C32" t="str">
        <f>_xlfn.XLOOKUP(A32,ConfDiv[TeamID],ConfDiv[TeamName])</f>
        <v>Minnesota Lynx</v>
      </c>
      <c r="D32" s="1">
        <f>_xlfn.XLOOKUP($A32,StandingsPivot!$A$4:$A$35,StandingsPivot!B$4:B$35)</f>
        <v>22</v>
      </c>
      <c r="E32" s="1">
        <f>_xlfn.XLOOKUP($A32,StandingsPivot!$A$4:$A$35,StandingsPivot!C$4:C$35)</f>
        <v>10</v>
      </c>
      <c r="F32" s="3">
        <f t="shared" si="4"/>
        <v>0.6875</v>
      </c>
      <c r="G32" s="9" cm="1">
        <f t="array" ref="G32">INDEX(Games[PostGmRate], MATCH(1, (Games[Team]=A32)*(Games[Date]=H32), 0))</f>
        <v>1597.8609120453268</v>
      </c>
      <c r="H32" s="1">
        <f>_xlfn.MAXIFS(Games[Date], Games[Team], A32)</f>
        <v>44465</v>
      </c>
    </row>
    <row r="33" spans="1:8" x14ac:dyDescent="0.35">
      <c r="A33" t="s">
        <v>60</v>
      </c>
      <c r="B33">
        <f>_xlfn.XLOOKUP(A33,ConfDiv[TeamID],ConfDiv[Logo])</f>
        <v>0</v>
      </c>
      <c r="C33" t="str">
        <f>_xlfn.XLOOKUP(A33,ConfDiv[TeamID],ConfDiv[TeamName])</f>
        <v>New York Liberty</v>
      </c>
      <c r="D33" s="1">
        <f>_xlfn.XLOOKUP($A33,StandingsPivot!$A$4:$A$35,StandingsPivot!B$4:B$35)</f>
        <v>12</v>
      </c>
      <c r="E33" s="1">
        <f>_xlfn.XLOOKUP($A33,StandingsPivot!$A$4:$A$35,StandingsPivot!C$4:C$35)</f>
        <v>20</v>
      </c>
      <c r="F33" s="3">
        <f t="shared" si="4"/>
        <v>0.375</v>
      </c>
      <c r="G33" s="9" cm="1">
        <f t="array" ref="G33">INDEX(Games[PostGmRate], MATCH(1, (Games[Team]=A33)*(Games[Date]=H33), 0))</f>
        <v>1360.9951216695592</v>
      </c>
      <c r="H33" s="1">
        <f>_xlfn.MAXIFS(Games[Date], Games[Team], A33)</f>
        <v>44462</v>
      </c>
    </row>
    <row r="34" spans="1:8" x14ac:dyDescent="0.35">
      <c r="A34" t="s">
        <v>40</v>
      </c>
      <c r="B34">
        <f>_xlfn.XLOOKUP(A34,ConfDiv[TeamID],ConfDiv[Logo])</f>
        <v>0</v>
      </c>
      <c r="C34" t="str">
        <f>_xlfn.XLOOKUP(A34,ConfDiv[TeamID],ConfDiv[TeamName])</f>
        <v>Phoenix Mercury</v>
      </c>
      <c r="D34" s="1">
        <f>_xlfn.XLOOKUP($A34,StandingsPivot!$A$4:$A$35,StandingsPivot!B$4:B$35)</f>
        <v>19</v>
      </c>
      <c r="E34" s="1">
        <f>_xlfn.XLOOKUP($A34,StandingsPivot!$A$4:$A$35,StandingsPivot!C$4:C$35)</f>
        <v>13</v>
      </c>
      <c r="F34" s="3">
        <f t="shared" si="4"/>
        <v>0.59375</v>
      </c>
      <c r="G34" s="9" cm="1">
        <f t="array" ref="G34">INDEX(Games[PostGmRate], MATCH(1, (Games[Team]=A34)*(Games[Date]=H34), 0))</f>
        <v>1569.7647923277129</v>
      </c>
      <c r="H34" s="1">
        <f>_xlfn.MAXIFS(Games[Date], Games[Team], A34)</f>
        <v>44486</v>
      </c>
    </row>
    <row r="35" spans="1:8" x14ac:dyDescent="0.35">
      <c r="A35" t="s">
        <v>71</v>
      </c>
      <c r="B35">
        <f>_xlfn.XLOOKUP(A35,ConfDiv[TeamID],ConfDiv[Logo])</f>
        <v>0</v>
      </c>
      <c r="C35" t="str">
        <f>_xlfn.XLOOKUP(A35,ConfDiv[TeamID],ConfDiv[TeamName])</f>
        <v>Seattle Storm</v>
      </c>
      <c r="D35" s="1">
        <f>_xlfn.XLOOKUP($A35,StandingsPivot!$A$4:$A$35,StandingsPivot!B$4:B$35)</f>
        <v>21</v>
      </c>
      <c r="E35" s="1">
        <f>_xlfn.XLOOKUP($A35,StandingsPivot!$A$4:$A$35,StandingsPivot!C$4:C$35)</f>
        <v>11</v>
      </c>
      <c r="F35" s="3">
        <f t="shared" si="4"/>
        <v>0.65625</v>
      </c>
      <c r="G35" s="9" cm="1">
        <f t="array" ref="G35">INDEX(Games[PostGmRate], MATCH(1, (Games[Team]=A35)*(Games[Date]=H35), 0))</f>
        <v>1593.0445400640842</v>
      </c>
      <c r="H35" s="1">
        <f>_xlfn.MAXIFS(Games[Date], Games[Team], A35)</f>
        <v>44465</v>
      </c>
    </row>
    <row r="36" spans="1:8" x14ac:dyDescent="0.35">
      <c r="A36" t="s">
        <v>65</v>
      </c>
      <c r="B36">
        <f>_xlfn.XLOOKUP(A36,ConfDiv[TeamID],ConfDiv[Logo])</f>
        <v>0</v>
      </c>
      <c r="C36" t="str">
        <f>_xlfn.XLOOKUP(A36,ConfDiv[TeamID],ConfDiv[TeamName])</f>
        <v>Washington Mystics</v>
      </c>
      <c r="D36" s="1">
        <f>_xlfn.XLOOKUP($A36,StandingsPivot!$A$4:$A$35,StandingsPivot!B$4:B$35)</f>
        <v>12</v>
      </c>
      <c r="E36" s="1">
        <f>_xlfn.XLOOKUP($A36,StandingsPivot!$A$4:$A$35,StandingsPivot!C$4:C$35)</f>
        <v>20</v>
      </c>
      <c r="F36" s="3">
        <f t="shared" si="4"/>
        <v>0.375</v>
      </c>
      <c r="G36" s="9" cm="1">
        <f t="array" ref="G36">INDEX(Games[PostGmRate], MATCH(1, (Games[Team]=A36)*(Games[Date]=H36), 0))</f>
        <v>1421.9874191226393</v>
      </c>
      <c r="H36" s="1">
        <f>_xlfn.MAXIFS(Games[Date], Games[Team], A36)</f>
        <v>44458</v>
      </c>
    </row>
  </sheetData>
  <sortState xmlns:xlrd2="http://schemas.microsoft.com/office/spreadsheetml/2017/richdata2" ref="A25:G36">
    <sortCondition ref="A25:A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A0A15-B55D-4E54-BB57-CA2740C4AA06}">
  <dimension ref="A3:K3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9" style="1" bestFit="1" customWidth="1"/>
    <col min="3" max="3" width="8.4140625" style="1" bestFit="1" customWidth="1"/>
    <col min="4" max="4" width="11.4140625" style="1" bestFit="1" customWidth="1"/>
    <col min="5" max="5" width="10.83203125" bestFit="1" customWidth="1"/>
    <col min="6" max="6" width="11.4140625" bestFit="1" customWidth="1"/>
    <col min="7" max="7" width="10.83203125" bestFit="1" customWidth="1"/>
    <col min="8" max="8" width="11.4140625" bestFit="1" customWidth="1"/>
    <col min="9" max="9" width="10.83203125" bestFit="1" customWidth="1"/>
    <col min="10" max="10" width="10.25" bestFit="1" customWidth="1"/>
    <col min="11" max="11" width="9.6640625" bestFit="1" customWidth="1"/>
  </cols>
  <sheetData>
    <row r="3" spans="1:11" x14ac:dyDescent="0.35">
      <c r="A3" s="5" t="s">
        <v>17</v>
      </c>
      <c r="B3" s="1" t="s">
        <v>19</v>
      </c>
      <c r="C3" s="1" t="s">
        <v>20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</row>
    <row r="4" spans="1:11" x14ac:dyDescent="0.35">
      <c r="A4" s="6" t="s">
        <v>77</v>
      </c>
      <c r="B4" s="2">
        <v>8</v>
      </c>
      <c r="C4" s="2">
        <v>24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</row>
    <row r="5" spans="1:11" x14ac:dyDescent="0.35">
      <c r="A5" s="6" t="s">
        <v>75</v>
      </c>
      <c r="B5" s="2">
        <v>16</v>
      </c>
      <c r="C5" s="2">
        <v>16</v>
      </c>
      <c r="D5" s="2">
        <v>1</v>
      </c>
      <c r="E5" s="2">
        <v>0</v>
      </c>
      <c r="F5" s="2">
        <v>3</v>
      </c>
      <c r="G5" s="2">
        <v>1</v>
      </c>
      <c r="H5" s="2">
        <v>3</v>
      </c>
      <c r="I5" s="2">
        <v>1</v>
      </c>
      <c r="J5" s="2">
        <v>0</v>
      </c>
      <c r="K5" s="2">
        <v>0</v>
      </c>
    </row>
    <row r="6" spans="1:11" x14ac:dyDescent="0.35">
      <c r="A6" s="6" t="s">
        <v>74</v>
      </c>
      <c r="B6" s="2">
        <v>26</v>
      </c>
      <c r="C6" s="2">
        <v>6</v>
      </c>
      <c r="D6" s="2">
        <v>0</v>
      </c>
      <c r="E6" s="2">
        <v>0</v>
      </c>
      <c r="F6" s="2">
        <v>1</v>
      </c>
      <c r="G6" s="2">
        <v>3</v>
      </c>
      <c r="H6" s="2">
        <v>0</v>
      </c>
      <c r="I6" s="2">
        <v>0</v>
      </c>
      <c r="J6" s="2">
        <v>0</v>
      </c>
      <c r="K6" s="2">
        <v>0</v>
      </c>
    </row>
    <row r="7" spans="1:11" x14ac:dyDescent="0.35">
      <c r="A7" s="6" t="s">
        <v>84</v>
      </c>
      <c r="B7" s="2">
        <v>14</v>
      </c>
      <c r="C7" s="2">
        <v>18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35">
      <c r="A8" s="6" t="s">
        <v>69</v>
      </c>
      <c r="B8" s="2">
        <v>6</v>
      </c>
      <c r="C8" s="2">
        <v>26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x14ac:dyDescent="0.35">
      <c r="A9" s="6" t="s">
        <v>63</v>
      </c>
      <c r="B9" s="2">
        <v>12</v>
      </c>
      <c r="C9" s="2">
        <v>20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35">
      <c r="A10" s="6" t="s">
        <v>85</v>
      </c>
      <c r="B10" s="2">
        <v>24</v>
      </c>
      <c r="C10" s="2">
        <v>8</v>
      </c>
      <c r="D10" s="2">
        <v>0</v>
      </c>
      <c r="E10" s="2">
        <v>0</v>
      </c>
      <c r="F10" s="2">
        <v>2</v>
      </c>
      <c r="G10" s="2">
        <v>3</v>
      </c>
      <c r="H10" s="2">
        <v>0</v>
      </c>
      <c r="I10" s="2">
        <v>0</v>
      </c>
      <c r="J10" s="2">
        <v>0</v>
      </c>
      <c r="K10" s="2">
        <v>0</v>
      </c>
    </row>
    <row r="11" spans="1:11" x14ac:dyDescent="0.35">
      <c r="A11" s="6" t="s">
        <v>67</v>
      </c>
      <c r="B11" s="2">
        <v>22</v>
      </c>
      <c r="C11" s="2">
        <v>10</v>
      </c>
      <c r="D11" s="2">
        <v>0</v>
      </c>
      <c r="E11" s="2">
        <v>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35">
      <c r="A12" s="6" t="s">
        <v>60</v>
      </c>
      <c r="B12" s="2">
        <v>12</v>
      </c>
      <c r="C12" s="2">
        <v>20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35">
      <c r="A13" s="6" t="s">
        <v>40</v>
      </c>
      <c r="B13" s="2">
        <v>19</v>
      </c>
      <c r="C13" s="2">
        <v>13</v>
      </c>
      <c r="D13" s="2">
        <v>1</v>
      </c>
      <c r="E13" s="2">
        <v>0</v>
      </c>
      <c r="F13" s="2">
        <v>3</v>
      </c>
      <c r="G13" s="2">
        <v>2</v>
      </c>
      <c r="H13" s="2">
        <v>1</v>
      </c>
      <c r="I13" s="2">
        <v>3</v>
      </c>
      <c r="J13" s="2">
        <v>0</v>
      </c>
      <c r="K13" s="2">
        <v>0</v>
      </c>
    </row>
    <row r="14" spans="1:11" x14ac:dyDescent="0.35">
      <c r="A14" s="6" t="s">
        <v>71</v>
      </c>
      <c r="B14" s="2">
        <v>21</v>
      </c>
      <c r="C14" s="2">
        <v>11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35">
      <c r="A15" s="6" t="s">
        <v>65</v>
      </c>
      <c r="B15" s="2">
        <v>12</v>
      </c>
      <c r="C15" s="2">
        <v>20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35">
      <c r="A16" s="6" t="s">
        <v>18</v>
      </c>
      <c r="B16" s="2">
        <v>192</v>
      </c>
      <c r="C16" s="2">
        <v>192</v>
      </c>
      <c r="D16" s="2">
        <v>2</v>
      </c>
      <c r="E16" s="2">
        <v>2</v>
      </c>
      <c r="F16" s="2">
        <v>9</v>
      </c>
      <c r="G16" s="2">
        <v>9</v>
      </c>
      <c r="H16" s="2">
        <v>4</v>
      </c>
      <c r="I16" s="2">
        <v>4</v>
      </c>
      <c r="J16" s="2">
        <v>0</v>
      </c>
      <c r="K16" s="2">
        <v>0</v>
      </c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  <row r="28" customFormat="1" x14ac:dyDescent="0.35"/>
    <row r="29" customFormat="1" x14ac:dyDescent="0.35"/>
    <row r="30" customFormat="1" x14ac:dyDescent="0.35"/>
    <row r="31" customFormat="1" x14ac:dyDescent="0.35"/>
    <row r="32" customFormat="1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B17C5-B3BB-411D-8ED5-B5306526185C}">
  <dimension ref="A3:A47"/>
  <sheetViews>
    <sheetView workbookViewId="0">
      <selection activeCell="A3" sqref="A3"/>
    </sheetView>
  </sheetViews>
  <sheetFormatPr defaultRowHeight="15.5" x14ac:dyDescent="0.35"/>
  <cols>
    <col min="1" max="1" width="12.83203125" bestFit="1" customWidth="1"/>
    <col min="2" max="2" width="18.75" bestFit="1" customWidth="1"/>
  </cols>
  <sheetData>
    <row r="3" spans="1:1" x14ac:dyDescent="0.35">
      <c r="A3" s="5" t="s">
        <v>17</v>
      </c>
    </row>
    <row r="4" spans="1:1" x14ac:dyDescent="0.35">
      <c r="A4" s="11">
        <v>1</v>
      </c>
    </row>
    <row r="5" spans="1:1" x14ac:dyDescent="0.35">
      <c r="A5" s="11">
        <v>2</v>
      </c>
    </row>
    <row r="6" spans="1:1" x14ac:dyDescent="0.35">
      <c r="A6" s="11">
        <v>3</v>
      </c>
    </row>
    <row r="7" spans="1:1" x14ac:dyDescent="0.35">
      <c r="A7" s="11">
        <v>4</v>
      </c>
    </row>
    <row r="8" spans="1:1" x14ac:dyDescent="0.35">
      <c r="A8" s="11">
        <v>5</v>
      </c>
    </row>
    <row r="9" spans="1:1" x14ac:dyDescent="0.35">
      <c r="A9" s="11">
        <v>6</v>
      </c>
    </row>
    <row r="10" spans="1:1" x14ac:dyDescent="0.35">
      <c r="A10" s="11">
        <v>7</v>
      </c>
    </row>
    <row r="11" spans="1:1" x14ac:dyDescent="0.35">
      <c r="A11" s="11">
        <v>8</v>
      </c>
    </row>
    <row r="12" spans="1:1" x14ac:dyDescent="0.35">
      <c r="A12" s="11">
        <v>9</v>
      </c>
    </row>
    <row r="13" spans="1:1" x14ac:dyDescent="0.35">
      <c r="A13" s="11">
        <v>10</v>
      </c>
    </row>
    <row r="14" spans="1:1" x14ac:dyDescent="0.35">
      <c r="A14" s="11">
        <v>11</v>
      </c>
    </row>
    <row r="15" spans="1:1" x14ac:dyDescent="0.35">
      <c r="A15" s="11">
        <v>12</v>
      </c>
    </row>
    <row r="16" spans="1:1" x14ac:dyDescent="0.35">
      <c r="A16" s="11">
        <v>13</v>
      </c>
    </row>
    <row r="17" spans="1:1" x14ac:dyDescent="0.35">
      <c r="A17" s="11">
        <v>14</v>
      </c>
    </row>
    <row r="18" spans="1:1" x14ac:dyDescent="0.35">
      <c r="A18" s="11">
        <v>15</v>
      </c>
    </row>
    <row r="19" spans="1:1" x14ac:dyDescent="0.35">
      <c r="A19" s="11">
        <v>16</v>
      </c>
    </row>
    <row r="20" spans="1:1" x14ac:dyDescent="0.35">
      <c r="A20" s="11">
        <v>17</v>
      </c>
    </row>
    <row r="21" spans="1:1" x14ac:dyDescent="0.35">
      <c r="A21" s="11">
        <v>18</v>
      </c>
    </row>
    <row r="22" spans="1:1" x14ac:dyDescent="0.35">
      <c r="A22" s="11">
        <v>19</v>
      </c>
    </row>
    <row r="23" spans="1:1" x14ac:dyDescent="0.35">
      <c r="A23" s="11">
        <v>20</v>
      </c>
    </row>
    <row r="24" spans="1:1" x14ac:dyDescent="0.35">
      <c r="A24" s="11">
        <v>21</v>
      </c>
    </row>
    <row r="25" spans="1:1" x14ac:dyDescent="0.35">
      <c r="A25" s="11">
        <v>22</v>
      </c>
    </row>
    <row r="26" spans="1:1" x14ac:dyDescent="0.35">
      <c r="A26" s="11">
        <v>23</v>
      </c>
    </row>
    <row r="27" spans="1:1" x14ac:dyDescent="0.35">
      <c r="A27" s="11">
        <v>24</v>
      </c>
    </row>
    <row r="28" spans="1:1" x14ac:dyDescent="0.35">
      <c r="A28" s="11">
        <v>25</v>
      </c>
    </row>
    <row r="29" spans="1:1" x14ac:dyDescent="0.35">
      <c r="A29" s="11">
        <v>26</v>
      </c>
    </row>
    <row r="30" spans="1:1" x14ac:dyDescent="0.35">
      <c r="A30" s="11">
        <v>27</v>
      </c>
    </row>
    <row r="31" spans="1:1" x14ac:dyDescent="0.35">
      <c r="A31" s="11">
        <v>28</v>
      </c>
    </row>
    <row r="32" spans="1:1" x14ac:dyDescent="0.35">
      <c r="A32" s="11">
        <v>29</v>
      </c>
    </row>
    <row r="33" spans="1:1" x14ac:dyDescent="0.35">
      <c r="A33" s="11">
        <v>30</v>
      </c>
    </row>
    <row r="34" spans="1:1" x14ac:dyDescent="0.35">
      <c r="A34" s="11">
        <v>31</v>
      </c>
    </row>
    <row r="35" spans="1:1" x14ac:dyDescent="0.35">
      <c r="A35" s="11">
        <v>32</v>
      </c>
    </row>
    <row r="36" spans="1:1" x14ac:dyDescent="0.35">
      <c r="A36" s="11">
        <v>33</v>
      </c>
    </row>
    <row r="37" spans="1:1" x14ac:dyDescent="0.35">
      <c r="A37" s="11">
        <v>34</v>
      </c>
    </row>
    <row r="38" spans="1:1" x14ac:dyDescent="0.35">
      <c r="A38" s="11">
        <v>35</v>
      </c>
    </row>
    <row r="39" spans="1:1" x14ac:dyDescent="0.35">
      <c r="A39" s="11">
        <v>36</v>
      </c>
    </row>
    <row r="40" spans="1:1" x14ac:dyDescent="0.35">
      <c r="A40" s="11">
        <v>37</v>
      </c>
    </row>
    <row r="41" spans="1:1" x14ac:dyDescent="0.35">
      <c r="A41" s="11">
        <v>38</v>
      </c>
    </row>
    <row r="42" spans="1:1" x14ac:dyDescent="0.35">
      <c r="A42" s="11">
        <v>39</v>
      </c>
    </row>
    <row r="43" spans="1:1" x14ac:dyDescent="0.35">
      <c r="A43" s="11">
        <v>40</v>
      </c>
    </row>
    <row r="44" spans="1:1" x14ac:dyDescent="0.35">
      <c r="A44" s="11">
        <v>41</v>
      </c>
    </row>
    <row r="45" spans="1:1" x14ac:dyDescent="0.35">
      <c r="A45" s="11">
        <v>42</v>
      </c>
    </row>
    <row r="46" spans="1:1" x14ac:dyDescent="0.35">
      <c r="A46" s="11">
        <v>43</v>
      </c>
    </row>
    <row r="47" spans="1:1" x14ac:dyDescent="0.35">
      <c r="A47" s="1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17D06-CBFA-4044-83DA-87079ECEE129}">
  <dimension ref="A1:AT421"/>
  <sheetViews>
    <sheetView topLeftCell="A377" workbookViewId="0">
      <selection activeCell="A388" sqref="A388"/>
    </sheetView>
  </sheetViews>
  <sheetFormatPr defaultRowHeight="15.5" x14ac:dyDescent="0.35"/>
  <cols>
    <col min="1" max="1" width="7.9140625" bestFit="1" customWidth="1"/>
    <col min="2" max="2" width="6.58203125" bestFit="1" customWidth="1"/>
    <col min="3" max="3" width="12.33203125" bestFit="1" customWidth="1"/>
    <col min="4" max="4" width="5" bestFit="1" customWidth="1"/>
    <col min="5" max="5" width="6.4140625" bestFit="1" customWidth="1"/>
    <col min="6" max="6" width="5.5" bestFit="1" customWidth="1"/>
    <col min="7" max="7" width="9.25" bestFit="1" customWidth="1"/>
    <col min="8" max="8" width="10.6640625" bestFit="1" customWidth="1"/>
    <col min="9" max="9" width="7.6640625" bestFit="1" customWidth="1"/>
    <col min="10" max="10" width="11.4140625" bestFit="1" customWidth="1"/>
    <col min="11" max="11" width="7.6640625" bestFit="1" customWidth="1"/>
    <col min="12" max="12" width="11.4140625" bestFit="1" customWidth="1"/>
    <col min="13" max="13" width="7.6640625" bestFit="1" customWidth="1"/>
    <col min="14" max="14" width="11.4140625" bestFit="1" customWidth="1"/>
    <col min="15" max="15" width="10.9140625" bestFit="1" customWidth="1"/>
    <col min="16" max="16" width="14.75" bestFit="1" customWidth="1"/>
    <col min="17" max="17" width="14.4140625" bestFit="1" customWidth="1"/>
    <col min="18" max="18" width="9.25" bestFit="1" customWidth="1"/>
    <col min="19" max="19" width="12.58203125" bestFit="1" customWidth="1"/>
    <col min="20" max="20" width="3.58203125" bestFit="1" customWidth="1"/>
    <col min="21" max="21" width="5.6640625" bestFit="1" customWidth="1"/>
    <col min="22" max="22" width="6.1640625" customWidth="1"/>
    <col min="23" max="23" width="9.9140625" customWidth="1"/>
    <col min="24" max="24" width="7.83203125" bestFit="1" customWidth="1"/>
    <col min="25" max="25" width="5.25" bestFit="1" customWidth="1"/>
    <col min="26" max="26" width="7.25" bestFit="1" customWidth="1"/>
    <col min="27" max="27" width="13.08203125" bestFit="1" customWidth="1"/>
    <col min="28" max="28" width="11.5" bestFit="1" customWidth="1"/>
    <col min="29" max="29" width="2.6640625" customWidth="1"/>
    <col min="30" max="30" width="2.08203125" customWidth="1"/>
    <col min="31" max="31" width="5.08203125" bestFit="1" customWidth="1"/>
    <col min="32" max="32" width="4.5" bestFit="1" customWidth="1"/>
    <col min="33" max="33" width="5.08203125" bestFit="1" customWidth="1"/>
    <col min="34" max="34" width="4.5" bestFit="1" customWidth="1"/>
    <col min="35" max="35" width="5.08203125" bestFit="1" customWidth="1"/>
    <col min="36" max="36" width="4.5" bestFit="1" customWidth="1"/>
    <col min="37" max="37" width="3.9140625" bestFit="1" customWidth="1"/>
    <col min="38" max="38" width="3.33203125" bestFit="1" customWidth="1"/>
    <col min="42" max="42" width="4.75" style="1" bestFit="1" customWidth="1"/>
    <col min="43" max="43" width="2.75" bestFit="1" customWidth="1"/>
    <col min="44" max="44" width="6.25" bestFit="1" customWidth="1"/>
    <col min="46" max="46" width="4.75" bestFit="1" customWidth="1"/>
    <col min="47" max="51" width="11.75" bestFit="1" customWidth="1"/>
    <col min="52" max="52" width="3.75" bestFit="1" customWidth="1"/>
    <col min="53" max="53" width="2.75" bestFit="1" customWidth="1"/>
  </cols>
  <sheetData>
    <row r="1" spans="1:46" x14ac:dyDescent="0.35">
      <c r="A1" s="1" t="s">
        <v>31</v>
      </c>
      <c r="B1" s="1" t="s">
        <v>26</v>
      </c>
      <c r="C1" s="1" t="s">
        <v>30</v>
      </c>
      <c r="D1" s="1" t="s">
        <v>25</v>
      </c>
      <c r="E1" s="1" t="s">
        <v>24</v>
      </c>
      <c r="F1" s="1" t="s">
        <v>0</v>
      </c>
      <c r="G1" s="1" t="s">
        <v>3</v>
      </c>
      <c r="H1" s="1" t="s">
        <v>14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21</v>
      </c>
      <c r="U1" s="1" t="s">
        <v>9</v>
      </c>
      <c r="V1" s="1" t="s">
        <v>10</v>
      </c>
      <c r="W1" s="1" t="s">
        <v>13</v>
      </c>
      <c r="X1" s="1" t="s">
        <v>23</v>
      </c>
      <c r="Y1" s="1" t="s">
        <v>32</v>
      </c>
      <c r="Z1" s="1" t="s">
        <v>22</v>
      </c>
      <c r="AA1" s="1" t="s">
        <v>11</v>
      </c>
      <c r="AB1" s="1" t="s">
        <v>12</v>
      </c>
      <c r="AC1" s="1" t="s">
        <v>15</v>
      </c>
      <c r="AD1" s="1" t="s">
        <v>16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P1" s="1">
        <v>6</v>
      </c>
      <c r="AQ1">
        <v>76</v>
      </c>
    </row>
    <row r="2" spans="1:46" x14ac:dyDescent="0.35">
      <c r="A2" s="10">
        <v>44330</v>
      </c>
      <c r="B2" s="2">
        <v>2021</v>
      </c>
      <c r="C2" s="2">
        <f>COUNTIFS(Games[Team],Games[[#This Row],[Team]],Games[Season],Games[[#This Row],[Season]],Games[Date],"&lt;=" &amp; Games[[#This Row],[Date]])</f>
        <v>1</v>
      </c>
      <c r="D2" s="2" t="s">
        <v>79</v>
      </c>
      <c r="E2" s="2" t="s">
        <v>80</v>
      </c>
      <c r="F2" s="1" t="s">
        <v>74</v>
      </c>
      <c r="G2" s="1" t="s">
        <v>77</v>
      </c>
      <c r="H2" s="1" t="s">
        <v>81</v>
      </c>
      <c r="I2" s="2" cm="1">
        <f t="array" ref="I2">IFERROR(
    Games[[#This Row],[Date]]
    - LOOKUP(
        2,
        1/((Games[Team]=Games[[#This Row],[Team]]) * (Games[Date] &lt; Games[[#This Row],[Date]])),
        Games[Date]
    )
    - 1,
Games[[#This Row],[Date]]-$A$2)</f>
        <v>0</v>
      </c>
      <c r="J2" s="2" cm="1">
        <f t="array" ref="J2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2" s="2">
        <f>Games[[#This Row],[DaysOff]]-Games[[#This Row],[OppDaysOff]]</f>
        <v>0</v>
      </c>
      <c r="L2" s="2">
        <f>Games[[#This Row],[OppDaysOff]]-Games[[#This Row],[DaysOff]]</f>
        <v>0</v>
      </c>
      <c r="M2" s="1">
        <f>MAX(-16, MIN(16, Games[[#This Row],[RestDiff]]*8))</f>
        <v>0</v>
      </c>
      <c r="N2" s="1">
        <f>MAX(-16, MIN(16, Games[[#This Row],[OppRestDiff]]*8))</f>
        <v>0</v>
      </c>
      <c r="O2" s="4" cm="1">
        <f t="array" ref="O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1540.7094010252476</v>
      </c>
      <c r="P2" s="4" cm="1">
        <f t="array" ref="P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1442.570626504448</v>
      </c>
      <c r="Q2" s="4">
        <f>1/(1+10^(((Games[[#This Row],[OppPreGmRate]]+IF(Games[[#This Row],[HomeAway]]="A",HCA,0)+Games[[#This Row],[OppRestAdj]])-(Games[[#This Row],[PreGmRate]]+IF(Games[[#This Row],[HomeAway]]="H",HCA,0)+Games[[#This Row],[RestAdj]]))/400))</f>
        <v>0.5203361074832602</v>
      </c>
      <c r="R2" s="1">
        <v>78</v>
      </c>
      <c r="S2" s="1">
        <v>67</v>
      </c>
      <c r="T2" s="1">
        <v>0</v>
      </c>
      <c r="U2" s="1">
        <f>Games[[#This Row],[PointsFor]]-Games[[#This Row],[PointsAgainst]]</f>
        <v>11</v>
      </c>
      <c r="V2" s="1">
        <f>IF(Games[[#This Row],[MOV]]&gt;0,1,IF(Games[[#This Row],[MOV]]=0,0.5,0))</f>
        <v>1</v>
      </c>
      <c r="W2" s="4">
        <f>((ABS(Games[[#This Row],[MOV]])+5)^0.6)/(12+0.01*(ABS(Games[[#This Row],[PreGmRate]]-Games[[#This Row],[OppPreGmRate]])))*IF(Games[[#This Row],[OT]]=1,0.9,1)</f>
        <v>0.40658454601973748</v>
      </c>
      <c r="X2" s="7" cm="1">
        <f t="array" ref="X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" s="9">
        <f>MAX(kmin, kmax - 0.15 * MIN(Games[[#This Row],[GamesPlayed]], 82))</f>
        <v>75.849999999999994</v>
      </c>
      <c r="Z2" s="4">
        <f>Games[[#This Row],[K]]*Games[[#This Row],[POMult]]</f>
        <v>75.849999999999994</v>
      </c>
      <c r="AA2" s="4">
        <f>(Games[[#This Row],[Keff]]*Games[[#This Row],[MOVMult]])*(Games[[#This Row],[Result]]-Games[[#This Row],[ExpectedWin%]])</f>
        <v>14.792564785657241</v>
      </c>
      <c r="AB2" s="4">
        <f>Games[[#This Row],[PreGmRate]]+Games[[#This Row],[RatingChange]]</f>
        <v>1555.5019658109049</v>
      </c>
      <c r="AC2" s="2">
        <f>IF(Games[[#This Row],[Type]]="R",IF(Games[[#This Row],[Result]]&gt;0.5,1,0),0)</f>
        <v>1</v>
      </c>
      <c r="AD2" s="2">
        <f>IF(Games[[#This Row],[Type]]="R",IF(Games[[#This Row],[Result]]&lt;0.5,1,0),0)</f>
        <v>0</v>
      </c>
      <c r="AE2" s="2">
        <f>IF(AND(Games[[#This Row],[Type]]="P",Games[[#This Row],[Round]]=1),IF(Games[[#This Row],[Result]]&gt;0.5,1,0),0)</f>
        <v>0</v>
      </c>
      <c r="AF2" s="2">
        <f>IF(AND(Games[[#This Row],[Type]]="P",Games[[#This Row],[Round]]=1),IF(Games[[#This Row],[Result]]&lt;0.5,1,0),0)</f>
        <v>0</v>
      </c>
      <c r="AG2" s="2">
        <f>IF(AND(Games[[#This Row],[Type]]="P",Games[[#This Row],[Round]]=2),IF(Games[[#This Row],[Result]]&gt;0.5,1,0),0)</f>
        <v>0</v>
      </c>
      <c r="AH2" s="2">
        <f>IF(AND(Games[[#This Row],[Type]]="P",Games[[#This Row],[Round]]=2),IF(Games[[#This Row],[Result]]&lt;0.5,1,0),0)</f>
        <v>0</v>
      </c>
      <c r="AI2" s="2">
        <f>IF(AND(Games[[#This Row],[Type]]="P",Games[[#This Row],[Round]]=3),IF(Games[[#This Row],[Result]]&gt;0.5,1,0),0)</f>
        <v>0</v>
      </c>
      <c r="AJ2" s="2">
        <f>IF(AND(Games[[#This Row],[Type]]="P",Games[[#This Row],[Round]]=3),IF(Games[[#This Row],[Result]]&lt;0.5,1,0),0)</f>
        <v>0</v>
      </c>
      <c r="AK2" s="2">
        <f>IF(AND(Games[[#This Row],[Type]]="P",Games[[#This Row],[Round]]=4),IF(Games[[#This Row],[Result]]&gt;0.5,1,0),0)</f>
        <v>0</v>
      </c>
      <c r="AL2" s="2">
        <f>IF(AND(Games[[#This Row],[Type]]="P",Games[[#This Row],[Round]]=4),IF(Games[[#This Row],[Result]]&lt;0.5,1,0),0)</f>
        <v>0</v>
      </c>
      <c r="AP2" s="1">
        <v>84</v>
      </c>
    </row>
    <row r="3" spans="1:46" x14ac:dyDescent="0.35">
      <c r="A3" s="10">
        <v>44330</v>
      </c>
      <c r="B3" s="2">
        <v>2021</v>
      </c>
      <c r="C3" s="2">
        <f>COUNTIFS(Games[Team],Games[[#This Row],[Team]],Games[Season],Games[[#This Row],[Season]],Games[Date],"&lt;=" &amp; Games[[#This Row],[Date]])</f>
        <v>1</v>
      </c>
      <c r="D3" s="2" t="s">
        <v>79</v>
      </c>
      <c r="E3" s="2" t="s">
        <v>80</v>
      </c>
      <c r="F3" s="1" t="s">
        <v>77</v>
      </c>
      <c r="G3" s="1" t="s">
        <v>74</v>
      </c>
      <c r="H3" s="1" t="s">
        <v>82</v>
      </c>
      <c r="I3" s="2" cm="1">
        <f t="array" ref="I3">IFERROR(
    Games[[#This Row],[Date]]
    - LOOKUP(
        2,
        1/((Games[Team]=Games[[#This Row],[Team]]) * (Games[Date] &lt; Games[[#This Row],[Date]])),
        Games[Date]
    )
    - 1,
Games[[#This Row],[Date]]-$A$2)</f>
        <v>0</v>
      </c>
      <c r="J3" s="2" cm="1">
        <f t="array" ref="J3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3" s="2">
        <f>Games[[#This Row],[DaysOff]]-Games[[#This Row],[OppDaysOff]]</f>
        <v>0</v>
      </c>
      <c r="L3" s="2">
        <f>Games[[#This Row],[OppDaysOff]]-Games[[#This Row],[DaysOff]]</f>
        <v>0</v>
      </c>
      <c r="M3" s="1">
        <f>MAX(-16, MIN(16, Games[[#This Row],[RestDiff]]*8))</f>
        <v>0</v>
      </c>
      <c r="N3" s="1">
        <f>MAX(-16, MIN(16, Games[[#This Row],[OppRestDiff]]*8))</f>
        <v>0</v>
      </c>
      <c r="O3" s="4" cm="1">
        <f t="array" ref="O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1442.570626504448</v>
      </c>
      <c r="P3" s="4" cm="1">
        <f t="array" ref="P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1540.7094010252476</v>
      </c>
      <c r="Q3" s="4">
        <f>1/(1+10^(((Games[[#This Row],[OppPreGmRate]]+IF(Games[[#This Row],[HomeAway]]="A",HCA,0)+Games[[#This Row],[OppRestAdj]])-(Games[[#This Row],[PreGmRate]]+IF(Games[[#This Row],[HomeAway]]="H",HCA,0)+Games[[#This Row],[RestAdj]]))/400))</f>
        <v>0.4796638925167398</v>
      </c>
      <c r="R3" s="1">
        <v>67</v>
      </c>
      <c r="S3" s="1">
        <v>78</v>
      </c>
      <c r="T3" s="1">
        <v>0</v>
      </c>
      <c r="U3" s="1">
        <f>Games[[#This Row],[PointsFor]]-Games[[#This Row],[PointsAgainst]]</f>
        <v>-11</v>
      </c>
      <c r="V3" s="1">
        <f>IF(Games[[#This Row],[MOV]]&gt;0,1,IF(Games[[#This Row],[MOV]]=0,0.5,0))</f>
        <v>0</v>
      </c>
      <c r="W3" s="4">
        <f>((ABS(Games[[#This Row],[MOV]])+5)^0.6)/(12+0.01*(ABS(Games[[#This Row],[PreGmRate]]-Games[[#This Row],[OppPreGmRate]])))*IF(Games[[#This Row],[OT]]=1,0.9,1)</f>
        <v>0.40658454601973748</v>
      </c>
      <c r="X3" s="7" cm="1">
        <f t="array" ref="X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" s="9">
        <f>MAX(kmin, kmax - 0.15 * MIN(Games[[#This Row],[GamesPlayed]], 82))</f>
        <v>75.849999999999994</v>
      </c>
      <c r="Z3" s="4">
        <f>Games[[#This Row],[K]]*Games[[#This Row],[POMult]]</f>
        <v>75.849999999999994</v>
      </c>
      <c r="AA3" s="4">
        <f>(Games[[#This Row],[Keff]]*Games[[#This Row],[MOVMult]])*(Games[[#This Row],[Result]]-Games[[#This Row],[ExpectedWin%]])</f>
        <v>-14.792564785657241</v>
      </c>
      <c r="AB3" s="4">
        <f>Games[[#This Row],[PreGmRate]]+Games[[#This Row],[RatingChange]]</f>
        <v>1427.7780617187907</v>
      </c>
      <c r="AC3" s="2">
        <f>IF(Games[[#This Row],[Type]]="R",IF(Games[[#This Row],[Result]]&gt;0.5,1,0),0)</f>
        <v>0</v>
      </c>
      <c r="AD3" s="2">
        <f>IF(Games[[#This Row],[Type]]="R",IF(Games[[#This Row],[Result]]&lt;0.5,1,0),0)</f>
        <v>1</v>
      </c>
      <c r="AE3" s="2">
        <f>IF(AND(Games[[#This Row],[Type]]="P",Games[[#This Row],[Round]]=1),IF(Games[[#This Row],[Result]]&gt;0.5,1,0),0)</f>
        <v>0</v>
      </c>
      <c r="AF3" s="2">
        <f>IF(AND(Games[[#This Row],[Type]]="P",Games[[#This Row],[Round]]=1),IF(Games[[#This Row],[Result]]&lt;0.5,1,0),0)</f>
        <v>0</v>
      </c>
      <c r="AG3" s="2">
        <f>IF(AND(Games[[#This Row],[Type]]="P",Games[[#This Row],[Round]]=2),IF(Games[[#This Row],[Result]]&gt;0.5,1,0),0)</f>
        <v>0</v>
      </c>
      <c r="AH3" s="2">
        <f>IF(AND(Games[[#This Row],[Type]]="P",Games[[#This Row],[Round]]=2),IF(Games[[#This Row],[Result]]&lt;0.5,1,0),0)</f>
        <v>0</v>
      </c>
      <c r="AI3" s="2">
        <f>IF(AND(Games[[#This Row],[Type]]="P",Games[[#This Row],[Round]]=3),IF(Games[[#This Row],[Result]]&gt;0.5,1,0),0)</f>
        <v>0</v>
      </c>
      <c r="AJ3" s="2">
        <f>IF(AND(Games[[#This Row],[Type]]="P",Games[[#This Row],[Round]]=3),IF(Games[[#This Row],[Result]]&lt;0.5,1,0),0)</f>
        <v>0</v>
      </c>
      <c r="AK3" s="2">
        <f>IF(AND(Games[[#This Row],[Type]]="P",Games[[#This Row],[Round]]=4),IF(Games[[#This Row],[Result]]&gt;0.5,1,0),0)</f>
        <v>0</v>
      </c>
      <c r="AL3" s="2">
        <f>IF(AND(Games[[#This Row],[Type]]="P",Games[[#This Row],[Round]]=4),IF(Games[[#This Row],[Result]]&lt;0.5,1,0),0)</f>
        <v>0</v>
      </c>
      <c r="AP3" s="9">
        <v>0.5</v>
      </c>
      <c r="AR3" s="13"/>
    </row>
    <row r="4" spans="1:46" x14ac:dyDescent="0.35">
      <c r="A4" s="10">
        <v>44330</v>
      </c>
      <c r="B4" s="2">
        <v>2021</v>
      </c>
      <c r="C4" s="2">
        <f>COUNTIFS(Games[Team],Games[[#This Row],[Team]],Games[Season],Games[[#This Row],[Season]],Games[Date],"&lt;=" &amp; Games[[#This Row],[Date]])</f>
        <v>1</v>
      </c>
      <c r="D4" s="2" t="s">
        <v>79</v>
      </c>
      <c r="E4" s="2" t="s">
        <v>80</v>
      </c>
      <c r="F4" s="1" t="s">
        <v>84</v>
      </c>
      <c r="G4" s="1" t="s">
        <v>63</v>
      </c>
      <c r="H4" s="1" t="s">
        <v>81</v>
      </c>
      <c r="I4" s="2" cm="1">
        <f t="array" ref="I4">IFERROR(
    Games[[#This Row],[Date]]
    - LOOKUP(
        2,
        1/((Games[Team]=Games[[#This Row],[Team]]) * (Games[Date] &lt; Games[[#This Row],[Date]])),
        Games[Date]
    )
    - 1,
Games[[#This Row],[Date]]-$A$2)</f>
        <v>0</v>
      </c>
      <c r="J4" s="2" cm="1">
        <f t="array" ref="J4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" s="2">
        <f>Games[[#This Row],[DaysOff]]-Games[[#This Row],[OppDaysOff]]</f>
        <v>0</v>
      </c>
      <c r="L4" s="2">
        <f>Games[[#This Row],[OppDaysOff]]-Games[[#This Row],[DaysOff]]</f>
        <v>0</v>
      </c>
      <c r="M4" s="1">
        <f>MAX(-16, MIN(16, Games[[#This Row],[RestDiff]]*8))</f>
        <v>0</v>
      </c>
      <c r="N4" s="1">
        <f>MAX(-16, MIN(16, Games[[#This Row],[OppRestDiff]]*8))</f>
        <v>0</v>
      </c>
      <c r="O4" s="4" cm="1">
        <f t="array" ref="O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1458.0505271021543</v>
      </c>
      <c r="P4" s="4" cm="1">
        <f t="array" ref="P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1527.8052535628258</v>
      </c>
      <c r="Q4" s="4">
        <f>1/(1+10^(((Games[[#This Row],[OppPreGmRate]]+IF(Games[[#This Row],[HomeAway]]="A",HCA,0)+Games[[#This Row],[OppRestAdj]])-(Games[[#This Row],[PreGmRate]]+IF(Games[[#This Row],[HomeAway]]="H",HCA,0)+Games[[#This Row],[RestAdj]]))/400))</f>
        <v>0.2921254918993631</v>
      </c>
      <c r="R4" s="1">
        <v>94</v>
      </c>
      <c r="S4" s="1">
        <v>71</v>
      </c>
      <c r="T4" s="1">
        <v>0</v>
      </c>
      <c r="U4" s="1">
        <f>Games[[#This Row],[PointsFor]]-Games[[#This Row],[PointsAgainst]]</f>
        <v>23</v>
      </c>
      <c r="V4" s="1">
        <f>IF(Games[[#This Row],[MOV]]&gt;0,1,IF(Games[[#This Row],[MOV]]=0,0.5,0))</f>
        <v>1</v>
      </c>
      <c r="W4" s="4">
        <f>((ABS(Games[[#This Row],[MOV]])+5)^0.6)/(12+0.01*(ABS(Games[[#This Row],[PreGmRate]]-Games[[#This Row],[OppPreGmRate]])))*IF(Games[[#This Row],[OT]]=1,0.9,1)</f>
        <v>0.58153382514476737</v>
      </c>
      <c r="X4" s="7" cm="1">
        <f t="array" ref="X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" s="9">
        <f>MAX(kmin, kmax - 0.15 * MIN(Games[[#This Row],[GamesPlayed]], 82))</f>
        <v>75.849999999999994</v>
      </c>
      <c r="Z4" s="4">
        <f>Games[[#This Row],[K]]*Games[[#This Row],[POMult]]</f>
        <v>75.849999999999994</v>
      </c>
      <c r="AA4" s="4">
        <f>(Games[[#This Row],[Keff]]*Games[[#This Row],[MOVMult]])*(Games[[#This Row],[Result]]-Games[[#This Row],[ExpectedWin%]])</f>
        <v>31.223877806223047</v>
      </c>
      <c r="AB4" s="4">
        <f>Games[[#This Row],[PreGmRate]]+Games[[#This Row],[RatingChange]]</f>
        <v>1489.2744049083774</v>
      </c>
      <c r="AC4" s="2">
        <f>IF(Games[[#This Row],[Type]]="R",IF(Games[[#This Row],[Result]]&gt;0.5,1,0),0)</f>
        <v>1</v>
      </c>
      <c r="AD4" s="2">
        <f>IF(Games[[#This Row],[Type]]="R",IF(Games[[#This Row],[Result]]&lt;0.5,1,0),0)</f>
        <v>0</v>
      </c>
      <c r="AE4" s="2">
        <f>IF(AND(Games[[#This Row],[Type]]="P",Games[[#This Row],[Round]]=1),IF(Games[[#This Row],[Result]]&gt;0.5,1,0),0)</f>
        <v>0</v>
      </c>
      <c r="AF4" s="2">
        <f>IF(AND(Games[[#This Row],[Type]]="P",Games[[#This Row],[Round]]=1),IF(Games[[#This Row],[Result]]&lt;0.5,1,0),0)</f>
        <v>0</v>
      </c>
      <c r="AG4" s="2">
        <f>IF(AND(Games[[#This Row],[Type]]="P",Games[[#This Row],[Round]]=2),IF(Games[[#This Row],[Result]]&gt;0.5,1,0),0)</f>
        <v>0</v>
      </c>
      <c r="AH4" s="2">
        <f>IF(AND(Games[[#This Row],[Type]]="P",Games[[#This Row],[Round]]=2),IF(Games[[#This Row],[Result]]&lt;0.5,1,0),0)</f>
        <v>0</v>
      </c>
      <c r="AI4" s="2">
        <f>IF(AND(Games[[#This Row],[Type]]="P",Games[[#This Row],[Round]]=3),IF(Games[[#This Row],[Result]]&gt;0.5,1,0),0)</f>
        <v>0</v>
      </c>
      <c r="AJ4" s="2">
        <f>IF(AND(Games[[#This Row],[Type]]="P",Games[[#This Row],[Round]]=3),IF(Games[[#This Row],[Result]]&lt;0.5,1,0),0)</f>
        <v>0</v>
      </c>
      <c r="AK4" s="2">
        <f>IF(AND(Games[[#This Row],[Type]]="P",Games[[#This Row],[Round]]=4),IF(Games[[#This Row],[Result]]&gt;0.5,1,0),0)</f>
        <v>0</v>
      </c>
      <c r="AL4" s="2">
        <f>IF(AND(Games[[#This Row],[Type]]="P",Games[[#This Row],[Round]]=4),IF(Games[[#This Row],[Result]]&lt;0.5,1,0),0)</f>
        <v>0</v>
      </c>
      <c r="AP4" s="1">
        <v>1500</v>
      </c>
    </row>
    <row r="5" spans="1:46" x14ac:dyDescent="0.35">
      <c r="A5" s="10">
        <v>44330</v>
      </c>
      <c r="B5" s="2">
        <v>2021</v>
      </c>
      <c r="C5" s="2">
        <f>COUNTIFS(Games[Team],Games[[#This Row],[Team]],Games[Season],Games[[#This Row],[Season]],Games[Date],"&lt;=" &amp; Games[[#This Row],[Date]])</f>
        <v>1</v>
      </c>
      <c r="D5" s="2" t="s">
        <v>79</v>
      </c>
      <c r="E5" s="2" t="s">
        <v>80</v>
      </c>
      <c r="F5" s="1" t="s">
        <v>63</v>
      </c>
      <c r="G5" s="1" t="s">
        <v>84</v>
      </c>
      <c r="H5" s="1" t="s">
        <v>82</v>
      </c>
      <c r="I5" s="2" cm="1">
        <f t="array" ref="I5">IFERROR(
    Games[[#This Row],[Date]]
    - LOOKUP(
        2,
        1/((Games[Team]=Games[[#This Row],[Team]]) * (Games[Date] &lt; Games[[#This Row],[Date]])),
        Games[Date]
    )
    - 1,
Games[[#This Row],[Date]]-$A$2)</f>
        <v>0</v>
      </c>
      <c r="J5" s="2" cm="1">
        <f t="array" ref="J5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5" s="2">
        <f>Games[[#This Row],[DaysOff]]-Games[[#This Row],[OppDaysOff]]</f>
        <v>0</v>
      </c>
      <c r="L5" s="2">
        <f>Games[[#This Row],[OppDaysOff]]-Games[[#This Row],[DaysOff]]</f>
        <v>0</v>
      </c>
      <c r="M5" s="1">
        <f>MAX(-16, MIN(16, Games[[#This Row],[RestDiff]]*8))</f>
        <v>0</v>
      </c>
      <c r="N5" s="1">
        <f>MAX(-16, MIN(16, Games[[#This Row],[OppRestDiff]]*8))</f>
        <v>0</v>
      </c>
      <c r="O5" s="4" cm="1">
        <f t="array" ref="O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1527.8052535628258</v>
      </c>
      <c r="P5" s="4" cm="1">
        <f t="array" ref="P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1458.0505271021543</v>
      </c>
      <c r="Q5" s="4">
        <f>1/(1+10^(((Games[[#This Row],[OppPreGmRate]]+IF(Games[[#This Row],[HomeAway]]="A",HCA,0)+Games[[#This Row],[OppRestAdj]])-(Games[[#This Row],[PreGmRate]]+IF(Games[[#This Row],[HomeAway]]="H",HCA,0)+Games[[#This Row],[RestAdj]]))/400))</f>
        <v>0.7078745081006369</v>
      </c>
      <c r="R5" s="1">
        <v>71</v>
      </c>
      <c r="S5" s="1">
        <v>94</v>
      </c>
      <c r="T5" s="1">
        <v>0</v>
      </c>
      <c r="U5" s="1">
        <f>Games[[#This Row],[PointsFor]]-Games[[#This Row],[PointsAgainst]]</f>
        <v>-23</v>
      </c>
      <c r="V5" s="1">
        <f>IF(Games[[#This Row],[MOV]]&gt;0,1,IF(Games[[#This Row],[MOV]]=0,0.5,0))</f>
        <v>0</v>
      </c>
      <c r="W5" s="4">
        <f>((ABS(Games[[#This Row],[MOV]])+5)^0.6)/(12+0.01*(ABS(Games[[#This Row],[PreGmRate]]-Games[[#This Row],[OppPreGmRate]])))*IF(Games[[#This Row],[OT]]=1,0.9,1)</f>
        <v>0.58153382514476737</v>
      </c>
      <c r="X5" s="7" cm="1">
        <f t="array" ref="X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" s="9">
        <f>MAX(kmin, kmax - 0.15 * MIN(Games[[#This Row],[GamesPlayed]], 82))</f>
        <v>75.849999999999994</v>
      </c>
      <c r="Z5" s="4">
        <f>Games[[#This Row],[K]]*Games[[#This Row],[POMult]]</f>
        <v>75.849999999999994</v>
      </c>
      <c r="AA5" s="4">
        <f>(Games[[#This Row],[Keff]]*Games[[#This Row],[MOVMult]])*(Games[[#This Row],[Result]]-Games[[#This Row],[ExpectedWin%]])</f>
        <v>-31.223877806223047</v>
      </c>
      <c r="AB5" s="4">
        <f>Games[[#This Row],[PreGmRate]]+Games[[#This Row],[RatingChange]]</f>
        <v>1496.5813757566027</v>
      </c>
      <c r="AC5" s="2">
        <f>IF(Games[[#This Row],[Type]]="R",IF(Games[[#This Row],[Result]]&gt;0.5,1,0),0)</f>
        <v>0</v>
      </c>
      <c r="AD5" s="2">
        <f>IF(Games[[#This Row],[Type]]="R",IF(Games[[#This Row],[Result]]&lt;0.5,1,0),0)</f>
        <v>1</v>
      </c>
      <c r="AE5" s="2">
        <f>IF(AND(Games[[#This Row],[Type]]="P",Games[[#This Row],[Round]]=1),IF(Games[[#This Row],[Result]]&gt;0.5,1,0),0)</f>
        <v>0</v>
      </c>
      <c r="AF5" s="2">
        <f>IF(AND(Games[[#This Row],[Type]]="P",Games[[#This Row],[Round]]=1),IF(Games[[#This Row],[Result]]&lt;0.5,1,0),0)</f>
        <v>0</v>
      </c>
      <c r="AG5" s="2">
        <f>IF(AND(Games[[#This Row],[Type]]="P",Games[[#This Row],[Round]]=2),IF(Games[[#This Row],[Result]]&gt;0.5,1,0),0)</f>
        <v>0</v>
      </c>
      <c r="AH5" s="2">
        <f>IF(AND(Games[[#This Row],[Type]]="P",Games[[#This Row],[Round]]=2),IF(Games[[#This Row],[Result]]&lt;0.5,1,0),0)</f>
        <v>0</v>
      </c>
      <c r="AI5" s="2">
        <f>IF(AND(Games[[#This Row],[Type]]="P",Games[[#This Row],[Round]]=3),IF(Games[[#This Row],[Result]]&gt;0.5,1,0),0)</f>
        <v>0</v>
      </c>
      <c r="AJ5" s="2">
        <f>IF(AND(Games[[#This Row],[Type]]="P",Games[[#This Row],[Round]]=3),IF(Games[[#This Row],[Result]]&lt;0.5,1,0),0)</f>
        <v>0</v>
      </c>
      <c r="AK5" s="2">
        <f>IF(AND(Games[[#This Row],[Type]]="P",Games[[#This Row],[Round]]=4),IF(Games[[#This Row],[Result]]&gt;0.5,1,0),0)</f>
        <v>0</v>
      </c>
      <c r="AL5" s="2">
        <f>IF(AND(Games[[#This Row],[Type]]="P",Games[[#This Row],[Round]]=4),IF(Games[[#This Row],[Result]]&lt;0.5,1,0),0)</f>
        <v>0</v>
      </c>
    </row>
    <row r="6" spans="1:46" x14ac:dyDescent="0.35">
      <c r="A6" s="10">
        <v>44330</v>
      </c>
      <c r="B6" s="2">
        <v>2021</v>
      </c>
      <c r="C6" s="2">
        <f>COUNTIFS(Games[Team],Games[[#This Row],[Team]],Games[Season],Games[[#This Row],[Season]],Games[Date],"&lt;=" &amp; Games[[#This Row],[Date]])</f>
        <v>1</v>
      </c>
      <c r="D6" s="2" t="s">
        <v>79</v>
      </c>
      <c r="E6" s="2" t="s">
        <v>80</v>
      </c>
      <c r="F6" s="1" t="s">
        <v>40</v>
      </c>
      <c r="G6" s="1" t="s">
        <v>67</v>
      </c>
      <c r="H6" s="1" t="s">
        <v>81</v>
      </c>
      <c r="I6" s="2" cm="1">
        <f t="array" ref="I6">IFERROR(
    Games[[#This Row],[Date]]
    - LOOKUP(
        2,
        1/((Games[Team]=Games[[#This Row],[Team]]) * (Games[Date] &lt; Games[[#This Row],[Date]])),
        Games[Date]
    )
    - 1,
Games[[#This Row],[Date]]-$A$2)</f>
        <v>0</v>
      </c>
      <c r="J6" s="2" cm="1">
        <f t="array" ref="J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6" s="2">
        <f>Games[[#This Row],[DaysOff]]-Games[[#This Row],[OppDaysOff]]</f>
        <v>0</v>
      </c>
      <c r="L6" s="2">
        <f>Games[[#This Row],[OppDaysOff]]-Games[[#This Row],[DaysOff]]</f>
        <v>0</v>
      </c>
      <c r="M6" s="1">
        <f>MAX(-16, MIN(16, Games[[#This Row],[RestDiff]]*8))</f>
        <v>0</v>
      </c>
      <c r="N6" s="1">
        <f>MAX(-16, MIN(16, Games[[#This Row],[OppRestDiff]]*8))</f>
        <v>0</v>
      </c>
      <c r="O6" s="4" cm="1">
        <f t="array" ref="O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1512.5608461110223</v>
      </c>
      <c r="P6" s="4" cm="1">
        <f t="array" ref="P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1518.2922850047244</v>
      </c>
      <c r="Q6" s="4">
        <f>1/(1+10^(((Games[[#This Row],[OppPreGmRate]]+IF(Games[[#This Row],[HomeAway]]="A",HCA,0)+Games[[#This Row],[OppRestAdj]])-(Games[[#This Row],[PreGmRate]]+IF(Games[[#This Row],[HomeAway]]="H",HCA,0)+Games[[#This Row],[RestAdj]]))/400))</f>
        <v>0.37366266281859961</v>
      </c>
      <c r="R6" s="1">
        <v>77</v>
      </c>
      <c r="S6" s="1">
        <v>75</v>
      </c>
      <c r="T6" s="1">
        <v>0</v>
      </c>
      <c r="U6" s="1">
        <f>Games[[#This Row],[PointsFor]]-Games[[#This Row],[PointsAgainst]]</f>
        <v>2</v>
      </c>
      <c r="V6" s="1">
        <f>IF(Games[[#This Row],[MOV]]&gt;0,1,IF(Games[[#This Row],[MOV]]=0,0.5,0))</f>
        <v>1</v>
      </c>
      <c r="W6" s="4">
        <f>((ABS(Games[[#This Row],[MOV]])+5)^0.6)/(12+0.01*(ABS(Games[[#This Row],[PreGmRate]]-Games[[#This Row],[OppPreGmRate]])))*IF(Games[[#This Row],[OT]]=1,0.9,1)</f>
        <v>0.26656813831321147</v>
      </c>
      <c r="X6" s="7" cm="1">
        <f t="array" ref="X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" s="9">
        <f>MAX(kmin, kmax - 0.15 * MIN(Games[[#This Row],[GamesPlayed]], 82))</f>
        <v>75.849999999999994</v>
      </c>
      <c r="Z6" s="4">
        <f>Games[[#This Row],[K]]*Games[[#This Row],[POMult]]</f>
        <v>75.849999999999994</v>
      </c>
      <c r="AA6" s="4">
        <f>(Games[[#This Row],[Keff]]*Games[[#This Row],[MOVMult]])*(Games[[#This Row],[Result]]-Games[[#This Row],[ExpectedWin%]])</f>
        <v>12.664035685876732</v>
      </c>
      <c r="AB6" s="4">
        <f>Games[[#This Row],[PreGmRate]]+Games[[#This Row],[RatingChange]]</f>
        <v>1525.2248817968991</v>
      </c>
      <c r="AC6" s="2">
        <f>IF(Games[[#This Row],[Type]]="R",IF(Games[[#This Row],[Result]]&gt;0.5,1,0),0)</f>
        <v>1</v>
      </c>
      <c r="AD6" s="2">
        <f>IF(Games[[#This Row],[Type]]="R",IF(Games[[#This Row],[Result]]&lt;0.5,1,0),0)</f>
        <v>0</v>
      </c>
      <c r="AE6" s="2">
        <f>IF(AND(Games[[#This Row],[Type]]="P",Games[[#This Row],[Round]]=1),IF(Games[[#This Row],[Result]]&gt;0.5,1,0),0)</f>
        <v>0</v>
      </c>
      <c r="AF6" s="2">
        <f>IF(AND(Games[[#This Row],[Type]]="P",Games[[#This Row],[Round]]=1),IF(Games[[#This Row],[Result]]&lt;0.5,1,0),0)</f>
        <v>0</v>
      </c>
      <c r="AG6" s="2">
        <f>IF(AND(Games[[#This Row],[Type]]="P",Games[[#This Row],[Round]]=2),IF(Games[[#This Row],[Result]]&gt;0.5,1,0),0)</f>
        <v>0</v>
      </c>
      <c r="AH6" s="2">
        <f>IF(AND(Games[[#This Row],[Type]]="P",Games[[#This Row],[Round]]=2),IF(Games[[#This Row],[Result]]&lt;0.5,1,0),0)</f>
        <v>0</v>
      </c>
      <c r="AI6" s="2">
        <f>IF(AND(Games[[#This Row],[Type]]="P",Games[[#This Row],[Round]]=3),IF(Games[[#This Row],[Result]]&gt;0.5,1,0),0)</f>
        <v>0</v>
      </c>
      <c r="AJ6" s="2">
        <f>IF(AND(Games[[#This Row],[Type]]="P",Games[[#This Row],[Round]]=3),IF(Games[[#This Row],[Result]]&lt;0.5,1,0),0)</f>
        <v>0</v>
      </c>
      <c r="AK6" s="2">
        <f>IF(AND(Games[[#This Row],[Type]]="P",Games[[#This Row],[Round]]=4),IF(Games[[#This Row],[Result]]&gt;0.5,1,0),0)</f>
        <v>0</v>
      </c>
      <c r="AL6" s="2">
        <f>IF(AND(Games[[#This Row],[Type]]="P",Games[[#This Row],[Round]]=4),IF(Games[[#This Row],[Result]]&lt;0.5,1,0),0)</f>
        <v>0</v>
      </c>
    </row>
    <row r="7" spans="1:46" x14ac:dyDescent="0.35">
      <c r="A7" s="10">
        <v>44330</v>
      </c>
      <c r="B7" s="2">
        <v>2021</v>
      </c>
      <c r="C7" s="2">
        <f>COUNTIFS(Games[Team],Games[[#This Row],[Team]],Games[Season],Games[[#This Row],[Season]],Games[Date],"&lt;=" &amp; Games[[#This Row],[Date]])</f>
        <v>1</v>
      </c>
      <c r="D7" s="2" t="s">
        <v>79</v>
      </c>
      <c r="E7" s="2" t="s">
        <v>80</v>
      </c>
      <c r="F7" s="1" t="s">
        <v>67</v>
      </c>
      <c r="G7" s="1" t="s">
        <v>40</v>
      </c>
      <c r="H7" s="1" t="s">
        <v>82</v>
      </c>
      <c r="I7" s="2" cm="1">
        <f t="array" ref="I7">IFERROR(
    Games[[#This Row],[Date]]
    - LOOKUP(
        2,
        1/((Games[Team]=Games[[#This Row],[Team]]) * (Games[Date] &lt; Games[[#This Row],[Date]])),
        Games[Date]
    )
    - 1,
Games[[#This Row],[Date]]-$A$2)</f>
        <v>0</v>
      </c>
      <c r="J7" s="2" cm="1">
        <f t="array" ref="J7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7" s="2">
        <f>Games[[#This Row],[DaysOff]]-Games[[#This Row],[OppDaysOff]]</f>
        <v>0</v>
      </c>
      <c r="L7" s="2">
        <f>Games[[#This Row],[OppDaysOff]]-Games[[#This Row],[DaysOff]]</f>
        <v>0</v>
      </c>
      <c r="M7" s="1">
        <f>MAX(-16, MIN(16, Games[[#This Row],[RestDiff]]*8))</f>
        <v>0</v>
      </c>
      <c r="N7" s="1">
        <f>MAX(-16, MIN(16, Games[[#This Row],[OppRestDiff]]*8))</f>
        <v>0</v>
      </c>
      <c r="O7" s="4" cm="1">
        <f t="array" ref="O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1518.2922850047244</v>
      </c>
      <c r="P7" s="4" cm="1">
        <f t="array" ref="P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1512.5608461110223</v>
      </c>
      <c r="Q7" s="4">
        <f>1/(1+10^(((Games[[#This Row],[OppPreGmRate]]+IF(Games[[#This Row],[HomeAway]]="A",HCA,0)+Games[[#This Row],[OppRestAdj]])-(Games[[#This Row],[PreGmRate]]+IF(Games[[#This Row],[HomeAway]]="H",HCA,0)+Games[[#This Row],[RestAdj]]))/400))</f>
        <v>0.62633733718140039</v>
      </c>
      <c r="R7" s="1">
        <v>75</v>
      </c>
      <c r="S7" s="1">
        <v>77</v>
      </c>
      <c r="T7" s="1">
        <v>0</v>
      </c>
      <c r="U7" s="1">
        <f>Games[[#This Row],[PointsFor]]-Games[[#This Row],[PointsAgainst]]</f>
        <v>-2</v>
      </c>
      <c r="V7" s="1">
        <f>IF(Games[[#This Row],[MOV]]&gt;0,1,IF(Games[[#This Row],[MOV]]=0,0.5,0))</f>
        <v>0</v>
      </c>
      <c r="W7" s="4">
        <f>((ABS(Games[[#This Row],[MOV]])+5)^0.6)/(12+0.01*(ABS(Games[[#This Row],[PreGmRate]]-Games[[#This Row],[OppPreGmRate]])))*IF(Games[[#This Row],[OT]]=1,0.9,1)</f>
        <v>0.26656813831321147</v>
      </c>
      <c r="X7" s="7" cm="1">
        <f t="array" ref="X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" s="9">
        <f>MAX(kmin, kmax - 0.15 * MIN(Games[[#This Row],[GamesPlayed]], 82))</f>
        <v>75.849999999999994</v>
      </c>
      <c r="Z7" s="4">
        <f>Games[[#This Row],[K]]*Games[[#This Row],[POMult]]</f>
        <v>75.849999999999994</v>
      </c>
      <c r="AA7" s="4">
        <f>(Games[[#This Row],[Keff]]*Games[[#This Row],[MOVMult]])*(Games[[#This Row],[Result]]-Games[[#This Row],[ExpectedWin%]])</f>
        <v>-12.664035685876732</v>
      </c>
      <c r="AB7" s="4">
        <f>Games[[#This Row],[PreGmRate]]+Games[[#This Row],[RatingChange]]</f>
        <v>1505.6282493188476</v>
      </c>
      <c r="AC7" s="2">
        <f>IF(Games[[#This Row],[Type]]="R",IF(Games[[#This Row],[Result]]&gt;0.5,1,0),0)</f>
        <v>0</v>
      </c>
      <c r="AD7" s="2">
        <f>IF(Games[[#This Row],[Type]]="R",IF(Games[[#This Row],[Result]]&lt;0.5,1,0),0)</f>
        <v>1</v>
      </c>
      <c r="AE7" s="2">
        <f>IF(AND(Games[[#This Row],[Type]]="P",Games[[#This Row],[Round]]=1),IF(Games[[#This Row],[Result]]&gt;0.5,1,0),0)</f>
        <v>0</v>
      </c>
      <c r="AF7" s="2">
        <f>IF(AND(Games[[#This Row],[Type]]="P",Games[[#This Row],[Round]]=1),IF(Games[[#This Row],[Result]]&lt;0.5,1,0),0)</f>
        <v>0</v>
      </c>
      <c r="AG7" s="2">
        <f>IF(AND(Games[[#This Row],[Type]]="P",Games[[#This Row],[Round]]=2),IF(Games[[#This Row],[Result]]&gt;0.5,1,0),0)</f>
        <v>0</v>
      </c>
      <c r="AH7" s="2">
        <f>IF(AND(Games[[#This Row],[Type]]="P",Games[[#This Row],[Round]]=2),IF(Games[[#This Row],[Result]]&lt;0.5,1,0),0)</f>
        <v>0</v>
      </c>
      <c r="AI7" s="2">
        <f>IF(AND(Games[[#This Row],[Type]]="P",Games[[#This Row],[Round]]=3),IF(Games[[#This Row],[Result]]&gt;0.5,1,0),0)</f>
        <v>0</v>
      </c>
      <c r="AJ7" s="2">
        <f>IF(AND(Games[[#This Row],[Type]]="P",Games[[#This Row],[Round]]=3),IF(Games[[#This Row],[Result]]&lt;0.5,1,0),0)</f>
        <v>0</v>
      </c>
      <c r="AK7" s="2">
        <f>IF(AND(Games[[#This Row],[Type]]="P",Games[[#This Row],[Round]]=4),IF(Games[[#This Row],[Result]]&gt;0.5,1,0),0)</f>
        <v>0</v>
      </c>
      <c r="AL7" s="2">
        <f>IF(AND(Games[[#This Row],[Type]]="P",Games[[#This Row],[Round]]=4),IF(Games[[#This Row],[Result]]&lt;0.5,1,0),0)</f>
        <v>0</v>
      </c>
    </row>
    <row r="8" spans="1:46" x14ac:dyDescent="0.35">
      <c r="A8" s="10">
        <v>44330</v>
      </c>
      <c r="B8" s="2">
        <v>2021</v>
      </c>
      <c r="C8" s="2">
        <f>COUNTIFS(Games[Team],Games[[#This Row],[Team]],Games[Season],Games[[#This Row],[Season]],Games[Date],"&lt;=" &amp; Games[[#This Row],[Date]])</f>
        <v>1</v>
      </c>
      <c r="D8" s="2" t="s">
        <v>79</v>
      </c>
      <c r="E8" s="2" t="s">
        <v>80</v>
      </c>
      <c r="F8" s="1" t="s">
        <v>69</v>
      </c>
      <c r="G8" s="1" t="s">
        <v>60</v>
      </c>
      <c r="H8" s="1" t="s">
        <v>81</v>
      </c>
      <c r="I8" s="2" cm="1">
        <f t="array" ref="I8">IFERROR(
    Games[[#This Row],[Date]]
    - LOOKUP(
        2,
        1/((Games[Team]=Games[[#This Row],[Team]]) * (Games[Date] &lt; Games[[#This Row],[Date]])),
        Games[Date]
    )
    - 1,
Games[[#This Row],[Date]]-$A$2)</f>
        <v>0</v>
      </c>
      <c r="J8" s="2" cm="1">
        <f t="array" ref="J8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8" s="2">
        <f>Games[[#This Row],[DaysOff]]-Games[[#This Row],[OppDaysOff]]</f>
        <v>0</v>
      </c>
      <c r="L8" s="2">
        <f>Games[[#This Row],[OppDaysOff]]-Games[[#This Row],[DaysOff]]</f>
        <v>0</v>
      </c>
      <c r="M8" s="1">
        <f>MAX(-16, MIN(16, Games[[#This Row],[RestDiff]]*8))</f>
        <v>0</v>
      </c>
      <c r="N8" s="1">
        <f>MAX(-16, MIN(16, Games[[#This Row],[OppRestDiff]]*8))</f>
        <v>0</v>
      </c>
      <c r="O8" s="4" cm="1">
        <f t="array" ref="O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1433.1513579183743</v>
      </c>
      <c r="P8" s="4" cm="1">
        <f t="array" ref="P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1381.8033941718413</v>
      </c>
      <c r="Q8" s="4">
        <f>1/(1+10^(((Games[[#This Row],[OppPreGmRate]]+IF(Games[[#This Row],[HomeAway]]="A",HCA,0)+Games[[#This Row],[OppRestAdj]])-(Games[[#This Row],[PreGmRate]]+IF(Games[[#This Row],[HomeAway]]="H",HCA,0)+Games[[#This Row],[RestAdj]]))/400))</f>
        <v>0.45314779836372249</v>
      </c>
      <c r="R8" s="1">
        <v>87</v>
      </c>
      <c r="S8" s="1">
        <v>90</v>
      </c>
      <c r="T8" s="1">
        <v>0</v>
      </c>
      <c r="U8" s="1">
        <f>Games[[#This Row],[PointsFor]]-Games[[#This Row],[PointsAgainst]]</f>
        <v>-3</v>
      </c>
      <c r="V8" s="1">
        <f>IF(Games[[#This Row],[MOV]]&gt;0,1,IF(Games[[#This Row],[MOV]]=0,0.5,0))</f>
        <v>0</v>
      </c>
      <c r="W8" s="4">
        <f>((ABS(Games[[#This Row],[MOV]])+5)^0.6)/(12+0.01*(ABS(Games[[#This Row],[PreGmRate]]-Games[[#This Row],[OppPreGmRate]])))*IF(Games[[#This Row],[OT]]=1,0.9,1)</f>
        <v>0.27827609538427589</v>
      </c>
      <c r="X8" s="7" cm="1">
        <f t="array" ref="X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" s="9">
        <f>MAX(kmin, kmax - 0.15 * MIN(Games[[#This Row],[GamesPlayed]], 82))</f>
        <v>75.849999999999994</v>
      </c>
      <c r="Z8" s="4">
        <f>Games[[#This Row],[K]]*Games[[#This Row],[POMult]]</f>
        <v>75.849999999999994</v>
      </c>
      <c r="AA8" s="4">
        <f>(Games[[#This Row],[Keff]]*Games[[#This Row],[MOVMult]])*(Games[[#This Row],[Result]]-Games[[#This Row],[ExpectedWin%]])</f>
        <v>-9.5647001670143794</v>
      </c>
      <c r="AB8" s="4">
        <f>Games[[#This Row],[PreGmRate]]+Games[[#This Row],[RatingChange]]</f>
        <v>1423.58665775136</v>
      </c>
      <c r="AC8" s="2">
        <f>IF(Games[[#This Row],[Type]]="R",IF(Games[[#This Row],[Result]]&gt;0.5,1,0),0)</f>
        <v>0</v>
      </c>
      <c r="AD8" s="2">
        <f>IF(Games[[#This Row],[Type]]="R",IF(Games[[#This Row],[Result]]&lt;0.5,1,0),0)</f>
        <v>1</v>
      </c>
      <c r="AE8" s="2">
        <f>IF(AND(Games[[#This Row],[Type]]="P",Games[[#This Row],[Round]]=1),IF(Games[[#This Row],[Result]]&gt;0.5,1,0),0)</f>
        <v>0</v>
      </c>
      <c r="AF8" s="2">
        <f>IF(AND(Games[[#This Row],[Type]]="P",Games[[#This Row],[Round]]=1),IF(Games[[#This Row],[Result]]&lt;0.5,1,0),0)</f>
        <v>0</v>
      </c>
      <c r="AG8" s="2">
        <f>IF(AND(Games[[#This Row],[Type]]="P",Games[[#This Row],[Round]]=2),IF(Games[[#This Row],[Result]]&gt;0.5,1,0),0)</f>
        <v>0</v>
      </c>
      <c r="AH8" s="2">
        <f>IF(AND(Games[[#This Row],[Type]]="P",Games[[#This Row],[Round]]=2),IF(Games[[#This Row],[Result]]&lt;0.5,1,0),0)</f>
        <v>0</v>
      </c>
      <c r="AI8" s="2">
        <f>IF(AND(Games[[#This Row],[Type]]="P",Games[[#This Row],[Round]]=3),IF(Games[[#This Row],[Result]]&gt;0.5,1,0),0)</f>
        <v>0</v>
      </c>
      <c r="AJ8" s="2">
        <f>IF(AND(Games[[#This Row],[Type]]="P",Games[[#This Row],[Round]]=3),IF(Games[[#This Row],[Result]]&lt;0.5,1,0),0)</f>
        <v>0</v>
      </c>
      <c r="AK8" s="2">
        <f>IF(AND(Games[[#This Row],[Type]]="P",Games[[#This Row],[Round]]=4),IF(Games[[#This Row],[Result]]&gt;0.5,1,0),0)</f>
        <v>0</v>
      </c>
      <c r="AL8" s="2">
        <f>IF(AND(Games[[#This Row],[Type]]="P",Games[[#This Row],[Round]]=4),IF(Games[[#This Row],[Result]]&lt;0.5,1,0),0)</f>
        <v>0</v>
      </c>
      <c r="AT8" s="14"/>
    </row>
    <row r="9" spans="1:46" x14ac:dyDescent="0.35">
      <c r="A9" s="10">
        <v>44330</v>
      </c>
      <c r="B9" s="2">
        <v>2021</v>
      </c>
      <c r="C9" s="2">
        <f>COUNTIFS(Games[Team],Games[[#This Row],[Team]],Games[Season],Games[[#This Row],[Season]],Games[Date],"&lt;=" &amp; Games[[#This Row],[Date]])</f>
        <v>1</v>
      </c>
      <c r="D9" s="2" t="s">
        <v>79</v>
      </c>
      <c r="E9" s="2" t="s">
        <v>80</v>
      </c>
      <c r="F9" s="1" t="s">
        <v>60</v>
      </c>
      <c r="G9" s="1" t="s">
        <v>69</v>
      </c>
      <c r="H9" s="1" t="s">
        <v>82</v>
      </c>
      <c r="I9" s="2" cm="1">
        <f t="array" ref="I9">IFERROR(
    Games[[#This Row],[Date]]
    - LOOKUP(
        2,
        1/((Games[Team]=Games[[#This Row],[Team]]) * (Games[Date] &lt; Games[[#This Row],[Date]])),
        Games[Date]
    )
    - 1,
Games[[#This Row],[Date]]-$A$2)</f>
        <v>0</v>
      </c>
      <c r="J9" s="2" cm="1">
        <f t="array" ref="J9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9" s="2">
        <f>Games[[#This Row],[DaysOff]]-Games[[#This Row],[OppDaysOff]]</f>
        <v>0</v>
      </c>
      <c r="L9" s="2">
        <f>Games[[#This Row],[OppDaysOff]]-Games[[#This Row],[DaysOff]]</f>
        <v>0</v>
      </c>
      <c r="M9" s="1">
        <f>MAX(-16, MIN(16, Games[[#This Row],[RestDiff]]*8))</f>
        <v>0</v>
      </c>
      <c r="N9" s="1">
        <f>MAX(-16, MIN(16, Games[[#This Row],[OppRestDiff]]*8))</f>
        <v>0</v>
      </c>
      <c r="O9" s="4" cm="1">
        <f t="array" ref="O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1381.8033941718413</v>
      </c>
      <c r="P9" s="4" cm="1">
        <f t="array" ref="P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1433.1513579183743</v>
      </c>
      <c r="Q9" s="4">
        <f>1/(1+10^(((Games[[#This Row],[OppPreGmRate]]+IF(Games[[#This Row],[HomeAway]]="A",HCA,0)+Games[[#This Row],[OppRestAdj]])-(Games[[#This Row],[PreGmRate]]+IF(Games[[#This Row],[HomeAway]]="H",HCA,0)+Games[[#This Row],[RestAdj]]))/400))</f>
        <v>0.54685220163627757</v>
      </c>
      <c r="R9" s="1">
        <v>90</v>
      </c>
      <c r="S9" s="1">
        <v>87</v>
      </c>
      <c r="T9" s="1">
        <v>0</v>
      </c>
      <c r="U9" s="1">
        <f>Games[[#This Row],[PointsFor]]-Games[[#This Row],[PointsAgainst]]</f>
        <v>3</v>
      </c>
      <c r="V9" s="1">
        <f>IF(Games[[#This Row],[MOV]]&gt;0,1,IF(Games[[#This Row],[MOV]]=0,0.5,0))</f>
        <v>1</v>
      </c>
      <c r="W9" s="4">
        <f>((ABS(Games[[#This Row],[MOV]])+5)^0.6)/(12+0.01*(ABS(Games[[#This Row],[PreGmRate]]-Games[[#This Row],[OppPreGmRate]])))*IF(Games[[#This Row],[OT]]=1,0.9,1)</f>
        <v>0.27827609538427589</v>
      </c>
      <c r="X9" s="7" cm="1">
        <f t="array" ref="X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" s="9">
        <f>MAX(kmin, kmax - 0.15 * MIN(Games[[#This Row],[GamesPlayed]], 82))</f>
        <v>75.849999999999994</v>
      </c>
      <c r="Z9" s="4">
        <f>Games[[#This Row],[K]]*Games[[#This Row],[POMult]]</f>
        <v>75.849999999999994</v>
      </c>
      <c r="AA9" s="4">
        <f>(Games[[#This Row],[Keff]]*Games[[#This Row],[MOVMult]])*(Games[[#This Row],[Result]]-Games[[#This Row],[ExpectedWin%]])</f>
        <v>9.5647001670143794</v>
      </c>
      <c r="AB9" s="4">
        <f>Games[[#This Row],[PreGmRate]]+Games[[#This Row],[RatingChange]]</f>
        <v>1391.3680943388556</v>
      </c>
      <c r="AC9" s="2">
        <f>IF(Games[[#This Row],[Type]]="R",IF(Games[[#This Row],[Result]]&gt;0.5,1,0),0)</f>
        <v>1</v>
      </c>
      <c r="AD9" s="2">
        <f>IF(Games[[#This Row],[Type]]="R",IF(Games[[#This Row],[Result]]&lt;0.5,1,0),0)</f>
        <v>0</v>
      </c>
      <c r="AE9" s="2">
        <f>IF(AND(Games[[#This Row],[Type]]="P",Games[[#This Row],[Round]]=1),IF(Games[[#This Row],[Result]]&gt;0.5,1,0),0)</f>
        <v>0</v>
      </c>
      <c r="AF9" s="2">
        <f>IF(AND(Games[[#This Row],[Type]]="P",Games[[#This Row],[Round]]=1),IF(Games[[#This Row],[Result]]&lt;0.5,1,0),0)</f>
        <v>0</v>
      </c>
      <c r="AG9" s="2">
        <f>IF(AND(Games[[#This Row],[Type]]="P",Games[[#This Row],[Round]]=2),IF(Games[[#This Row],[Result]]&gt;0.5,1,0),0)</f>
        <v>0</v>
      </c>
      <c r="AH9" s="2">
        <f>IF(AND(Games[[#This Row],[Type]]="P",Games[[#This Row],[Round]]=2),IF(Games[[#This Row],[Result]]&lt;0.5,1,0),0)</f>
        <v>0</v>
      </c>
      <c r="AI9" s="2">
        <f>IF(AND(Games[[#This Row],[Type]]="P",Games[[#This Row],[Round]]=3),IF(Games[[#This Row],[Result]]&gt;0.5,1,0),0)</f>
        <v>0</v>
      </c>
      <c r="AJ9" s="2">
        <f>IF(AND(Games[[#This Row],[Type]]="P",Games[[#This Row],[Round]]=3),IF(Games[[#This Row],[Result]]&lt;0.5,1,0),0)</f>
        <v>0</v>
      </c>
      <c r="AK9" s="2">
        <f>IF(AND(Games[[#This Row],[Type]]="P",Games[[#This Row],[Round]]=4),IF(Games[[#This Row],[Result]]&gt;0.5,1,0),0)</f>
        <v>0</v>
      </c>
      <c r="AL9" s="2">
        <f>IF(AND(Games[[#This Row],[Type]]="P",Games[[#This Row],[Round]]=4),IF(Games[[#This Row],[Result]]&lt;0.5,1,0),0)</f>
        <v>0</v>
      </c>
    </row>
    <row r="10" spans="1:46" x14ac:dyDescent="0.35">
      <c r="A10" s="10">
        <v>44331</v>
      </c>
      <c r="B10" s="2">
        <v>2021</v>
      </c>
      <c r="C10" s="2">
        <f>COUNTIFS(Games[Team],Games[[#This Row],[Team]],Games[Season],Games[[#This Row],[Season]],Games[Date],"&lt;=" &amp; Games[[#This Row],[Date]])</f>
        <v>1</v>
      </c>
      <c r="D10" s="2" t="s">
        <v>79</v>
      </c>
      <c r="E10" s="2" t="s">
        <v>80</v>
      </c>
      <c r="F10" s="1" t="s">
        <v>85</v>
      </c>
      <c r="G10" s="1" t="s">
        <v>71</v>
      </c>
      <c r="H10" s="1" t="s">
        <v>81</v>
      </c>
      <c r="I10" s="2" cm="1">
        <f t="array" ref="I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" s="2" cm="1">
        <f t="array" ref="J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" s="2">
        <f>Games[[#This Row],[DaysOff]]-Games[[#This Row],[OppDaysOff]]</f>
        <v>0</v>
      </c>
      <c r="L10" s="2">
        <f>Games[[#This Row],[OppDaysOff]]-Games[[#This Row],[DaysOff]]</f>
        <v>0</v>
      </c>
      <c r="M10" s="1">
        <f>MAX(-16, MIN(16, Games[[#This Row],[RestDiff]]*8))</f>
        <v>0</v>
      </c>
      <c r="N10" s="1">
        <f>MAX(-16, MIN(16, Games[[#This Row],[OppRestDiff]]*8))</f>
        <v>0</v>
      </c>
      <c r="O10" s="4" cm="1">
        <f t="array" ref="O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1552.9910031520365</v>
      </c>
      <c r="P10" s="4" cm="1">
        <f t="array" ref="P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1630.2801913636583</v>
      </c>
      <c r="Q10" s="4">
        <f>1/(1+10^(((Games[[#This Row],[OppPreGmRate]]+IF(Games[[#This Row],[HomeAway]]="A",HCA,0)+Games[[#This Row],[OppRestAdj]])-(Games[[#This Row],[PreGmRate]]+IF(Games[[#This Row],[HomeAway]]="H",HCA,0)+Games[[#This Row],[RestAdj]]))/400))</f>
        <v>0.28323822578447549</v>
      </c>
      <c r="R10" s="1">
        <v>83</v>
      </c>
      <c r="S10" s="1">
        <v>97</v>
      </c>
      <c r="T10" s="1">
        <v>0</v>
      </c>
      <c r="U10" s="1">
        <f>Games[[#This Row],[PointsFor]]-Games[[#This Row],[PointsAgainst]]</f>
        <v>-14</v>
      </c>
      <c r="V10" s="1">
        <f>IF(Games[[#This Row],[MOV]]&gt;0,1,IF(Games[[#This Row],[MOV]]=0,0.5,0))</f>
        <v>0</v>
      </c>
      <c r="W10" s="4">
        <f>((ABS(Games[[#This Row],[MOV]])+5)^0.6)/(12+0.01*(ABS(Games[[#This Row],[PreGmRate]]-Games[[#This Row],[OppPreGmRate]])))*IF(Games[[#This Row],[OT]]=1,0.9,1)</f>
        <v>0.45810277706975855</v>
      </c>
      <c r="X10" s="7" cm="1">
        <f t="array" ref="X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" s="9">
        <f>MAX(kmin, kmax - 0.15 * MIN(Games[[#This Row],[GamesPlayed]], 82))</f>
        <v>75.849999999999994</v>
      </c>
      <c r="Z10" s="4">
        <f>Games[[#This Row],[K]]*Games[[#This Row],[POMult]]</f>
        <v>75.849999999999994</v>
      </c>
      <c r="AA10" s="4">
        <f>(Games[[#This Row],[Keff]]*Games[[#This Row],[MOVMult]])*(Games[[#This Row],[Result]]-Games[[#This Row],[ExpectedWin%]])</f>
        <v>-9.8417057204470169</v>
      </c>
      <c r="AB10" s="4">
        <f>Games[[#This Row],[PreGmRate]]+Games[[#This Row],[RatingChange]]</f>
        <v>1543.1492974315895</v>
      </c>
      <c r="AC10" s="2">
        <f>IF(Games[[#This Row],[Type]]="R",IF(Games[[#This Row],[Result]]&gt;0.5,1,0),0)</f>
        <v>0</v>
      </c>
      <c r="AD10" s="2">
        <f>IF(Games[[#This Row],[Type]]="R",IF(Games[[#This Row],[Result]]&lt;0.5,1,0),0)</f>
        <v>1</v>
      </c>
      <c r="AE10" s="2">
        <f>IF(AND(Games[[#This Row],[Type]]="P",Games[[#This Row],[Round]]=1),IF(Games[[#This Row],[Result]]&gt;0.5,1,0),0)</f>
        <v>0</v>
      </c>
      <c r="AF10" s="2">
        <f>IF(AND(Games[[#This Row],[Type]]="P",Games[[#This Row],[Round]]=1),IF(Games[[#This Row],[Result]]&lt;0.5,1,0),0)</f>
        <v>0</v>
      </c>
      <c r="AG10" s="2">
        <f>IF(AND(Games[[#This Row],[Type]]="P",Games[[#This Row],[Round]]=2),IF(Games[[#This Row],[Result]]&gt;0.5,1,0),0)</f>
        <v>0</v>
      </c>
      <c r="AH10" s="2">
        <f>IF(AND(Games[[#This Row],[Type]]="P",Games[[#This Row],[Round]]=2),IF(Games[[#This Row],[Result]]&lt;0.5,1,0),0)</f>
        <v>0</v>
      </c>
      <c r="AI10" s="2">
        <f>IF(AND(Games[[#This Row],[Type]]="P",Games[[#This Row],[Round]]=3),IF(Games[[#This Row],[Result]]&gt;0.5,1,0),0)</f>
        <v>0</v>
      </c>
      <c r="AJ10" s="2">
        <f>IF(AND(Games[[#This Row],[Type]]="P",Games[[#This Row],[Round]]=3),IF(Games[[#This Row],[Result]]&lt;0.5,1,0),0)</f>
        <v>0</v>
      </c>
      <c r="AK10" s="2">
        <f>IF(AND(Games[[#This Row],[Type]]="P",Games[[#This Row],[Round]]=4),IF(Games[[#This Row],[Result]]&gt;0.5,1,0),0)</f>
        <v>0</v>
      </c>
      <c r="AL10" s="2">
        <f>IF(AND(Games[[#This Row],[Type]]="P",Games[[#This Row],[Round]]=4),IF(Games[[#This Row],[Result]]&lt;0.5,1,0),0)</f>
        <v>0</v>
      </c>
    </row>
    <row r="11" spans="1:46" x14ac:dyDescent="0.35">
      <c r="A11" s="10">
        <v>44331</v>
      </c>
      <c r="B11" s="2">
        <v>2021</v>
      </c>
      <c r="C11" s="2">
        <f>COUNTIFS(Games[Team],Games[[#This Row],[Team]],Games[Season],Games[[#This Row],[Season]],Games[Date],"&lt;=" &amp; Games[[#This Row],[Date]])</f>
        <v>1</v>
      </c>
      <c r="D11" s="2" t="s">
        <v>79</v>
      </c>
      <c r="E11" s="2" t="s">
        <v>80</v>
      </c>
      <c r="F11" s="1" t="s">
        <v>71</v>
      </c>
      <c r="G11" s="1" t="s">
        <v>85</v>
      </c>
      <c r="H11" s="1" t="s">
        <v>82</v>
      </c>
      <c r="I11" s="2" cm="1">
        <f t="array" ref="I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" s="2" cm="1">
        <f t="array" ref="J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" s="2">
        <f>Games[[#This Row],[DaysOff]]-Games[[#This Row],[OppDaysOff]]</f>
        <v>0</v>
      </c>
      <c r="L11" s="2">
        <f>Games[[#This Row],[OppDaysOff]]-Games[[#This Row],[DaysOff]]</f>
        <v>0</v>
      </c>
      <c r="M11" s="1">
        <f>MAX(-16, MIN(16, Games[[#This Row],[RestDiff]]*8))</f>
        <v>0</v>
      </c>
      <c r="N11" s="1">
        <f>MAX(-16, MIN(16, Games[[#This Row],[OppRestDiff]]*8))</f>
        <v>0</v>
      </c>
      <c r="O11" s="4" cm="1">
        <f t="array" ref="O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1630.2801913636583</v>
      </c>
      <c r="P11" s="4" cm="1">
        <f t="array" ref="P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1552.9910031520365</v>
      </c>
      <c r="Q11" s="4">
        <f>1/(1+10^(((Games[[#This Row],[OppPreGmRate]]+IF(Games[[#This Row],[HomeAway]]="A",HCA,0)+Games[[#This Row],[OppRestAdj]])-(Games[[#This Row],[PreGmRate]]+IF(Games[[#This Row],[HomeAway]]="H",HCA,0)+Games[[#This Row],[RestAdj]]))/400))</f>
        <v>0.71676177421552456</v>
      </c>
      <c r="R11" s="1">
        <v>97</v>
      </c>
      <c r="S11" s="1">
        <v>83</v>
      </c>
      <c r="T11" s="1">
        <v>0</v>
      </c>
      <c r="U11" s="1">
        <f>Games[[#This Row],[PointsFor]]-Games[[#This Row],[PointsAgainst]]</f>
        <v>14</v>
      </c>
      <c r="V11" s="1">
        <f>IF(Games[[#This Row],[MOV]]&gt;0,1,IF(Games[[#This Row],[MOV]]=0,0.5,0))</f>
        <v>1</v>
      </c>
      <c r="W11" s="4">
        <f>((ABS(Games[[#This Row],[MOV]])+5)^0.6)/(12+0.01*(ABS(Games[[#This Row],[PreGmRate]]-Games[[#This Row],[OppPreGmRate]])))*IF(Games[[#This Row],[OT]]=1,0.9,1)</f>
        <v>0.45810277706975855</v>
      </c>
      <c r="X11" s="7" cm="1">
        <f t="array" ref="X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" s="9">
        <f>MAX(kmin, kmax - 0.15 * MIN(Games[[#This Row],[GamesPlayed]], 82))</f>
        <v>75.849999999999994</v>
      </c>
      <c r="Z11" s="4">
        <f>Games[[#This Row],[K]]*Games[[#This Row],[POMult]]</f>
        <v>75.849999999999994</v>
      </c>
      <c r="AA11" s="4">
        <f>(Games[[#This Row],[Keff]]*Games[[#This Row],[MOVMult]])*(Games[[#This Row],[Result]]-Games[[#This Row],[ExpectedWin%]])</f>
        <v>9.8417057204470151</v>
      </c>
      <c r="AB11" s="4">
        <f>Games[[#This Row],[PreGmRate]]+Games[[#This Row],[RatingChange]]</f>
        <v>1640.1218970841053</v>
      </c>
      <c r="AC11" s="2">
        <f>IF(Games[[#This Row],[Type]]="R",IF(Games[[#This Row],[Result]]&gt;0.5,1,0),0)</f>
        <v>1</v>
      </c>
      <c r="AD11" s="2">
        <f>IF(Games[[#This Row],[Type]]="R",IF(Games[[#This Row],[Result]]&lt;0.5,1,0),0)</f>
        <v>0</v>
      </c>
      <c r="AE11" s="2">
        <f>IF(AND(Games[[#This Row],[Type]]="P",Games[[#This Row],[Round]]=1),IF(Games[[#This Row],[Result]]&gt;0.5,1,0),0)</f>
        <v>0</v>
      </c>
      <c r="AF11" s="2">
        <f>IF(AND(Games[[#This Row],[Type]]="P",Games[[#This Row],[Round]]=1),IF(Games[[#This Row],[Result]]&lt;0.5,1,0),0)</f>
        <v>0</v>
      </c>
      <c r="AG11" s="2">
        <f>IF(AND(Games[[#This Row],[Type]]="P",Games[[#This Row],[Round]]=2),IF(Games[[#This Row],[Result]]&gt;0.5,1,0),0)</f>
        <v>0</v>
      </c>
      <c r="AH11" s="2">
        <f>IF(AND(Games[[#This Row],[Type]]="P",Games[[#This Row],[Round]]=2),IF(Games[[#This Row],[Result]]&lt;0.5,1,0),0)</f>
        <v>0</v>
      </c>
      <c r="AI11" s="2">
        <f>IF(AND(Games[[#This Row],[Type]]="P",Games[[#This Row],[Round]]=3),IF(Games[[#This Row],[Result]]&gt;0.5,1,0),0)</f>
        <v>0</v>
      </c>
      <c r="AJ11" s="2">
        <f>IF(AND(Games[[#This Row],[Type]]="P",Games[[#This Row],[Round]]=3),IF(Games[[#This Row],[Result]]&lt;0.5,1,0),0)</f>
        <v>0</v>
      </c>
      <c r="AK11" s="2">
        <f>IF(AND(Games[[#This Row],[Type]]="P",Games[[#This Row],[Round]]=4),IF(Games[[#This Row],[Result]]&gt;0.5,1,0),0)</f>
        <v>0</v>
      </c>
      <c r="AL11" s="2">
        <f>IF(AND(Games[[#This Row],[Type]]="P",Games[[#This Row],[Round]]=4),IF(Games[[#This Row],[Result]]&lt;0.5,1,0),0)</f>
        <v>0</v>
      </c>
    </row>
    <row r="12" spans="1:46" x14ac:dyDescent="0.35">
      <c r="A12" s="10">
        <v>44331</v>
      </c>
      <c r="B12" s="2">
        <v>2021</v>
      </c>
      <c r="C12" s="2">
        <f>COUNTIFS(Games[Team],Games[[#This Row],[Team]],Games[Season],Games[[#This Row],[Season]],Games[Date],"&lt;=" &amp; Games[[#This Row],[Date]])</f>
        <v>1</v>
      </c>
      <c r="D12" s="2" t="s">
        <v>79</v>
      </c>
      <c r="E12" s="2" t="s">
        <v>80</v>
      </c>
      <c r="F12" s="1" t="s">
        <v>75</v>
      </c>
      <c r="G12" s="1" t="s">
        <v>65</v>
      </c>
      <c r="H12" s="1" t="s">
        <v>81</v>
      </c>
      <c r="I12" s="2" cm="1">
        <f t="array" ref="I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" s="2" cm="1">
        <f t="array" ref="J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" s="2">
        <f>Games[[#This Row],[DaysOff]]-Games[[#This Row],[OppDaysOff]]</f>
        <v>0</v>
      </c>
      <c r="L12" s="2">
        <f>Games[[#This Row],[OppDaysOff]]-Games[[#This Row],[DaysOff]]</f>
        <v>0</v>
      </c>
      <c r="M12" s="1">
        <f>MAX(-16, MIN(16, Games[[#This Row],[RestDiff]]*8))</f>
        <v>0</v>
      </c>
      <c r="N12" s="1">
        <f>MAX(-16, MIN(16, Games[[#This Row],[OppRestDiff]]*8))</f>
        <v>0</v>
      </c>
      <c r="O12" s="4" cm="1">
        <f t="array" ref="O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1502.1110580436962</v>
      </c>
      <c r="P12" s="4" cm="1">
        <f t="array" ref="P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1499.9681201953374</v>
      </c>
      <c r="Q12" s="4">
        <f>1/(1+10^(((Games[[#This Row],[OppPreGmRate]]+IF(Games[[#This Row],[HomeAway]]="A",HCA,0)+Games[[#This Row],[OppRestAdj]])-(Games[[#This Row],[PreGmRate]]+IF(Games[[#This Row],[HomeAway]]="H",HCA,0)+Games[[#This Row],[RestAdj]]))/400))</f>
        <v>0.38433057250299768</v>
      </c>
      <c r="R12" s="1">
        <v>70</v>
      </c>
      <c r="S12" s="1">
        <v>56</v>
      </c>
      <c r="T12" s="1">
        <v>0</v>
      </c>
      <c r="U12" s="1">
        <f>Games[[#This Row],[PointsFor]]-Games[[#This Row],[PointsAgainst]]</f>
        <v>14</v>
      </c>
      <c r="V12" s="1">
        <f>IF(Games[[#This Row],[MOV]]&gt;0,1,IF(Games[[#This Row],[MOV]]=0,0.5,0))</f>
        <v>1</v>
      </c>
      <c r="W12" s="4">
        <f>((ABS(Games[[#This Row],[MOV]])+5)^0.6)/(12+0.01*(ABS(Games[[#This Row],[PreGmRate]]-Games[[#This Row],[OppPreGmRate]])))*IF(Games[[#This Row],[OT]]=1,0.9,1)</f>
        <v>0.48673889420189004</v>
      </c>
      <c r="X12" s="7" cm="1">
        <f t="array" ref="X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" s="9">
        <f>MAX(kmin, kmax - 0.15 * MIN(Games[[#This Row],[GamesPlayed]], 82))</f>
        <v>75.849999999999994</v>
      </c>
      <c r="Z12" s="4">
        <f>Games[[#This Row],[K]]*Games[[#This Row],[POMult]]</f>
        <v>75.849999999999994</v>
      </c>
      <c r="AA12" s="4">
        <f>(Games[[#This Row],[Keff]]*Games[[#This Row],[MOVMult]])*(Games[[#This Row],[Result]]-Games[[#This Row],[ExpectedWin%]])</f>
        <v>22.729988942918848</v>
      </c>
      <c r="AB12" s="4">
        <f>Games[[#This Row],[PreGmRate]]+Games[[#This Row],[RatingChange]]</f>
        <v>1524.8410469866151</v>
      </c>
      <c r="AC12" s="2">
        <f>IF(Games[[#This Row],[Type]]="R",IF(Games[[#This Row],[Result]]&gt;0.5,1,0),0)</f>
        <v>1</v>
      </c>
      <c r="AD12" s="2">
        <f>IF(Games[[#This Row],[Type]]="R",IF(Games[[#This Row],[Result]]&lt;0.5,1,0),0)</f>
        <v>0</v>
      </c>
      <c r="AE12" s="2">
        <f>IF(AND(Games[[#This Row],[Type]]="P",Games[[#This Row],[Round]]=1),IF(Games[[#This Row],[Result]]&gt;0.5,1,0),0)</f>
        <v>0</v>
      </c>
      <c r="AF12" s="2">
        <f>IF(AND(Games[[#This Row],[Type]]="P",Games[[#This Row],[Round]]=1),IF(Games[[#This Row],[Result]]&lt;0.5,1,0),0)</f>
        <v>0</v>
      </c>
      <c r="AG12" s="2">
        <f>IF(AND(Games[[#This Row],[Type]]="P",Games[[#This Row],[Round]]=2),IF(Games[[#This Row],[Result]]&gt;0.5,1,0),0)</f>
        <v>0</v>
      </c>
      <c r="AH12" s="2">
        <f>IF(AND(Games[[#This Row],[Type]]="P",Games[[#This Row],[Round]]=2),IF(Games[[#This Row],[Result]]&lt;0.5,1,0),0)</f>
        <v>0</v>
      </c>
      <c r="AI12" s="2">
        <f>IF(AND(Games[[#This Row],[Type]]="P",Games[[#This Row],[Round]]=3),IF(Games[[#This Row],[Result]]&gt;0.5,1,0),0)</f>
        <v>0</v>
      </c>
      <c r="AJ12" s="2">
        <f>IF(AND(Games[[#This Row],[Type]]="P",Games[[#This Row],[Round]]=3),IF(Games[[#This Row],[Result]]&lt;0.5,1,0),0)</f>
        <v>0</v>
      </c>
      <c r="AK12" s="2">
        <f>IF(AND(Games[[#This Row],[Type]]="P",Games[[#This Row],[Round]]=4),IF(Games[[#This Row],[Result]]&gt;0.5,1,0),0)</f>
        <v>0</v>
      </c>
      <c r="AL12" s="2">
        <f>IF(AND(Games[[#This Row],[Type]]="P",Games[[#This Row],[Round]]=4),IF(Games[[#This Row],[Result]]&lt;0.5,1,0),0)</f>
        <v>0</v>
      </c>
    </row>
    <row r="13" spans="1:46" x14ac:dyDescent="0.35">
      <c r="A13" s="10">
        <v>44331</v>
      </c>
      <c r="B13" s="2">
        <v>2021</v>
      </c>
      <c r="C13" s="2">
        <f>COUNTIFS(Games[Team],Games[[#This Row],[Team]],Games[Season],Games[[#This Row],[Season]],Games[Date],"&lt;=" &amp; Games[[#This Row],[Date]])</f>
        <v>1</v>
      </c>
      <c r="D13" s="2" t="s">
        <v>79</v>
      </c>
      <c r="E13" s="2" t="s">
        <v>80</v>
      </c>
      <c r="F13" s="1" t="s">
        <v>65</v>
      </c>
      <c r="G13" s="1" t="s">
        <v>75</v>
      </c>
      <c r="H13" s="1" t="s">
        <v>82</v>
      </c>
      <c r="I13" s="2" cm="1">
        <f t="array" ref="I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" s="2" cm="1">
        <f t="array" ref="J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" s="2">
        <f>Games[[#This Row],[DaysOff]]-Games[[#This Row],[OppDaysOff]]</f>
        <v>0</v>
      </c>
      <c r="L13" s="2">
        <f>Games[[#This Row],[OppDaysOff]]-Games[[#This Row],[DaysOff]]</f>
        <v>0</v>
      </c>
      <c r="M13" s="1">
        <f>MAX(-16, MIN(16, Games[[#This Row],[RestDiff]]*8))</f>
        <v>0</v>
      </c>
      <c r="N13" s="1">
        <f>MAX(-16, MIN(16, Games[[#This Row],[OppRestDiff]]*8))</f>
        <v>0</v>
      </c>
      <c r="O13" s="4" cm="1">
        <f t="array" ref="O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1499.9681201953374</v>
      </c>
      <c r="P13" s="4" cm="1">
        <f t="array" ref="P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1502.1110580436962</v>
      </c>
      <c r="Q13" s="4">
        <f>1/(1+10^(((Games[[#This Row],[OppPreGmRate]]+IF(Games[[#This Row],[HomeAway]]="A",HCA,0)+Games[[#This Row],[OppRestAdj]])-(Games[[#This Row],[PreGmRate]]+IF(Games[[#This Row],[HomeAway]]="H",HCA,0)+Games[[#This Row],[RestAdj]]))/400))</f>
        <v>0.61566942749700238</v>
      </c>
      <c r="R13" s="1">
        <v>56</v>
      </c>
      <c r="S13" s="1">
        <v>70</v>
      </c>
      <c r="T13" s="1">
        <v>0</v>
      </c>
      <c r="U13" s="1">
        <f>Games[[#This Row],[PointsFor]]-Games[[#This Row],[PointsAgainst]]</f>
        <v>-14</v>
      </c>
      <c r="V13" s="1">
        <f>IF(Games[[#This Row],[MOV]]&gt;0,1,IF(Games[[#This Row],[MOV]]=0,0.5,0))</f>
        <v>0</v>
      </c>
      <c r="W13" s="4">
        <f>((ABS(Games[[#This Row],[MOV]])+5)^0.6)/(12+0.01*(ABS(Games[[#This Row],[PreGmRate]]-Games[[#This Row],[OppPreGmRate]])))*IF(Games[[#This Row],[OT]]=1,0.9,1)</f>
        <v>0.48673889420189004</v>
      </c>
      <c r="X13" s="7" cm="1">
        <f t="array" ref="X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" s="9">
        <f>MAX(kmin, kmax - 0.15 * MIN(Games[[#This Row],[GamesPlayed]], 82))</f>
        <v>75.849999999999994</v>
      </c>
      <c r="Z13" s="4">
        <f>Games[[#This Row],[K]]*Games[[#This Row],[POMult]]</f>
        <v>75.849999999999994</v>
      </c>
      <c r="AA13" s="4">
        <f>(Games[[#This Row],[Keff]]*Games[[#This Row],[MOVMult]])*(Games[[#This Row],[Result]]-Games[[#This Row],[ExpectedWin%]])</f>
        <v>-22.729988942918851</v>
      </c>
      <c r="AB13" s="4">
        <f>Games[[#This Row],[PreGmRate]]+Games[[#This Row],[RatingChange]]</f>
        <v>1477.2381312524185</v>
      </c>
      <c r="AC13" s="2">
        <f>IF(Games[[#This Row],[Type]]="R",IF(Games[[#This Row],[Result]]&gt;0.5,1,0),0)</f>
        <v>0</v>
      </c>
      <c r="AD13" s="2">
        <f>IF(Games[[#This Row],[Type]]="R",IF(Games[[#This Row],[Result]]&lt;0.5,1,0),0)</f>
        <v>1</v>
      </c>
      <c r="AE13" s="2">
        <f>IF(AND(Games[[#This Row],[Type]]="P",Games[[#This Row],[Round]]=1),IF(Games[[#This Row],[Result]]&gt;0.5,1,0),0)</f>
        <v>0</v>
      </c>
      <c r="AF13" s="2">
        <f>IF(AND(Games[[#This Row],[Type]]="P",Games[[#This Row],[Round]]=1),IF(Games[[#This Row],[Result]]&lt;0.5,1,0),0)</f>
        <v>0</v>
      </c>
      <c r="AG13" s="2">
        <f>IF(AND(Games[[#This Row],[Type]]="P",Games[[#This Row],[Round]]=2),IF(Games[[#This Row],[Result]]&gt;0.5,1,0),0)</f>
        <v>0</v>
      </c>
      <c r="AH13" s="2">
        <f>IF(AND(Games[[#This Row],[Type]]="P",Games[[#This Row],[Round]]=2),IF(Games[[#This Row],[Result]]&lt;0.5,1,0),0)</f>
        <v>0</v>
      </c>
      <c r="AI13" s="2">
        <f>IF(AND(Games[[#This Row],[Type]]="P",Games[[#This Row],[Round]]=3),IF(Games[[#This Row],[Result]]&gt;0.5,1,0),0)</f>
        <v>0</v>
      </c>
      <c r="AJ13" s="2">
        <f>IF(AND(Games[[#This Row],[Type]]="P",Games[[#This Row],[Round]]=3),IF(Games[[#This Row],[Result]]&lt;0.5,1,0),0)</f>
        <v>0</v>
      </c>
      <c r="AK13" s="2">
        <f>IF(AND(Games[[#This Row],[Type]]="P",Games[[#This Row],[Round]]=4),IF(Games[[#This Row],[Result]]&gt;0.5,1,0),0)</f>
        <v>0</v>
      </c>
      <c r="AL13" s="2">
        <f>IF(AND(Games[[#This Row],[Type]]="P",Games[[#This Row],[Round]]=4),IF(Games[[#This Row],[Result]]&lt;0.5,1,0),0)</f>
        <v>0</v>
      </c>
    </row>
    <row r="14" spans="1:46" x14ac:dyDescent="0.35">
      <c r="A14" s="10">
        <v>44332</v>
      </c>
      <c r="B14" s="2">
        <v>2021</v>
      </c>
      <c r="C14" s="2">
        <f>COUNTIFS(Games[Team],Games[[#This Row],[Team]],Games[Season],Games[[#This Row],[Season]],Games[Date],"&lt;=" &amp; Games[[#This Row],[Date]])</f>
        <v>2</v>
      </c>
      <c r="D14" s="2" t="s">
        <v>79</v>
      </c>
      <c r="E14" s="2" t="s">
        <v>80</v>
      </c>
      <c r="F14" s="1" t="s">
        <v>40</v>
      </c>
      <c r="G14" s="1" t="s">
        <v>74</v>
      </c>
      <c r="H14" s="1" t="s">
        <v>81</v>
      </c>
      <c r="I14" s="2" cm="1">
        <f t="array" ref="I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" s="2" cm="1">
        <f t="array" ref="J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" s="2">
        <f>Games[[#This Row],[DaysOff]]-Games[[#This Row],[OppDaysOff]]</f>
        <v>0</v>
      </c>
      <c r="L14" s="2">
        <f>Games[[#This Row],[OppDaysOff]]-Games[[#This Row],[DaysOff]]</f>
        <v>0</v>
      </c>
      <c r="M14" s="1">
        <f>MAX(-16, MIN(16, Games[[#This Row],[RestDiff]]*8))</f>
        <v>0</v>
      </c>
      <c r="N14" s="1">
        <f>MAX(-16, MIN(16, Games[[#This Row],[OppRestDiff]]*8))</f>
        <v>0</v>
      </c>
      <c r="O14" s="4" cm="1">
        <f t="array" ref="O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1525.2248817968991</v>
      </c>
      <c r="P14" s="4" cm="1">
        <f t="array" ref="P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1555.5019658109049</v>
      </c>
      <c r="Q14" s="4">
        <f>1/(1+10^(((Games[[#This Row],[OppPreGmRate]]+IF(Games[[#This Row],[HomeAway]]="A",HCA,0)+Games[[#This Row],[OppRestAdj]])-(Games[[#This Row],[PreGmRate]]+IF(Games[[#This Row],[HomeAway]]="H",HCA,0)+Games[[#This Row],[RestAdj]]))/400))</f>
        <v>0.34122684120599683</v>
      </c>
      <c r="R14" s="1">
        <v>78</v>
      </c>
      <c r="S14" s="1">
        <v>86</v>
      </c>
      <c r="T14" s="1">
        <v>0</v>
      </c>
      <c r="U14" s="1">
        <f>Games[[#This Row],[PointsFor]]-Games[[#This Row],[PointsAgainst]]</f>
        <v>-8</v>
      </c>
      <c r="V14" s="1">
        <f>IF(Games[[#This Row],[MOV]]&gt;0,1,IF(Games[[#This Row],[MOV]]=0,0.5,0))</f>
        <v>0</v>
      </c>
      <c r="W14" s="4">
        <f>((ABS(Games[[#This Row],[MOV]])+5)^0.6)/(12+0.01*(ABS(Games[[#This Row],[PreGmRate]]-Games[[#This Row],[OppPreGmRate]])))*IF(Games[[#This Row],[OT]]=1,0.9,1)</f>
        <v>0.37875910074116426</v>
      </c>
      <c r="X14" s="7" cm="1">
        <f t="array" ref="X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" s="9">
        <f>MAX(kmin, kmax - 0.15 * MIN(Games[[#This Row],[GamesPlayed]], 82))</f>
        <v>75.7</v>
      </c>
      <c r="Z14" s="4">
        <f>Games[[#This Row],[K]]*Games[[#This Row],[POMult]]</f>
        <v>75.7</v>
      </c>
      <c r="AA14" s="4">
        <f>(Games[[#This Row],[Keff]]*Games[[#This Row],[MOVMult]])*(Games[[#This Row],[Result]]-Games[[#This Row],[ExpectedWin%]])</f>
        <v>-9.7836778043616075</v>
      </c>
      <c r="AB14" s="4">
        <f>Games[[#This Row],[PreGmRate]]+Games[[#This Row],[RatingChange]]</f>
        <v>1515.4412039925376</v>
      </c>
      <c r="AC14" s="2">
        <f>IF(Games[[#This Row],[Type]]="R",IF(Games[[#This Row],[Result]]&gt;0.5,1,0),0)</f>
        <v>0</v>
      </c>
      <c r="AD14" s="2">
        <f>IF(Games[[#This Row],[Type]]="R",IF(Games[[#This Row],[Result]]&lt;0.5,1,0),0)</f>
        <v>1</v>
      </c>
      <c r="AE14" s="2">
        <f>IF(AND(Games[[#This Row],[Type]]="P",Games[[#This Row],[Round]]=1),IF(Games[[#This Row],[Result]]&gt;0.5,1,0),0)</f>
        <v>0</v>
      </c>
      <c r="AF14" s="2">
        <f>IF(AND(Games[[#This Row],[Type]]="P",Games[[#This Row],[Round]]=1),IF(Games[[#This Row],[Result]]&lt;0.5,1,0),0)</f>
        <v>0</v>
      </c>
      <c r="AG14" s="2">
        <f>IF(AND(Games[[#This Row],[Type]]="P",Games[[#This Row],[Round]]=2),IF(Games[[#This Row],[Result]]&gt;0.5,1,0),0)</f>
        <v>0</v>
      </c>
      <c r="AH14" s="2">
        <f>IF(AND(Games[[#This Row],[Type]]="P",Games[[#This Row],[Round]]=2),IF(Games[[#This Row],[Result]]&lt;0.5,1,0),0)</f>
        <v>0</v>
      </c>
      <c r="AI14" s="2">
        <f>IF(AND(Games[[#This Row],[Type]]="P",Games[[#This Row],[Round]]=3),IF(Games[[#This Row],[Result]]&gt;0.5,1,0),0)</f>
        <v>0</v>
      </c>
      <c r="AJ14" s="2">
        <f>IF(AND(Games[[#This Row],[Type]]="P",Games[[#This Row],[Round]]=3),IF(Games[[#This Row],[Result]]&lt;0.5,1,0),0)</f>
        <v>0</v>
      </c>
      <c r="AK14" s="2">
        <f>IF(AND(Games[[#This Row],[Type]]="P",Games[[#This Row],[Round]]=4),IF(Games[[#This Row],[Result]]&gt;0.5,1,0),0)</f>
        <v>0</v>
      </c>
      <c r="AL14" s="2">
        <f>IF(AND(Games[[#This Row],[Type]]="P",Games[[#This Row],[Round]]=4),IF(Games[[#This Row],[Result]]&lt;0.5,1,0),0)</f>
        <v>0</v>
      </c>
    </row>
    <row r="15" spans="1:46" x14ac:dyDescent="0.35">
      <c r="A15" s="10">
        <v>44332</v>
      </c>
      <c r="B15" s="2">
        <v>2021</v>
      </c>
      <c r="C15" s="2">
        <f>COUNTIFS(Games[Team],Games[[#This Row],[Team]],Games[Season],Games[[#This Row],[Season]],Games[Date],"&lt;=" &amp; Games[[#This Row],[Date]])</f>
        <v>2</v>
      </c>
      <c r="D15" s="2" t="s">
        <v>79</v>
      </c>
      <c r="E15" s="2" t="s">
        <v>80</v>
      </c>
      <c r="F15" s="1" t="s">
        <v>74</v>
      </c>
      <c r="G15" s="1" t="s">
        <v>40</v>
      </c>
      <c r="H15" s="1" t="s">
        <v>82</v>
      </c>
      <c r="I15" s="2" cm="1">
        <f t="array" ref="I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" s="2" cm="1">
        <f t="array" ref="J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" s="2">
        <f>Games[[#This Row],[DaysOff]]-Games[[#This Row],[OppDaysOff]]</f>
        <v>0</v>
      </c>
      <c r="L15" s="2">
        <f>Games[[#This Row],[OppDaysOff]]-Games[[#This Row],[DaysOff]]</f>
        <v>0</v>
      </c>
      <c r="M15" s="1">
        <f>MAX(-16, MIN(16, Games[[#This Row],[RestDiff]]*8))</f>
        <v>0</v>
      </c>
      <c r="N15" s="1">
        <f>MAX(-16, MIN(16, Games[[#This Row],[OppRestDiff]]*8))</f>
        <v>0</v>
      </c>
      <c r="O15" s="4" cm="1">
        <f t="array" ref="O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1555.5019658109049</v>
      </c>
      <c r="P15" s="4" cm="1">
        <f t="array" ref="P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1525.2248817968991</v>
      </c>
      <c r="Q15" s="4">
        <f>1/(1+10^(((Games[[#This Row],[OppPreGmRate]]+IF(Games[[#This Row],[HomeAway]]="A",HCA,0)+Games[[#This Row],[OppRestAdj]])-(Games[[#This Row],[PreGmRate]]+IF(Games[[#This Row],[HomeAway]]="H",HCA,0)+Games[[#This Row],[RestAdj]]))/400))</f>
        <v>0.65877315879400311</v>
      </c>
      <c r="R15" s="1">
        <v>86</v>
      </c>
      <c r="S15" s="1">
        <v>78</v>
      </c>
      <c r="T15" s="1">
        <v>0</v>
      </c>
      <c r="U15" s="1">
        <f>Games[[#This Row],[PointsFor]]-Games[[#This Row],[PointsAgainst]]</f>
        <v>8</v>
      </c>
      <c r="V15" s="1">
        <f>IF(Games[[#This Row],[MOV]]&gt;0,1,IF(Games[[#This Row],[MOV]]=0,0.5,0))</f>
        <v>1</v>
      </c>
      <c r="W15" s="4">
        <f>((ABS(Games[[#This Row],[MOV]])+5)^0.6)/(12+0.01*(ABS(Games[[#This Row],[PreGmRate]]-Games[[#This Row],[OppPreGmRate]])))*IF(Games[[#This Row],[OT]]=1,0.9,1)</f>
        <v>0.37875910074116426</v>
      </c>
      <c r="X15" s="7" cm="1">
        <f t="array" ref="X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" s="9">
        <f>MAX(kmin, kmax - 0.15 * MIN(Games[[#This Row],[GamesPlayed]], 82))</f>
        <v>75.7</v>
      </c>
      <c r="Z15" s="4">
        <f>Games[[#This Row],[K]]*Games[[#This Row],[POMult]]</f>
        <v>75.7</v>
      </c>
      <c r="AA15" s="4">
        <f>(Games[[#This Row],[Keff]]*Games[[#This Row],[MOVMult]])*(Games[[#This Row],[Result]]-Games[[#This Row],[ExpectedWin%]])</f>
        <v>9.7836778043616093</v>
      </c>
      <c r="AB15" s="4">
        <f>Games[[#This Row],[PreGmRate]]+Games[[#This Row],[RatingChange]]</f>
        <v>1565.2856436152665</v>
      </c>
      <c r="AC15" s="2">
        <f>IF(Games[[#This Row],[Type]]="R",IF(Games[[#This Row],[Result]]&gt;0.5,1,0),0)</f>
        <v>1</v>
      </c>
      <c r="AD15" s="2">
        <f>IF(Games[[#This Row],[Type]]="R",IF(Games[[#This Row],[Result]]&lt;0.5,1,0),0)</f>
        <v>0</v>
      </c>
      <c r="AE15" s="2">
        <f>IF(AND(Games[[#This Row],[Type]]="P",Games[[#This Row],[Round]]=1),IF(Games[[#This Row],[Result]]&gt;0.5,1,0),0)</f>
        <v>0</v>
      </c>
      <c r="AF15" s="2">
        <f>IF(AND(Games[[#This Row],[Type]]="P",Games[[#This Row],[Round]]=1),IF(Games[[#This Row],[Result]]&lt;0.5,1,0),0)</f>
        <v>0</v>
      </c>
      <c r="AG15" s="2">
        <f>IF(AND(Games[[#This Row],[Type]]="P",Games[[#This Row],[Round]]=2),IF(Games[[#This Row],[Result]]&gt;0.5,1,0),0)</f>
        <v>0</v>
      </c>
      <c r="AH15" s="2">
        <f>IF(AND(Games[[#This Row],[Type]]="P",Games[[#This Row],[Round]]=2),IF(Games[[#This Row],[Result]]&lt;0.5,1,0),0)</f>
        <v>0</v>
      </c>
      <c r="AI15" s="2">
        <f>IF(AND(Games[[#This Row],[Type]]="P",Games[[#This Row],[Round]]=3),IF(Games[[#This Row],[Result]]&gt;0.5,1,0),0)</f>
        <v>0</v>
      </c>
      <c r="AJ15" s="2">
        <f>IF(AND(Games[[#This Row],[Type]]="P",Games[[#This Row],[Round]]=3),IF(Games[[#This Row],[Result]]&lt;0.5,1,0),0)</f>
        <v>0</v>
      </c>
      <c r="AK15" s="2">
        <f>IF(AND(Games[[#This Row],[Type]]="P",Games[[#This Row],[Round]]=4),IF(Games[[#This Row],[Result]]&gt;0.5,1,0),0)</f>
        <v>0</v>
      </c>
      <c r="AL15" s="2">
        <f>IF(AND(Games[[#This Row],[Type]]="P",Games[[#This Row],[Round]]=4),IF(Games[[#This Row],[Result]]&lt;0.5,1,0),0)</f>
        <v>0</v>
      </c>
    </row>
    <row r="16" spans="1:46" x14ac:dyDescent="0.35">
      <c r="A16" s="10">
        <v>44332</v>
      </c>
      <c r="B16" s="2">
        <v>2021</v>
      </c>
      <c r="C16" s="2">
        <f>COUNTIFS(Games[Team],Games[[#This Row],[Team]],Games[Season],Games[[#This Row],[Season]],Games[Date],"&lt;=" &amp; Games[[#This Row],[Date]])</f>
        <v>2</v>
      </c>
      <c r="D16" s="2" t="s">
        <v>79</v>
      </c>
      <c r="E16" s="2" t="s">
        <v>80</v>
      </c>
      <c r="F16" s="1" t="s">
        <v>60</v>
      </c>
      <c r="G16" s="1" t="s">
        <v>69</v>
      </c>
      <c r="H16" s="1" t="s">
        <v>81</v>
      </c>
      <c r="I16" s="2" cm="1">
        <f t="array" ref="I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" s="2" cm="1">
        <f t="array" ref="J1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" s="2">
        <f>Games[[#This Row],[DaysOff]]-Games[[#This Row],[OppDaysOff]]</f>
        <v>0</v>
      </c>
      <c r="L16" s="2">
        <f>Games[[#This Row],[OppDaysOff]]-Games[[#This Row],[DaysOff]]</f>
        <v>0</v>
      </c>
      <c r="M16" s="1">
        <f>MAX(-16, MIN(16, Games[[#This Row],[RestDiff]]*8))</f>
        <v>0</v>
      </c>
      <c r="N16" s="1">
        <f>MAX(-16, MIN(16, Games[[#This Row],[OppRestDiff]]*8))</f>
        <v>0</v>
      </c>
      <c r="O16" s="4" cm="1">
        <f t="array" ref="O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1391.3680943388556</v>
      </c>
      <c r="P16" s="4" cm="1">
        <f t="array" ref="P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1423.58665775136</v>
      </c>
      <c r="Q16" s="4">
        <f>1/(1+10^(((Games[[#This Row],[OppPreGmRate]]+IF(Games[[#This Row],[HomeAway]]="A",HCA,0)+Games[[#This Row],[OppRestAdj]])-(Games[[#This Row],[PreGmRate]]+IF(Games[[#This Row],[HomeAway]]="H",HCA,0)+Games[[#This Row],[RestAdj]]))/400))</f>
        <v>0.33871904004526965</v>
      </c>
      <c r="R16" s="1">
        <v>73</v>
      </c>
      <c r="S16" s="1">
        <v>65</v>
      </c>
      <c r="T16" s="1">
        <v>0</v>
      </c>
      <c r="U16" s="1">
        <f>Games[[#This Row],[PointsFor]]-Games[[#This Row],[PointsAgainst]]</f>
        <v>8</v>
      </c>
      <c r="V16" s="1">
        <f>IF(Games[[#This Row],[MOV]]&gt;0,1,IF(Games[[#This Row],[MOV]]=0,0.5,0))</f>
        <v>1</v>
      </c>
      <c r="W16" s="4">
        <f>((ABS(Games[[#This Row],[MOV]])+5)^0.6)/(12+0.01*(ABS(Games[[#This Row],[PreGmRate]]-Games[[#This Row],[OppPreGmRate]])))*IF(Games[[#This Row],[OT]]=1,0.9,1)</f>
        <v>0.37816232918381459</v>
      </c>
      <c r="X16" s="7" cm="1">
        <f t="array" ref="X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" s="9">
        <f>MAX(kmin, kmax - 0.15 * MIN(Games[[#This Row],[GamesPlayed]], 82))</f>
        <v>75.7</v>
      </c>
      <c r="Z16" s="4">
        <f>Games[[#This Row],[K]]*Games[[#This Row],[POMult]]</f>
        <v>75.7</v>
      </c>
      <c r="AA16" s="4">
        <f>(Games[[#This Row],[Keff]]*Games[[#This Row],[MOVMult]])*(Games[[#This Row],[Result]]-Games[[#This Row],[ExpectedWin%]])</f>
        <v>18.930416188247197</v>
      </c>
      <c r="AB16" s="4">
        <f>Games[[#This Row],[PreGmRate]]+Games[[#This Row],[RatingChange]]</f>
        <v>1410.2985105271027</v>
      </c>
      <c r="AC16" s="2">
        <f>IF(Games[[#This Row],[Type]]="R",IF(Games[[#This Row],[Result]]&gt;0.5,1,0),0)</f>
        <v>1</v>
      </c>
      <c r="AD16" s="2">
        <f>IF(Games[[#This Row],[Type]]="R",IF(Games[[#This Row],[Result]]&lt;0.5,1,0),0)</f>
        <v>0</v>
      </c>
      <c r="AE16" s="2">
        <f>IF(AND(Games[[#This Row],[Type]]="P",Games[[#This Row],[Round]]=1),IF(Games[[#This Row],[Result]]&gt;0.5,1,0),0)</f>
        <v>0</v>
      </c>
      <c r="AF16" s="2">
        <f>IF(AND(Games[[#This Row],[Type]]="P",Games[[#This Row],[Round]]=1),IF(Games[[#This Row],[Result]]&lt;0.5,1,0),0)</f>
        <v>0</v>
      </c>
      <c r="AG16" s="2">
        <f>IF(AND(Games[[#This Row],[Type]]="P",Games[[#This Row],[Round]]=2),IF(Games[[#This Row],[Result]]&gt;0.5,1,0),0)</f>
        <v>0</v>
      </c>
      <c r="AH16" s="2">
        <f>IF(AND(Games[[#This Row],[Type]]="P",Games[[#This Row],[Round]]=2),IF(Games[[#This Row],[Result]]&lt;0.5,1,0),0)</f>
        <v>0</v>
      </c>
      <c r="AI16" s="2">
        <f>IF(AND(Games[[#This Row],[Type]]="P",Games[[#This Row],[Round]]=3),IF(Games[[#This Row],[Result]]&gt;0.5,1,0),0)</f>
        <v>0</v>
      </c>
      <c r="AJ16" s="2">
        <f>IF(AND(Games[[#This Row],[Type]]="P",Games[[#This Row],[Round]]=3),IF(Games[[#This Row],[Result]]&lt;0.5,1,0),0)</f>
        <v>0</v>
      </c>
      <c r="AK16" s="2">
        <f>IF(AND(Games[[#This Row],[Type]]="P",Games[[#This Row],[Round]]=4),IF(Games[[#This Row],[Result]]&gt;0.5,1,0),0)</f>
        <v>0</v>
      </c>
      <c r="AL16" s="2">
        <f>IF(AND(Games[[#This Row],[Type]]="P",Games[[#This Row],[Round]]=4),IF(Games[[#This Row],[Result]]&lt;0.5,1,0),0)</f>
        <v>0</v>
      </c>
    </row>
    <row r="17" spans="1:38" x14ac:dyDescent="0.35">
      <c r="A17" s="10">
        <v>44332</v>
      </c>
      <c r="B17" s="2">
        <v>2021</v>
      </c>
      <c r="C17" s="2">
        <f>COUNTIFS(Games[Team],Games[[#This Row],[Team]],Games[Season],Games[[#This Row],[Season]],Games[Date],"&lt;=" &amp; Games[[#This Row],[Date]])</f>
        <v>2</v>
      </c>
      <c r="D17" s="2" t="s">
        <v>79</v>
      </c>
      <c r="E17" s="2" t="s">
        <v>80</v>
      </c>
      <c r="F17" s="1" t="s">
        <v>69</v>
      </c>
      <c r="G17" s="1" t="s">
        <v>60</v>
      </c>
      <c r="H17" s="1" t="s">
        <v>82</v>
      </c>
      <c r="I17" s="2" cm="1">
        <f t="array" ref="I1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" s="2" cm="1">
        <f t="array" ref="J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" s="2">
        <f>Games[[#This Row],[DaysOff]]-Games[[#This Row],[OppDaysOff]]</f>
        <v>0</v>
      </c>
      <c r="L17" s="2">
        <f>Games[[#This Row],[OppDaysOff]]-Games[[#This Row],[DaysOff]]</f>
        <v>0</v>
      </c>
      <c r="M17" s="1">
        <f>MAX(-16, MIN(16, Games[[#This Row],[RestDiff]]*8))</f>
        <v>0</v>
      </c>
      <c r="N17" s="1">
        <f>MAX(-16, MIN(16, Games[[#This Row],[OppRestDiff]]*8))</f>
        <v>0</v>
      </c>
      <c r="O17" s="4" cm="1">
        <f t="array" ref="O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1423.58665775136</v>
      </c>
      <c r="P17" s="4" cm="1">
        <f t="array" ref="P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1391.3680943388556</v>
      </c>
      <c r="Q17" s="4">
        <f>1/(1+10^(((Games[[#This Row],[OppPreGmRate]]+IF(Games[[#This Row],[HomeAway]]="A",HCA,0)+Games[[#This Row],[OppRestAdj]])-(Games[[#This Row],[PreGmRate]]+IF(Games[[#This Row],[HomeAway]]="H",HCA,0)+Games[[#This Row],[RestAdj]]))/400))</f>
        <v>0.66128095995473035</v>
      </c>
      <c r="R17" s="1">
        <v>65</v>
      </c>
      <c r="S17" s="1">
        <v>73</v>
      </c>
      <c r="T17" s="1">
        <v>0</v>
      </c>
      <c r="U17" s="1">
        <f>Games[[#This Row],[PointsFor]]-Games[[#This Row],[PointsAgainst]]</f>
        <v>-8</v>
      </c>
      <c r="V17" s="1">
        <f>IF(Games[[#This Row],[MOV]]&gt;0,1,IF(Games[[#This Row],[MOV]]=0,0.5,0))</f>
        <v>0</v>
      </c>
      <c r="W17" s="4">
        <f>((ABS(Games[[#This Row],[MOV]])+5)^0.6)/(12+0.01*(ABS(Games[[#This Row],[PreGmRate]]-Games[[#This Row],[OppPreGmRate]])))*IF(Games[[#This Row],[OT]]=1,0.9,1)</f>
        <v>0.37816232918381459</v>
      </c>
      <c r="X17" s="7" cm="1">
        <f t="array" ref="X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" s="9">
        <f>MAX(kmin, kmax - 0.15 * MIN(Games[[#This Row],[GamesPlayed]], 82))</f>
        <v>75.7</v>
      </c>
      <c r="Z17" s="4">
        <f>Games[[#This Row],[K]]*Games[[#This Row],[POMult]]</f>
        <v>75.7</v>
      </c>
      <c r="AA17" s="4">
        <f>(Games[[#This Row],[Keff]]*Games[[#This Row],[MOVMult]])*(Games[[#This Row],[Result]]-Games[[#This Row],[ExpectedWin%]])</f>
        <v>-18.930416188247197</v>
      </c>
      <c r="AB17" s="4">
        <f>Games[[#This Row],[PreGmRate]]+Games[[#This Row],[RatingChange]]</f>
        <v>1404.6562415631129</v>
      </c>
      <c r="AC17" s="2">
        <f>IF(Games[[#This Row],[Type]]="R",IF(Games[[#This Row],[Result]]&gt;0.5,1,0),0)</f>
        <v>0</v>
      </c>
      <c r="AD17" s="2">
        <f>IF(Games[[#This Row],[Type]]="R",IF(Games[[#This Row],[Result]]&lt;0.5,1,0),0)</f>
        <v>1</v>
      </c>
      <c r="AE17" s="2">
        <f>IF(AND(Games[[#This Row],[Type]]="P",Games[[#This Row],[Round]]=1),IF(Games[[#This Row],[Result]]&gt;0.5,1,0),0)</f>
        <v>0</v>
      </c>
      <c r="AF17" s="2">
        <f>IF(AND(Games[[#This Row],[Type]]="P",Games[[#This Row],[Round]]=1),IF(Games[[#This Row],[Result]]&lt;0.5,1,0),0)</f>
        <v>0</v>
      </c>
      <c r="AG17" s="2">
        <f>IF(AND(Games[[#This Row],[Type]]="P",Games[[#This Row],[Round]]=2),IF(Games[[#This Row],[Result]]&gt;0.5,1,0),0)</f>
        <v>0</v>
      </c>
      <c r="AH17" s="2">
        <f>IF(AND(Games[[#This Row],[Type]]="P",Games[[#This Row],[Round]]=2),IF(Games[[#This Row],[Result]]&lt;0.5,1,0),0)</f>
        <v>0</v>
      </c>
      <c r="AI17" s="2">
        <f>IF(AND(Games[[#This Row],[Type]]="P",Games[[#This Row],[Round]]=3),IF(Games[[#This Row],[Result]]&gt;0.5,1,0),0)</f>
        <v>0</v>
      </c>
      <c r="AJ17" s="2">
        <f>IF(AND(Games[[#This Row],[Type]]="P",Games[[#This Row],[Round]]=3),IF(Games[[#This Row],[Result]]&lt;0.5,1,0),0)</f>
        <v>0</v>
      </c>
      <c r="AK17" s="2">
        <f>IF(AND(Games[[#This Row],[Type]]="P",Games[[#This Row],[Round]]=4),IF(Games[[#This Row],[Result]]&gt;0.5,1,0),0)</f>
        <v>0</v>
      </c>
      <c r="AL17" s="2">
        <f>IF(AND(Games[[#This Row],[Type]]="P",Games[[#This Row],[Round]]=4),IF(Games[[#This Row],[Result]]&lt;0.5,1,0),0)</f>
        <v>0</v>
      </c>
    </row>
    <row r="18" spans="1:38" x14ac:dyDescent="0.35">
      <c r="A18" s="10">
        <v>44334</v>
      </c>
      <c r="B18" s="2">
        <v>2021</v>
      </c>
      <c r="C18" s="2">
        <f>COUNTIFS(Games[Team],Games[[#This Row],[Team]],Games[Season],Games[[#This Row],[Season]],Games[Date],"&lt;=" &amp; Games[[#This Row],[Date]])</f>
        <v>2</v>
      </c>
      <c r="D18" s="2" t="s">
        <v>79</v>
      </c>
      <c r="E18" s="2" t="s">
        <v>80</v>
      </c>
      <c r="F18" s="1" t="s">
        <v>67</v>
      </c>
      <c r="G18" s="1" t="s">
        <v>60</v>
      </c>
      <c r="H18" s="1" t="s">
        <v>81</v>
      </c>
      <c r="I18" s="2" cm="1">
        <f t="array" ref="I1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" s="2" cm="1">
        <f t="array" ref="J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" s="2">
        <f>Games[[#This Row],[DaysOff]]-Games[[#This Row],[OppDaysOff]]</f>
        <v>2</v>
      </c>
      <c r="L18" s="2">
        <f>Games[[#This Row],[OppDaysOff]]-Games[[#This Row],[DaysOff]]</f>
        <v>-2</v>
      </c>
      <c r="M18" s="1">
        <f>MAX(-16, MIN(16, Games[[#This Row],[RestDiff]]*8))</f>
        <v>16</v>
      </c>
      <c r="N18" s="1">
        <f>MAX(-16, MIN(16, Games[[#This Row],[OppRestDiff]]*8))</f>
        <v>-16</v>
      </c>
      <c r="O18" s="4" cm="1">
        <f t="array" ref="O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1505.6282493188476</v>
      </c>
      <c r="P18" s="4" cm="1">
        <f t="array" ref="P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1410.2985105271027</v>
      </c>
      <c r="Q18" s="4">
        <f>1/(1+10^(((Games[[#This Row],[OppPreGmRate]]+IF(Games[[#This Row],[HomeAway]]="A",HCA,0)+Games[[#This Row],[OppRestAdj]])-(Games[[#This Row],[PreGmRate]]+IF(Games[[#This Row],[HomeAway]]="H",HCA,0)+Games[[#This Row],[RestAdj]]))/400))</f>
        <v>0.56203522142231011</v>
      </c>
      <c r="R18" s="1">
        <v>75</v>
      </c>
      <c r="S18" s="1">
        <v>86</v>
      </c>
      <c r="T18" s="1">
        <v>0</v>
      </c>
      <c r="U18" s="1">
        <f>Games[[#This Row],[PointsFor]]-Games[[#This Row],[PointsAgainst]]</f>
        <v>-11</v>
      </c>
      <c r="V18" s="1">
        <f>IF(Games[[#This Row],[MOV]]&gt;0,1,IF(Games[[#This Row],[MOV]]=0,0.5,0))</f>
        <v>0</v>
      </c>
      <c r="W18" s="4">
        <f>((ABS(Games[[#This Row],[MOV]])+5)^0.6)/(12+0.01*(ABS(Games[[#This Row],[PreGmRate]]-Games[[#This Row],[OppPreGmRate]])))*IF(Games[[#This Row],[OT]]=1,0.9,1)</f>
        <v>0.40746626013657411</v>
      </c>
      <c r="X18" s="7" cm="1">
        <f t="array" ref="X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" s="9">
        <f>MAX(kmin, kmax - 0.15 * MIN(Games[[#This Row],[GamesPlayed]], 82))</f>
        <v>75.7</v>
      </c>
      <c r="Z18" s="4">
        <f>Games[[#This Row],[K]]*Games[[#This Row],[POMult]]</f>
        <v>75.7</v>
      </c>
      <c r="AA18" s="4">
        <f>(Games[[#This Row],[Keff]]*Games[[#This Row],[MOVMult]])*(Games[[#This Row],[Result]]-Games[[#This Row],[ExpectedWin%]])</f>
        <v>-17.336086503165092</v>
      </c>
      <c r="AB18" s="4">
        <f>Games[[#This Row],[PreGmRate]]+Games[[#This Row],[RatingChange]]</f>
        <v>1488.2921628156826</v>
      </c>
      <c r="AC18" s="2">
        <f>IF(Games[[#This Row],[Type]]="R",IF(Games[[#This Row],[Result]]&gt;0.5,1,0),0)</f>
        <v>0</v>
      </c>
      <c r="AD18" s="2">
        <f>IF(Games[[#This Row],[Type]]="R",IF(Games[[#This Row],[Result]]&lt;0.5,1,0),0)</f>
        <v>1</v>
      </c>
      <c r="AE18" s="2">
        <f>IF(AND(Games[[#This Row],[Type]]="P",Games[[#This Row],[Round]]=1),IF(Games[[#This Row],[Result]]&gt;0.5,1,0),0)</f>
        <v>0</v>
      </c>
      <c r="AF18" s="2">
        <f>IF(AND(Games[[#This Row],[Type]]="P",Games[[#This Row],[Round]]=1),IF(Games[[#This Row],[Result]]&lt;0.5,1,0),0)</f>
        <v>0</v>
      </c>
      <c r="AG18" s="2">
        <f>IF(AND(Games[[#This Row],[Type]]="P",Games[[#This Row],[Round]]=2),IF(Games[[#This Row],[Result]]&gt;0.5,1,0),0)</f>
        <v>0</v>
      </c>
      <c r="AH18" s="2">
        <f>IF(AND(Games[[#This Row],[Type]]="P",Games[[#This Row],[Round]]=2),IF(Games[[#This Row],[Result]]&lt;0.5,1,0),0)</f>
        <v>0</v>
      </c>
      <c r="AI18" s="2">
        <f>IF(AND(Games[[#This Row],[Type]]="P",Games[[#This Row],[Round]]=3),IF(Games[[#This Row],[Result]]&gt;0.5,1,0),0)</f>
        <v>0</v>
      </c>
      <c r="AJ18" s="2">
        <f>IF(AND(Games[[#This Row],[Type]]="P",Games[[#This Row],[Round]]=3),IF(Games[[#This Row],[Result]]&lt;0.5,1,0),0)</f>
        <v>0</v>
      </c>
      <c r="AK18" s="2">
        <f>IF(AND(Games[[#This Row],[Type]]="P",Games[[#This Row],[Round]]=4),IF(Games[[#This Row],[Result]]&gt;0.5,1,0),0)</f>
        <v>0</v>
      </c>
      <c r="AL18" s="2">
        <f>IF(AND(Games[[#This Row],[Type]]="P",Games[[#This Row],[Round]]=4),IF(Games[[#This Row],[Result]]&lt;0.5,1,0),0)</f>
        <v>0</v>
      </c>
    </row>
    <row r="19" spans="1:38" x14ac:dyDescent="0.35">
      <c r="A19" s="10">
        <v>44334</v>
      </c>
      <c r="B19" s="2">
        <v>2021</v>
      </c>
      <c r="C19" s="2">
        <f>COUNTIFS(Games[Team],Games[[#This Row],[Team]],Games[Season],Games[[#This Row],[Season]],Games[Date],"&lt;=" &amp; Games[[#This Row],[Date]])</f>
        <v>3</v>
      </c>
      <c r="D19" s="2" t="s">
        <v>79</v>
      </c>
      <c r="E19" s="2" t="s">
        <v>80</v>
      </c>
      <c r="F19" s="1" t="s">
        <v>60</v>
      </c>
      <c r="G19" s="1" t="s">
        <v>67</v>
      </c>
      <c r="H19" s="1" t="s">
        <v>82</v>
      </c>
      <c r="I19" s="2" cm="1">
        <f t="array" ref="I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" s="2" cm="1">
        <f t="array" ref="J1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9" s="2">
        <f>Games[[#This Row],[DaysOff]]-Games[[#This Row],[OppDaysOff]]</f>
        <v>-2</v>
      </c>
      <c r="L19" s="2">
        <f>Games[[#This Row],[OppDaysOff]]-Games[[#This Row],[DaysOff]]</f>
        <v>2</v>
      </c>
      <c r="M19" s="1">
        <f>MAX(-16, MIN(16, Games[[#This Row],[RestDiff]]*8))</f>
        <v>-16</v>
      </c>
      <c r="N19" s="1">
        <f>MAX(-16, MIN(16, Games[[#This Row],[OppRestDiff]]*8))</f>
        <v>16</v>
      </c>
      <c r="O19" s="4" cm="1">
        <f t="array" ref="O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1410.2985105271027</v>
      </c>
      <c r="P19" s="4" cm="1">
        <f t="array" ref="P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1505.6282493188476</v>
      </c>
      <c r="Q19" s="4">
        <f>1/(1+10^(((Games[[#This Row],[OppPreGmRate]]+IF(Games[[#This Row],[HomeAway]]="A",HCA,0)+Games[[#This Row],[OppRestAdj]])-(Games[[#This Row],[PreGmRate]]+IF(Games[[#This Row],[HomeAway]]="H",HCA,0)+Games[[#This Row],[RestAdj]]))/400))</f>
        <v>0.43796477857768995</v>
      </c>
      <c r="R19" s="1">
        <v>86</v>
      </c>
      <c r="S19" s="1">
        <v>75</v>
      </c>
      <c r="T19" s="1">
        <v>0</v>
      </c>
      <c r="U19" s="1">
        <f>Games[[#This Row],[PointsFor]]-Games[[#This Row],[PointsAgainst]]</f>
        <v>11</v>
      </c>
      <c r="V19" s="1">
        <f>IF(Games[[#This Row],[MOV]]&gt;0,1,IF(Games[[#This Row],[MOV]]=0,0.5,0))</f>
        <v>1</v>
      </c>
      <c r="W19" s="4">
        <f>((ABS(Games[[#This Row],[MOV]])+5)^0.6)/(12+0.01*(ABS(Games[[#This Row],[PreGmRate]]-Games[[#This Row],[OppPreGmRate]])))*IF(Games[[#This Row],[OT]]=1,0.9,1)</f>
        <v>0.40746626013657411</v>
      </c>
      <c r="X19" s="7" cm="1">
        <f t="array" ref="X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" s="9">
        <f>MAX(kmin, kmax - 0.15 * MIN(Games[[#This Row],[GamesPlayed]], 82))</f>
        <v>75.55</v>
      </c>
      <c r="Z19" s="4">
        <f>Games[[#This Row],[K]]*Games[[#This Row],[POMult]]</f>
        <v>75.55</v>
      </c>
      <c r="AA19" s="4">
        <f>(Games[[#This Row],[Keff]]*Games[[#This Row],[MOVMult]])*(Games[[#This Row],[Result]]-Games[[#This Row],[ExpectedWin%]])</f>
        <v>17.301734944704393</v>
      </c>
      <c r="AB19" s="4">
        <f>Games[[#This Row],[PreGmRate]]+Games[[#This Row],[RatingChange]]</f>
        <v>1427.6002454718071</v>
      </c>
      <c r="AC19" s="2">
        <f>IF(Games[[#This Row],[Type]]="R",IF(Games[[#This Row],[Result]]&gt;0.5,1,0),0)</f>
        <v>1</v>
      </c>
      <c r="AD19" s="2">
        <f>IF(Games[[#This Row],[Type]]="R",IF(Games[[#This Row],[Result]]&lt;0.5,1,0),0)</f>
        <v>0</v>
      </c>
      <c r="AE19" s="2">
        <f>IF(AND(Games[[#This Row],[Type]]="P",Games[[#This Row],[Round]]=1),IF(Games[[#This Row],[Result]]&gt;0.5,1,0),0)</f>
        <v>0</v>
      </c>
      <c r="AF19" s="2">
        <f>IF(AND(Games[[#This Row],[Type]]="P",Games[[#This Row],[Round]]=1),IF(Games[[#This Row],[Result]]&lt;0.5,1,0),0)</f>
        <v>0</v>
      </c>
      <c r="AG19" s="2">
        <f>IF(AND(Games[[#This Row],[Type]]="P",Games[[#This Row],[Round]]=2),IF(Games[[#This Row],[Result]]&gt;0.5,1,0),0)</f>
        <v>0</v>
      </c>
      <c r="AH19" s="2">
        <f>IF(AND(Games[[#This Row],[Type]]="P",Games[[#This Row],[Round]]=2),IF(Games[[#This Row],[Result]]&lt;0.5,1,0),0)</f>
        <v>0</v>
      </c>
      <c r="AI19" s="2">
        <f>IF(AND(Games[[#This Row],[Type]]="P",Games[[#This Row],[Round]]=3),IF(Games[[#This Row],[Result]]&gt;0.5,1,0),0)</f>
        <v>0</v>
      </c>
      <c r="AJ19" s="2">
        <f>IF(AND(Games[[#This Row],[Type]]="P",Games[[#This Row],[Round]]=3),IF(Games[[#This Row],[Result]]&lt;0.5,1,0),0)</f>
        <v>0</v>
      </c>
      <c r="AK19" s="2">
        <f>IF(AND(Games[[#This Row],[Type]]="P",Games[[#This Row],[Round]]=4),IF(Games[[#This Row],[Result]]&gt;0.5,1,0),0)</f>
        <v>0</v>
      </c>
      <c r="AL19" s="2">
        <f>IF(AND(Games[[#This Row],[Type]]="P",Games[[#This Row],[Round]]=4),IF(Games[[#This Row],[Result]]&lt;0.5,1,0),0)</f>
        <v>0</v>
      </c>
    </row>
    <row r="20" spans="1:38" x14ac:dyDescent="0.35">
      <c r="A20" s="10">
        <v>44334</v>
      </c>
      <c r="B20" s="2">
        <v>2021</v>
      </c>
      <c r="C20" s="2">
        <f>COUNTIFS(Games[Team],Games[[#This Row],[Team]],Games[Season],Games[[#This Row],[Season]],Games[Date],"&lt;=" &amp; Games[[#This Row],[Date]])</f>
        <v>2</v>
      </c>
      <c r="D20" s="2" t="s">
        <v>79</v>
      </c>
      <c r="E20" s="2" t="s">
        <v>80</v>
      </c>
      <c r="F20" s="1" t="s">
        <v>85</v>
      </c>
      <c r="G20" s="1" t="s">
        <v>71</v>
      </c>
      <c r="H20" s="1" t="s">
        <v>81</v>
      </c>
      <c r="I20" s="2" cm="1">
        <f t="array" ref="I2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" s="2" cm="1">
        <f t="array" ref="J2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" s="2">
        <f>Games[[#This Row],[DaysOff]]-Games[[#This Row],[OppDaysOff]]</f>
        <v>0</v>
      </c>
      <c r="L20" s="2">
        <f>Games[[#This Row],[OppDaysOff]]-Games[[#This Row],[DaysOff]]</f>
        <v>0</v>
      </c>
      <c r="M20" s="1">
        <f>MAX(-16, MIN(16, Games[[#This Row],[RestDiff]]*8))</f>
        <v>0</v>
      </c>
      <c r="N20" s="1">
        <f>MAX(-16, MIN(16, Games[[#This Row],[OppRestDiff]]*8))</f>
        <v>0</v>
      </c>
      <c r="O20" s="4" cm="1">
        <f t="array" ref="O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1543.1492974315895</v>
      </c>
      <c r="P20" s="4" cm="1">
        <f t="array" ref="P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1640.1218970841053</v>
      </c>
      <c r="Q20" s="4">
        <f>1/(1+10^(((Games[[#This Row],[OppPreGmRate]]+IF(Games[[#This Row],[HomeAway]]="A",HCA,0)+Games[[#This Row],[OppRestAdj]])-(Games[[#This Row],[PreGmRate]]+IF(Games[[#This Row],[HomeAway]]="H",HCA,0)+Games[[#This Row],[RestAdj]]))/400))</f>
        <v>0.26081015302004668</v>
      </c>
      <c r="R20" s="1">
        <v>96</v>
      </c>
      <c r="S20" s="1">
        <v>80</v>
      </c>
      <c r="T20" s="1">
        <v>0</v>
      </c>
      <c r="U20" s="1">
        <f>Games[[#This Row],[PointsFor]]-Games[[#This Row],[PointsAgainst]]</f>
        <v>16</v>
      </c>
      <c r="V20" s="1">
        <f>IF(Games[[#This Row],[MOV]]&gt;0,1,IF(Games[[#This Row],[MOV]]=0,0.5,0))</f>
        <v>1</v>
      </c>
      <c r="W20" s="4">
        <f>((ABS(Games[[#This Row],[MOV]])+5)^0.6)/(12+0.01*(ABS(Games[[#This Row],[PreGmRate]]-Games[[#This Row],[OppPreGmRate]])))*IF(Games[[#This Row],[OT]]=1,0.9,1)</f>
        <v>0.47907198571700299</v>
      </c>
      <c r="X20" s="7" cm="1">
        <f t="array" ref="X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" s="9">
        <f>MAX(kmin, kmax - 0.15 * MIN(Games[[#This Row],[GamesPlayed]], 82))</f>
        <v>75.7</v>
      </c>
      <c r="Z20" s="4">
        <f>Games[[#This Row],[K]]*Games[[#This Row],[POMult]]</f>
        <v>75.7</v>
      </c>
      <c r="AA20" s="4">
        <f>(Games[[#This Row],[Keff]]*Games[[#This Row],[MOVMult]])*(Games[[#This Row],[Result]]-Games[[#This Row],[ExpectedWin%]])</f>
        <v>26.807273689560212</v>
      </c>
      <c r="AB20" s="4">
        <f>Games[[#This Row],[PreGmRate]]+Games[[#This Row],[RatingChange]]</f>
        <v>1569.9565711211496</v>
      </c>
      <c r="AC20" s="2">
        <f>IF(Games[[#This Row],[Type]]="R",IF(Games[[#This Row],[Result]]&gt;0.5,1,0),0)</f>
        <v>1</v>
      </c>
      <c r="AD20" s="2">
        <f>IF(Games[[#This Row],[Type]]="R",IF(Games[[#This Row],[Result]]&lt;0.5,1,0),0)</f>
        <v>0</v>
      </c>
      <c r="AE20" s="2">
        <f>IF(AND(Games[[#This Row],[Type]]="P",Games[[#This Row],[Round]]=1),IF(Games[[#This Row],[Result]]&gt;0.5,1,0),0)</f>
        <v>0</v>
      </c>
      <c r="AF20" s="2">
        <f>IF(AND(Games[[#This Row],[Type]]="P",Games[[#This Row],[Round]]=1),IF(Games[[#This Row],[Result]]&lt;0.5,1,0),0)</f>
        <v>0</v>
      </c>
      <c r="AG20" s="2">
        <f>IF(AND(Games[[#This Row],[Type]]="P",Games[[#This Row],[Round]]=2),IF(Games[[#This Row],[Result]]&gt;0.5,1,0),0)</f>
        <v>0</v>
      </c>
      <c r="AH20" s="2">
        <f>IF(AND(Games[[#This Row],[Type]]="P",Games[[#This Row],[Round]]=2),IF(Games[[#This Row],[Result]]&lt;0.5,1,0),0)</f>
        <v>0</v>
      </c>
      <c r="AI20" s="2">
        <f>IF(AND(Games[[#This Row],[Type]]="P",Games[[#This Row],[Round]]=3),IF(Games[[#This Row],[Result]]&gt;0.5,1,0),0)</f>
        <v>0</v>
      </c>
      <c r="AJ20" s="2">
        <f>IF(AND(Games[[#This Row],[Type]]="P",Games[[#This Row],[Round]]=3),IF(Games[[#This Row],[Result]]&lt;0.5,1,0),0)</f>
        <v>0</v>
      </c>
      <c r="AK20" s="2">
        <f>IF(AND(Games[[#This Row],[Type]]="P",Games[[#This Row],[Round]]=4),IF(Games[[#This Row],[Result]]&gt;0.5,1,0),0)</f>
        <v>0</v>
      </c>
      <c r="AL20" s="2">
        <f>IF(AND(Games[[#This Row],[Type]]="P",Games[[#This Row],[Round]]=4),IF(Games[[#This Row],[Result]]&lt;0.5,1,0),0)</f>
        <v>0</v>
      </c>
    </row>
    <row r="21" spans="1:38" x14ac:dyDescent="0.35">
      <c r="A21" s="10">
        <v>44334</v>
      </c>
      <c r="B21" s="2">
        <v>2021</v>
      </c>
      <c r="C21" s="2">
        <f>COUNTIFS(Games[Team],Games[[#This Row],[Team]],Games[Season],Games[[#This Row],[Season]],Games[Date],"&lt;=" &amp; Games[[#This Row],[Date]])</f>
        <v>2</v>
      </c>
      <c r="D21" s="2" t="s">
        <v>79</v>
      </c>
      <c r="E21" s="2" t="s">
        <v>80</v>
      </c>
      <c r="F21" s="1" t="s">
        <v>71</v>
      </c>
      <c r="G21" s="1" t="s">
        <v>85</v>
      </c>
      <c r="H21" s="1" t="s">
        <v>82</v>
      </c>
      <c r="I21" s="2" cm="1">
        <f t="array" ref="I21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" s="2" cm="1">
        <f t="array" ref="J2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" s="2">
        <f>Games[[#This Row],[DaysOff]]-Games[[#This Row],[OppDaysOff]]</f>
        <v>0</v>
      </c>
      <c r="L21" s="2">
        <f>Games[[#This Row],[OppDaysOff]]-Games[[#This Row],[DaysOff]]</f>
        <v>0</v>
      </c>
      <c r="M21" s="1">
        <f>MAX(-16, MIN(16, Games[[#This Row],[RestDiff]]*8))</f>
        <v>0</v>
      </c>
      <c r="N21" s="1">
        <f>MAX(-16, MIN(16, Games[[#This Row],[OppRestDiff]]*8))</f>
        <v>0</v>
      </c>
      <c r="O21" s="4" cm="1">
        <f t="array" ref="O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1640.1218970841053</v>
      </c>
      <c r="P21" s="4" cm="1">
        <f t="array" ref="P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1543.1492974315895</v>
      </c>
      <c r="Q21" s="4">
        <f>1/(1+10^(((Games[[#This Row],[OppPreGmRate]]+IF(Games[[#This Row],[HomeAway]]="A",HCA,0)+Games[[#This Row],[OppRestAdj]])-(Games[[#This Row],[PreGmRate]]+IF(Games[[#This Row],[HomeAway]]="H",HCA,0)+Games[[#This Row],[RestAdj]]))/400))</f>
        <v>0.73918984697995338</v>
      </c>
      <c r="R21" s="1">
        <v>80</v>
      </c>
      <c r="S21" s="1">
        <v>96</v>
      </c>
      <c r="T21" s="1">
        <v>0</v>
      </c>
      <c r="U21" s="1">
        <f>Games[[#This Row],[PointsFor]]-Games[[#This Row],[PointsAgainst]]</f>
        <v>-16</v>
      </c>
      <c r="V21" s="1">
        <f>IF(Games[[#This Row],[MOV]]&gt;0,1,IF(Games[[#This Row],[MOV]]=0,0.5,0))</f>
        <v>0</v>
      </c>
      <c r="W21" s="4">
        <f>((ABS(Games[[#This Row],[MOV]])+5)^0.6)/(12+0.01*(ABS(Games[[#This Row],[PreGmRate]]-Games[[#This Row],[OppPreGmRate]])))*IF(Games[[#This Row],[OT]]=1,0.9,1)</f>
        <v>0.47907198571700299</v>
      </c>
      <c r="X21" s="7" cm="1">
        <f t="array" ref="X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" s="9">
        <f>MAX(kmin, kmax - 0.15 * MIN(Games[[#This Row],[GamesPlayed]], 82))</f>
        <v>75.7</v>
      </c>
      <c r="Z21" s="4">
        <f>Games[[#This Row],[K]]*Games[[#This Row],[POMult]]</f>
        <v>75.7</v>
      </c>
      <c r="AA21" s="4">
        <f>(Games[[#This Row],[Keff]]*Games[[#This Row],[MOVMult]])*(Games[[#This Row],[Result]]-Games[[#This Row],[ExpectedWin%]])</f>
        <v>-26.807273689560212</v>
      </c>
      <c r="AB21" s="4">
        <f>Games[[#This Row],[PreGmRate]]+Games[[#This Row],[RatingChange]]</f>
        <v>1613.3146233945452</v>
      </c>
      <c r="AC21" s="2">
        <f>IF(Games[[#This Row],[Type]]="R",IF(Games[[#This Row],[Result]]&gt;0.5,1,0),0)</f>
        <v>0</v>
      </c>
      <c r="AD21" s="2">
        <f>IF(Games[[#This Row],[Type]]="R",IF(Games[[#This Row],[Result]]&lt;0.5,1,0),0)</f>
        <v>1</v>
      </c>
      <c r="AE21" s="2">
        <f>IF(AND(Games[[#This Row],[Type]]="P",Games[[#This Row],[Round]]=1),IF(Games[[#This Row],[Result]]&gt;0.5,1,0),0)</f>
        <v>0</v>
      </c>
      <c r="AF21" s="2">
        <f>IF(AND(Games[[#This Row],[Type]]="P",Games[[#This Row],[Round]]=1),IF(Games[[#This Row],[Result]]&lt;0.5,1,0),0)</f>
        <v>0</v>
      </c>
      <c r="AG21" s="2">
        <f>IF(AND(Games[[#This Row],[Type]]="P",Games[[#This Row],[Round]]=2),IF(Games[[#This Row],[Result]]&gt;0.5,1,0),0)</f>
        <v>0</v>
      </c>
      <c r="AH21" s="2">
        <f>IF(AND(Games[[#This Row],[Type]]="P",Games[[#This Row],[Round]]=2),IF(Games[[#This Row],[Result]]&lt;0.5,1,0),0)</f>
        <v>0</v>
      </c>
      <c r="AI21" s="2">
        <f>IF(AND(Games[[#This Row],[Type]]="P",Games[[#This Row],[Round]]=3),IF(Games[[#This Row],[Result]]&gt;0.5,1,0),0)</f>
        <v>0</v>
      </c>
      <c r="AJ21" s="2">
        <f>IF(AND(Games[[#This Row],[Type]]="P",Games[[#This Row],[Round]]=3),IF(Games[[#This Row],[Result]]&lt;0.5,1,0),0)</f>
        <v>0</v>
      </c>
      <c r="AK21" s="2">
        <f>IF(AND(Games[[#This Row],[Type]]="P",Games[[#This Row],[Round]]=4),IF(Games[[#This Row],[Result]]&gt;0.5,1,0),0)</f>
        <v>0</v>
      </c>
      <c r="AL21" s="2">
        <f>IF(AND(Games[[#This Row],[Type]]="P",Games[[#This Row],[Round]]=4),IF(Games[[#This Row],[Result]]&lt;0.5,1,0),0)</f>
        <v>0</v>
      </c>
    </row>
    <row r="22" spans="1:38" x14ac:dyDescent="0.35">
      <c r="A22" s="10">
        <v>44334</v>
      </c>
      <c r="B22" s="2">
        <v>2021</v>
      </c>
      <c r="C22" s="2">
        <f>COUNTIFS(Games[Team],Games[[#This Row],[Team]],Games[Season],Games[[#This Row],[Season]],Games[Date],"&lt;=" &amp; Games[[#This Row],[Date]])</f>
        <v>3</v>
      </c>
      <c r="D22" s="2" t="s">
        <v>79</v>
      </c>
      <c r="E22" s="2" t="s">
        <v>80</v>
      </c>
      <c r="F22" s="1" t="s">
        <v>40</v>
      </c>
      <c r="G22" s="1" t="s">
        <v>65</v>
      </c>
      <c r="H22" s="1" t="s">
        <v>81</v>
      </c>
      <c r="I22" s="2" cm="1">
        <f t="array" ref="I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" s="2" cm="1">
        <f t="array" ref="J2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2" s="2">
        <f>Games[[#This Row],[DaysOff]]-Games[[#This Row],[OppDaysOff]]</f>
        <v>-1</v>
      </c>
      <c r="L22" s="2">
        <f>Games[[#This Row],[OppDaysOff]]-Games[[#This Row],[DaysOff]]</f>
        <v>1</v>
      </c>
      <c r="M22" s="1">
        <f>MAX(-16, MIN(16, Games[[#This Row],[RestDiff]]*8))</f>
        <v>-8</v>
      </c>
      <c r="N22" s="1">
        <f>MAX(-16, MIN(16, Games[[#This Row],[OppRestDiff]]*8))</f>
        <v>8</v>
      </c>
      <c r="O22" s="4" cm="1">
        <f t="array" ref="O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1515.4412039925376</v>
      </c>
      <c r="P22" s="4" cm="1">
        <f t="array" ref="P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1477.2381312524185</v>
      </c>
      <c r="Q22" s="4">
        <f>1/(1+10^(((Games[[#This Row],[OppPreGmRate]]+IF(Games[[#This Row],[HomeAway]]="A",HCA,0)+Games[[#This Row],[OppRestAdj]])-(Games[[#This Row],[PreGmRate]]+IF(Games[[#This Row],[HomeAway]]="H",HCA,0)+Games[[#This Row],[RestAdj]]))/400))</f>
        <v>0.41199319015114522</v>
      </c>
      <c r="R22" s="1">
        <v>91</v>
      </c>
      <c r="S22" s="1">
        <v>70</v>
      </c>
      <c r="T22" s="1">
        <v>0</v>
      </c>
      <c r="U22" s="1">
        <f>Games[[#This Row],[PointsFor]]-Games[[#This Row],[PointsAgainst]]</f>
        <v>21</v>
      </c>
      <c r="V22" s="1">
        <f>IF(Games[[#This Row],[MOV]]&gt;0,1,IF(Games[[#This Row],[MOV]]=0,0.5,0))</f>
        <v>1</v>
      </c>
      <c r="W22" s="4">
        <f>((ABS(Games[[#This Row],[MOV]])+5)^0.6)/(12+0.01*(ABS(Games[[#This Row],[PreGmRate]]-Games[[#This Row],[OppPreGmRate]])))*IF(Games[[#This Row],[OT]]=1,0.9,1)</f>
        <v>0.57041656806898022</v>
      </c>
      <c r="X22" s="7" cm="1">
        <f t="array" ref="X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" s="9">
        <f>MAX(kmin, kmax - 0.15 * MIN(Games[[#This Row],[GamesPlayed]], 82))</f>
        <v>75.55</v>
      </c>
      <c r="Z22" s="4">
        <f>Games[[#This Row],[K]]*Games[[#This Row],[POMult]]</f>
        <v>75.55</v>
      </c>
      <c r="AA22" s="4">
        <f>(Games[[#This Row],[Keff]]*Games[[#This Row],[MOVMult]])*(Games[[#This Row],[Result]]-Games[[#This Row],[ExpectedWin%]])</f>
        <v>25.340136840199335</v>
      </c>
      <c r="AB22" s="4">
        <f>Games[[#This Row],[PreGmRate]]+Games[[#This Row],[RatingChange]]</f>
        <v>1540.781340832737</v>
      </c>
      <c r="AC22" s="2">
        <f>IF(Games[[#This Row],[Type]]="R",IF(Games[[#This Row],[Result]]&gt;0.5,1,0),0)</f>
        <v>1</v>
      </c>
      <c r="AD22" s="2">
        <f>IF(Games[[#This Row],[Type]]="R",IF(Games[[#This Row],[Result]]&lt;0.5,1,0),0)</f>
        <v>0</v>
      </c>
      <c r="AE22" s="2">
        <f>IF(AND(Games[[#This Row],[Type]]="P",Games[[#This Row],[Round]]=1),IF(Games[[#This Row],[Result]]&gt;0.5,1,0),0)</f>
        <v>0</v>
      </c>
      <c r="AF22" s="2">
        <f>IF(AND(Games[[#This Row],[Type]]="P",Games[[#This Row],[Round]]=1),IF(Games[[#This Row],[Result]]&lt;0.5,1,0),0)</f>
        <v>0</v>
      </c>
      <c r="AG22" s="2">
        <f>IF(AND(Games[[#This Row],[Type]]="P",Games[[#This Row],[Round]]=2),IF(Games[[#This Row],[Result]]&gt;0.5,1,0),0)</f>
        <v>0</v>
      </c>
      <c r="AH22" s="2">
        <f>IF(AND(Games[[#This Row],[Type]]="P",Games[[#This Row],[Round]]=2),IF(Games[[#This Row],[Result]]&lt;0.5,1,0),0)</f>
        <v>0</v>
      </c>
      <c r="AI22" s="2">
        <f>IF(AND(Games[[#This Row],[Type]]="P",Games[[#This Row],[Round]]=3),IF(Games[[#This Row],[Result]]&gt;0.5,1,0),0)</f>
        <v>0</v>
      </c>
      <c r="AJ22" s="2">
        <f>IF(AND(Games[[#This Row],[Type]]="P",Games[[#This Row],[Round]]=3),IF(Games[[#This Row],[Result]]&lt;0.5,1,0),0)</f>
        <v>0</v>
      </c>
      <c r="AK22" s="2">
        <f>IF(AND(Games[[#This Row],[Type]]="P",Games[[#This Row],[Round]]=4),IF(Games[[#This Row],[Result]]&gt;0.5,1,0),0)</f>
        <v>0</v>
      </c>
      <c r="AL22" s="2">
        <f>IF(AND(Games[[#This Row],[Type]]="P",Games[[#This Row],[Round]]=4),IF(Games[[#This Row],[Result]]&lt;0.5,1,0),0)</f>
        <v>0</v>
      </c>
    </row>
    <row r="23" spans="1:38" x14ac:dyDescent="0.35">
      <c r="A23" s="10">
        <v>44334</v>
      </c>
      <c r="B23" s="2">
        <v>2021</v>
      </c>
      <c r="C23" s="2">
        <f>COUNTIFS(Games[Team],Games[[#This Row],[Team]],Games[Season],Games[[#This Row],[Season]],Games[Date],"&lt;=" &amp; Games[[#This Row],[Date]])</f>
        <v>2</v>
      </c>
      <c r="D23" s="2" t="s">
        <v>79</v>
      </c>
      <c r="E23" s="2" t="s">
        <v>80</v>
      </c>
      <c r="F23" s="1" t="s">
        <v>65</v>
      </c>
      <c r="G23" s="1" t="s">
        <v>40</v>
      </c>
      <c r="H23" s="1" t="s">
        <v>82</v>
      </c>
      <c r="I23" s="2" cm="1">
        <f t="array" ref="I2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3" s="2" cm="1">
        <f t="array" ref="J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" s="2">
        <f>Games[[#This Row],[DaysOff]]-Games[[#This Row],[OppDaysOff]]</f>
        <v>1</v>
      </c>
      <c r="L23" s="2">
        <f>Games[[#This Row],[OppDaysOff]]-Games[[#This Row],[DaysOff]]</f>
        <v>-1</v>
      </c>
      <c r="M23" s="1">
        <f>MAX(-16, MIN(16, Games[[#This Row],[RestDiff]]*8))</f>
        <v>8</v>
      </c>
      <c r="N23" s="1">
        <f>MAX(-16, MIN(16, Games[[#This Row],[OppRestDiff]]*8))</f>
        <v>-8</v>
      </c>
      <c r="O23" s="4" cm="1">
        <f t="array" ref="O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1477.2381312524185</v>
      </c>
      <c r="P23" s="4" cm="1">
        <f t="array" ref="P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1515.4412039925376</v>
      </c>
      <c r="Q23" s="4">
        <f>1/(1+10^(((Games[[#This Row],[OppPreGmRate]]+IF(Games[[#This Row],[HomeAway]]="A",HCA,0)+Games[[#This Row],[OppRestAdj]])-(Games[[#This Row],[PreGmRate]]+IF(Games[[#This Row],[HomeAway]]="H",HCA,0)+Games[[#This Row],[RestAdj]]))/400))</f>
        <v>0.58800680984885478</v>
      </c>
      <c r="R23" s="1">
        <v>70</v>
      </c>
      <c r="S23" s="1">
        <v>91</v>
      </c>
      <c r="T23" s="1">
        <v>0</v>
      </c>
      <c r="U23" s="1">
        <f>Games[[#This Row],[PointsFor]]-Games[[#This Row],[PointsAgainst]]</f>
        <v>-21</v>
      </c>
      <c r="V23" s="1">
        <f>IF(Games[[#This Row],[MOV]]&gt;0,1,IF(Games[[#This Row],[MOV]]=0,0.5,0))</f>
        <v>0</v>
      </c>
      <c r="W23" s="4">
        <f>((ABS(Games[[#This Row],[MOV]])+5)^0.6)/(12+0.01*(ABS(Games[[#This Row],[PreGmRate]]-Games[[#This Row],[OppPreGmRate]])))*IF(Games[[#This Row],[OT]]=1,0.9,1)</f>
        <v>0.57041656806898022</v>
      </c>
      <c r="X23" s="7" cm="1">
        <f t="array" ref="X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" s="9">
        <f>MAX(kmin, kmax - 0.15 * MIN(Games[[#This Row],[GamesPlayed]], 82))</f>
        <v>75.7</v>
      </c>
      <c r="Z23" s="4">
        <f>Games[[#This Row],[K]]*Games[[#This Row],[POMult]]</f>
        <v>75.7</v>
      </c>
      <c r="AA23" s="4">
        <f>(Games[[#This Row],[Keff]]*Games[[#This Row],[MOVMult]])*(Games[[#This Row],[Result]]-Games[[#This Row],[ExpectedWin%]])</f>
        <v>-25.390448164170611</v>
      </c>
      <c r="AB23" s="4">
        <f>Games[[#This Row],[PreGmRate]]+Games[[#This Row],[RatingChange]]</f>
        <v>1451.8476830882478</v>
      </c>
      <c r="AC23" s="2">
        <f>IF(Games[[#This Row],[Type]]="R",IF(Games[[#This Row],[Result]]&gt;0.5,1,0),0)</f>
        <v>0</v>
      </c>
      <c r="AD23" s="2">
        <f>IF(Games[[#This Row],[Type]]="R",IF(Games[[#This Row],[Result]]&lt;0.5,1,0),0)</f>
        <v>1</v>
      </c>
      <c r="AE23" s="2">
        <f>IF(AND(Games[[#This Row],[Type]]="P",Games[[#This Row],[Round]]=1),IF(Games[[#This Row],[Result]]&gt;0.5,1,0),0)</f>
        <v>0</v>
      </c>
      <c r="AF23" s="2">
        <f>IF(AND(Games[[#This Row],[Type]]="P",Games[[#This Row],[Round]]=1),IF(Games[[#This Row],[Result]]&lt;0.5,1,0),0)</f>
        <v>0</v>
      </c>
      <c r="AG23" s="2">
        <f>IF(AND(Games[[#This Row],[Type]]="P",Games[[#This Row],[Round]]=2),IF(Games[[#This Row],[Result]]&gt;0.5,1,0),0)</f>
        <v>0</v>
      </c>
      <c r="AH23" s="2">
        <f>IF(AND(Games[[#This Row],[Type]]="P",Games[[#This Row],[Round]]=2),IF(Games[[#This Row],[Result]]&lt;0.5,1,0),0)</f>
        <v>0</v>
      </c>
      <c r="AI23" s="2">
        <f>IF(AND(Games[[#This Row],[Type]]="P",Games[[#This Row],[Round]]=3),IF(Games[[#This Row],[Result]]&gt;0.5,1,0),0)</f>
        <v>0</v>
      </c>
      <c r="AJ23" s="2">
        <f>IF(AND(Games[[#This Row],[Type]]="P",Games[[#This Row],[Round]]=3),IF(Games[[#This Row],[Result]]&lt;0.5,1,0),0)</f>
        <v>0</v>
      </c>
      <c r="AK23" s="2">
        <f>IF(AND(Games[[#This Row],[Type]]="P",Games[[#This Row],[Round]]=4),IF(Games[[#This Row],[Result]]&gt;0.5,1,0),0)</f>
        <v>0</v>
      </c>
      <c r="AL23" s="2">
        <f>IF(AND(Games[[#This Row],[Type]]="P",Games[[#This Row],[Round]]=4),IF(Games[[#This Row],[Result]]&lt;0.5,1,0),0)</f>
        <v>0</v>
      </c>
    </row>
    <row r="24" spans="1:38" x14ac:dyDescent="0.35">
      <c r="A24" s="10">
        <v>44335</v>
      </c>
      <c r="B24" s="2">
        <v>2021</v>
      </c>
      <c r="C24" s="2">
        <f>COUNTIFS(Games[Team],Games[[#This Row],[Team]],Games[Season],Games[[#This Row],[Season]],Games[Date],"&lt;=" &amp; Games[[#This Row],[Date]])</f>
        <v>2</v>
      </c>
      <c r="D24" s="2" t="s">
        <v>79</v>
      </c>
      <c r="E24" s="2" t="s">
        <v>80</v>
      </c>
      <c r="F24" s="1" t="s">
        <v>75</v>
      </c>
      <c r="G24" s="1" t="s">
        <v>77</v>
      </c>
      <c r="H24" s="1" t="s">
        <v>81</v>
      </c>
      <c r="I24" s="2" cm="1">
        <f t="array" ref="I2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4" s="2" cm="1">
        <f t="array" ref="J2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4" s="2">
        <f>Games[[#This Row],[DaysOff]]-Games[[#This Row],[OppDaysOff]]</f>
        <v>-1</v>
      </c>
      <c r="L24" s="2">
        <f>Games[[#This Row],[OppDaysOff]]-Games[[#This Row],[DaysOff]]</f>
        <v>1</v>
      </c>
      <c r="M24" s="1">
        <f>MAX(-16, MIN(16, Games[[#This Row],[RestDiff]]*8))</f>
        <v>-8</v>
      </c>
      <c r="N24" s="1">
        <f>MAX(-16, MIN(16, Games[[#This Row],[OppRestDiff]]*8))</f>
        <v>8</v>
      </c>
      <c r="O24" s="4" cm="1">
        <f t="array" ref="O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1524.8410469866151</v>
      </c>
      <c r="P24" s="4" cm="1">
        <f t="array" ref="P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1427.7780617187907</v>
      </c>
      <c r="Q24" s="4">
        <f>1/(1+10^(((Games[[#This Row],[OppPreGmRate]]+IF(Games[[#This Row],[HomeAway]]="A",HCA,0)+Games[[#This Row],[OppRestAdj]])-(Games[[#This Row],[PreGmRate]]+IF(Games[[#This Row],[HomeAway]]="H",HCA,0)+Games[[#This Row],[RestAdj]]))/400))</f>
        <v>0.4957733967147272</v>
      </c>
      <c r="R24" s="1">
        <v>85</v>
      </c>
      <c r="S24" s="1">
        <v>77</v>
      </c>
      <c r="T24" s="1">
        <v>0</v>
      </c>
      <c r="U24" s="1">
        <f>Games[[#This Row],[PointsFor]]-Games[[#This Row],[PointsAgainst]]</f>
        <v>8</v>
      </c>
      <c r="V24" s="1">
        <f>IF(Games[[#This Row],[MOV]]&gt;0,1,IF(Games[[#This Row],[MOV]]=0,0.5,0))</f>
        <v>1</v>
      </c>
      <c r="W24" s="4">
        <f>((ABS(Games[[#This Row],[MOV]])+5)^0.6)/(12+0.01*(ABS(Games[[#This Row],[PreGmRate]]-Games[[#This Row],[OppPreGmRate]])))*IF(Games[[#This Row],[OT]]=1,0.9,1)</f>
        <v>0.35925675722477646</v>
      </c>
      <c r="X24" s="7" cm="1">
        <f t="array" ref="X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" s="9">
        <f>MAX(kmin, kmax - 0.15 * MIN(Games[[#This Row],[GamesPlayed]], 82))</f>
        <v>75.7</v>
      </c>
      <c r="Z24" s="4">
        <f>Games[[#This Row],[K]]*Games[[#This Row],[POMult]]</f>
        <v>75.7</v>
      </c>
      <c r="AA24" s="4">
        <f>(Games[[#This Row],[Keff]]*Games[[#This Row],[MOVMult]])*(Games[[#This Row],[Result]]-Games[[#This Row],[ExpectedWin%]])</f>
        <v>13.71281385028673</v>
      </c>
      <c r="AB24" s="4">
        <f>Games[[#This Row],[PreGmRate]]+Games[[#This Row],[RatingChange]]</f>
        <v>1538.5538608369018</v>
      </c>
      <c r="AC24" s="2">
        <f>IF(Games[[#This Row],[Type]]="R",IF(Games[[#This Row],[Result]]&gt;0.5,1,0),0)</f>
        <v>1</v>
      </c>
      <c r="AD24" s="2">
        <f>IF(Games[[#This Row],[Type]]="R",IF(Games[[#This Row],[Result]]&lt;0.5,1,0),0)</f>
        <v>0</v>
      </c>
      <c r="AE24" s="2">
        <f>IF(AND(Games[[#This Row],[Type]]="P",Games[[#This Row],[Round]]=1),IF(Games[[#This Row],[Result]]&gt;0.5,1,0),0)</f>
        <v>0</v>
      </c>
      <c r="AF24" s="2">
        <f>IF(AND(Games[[#This Row],[Type]]="P",Games[[#This Row],[Round]]=1),IF(Games[[#This Row],[Result]]&lt;0.5,1,0),0)</f>
        <v>0</v>
      </c>
      <c r="AG24" s="2">
        <f>IF(AND(Games[[#This Row],[Type]]="P",Games[[#This Row],[Round]]=2),IF(Games[[#This Row],[Result]]&gt;0.5,1,0),0)</f>
        <v>0</v>
      </c>
      <c r="AH24" s="2">
        <f>IF(AND(Games[[#This Row],[Type]]="P",Games[[#This Row],[Round]]=2),IF(Games[[#This Row],[Result]]&lt;0.5,1,0),0)</f>
        <v>0</v>
      </c>
      <c r="AI24" s="2">
        <f>IF(AND(Games[[#This Row],[Type]]="P",Games[[#This Row],[Round]]=3),IF(Games[[#This Row],[Result]]&gt;0.5,1,0),0)</f>
        <v>0</v>
      </c>
      <c r="AJ24" s="2">
        <f>IF(AND(Games[[#This Row],[Type]]="P",Games[[#This Row],[Round]]=3),IF(Games[[#This Row],[Result]]&lt;0.5,1,0),0)</f>
        <v>0</v>
      </c>
      <c r="AK24" s="2">
        <f>IF(AND(Games[[#This Row],[Type]]="P",Games[[#This Row],[Round]]=4),IF(Games[[#This Row],[Result]]&gt;0.5,1,0),0)</f>
        <v>0</v>
      </c>
      <c r="AL24" s="2">
        <f>IF(AND(Games[[#This Row],[Type]]="P",Games[[#This Row],[Round]]=4),IF(Games[[#This Row],[Result]]&lt;0.5,1,0),0)</f>
        <v>0</v>
      </c>
    </row>
    <row r="25" spans="1:38" x14ac:dyDescent="0.35">
      <c r="A25" s="10">
        <v>44335</v>
      </c>
      <c r="B25" s="2">
        <v>2021</v>
      </c>
      <c r="C25" s="2">
        <f>COUNTIFS(Games[Team],Games[[#This Row],[Team]],Games[Season],Games[[#This Row],[Season]],Games[Date],"&lt;=" &amp; Games[[#This Row],[Date]])</f>
        <v>2</v>
      </c>
      <c r="D25" s="2" t="s">
        <v>79</v>
      </c>
      <c r="E25" s="2" t="s">
        <v>80</v>
      </c>
      <c r="F25" s="1" t="s">
        <v>77</v>
      </c>
      <c r="G25" s="1" t="s">
        <v>75</v>
      </c>
      <c r="H25" s="1" t="s">
        <v>82</v>
      </c>
      <c r="I25" s="2" cm="1">
        <f t="array" ref="I25">IFERROR(
    Games[[#This Row],[Date]]
    - LOOKUP(
        2,
        1/((Games[Team]=Games[[#This Row],[Team]]) * (Games[Date] &lt; Games[[#This Row],[Date]])),
        Games[Date]
    )
    - 1,
Games[[#This Row],[Date]]-$A$2)</f>
        <v>4</v>
      </c>
      <c r="J25" s="2" cm="1">
        <f t="array" ref="J2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5" s="2">
        <f>Games[[#This Row],[DaysOff]]-Games[[#This Row],[OppDaysOff]]</f>
        <v>1</v>
      </c>
      <c r="L25" s="2">
        <f>Games[[#This Row],[OppDaysOff]]-Games[[#This Row],[DaysOff]]</f>
        <v>-1</v>
      </c>
      <c r="M25" s="1">
        <f>MAX(-16, MIN(16, Games[[#This Row],[RestDiff]]*8))</f>
        <v>8</v>
      </c>
      <c r="N25" s="1">
        <f>MAX(-16, MIN(16, Games[[#This Row],[OppRestDiff]]*8))</f>
        <v>-8</v>
      </c>
      <c r="O25" s="4" cm="1">
        <f t="array" ref="O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1427.7780617187907</v>
      </c>
      <c r="P25" s="4" cm="1">
        <f t="array" ref="P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1524.8410469866151</v>
      </c>
      <c r="Q25" s="4">
        <f>1/(1+10^(((Games[[#This Row],[OppPreGmRate]]+IF(Games[[#This Row],[HomeAway]]="A",HCA,0)+Games[[#This Row],[OppRestAdj]])-(Games[[#This Row],[PreGmRate]]+IF(Games[[#This Row],[HomeAway]]="H",HCA,0)+Games[[#This Row],[RestAdj]]))/400))</f>
        <v>0.5042266032852728</v>
      </c>
      <c r="R25" s="1">
        <v>77</v>
      </c>
      <c r="S25" s="1">
        <v>85</v>
      </c>
      <c r="T25" s="1">
        <v>0</v>
      </c>
      <c r="U25" s="1">
        <f>Games[[#This Row],[PointsFor]]-Games[[#This Row],[PointsAgainst]]</f>
        <v>-8</v>
      </c>
      <c r="V25" s="1">
        <f>IF(Games[[#This Row],[MOV]]&gt;0,1,IF(Games[[#This Row],[MOV]]=0,0.5,0))</f>
        <v>0</v>
      </c>
      <c r="W25" s="4">
        <f>((ABS(Games[[#This Row],[MOV]])+5)^0.6)/(12+0.01*(ABS(Games[[#This Row],[PreGmRate]]-Games[[#This Row],[OppPreGmRate]])))*IF(Games[[#This Row],[OT]]=1,0.9,1)</f>
        <v>0.35925675722477646</v>
      </c>
      <c r="X25" s="7" cm="1">
        <f t="array" ref="X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" s="9">
        <f>MAX(kmin, kmax - 0.15 * MIN(Games[[#This Row],[GamesPlayed]], 82))</f>
        <v>75.7</v>
      </c>
      <c r="Z25" s="4">
        <f>Games[[#This Row],[K]]*Games[[#This Row],[POMult]]</f>
        <v>75.7</v>
      </c>
      <c r="AA25" s="4">
        <f>(Games[[#This Row],[Keff]]*Games[[#This Row],[MOVMult]])*(Games[[#This Row],[Result]]-Games[[#This Row],[ExpectedWin%]])</f>
        <v>-13.71281385028673</v>
      </c>
      <c r="AB25" s="4">
        <f>Games[[#This Row],[PreGmRate]]+Games[[#This Row],[RatingChange]]</f>
        <v>1414.065247868504</v>
      </c>
      <c r="AC25" s="2">
        <f>IF(Games[[#This Row],[Type]]="R",IF(Games[[#This Row],[Result]]&gt;0.5,1,0),0)</f>
        <v>0</v>
      </c>
      <c r="AD25" s="2">
        <f>IF(Games[[#This Row],[Type]]="R",IF(Games[[#This Row],[Result]]&lt;0.5,1,0),0)</f>
        <v>1</v>
      </c>
      <c r="AE25" s="2">
        <f>IF(AND(Games[[#This Row],[Type]]="P",Games[[#This Row],[Round]]=1),IF(Games[[#This Row],[Result]]&gt;0.5,1,0),0)</f>
        <v>0</v>
      </c>
      <c r="AF25" s="2">
        <f>IF(AND(Games[[#This Row],[Type]]="P",Games[[#This Row],[Round]]=1),IF(Games[[#This Row],[Result]]&lt;0.5,1,0),0)</f>
        <v>0</v>
      </c>
      <c r="AG25" s="2">
        <f>IF(AND(Games[[#This Row],[Type]]="P",Games[[#This Row],[Round]]=2),IF(Games[[#This Row],[Result]]&gt;0.5,1,0),0)</f>
        <v>0</v>
      </c>
      <c r="AH25" s="2">
        <f>IF(AND(Games[[#This Row],[Type]]="P",Games[[#This Row],[Round]]=2),IF(Games[[#This Row],[Result]]&lt;0.5,1,0),0)</f>
        <v>0</v>
      </c>
      <c r="AI25" s="2">
        <f>IF(AND(Games[[#This Row],[Type]]="P",Games[[#This Row],[Round]]=3),IF(Games[[#This Row],[Result]]&gt;0.5,1,0),0)</f>
        <v>0</v>
      </c>
      <c r="AJ25" s="2">
        <f>IF(AND(Games[[#This Row],[Type]]="P",Games[[#This Row],[Round]]=3),IF(Games[[#This Row],[Result]]&lt;0.5,1,0),0)</f>
        <v>0</v>
      </c>
      <c r="AK25" s="2">
        <f>IF(AND(Games[[#This Row],[Type]]="P",Games[[#This Row],[Round]]=4),IF(Games[[#This Row],[Result]]&gt;0.5,1,0),0)</f>
        <v>0</v>
      </c>
      <c r="AL25" s="2">
        <f>IF(AND(Games[[#This Row],[Type]]="P",Games[[#This Row],[Round]]=4),IF(Games[[#This Row],[Result]]&lt;0.5,1,0),0)</f>
        <v>0</v>
      </c>
    </row>
    <row r="26" spans="1:38" x14ac:dyDescent="0.35">
      <c r="A26" s="10">
        <v>44335</v>
      </c>
      <c r="B26" s="2">
        <v>2021</v>
      </c>
      <c r="C26" s="2">
        <f>COUNTIFS(Games[Team],Games[[#This Row],[Team]],Games[Season],Games[[#This Row],[Season]],Games[Date],"&lt;=" &amp; Games[[#This Row],[Date]])</f>
        <v>3</v>
      </c>
      <c r="D26" s="2" t="s">
        <v>79</v>
      </c>
      <c r="E26" s="2" t="s">
        <v>80</v>
      </c>
      <c r="F26" s="1" t="s">
        <v>69</v>
      </c>
      <c r="G26" s="1" t="s">
        <v>74</v>
      </c>
      <c r="H26" s="1" t="s">
        <v>81</v>
      </c>
      <c r="I26" s="2" cm="1">
        <f t="array" ref="I2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" s="2" cm="1">
        <f t="array" ref="J2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" s="2">
        <f>Games[[#This Row],[DaysOff]]-Games[[#This Row],[OppDaysOff]]</f>
        <v>0</v>
      </c>
      <c r="L26" s="2">
        <f>Games[[#This Row],[OppDaysOff]]-Games[[#This Row],[DaysOff]]</f>
        <v>0</v>
      </c>
      <c r="M26" s="1">
        <f>MAX(-16, MIN(16, Games[[#This Row],[RestDiff]]*8))</f>
        <v>0</v>
      </c>
      <c r="N26" s="1">
        <f>MAX(-16, MIN(16, Games[[#This Row],[OppRestDiff]]*8))</f>
        <v>0</v>
      </c>
      <c r="O26" s="4" cm="1">
        <f t="array" ref="O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1404.6562415631129</v>
      </c>
      <c r="P26" s="4" cm="1">
        <f t="array" ref="P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1565.2856436152665</v>
      </c>
      <c r="Q26" s="4">
        <f>1/(1+10^(((Games[[#This Row],[OppPreGmRate]]+IF(Games[[#This Row],[HomeAway]]="A",HCA,0)+Games[[#This Row],[OppRestAdj]])-(Games[[#This Row],[PreGmRate]]+IF(Games[[#This Row],[HomeAway]]="H",HCA,0)+Games[[#This Row],[RestAdj]]))/400))</f>
        <v>0.19651811314777817</v>
      </c>
      <c r="R26" s="1">
        <v>67</v>
      </c>
      <c r="S26" s="1">
        <v>88</v>
      </c>
      <c r="T26" s="1">
        <v>0</v>
      </c>
      <c r="U26" s="1">
        <f>Games[[#This Row],[PointsFor]]-Games[[#This Row],[PointsAgainst]]</f>
        <v>-21</v>
      </c>
      <c r="V26" s="1">
        <f>IF(Games[[#This Row],[MOV]]&gt;0,1,IF(Games[[#This Row],[MOV]]=0,0.5,0))</f>
        <v>0</v>
      </c>
      <c r="W26" s="4">
        <f>((ABS(Games[[#This Row],[MOV]])+5)^0.6)/(12+0.01*(ABS(Games[[#This Row],[PreGmRate]]-Games[[#This Row],[OppPreGmRate]])))*IF(Games[[#This Row],[OT]]=1,0.9,1)</f>
        <v>0.51909178668315448</v>
      </c>
      <c r="X26" s="7" cm="1">
        <f t="array" ref="X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" s="9">
        <f>MAX(kmin, kmax - 0.15 * MIN(Games[[#This Row],[GamesPlayed]], 82))</f>
        <v>75.55</v>
      </c>
      <c r="Z26" s="4">
        <f>Games[[#This Row],[K]]*Games[[#This Row],[POMult]]</f>
        <v>75.55</v>
      </c>
      <c r="AA26" s="4">
        <f>(Games[[#This Row],[Keff]]*Games[[#This Row],[MOVMult]])*(Games[[#This Row],[Result]]-Games[[#This Row],[ExpectedWin%]])</f>
        <v>-7.706926401369401</v>
      </c>
      <c r="AB26" s="4">
        <f>Games[[#This Row],[PreGmRate]]+Games[[#This Row],[RatingChange]]</f>
        <v>1396.9493151617435</v>
      </c>
      <c r="AC26" s="2">
        <f>IF(Games[[#This Row],[Type]]="R",IF(Games[[#This Row],[Result]]&gt;0.5,1,0),0)</f>
        <v>0</v>
      </c>
      <c r="AD26" s="2">
        <f>IF(Games[[#This Row],[Type]]="R",IF(Games[[#This Row],[Result]]&lt;0.5,1,0),0)</f>
        <v>1</v>
      </c>
      <c r="AE26" s="2">
        <f>IF(AND(Games[[#This Row],[Type]]="P",Games[[#This Row],[Round]]=1),IF(Games[[#This Row],[Result]]&gt;0.5,1,0),0)</f>
        <v>0</v>
      </c>
      <c r="AF26" s="2">
        <f>IF(AND(Games[[#This Row],[Type]]="P",Games[[#This Row],[Round]]=1),IF(Games[[#This Row],[Result]]&lt;0.5,1,0),0)</f>
        <v>0</v>
      </c>
      <c r="AG26" s="2">
        <f>IF(AND(Games[[#This Row],[Type]]="P",Games[[#This Row],[Round]]=2),IF(Games[[#This Row],[Result]]&gt;0.5,1,0),0)</f>
        <v>0</v>
      </c>
      <c r="AH26" s="2">
        <f>IF(AND(Games[[#This Row],[Type]]="P",Games[[#This Row],[Round]]=2),IF(Games[[#This Row],[Result]]&lt;0.5,1,0),0)</f>
        <v>0</v>
      </c>
      <c r="AI26" s="2">
        <f>IF(AND(Games[[#This Row],[Type]]="P",Games[[#This Row],[Round]]=3),IF(Games[[#This Row],[Result]]&gt;0.5,1,0),0)</f>
        <v>0</v>
      </c>
      <c r="AJ26" s="2">
        <f>IF(AND(Games[[#This Row],[Type]]="P",Games[[#This Row],[Round]]=3),IF(Games[[#This Row],[Result]]&lt;0.5,1,0),0)</f>
        <v>0</v>
      </c>
      <c r="AK26" s="2">
        <f>IF(AND(Games[[#This Row],[Type]]="P",Games[[#This Row],[Round]]=4),IF(Games[[#This Row],[Result]]&gt;0.5,1,0),0)</f>
        <v>0</v>
      </c>
      <c r="AL26" s="2">
        <f>IF(AND(Games[[#This Row],[Type]]="P",Games[[#This Row],[Round]]=4),IF(Games[[#This Row],[Result]]&lt;0.5,1,0),0)</f>
        <v>0</v>
      </c>
    </row>
    <row r="27" spans="1:38" x14ac:dyDescent="0.35">
      <c r="A27" s="10">
        <v>44335</v>
      </c>
      <c r="B27" s="2">
        <v>2021</v>
      </c>
      <c r="C27" s="2">
        <f>COUNTIFS(Games[Team],Games[[#This Row],[Team]],Games[Season],Games[[#This Row],[Season]],Games[Date],"&lt;=" &amp; Games[[#This Row],[Date]])</f>
        <v>3</v>
      </c>
      <c r="D27" s="2" t="s">
        <v>79</v>
      </c>
      <c r="E27" s="2" t="s">
        <v>80</v>
      </c>
      <c r="F27" s="1" t="s">
        <v>74</v>
      </c>
      <c r="G27" s="1" t="s">
        <v>69</v>
      </c>
      <c r="H27" s="1" t="s">
        <v>82</v>
      </c>
      <c r="I27" s="2" cm="1">
        <f t="array" ref="I2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" s="2" cm="1">
        <f t="array" ref="J2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" s="2">
        <f>Games[[#This Row],[DaysOff]]-Games[[#This Row],[OppDaysOff]]</f>
        <v>0</v>
      </c>
      <c r="L27" s="2">
        <f>Games[[#This Row],[OppDaysOff]]-Games[[#This Row],[DaysOff]]</f>
        <v>0</v>
      </c>
      <c r="M27" s="1">
        <f>MAX(-16, MIN(16, Games[[#This Row],[RestDiff]]*8))</f>
        <v>0</v>
      </c>
      <c r="N27" s="1">
        <f>MAX(-16, MIN(16, Games[[#This Row],[OppRestDiff]]*8))</f>
        <v>0</v>
      </c>
      <c r="O27" s="4" cm="1">
        <f t="array" ref="O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1565.2856436152665</v>
      </c>
      <c r="P27" s="4" cm="1">
        <f t="array" ref="P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1404.6562415631129</v>
      </c>
      <c r="Q27" s="4">
        <f>1/(1+10^(((Games[[#This Row],[OppPreGmRate]]+IF(Games[[#This Row],[HomeAway]]="A",HCA,0)+Games[[#This Row],[OppRestAdj]])-(Games[[#This Row],[PreGmRate]]+IF(Games[[#This Row],[HomeAway]]="H",HCA,0)+Games[[#This Row],[RestAdj]]))/400))</f>
        <v>0.80348188685222188</v>
      </c>
      <c r="R27" s="1">
        <v>88</v>
      </c>
      <c r="S27" s="1">
        <v>67</v>
      </c>
      <c r="T27" s="1">
        <v>0</v>
      </c>
      <c r="U27" s="1">
        <f>Games[[#This Row],[PointsFor]]-Games[[#This Row],[PointsAgainst]]</f>
        <v>21</v>
      </c>
      <c r="V27" s="1">
        <f>IF(Games[[#This Row],[MOV]]&gt;0,1,IF(Games[[#This Row],[MOV]]=0,0.5,0))</f>
        <v>1</v>
      </c>
      <c r="W27" s="4">
        <f>((ABS(Games[[#This Row],[MOV]])+5)^0.6)/(12+0.01*(ABS(Games[[#This Row],[PreGmRate]]-Games[[#This Row],[OppPreGmRate]])))*IF(Games[[#This Row],[OT]]=1,0.9,1)</f>
        <v>0.51909178668315448</v>
      </c>
      <c r="X27" s="7" cm="1">
        <f t="array" ref="X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" s="9">
        <f>MAX(kmin, kmax - 0.15 * MIN(Games[[#This Row],[GamesPlayed]], 82))</f>
        <v>75.55</v>
      </c>
      <c r="Z27" s="4">
        <f>Games[[#This Row],[K]]*Games[[#This Row],[POMult]]</f>
        <v>75.55</v>
      </c>
      <c r="AA27" s="4">
        <f>(Games[[#This Row],[Keff]]*Games[[#This Row],[MOVMult]])*(Games[[#This Row],[Result]]-Games[[#This Row],[ExpectedWin%]])</f>
        <v>7.7069264013693992</v>
      </c>
      <c r="AB27" s="4">
        <f>Games[[#This Row],[PreGmRate]]+Games[[#This Row],[RatingChange]]</f>
        <v>1572.9925700166359</v>
      </c>
      <c r="AC27" s="2">
        <f>IF(Games[[#This Row],[Type]]="R",IF(Games[[#This Row],[Result]]&gt;0.5,1,0),0)</f>
        <v>1</v>
      </c>
      <c r="AD27" s="2">
        <f>IF(Games[[#This Row],[Type]]="R",IF(Games[[#This Row],[Result]]&lt;0.5,1,0),0)</f>
        <v>0</v>
      </c>
      <c r="AE27" s="2">
        <f>IF(AND(Games[[#This Row],[Type]]="P",Games[[#This Row],[Round]]=1),IF(Games[[#This Row],[Result]]&gt;0.5,1,0),0)</f>
        <v>0</v>
      </c>
      <c r="AF27" s="2">
        <f>IF(AND(Games[[#This Row],[Type]]="P",Games[[#This Row],[Round]]=1),IF(Games[[#This Row],[Result]]&lt;0.5,1,0),0)</f>
        <v>0</v>
      </c>
      <c r="AG27" s="2">
        <f>IF(AND(Games[[#This Row],[Type]]="P",Games[[#This Row],[Round]]=2),IF(Games[[#This Row],[Result]]&gt;0.5,1,0),0)</f>
        <v>0</v>
      </c>
      <c r="AH27" s="2">
        <f>IF(AND(Games[[#This Row],[Type]]="P",Games[[#This Row],[Round]]=2),IF(Games[[#This Row],[Result]]&lt;0.5,1,0),0)</f>
        <v>0</v>
      </c>
      <c r="AI27" s="2">
        <f>IF(AND(Games[[#This Row],[Type]]="P",Games[[#This Row],[Round]]=3),IF(Games[[#This Row],[Result]]&gt;0.5,1,0),0)</f>
        <v>0</v>
      </c>
      <c r="AJ27" s="2">
        <f>IF(AND(Games[[#This Row],[Type]]="P",Games[[#This Row],[Round]]=3),IF(Games[[#This Row],[Result]]&lt;0.5,1,0),0)</f>
        <v>0</v>
      </c>
      <c r="AK27" s="2">
        <f>IF(AND(Games[[#This Row],[Type]]="P",Games[[#This Row],[Round]]=4),IF(Games[[#This Row],[Result]]&gt;0.5,1,0),0)</f>
        <v>0</v>
      </c>
      <c r="AL27" s="2">
        <f>IF(AND(Games[[#This Row],[Type]]="P",Games[[#This Row],[Round]]=4),IF(Games[[#This Row],[Result]]&lt;0.5,1,0),0)</f>
        <v>0</v>
      </c>
    </row>
    <row r="28" spans="1:38" x14ac:dyDescent="0.35">
      <c r="A28" s="10">
        <v>44336</v>
      </c>
      <c r="B28" s="2">
        <v>2021</v>
      </c>
      <c r="C28" s="2">
        <f>COUNTIFS(Games[Team],Games[[#This Row],[Team]],Games[Season],Games[[#This Row],[Season]],Games[Date],"&lt;=" &amp; Games[[#This Row],[Date]])</f>
        <v>3</v>
      </c>
      <c r="D28" s="2" t="s">
        <v>79</v>
      </c>
      <c r="E28" s="2" t="s">
        <v>80</v>
      </c>
      <c r="F28" s="1" t="s">
        <v>71</v>
      </c>
      <c r="G28" s="1" t="s">
        <v>67</v>
      </c>
      <c r="H28" s="1" t="s">
        <v>81</v>
      </c>
      <c r="I28" s="2" cm="1">
        <f t="array" ref="I2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" s="2" cm="1">
        <f t="array" ref="J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" s="2">
        <f>Games[[#This Row],[DaysOff]]-Games[[#This Row],[OppDaysOff]]</f>
        <v>0</v>
      </c>
      <c r="L28" s="2">
        <f>Games[[#This Row],[OppDaysOff]]-Games[[#This Row],[DaysOff]]</f>
        <v>0</v>
      </c>
      <c r="M28" s="1">
        <f>MAX(-16, MIN(16, Games[[#This Row],[RestDiff]]*8))</f>
        <v>0</v>
      </c>
      <c r="N28" s="1">
        <f>MAX(-16, MIN(16, Games[[#This Row],[OppRestDiff]]*8))</f>
        <v>0</v>
      </c>
      <c r="O28" s="4" cm="1">
        <f t="array" ref="O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1613.3146233945452</v>
      </c>
      <c r="P28" s="4" cm="1">
        <f t="array" ref="P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1488.2921628156826</v>
      </c>
      <c r="Q28" s="4">
        <f>1/(1+10^(((Games[[#This Row],[OppPreGmRate]]+IF(Games[[#This Row],[HomeAway]]="A",HCA,0)+Games[[#This Row],[OppRestAdj]])-(Games[[#This Row],[PreGmRate]]+IF(Games[[#This Row],[HomeAway]]="H",HCA,0)+Games[[#This Row],[RestAdj]]))/400))</f>
        <v>0.55876324647239506</v>
      </c>
      <c r="R28" s="1">
        <v>90</v>
      </c>
      <c r="S28" s="1">
        <v>78</v>
      </c>
      <c r="T28" s="1">
        <v>0</v>
      </c>
      <c r="U28" s="1">
        <f>Games[[#This Row],[PointsFor]]-Games[[#This Row],[PointsAgainst]]</f>
        <v>12</v>
      </c>
      <c r="V28" s="1">
        <f>IF(Games[[#This Row],[MOV]]&gt;0,1,IF(Games[[#This Row],[MOV]]=0,0.5,0))</f>
        <v>1</v>
      </c>
      <c r="W28" s="4">
        <f>((ABS(Games[[#This Row],[MOV]])+5)^0.6)/(12+0.01*(ABS(Games[[#This Row],[PreGmRate]]-Games[[#This Row],[OppPreGmRate]])))*IF(Games[[#This Row],[OT]]=1,0.9,1)</f>
        <v>0.41309136107226874</v>
      </c>
      <c r="X28" s="7" cm="1">
        <f t="array" ref="X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" s="9">
        <f>MAX(kmin, kmax - 0.15 * MIN(Games[[#This Row],[GamesPlayed]], 82))</f>
        <v>75.55</v>
      </c>
      <c r="Z28" s="4">
        <f>Games[[#This Row],[K]]*Games[[#This Row],[POMult]]</f>
        <v>75.55</v>
      </c>
      <c r="AA28" s="4">
        <f>(Games[[#This Row],[Keff]]*Games[[#This Row],[MOVMult]])*(Games[[#This Row],[Result]]-Games[[#This Row],[ExpectedWin%]])</f>
        <v>13.770580930325467</v>
      </c>
      <c r="AB28" s="4">
        <f>Games[[#This Row],[PreGmRate]]+Games[[#This Row],[RatingChange]]</f>
        <v>1627.0852043248706</v>
      </c>
      <c r="AC28" s="2">
        <f>IF(Games[[#This Row],[Type]]="R",IF(Games[[#This Row],[Result]]&gt;0.5,1,0),0)</f>
        <v>1</v>
      </c>
      <c r="AD28" s="2">
        <f>IF(Games[[#This Row],[Type]]="R",IF(Games[[#This Row],[Result]]&lt;0.5,1,0),0)</f>
        <v>0</v>
      </c>
      <c r="AE28" s="2">
        <f>IF(AND(Games[[#This Row],[Type]]="P",Games[[#This Row],[Round]]=1),IF(Games[[#This Row],[Result]]&gt;0.5,1,0),0)</f>
        <v>0</v>
      </c>
      <c r="AF28" s="2">
        <f>IF(AND(Games[[#This Row],[Type]]="P",Games[[#This Row],[Round]]=1),IF(Games[[#This Row],[Result]]&lt;0.5,1,0),0)</f>
        <v>0</v>
      </c>
      <c r="AG28" s="2">
        <f>IF(AND(Games[[#This Row],[Type]]="P",Games[[#This Row],[Round]]=2),IF(Games[[#This Row],[Result]]&gt;0.5,1,0),0)</f>
        <v>0</v>
      </c>
      <c r="AH28" s="2">
        <f>IF(AND(Games[[#This Row],[Type]]="P",Games[[#This Row],[Round]]=2),IF(Games[[#This Row],[Result]]&lt;0.5,1,0),0)</f>
        <v>0</v>
      </c>
      <c r="AI28" s="2">
        <f>IF(AND(Games[[#This Row],[Type]]="P",Games[[#This Row],[Round]]=3),IF(Games[[#This Row],[Result]]&gt;0.5,1,0),0)</f>
        <v>0</v>
      </c>
      <c r="AJ28" s="2">
        <f>IF(AND(Games[[#This Row],[Type]]="P",Games[[#This Row],[Round]]=3),IF(Games[[#This Row],[Result]]&lt;0.5,1,0),0)</f>
        <v>0</v>
      </c>
      <c r="AK28" s="2">
        <f>IF(AND(Games[[#This Row],[Type]]="P",Games[[#This Row],[Round]]=4),IF(Games[[#This Row],[Result]]&gt;0.5,1,0),0)</f>
        <v>0</v>
      </c>
      <c r="AL28" s="2">
        <f>IF(AND(Games[[#This Row],[Type]]="P",Games[[#This Row],[Round]]=4),IF(Games[[#This Row],[Result]]&lt;0.5,1,0),0)</f>
        <v>0</v>
      </c>
    </row>
    <row r="29" spans="1:38" x14ac:dyDescent="0.35">
      <c r="A29" s="10">
        <v>44336</v>
      </c>
      <c r="B29" s="2">
        <v>2021</v>
      </c>
      <c r="C29" s="2">
        <f>COUNTIFS(Games[Team],Games[[#This Row],[Team]],Games[Season],Games[[#This Row],[Season]],Games[Date],"&lt;=" &amp; Games[[#This Row],[Date]])</f>
        <v>3</v>
      </c>
      <c r="D29" s="2" t="s">
        <v>79</v>
      </c>
      <c r="E29" s="2" t="s">
        <v>80</v>
      </c>
      <c r="F29" s="1" t="s">
        <v>67</v>
      </c>
      <c r="G29" s="1" t="s">
        <v>71</v>
      </c>
      <c r="H29" s="1" t="s">
        <v>82</v>
      </c>
      <c r="I29" s="2" cm="1">
        <f t="array" ref="I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" s="2" cm="1">
        <f t="array" ref="J2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" s="2">
        <f>Games[[#This Row],[DaysOff]]-Games[[#This Row],[OppDaysOff]]</f>
        <v>0</v>
      </c>
      <c r="L29" s="2">
        <f>Games[[#This Row],[OppDaysOff]]-Games[[#This Row],[DaysOff]]</f>
        <v>0</v>
      </c>
      <c r="M29" s="1">
        <f>MAX(-16, MIN(16, Games[[#This Row],[RestDiff]]*8))</f>
        <v>0</v>
      </c>
      <c r="N29" s="1">
        <f>MAX(-16, MIN(16, Games[[#This Row],[OppRestDiff]]*8))</f>
        <v>0</v>
      </c>
      <c r="O29" s="4" cm="1">
        <f t="array" ref="O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1488.2921628156826</v>
      </c>
      <c r="P29" s="4" cm="1">
        <f t="array" ref="P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1613.3146233945452</v>
      </c>
      <c r="Q29" s="4">
        <f>1/(1+10^(((Games[[#This Row],[OppPreGmRate]]+IF(Games[[#This Row],[HomeAway]]="A",HCA,0)+Games[[#This Row],[OppRestAdj]])-(Games[[#This Row],[PreGmRate]]+IF(Games[[#This Row],[HomeAway]]="H",HCA,0)+Games[[#This Row],[RestAdj]]))/400))</f>
        <v>0.44123675352760494</v>
      </c>
      <c r="R29" s="1">
        <v>78</v>
      </c>
      <c r="S29" s="1">
        <v>90</v>
      </c>
      <c r="T29" s="1">
        <v>0</v>
      </c>
      <c r="U29" s="1">
        <f>Games[[#This Row],[PointsFor]]-Games[[#This Row],[PointsAgainst]]</f>
        <v>-12</v>
      </c>
      <c r="V29" s="1">
        <f>IF(Games[[#This Row],[MOV]]&gt;0,1,IF(Games[[#This Row],[MOV]]=0,0.5,0))</f>
        <v>0</v>
      </c>
      <c r="W29" s="4">
        <f>((ABS(Games[[#This Row],[MOV]])+5)^0.6)/(12+0.01*(ABS(Games[[#This Row],[PreGmRate]]-Games[[#This Row],[OppPreGmRate]])))*IF(Games[[#This Row],[OT]]=1,0.9,1)</f>
        <v>0.41309136107226874</v>
      </c>
      <c r="X29" s="7" cm="1">
        <f t="array" ref="X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" s="9">
        <f>MAX(kmin, kmax - 0.15 * MIN(Games[[#This Row],[GamesPlayed]], 82))</f>
        <v>75.55</v>
      </c>
      <c r="Z29" s="4">
        <f>Games[[#This Row],[K]]*Games[[#This Row],[POMult]]</f>
        <v>75.55</v>
      </c>
      <c r="AA29" s="4">
        <f>(Games[[#This Row],[Keff]]*Games[[#This Row],[MOVMult]])*(Games[[#This Row],[Result]]-Games[[#This Row],[ExpectedWin%]])</f>
        <v>-13.770580930325467</v>
      </c>
      <c r="AB29" s="4">
        <f>Games[[#This Row],[PreGmRate]]+Games[[#This Row],[RatingChange]]</f>
        <v>1474.5215818853571</v>
      </c>
      <c r="AC29" s="2">
        <f>IF(Games[[#This Row],[Type]]="R",IF(Games[[#This Row],[Result]]&gt;0.5,1,0),0)</f>
        <v>0</v>
      </c>
      <c r="AD29" s="2">
        <f>IF(Games[[#This Row],[Type]]="R",IF(Games[[#This Row],[Result]]&lt;0.5,1,0),0)</f>
        <v>1</v>
      </c>
      <c r="AE29" s="2">
        <f>IF(AND(Games[[#This Row],[Type]]="P",Games[[#This Row],[Round]]=1),IF(Games[[#This Row],[Result]]&gt;0.5,1,0),0)</f>
        <v>0</v>
      </c>
      <c r="AF29" s="2">
        <f>IF(AND(Games[[#This Row],[Type]]="P",Games[[#This Row],[Round]]=1),IF(Games[[#This Row],[Result]]&lt;0.5,1,0),0)</f>
        <v>0</v>
      </c>
      <c r="AG29" s="2">
        <f>IF(AND(Games[[#This Row],[Type]]="P",Games[[#This Row],[Round]]=2),IF(Games[[#This Row],[Result]]&gt;0.5,1,0),0)</f>
        <v>0</v>
      </c>
      <c r="AH29" s="2">
        <f>IF(AND(Games[[#This Row],[Type]]="P",Games[[#This Row],[Round]]=2),IF(Games[[#This Row],[Result]]&lt;0.5,1,0),0)</f>
        <v>0</v>
      </c>
      <c r="AI29" s="2">
        <f>IF(AND(Games[[#This Row],[Type]]="P",Games[[#This Row],[Round]]=3),IF(Games[[#This Row],[Result]]&gt;0.5,1,0),0)</f>
        <v>0</v>
      </c>
      <c r="AJ29" s="2">
        <f>IF(AND(Games[[#This Row],[Type]]="P",Games[[#This Row],[Round]]=3),IF(Games[[#This Row],[Result]]&lt;0.5,1,0),0)</f>
        <v>0</v>
      </c>
      <c r="AK29" s="2">
        <f>IF(AND(Games[[#This Row],[Type]]="P",Games[[#This Row],[Round]]=4),IF(Games[[#This Row],[Result]]&gt;0.5,1,0),0)</f>
        <v>0</v>
      </c>
      <c r="AL29" s="2">
        <f>IF(AND(Games[[#This Row],[Type]]="P",Games[[#This Row],[Round]]=4),IF(Games[[#This Row],[Result]]&lt;0.5,1,0),0)</f>
        <v>0</v>
      </c>
    </row>
    <row r="30" spans="1:38" x14ac:dyDescent="0.35">
      <c r="A30" s="10">
        <v>44337</v>
      </c>
      <c r="B30" s="2">
        <v>2021</v>
      </c>
      <c r="C30" s="2">
        <f>COUNTIFS(Games[Team],Games[[#This Row],[Team]],Games[Season],Games[[#This Row],[Season]],Games[Date],"&lt;=" &amp; Games[[#This Row],[Date]])</f>
        <v>3</v>
      </c>
      <c r="D30" s="2" t="s">
        <v>79</v>
      </c>
      <c r="E30" s="2" t="s">
        <v>80</v>
      </c>
      <c r="F30" s="1" t="s">
        <v>77</v>
      </c>
      <c r="G30" s="1" t="s">
        <v>69</v>
      </c>
      <c r="H30" s="1" t="s">
        <v>81</v>
      </c>
      <c r="I30" s="2" cm="1">
        <f t="array" ref="I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" s="2" cm="1">
        <f t="array" ref="J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" s="2">
        <f>Games[[#This Row],[DaysOff]]-Games[[#This Row],[OppDaysOff]]</f>
        <v>0</v>
      </c>
      <c r="L30" s="2">
        <f>Games[[#This Row],[OppDaysOff]]-Games[[#This Row],[DaysOff]]</f>
        <v>0</v>
      </c>
      <c r="M30" s="1">
        <f>MAX(-16, MIN(16, Games[[#This Row],[RestDiff]]*8))</f>
        <v>0</v>
      </c>
      <c r="N30" s="1">
        <f>MAX(-16, MIN(16, Games[[#This Row],[OppRestDiff]]*8))</f>
        <v>0</v>
      </c>
      <c r="O30" s="4" cm="1">
        <f t="array" ref="O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1414.065247868504</v>
      </c>
      <c r="P30" s="4" cm="1">
        <f t="array" ref="P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1396.9493151617435</v>
      </c>
      <c r="Q30" s="4">
        <f>1/(1+10^(((Games[[#This Row],[OppPreGmRate]]+IF(Games[[#This Row],[HomeAway]]="A",HCA,0)+Games[[#This Row],[OppRestAdj]])-(Games[[#This Row],[PreGmRate]]+IF(Games[[#This Row],[HomeAway]]="H",HCA,0)+Games[[#This Row],[RestAdj]]))/400))</f>
        <v>0.40491775733808577</v>
      </c>
      <c r="R30" s="1">
        <v>83</v>
      </c>
      <c r="S30" s="1">
        <v>79</v>
      </c>
      <c r="T30" s="1">
        <v>0</v>
      </c>
      <c r="U30" s="1">
        <f>Games[[#This Row],[PointsFor]]-Games[[#This Row],[PointsAgainst]]</f>
        <v>4</v>
      </c>
      <c r="V30" s="1">
        <f>IF(Games[[#This Row],[MOV]]&gt;0,1,IF(Games[[#This Row],[MOV]]=0,0.5,0))</f>
        <v>1</v>
      </c>
      <c r="W30" s="4">
        <f>((ABS(Games[[#This Row],[MOV]])+5)^0.6)/(12+0.01*(ABS(Games[[#This Row],[PreGmRate]]-Games[[#This Row],[OppPreGmRate]])))*IF(Games[[#This Row],[OT]]=1,0.9,1)</f>
        <v>0.30705315068346517</v>
      </c>
      <c r="X30" s="7" cm="1">
        <f t="array" ref="X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" s="9">
        <f>MAX(kmin, kmax - 0.15 * MIN(Games[[#This Row],[GamesPlayed]], 82))</f>
        <v>75.55</v>
      </c>
      <c r="Z30" s="4">
        <f>Games[[#This Row],[K]]*Games[[#This Row],[POMult]]</f>
        <v>75.55</v>
      </c>
      <c r="AA30" s="4">
        <f>(Games[[#This Row],[Keff]]*Games[[#This Row],[MOVMult]])*(Games[[#This Row],[Result]]-Games[[#This Row],[ExpectedWin%]])</f>
        <v>13.804637847023052</v>
      </c>
      <c r="AB30" s="4">
        <f>Games[[#This Row],[PreGmRate]]+Games[[#This Row],[RatingChange]]</f>
        <v>1427.8698857155271</v>
      </c>
      <c r="AC30" s="2">
        <f>IF(Games[[#This Row],[Type]]="R",IF(Games[[#This Row],[Result]]&gt;0.5,1,0),0)</f>
        <v>1</v>
      </c>
      <c r="AD30" s="2">
        <f>IF(Games[[#This Row],[Type]]="R",IF(Games[[#This Row],[Result]]&lt;0.5,1,0),0)</f>
        <v>0</v>
      </c>
      <c r="AE30" s="2">
        <f>IF(AND(Games[[#This Row],[Type]]="P",Games[[#This Row],[Round]]=1),IF(Games[[#This Row],[Result]]&gt;0.5,1,0),0)</f>
        <v>0</v>
      </c>
      <c r="AF30" s="2">
        <f>IF(AND(Games[[#This Row],[Type]]="P",Games[[#This Row],[Round]]=1),IF(Games[[#This Row],[Result]]&lt;0.5,1,0),0)</f>
        <v>0</v>
      </c>
      <c r="AG30" s="2">
        <f>IF(AND(Games[[#This Row],[Type]]="P",Games[[#This Row],[Round]]=2),IF(Games[[#This Row],[Result]]&gt;0.5,1,0),0)</f>
        <v>0</v>
      </c>
      <c r="AH30" s="2">
        <f>IF(AND(Games[[#This Row],[Type]]="P",Games[[#This Row],[Round]]=2),IF(Games[[#This Row],[Result]]&lt;0.5,1,0),0)</f>
        <v>0</v>
      </c>
      <c r="AI30" s="2">
        <f>IF(AND(Games[[#This Row],[Type]]="P",Games[[#This Row],[Round]]=3),IF(Games[[#This Row],[Result]]&gt;0.5,1,0),0)</f>
        <v>0</v>
      </c>
      <c r="AJ30" s="2">
        <f>IF(AND(Games[[#This Row],[Type]]="P",Games[[#This Row],[Round]]=3),IF(Games[[#This Row],[Result]]&lt;0.5,1,0),0)</f>
        <v>0</v>
      </c>
      <c r="AK30" s="2">
        <f>IF(AND(Games[[#This Row],[Type]]="P",Games[[#This Row],[Round]]=4),IF(Games[[#This Row],[Result]]&gt;0.5,1,0),0)</f>
        <v>0</v>
      </c>
      <c r="AL30" s="2">
        <f>IF(AND(Games[[#This Row],[Type]]="P",Games[[#This Row],[Round]]=4),IF(Games[[#This Row],[Result]]&lt;0.5,1,0),0)</f>
        <v>0</v>
      </c>
    </row>
    <row r="31" spans="1:38" x14ac:dyDescent="0.35">
      <c r="A31" s="10">
        <v>44337</v>
      </c>
      <c r="B31" s="2">
        <v>2021</v>
      </c>
      <c r="C31" s="2">
        <f>COUNTIFS(Games[Team],Games[[#This Row],[Team]],Games[Season],Games[[#This Row],[Season]],Games[Date],"&lt;=" &amp; Games[[#This Row],[Date]])</f>
        <v>4</v>
      </c>
      <c r="D31" s="2" t="s">
        <v>79</v>
      </c>
      <c r="E31" s="2" t="s">
        <v>80</v>
      </c>
      <c r="F31" s="1" t="s">
        <v>69</v>
      </c>
      <c r="G31" s="1" t="s">
        <v>77</v>
      </c>
      <c r="H31" s="1" t="s">
        <v>82</v>
      </c>
      <c r="I31" s="2" cm="1">
        <f t="array" ref="I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" s="2" cm="1">
        <f t="array" ref="J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" s="2">
        <f>Games[[#This Row],[DaysOff]]-Games[[#This Row],[OppDaysOff]]</f>
        <v>0</v>
      </c>
      <c r="L31" s="2">
        <f>Games[[#This Row],[OppDaysOff]]-Games[[#This Row],[DaysOff]]</f>
        <v>0</v>
      </c>
      <c r="M31" s="1">
        <f>MAX(-16, MIN(16, Games[[#This Row],[RestDiff]]*8))</f>
        <v>0</v>
      </c>
      <c r="N31" s="1">
        <f>MAX(-16, MIN(16, Games[[#This Row],[OppRestDiff]]*8))</f>
        <v>0</v>
      </c>
      <c r="O31" s="4" cm="1">
        <f t="array" ref="O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1396.9493151617435</v>
      </c>
      <c r="P31" s="4" cm="1">
        <f t="array" ref="P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1414.065247868504</v>
      </c>
      <c r="Q31" s="4">
        <f>1/(1+10^(((Games[[#This Row],[OppPreGmRate]]+IF(Games[[#This Row],[HomeAway]]="A",HCA,0)+Games[[#This Row],[OppRestAdj]])-(Games[[#This Row],[PreGmRate]]+IF(Games[[#This Row],[HomeAway]]="H",HCA,0)+Games[[#This Row],[RestAdj]]))/400))</f>
        <v>0.59508224266191423</v>
      </c>
      <c r="R31" s="1">
        <v>79</v>
      </c>
      <c r="S31" s="1">
        <v>83</v>
      </c>
      <c r="T31" s="1">
        <v>0</v>
      </c>
      <c r="U31" s="1">
        <f>Games[[#This Row],[PointsFor]]-Games[[#This Row],[PointsAgainst]]</f>
        <v>-4</v>
      </c>
      <c r="V31" s="1">
        <f>IF(Games[[#This Row],[MOV]]&gt;0,1,IF(Games[[#This Row],[MOV]]=0,0.5,0))</f>
        <v>0</v>
      </c>
      <c r="W31" s="4">
        <f>((ABS(Games[[#This Row],[MOV]])+5)^0.6)/(12+0.01*(ABS(Games[[#This Row],[PreGmRate]]-Games[[#This Row],[OppPreGmRate]])))*IF(Games[[#This Row],[OT]]=1,0.9,1)</f>
        <v>0.30705315068346517</v>
      </c>
      <c r="X31" s="7" cm="1">
        <f t="array" ref="X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" s="9">
        <f>MAX(kmin, kmax - 0.15 * MIN(Games[[#This Row],[GamesPlayed]], 82))</f>
        <v>75.400000000000006</v>
      </c>
      <c r="Z31" s="4">
        <f>Games[[#This Row],[K]]*Games[[#This Row],[POMult]]</f>
        <v>75.400000000000006</v>
      </c>
      <c r="AA31" s="4">
        <f>(Games[[#This Row],[Keff]]*Games[[#This Row],[MOVMult]])*(Games[[#This Row],[Result]]-Games[[#This Row],[ExpectedWin%]])</f>
        <v>-13.777229565394284</v>
      </c>
      <c r="AB31" s="4">
        <f>Games[[#This Row],[PreGmRate]]+Games[[#This Row],[RatingChange]]</f>
        <v>1383.1720855963492</v>
      </c>
      <c r="AC31" s="2">
        <f>IF(Games[[#This Row],[Type]]="R",IF(Games[[#This Row],[Result]]&gt;0.5,1,0),0)</f>
        <v>0</v>
      </c>
      <c r="AD31" s="2">
        <f>IF(Games[[#This Row],[Type]]="R",IF(Games[[#This Row],[Result]]&lt;0.5,1,0),0)</f>
        <v>1</v>
      </c>
      <c r="AE31" s="2">
        <f>IF(AND(Games[[#This Row],[Type]]="P",Games[[#This Row],[Round]]=1),IF(Games[[#This Row],[Result]]&gt;0.5,1,0),0)</f>
        <v>0</v>
      </c>
      <c r="AF31" s="2">
        <f>IF(AND(Games[[#This Row],[Type]]="P",Games[[#This Row],[Round]]=1),IF(Games[[#This Row],[Result]]&lt;0.5,1,0),0)</f>
        <v>0</v>
      </c>
      <c r="AG31" s="2">
        <f>IF(AND(Games[[#This Row],[Type]]="P",Games[[#This Row],[Round]]=2),IF(Games[[#This Row],[Result]]&gt;0.5,1,0),0)</f>
        <v>0</v>
      </c>
      <c r="AH31" s="2">
        <f>IF(AND(Games[[#This Row],[Type]]="P",Games[[#This Row],[Round]]=2),IF(Games[[#This Row],[Result]]&lt;0.5,1,0),0)</f>
        <v>0</v>
      </c>
      <c r="AI31" s="2">
        <f>IF(AND(Games[[#This Row],[Type]]="P",Games[[#This Row],[Round]]=3),IF(Games[[#This Row],[Result]]&gt;0.5,1,0),0)</f>
        <v>0</v>
      </c>
      <c r="AJ31" s="2">
        <f>IF(AND(Games[[#This Row],[Type]]="P",Games[[#This Row],[Round]]=3),IF(Games[[#This Row],[Result]]&lt;0.5,1,0),0)</f>
        <v>0</v>
      </c>
      <c r="AK31" s="2">
        <f>IF(AND(Games[[#This Row],[Type]]="P",Games[[#This Row],[Round]]=4),IF(Games[[#This Row],[Result]]&gt;0.5,1,0),0)</f>
        <v>0</v>
      </c>
      <c r="AL31" s="2">
        <f>IF(AND(Games[[#This Row],[Type]]="P",Games[[#This Row],[Round]]=4),IF(Games[[#This Row],[Result]]&lt;0.5,1,0),0)</f>
        <v>0</v>
      </c>
    </row>
    <row r="32" spans="1:38" x14ac:dyDescent="0.35">
      <c r="A32" s="10">
        <v>44337</v>
      </c>
      <c r="B32" s="2">
        <v>2021</v>
      </c>
      <c r="C32" s="2">
        <f>COUNTIFS(Games[Team],Games[[#This Row],[Team]],Games[Season],Games[[#This Row],[Season]],Games[Date],"&lt;=" &amp; Games[[#This Row],[Date]])</f>
        <v>2</v>
      </c>
      <c r="D32" s="2" t="s">
        <v>79</v>
      </c>
      <c r="E32" s="2" t="s">
        <v>80</v>
      </c>
      <c r="F32" s="1" t="s">
        <v>63</v>
      </c>
      <c r="G32" s="1" t="s">
        <v>85</v>
      </c>
      <c r="H32" s="1" t="s">
        <v>81</v>
      </c>
      <c r="I32" s="2" cm="1">
        <f t="array" ref="I32">IFERROR(
    Games[[#This Row],[Date]]
    - LOOKUP(
        2,
        1/((Games[Team]=Games[[#This Row],[Team]]) * (Games[Date] &lt; Games[[#This Row],[Date]])),
        Games[Date]
    )
    - 1,
Games[[#This Row],[Date]]-$A$2)</f>
        <v>6</v>
      </c>
      <c r="J32" s="2" cm="1">
        <f t="array" ref="J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2" s="2">
        <f>Games[[#This Row],[DaysOff]]-Games[[#This Row],[OppDaysOff]]</f>
        <v>4</v>
      </c>
      <c r="L32" s="2">
        <f>Games[[#This Row],[OppDaysOff]]-Games[[#This Row],[DaysOff]]</f>
        <v>-4</v>
      </c>
      <c r="M32" s="1">
        <f>MAX(-16, MIN(16, Games[[#This Row],[RestDiff]]*8))</f>
        <v>16</v>
      </c>
      <c r="N32" s="1">
        <f>MAX(-16, MIN(16, Games[[#This Row],[OppRestDiff]]*8))</f>
        <v>-16</v>
      </c>
      <c r="O32" s="4" cm="1">
        <f t="array" ref="O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1496.5813757566027</v>
      </c>
      <c r="P32" s="4" cm="1">
        <f t="array" ref="P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1569.9565711211496</v>
      </c>
      <c r="Q32" s="4">
        <f>1/(1+10^(((Games[[#This Row],[OppPreGmRate]]+IF(Games[[#This Row],[HomeAway]]="A",HCA,0)+Games[[#This Row],[OppRestAdj]])-(Games[[#This Row],[PreGmRate]]+IF(Games[[#This Row],[HomeAway]]="H",HCA,0)+Games[[#This Row],[RestAdj]]))/400))</f>
        <v>0.32701485915916628</v>
      </c>
      <c r="R32" s="1">
        <v>69</v>
      </c>
      <c r="S32" s="1">
        <v>97</v>
      </c>
      <c r="T32" s="1">
        <v>0</v>
      </c>
      <c r="U32" s="1">
        <f>Games[[#This Row],[PointsFor]]-Games[[#This Row],[PointsAgainst]]</f>
        <v>-28</v>
      </c>
      <c r="V32" s="1">
        <f>IF(Games[[#This Row],[MOV]]&gt;0,1,IF(Games[[#This Row],[MOV]]=0,0.5,0))</f>
        <v>0</v>
      </c>
      <c r="W32" s="4">
        <f>((ABS(Games[[#This Row],[MOV]])+5)^0.6)/(12+0.01*(ABS(Games[[#This Row],[PreGmRate]]-Games[[#This Row],[OppPreGmRate]])))*IF(Games[[#This Row],[OT]]=1,0.9,1)</f>
        <v>0.639958745114387</v>
      </c>
      <c r="X32" s="7" cm="1">
        <f t="array" ref="X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" s="9">
        <f>MAX(kmin, kmax - 0.15 * MIN(Games[[#This Row],[GamesPlayed]], 82))</f>
        <v>75.7</v>
      </c>
      <c r="Z32" s="4">
        <f>Games[[#This Row],[K]]*Games[[#This Row],[POMult]]</f>
        <v>75.7</v>
      </c>
      <c r="AA32" s="4">
        <f>(Games[[#This Row],[Keff]]*Games[[#This Row],[MOVMult]])*(Games[[#This Row],[Result]]-Games[[#This Row],[ExpectedWin%]])</f>
        <v>-15.842194630825237</v>
      </c>
      <c r="AB32" s="4">
        <f>Games[[#This Row],[PreGmRate]]+Games[[#This Row],[RatingChange]]</f>
        <v>1480.7391811257776</v>
      </c>
      <c r="AC32" s="2">
        <f>IF(Games[[#This Row],[Type]]="R",IF(Games[[#This Row],[Result]]&gt;0.5,1,0),0)</f>
        <v>0</v>
      </c>
      <c r="AD32" s="2">
        <f>IF(Games[[#This Row],[Type]]="R",IF(Games[[#This Row],[Result]]&lt;0.5,1,0),0)</f>
        <v>1</v>
      </c>
      <c r="AE32" s="2">
        <f>IF(AND(Games[[#This Row],[Type]]="P",Games[[#This Row],[Round]]=1),IF(Games[[#This Row],[Result]]&gt;0.5,1,0),0)</f>
        <v>0</v>
      </c>
      <c r="AF32" s="2">
        <f>IF(AND(Games[[#This Row],[Type]]="P",Games[[#This Row],[Round]]=1),IF(Games[[#This Row],[Result]]&lt;0.5,1,0),0)</f>
        <v>0</v>
      </c>
      <c r="AG32" s="2">
        <f>IF(AND(Games[[#This Row],[Type]]="P",Games[[#This Row],[Round]]=2),IF(Games[[#This Row],[Result]]&gt;0.5,1,0),0)</f>
        <v>0</v>
      </c>
      <c r="AH32" s="2">
        <f>IF(AND(Games[[#This Row],[Type]]="P",Games[[#This Row],[Round]]=2),IF(Games[[#This Row],[Result]]&lt;0.5,1,0),0)</f>
        <v>0</v>
      </c>
      <c r="AI32" s="2">
        <f>IF(AND(Games[[#This Row],[Type]]="P",Games[[#This Row],[Round]]=3),IF(Games[[#This Row],[Result]]&gt;0.5,1,0),0)</f>
        <v>0</v>
      </c>
      <c r="AJ32" s="2">
        <f>IF(AND(Games[[#This Row],[Type]]="P",Games[[#This Row],[Round]]=3),IF(Games[[#This Row],[Result]]&lt;0.5,1,0),0)</f>
        <v>0</v>
      </c>
      <c r="AK32" s="2">
        <f>IF(AND(Games[[#This Row],[Type]]="P",Games[[#This Row],[Round]]=4),IF(Games[[#This Row],[Result]]&gt;0.5,1,0),0)</f>
        <v>0</v>
      </c>
      <c r="AL32" s="2">
        <f>IF(AND(Games[[#This Row],[Type]]="P",Games[[#This Row],[Round]]=4),IF(Games[[#This Row],[Result]]&lt;0.5,1,0),0)</f>
        <v>0</v>
      </c>
    </row>
    <row r="33" spans="1:38" x14ac:dyDescent="0.35">
      <c r="A33" s="10">
        <v>44337</v>
      </c>
      <c r="B33" s="2">
        <v>2021</v>
      </c>
      <c r="C33" s="2">
        <f>COUNTIFS(Games[Team],Games[[#This Row],[Team]],Games[Season],Games[[#This Row],[Season]],Games[Date],"&lt;=" &amp; Games[[#This Row],[Date]])</f>
        <v>3</v>
      </c>
      <c r="D33" s="2" t="s">
        <v>79</v>
      </c>
      <c r="E33" s="2" t="s">
        <v>80</v>
      </c>
      <c r="F33" s="1" t="s">
        <v>85</v>
      </c>
      <c r="G33" s="1" t="s">
        <v>63</v>
      </c>
      <c r="H33" s="1" t="s">
        <v>82</v>
      </c>
      <c r="I33" s="2" cm="1">
        <f t="array" ref="I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" s="2" cm="1">
        <f t="array" ref="J33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3" s="2">
        <f>Games[[#This Row],[DaysOff]]-Games[[#This Row],[OppDaysOff]]</f>
        <v>-4</v>
      </c>
      <c r="L33" s="2">
        <f>Games[[#This Row],[OppDaysOff]]-Games[[#This Row],[DaysOff]]</f>
        <v>4</v>
      </c>
      <c r="M33" s="1">
        <f>MAX(-16, MIN(16, Games[[#This Row],[RestDiff]]*8))</f>
        <v>-16</v>
      </c>
      <c r="N33" s="1">
        <f>MAX(-16, MIN(16, Games[[#This Row],[OppRestDiff]]*8))</f>
        <v>16</v>
      </c>
      <c r="O33" s="4" cm="1">
        <f t="array" ref="O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1569.9565711211496</v>
      </c>
      <c r="P33" s="4" cm="1">
        <f t="array" ref="P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1496.5813757566027</v>
      </c>
      <c r="Q33" s="4">
        <f>1/(1+10^(((Games[[#This Row],[OppPreGmRate]]+IF(Games[[#This Row],[HomeAway]]="A",HCA,0)+Games[[#This Row],[OppRestAdj]])-(Games[[#This Row],[PreGmRate]]+IF(Games[[#This Row],[HomeAway]]="H",HCA,0)+Games[[#This Row],[RestAdj]]))/400))</f>
        <v>0.67298514084083383</v>
      </c>
      <c r="R33" s="1">
        <v>97</v>
      </c>
      <c r="S33" s="1">
        <v>69</v>
      </c>
      <c r="T33" s="1">
        <v>0</v>
      </c>
      <c r="U33" s="1">
        <f>Games[[#This Row],[PointsFor]]-Games[[#This Row],[PointsAgainst]]</f>
        <v>28</v>
      </c>
      <c r="V33" s="1">
        <f>IF(Games[[#This Row],[MOV]]&gt;0,1,IF(Games[[#This Row],[MOV]]=0,0.5,0))</f>
        <v>1</v>
      </c>
      <c r="W33" s="4">
        <f>((ABS(Games[[#This Row],[MOV]])+5)^0.6)/(12+0.01*(ABS(Games[[#This Row],[PreGmRate]]-Games[[#This Row],[OppPreGmRate]])))*IF(Games[[#This Row],[OT]]=1,0.9,1)</f>
        <v>0.639958745114387</v>
      </c>
      <c r="X33" s="7" cm="1">
        <f t="array" ref="X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" s="9">
        <f>MAX(kmin, kmax - 0.15 * MIN(Games[[#This Row],[GamesPlayed]], 82))</f>
        <v>75.55</v>
      </c>
      <c r="Z33" s="4">
        <f>Games[[#This Row],[K]]*Games[[#This Row],[POMult]]</f>
        <v>75.55</v>
      </c>
      <c r="AA33" s="4">
        <f>(Games[[#This Row],[Keff]]*Games[[#This Row],[MOVMult]])*(Games[[#This Row],[Result]]-Games[[#This Row],[ExpectedWin%]])</f>
        <v>15.810803227990039</v>
      </c>
      <c r="AB33" s="4">
        <f>Games[[#This Row],[PreGmRate]]+Games[[#This Row],[RatingChange]]</f>
        <v>1585.7673743491396</v>
      </c>
      <c r="AC33" s="2">
        <f>IF(Games[[#This Row],[Type]]="R",IF(Games[[#This Row],[Result]]&gt;0.5,1,0),0)</f>
        <v>1</v>
      </c>
      <c r="AD33" s="2">
        <f>IF(Games[[#This Row],[Type]]="R",IF(Games[[#This Row],[Result]]&lt;0.5,1,0),0)</f>
        <v>0</v>
      </c>
      <c r="AE33" s="2">
        <f>IF(AND(Games[[#This Row],[Type]]="P",Games[[#This Row],[Round]]=1),IF(Games[[#This Row],[Result]]&gt;0.5,1,0),0)</f>
        <v>0</v>
      </c>
      <c r="AF33" s="2">
        <f>IF(AND(Games[[#This Row],[Type]]="P",Games[[#This Row],[Round]]=1),IF(Games[[#This Row],[Result]]&lt;0.5,1,0),0)</f>
        <v>0</v>
      </c>
      <c r="AG33" s="2">
        <f>IF(AND(Games[[#This Row],[Type]]="P",Games[[#This Row],[Round]]=2),IF(Games[[#This Row],[Result]]&gt;0.5,1,0),0)</f>
        <v>0</v>
      </c>
      <c r="AH33" s="2">
        <f>IF(AND(Games[[#This Row],[Type]]="P",Games[[#This Row],[Round]]=2),IF(Games[[#This Row],[Result]]&lt;0.5,1,0),0)</f>
        <v>0</v>
      </c>
      <c r="AI33" s="2">
        <f>IF(AND(Games[[#This Row],[Type]]="P",Games[[#This Row],[Round]]=3),IF(Games[[#This Row],[Result]]&gt;0.5,1,0),0)</f>
        <v>0</v>
      </c>
      <c r="AJ33" s="2">
        <f>IF(AND(Games[[#This Row],[Type]]="P",Games[[#This Row],[Round]]=3),IF(Games[[#This Row],[Result]]&lt;0.5,1,0),0)</f>
        <v>0</v>
      </c>
      <c r="AK33" s="2">
        <f>IF(AND(Games[[#This Row],[Type]]="P",Games[[#This Row],[Round]]=4),IF(Games[[#This Row],[Result]]&gt;0.5,1,0),0)</f>
        <v>0</v>
      </c>
      <c r="AL33" s="2">
        <f>IF(AND(Games[[#This Row],[Type]]="P",Games[[#This Row],[Round]]=4),IF(Games[[#This Row],[Result]]&lt;0.5,1,0),0)</f>
        <v>0</v>
      </c>
    </row>
    <row r="34" spans="1:38" x14ac:dyDescent="0.35">
      <c r="A34" s="10">
        <v>44337</v>
      </c>
      <c r="B34" s="2">
        <v>2021</v>
      </c>
      <c r="C34" s="2">
        <f>COUNTIFS(Games[Team],Games[[#This Row],[Team]],Games[Season],Games[[#This Row],[Season]],Games[Date],"&lt;=" &amp; Games[[#This Row],[Date]])</f>
        <v>4</v>
      </c>
      <c r="D34" s="2" t="s">
        <v>79</v>
      </c>
      <c r="E34" s="2" t="s">
        <v>80</v>
      </c>
      <c r="F34" s="1" t="s">
        <v>74</v>
      </c>
      <c r="G34" s="1" t="s">
        <v>40</v>
      </c>
      <c r="H34" s="1" t="s">
        <v>81</v>
      </c>
      <c r="I34" s="2" cm="1">
        <f t="array" ref="I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" s="2" cm="1">
        <f t="array" ref="J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" s="2">
        <f>Games[[#This Row],[DaysOff]]-Games[[#This Row],[OppDaysOff]]</f>
        <v>-1</v>
      </c>
      <c r="L34" s="2">
        <f>Games[[#This Row],[OppDaysOff]]-Games[[#This Row],[DaysOff]]</f>
        <v>1</v>
      </c>
      <c r="M34" s="1">
        <f>MAX(-16, MIN(16, Games[[#This Row],[RestDiff]]*8))</f>
        <v>-8</v>
      </c>
      <c r="N34" s="1">
        <f>MAX(-16, MIN(16, Games[[#This Row],[OppRestDiff]]*8))</f>
        <v>8</v>
      </c>
      <c r="O34" s="4" cm="1">
        <f t="array" ref="O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1572.9925700166359</v>
      </c>
      <c r="P34" s="4" cm="1">
        <f t="array" ref="P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1540.781340832737</v>
      </c>
      <c r="Q34" s="4">
        <f>1/(1+10^(((Games[[#This Row],[OppPreGmRate]]+IF(Games[[#This Row],[HomeAway]]="A",HCA,0)+Games[[#This Row],[OppRestAdj]])-(Games[[#This Row],[PreGmRate]]+IF(Games[[#This Row],[HomeAway]]="H",HCA,0)+Games[[#This Row],[RestAdj]]))/400))</f>
        <v>0.40366349087048436</v>
      </c>
      <c r="R34" s="1">
        <v>84</v>
      </c>
      <c r="S34" s="1">
        <v>67</v>
      </c>
      <c r="T34" s="1">
        <v>0</v>
      </c>
      <c r="U34" s="1">
        <f>Games[[#This Row],[PointsFor]]-Games[[#This Row],[PointsAgainst]]</f>
        <v>17</v>
      </c>
      <c r="V34" s="1">
        <f>IF(Games[[#This Row],[MOV]]&gt;0,1,IF(Games[[#This Row],[MOV]]=0,0.5,0))</f>
        <v>1</v>
      </c>
      <c r="W34" s="4">
        <f>((ABS(Games[[#This Row],[MOV]])+5)^0.6)/(12+0.01*(ABS(Games[[#This Row],[PreGmRate]]-Games[[#This Row],[OppPreGmRate]])))*IF(Games[[#This Row],[OT]]=1,0.9,1)</f>
        <v>0.51852350292373517</v>
      </c>
      <c r="X34" s="7" cm="1">
        <f t="array" ref="X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" s="9">
        <f>MAX(kmin, kmax - 0.15 * MIN(Games[[#This Row],[GamesPlayed]], 82))</f>
        <v>75.400000000000006</v>
      </c>
      <c r="Z34" s="4">
        <f>Games[[#This Row],[K]]*Games[[#This Row],[POMult]]</f>
        <v>75.400000000000006</v>
      </c>
      <c r="AA34" s="4">
        <f>(Games[[#This Row],[Keff]]*Games[[#This Row],[MOVMult]])*(Games[[#This Row],[Result]]-Games[[#This Row],[ExpectedWin%]])</f>
        <v>23.314772970890193</v>
      </c>
      <c r="AB34" s="4">
        <f>Games[[#This Row],[PreGmRate]]+Games[[#This Row],[RatingChange]]</f>
        <v>1596.307342987526</v>
      </c>
      <c r="AC34" s="2">
        <f>IF(Games[[#This Row],[Type]]="R",IF(Games[[#This Row],[Result]]&gt;0.5,1,0),0)</f>
        <v>1</v>
      </c>
      <c r="AD34" s="2">
        <f>IF(Games[[#This Row],[Type]]="R",IF(Games[[#This Row],[Result]]&lt;0.5,1,0),0)</f>
        <v>0</v>
      </c>
      <c r="AE34" s="2">
        <f>IF(AND(Games[[#This Row],[Type]]="P",Games[[#This Row],[Round]]=1),IF(Games[[#This Row],[Result]]&gt;0.5,1,0),0)</f>
        <v>0</v>
      </c>
      <c r="AF34" s="2">
        <f>IF(AND(Games[[#This Row],[Type]]="P",Games[[#This Row],[Round]]=1),IF(Games[[#This Row],[Result]]&lt;0.5,1,0),0)</f>
        <v>0</v>
      </c>
      <c r="AG34" s="2">
        <f>IF(AND(Games[[#This Row],[Type]]="P",Games[[#This Row],[Round]]=2),IF(Games[[#This Row],[Result]]&gt;0.5,1,0),0)</f>
        <v>0</v>
      </c>
      <c r="AH34" s="2">
        <f>IF(AND(Games[[#This Row],[Type]]="P",Games[[#This Row],[Round]]=2),IF(Games[[#This Row],[Result]]&lt;0.5,1,0),0)</f>
        <v>0</v>
      </c>
      <c r="AI34" s="2">
        <f>IF(AND(Games[[#This Row],[Type]]="P",Games[[#This Row],[Round]]=3),IF(Games[[#This Row],[Result]]&gt;0.5,1,0),0)</f>
        <v>0</v>
      </c>
      <c r="AJ34" s="2">
        <f>IF(AND(Games[[#This Row],[Type]]="P",Games[[#This Row],[Round]]=3),IF(Games[[#This Row],[Result]]&lt;0.5,1,0),0)</f>
        <v>0</v>
      </c>
      <c r="AK34" s="2">
        <f>IF(AND(Games[[#This Row],[Type]]="P",Games[[#This Row],[Round]]=4),IF(Games[[#This Row],[Result]]&gt;0.5,1,0),0)</f>
        <v>0</v>
      </c>
      <c r="AL34" s="2">
        <f>IF(AND(Games[[#This Row],[Type]]="P",Games[[#This Row],[Round]]=4),IF(Games[[#This Row],[Result]]&lt;0.5,1,0),0)</f>
        <v>0</v>
      </c>
    </row>
    <row r="35" spans="1:38" x14ac:dyDescent="0.35">
      <c r="A35" s="10">
        <v>44337</v>
      </c>
      <c r="B35" s="2">
        <v>2021</v>
      </c>
      <c r="C35" s="2">
        <f>COUNTIFS(Games[Team],Games[[#This Row],[Team]],Games[Season],Games[[#This Row],[Season]],Games[Date],"&lt;=" &amp; Games[[#This Row],[Date]])</f>
        <v>4</v>
      </c>
      <c r="D35" s="2" t="s">
        <v>79</v>
      </c>
      <c r="E35" s="2" t="s">
        <v>80</v>
      </c>
      <c r="F35" s="1" t="s">
        <v>40</v>
      </c>
      <c r="G35" s="1" t="s">
        <v>74</v>
      </c>
      <c r="H35" s="1" t="s">
        <v>82</v>
      </c>
      <c r="I35" s="2" cm="1">
        <f t="array" ref="I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" s="2" cm="1">
        <f t="array" ref="J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" s="2">
        <f>Games[[#This Row],[DaysOff]]-Games[[#This Row],[OppDaysOff]]</f>
        <v>1</v>
      </c>
      <c r="L35" s="2">
        <f>Games[[#This Row],[OppDaysOff]]-Games[[#This Row],[DaysOff]]</f>
        <v>-1</v>
      </c>
      <c r="M35" s="1">
        <f>MAX(-16, MIN(16, Games[[#This Row],[RestDiff]]*8))</f>
        <v>8</v>
      </c>
      <c r="N35" s="1">
        <f>MAX(-16, MIN(16, Games[[#This Row],[OppRestDiff]]*8))</f>
        <v>-8</v>
      </c>
      <c r="O35" s="4" cm="1">
        <f t="array" ref="O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1540.781340832737</v>
      </c>
      <c r="P35" s="4" cm="1">
        <f t="array" ref="P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1572.9925700166359</v>
      </c>
      <c r="Q35" s="4">
        <f>1/(1+10^(((Games[[#This Row],[OppPreGmRate]]+IF(Games[[#This Row],[HomeAway]]="A",HCA,0)+Games[[#This Row],[OppRestAdj]])-(Games[[#This Row],[PreGmRate]]+IF(Games[[#This Row],[HomeAway]]="H",HCA,0)+Games[[#This Row],[RestAdj]]))/400))</f>
        <v>0.59633650912951564</v>
      </c>
      <c r="R35" s="1">
        <v>67</v>
      </c>
      <c r="S35" s="1">
        <v>84</v>
      </c>
      <c r="T35" s="1">
        <v>0</v>
      </c>
      <c r="U35" s="1">
        <f>Games[[#This Row],[PointsFor]]-Games[[#This Row],[PointsAgainst]]</f>
        <v>-17</v>
      </c>
      <c r="V35" s="1">
        <f>IF(Games[[#This Row],[MOV]]&gt;0,1,IF(Games[[#This Row],[MOV]]=0,0.5,0))</f>
        <v>0</v>
      </c>
      <c r="W35" s="4">
        <f>((ABS(Games[[#This Row],[MOV]])+5)^0.6)/(12+0.01*(ABS(Games[[#This Row],[PreGmRate]]-Games[[#This Row],[OppPreGmRate]])))*IF(Games[[#This Row],[OT]]=1,0.9,1)</f>
        <v>0.51852350292373517</v>
      </c>
      <c r="X35" s="7" cm="1">
        <f t="array" ref="X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" s="9">
        <f>MAX(kmin, kmax - 0.15 * MIN(Games[[#This Row],[GamesPlayed]], 82))</f>
        <v>75.400000000000006</v>
      </c>
      <c r="Z35" s="4">
        <f>Games[[#This Row],[K]]*Games[[#This Row],[POMult]]</f>
        <v>75.400000000000006</v>
      </c>
      <c r="AA35" s="4">
        <f>(Games[[#This Row],[Keff]]*Games[[#This Row],[MOVMult]])*(Games[[#This Row],[Result]]-Games[[#This Row],[ExpectedWin%]])</f>
        <v>-23.314772970890193</v>
      </c>
      <c r="AB35" s="4">
        <f>Games[[#This Row],[PreGmRate]]+Games[[#This Row],[RatingChange]]</f>
        <v>1517.4665678618469</v>
      </c>
      <c r="AC35" s="2">
        <f>IF(Games[[#This Row],[Type]]="R",IF(Games[[#This Row],[Result]]&gt;0.5,1,0),0)</f>
        <v>0</v>
      </c>
      <c r="AD35" s="2">
        <f>IF(Games[[#This Row],[Type]]="R",IF(Games[[#This Row],[Result]]&lt;0.5,1,0),0)</f>
        <v>1</v>
      </c>
      <c r="AE35" s="2">
        <f>IF(AND(Games[[#This Row],[Type]]="P",Games[[#This Row],[Round]]=1),IF(Games[[#This Row],[Result]]&gt;0.5,1,0),0)</f>
        <v>0</v>
      </c>
      <c r="AF35" s="2">
        <f>IF(AND(Games[[#This Row],[Type]]="P",Games[[#This Row],[Round]]=1),IF(Games[[#This Row],[Result]]&lt;0.5,1,0),0)</f>
        <v>0</v>
      </c>
      <c r="AG35" s="2">
        <f>IF(AND(Games[[#This Row],[Type]]="P",Games[[#This Row],[Round]]=2),IF(Games[[#This Row],[Result]]&gt;0.5,1,0),0)</f>
        <v>0</v>
      </c>
      <c r="AH35" s="2">
        <f>IF(AND(Games[[#This Row],[Type]]="P",Games[[#This Row],[Round]]=2),IF(Games[[#This Row],[Result]]&lt;0.5,1,0),0)</f>
        <v>0</v>
      </c>
      <c r="AI35" s="2">
        <f>IF(AND(Games[[#This Row],[Type]]="P",Games[[#This Row],[Round]]=3),IF(Games[[#This Row],[Result]]&gt;0.5,1,0),0)</f>
        <v>0</v>
      </c>
      <c r="AJ35" s="2">
        <f>IF(AND(Games[[#This Row],[Type]]="P",Games[[#This Row],[Round]]=3),IF(Games[[#This Row],[Result]]&lt;0.5,1,0),0)</f>
        <v>0</v>
      </c>
      <c r="AK35" s="2">
        <f>IF(AND(Games[[#This Row],[Type]]="P",Games[[#This Row],[Round]]=4),IF(Games[[#This Row],[Result]]&gt;0.5,1,0),0)</f>
        <v>0</v>
      </c>
      <c r="AL35" s="2">
        <f>IF(AND(Games[[#This Row],[Type]]="P",Games[[#This Row],[Round]]=4),IF(Games[[#This Row],[Result]]&lt;0.5,1,0),0)</f>
        <v>0</v>
      </c>
    </row>
    <row r="36" spans="1:38" x14ac:dyDescent="0.35">
      <c r="A36" s="10">
        <v>44337</v>
      </c>
      <c r="B36" s="2">
        <v>2021</v>
      </c>
      <c r="C36" s="2">
        <f>COUNTIFS(Games[Team],Games[[#This Row],[Team]],Games[Season],Games[[#This Row],[Season]],Games[Date],"&lt;=" &amp; Games[[#This Row],[Date]])</f>
        <v>4</v>
      </c>
      <c r="D36" s="2" t="s">
        <v>79</v>
      </c>
      <c r="E36" s="2" t="s">
        <v>80</v>
      </c>
      <c r="F36" s="1" t="s">
        <v>60</v>
      </c>
      <c r="G36" s="1" t="s">
        <v>65</v>
      </c>
      <c r="H36" s="1" t="s">
        <v>81</v>
      </c>
      <c r="I36" s="2" cm="1">
        <f t="array" ref="I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36" s="2" cm="1">
        <f t="array" ref="J3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6" s="2">
        <f>Games[[#This Row],[DaysOff]]-Games[[#This Row],[OppDaysOff]]</f>
        <v>0</v>
      </c>
      <c r="L36" s="2">
        <f>Games[[#This Row],[OppDaysOff]]-Games[[#This Row],[DaysOff]]</f>
        <v>0</v>
      </c>
      <c r="M36" s="1">
        <f>MAX(-16, MIN(16, Games[[#This Row],[RestDiff]]*8))</f>
        <v>0</v>
      </c>
      <c r="N36" s="1">
        <f>MAX(-16, MIN(16, Games[[#This Row],[OppRestDiff]]*8))</f>
        <v>0</v>
      </c>
      <c r="O36" s="4" cm="1">
        <f t="array" ref="O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1427.6002454718071</v>
      </c>
      <c r="P36" s="4" cm="1">
        <f t="array" ref="P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1451.8476830882478</v>
      </c>
      <c r="Q36" s="4">
        <f>1/(1+10^(((Games[[#This Row],[OppPreGmRate]]+IF(Games[[#This Row],[HomeAway]]="A",HCA,0)+Games[[#This Row],[OppRestAdj]])-(Games[[#This Row],[PreGmRate]]+IF(Games[[#This Row],[HomeAway]]="H",HCA,0)+Games[[#This Row],[RestAdj]]))/400))</f>
        <v>0.3490716573143901</v>
      </c>
      <c r="R36" s="1">
        <v>72</v>
      </c>
      <c r="S36" s="1">
        <v>101</v>
      </c>
      <c r="T36" s="1">
        <v>0</v>
      </c>
      <c r="U36" s="1">
        <f>Games[[#This Row],[PointsFor]]-Games[[#This Row],[PointsAgainst]]</f>
        <v>-29</v>
      </c>
      <c r="V36" s="1">
        <f>IF(Games[[#This Row],[MOV]]&gt;0,1,IF(Games[[#This Row],[MOV]]=0,0.5,0))</f>
        <v>0</v>
      </c>
      <c r="W36" s="4">
        <f>((ABS(Games[[#This Row],[MOV]])+5)^0.6)/(12+0.01*(ABS(Games[[#This Row],[PreGmRate]]-Games[[#This Row],[OppPreGmRate]])))*IF(Games[[#This Row],[OT]]=1,0.9,1)</f>
        <v>0.67766982271851461</v>
      </c>
      <c r="X36" s="7" cm="1">
        <f t="array" ref="X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" s="9">
        <f>MAX(kmin, kmax - 0.15 * MIN(Games[[#This Row],[GamesPlayed]], 82))</f>
        <v>75.400000000000006</v>
      </c>
      <c r="Z36" s="4">
        <f>Games[[#This Row],[K]]*Games[[#This Row],[POMult]]</f>
        <v>75.400000000000006</v>
      </c>
      <c r="AA36" s="4">
        <f>(Games[[#This Row],[Keff]]*Games[[#This Row],[MOVMult]])*(Games[[#This Row],[Result]]-Games[[#This Row],[ExpectedWin%]])</f>
        <v>-17.836271740873883</v>
      </c>
      <c r="AB36" s="4">
        <f>Games[[#This Row],[PreGmRate]]+Games[[#This Row],[RatingChange]]</f>
        <v>1409.7639737309332</v>
      </c>
      <c r="AC36" s="2">
        <f>IF(Games[[#This Row],[Type]]="R",IF(Games[[#This Row],[Result]]&gt;0.5,1,0),0)</f>
        <v>0</v>
      </c>
      <c r="AD36" s="2">
        <f>IF(Games[[#This Row],[Type]]="R",IF(Games[[#This Row],[Result]]&lt;0.5,1,0),0)</f>
        <v>1</v>
      </c>
      <c r="AE36" s="2">
        <f>IF(AND(Games[[#This Row],[Type]]="P",Games[[#This Row],[Round]]=1),IF(Games[[#This Row],[Result]]&gt;0.5,1,0),0)</f>
        <v>0</v>
      </c>
      <c r="AF36" s="2">
        <f>IF(AND(Games[[#This Row],[Type]]="P",Games[[#This Row],[Round]]=1),IF(Games[[#This Row],[Result]]&lt;0.5,1,0),0)</f>
        <v>0</v>
      </c>
      <c r="AG36" s="2">
        <f>IF(AND(Games[[#This Row],[Type]]="P",Games[[#This Row],[Round]]=2),IF(Games[[#This Row],[Result]]&gt;0.5,1,0),0)</f>
        <v>0</v>
      </c>
      <c r="AH36" s="2">
        <f>IF(AND(Games[[#This Row],[Type]]="P",Games[[#This Row],[Round]]=2),IF(Games[[#This Row],[Result]]&lt;0.5,1,0),0)</f>
        <v>0</v>
      </c>
      <c r="AI36" s="2">
        <f>IF(AND(Games[[#This Row],[Type]]="P",Games[[#This Row],[Round]]=3),IF(Games[[#This Row],[Result]]&gt;0.5,1,0),0)</f>
        <v>0</v>
      </c>
      <c r="AJ36" s="2">
        <f>IF(AND(Games[[#This Row],[Type]]="P",Games[[#This Row],[Round]]=3),IF(Games[[#This Row],[Result]]&lt;0.5,1,0),0)</f>
        <v>0</v>
      </c>
      <c r="AK36" s="2">
        <f>IF(AND(Games[[#This Row],[Type]]="P",Games[[#This Row],[Round]]=4),IF(Games[[#This Row],[Result]]&gt;0.5,1,0),0)</f>
        <v>0</v>
      </c>
      <c r="AL36" s="2">
        <f>IF(AND(Games[[#This Row],[Type]]="P",Games[[#This Row],[Round]]=4),IF(Games[[#This Row],[Result]]&lt;0.5,1,0),0)</f>
        <v>0</v>
      </c>
    </row>
    <row r="37" spans="1:38" x14ac:dyDescent="0.35">
      <c r="A37" s="10">
        <v>44337</v>
      </c>
      <c r="B37" s="2">
        <v>2021</v>
      </c>
      <c r="C37" s="2">
        <f>COUNTIFS(Games[Team],Games[[#This Row],[Team]],Games[Season],Games[[#This Row],[Season]],Games[Date],"&lt;=" &amp; Games[[#This Row],[Date]])</f>
        <v>3</v>
      </c>
      <c r="D37" s="2" t="s">
        <v>79</v>
      </c>
      <c r="E37" s="2" t="s">
        <v>80</v>
      </c>
      <c r="F37" s="1" t="s">
        <v>65</v>
      </c>
      <c r="G37" s="1" t="s">
        <v>60</v>
      </c>
      <c r="H37" s="1" t="s">
        <v>82</v>
      </c>
      <c r="I37" s="2" cm="1">
        <f t="array" ref="I37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" s="2" cm="1">
        <f t="array" ref="J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" s="2">
        <f>Games[[#This Row],[DaysOff]]-Games[[#This Row],[OppDaysOff]]</f>
        <v>0</v>
      </c>
      <c r="L37" s="2">
        <f>Games[[#This Row],[OppDaysOff]]-Games[[#This Row],[DaysOff]]</f>
        <v>0</v>
      </c>
      <c r="M37" s="1">
        <f>MAX(-16, MIN(16, Games[[#This Row],[RestDiff]]*8))</f>
        <v>0</v>
      </c>
      <c r="N37" s="1">
        <f>MAX(-16, MIN(16, Games[[#This Row],[OppRestDiff]]*8))</f>
        <v>0</v>
      </c>
      <c r="O37" s="4" cm="1">
        <f t="array" ref="O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1451.8476830882478</v>
      </c>
      <c r="P37" s="4" cm="1">
        <f t="array" ref="P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1427.6002454718071</v>
      </c>
      <c r="Q37" s="4">
        <f>1/(1+10^(((Games[[#This Row],[OppPreGmRate]]+IF(Games[[#This Row],[HomeAway]]="A",HCA,0)+Games[[#This Row],[OppRestAdj]])-(Games[[#This Row],[PreGmRate]]+IF(Games[[#This Row],[HomeAway]]="H",HCA,0)+Games[[#This Row],[RestAdj]]))/400))</f>
        <v>0.65092834268560995</v>
      </c>
      <c r="R37" s="1">
        <v>101</v>
      </c>
      <c r="S37" s="1">
        <v>72</v>
      </c>
      <c r="T37" s="1">
        <v>0</v>
      </c>
      <c r="U37" s="1">
        <f>Games[[#This Row],[PointsFor]]-Games[[#This Row],[PointsAgainst]]</f>
        <v>29</v>
      </c>
      <c r="V37" s="1">
        <f>IF(Games[[#This Row],[MOV]]&gt;0,1,IF(Games[[#This Row],[MOV]]=0,0.5,0))</f>
        <v>1</v>
      </c>
      <c r="W37" s="4">
        <f>((ABS(Games[[#This Row],[MOV]])+5)^0.6)/(12+0.01*(ABS(Games[[#This Row],[PreGmRate]]-Games[[#This Row],[OppPreGmRate]])))*IF(Games[[#This Row],[OT]]=1,0.9,1)</f>
        <v>0.67766982271851461</v>
      </c>
      <c r="X37" s="7" cm="1">
        <f t="array" ref="X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" s="9">
        <f>MAX(kmin, kmax - 0.15 * MIN(Games[[#This Row],[GamesPlayed]], 82))</f>
        <v>75.55</v>
      </c>
      <c r="Z37" s="4">
        <f>Games[[#This Row],[K]]*Games[[#This Row],[POMult]]</f>
        <v>75.55</v>
      </c>
      <c r="AA37" s="4">
        <f>(Games[[#This Row],[Keff]]*Games[[#This Row],[MOVMult]])*(Games[[#This Row],[Result]]-Games[[#This Row],[ExpectedWin%]])</f>
        <v>17.871755040093124</v>
      </c>
      <c r="AB37" s="4">
        <f>Games[[#This Row],[PreGmRate]]+Games[[#This Row],[RatingChange]]</f>
        <v>1469.7194381283409</v>
      </c>
      <c r="AC37" s="2">
        <f>IF(Games[[#This Row],[Type]]="R",IF(Games[[#This Row],[Result]]&gt;0.5,1,0),0)</f>
        <v>1</v>
      </c>
      <c r="AD37" s="2">
        <f>IF(Games[[#This Row],[Type]]="R",IF(Games[[#This Row],[Result]]&lt;0.5,1,0),0)</f>
        <v>0</v>
      </c>
      <c r="AE37" s="2">
        <f>IF(AND(Games[[#This Row],[Type]]="P",Games[[#This Row],[Round]]=1),IF(Games[[#This Row],[Result]]&gt;0.5,1,0),0)</f>
        <v>0</v>
      </c>
      <c r="AF37" s="2">
        <f>IF(AND(Games[[#This Row],[Type]]="P",Games[[#This Row],[Round]]=1),IF(Games[[#This Row],[Result]]&lt;0.5,1,0),0)</f>
        <v>0</v>
      </c>
      <c r="AG37" s="2">
        <f>IF(AND(Games[[#This Row],[Type]]="P",Games[[#This Row],[Round]]=2),IF(Games[[#This Row],[Result]]&gt;0.5,1,0),0)</f>
        <v>0</v>
      </c>
      <c r="AH37" s="2">
        <f>IF(AND(Games[[#This Row],[Type]]="P",Games[[#This Row],[Round]]=2),IF(Games[[#This Row],[Result]]&lt;0.5,1,0),0)</f>
        <v>0</v>
      </c>
      <c r="AI37" s="2">
        <f>IF(AND(Games[[#This Row],[Type]]="P",Games[[#This Row],[Round]]=3),IF(Games[[#This Row],[Result]]&gt;0.5,1,0),0)</f>
        <v>0</v>
      </c>
      <c r="AJ37" s="2">
        <f>IF(AND(Games[[#This Row],[Type]]="P",Games[[#This Row],[Round]]=3),IF(Games[[#This Row],[Result]]&lt;0.5,1,0),0)</f>
        <v>0</v>
      </c>
      <c r="AK37" s="2">
        <f>IF(AND(Games[[#This Row],[Type]]="P",Games[[#This Row],[Round]]=4),IF(Games[[#This Row],[Result]]&gt;0.5,1,0),0)</f>
        <v>0</v>
      </c>
      <c r="AL37" s="2">
        <f>IF(AND(Games[[#This Row],[Type]]="P",Games[[#This Row],[Round]]=4),IF(Games[[#This Row],[Result]]&lt;0.5,1,0),0)</f>
        <v>0</v>
      </c>
    </row>
    <row r="38" spans="1:38" x14ac:dyDescent="0.35">
      <c r="A38" s="10">
        <v>44338</v>
      </c>
      <c r="B38" s="2">
        <v>2021</v>
      </c>
      <c r="C38" s="2">
        <f>COUNTIFS(Games[Team],Games[[#This Row],[Team]],Games[Season],Games[[#This Row],[Season]],Games[Date],"&lt;=" &amp; Games[[#This Row],[Date]])</f>
        <v>4</v>
      </c>
      <c r="D38" s="2" t="s">
        <v>79</v>
      </c>
      <c r="E38" s="2" t="s">
        <v>80</v>
      </c>
      <c r="F38" s="1" t="s">
        <v>71</v>
      </c>
      <c r="G38" s="1" t="s">
        <v>84</v>
      </c>
      <c r="H38" s="1" t="s">
        <v>81</v>
      </c>
      <c r="I38" s="2" cm="1">
        <f t="array" ref="I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" s="2" cm="1">
        <f t="array" ref="J38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8" s="2">
        <f>Games[[#This Row],[DaysOff]]-Games[[#This Row],[OppDaysOff]]</f>
        <v>-6</v>
      </c>
      <c r="L38" s="2">
        <f>Games[[#This Row],[OppDaysOff]]-Games[[#This Row],[DaysOff]]</f>
        <v>6</v>
      </c>
      <c r="M38" s="1">
        <f>MAX(-16, MIN(16, Games[[#This Row],[RestDiff]]*8))</f>
        <v>-16</v>
      </c>
      <c r="N38" s="1">
        <f>MAX(-16, MIN(16, Games[[#This Row],[OppRestDiff]]*8))</f>
        <v>16</v>
      </c>
      <c r="O38" s="4" cm="1">
        <f t="array" ref="O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1627.0852043248706</v>
      </c>
      <c r="P38" s="4" cm="1">
        <f t="array" ref="P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1489.2744049083774</v>
      </c>
      <c r="Q38" s="4">
        <f>1/(1+10^(((Games[[#This Row],[OppPreGmRate]]+IF(Games[[#This Row],[HomeAway]]="A",HCA,0)+Games[[#This Row],[OppRestAdj]])-(Games[[#This Row],[PreGmRate]]+IF(Games[[#This Row],[HomeAway]]="H",HCA,0)+Games[[#This Row],[RestAdj]]))/400))</f>
        <v>0.53134709580635853</v>
      </c>
      <c r="R38" s="1">
        <v>100</v>
      </c>
      <c r="S38" s="1">
        <v>97</v>
      </c>
      <c r="T38" s="1">
        <v>1</v>
      </c>
      <c r="U38" s="1">
        <f>Games[[#This Row],[PointsFor]]-Games[[#This Row],[PointsAgainst]]</f>
        <v>3</v>
      </c>
      <c r="V38" s="1">
        <f>IF(Games[[#This Row],[MOV]]&gt;0,1,IF(Games[[#This Row],[MOV]]=0,0.5,0))</f>
        <v>1</v>
      </c>
      <c r="W38" s="4">
        <f>((ABS(Games[[#This Row],[MOV]])+5)^0.6)/(12+0.01*(ABS(Games[[#This Row],[PreGmRate]]-Games[[#This Row],[OppPreGmRate]])))*IF(Games[[#This Row],[OT]]=1,0.9,1)</f>
        <v>0.23426197704735091</v>
      </c>
      <c r="X38" s="7" cm="1">
        <f t="array" ref="X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" s="9">
        <f>MAX(kmin, kmax - 0.15 * MIN(Games[[#This Row],[GamesPlayed]], 82))</f>
        <v>75.400000000000006</v>
      </c>
      <c r="Z38" s="4">
        <f>Games[[#This Row],[K]]*Games[[#This Row],[POMult]]</f>
        <v>75.400000000000006</v>
      </c>
      <c r="AA38" s="4">
        <f>(Games[[#This Row],[Keff]]*Games[[#This Row],[MOVMult]])*(Games[[#This Row],[Result]]-Games[[#This Row],[ExpectedWin%]])</f>
        <v>8.2779817137580434</v>
      </c>
      <c r="AB38" s="4">
        <f>Games[[#This Row],[PreGmRate]]+Games[[#This Row],[RatingChange]]</f>
        <v>1635.3631860386286</v>
      </c>
      <c r="AC38" s="2">
        <f>IF(Games[[#This Row],[Type]]="R",IF(Games[[#This Row],[Result]]&gt;0.5,1,0),0)</f>
        <v>1</v>
      </c>
      <c r="AD38" s="2">
        <f>IF(Games[[#This Row],[Type]]="R",IF(Games[[#This Row],[Result]]&lt;0.5,1,0),0)</f>
        <v>0</v>
      </c>
      <c r="AE38" s="2">
        <f>IF(AND(Games[[#This Row],[Type]]="P",Games[[#This Row],[Round]]=1),IF(Games[[#This Row],[Result]]&gt;0.5,1,0),0)</f>
        <v>0</v>
      </c>
      <c r="AF38" s="2">
        <f>IF(AND(Games[[#This Row],[Type]]="P",Games[[#This Row],[Round]]=1),IF(Games[[#This Row],[Result]]&lt;0.5,1,0),0)</f>
        <v>0</v>
      </c>
      <c r="AG38" s="2">
        <f>IF(AND(Games[[#This Row],[Type]]="P",Games[[#This Row],[Round]]=2),IF(Games[[#This Row],[Result]]&gt;0.5,1,0),0)</f>
        <v>0</v>
      </c>
      <c r="AH38" s="2">
        <f>IF(AND(Games[[#This Row],[Type]]="P",Games[[#This Row],[Round]]=2),IF(Games[[#This Row],[Result]]&lt;0.5,1,0),0)</f>
        <v>0</v>
      </c>
      <c r="AI38" s="2">
        <f>IF(AND(Games[[#This Row],[Type]]="P",Games[[#This Row],[Round]]=3),IF(Games[[#This Row],[Result]]&gt;0.5,1,0),0)</f>
        <v>0</v>
      </c>
      <c r="AJ38" s="2">
        <f>IF(AND(Games[[#This Row],[Type]]="P",Games[[#This Row],[Round]]=3),IF(Games[[#This Row],[Result]]&lt;0.5,1,0),0)</f>
        <v>0</v>
      </c>
      <c r="AK38" s="2">
        <f>IF(AND(Games[[#This Row],[Type]]="P",Games[[#This Row],[Round]]=4),IF(Games[[#This Row],[Result]]&gt;0.5,1,0),0)</f>
        <v>0</v>
      </c>
      <c r="AL38" s="2">
        <f>IF(AND(Games[[#This Row],[Type]]="P",Games[[#This Row],[Round]]=4),IF(Games[[#This Row],[Result]]&lt;0.5,1,0),0)</f>
        <v>0</v>
      </c>
    </row>
    <row r="39" spans="1:38" x14ac:dyDescent="0.35">
      <c r="A39" s="10">
        <v>44338</v>
      </c>
      <c r="B39" s="2">
        <v>2021</v>
      </c>
      <c r="C39" s="2">
        <f>COUNTIFS(Games[Team],Games[[#This Row],[Team]],Games[Season],Games[[#This Row],[Season]],Games[Date],"&lt;=" &amp; Games[[#This Row],[Date]])</f>
        <v>2</v>
      </c>
      <c r="D39" s="2" t="s">
        <v>79</v>
      </c>
      <c r="E39" s="2" t="s">
        <v>80</v>
      </c>
      <c r="F39" s="1" t="s">
        <v>84</v>
      </c>
      <c r="G39" s="1" t="s">
        <v>71</v>
      </c>
      <c r="H39" s="1" t="s">
        <v>82</v>
      </c>
      <c r="I39" s="2" cm="1">
        <f t="array" ref="I39">IFERROR(
    Games[[#This Row],[Date]]
    - LOOKUP(
        2,
        1/((Games[Team]=Games[[#This Row],[Team]]) * (Games[Date] &lt; Games[[#This Row],[Date]])),
        Games[Date]
    )
    - 1,
Games[[#This Row],[Date]]-$A$2)</f>
        <v>7</v>
      </c>
      <c r="J39" s="2" cm="1">
        <f t="array" ref="J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" s="2">
        <f>Games[[#This Row],[DaysOff]]-Games[[#This Row],[OppDaysOff]]</f>
        <v>6</v>
      </c>
      <c r="L39" s="2">
        <f>Games[[#This Row],[OppDaysOff]]-Games[[#This Row],[DaysOff]]</f>
        <v>-6</v>
      </c>
      <c r="M39" s="1">
        <f>MAX(-16, MIN(16, Games[[#This Row],[RestDiff]]*8))</f>
        <v>16</v>
      </c>
      <c r="N39" s="1">
        <f>MAX(-16, MIN(16, Games[[#This Row],[OppRestDiff]]*8))</f>
        <v>-16</v>
      </c>
      <c r="O39" s="4" cm="1">
        <f t="array" ref="O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1489.2744049083774</v>
      </c>
      <c r="P39" s="4" cm="1">
        <f t="array" ref="P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1627.0852043248706</v>
      </c>
      <c r="Q39" s="4">
        <f>1/(1+10^(((Games[[#This Row],[OppPreGmRate]]+IF(Games[[#This Row],[HomeAway]]="A",HCA,0)+Games[[#This Row],[OppRestAdj]])-(Games[[#This Row],[PreGmRate]]+IF(Games[[#This Row],[HomeAway]]="H",HCA,0)+Games[[#This Row],[RestAdj]]))/400))</f>
        <v>0.46865290419364153</v>
      </c>
      <c r="R39" s="1">
        <v>97</v>
      </c>
      <c r="S39" s="1">
        <v>100</v>
      </c>
      <c r="T39" s="1">
        <v>1</v>
      </c>
      <c r="U39" s="1">
        <f>Games[[#This Row],[PointsFor]]-Games[[#This Row],[PointsAgainst]]</f>
        <v>-3</v>
      </c>
      <c r="V39" s="1">
        <f>IF(Games[[#This Row],[MOV]]&gt;0,1,IF(Games[[#This Row],[MOV]]=0,0.5,0))</f>
        <v>0</v>
      </c>
      <c r="W39" s="4">
        <f>((ABS(Games[[#This Row],[MOV]])+5)^0.6)/(12+0.01*(ABS(Games[[#This Row],[PreGmRate]]-Games[[#This Row],[OppPreGmRate]])))*IF(Games[[#This Row],[OT]]=1,0.9,1)</f>
        <v>0.23426197704735091</v>
      </c>
      <c r="X39" s="7" cm="1">
        <f t="array" ref="X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9" s="9">
        <f>MAX(kmin, kmax - 0.15 * MIN(Games[[#This Row],[GamesPlayed]], 82))</f>
        <v>75.7</v>
      </c>
      <c r="Z39" s="4">
        <f>Games[[#This Row],[K]]*Games[[#This Row],[POMult]]</f>
        <v>75.7</v>
      </c>
      <c r="AA39" s="4">
        <f>(Games[[#This Row],[Keff]]*Games[[#This Row],[MOVMult]])*(Games[[#This Row],[Result]]-Games[[#This Row],[ExpectedWin%]])</f>
        <v>-8.3109179805236604</v>
      </c>
      <c r="AB39" s="4">
        <f>Games[[#This Row],[PreGmRate]]+Games[[#This Row],[RatingChange]]</f>
        <v>1480.9634869278536</v>
      </c>
      <c r="AC39" s="2">
        <f>IF(Games[[#This Row],[Type]]="R",IF(Games[[#This Row],[Result]]&gt;0.5,1,0),0)</f>
        <v>0</v>
      </c>
      <c r="AD39" s="2">
        <f>IF(Games[[#This Row],[Type]]="R",IF(Games[[#This Row],[Result]]&lt;0.5,1,0),0)</f>
        <v>1</v>
      </c>
      <c r="AE39" s="2">
        <f>IF(AND(Games[[#This Row],[Type]]="P",Games[[#This Row],[Round]]=1),IF(Games[[#This Row],[Result]]&gt;0.5,1,0),0)</f>
        <v>0</v>
      </c>
      <c r="AF39" s="2">
        <f>IF(AND(Games[[#This Row],[Type]]="P",Games[[#This Row],[Round]]=1),IF(Games[[#This Row],[Result]]&lt;0.5,1,0),0)</f>
        <v>0</v>
      </c>
      <c r="AG39" s="2">
        <f>IF(AND(Games[[#This Row],[Type]]="P",Games[[#This Row],[Round]]=2),IF(Games[[#This Row],[Result]]&gt;0.5,1,0),0)</f>
        <v>0</v>
      </c>
      <c r="AH39" s="2">
        <f>IF(AND(Games[[#This Row],[Type]]="P",Games[[#This Row],[Round]]=2),IF(Games[[#This Row],[Result]]&lt;0.5,1,0),0)</f>
        <v>0</v>
      </c>
      <c r="AI39" s="2">
        <f>IF(AND(Games[[#This Row],[Type]]="P",Games[[#This Row],[Round]]=3),IF(Games[[#This Row],[Result]]&gt;0.5,1,0),0)</f>
        <v>0</v>
      </c>
      <c r="AJ39" s="2">
        <f>IF(AND(Games[[#This Row],[Type]]="P",Games[[#This Row],[Round]]=3),IF(Games[[#This Row],[Result]]&lt;0.5,1,0),0)</f>
        <v>0</v>
      </c>
      <c r="AK39" s="2">
        <f>IF(AND(Games[[#This Row],[Type]]="P",Games[[#This Row],[Round]]=4),IF(Games[[#This Row],[Result]]&gt;0.5,1,0),0)</f>
        <v>0</v>
      </c>
      <c r="AL39" s="2">
        <f>IF(AND(Games[[#This Row],[Type]]="P",Games[[#This Row],[Round]]=4),IF(Games[[#This Row],[Result]]&lt;0.5,1,0),0)</f>
        <v>0</v>
      </c>
    </row>
    <row r="40" spans="1:38" x14ac:dyDescent="0.35">
      <c r="A40" s="10">
        <v>44339</v>
      </c>
      <c r="B40" s="2">
        <v>2021</v>
      </c>
      <c r="C40" s="2">
        <f>COUNTIFS(Games[Team],Games[[#This Row],[Team]],Games[Season],Games[[#This Row],[Season]],Games[Date],"&lt;=" &amp; Games[[#This Row],[Date]])</f>
        <v>5</v>
      </c>
      <c r="D40" s="2" t="s">
        <v>79</v>
      </c>
      <c r="E40" s="2" t="s">
        <v>80</v>
      </c>
      <c r="F40" s="1" t="s">
        <v>60</v>
      </c>
      <c r="G40" s="1" t="s">
        <v>75</v>
      </c>
      <c r="H40" s="1" t="s">
        <v>81</v>
      </c>
      <c r="I40" s="2" cm="1">
        <f t="array" ref="I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" s="2" cm="1">
        <f t="array" ref="J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0" s="2">
        <f>Games[[#This Row],[DaysOff]]-Games[[#This Row],[OppDaysOff]]</f>
        <v>-2</v>
      </c>
      <c r="L40" s="2">
        <f>Games[[#This Row],[OppDaysOff]]-Games[[#This Row],[DaysOff]]</f>
        <v>2</v>
      </c>
      <c r="M40" s="1">
        <f>MAX(-16, MIN(16, Games[[#This Row],[RestDiff]]*8))</f>
        <v>-16</v>
      </c>
      <c r="N40" s="1">
        <f>MAX(-16, MIN(16, Games[[#This Row],[OppRestDiff]]*8))</f>
        <v>16</v>
      </c>
      <c r="O40" s="4" cm="1">
        <f t="array" ref="O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1409.7639737309332</v>
      </c>
      <c r="P40" s="4" cm="1">
        <f t="array" ref="P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1538.5538608369018</v>
      </c>
      <c r="Q40" s="4">
        <f>1/(1+10^(((Games[[#This Row],[OppPreGmRate]]+IF(Games[[#This Row],[HomeAway]]="A",HCA,0)+Games[[#This Row],[OppRestAdj]])-(Games[[#This Row],[PreGmRate]]+IF(Games[[#This Row],[HomeAway]]="H",HCA,0)+Games[[#This Row],[RestAdj]]))/400))</f>
        <v>0.19637228304179946</v>
      </c>
      <c r="R40" s="1">
        <v>93</v>
      </c>
      <c r="S40" s="1">
        <v>85</v>
      </c>
      <c r="T40" s="1">
        <v>0</v>
      </c>
      <c r="U40" s="1">
        <f>Games[[#This Row],[PointsFor]]-Games[[#This Row],[PointsAgainst]]</f>
        <v>8</v>
      </c>
      <c r="V40" s="1">
        <f>IF(Games[[#This Row],[MOV]]&gt;0,1,IF(Games[[#This Row],[MOV]]=0,0.5,0))</f>
        <v>1</v>
      </c>
      <c r="W40" s="4">
        <f>((ABS(Games[[#This Row],[MOV]])+5)^0.6)/(12+0.01*(ABS(Games[[#This Row],[PreGmRate]]-Games[[#This Row],[OppPreGmRate]])))*IF(Games[[#This Row],[OT]]=1,0.9,1)</f>
        <v>0.35067894971603264</v>
      </c>
      <c r="X40" s="7" cm="1">
        <f t="array" ref="X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0" s="9">
        <f>MAX(kmin, kmax - 0.15 * MIN(Games[[#This Row],[GamesPlayed]], 82))</f>
        <v>75.25</v>
      </c>
      <c r="Z40" s="4">
        <f>Games[[#This Row],[K]]*Games[[#This Row],[POMult]]</f>
        <v>75.25</v>
      </c>
      <c r="AA40" s="4">
        <f>(Games[[#This Row],[Keff]]*Games[[#This Row],[MOVMult]])*(Games[[#This Row],[Result]]-Games[[#This Row],[ExpectedWin%]])</f>
        <v>21.206603111856019</v>
      </c>
      <c r="AB40" s="4">
        <f>Games[[#This Row],[PreGmRate]]+Games[[#This Row],[RatingChange]]</f>
        <v>1430.9705768427893</v>
      </c>
      <c r="AC40" s="2">
        <f>IF(Games[[#This Row],[Type]]="R",IF(Games[[#This Row],[Result]]&gt;0.5,1,0),0)</f>
        <v>1</v>
      </c>
      <c r="AD40" s="2">
        <f>IF(Games[[#This Row],[Type]]="R",IF(Games[[#This Row],[Result]]&lt;0.5,1,0),0)</f>
        <v>0</v>
      </c>
      <c r="AE40" s="2">
        <f>IF(AND(Games[[#This Row],[Type]]="P",Games[[#This Row],[Round]]=1),IF(Games[[#This Row],[Result]]&gt;0.5,1,0),0)</f>
        <v>0</v>
      </c>
      <c r="AF40" s="2">
        <f>IF(AND(Games[[#This Row],[Type]]="P",Games[[#This Row],[Round]]=1),IF(Games[[#This Row],[Result]]&lt;0.5,1,0),0)</f>
        <v>0</v>
      </c>
      <c r="AG40" s="2">
        <f>IF(AND(Games[[#This Row],[Type]]="P",Games[[#This Row],[Round]]=2),IF(Games[[#This Row],[Result]]&gt;0.5,1,0),0)</f>
        <v>0</v>
      </c>
      <c r="AH40" s="2">
        <f>IF(AND(Games[[#This Row],[Type]]="P",Games[[#This Row],[Round]]=2),IF(Games[[#This Row],[Result]]&lt;0.5,1,0),0)</f>
        <v>0</v>
      </c>
      <c r="AI40" s="2">
        <f>IF(AND(Games[[#This Row],[Type]]="P",Games[[#This Row],[Round]]=3),IF(Games[[#This Row],[Result]]&gt;0.5,1,0),0)</f>
        <v>0</v>
      </c>
      <c r="AJ40" s="2">
        <f>IF(AND(Games[[#This Row],[Type]]="P",Games[[#This Row],[Round]]=3),IF(Games[[#This Row],[Result]]&lt;0.5,1,0),0)</f>
        <v>0</v>
      </c>
      <c r="AK40" s="2">
        <f>IF(AND(Games[[#This Row],[Type]]="P",Games[[#This Row],[Round]]=4),IF(Games[[#This Row],[Result]]&gt;0.5,1,0),0)</f>
        <v>0</v>
      </c>
      <c r="AL40" s="2">
        <f>IF(AND(Games[[#This Row],[Type]]="P",Games[[#This Row],[Round]]=4),IF(Games[[#This Row],[Result]]&lt;0.5,1,0),0)</f>
        <v>0</v>
      </c>
    </row>
    <row r="41" spans="1:38" x14ac:dyDescent="0.35">
      <c r="A41" s="10">
        <v>44339</v>
      </c>
      <c r="B41" s="2">
        <v>2021</v>
      </c>
      <c r="C41" s="2">
        <f>COUNTIFS(Games[Team],Games[[#This Row],[Team]],Games[Season],Games[[#This Row],[Season]],Games[Date],"&lt;=" &amp; Games[[#This Row],[Date]])</f>
        <v>3</v>
      </c>
      <c r="D41" s="2" t="s">
        <v>79</v>
      </c>
      <c r="E41" s="2" t="s">
        <v>80</v>
      </c>
      <c r="F41" s="1" t="s">
        <v>75</v>
      </c>
      <c r="G41" s="1" t="s">
        <v>60</v>
      </c>
      <c r="H41" s="1" t="s">
        <v>82</v>
      </c>
      <c r="I41" s="2" cm="1">
        <f t="array" ref="I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" s="2" cm="1">
        <f t="array" ref="J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" s="2">
        <f>Games[[#This Row],[DaysOff]]-Games[[#This Row],[OppDaysOff]]</f>
        <v>2</v>
      </c>
      <c r="L41" s="2">
        <f>Games[[#This Row],[OppDaysOff]]-Games[[#This Row],[DaysOff]]</f>
        <v>-2</v>
      </c>
      <c r="M41" s="1">
        <f>MAX(-16, MIN(16, Games[[#This Row],[RestDiff]]*8))</f>
        <v>16</v>
      </c>
      <c r="N41" s="1">
        <f>MAX(-16, MIN(16, Games[[#This Row],[OppRestDiff]]*8))</f>
        <v>-16</v>
      </c>
      <c r="O41" s="4" cm="1">
        <f t="array" ref="O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1538.5538608369018</v>
      </c>
      <c r="P41" s="4" cm="1">
        <f t="array" ref="P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1409.7639737309332</v>
      </c>
      <c r="Q41" s="4">
        <f>1/(1+10^(((Games[[#This Row],[OppPreGmRate]]+IF(Games[[#This Row],[HomeAway]]="A",HCA,0)+Games[[#This Row],[OppRestAdj]])-(Games[[#This Row],[PreGmRate]]+IF(Games[[#This Row],[HomeAway]]="H",HCA,0)+Games[[#This Row],[RestAdj]]))/400))</f>
        <v>0.80362771695820057</v>
      </c>
      <c r="R41" s="1">
        <v>85</v>
      </c>
      <c r="S41" s="1">
        <v>93</v>
      </c>
      <c r="T41" s="1">
        <v>0</v>
      </c>
      <c r="U41" s="1">
        <f>Games[[#This Row],[PointsFor]]-Games[[#This Row],[PointsAgainst]]</f>
        <v>-8</v>
      </c>
      <c r="V41" s="1">
        <f>IF(Games[[#This Row],[MOV]]&gt;0,1,IF(Games[[#This Row],[MOV]]=0,0.5,0))</f>
        <v>0</v>
      </c>
      <c r="W41" s="4">
        <f>((ABS(Games[[#This Row],[MOV]])+5)^0.6)/(12+0.01*(ABS(Games[[#This Row],[PreGmRate]]-Games[[#This Row],[OppPreGmRate]])))*IF(Games[[#This Row],[OT]]=1,0.9,1)</f>
        <v>0.35067894971603264</v>
      </c>
      <c r="X41" s="7" cm="1">
        <f t="array" ref="X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1" s="9">
        <f>MAX(kmin, kmax - 0.15 * MIN(Games[[#This Row],[GamesPlayed]], 82))</f>
        <v>75.55</v>
      </c>
      <c r="Z41" s="4">
        <f>Games[[#This Row],[K]]*Games[[#This Row],[POMult]]</f>
        <v>75.55</v>
      </c>
      <c r="AA41" s="4">
        <f>(Games[[#This Row],[Keff]]*Games[[#This Row],[MOVMult]])*(Games[[#This Row],[Result]]-Games[[#This Row],[ExpectedWin%]])</f>
        <v>-21.291147708979697</v>
      </c>
      <c r="AB41" s="4">
        <f>Games[[#This Row],[PreGmRate]]+Games[[#This Row],[RatingChange]]</f>
        <v>1517.2627131279221</v>
      </c>
      <c r="AC41" s="2">
        <f>IF(Games[[#This Row],[Type]]="R",IF(Games[[#This Row],[Result]]&gt;0.5,1,0),0)</f>
        <v>0</v>
      </c>
      <c r="AD41" s="2">
        <f>IF(Games[[#This Row],[Type]]="R",IF(Games[[#This Row],[Result]]&lt;0.5,1,0),0)</f>
        <v>1</v>
      </c>
      <c r="AE41" s="2">
        <f>IF(AND(Games[[#This Row],[Type]]="P",Games[[#This Row],[Round]]=1),IF(Games[[#This Row],[Result]]&gt;0.5,1,0),0)</f>
        <v>0</v>
      </c>
      <c r="AF41" s="2">
        <f>IF(AND(Games[[#This Row],[Type]]="P",Games[[#This Row],[Round]]=1),IF(Games[[#This Row],[Result]]&lt;0.5,1,0),0)</f>
        <v>0</v>
      </c>
      <c r="AG41" s="2">
        <f>IF(AND(Games[[#This Row],[Type]]="P",Games[[#This Row],[Round]]=2),IF(Games[[#This Row],[Result]]&gt;0.5,1,0),0)</f>
        <v>0</v>
      </c>
      <c r="AH41" s="2">
        <f>IF(AND(Games[[#This Row],[Type]]="P",Games[[#This Row],[Round]]=2),IF(Games[[#This Row],[Result]]&lt;0.5,1,0),0)</f>
        <v>0</v>
      </c>
      <c r="AI41" s="2">
        <f>IF(AND(Games[[#This Row],[Type]]="P",Games[[#This Row],[Round]]=3),IF(Games[[#This Row],[Result]]&gt;0.5,1,0),0)</f>
        <v>0</v>
      </c>
      <c r="AJ41" s="2">
        <f>IF(AND(Games[[#This Row],[Type]]="P",Games[[#This Row],[Round]]=3),IF(Games[[#This Row],[Result]]&lt;0.5,1,0),0)</f>
        <v>0</v>
      </c>
      <c r="AK41" s="2">
        <f>IF(AND(Games[[#This Row],[Type]]="P",Games[[#This Row],[Round]]=4),IF(Games[[#This Row],[Result]]&gt;0.5,1,0),0)</f>
        <v>0</v>
      </c>
      <c r="AL41" s="2">
        <f>IF(AND(Games[[#This Row],[Type]]="P",Games[[#This Row],[Round]]=4),IF(Games[[#This Row],[Result]]&lt;0.5,1,0),0)</f>
        <v>0</v>
      </c>
    </row>
    <row r="42" spans="1:38" x14ac:dyDescent="0.35">
      <c r="A42" s="10">
        <v>44339</v>
      </c>
      <c r="B42" s="2">
        <v>2021</v>
      </c>
      <c r="C42" s="2">
        <f>COUNTIFS(Games[Team],Games[[#This Row],[Team]],Games[Season],Games[[#This Row],[Season]],Games[Date],"&lt;=" &amp; Games[[#This Row],[Date]])</f>
        <v>4</v>
      </c>
      <c r="D42" s="2" t="s">
        <v>79</v>
      </c>
      <c r="E42" s="2" t="s">
        <v>80</v>
      </c>
      <c r="F42" s="1" t="s">
        <v>65</v>
      </c>
      <c r="G42" s="1" t="s">
        <v>69</v>
      </c>
      <c r="H42" s="1" t="s">
        <v>81</v>
      </c>
      <c r="I42" s="2" cm="1">
        <f t="array" ref="I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" s="2" cm="1">
        <f t="array" ref="J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" s="2">
        <f>Games[[#This Row],[DaysOff]]-Games[[#This Row],[OppDaysOff]]</f>
        <v>0</v>
      </c>
      <c r="L42" s="2">
        <f>Games[[#This Row],[OppDaysOff]]-Games[[#This Row],[DaysOff]]</f>
        <v>0</v>
      </c>
      <c r="M42" s="1">
        <f>MAX(-16, MIN(16, Games[[#This Row],[RestDiff]]*8))</f>
        <v>0</v>
      </c>
      <c r="N42" s="1">
        <f>MAX(-16, MIN(16, Games[[#This Row],[OppRestDiff]]*8))</f>
        <v>0</v>
      </c>
      <c r="O42" s="4" cm="1">
        <f t="array" ref="O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1469.7194381283409</v>
      </c>
      <c r="P42" s="4" cm="1">
        <f t="array" ref="P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1383.1720855963492</v>
      </c>
      <c r="Q42" s="4">
        <f>1/(1+10^(((Games[[#This Row],[OppPreGmRate]]+IF(Games[[#This Row],[HomeAway]]="A",HCA,0)+Games[[#This Row],[OppRestAdj]])-(Games[[#This Row],[PreGmRate]]+IF(Games[[#This Row],[HomeAway]]="H",HCA,0)+Games[[#This Row],[RestAdj]]))/400))</f>
        <v>0.50366586929158597</v>
      </c>
      <c r="R42" s="1">
        <v>77</v>
      </c>
      <c r="S42" s="1">
        <v>89</v>
      </c>
      <c r="T42" s="1">
        <v>0</v>
      </c>
      <c r="U42" s="1">
        <f>Games[[#This Row],[PointsFor]]-Games[[#This Row],[PointsAgainst]]</f>
        <v>-12</v>
      </c>
      <c r="V42" s="1">
        <f>IF(Games[[#This Row],[MOV]]&gt;0,1,IF(Games[[#This Row],[MOV]]=0,0.5,0))</f>
        <v>0</v>
      </c>
      <c r="W42" s="4">
        <f>((ABS(Games[[#This Row],[MOV]])+5)^0.6)/(12+0.01*(ABS(Games[[#This Row],[PreGmRate]]-Games[[#This Row],[OppPreGmRate]])))*IF(Games[[#This Row],[OT]]=1,0.9,1)</f>
        <v>0.42544515024233293</v>
      </c>
      <c r="X42" s="7" cm="1">
        <f t="array" ref="X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2" s="9">
        <f>MAX(kmin, kmax - 0.15 * MIN(Games[[#This Row],[GamesPlayed]], 82))</f>
        <v>75.400000000000006</v>
      </c>
      <c r="Z42" s="4">
        <f>Games[[#This Row],[K]]*Games[[#This Row],[POMult]]</f>
        <v>75.400000000000006</v>
      </c>
      <c r="AA42" s="4">
        <f>(Games[[#This Row],[Keff]]*Games[[#This Row],[MOVMult]])*(Games[[#This Row],[Result]]-Games[[#This Row],[ExpectedWin%]])</f>
        <v>-16.156877988025126</v>
      </c>
      <c r="AB42" s="4">
        <f>Games[[#This Row],[PreGmRate]]+Games[[#This Row],[RatingChange]]</f>
        <v>1453.5625601403158</v>
      </c>
      <c r="AC42" s="2">
        <f>IF(Games[[#This Row],[Type]]="R",IF(Games[[#This Row],[Result]]&gt;0.5,1,0),0)</f>
        <v>0</v>
      </c>
      <c r="AD42" s="2">
        <f>IF(Games[[#This Row],[Type]]="R",IF(Games[[#This Row],[Result]]&lt;0.5,1,0),0)</f>
        <v>1</v>
      </c>
      <c r="AE42" s="2">
        <f>IF(AND(Games[[#This Row],[Type]]="P",Games[[#This Row],[Round]]=1),IF(Games[[#This Row],[Result]]&gt;0.5,1,0),0)</f>
        <v>0</v>
      </c>
      <c r="AF42" s="2">
        <f>IF(AND(Games[[#This Row],[Type]]="P",Games[[#This Row],[Round]]=1),IF(Games[[#This Row],[Result]]&lt;0.5,1,0),0)</f>
        <v>0</v>
      </c>
      <c r="AG42" s="2">
        <f>IF(AND(Games[[#This Row],[Type]]="P",Games[[#This Row],[Round]]=2),IF(Games[[#This Row],[Result]]&gt;0.5,1,0),0)</f>
        <v>0</v>
      </c>
      <c r="AH42" s="2">
        <f>IF(AND(Games[[#This Row],[Type]]="P",Games[[#This Row],[Round]]=2),IF(Games[[#This Row],[Result]]&lt;0.5,1,0),0)</f>
        <v>0</v>
      </c>
      <c r="AI42" s="2">
        <f>IF(AND(Games[[#This Row],[Type]]="P",Games[[#This Row],[Round]]=3),IF(Games[[#This Row],[Result]]&gt;0.5,1,0),0)</f>
        <v>0</v>
      </c>
      <c r="AJ42" s="2">
        <f>IF(AND(Games[[#This Row],[Type]]="P",Games[[#This Row],[Round]]=3),IF(Games[[#This Row],[Result]]&lt;0.5,1,0),0)</f>
        <v>0</v>
      </c>
      <c r="AK42" s="2">
        <f>IF(AND(Games[[#This Row],[Type]]="P",Games[[#This Row],[Round]]=4),IF(Games[[#This Row],[Result]]&gt;0.5,1,0),0)</f>
        <v>0</v>
      </c>
      <c r="AL42" s="2">
        <f>IF(AND(Games[[#This Row],[Type]]="P",Games[[#This Row],[Round]]=4),IF(Games[[#This Row],[Result]]&lt;0.5,1,0),0)</f>
        <v>0</v>
      </c>
    </row>
    <row r="43" spans="1:38" x14ac:dyDescent="0.35">
      <c r="A43" s="10">
        <v>44339</v>
      </c>
      <c r="B43" s="2">
        <v>2021</v>
      </c>
      <c r="C43" s="2">
        <f>COUNTIFS(Games[Team],Games[[#This Row],[Team]],Games[Season],Games[[#This Row],[Season]],Games[Date],"&lt;=" &amp; Games[[#This Row],[Date]])</f>
        <v>5</v>
      </c>
      <c r="D43" s="2" t="s">
        <v>79</v>
      </c>
      <c r="E43" s="2" t="s">
        <v>80</v>
      </c>
      <c r="F43" s="1" t="s">
        <v>69</v>
      </c>
      <c r="G43" s="1" t="s">
        <v>65</v>
      </c>
      <c r="H43" s="1" t="s">
        <v>82</v>
      </c>
      <c r="I43" s="2" cm="1">
        <f t="array" ref="I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3" s="2" cm="1">
        <f t="array" ref="J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3" s="2">
        <f>Games[[#This Row],[DaysOff]]-Games[[#This Row],[OppDaysOff]]</f>
        <v>0</v>
      </c>
      <c r="L43" s="2">
        <f>Games[[#This Row],[OppDaysOff]]-Games[[#This Row],[DaysOff]]</f>
        <v>0</v>
      </c>
      <c r="M43" s="1">
        <f>MAX(-16, MIN(16, Games[[#This Row],[RestDiff]]*8))</f>
        <v>0</v>
      </c>
      <c r="N43" s="1">
        <f>MAX(-16, MIN(16, Games[[#This Row],[OppRestDiff]]*8))</f>
        <v>0</v>
      </c>
      <c r="O43" s="4" cm="1">
        <f t="array" ref="O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1383.1720855963492</v>
      </c>
      <c r="P43" s="4" cm="1">
        <f t="array" ref="P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1469.7194381283409</v>
      </c>
      <c r="Q43" s="4">
        <f>1/(1+10^(((Games[[#This Row],[OppPreGmRate]]+IF(Games[[#This Row],[HomeAway]]="A",HCA,0)+Games[[#This Row],[OppRestAdj]])-(Games[[#This Row],[PreGmRate]]+IF(Games[[#This Row],[HomeAway]]="H",HCA,0)+Games[[#This Row],[RestAdj]]))/400))</f>
        <v>0.49633413070841398</v>
      </c>
      <c r="R43" s="1">
        <v>89</v>
      </c>
      <c r="S43" s="1">
        <v>77</v>
      </c>
      <c r="T43" s="1">
        <v>0</v>
      </c>
      <c r="U43" s="1">
        <f>Games[[#This Row],[PointsFor]]-Games[[#This Row],[PointsAgainst]]</f>
        <v>12</v>
      </c>
      <c r="V43" s="1">
        <f>IF(Games[[#This Row],[MOV]]&gt;0,1,IF(Games[[#This Row],[MOV]]=0,0.5,0))</f>
        <v>1</v>
      </c>
      <c r="W43" s="4">
        <f>((ABS(Games[[#This Row],[MOV]])+5)^0.6)/(12+0.01*(ABS(Games[[#This Row],[PreGmRate]]-Games[[#This Row],[OppPreGmRate]])))*IF(Games[[#This Row],[OT]]=1,0.9,1)</f>
        <v>0.42544515024233293</v>
      </c>
      <c r="X43" s="7" cm="1">
        <f t="array" ref="X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3" s="9">
        <f>MAX(kmin, kmax - 0.15 * MIN(Games[[#This Row],[GamesPlayed]], 82))</f>
        <v>75.25</v>
      </c>
      <c r="Z43" s="4">
        <f>Games[[#This Row],[K]]*Games[[#This Row],[POMult]]</f>
        <v>75.25</v>
      </c>
      <c r="AA43" s="4">
        <f>(Games[[#This Row],[Keff]]*Games[[#This Row],[MOVMult]])*(Games[[#This Row],[Result]]-Games[[#This Row],[ExpectedWin%]])</f>
        <v>16.124735657810227</v>
      </c>
      <c r="AB43" s="4">
        <f>Games[[#This Row],[PreGmRate]]+Games[[#This Row],[RatingChange]]</f>
        <v>1399.2968212541596</v>
      </c>
      <c r="AC43" s="2">
        <f>IF(Games[[#This Row],[Type]]="R",IF(Games[[#This Row],[Result]]&gt;0.5,1,0),0)</f>
        <v>1</v>
      </c>
      <c r="AD43" s="2">
        <f>IF(Games[[#This Row],[Type]]="R",IF(Games[[#This Row],[Result]]&lt;0.5,1,0),0)</f>
        <v>0</v>
      </c>
      <c r="AE43" s="2">
        <f>IF(AND(Games[[#This Row],[Type]]="P",Games[[#This Row],[Round]]=1),IF(Games[[#This Row],[Result]]&gt;0.5,1,0),0)</f>
        <v>0</v>
      </c>
      <c r="AF43" s="2">
        <f>IF(AND(Games[[#This Row],[Type]]="P",Games[[#This Row],[Round]]=1),IF(Games[[#This Row],[Result]]&lt;0.5,1,0),0)</f>
        <v>0</v>
      </c>
      <c r="AG43" s="2">
        <f>IF(AND(Games[[#This Row],[Type]]="P",Games[[#This Row],[Round]]=2),IF(Games[[#This Row],[Result]]&gt;0.5,1,0),0)</f>
        <v>0</v>
      </c>
      <c r="AH43" s="2">
        <f>IF(AND(Games[[#This Row],[Type]]="P",Games[[#This Row],[Round]]=2),IF(Games[[#This Row],[Result]]&lt;0.5,1,0),0)</f>
        <v>0</v>
      </c>
      <c r="AI43" s="2">
        <f>IF(AND(Games[[#This Row],[Type]]="P",Games[[#This Row],[Round]]=3),IF(Games[[#This Row],[Result]]&gt;0.5,1,0),0)</f>
        <v>0</v>
      </c>
      <c r="AJ43" s="2">
        <f>IF(AND(Games[[#This Row],[Type]]="P",Games[[#This Row],[Round]]=3),IF(Games[[#This Row],[Result]]&lt;0.5,1,0),0)</f>
        <v>0</v>
      </c>
      <c r="AK43" s="2">
        <f>IF(AND(Games[[#This Row],[Type]]="P",Games[[#This Row],[Round]]=4),IF(Games[[#This Row],[Result]]&gt;0.5,1,0),0)</f>
        <v>0</v>
      </c>
      <c r="AL43" s="2">
        <f>IF(AND(Games[[#This Row],[Type]]="P",Games[[#This Row],[Round]]=4),IF(Games[[#This Row],[Result]]&lt;0.5,1,0),0)</f>
        <v>0</v>
      </c>
    </row>
    <row r="44" spans="1:38" x14ac:dyDescent="0.35">
      <c r="A44" s="10">
        <v>44339</v>
      </c>
      <c r="B44" s="2">
        <v>2021</v>
      </c>
      <c r="C44" s="2">
        <f>COUNTIFS(Games[Team],Games[[#This Row],[Team]],Games[Season],Games[[#This Row],[Season]],Games[Date],"&lt;=" &amp; Games[[#This Row],[Date]])</f>
        <v>5</v>
      </c>
      <c r="D44" s="2" t="s">
        <v>79</v>
      </c>
      <c r="E44" s="2" t="s">
        <v>80</v>
      </c>
      <c r="F44" s="1" t="s">
        <v>74</v>
      </c>
      <c r="G44" s="1" t="s">
        <v>85</v>
      </c>
      <c r="H44" s="1" t="s">
        <v>81</v>
      </c>
      <c r="I44" s="2" cm="1">
        <f t="array" ref="I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44" s="2" cm="1">
        <f t="array" ref="J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4" s="2">
        <f>Games[[#This Row],[DaysOff]]-Games[[#This Row],[OppDaysOff]]</f>
        <v>0</v>
      </c>
      <c r="L44" s="2">
        <f>Games[[#This Row],[OppDaysOff]]-Games[[#This Row],[DaysOff]]</f>
        <v>0</v>
      </c>
      <c r="M44" s="1">
        <f>MAX(-16, MIN(16, Games[[#This Row],[RestDiff]]*8))</f>
        <v>0</v>
      </c>
      <c r="N44" s="1">
        <f>MAX(-16, MIN(16, Games[[#This Row],[OppRestDiff]]*8))</f>
        <v>0</v>
      </c>
      <c r="O44" s="4" cm="1">
        <f t="array" ref="O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1596.307342987526</v>
      </c>
      <c r="P44" s="4" cm="1">
        <f t="array" ref="P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1585.7673743491396</v>
      </c>
      <c r="Q44" s="4">
        <f>1/(1+10^(((Games[[#This Row],[OppPreGmRate]]+IF(Games[[#This Row],[HomeAway]]="A",HCA,0)+Games[[#This Row],[OppRestAdj]])-(Games[[#This Row],[PreGmRate]]+IF(Games[[#This Row],[HomeAway]]="H",HCA,0)+Games[[#This Row],[RestAdj]]))/400))</f>
        <v>0.39583020477674785</v>
      </c>
      <c r="R44" s="1">
        <v>72</v>
      </c>
      <c r="S44" s="1">
        <v>65</v>
      </c>
      <c r="T44" s="1">
        <v>0</v>
      </c>
      <c r="U44" s="1">
        <f>Games[[#This Row],[PointsFor]]-Games[[#This Row],[PointsAgainst]]</f>
        <v>7</v>
      </c>
      <c r="V44" s="1">
        <f>IF(Games[[#This Row],[MOV]]&gt;0,1,IF(Games[[#This Row],[MOV]]=0,0.5,0))</f>
        <v>1</v>
      </c>
      <c r="W44" s="4">
        <f>((ABS(Games[[#This Row],[MOV]])+5)^0.6)/(12+0.01*(ABS(Games[[#This Row],[PreGmRate]]-Games[[#This Row],[OppPreGmRate]])))*IF(Games[[#This Row],[OT]]=1,0.9,1)</f>
        <v>0.3668847113607816</v>
      </c>
      <c r="X44" s="7" cm="1">
        <f t="array" ref="X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4" s="9">
        <f>MAX(kmin, kmax - 0.15 * MIN(Games[[#This Row],[GamesPlayed]], 82))</f>
        <v>75.25</v>
      </c>
      <c r="Z44" s="4">
        <f>Games[[#This Row],[K]]*Games[[#This Row],[POMult]]</f>
        <v>75.25</v>
      </c>
      <c r="AA44" s="4">
        <f>(Games[[#This Row],[Keff]]*Games[[#This Row],[MOVMult]])*(Games[[#This Row],[Result]]-Games[[#This Row],[ExpectedWin%]])</f>
        <v>16.679964735237249</v>
      </c>
      <c r="AB44" s="4">
        <f>Games[[#This Row],[PreGmRate]]+Games[[#This Row],[RatingChange]]</f>
        <v>1612.9873077227633</v>
      </c>
      <c r="AC44" s="2">
        <f>IF(Games[[#This Row],[Type]]="R",IF(Games[[#This Row],[Result]]&gt;0.5,1,0),0)</f>
        <v>1</v>
      </c>
      <c r="AD44" s="2">
        <f>IF(Games[[#This Row],[Type]]="R",IF(Games[[#This Row],[Result]]&lt;0.5,1,0),0)</f>
        <v>0</v>
      </c>
      <c r="AE44" s="2">
        <f>IF(AND(Games[[#This Row],[Type]]="P",Games[[#This Row],[Round]]=1),IF(Games[[#This Row],[Result]]&gt;0.5,1,0),0)</f>
        <v>0</v>
      </c>
      <c r="AF44" s="2">
        <f>IF(AND(Games[[#This Row],[Type]]="P",Games[[#This Row],[Round]]=1),IF(Games[[#This Row],[Result]]&lt;0.5,1,0),0)</f>
        <v>0</v>
      </c>
      <c r="AG44" s="2">
        <f>IF(AND(Games[[#This Row],[Type]]="P",Games[[#This Row],[Round]]=2),IF(Games[[#This Row],[Result]]&gt;0.5,1,0),0)</f>
        <v>0</v>
      </c>
      <c r="AH44" s="2">
        <f>IF(AND(Games[[#This Row],[Type]]="P",Games[[#This Row],[Round]]=2),IF(Games[[#This Row],[Result]]&lt;0.5,1,0),0)</f>
        <v>0</v>
      </c>
      <c r="AI44" s="2">
        <f>IF(AND(Games[[#This Row],[Type]]="P",Games[[#This Row],[Round]]=3),IF(Games[[#This Row],[Result]]&gt;0.5,1,0),0)</f>
        <v>0</v>
      </c>
      <c r="AJ44" s="2">
        <f>IF(AND(Games[[#This Row],[Type]]="P",Games[[#This Row],[Round]]=3),IF(Games[[#This Row],[Result]]&lt;0.5,1,0),0)</f>
        <v>0</v>
      </c>
      <c r="AK44" s="2">
        <f>IF(AND(Games[[#This Row],[Type]]="P",Games[[#This Row],[Round]]=4),IF(Games[[#This Row],[Result]]&gt;0.5,1,0),0)</f>
        <v>0</v>
      </c>
      <c r="AL44" s="2">
        <f>IF(AND(Games[[#This Row],[Type]]="P",Games[[#This Row],[Round]]=4),IF(Games[[#This Row],[Result]]&lt;0.5,1,0),0)</f>
        <v>0</v>
      </c>
    </row>
    <row r="45" spans="1:38" x14ac:dyDescent="0.35">
      <c r="A45" s="10">
        <v>44339</v>
      </c>
      <c r="B45" s="2">
        <v>2021</v>
      </c>
      <c r="C45" s="2">
        <f>COUNTIFS(Games[Team],Games[[#This Row],[Team]],Games[Season],Games[[#This Row],[Season]],Games[Date],"&lt;=" &amp; Games[[#This Row],[Date]])</f>
        <v>4</v>
      </c>
      <c r="D45" s="2" t="s">
        <v>79</v>
      </c>
      <c r="E45" s="2" t="s">
        <v>80</v>
      </c>
      <c r="F45" s="1" t="s">
        <v>85</v>
      </c>
      <c r="G45" s="1" t="s">
        <v>74</v>
      </c>
      <c r="H45" s="1" t="s">
        <v>82</v>
      </c>
      <c r="I45" s="2" cm="1">
        <f t="array" ref="I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5" s="2" cm="1">
        <f t="array" ref="J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5" s="2">
        <f>Games[[#This Row],[DaysOff]]-Games[[#This Row],[OppDaysOff]]</f>
        <v>0</v>
      </c>
      <c r="L45" s="2">
        <f>Games[[#This Row],[OppDaysOff]]-Games[[#This Row],[DaysOff]]</f>
        <v>0</v>
      </c>
      <c r="M45" s="1">
        <f>MAX(-16, MIN(16, Games[[#This Row],[RestDiff]]*8))</f>
        <v>0</v>
      </c>
      <c r="N45" s="1">
        <f>MAX(-16, MIN(16, Games[[#This Row],[OppRestDiff]]*8))</f>
        <v>0</v>
      </c>
      <c r="O45" s="4" cm="1">
        <f t="array" ref="O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1585.7673743491396</v>
      </c>
      <c r="P45" s="4" cm="1">
        <f t="array" ref="P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1596.307342987526</v>
      </c>
      <c r="Q45" s="4">
        <f>1/(1+10^(((Games[[#This Row],[OppPreGmRate]]+IF(Games[[#This Row],[HomeAway]]="A",HCA,0)+Games[[#This Row],[OppRestAdj]])-(Games[[#This Row],[PreGmRate]]+IF(Games[[#This Row],[HomeAway]]="H",HCA,0)+Games[[#This Row],[RestAdj]]))/400))</f>
        <v>0.6041697952232522</v>
      </c>
      <c r="R45" s="1">
        <v>65</v>
      </c>
      <c r="S45" s="1">
        <v>72</v>
      </c>
      <c r="T45" s="1">
        <v>0</v>
      </c>
      <c r="U45" s="1">
        <f>Games[[#This Row],[PointsFor]]-Games[[#This Row],[PointsAgainst]]</f>
        <v>-7</v>
      </c>
      <c r="V45" s="1">
        <f>IF(Games[[#This Row],[MOV]]&gt;0,1,IF(Games[[#This Row],[MOV]]=0,0.5,0))</f>
        <v>0</v>
      </c>
      <c r="W45" s="4">
        <f>((ABS(Games[[#This Row],[MOV]])+5)^0.6)/(12+0.01*(ABS(Games[[#This Row],[PreGmRate]]-Games[[#This Row],[OppPreGmRate]])))*IF(Games[[#This Row],[OT]]=1,0.9,1)</f>
        <v>0.3668847113607816</v>
      </c>
      <c r="X45" s="7" cm="1">
        <f t="array" ref="X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5" s="9">
        <f>MAX(kmin, kmax - 0.15 * MIN(Games[[#This Row],[GamesPlayed]], 82))</f>
        <v>75.400000000000006</v>
      </c>
      <c r="Z45" s="4">
        <f>Games[[#This Row],[K]]*Games[[#This Row],[POMult]]</f>
        <v>75.400000000000006</v>
      </c>
      <c r="AA45" s="4">
        <f>(Games[[#This Row],[Keff]]*Games[[#This Row],[MOVMult]])*(Games[[#This Row],[Result]]-Games[[#This Row],[ExpectedWin%]])</f>
        <v>-16.713213834377264</v>
      </c>
      <c r="AB45" s="4">
        <f>Games[[#This Row],[PreGmRate]]+Games[[#This Row],[RatingChange]]</f>
        <v>1569.0541605147623</v>
      </c>
      <c r="AC45" s="2">
        <f>IF(Games[[#This Row],[Type]]="R",IF(Games[[#This Row],[Result]]&gt;0.5,1,0),0)</f>
        <v>0</v>
      </c>
      <c r="AD45" s="2">
        <f>IF(Games[[#This Row],[Type]]="R",IF(Games[[#This Row],[Result]]&lt;0.5,1,0),0)</f>
        <v>1</v>
      </c>
      <c r="AE45" s="2">
        <f>IF(AND(Games[[#This Row],[Type]]="P",Games[[#This Row],[Round]]=1),IF(Games[[#This Row],[Result]]&gt;0.5,1,0),0)</f>
        <v>0</v>
      </c>
      <c r="AF45" s="2">
        <f>IF(AND(Games[[#This Row],[Type]]="P",Games[[#This Row],[Round]]=1),IF(Games[[#This Row],[Result]]&lt;0.5,1,0),0)</f>
        <v>0</v>
      </c>
      <c r="AG45" s="2">
        <f>IF(AND(Games[[#This Row],[Type]]="P",Games[[#This Row],[Round]]=2),IF(Games[[#This Row],[Result]]&gt;0.5,1,0),0)</f>
        <v>0</v>
      </c>
      <c r="AH45" s="2">
        <f>IF(AND(Games[[#This Row],[Type]]="P",Games[[#This Row],[Round]]=2),IF(Games[[#This Row],[Result]]&lt;0.5,1,0),0)</f>
        <v>0</v>
      </c>
      <c r="AI45" s="2">
        <f>IF(AND(Games[[#This Row],[Type]]="P",Games[[#This Row],[Round]]=3),IF(Games[[#This Row],[Result]]&gt;0.5,1,0),0)</f>
        <v>0</v>
      </c>
      <c r="AJ45" s="2">
        <f>IF(AND(Games[[#This Row],[Type]]="P",Games[[#This Row],[Round]]=3),IF(Games[[#This Row],[Result]]&lt;0.5,1,0),0)</f>
        <v>0</v>
      </c>
      <c r="AK45" s="2">
        <f>IF(AND(Games[[#This Row],[Type]]="P",Games[[#This Row],[Round]]=4),IF(Games[[#This Row],[Result]]&gt;0.5,1,0),0)</f>
        <v>0</v>
      </c>
      <c r="AL45" s="2">
        <f>IF(AND(Games[[#This Row],[Type]]="P",Games[[#This Row],[Round]]=4),IF(Games[[#This Row],[Result]]&lt;0.5,1,0),0)</f>
        <v>0</v>
      </c>
    </row>
    <row r="46" spans="1:38" x14ac:dyDescent="0.35">
      <c r="A46" s="10">
        <v>44340</v>
      </c>
      <c r="B46" s="2">
        <v>2021</v>
      </c>
      <c r="C46" s="2">
        <f>COUNTIFS(Games[Team],Games[[#This Row],[Team]],Games[Season],Games[[#This Row],[Season]],Games[Date],"&lt;=" &amp; Games[[#This Row],[Date]])</f>
        <v>3</v>
      </c>
      <c r="D46" s="2" t="s">
        <v>79</v>
      </c>
      <c r="E46" s="2" t="s">
        <v>80</v>
      </c>
      <c r="F46" s="1" t="s">
        <v>84</v>
      </c>
      <c r="G46" s="1" t="s">
        <v>60</v>
      </c>
      <c r="H46" s="1" t="s">
        <v>81</v>
      </c>
      <c r="I46" s="2" cm="1">
        <f t="array" ref="I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46" s="2" cm="1">
        <f t="array" ref="J46">IFERROR(
    Games[[#This Row],[Date]]
    - LOOKUP(
        2,
        1/((Games[Opponent]=Games[[#This Row],[Opponent]]) * (Games[Date] &lt; Games[[#This Row],[Date]])),
        Games[Date]
    )
    - 1,
Games[[#This Row],[Date]]-$A$2)</f>
        <v>0</v>
      </c>
      <c r="K46" s="2">
        <f>Games[[#This Row],[DaysOff]]-Games[[#This Row],[OppDaysOff]]</f>
        <v>1</v>
      </c>
      <c r="L46" s="2">
        <f>Games[[#This Row],[OppDaysOff]]-Games[[#This Row],[DaysOff]]</f>
        <v>-1</v>
      </c>
      <c r="M46" s="1">
        <f>MAX(-16, MIN(16, Games[[#This Row],[RestDiff]]*8))</f>
        <v>8</v>
      </c>
      <c r="N46" s="1">
        <f>MAX(-16, MIN(16, Games[[#This Row],[OppRestDiff]]*8))</f>
        <v>-8</v>
      </c>
      <c r="O46" s="4" cm="1">
        <f t="array" ref="O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1480.9634869278536</v>
      </c>
      <c r="P46" s="4" cm="1">
        <f t="array" ref="P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1430.9705768427893</v>
      </c>
      <c r="Q46" s="4">
        <f>1/(1+10^(((Games[[#This Row],[OppPreGmRate]]+IF(Games[[#This Row],[HomeAway]]="A",HCA,0)+Games[[#This Row],[OppRestAdj]])-(Games[[#This Row],[PreGmRate]]+IF(Games[[#This Row],[HomeAway]]="H",HCA,0)+Games[[#This Row],[RestAdj]]))/400))</f>
        <v>0.47410889324916083</v>
      </c>
      <c r="R46" s="1">
        <v>81</v>
      </c>
      <c r="S46" s="1">
        <v>88</v>
      </c>
      <c r="T46" s="1">
        <v>0</v>
      </c>
      <c r="U46" s="1">
        <f>Games[[#This Row],[PointsFor]]-Games[[#This Row],[PointsAgainst]]</f>
        <v>-7</v>
      </c>
      <c r="V46" s="1">
        <f>IF(Games[[#This Row],[MOV]]&gt;0,1,IF(Games[[#This Row],[MOV]]=0,0.5,0))</f>
        <v>0</v>
      </c>
      <c r="W46" s="4">
        <f>((ABS(Games[[#This Row],[MOV]])+5)^0.6)/(12+0.01*(ABS(Games[[#This Row],[PreGmRate]]-Games[[#This Row],[OppPreGmRate]])))*IF(Games[[#This Row],[OT]]=1,0.9,1)</f>
        <v>0.35530490085288585</v>
      </c>
      <c r="X46" s="7" cm="1">
        <f t="array" ref="X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6" s="9">
        <f>MAX(kmin, kmax - 0.15 * MIN(Games[[#This Row],[GamesPlayed]], 82))</f>
        <v>75.55</v>
      </c>
      <c r="Z46" s="4">
        <f>Games[[#This Row],[K]]*Games[[#This Row],[POMult]]</f>
        <v>75.55</v>
      </c>
      <c r="AA46" s="4">
        <f>(Games[[#This Row],[Keff]]*Games[[#This Row],[MOVMult]])*(Games[[#This Row],[Result]]-Games[[#This Row],[ExpectedWin%]])</f>
        <v>-12.726640265522491</v>
      </c>
      <c r="AB46" s="4">
        <f>Games[[#This Row],[PreGmRate]]+Games[[#This Row],[RatingChange]]</f>
        <v>1468.2368466623311</v>
      </c>
      <c r="AC46" s="2">
        <f>IF(Games[[#This Row],[Type]]="R",IF(Games[[#This Row],[Result]]&gt;0.5,1,0),0)</f>
        <v>0</v>
      </c>
      <c r="AD46" s="2">
        <f>IF(Games[[#This Row],[Type]]="R",IF(Games[[#This Row],[Result]]&lt;0.5,1,0),0)</f>
        <v>1</v>
      </c>
      <c r="AE46" s="2">
        <f>IF(AND(Games[[#This Row],[Type]]="P",Games[[#This Row],[Round]]=1),IF(Games[[#This Row],[Result]]&gt;0.5,1,0),0)</f>
        <v>0</v>
      </c>
      <c r="AF46" s="2">
        <f>IF(AND(Games[[#This Row],[Type]]="P",Games[[#This Row],[Round]]=1),IF(Games[[#This Row],[Result]]&lt;0.5,1,0),0)</f>
        <v>0</v>
      </c>
      <c r="AG46" s="2">
        <f>IF(AND(Games[[#This Row],[Type]]="P",Games[[#This Row],[Round]]=2),IF(Games[[#This Row],[Result]]&gt;0.5,1,0),0)</f>
        <v>0</v>
      </c>
      <c r="AH46" s="2">
        <f>IF(AND(Games[[#This Row],[Type]]="P",Games[[#This Row],[Round]]=2),IF(Games[[#This Row],[Result]]&lt;0.5,1,0),0)</f>
        <v>0</v>
      </c>
      <c r="AI46" s="2">
        <f>IF(AND(Games[[#This Row],[Type]]="P",Games[[#This Row],[Round]]=3),IF(Games[[#This Row],[Result]]&gt;0.5,1,0),0)</f>
        <v>0</v>
      </c>
      <c r="AJ46" s="2">
        <f>IF(AND(Games[[#This Row],[Type]]="P",Games[[#This Row],[Round]]=3),IF(Games[[#This Row],[Result]]&lt;0.5,1,0),0)</f>
        <v>0</v>
      </c>
      <c r="AK46" s="2">
        <f>IF(AND(Games[[#This Row],[Type]]="P",Games[[#This Row],[Round]]=4),IF(Games[[#This Row],[Result]]&gt;0.5,1,0),0)</f>
        <v>0</v>
      </c>
      <c r="AL46" s="2">
        <f>IF(AND(Games[[#This Row],[Type]]="P",Games[[#This Row],[Round]]=4),IF(Games[[#This Row],[Result]]&lt;0.5,1,0),0)</f>
        <v>0</v>
      </c>
    </row>
    <row r="47" spans="1:38" x14ac:dyDescent="0.35">
      <c r="A47" s="10">
        <v>44340</v>
      </c>
      <c r="B47" s="2">
        <v>2021</v>
      </c>
      <c r="C47" s="2">
        <f>COUNTIFS(Games[Team],Games[[#This Row],[Team]],Games[Season],Games[[#This Row],[Season]],Games[Date],"&lt;=" &amp; Games[[#This Row],[Date]])</f>
        <v>6</v>
      </c>
      <c r="D47" s="2" t="s">
        <v>79</v>
      </c>
      <c r="E47" s="2" t="s">
        <v>80</v>
      </c>
      <c r="F47" s="1" t="s">
        <v>60</v>
      </c>
      <c r="G47" s="1" t="s">
        <v>84</v>
      </c>
      <c r="H47" s="1" t="s">
        <v>82</v>
      </c>
      <c r="I47" s="2" cm="1">
        <f t="array" ref="I47">IFERROR(
    Games[[#This Row],[Date]]
    - LOOKUP(
        2,
        1/((Games[Team]=Games[[#This Row],[Team]]) * (Games[Date] &lt; Games[[#This Row],[Date]])),
        Games[Date]
    )
    - 1,
Games[[#This Row],[Date]]-$A$2)</f>
        <v>0</v>
      </c>
      <c r="J47" s="2" cm="1">
        <f t="array" ref="J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7" s="2">
        <f>Games[[#This Row],[DaysOff]]-Games[[#This Row],[OppDaysOff]]</f>
        <v>-1</v>
      </c>
      <c r="L47" s="2">
        <f>Games[[#This Row],[OppDaysOff]]-Games[[#This Row],[DaysOff]]</f>
        <v>1</v>
      </c>
      <c r="M47" s="1">
        <f>MAX(-16, MIN(16, Games[[#This Row],[RestDiff]]*8))</f>
        <v>-8</v>
      </c>
      <c r="N47" s="1">
        <f>MAX(-16, MIN(16, Games[[#This Row],[OppRestDiff]]*8))</f>
        <v>8</v>
      </c>
      <c r="O47" s="4" cm="1">
        <f t="array" ref="O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1430.9705768427893</v>
      </c>
      <c r="P47" s="4" cm="1">
        <f t="array" ref="P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1480.9634869278536</v>
      </c>
      <c r="Q47" s="4">
        <f>1/(1+10^(((Games[[#This Row],[OppPreGmRate]]+IF(Games[[#This Row],[HomeAway]]="A",HCA,0)+Games[[#This Row],[OppRestAdj]])-(Games[[#This Row],[PreGmRate]]+IF(Games[[#This Row],[HomeAway]]="H",HCA,0)+Games[[#This Row],[RestAdj]]))/400))</f>
        <v>0.52589110675083917</v>
      </c>
      <c r="R47" s="1">
        <v>88</v>
      </c>
      <c r="S47" s="1">
        <v>81</v>
      </c>
      <c r="T47" s="1">
        <v>0</v>
      </c>
      <c r="U47" s="1">
        <f>Games[[#This Row],[PointsFor]]-Games[[#This Row],[PointsAgainst]]</f>
        <v>7</v>
      </c>
      <c r="V47" s="1">
        <f>IF(Games[[#This Row],[MOV]]&gt;0,1,IF(Games[[#This Row],[MOV]]=0,0.5,0))</f>
        <v>1</v>
      </c>
      <c r="W47" s="4">
        <f>((ABS(Games[[#This Row],[MOV]])+5)^0.6)/(12+0.01*(ABS(Games[[#This Row],[PreGmRate]]-Games[[#This Row],[OppPreGmRate]])))*IF(Games[[#This Row],[OT]]=1,0.9,1)</f>
        <v>0.35530490085288585</v>
      </c>
      <c r="X47" s="7" cm="1">
        <f t="array" ref="X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7" s="9">
        <f>MAX(kmin, kmax - 0.15 * MIN(Games[[#This Row],[GamesPlayed]], 82))</f>
        <v>75.099999999999994</v>
      </c>
      <c r="Z47" s="4">
        <f>Games[[#This Row],[K]]*Games[[#This Row],[POMult]]</f>
        <v>75.099999999999994</v>
      </c>
      <c r="AA47" s="4">
        <f>(Games[[#This Row],[Keff]]*Games[[#This Row],[MOVMult]])*(Games[[#This Row],[Result]]-Games[[#This Row],[ExpectedWin%]])</f>
        <v>12.650836319533274</v>
      </c>
      <c r="AB47" s="4">
        <f>Games[[#This Row],[PreGmRate]]+Games[[#This Row],[RatingChange]]</f>
        <v>1443.6214131623226</v>
      </c>
      <c r="AC47" s="2">
        <f>IF(Games[[#This Row],[Type]]="R",IF(Games[[#This Row],[Result]]&gt;0.5,1,0),0)</f>
        <v>1</v>
      </c>
      <c r="AD47" s="2">
        <f>IF(Games[[#This Row],[Type]]="R",IF(Games[[#This Row],[Result]]&lt;0.5,1,0),0)</f>
        <v>0</v>
      </c>
      <c r="AE47" s="2">
        <f>IF(AND(Games[[#This Row],[Type]]="P",Games[[#This Row],[Round]]=1),IF(Games[[#This Row],[Result]]&gt;0.5,1,0),0)</f>
        <v>0</v>
      </c>
      <c r="AF47" s="2">
        <f>IF(AND(Games[[#This Row],[Type]]="P",Games[[#This Row],[Round]]=1),IF(Games[[#This Row],[Result]]&lt;0.5,1,0),0)</f>
        <v>0</v>
      </c>
      <c r="AG47" s="2">
        <f>IF(AND(Games[[#This Row],[Type]]="P",Games[[#This Row],[Round]]=2),IF(Games[[#This Row],[Result]]&gt;0.5,1,0),0)</f>
        <v>0</v>
      </c>
      <c r="AH47" s="2">
        <f>IF(AND(Games[[#This Row],[Type]]="P",Games[[#This Row],[Round]]=2),IF(Games[[#This Row],[Result]]&lt;0.5,1,0),0)</f>
        <v>0</v>
      </c>
      <c r="AI47" s="2">
        <f>IF(AND(Games[[#This Row],[Type]]="P",Games[[#This Row],[Round]]=3),IF(Games[[#This Row],[Result]]&gt;0.5,1,0),0)</f>
        <v>0</v>
      </c>
      <c r="AJ47" s="2">
        <f>IF(AND(Games[[#This Row],[Type]]="P",Games[[#This Row],[Round]]=3),IF(Games[[#This Row],[Result]]&lt;0.5,1,0),0)</f>
        <v>0</v>
      </c>
      <c r="AK47" s="2">
        <f>IF(AND(Games[[#This Row],[Type]]="P",Games[[#This Row],[Round]]=4),IF(Games[[#This Row],[Result]]&gt;0.5,1,0),0)</f>
        <v>0</v>
      </c>
      <c r="AL47" s="2">
        <f>IF(AND(Games[[#This Row],[Type]]="P",Games[[#This Row],[Round]]=4),IF(Games[[#This Row],[Result]]&lt;0.5,1,0),0)</f>
        <v>0</v>
      </c>
    </row>
    <row r="48" spans="1:38" x14ac:dyDescent="0.35">
      <c r="A48" s="10">
        <v>44341</v>
      </c>
      <c r="B48" s="2">
        <v>2021</v>
      </c>
      <c r="C48" s="2">
        <f>COUNTIFS(Games[Team],Games[[#This Row],[Team]],Games[Season],Games[[#This Row],[Season]],Games[Date],"&lt;=" &amp; Games[[#This Row],[Date]])</f>
        <v>4</v>
      </c>
      <c r="D48" s="2" t="s">
        <v>79</v>
      </c>
      <c r="E48" s="2" t="s">
        <v>80</v>
      </c>
      <c r="F48" s="1" t="s">
        <v>77</v>
      </c>
      <c r="G48" s="1" t="s">
        <v>75</v>
      </c>
      <c r="H48" s="1" t="s">
        <v>81</v>
      </c>
      <c r="I48" s="2" cm="1">
        <f t="array" ref="I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48" s="2" cm="1">
        <f t="array" ref="J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8" s="2">
        <f>Games[[#This Row],[DaysOff]]-Games[[#This Row],[OppDaysOff]]</f>
        <v>2</v>
      </c>
      <c r="L48" s="2">
        <f>Games[[#This Row],[OppDaysOff]]-Games[[#This Row],[DaysOff]]</f>
        <v>-2</v>
      </c>
      <c r="M48" s="1">
        <f>MAX(-16, MIN(16, Games[[#This Row],[RestDiff]]*8))</f>
        <v>16</v>
      </c>
      <c r="N48" s="1">
        <f>MAX(-16, MIN(16, Games[[#This Row],[OppRestDiff]]*8))</f>
        <v>-16</v>
      </c>
      <c r="O48" s="4" cm="1">
        <f t="array" ref="O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1427.8698857155271</v>
      </c>
      <c r="P48" s="4" cm="1">
        <f t="array" ref="P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1517.2627131279221</v>
      </c>
      <c r="Q48" s="4">
        <f>1/(1+10^(((Games[[#This Row],[OppPreGmRate]]+IF(Games[[#This Row],[HomeAway]]="A",HCA,0)+Games[[#This Row],[OppRestAdj]])-(Games[[#This Row],[PreGmRate]]+IF(Games[[#This Row],[HomeAway]]="H",HCA,0)+Games[[#This Row],[RestAdj]]))/400))</f>
        <v>0.30705525632360203</v>
      </c>
      <c r="R48" s="1">
        <v>90</v>
      </c>
      <c r="S48" s="1">
        <v>83</v>
      </c>
      <c r="T48" s="1">
        <v>0</v>
      </c>
      <c r="U48" s="1">
        <f>Games[[#This Row],[PointsFor]]-Games[[#This Row],[PointsAgainst]]</f>
        <v>7</v>
      </c>
      <c r="V48" s="1">
        <f>IF(Games[[#This Row],[MOV]]&gt;0,1,IF(Games[[#This Row],[MOV]]=0,0.5,0))</f>
        <v>1</v>
      </c>
      <c r="W48" s="4">
        <f>((ABS(Games[[#This Row],[MOV]])+5)^0.6)/(12+0.01*(ABS(Games[[#This Row],[PreGmRate]]-Games[[#This Row],[OppPreGmRate]])))*IF(Games[[#This Row],[OT]]=1,0.9,1)</f>
        <v>0.34444786533819877</v>
      </c>
      <c r="X48" s="7" cm="1">
        <f t="array" ref="X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8" s="9">
        <f>MAX(kmin, kmax - 0.15 * MIN(Games[[#This Row],[GamesPlayed]], 82))</f>
        <v>75.400000000000006</v>
      </c>
      <c r="Z48" s="4">
        <f>Games[[#This Row],[K]]*Games[[#This Row],[POMult]]</f>
        <v>75.400000000000006</v>
      </c>
      <c r="AA48" s="4">
        <f>(Games[[#This Row],[Keff]]*Games[[#This Row],[MOVMult]])*(Games[[#This Row],[Result]]-Games[[#This Row],[ExpectedWin%]])</f>
        <v>17.996723666852212</v>
      </c>
      <c r="AB48" s="4">
        <f>Games[[#This Row],[PreGmRate]]+Games[[#This Row],[RatingChange]]</f>
        <v>1445.8666093823792</v>
      </c>
      <c r="AC48" s="2">
        <f>IF(Games[[#This Row],[Type]]="R",IF(Games[[#This Row],[Result]]&gt;0.5,1,0),0)</f>
        <v>1</v>
      </c>
      <c r="AD48" s="2">
        <f>IF(Games[[#This Row],[Type]]="R",IF(Games[[#This Row],[Result]]&lt;0.5,1,0),0)</f>
        <v>0</v>
      </c>
      <c r="AE48" s="2">
        <f>IF(AND(Games[[#This Row],[Type]]="P",Games[[#This Row],[Round]]=1),IF(Games[[#This Row],[Result]]&gt;0.5,1,0),0)</f>
        <v>0</v>
      </c>
      <c r="AF48" s="2">
        <f>IF(AND(Games[[#This Row],[Type]]="P",Games[[#This Row],[Round]]=1),IF(Games[[#This Row],[Result]]&lt;0.5,1,0),0)</f>
        <v>0</v>
      </c>
      <c r="AG48" s="2">
        <f>IF(AND(Games[[#This Row],[Type]]="P",Games[[#This Row],[Round]]=2),IF(Games[[#This Row],[Result]]&gt;0.5,1,0),0)</f>
        <v>0</v>
      </c>
      <c r="AH48" s="2">
        <f>IF(AND(Games[[#This Row],[Type]]="P",Games[[#This Row],[Round]]=2),IF(Games[[#This Row],[Result]]&lt;0.5,1,0),0)</f>
        <v>0</v>
      </c>
      <c r="AI48" s="2">
        <f>IF(AND(Games[[#This Row],[Type]]="P",Games[[#This Row],[Round]]=3),IF(Games[[#This Row],[Result]]&gt;0.5,1,0),0)</f>
        <v>0</v>
      </c>
      <c r="AJ48" s="2">
        <f>IF(AND(Games[[#This Row],[Type]]="P",Games[[#This Row],[Round]]=3),IF(Games[[#This Row],[Result]]&lt;0.5,1,0),0)</f>
        <v>0</v>
      </c>
      <c r="AK48" s="2">
        <f>IF(AND(Games[[#This Row],[Type]]="P",Games[[#This Row],[Round]]=4),IF(Games[[#This Row],[Result]]&gt;0.5,1,0),0)</f>
        <v>0</v>
      </c>
      <c r="AL48" s="2">
        <f>IF(AND(Games[[#This Row],[Type]]="P",Games[[#This Row],[Round]]=4),IF(Games[[#This Row],[Result]]&lt;0.5,1,0),0)</f>
        <v>0</v>
      </c>
    </row>
    <row r="49" spans="1:38" x14ac:dyDescent="0.35">
      <c r="A49" s="10">
        <v>44341</v>
      </c>
      <c r="B49" s="2">
        <v>2021</v>
      </c>
      <c r="C49" s="2">
        <f>COUNTIFS(Games[Team],Games[[#This Row],[Team]],Games[Season],Games[[#This Row],[Season]],Games[Date],"&lt;=" &amp; Games[[#This Row],[Date]])</f>
        <v>4</v>
      </c>
      <c r="D49" s="2" t="s">
        <v>79</v>
      </c>
      <c r="E49" s="2" t="s">
        <v>80</v>
      </c>
      <c r="F49" s="1" t="s">
        <v>75</v>
      </c>
      <c r="G49" s="1" t="s">
        <v>77</v>
      </c>
      <c r="H49" s="1" t="s">
        <v>82</v>
      </c>
      <c r="I49" s="2" cm="1">
        <f t="array" ref="I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9" s="2" cm="1">
        <f t="array" ref="J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9" s="2">
        <f>Games[[#This Row],[DaysOff]]-Games[[#This Row],[OppDaysOff]]</f>
        <v>-2</v>
      </c>
      <c r="L49" s="2">
        <f>Games[[#This Row],[OppDaysOff]]-Games[[#This Row],[DaysOff]]</f>
        <v>2</v>
      </c>
      <c r="M49" s="1">
        <f>MAX(-16, MIN(16, Games[[#This Row],[RestDiff]]*8))</f>
        <v>-16</v>
      </c>
      <c r="N49" s="1">
        <f>MAX(-16, MIN(16, Games[[#This Row],[OppRestDiff]]*8))</f>
        <v>16</v>
      </c>
      <c r="O49" s="4" cm="1">
        <f t="array" ref="O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1517.2627131279221</v>
      </c>
      <c r="P49" s="4" cm="1">
        <f t="array" ref="P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1427.8698857155271</v>
      </c>
      <c r="Q49" s="4">
        <f>1/(1+10^(((Games[[#This Row],[OppPreGmRate]]+IF(Games[[#This Row],[HomeAway]]="A",HCA,0)+Games[[#This Row],[OppRestAdj]])-(Games[[#This Row],[PreGmRate]]+IF(Games[[#This Row],[HomeAway]]="H",HCA,0)+Games[[#This Row],[RestAdj]]))/400))</f>
        <v>0.69294474367639802</v>
      </c>
      <c r="R49" s="1">
        <v>83</v>
      </c>
      <c r="S49" s="1">
        <v>90</v>
      </c>
      <c r="T49" s="1">
        <v>0</v>
      </c>
      <c r="U49" s="1">
        <f>Games[[#This Row],[PointsFor]]-Games[[#This Row],[PointsAgainst]]</f>
        <v>-7</v>
      </c>
      <c r="V49" s="1">
        <f>IF(Games[[#This Row],[MOV]]&gt;0,1,IF(Games[[#This Row],[MOV]]=0,0.5,0))</f>
        <v>0</v>
      </c>
      <c r="W49" s="4">
        <f>((ABS(Games[[#This Row],[MOV]])+5)^0.6)/(12+0.01*(ABS(Games[[#This Row],[PreGmRate]]-Games[[#This Row],[OppPreGmRate]])))*IF(Games[[#This Row],[OT]]=1,0.9,1)</f>
        <v>0.34444786533819877</v>
      </c>
      <c r="X49" s="7" cm="1">
        <f t="array" ref="X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49" s="9">
        <f>MAX(kmin, kmax - 0.15 * MIN(Games[[#This Row],[GamesPlayed]], 82))</f>
        <v>75.400000000000006</v>
      </c>
      <c r="Z49" s="4">
        <f>Games[[#This Row],[K]]*Games[[#This Row],[POMult]]</f>
        <v>75.400000000000006</v>
      </c>
      <c r="AA49" s="4">
        <f>(Games[[#This Row],[Keff]]*Games[[#This Row],[MOVMult]])*(Games[[#This Row],[Result]]-Games[[#This Row],[ExpectedWin%]])</f>
        <v>-17.996723666852212</v>
      </c>
      <c r="AB49" s="4">
        <f>Games[[#This Row],[PreGmRate]]+Games[[#This Row],[RatingChange]]</f>
        <v>1499.2659894610699</v>
      </c>
      <c r="AC49" s="2">
        <f>IF(Games[[#This Row],[Type]]="R",IF(Games[[#This Row],[Result]]&gt;0.5,1,0),0)</f>
        <v>0</v>
      </c>
      <c r="AD49" s="2">
        <f>IF(Games[[#This Row],[Type]]="R",IF(Games[[#This Row],[Result]]&lt;0.5,1,0),0)</f>
        <v>1</v>
      </c>
      <c r="AE49" s="2">
        <f>IF(AND(Games[[#This Row],[Type]]="P",Games[[#This Row],[Round]]=1),IF(Games[[#This Row],[Result]]&gt;0.5,1,0),0)</f>
        <v>0</v>
      </c>
      <c r="AF49" s="2">
        <f>IF(AND(Games[[#This Row],[Type]]="P",Games[[#This Row],[Round]]=1),IF(Games[[#This Row],[Result]]&lt;0.5,1,0),0)</f>
        <v>0</v>
      </c>
      <c r="AG49" s="2">
        <f>IF(AND(Games[[#This Row],[Type]]="P",Games[[#This Row],[Round]]=2),IF(Games[[#This Row],[Result]]&gt;0.5,1,0),0)</f>
        <v>0</v>
      </c>
      <c r="AH49" s="2">
        <f>IF(AND(Games[[#This Row],[Type]]="P",Games[[#This Row],[Round]]=2),IF(Games[[#This Row],[Result]]&lt;0.5,1,0),0)</f>
        <v>0</v>
      </c>
      <c r="AI49" s="2">
        <f>IF(AND(Games[[#This Row],[Type]]="P",Games[[#This Row],[Round]]=3),IF(Games[[#This Row],[Result]]&gt;0.5,1,0),0)</f>
        <v>0</v>
      </c>
      <c r="AJ49" s="2">
        <f>IF(AND(Games[[#This Row],[Type]]="P",Games[[#This Row],[Round]]=3),IF(Games[[#This Row],[Result]]&lt;0.5,1,0),0)</f>
        <v>0</v>
      </c>
      <c r="AK49" s="2">
        <f>IF(AND(Games[[#This Row],[Type]]="P",Games[[#This Row],[Round]]=4),IF(Games[[#This Row],[Result]]&gt;0.5,1,0),0)</f>
        <v>0</v>
      </c>
      <c r="AL49" s="2">
        <f>IF(AND(Games[[#This Row],[Type]]="P",Games[[#This Row],[Round]]=4),IF(Games[[#This Row],[Result]]&lt;0.5,1,0),0)</f>
        <v>0</v>
      </c>
    </row>
    <row r="50" spans="1:38" x14ac:dyDescent="0.35">
      <c r="A50" s="10">
        <v>44341</v>
      </c>
      <c r="B50" s="2">
        <v>2021</v>
      </c>
      <c r="C50" s="2">
        <f>COUNTIFS(Games[Team],Games[[#This Row],[Team]],Games[Season],Games[[#This Row],[Season]],Games[Date],"&lt;=" &amp; Games[[#This Row],[Date]])</f>
        <v>5</v>
      </c>
      <c r="D50" s="2" t="s">
        <v>79</v>
      </c>
      <c r="E50" s="2" t="s">
        <v>80</v>
      </c>
      <c r="F50" s="1" t="s">
        <v>65</v>
      </c>
      <c r="G50" s="1" t="s">
        <v>69</v>
      </c>
      <c r="H50" s="1" t="s">
        <v>81</v>
      </c>
      <c r="I50" s="2" cm="1">
        <f t="array" ref="I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50" s="2" cm="1">
        <f t="array" ref="J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0" s="2">
        <f>Games[[#This Row],[DaysOff]]-Games[[#This Row],[OppDaysOff]]</f>
        <v>0</v>
      </c>
      <c r="L50" s="2">
        <f>Games[[#This Row],[OppDaysOff]]-Games[[#This Row],[DaysOff]]</f>
        <v>0</v>
      </c>
      <c r="M50" s="1">
        <f>MAX(-16, MIN(16, Games[[#This Row],[RestDiff]]*8))</f>
        <v>0</v>
      </c>
      <c r="N50" s="1">
        <f>MAX(-16, MIN(16, Games[[#This Row],[OppRestDiff]]*8))</f>
        <v>0</v>
      </c>
      <c r="O50" s="4" cm="1">
        <f t="array" ref="O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1453.5625601403158</v>
      </c>
      <c r="P50" s="4" cm="1">
        <f t="array" ref="P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1399.2968212541596</v>
      </c>
      <c r="Q50" s="4">
        <f>1/(1+10^(((Games[[#This Row],[OppPreGmRate]]+IF(Games[[#This Row],[HomeAway]]="A",HCA,0)+Games[[#This Row],[OppRestAdj]])-(Games[[#This Row],[PreGmRate]]+IF(Games[[#This Row],[HomeAway]]="H",HCA,0)+Games[[#This Row],[RestAdj]]))/400))</f>
        <v>0.45731312471237207</v>
      </c>
      <c r="R50" s="1">
        <v>85</v>
      </c>
      <c r="S50" s="1">
        <v>69</v>
      </c>
      <c r="T50" s="1">
        <v>0</v>
      </c>
      <c r="U50" s="1">
        <f>Games[[#This Row],[PointsFor]]-Games[[#This Row],[PointsAgainst]]</f>
        <v>16</v>
      </c>
      <c r="V50" s="1">
        <f>IF(Games[[#This Row],[MOV]]&gt;0,1,IF(Games[[#This Row],[MOV]]=0,0.5,0))</f>
        <v>1</v>
      </c>
      <c r="W50" s="4">
        <f>((ABS(Games[[#This Row],[MOV]])+5)^0.6)/(12+0.01*(ABS(Games[[#This Row],[PreGmRate]]-Games[[#This Row],[OppPreGmRate]])))*IF(Games[[#This Row],[OT]]=1,0.9,1)</f>
        <v>0.49538404779186168</v>
      </c>
      <c r="X50" s="7" cm="1">
        <f t="array" ref="X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0" s="9">
        <f>MAX(kmin, kmax - 0.15 * MIN(Games[[#This Row],[GamesPlayed]], 82))</f>
        <v>75.25</v>
      </c>
      <c r="Z50" s="4">
        <f>Games[[#This Row],[K]]*Games[[#This Row],[POMult]]</f>
        <v>75.25</v>
      </c>
      <c r="AA50" s="4">
        <f>(Games[[#This Row],[Keff]]*Games[[#This Row],[MOVMult]])*(Games[[#This Row],[Result]]-Games[[#This Row],[ExpectedWin%]])</f>
        <v>20.230091177503549</v>
      </c>
      <c r="AB50" s="4">
        <f>Games[[#This Row],[PreGmRate]]+Games[[#This Row],[RatingChange]]</f>
        <v>1473.7926513178193</v>
      </c>
      <c r="AC50" s="2">
        <f>IF(Games[[#This Row],[Type]]="R",IF(Games[[#This Row],[Result]]&gt;0.5,1,0),0)</f>
        <v>1</v>
      </c>
      <c r="AD50" s="2">
        <f>IF(Games[[#This Row],[Type]]="R",IF(Games[[#This Row],[Result]]&lt;0.5,1,0),0)</f>
        <v>0</v>
      </c>
      <c r="AE50" s="2">
        <f>IF(AND(Games[[#This Row],[Type]]="P",Games[[#This Row],[Round]]=1),IF(Games[[#This Row],[Result]]&gt;0.5,1,0),0)</f>
        <v>0</v>
      </c>
      <c r="AF50" s="2">
        <f>IF(AND(Games[[#This Row],[Type]]="P",Games[[#This Row],[Round]]=1),IF(Games[[#This Row],[Result]]&lt;0.5,1,0),0)</f>
        <v>0</v>
      </c>
      <c r="AG50" s="2">
        <f>IF(AND(Games[[#This Row],[Type]]="P",Games[[#This Row],[Round]]=2),IF(Games[[#This Row],[Result]]&gt;0.5,1,0),0)</f>
        <v>0</v>
      </c>
      <c r="AH50" s="2">
        <f>IF(AND(Games[[#This Row],[Type]]="P",Games[[#This Row],[Round]]=2),IF(Games[[#This Row],[Result]]&lt;0.5,1,0),0)</f>
        <v>0</v>
      </c>
      <c r="AI50" s="2">
        <f>IF(AND(Games[[#This Row],[Type]]="P",Games[[#This Row],[Round]]=3),IF(Games[[#This Row],[Result]]&gt;0.5,1,0),0)</f>
        <v>0</v>
      </c>
      <c r="AJ50" s="2">
        <f>IF(AND(Games[[#This Row],[Type]]="P",Games[[#This Row],[Round]]=3),IF(Games[[#This Row],[Result]]&lt;0.5,1,0),0)</f>
        <v>0</v>
      </c>
      <c r="AK50" s="2">
        <f>IF(AND(Games[[#This Row],[Type]]="P",Games[[#This Row],[Round]]=4),IF(Games[[#This Row],[Result]]&gt;0.5,1,0),0)</f>
        <v>0</v>
      </c>
      <c r="AL50" s="2">
        <f>IF(AND(Games[[#This Row],[Type]]="P",Games[[#This Row],[Round]]=4),IF(Games[[#This Row],[Result]]&lt;0.5,1,0),0)</f>
        <v>0</v>
      </c>
    </row>
    <row r="51" spans="1:38" x14ac:dyDescent="0.35">
      <c r="A51" s="10">
        <v>44341</v>
      </c>
      <c r="B51" s="2">
        <v>2021</v>
      </c>
      <c r="C51" s="2">
        <f>COUNTIFS(Games[Team],Games[[#This Row],[Team]],Games[Season],Games[[#This Row],[Season]],Games[Date],"&lt;=" &amp; Games[[#This Row],[Date]])</f>
        <v>6</v>
      </c>
      <c r="D51" s="2" t="s">
        <v>79</v>
      </c>
      <c r="E51" s="2" t="s">
        <v>80</v>
      </c>
      <c r="F51" s="1" t="s">
        <v>69</v>
      </c>
      <c r="G51" s="1" t="s">
        <v>65</v>
      </c>
      <c r="H51" s="1" t="s">
        <v>82</v>
      </c>
      <c r="I51" s="2" cm="1">
        <f t="array" ref="I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51" s="2" cm="1">
        <f t="array" ref="J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1" s="2">
        <f>Games[[#This Row],[DaysOff]]-Games[[#This Row],[OppDaysOff]]</f>
        <v>0</v>
      </c>
      <c r="L51" s="2">
        <f>Games[[#This Row],[OppDaysOff]]-Games[[#This Row],[DaysOff]]</f>
        <v>0</v>
      </c>
      <c r="M51" s="1">
        <f>MAX(-16, MIN(16, Games[[#This Row],[RestDiff]]*8))</f>
        <v>0</v>
      </c>
      <c r="N51" s="1">
        <f>MAX(-16, MIN(16, Games[[#This Row],[OppRestDiff]]*8))</f>
        <v>0</v>
      </c>
      <c r="O51" s="4" cm="1">
        <f t="array" ref="O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1399.2968212541596</v>
      </c>
      <c r="P51" s="4" cm="1">
        <f t="array" ref="P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1453.5625601403158</v>
      </c>
      <c r="Q51" s="4">
        <f>1/(1+10^(((Games[[#This Row],[OppPreGmRate]]+IF(Games[[#This Row],[HomeAway]]="A",HCA,0)+Games[[#This Row],[OppRestAdj]])-(Games[[#This Row],[PreGmRate]]+IF(Games[[#This Row],[HomeAway]]="H",HCA,0)+Games[[#This Row],[RestAdj]]))/400))</f>
        <v>0.54268687528762782</v>
      </c>
      <c r="R51" s="1">
        <v>69</v>
      </c>
      <c r="S51" s="1">
        <v>85</v>
      </c>
      <c r="T51" s="1">
        <v>0</v>
      </c>
      <c r="U51" s="1">
        <f>Games[[#This Row],[PointsFor]]-Games[[#This Row],[PointsAgainst]]</f>
        <v>-16</v>
      </c>
      <c r="V51" s="1">
        <f>IF(Games[[#This Row],[MOV]]&gt;0,1,IF(Games[[#This Row],[MOV]]=0,0.5,0))</f>
        <v>0</v>
      </c>
      <c r="W51" s="4">
        <f>((ABS(Games[[#This Row],[MOV]])+5)^0.6)/(12+0.01*(ABS(Games[[#This Row],[PreGmRate]]-Games[[#This Row],[OppPreGmRate]])))*IF(Games[[#This Row],[OT]]=1,0.9,1)</f>
        <v>0.49538404779186168</v>
      </c>
      <c r="X51" s="7" cm="1">
        <f t="array" ref="X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1" s="9">
        <f>MAX(kmin, kmax - 0.15 * MIN(Games[[#This Row],[GamesPlayed]], 82))</f>
        <v>75.099999999999994</v>
      </c>
      <c r="Z51" s="4">
        <f>Games[[#This Row],[K]]*Games[[#This Row],[POMult]]</f>
        <v>75.099999999999994</v>
      </c>
      <c r="AA51" s="4">
        <f>(Games[[#This Row],[Keff]]*Games[[#This Row],[MOVMult]])*(Games[[#This Row],[Result]]-Games[[#This Row],[ExpectedWin%]])</f>
        <v>-20.189765414359023</v>
      </c>
      <c r="AB51" s="4">
        <f>Games[[#This Row],[PreGmRate]]+Games[[#This Row],[RatingChange]]</f>
        <v>1379.1070558398005</v>
      </c>
      <c r="AC51" s="2">
        <f>IF(Games[[#This Row],[Type]]="R",IF(Games[[#This Row],[Result]]&gt;0.5,1,0),0)</f>
        <v>0</v>
      </c>
      <c r="AD51" s="2">
        <f>IF(Games[[#This Row],[Type]]="R",IF(Games[[#This Row],[Result]]&lt;0.5,1,0),0)</f>
        <v>1</v>
      </c>
      <c r="AE51" s="2">
        <f>IF(AND(Games[[#This Row],[Type]]="P",Games[[#This Row],[Round]]=1),IF(Games[[#This Row],[Result]]&gt;0.5,1,0),0)</f>
        <v>0</v>
      </c>
      <c r="AF51" s="2">
        <f>IF(AND(Games[[#This Row],[Type]]="P",Games[[#This Row],[Round]]=1),IF(Games[[#This Row],[Result]]&lt;0.5,1,0),0)</f>
        <v>0</v>
      </c>
      <c r="AG51" s="2">
        <f>IF(AND(Games[[#This Row],[Type]]="P",Games[[#This Row],[Round]]=2),IF(Games[[#This Row],[Result]]&gt;0.5,1,0),0)</f>
        <v>0</v>
      </c>
      <c r="AH51" s="2">
        <f>IF(AND(Games[[#This Row],[Type]]="P",Games[[#This Row],[Round]]=2),IF(Games[[#This Row],[Result]]&lt;0.5,1,0),0)</f>
        <v>0</v>
      </c>
      <c r="AI51" s="2">
        <f>IF(AND(Games[[#This Row],[Type]]="P",Games[[#This Row],[Round]]=3),IF(Games[[#This Row],[Result]]&gt;0.5,1,0),0)</f>
        <v>0</v>
      </c>
      <c r="AJ51" s="2">
        <f>IF(AND(Games[[#This Row],[Type]]="P",Games[[#This Row],[Round]]=3),IF(Games[[#This Row],[Result]]&lt;0.5,1,0),0)</f>
        <v>0</v>
      </c>
      <c r="AK51" s="2">
        <f>IF(AND(Games[[#This Row],[Type]]="P",Games[[#This Row],[Round]]=4),IF(Games[[#This Row],[Result]]&gt;0.5,1,0),0)</f>
        <v>0</v>
      </c>
      <c r="AL51" s="2">
        <f>IF(AND(Games[[#This Row],[Type]]="P",Games[[#This Row],[Round]]=4),IF(Games[[#This Row],[Result]]&lt;0.5,1,0),0)</f>
        <v>0</v>
      </c>
    </row>
    <row r="52" spans="1:38" x14ac:dyDescent="0.35">
      <c r="A52" s="10">
        <v>44341</v>
      </c>
      <c r="B52" s="2">
        <v>2021</v>
      </c>
      <c r="C52" s="2">
        <f>COUNTIFS(Games[Team],Games[[#This Row],[Team]],Games[Season],Games[[#This Row],[Season]],Games[Date],"&lt;=" &amp; Games[[#This Row],[Date]])</f>
        <v>6</v>
      </c>
      <c r="D52" s="2" t="s">
        <v>79</v>
      </c>
      <c r="E52" s="2" t="s">
        <v>80</v>
      </c>
      <c r="F52" s="1" t="s">
        <v>74</v>
      </c>
      <c r="G52" s="1" t="s">
        <v>71</v>
      </c>
      <c r="H52" s="1" t="s">
        <v>81</v>
      </c>
      <c r="I52" s="2" cm="1">
        <f t="array" ref="I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52" s="2" cm="1">
        <f t="array" ref="J5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2" s="2">
        <f>Games[[#This Row],[DaysOff]]-Games[[#This Row],[OppDaysOff]]</f>
        <v>-1</v>
      </c>
      <c r="L52" s="2">
        <f>Games[[#This Row],[OppDaysOff]]-Games[[#This Row],[DaysOff]]</f>
        <v>1</v>
      </c>
      <c r="M52" s="1">
        <f>MAX(-16, MIN(16, Games[[#This Row],[RestDiff]]*8))</f>
        <v>-8</v>
      </c>
      <c r="N52" s="1">
        <f>MAX(-16, MIN(16, Games[[#This Row],[OppRestDiff]]*8))</f>
        <v>8</v>
      </c>
      <c r="O52" s="4" cm="1">
        <f t="array" ref="O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1612.9873077227633</v>
      </c>
      <c r="P52" s="4" cm="1">
        <f t="array" ref="P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1635.3631860386286</v>
      </c>
      <c r="Q52" s="4">
        <f>1/(1+10^(((Games[[#This Row],[OppPreGmRate]]+IF(Games[[#This Row],[HomeAway]]="A",HCA,0)+Games[[#This Row],[OppRestAdj]])-(Games[[#This Row],[PreGmRate]]+IF(Games[[#This Row],[HomeAway]]="H",HCA,0)+Games[[#This Row],[RestAdj]]))/400))</f>
        <v>0.3308258617958682</v>
      </c>
      <c r="R52" s="1">
        <v>87</v>
      </c>
      <c r="S52" s="1">
        <v>90</v>
      </c>
      <c r="T52" s="1">
        <v>1</v>
      </c>
      <c r="U52" s="1">
        <f>Games[[#This Row],[PointsFor]]-Games[[#This Row],[PointsAgainst]]</f>
        <v>-3</v>
      </c>
      <c r="V52" s="1">
        <f>IF(Games[[#This Row],[MOV]]&gt;0,1,IF(Games[[#This Row],[MOV]]=0,0.5,0))</f>
        <v>0</v>
      </c>
      <c r="W52" s="4">
        <f>((ABS(Games[[#This Row],[MOV]])+5)^0.6)/(12+0.01*(ABS(Games[[#This Row],[PreGmRate]]-Games[[#This Row],[OppPreGmRate]])))*IF(Games[[#This Row],[OT]]=1,0.9,1)</f>
        <v>0.2563844790674295</v>
      </c>
      <c r="X52" s="7" cm="1">
        <f t="array" ref="X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2" s="9">
        <f>MAX(kmin, kmax - 0.15 * MIN(Games[[#This Row],[GamesPlayed]], 82))</f>
        <v>75.099999999999994</v>
      </c>
      <c r="Z52" s="4">
        <f>Games[[#This Row],[K]]*Games[[#This Row],[POMult]]</f>
        <v>75.099999999999994</v>
      </c>
      <c r="AA52" s="4">
        <f>(Games[[#This Row],[Keff]]*Games[[#This Row],[MOVMult]])*(Games[[#This Row],[Result]]-Games[[#This Row],[ExpectedWin%]])</f>
        <v>-6.369878079516389</v>
      </c>
      <c r="AB52" s="4">
        <f>Games[[#This Row],[PreGmRate]]+Games[[#This Row],[RatingChange]]</f>
        <v>1606.6174296432469</v>
      </c>
      <c r="AC52" s="2">
        <f>IF(Games[[#This Row],[Type]]="R",IF(Games[[#This Row],[Result]]&gt;0.5,1,0),0)</f>
        <v>0</v>
      </c>
      <c r="AD52" s="2">
        <f>IF(Games[[#This Row],[Type]]="R",IF(Games[[#This Row],[Result]]&lt;0.5,1,0),0)</f>
        <v>1</v>
      </c>
      <c r="AE52" s="2">
        <f>IF(AND(Games[[#This Row],[Type]]="P",Games[[#This Row],[Round]]=1),IF(Games[[#This Row],[Result]]&gt;0.5,1,0),0)</f>
        <v>0</v>
      </c>
      <c r="AF52" s="2">
        <f>IF(AND(Games[[#This Row],[Type]]="P",Games[[#This Row],[Round]]=1),IF(Games[[#This Row],[Result]]&lt;0.5,1,0),0)</f>
        <v>0</v>
      </c>
      <c r="AG52" s="2">
        <f>IF(AND(Games[[#This Row],[Type]]="P",Games[[#This Row],[Round]]=2),IF(Games[[#This Row],[Result]]&gt;0.5,1,0),0)</f>
        <v>0</v>
      </c>
      <c r="AH52" s="2">
        <f>IF(AND(Games[[#This Row],[Type]]="P",Games[[#This Row],[Round]]=2),IF(Games[[#This Row],[Result]]&lt;0.5,1,0),0)</f>
        <v>0</v>
      </c>
      <c r="AI52" s="2">
        <f>IF(AND(Games[[#This Row],[Type]]="P",Games[[#This Row],[Round]]=3),IF(Games[[#This Row],[Result]]&gt;0.5,1,0),0)</f>
        <v>0</v>
      </c>
      <c r="AJ52" s="2">
        <f>IF(AND(Games[[#This Row],[Type]]="P",Games[[#This Row],[Round]]=3),IF(Games[[#This Row],[Result]]&lt;0.5,1,0),0)</f>
        <v>0</v>
      </c>
      <c r="AK52" s="2">
        <f>IF(AND(Games[[#This Row],[Type]]="P",Games[[#This Row],[Round]]=4),IF(Games[[#This Row],[Result]]&gt;0.5,1,0),0)</f>
        <v>0</v>
      </c>
      <c r="AL52" s="2">
        <f>IF(AND(Games[[#This Row],[Type]]="P",Games[[#This Row],[Round]]=4),IF(Games[[#This Row],[Result]]&lt;0.5,1,0),0)</f>
        <v>0</v>
      </c>
    </row>
    <row r="53" spans="1:38" x14ac:dyDescent="0.35">
      <c r="A53" s="10">
        <v>44341</v>
      </c>
      <c r="B53" s="2">
        <v>2021</v>
      </c>
      <c r="C53" s="2">
        <f>COUNTIFS(Games[Team],Games[[#This Row],[Team]],Games[Season],Games[[#This Row],[Season]],Games[Date],"&lt;=" &amp; Games[[#This Row],[Date]])</f>
        <v>5</v>
      </c>
      <c r="D53" s="2" t="s">
        <v>79</v>
      </c>
      <c r="E53" s="2" t="s">
        <v>80</v>
      </c>
      <c r="F53" s="1" t="s">
        <v>71</v>
      </c>
      <c r="G53" s="1" t="s">
        <v>74</v>
      </c>
      <c r="H53" s="1" t="s">
        <v>82</v>
      </c>
      <c r="I53" s="2" cm="1">
        <f t="array" ref="I53">IFERROR(
    Games[[#This Row],[Date]]
    - LOOKUP(
        2,
        1/((Games[Team]=Games[[#This Row],[Team]]) * (Games[Date] &lt; Games[[#This Row],[Date]])),
        Games[Date]
    )
    - 1,
Games[[#This Row],[Date]]-$A$2)</f>
        <v>2</v>
      </c>
      <c r="J53" s="2" cm="1">
        <f t="array" ref="J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3" s="2">
        <f>Games[[#This Row],[DaysOff]]-Games[[#This Row],[OppDaysOff]]</f>
        <v>1</v>
      </c>
      <c r="L53" s="2">
        <f>Games[[#This Row],[OppDaysOff]]-Games[[#This Row],[DaysOff]]</f>
        <v>-1</v>
      </c>
      <c r="M53" s="1">
        <f>MAX(-16, MIN(16, Games[[#This Row],[RestDiff]]*8))</f>
        <v>8</v>
      </c>
      <c r="N53" s="1">
        <f>MAX(-16, MIN(16, Games[[#This Row],[OppRestDiff]]*8))</f>
        <v>-8</v>
      </c>
      <c r="O53" s="4" cm="1">
        <f t="array" ref="O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1635.3631860386286</v>
      </c>
      <c r="P53" s="4" cm="1">
        <f t="array" ref="P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1612.9873077227633</v>
      </c>
      <c r="Q53" s="4">
        <f>1/(1+10^(((Games[[#This Row],[OppPreGmRate]]+IF(Games[[#This Row],[HomeAway]]="A",HCA,0)+Games[[#This Row],[OppRestAdj]])-(Games[[#This Row],[PreGmRate]]+IF(Games[[#This Row],[HomeAway]]="H",HCA,0)+Games[[#This Row],[RestAdj]]))/400))</f>
        <v>0.66917413820413185</v>
      </c>
      <c r="R53" s="1">
        <v>90</v>
      </c>
      <c r="S53" s="1">
        <v>87</v>
      </c>
      <c r="T53" s="1">
        <v>1</v>
      </c>
      <c r="U53" s="1">
        <f>Games[[#This Row],[PointsFor]]-Games[[#This Row],[PointsAgainst]]</f>
        <v>3</v>
      </c>
      <c r="V53" s="1">
        <f>IF(Games[[#This Row],[MOV]]&gt;0,1,IF(Games[[#This Row],[MOV]]=0,0.5,0))</f>
        <v>1</v>
      </c>
      <c r="W53" s="4">
        <f>((ABS(Games[[#This Row],[MOV]])+5)^0.6)/(12+0.01*(ABS(Games[[#This Row],[PreGmRate]]-Games[[#This Row],[OppPreGmRate]])))*IF(Games[[#This Row],[OT]]=1,0.9,1)</f>
        <v>0.2563844790674295</v>
      </c>
      <c r="X53" s="7" cm="1">
        <f t="array" ref="X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3" s="9">
        <f>MAX(kmin, kmax - 0.15 * MIN(Games[[#This Row],[GamesPlayed]], 82))</f>
        <v>75.25</v>
      </c>
      <c r="Z53" s="4">
        <f>Games[[#This Row],[K]]*Games[[#This Row],[POMult]]</f>
        <v>75.25</v>
      </c>
      <c r="AA53" s="4">
        <f>(Games[[#This Row],[Keff]]*Games[[#This Row],[MOVMult]])*(Games[[#This Row],[Result]]-Games[[#This Row],[ExpectedWin%]])</f>
        <v>6.3826008719521727</v>
      </c>
      <c r="AB53" s="4">
        <f>Games[[#This Row],[PreGmRate]]+Games[[#This Row],[RatingChange]]</f>
        <v>1641.7457869105808</v>
      </c>
      <c r="AC53" s="2">
        <f>IF(Games[[#This Row],[Type]]="R",IF(Games[[#This Row],[Result]]&gt;0.5,1,0),0)</f>
        <v>1</v>
      </c>
      <c r="AD53" s="2">
        <f>IF(Games[[#This Row],[Type]]="R",IF(Games[[#This Row],[Result]]&lt;0.5,1,0),0)</f>
        <v>0</v>
      </c>
      <c r="AE53" s="2">
        <f>IF(AND(Games[[#This Row],[Type]]="P",Games[[#This Row],[Round]]=1),IF(Games[[#This Row],[Result]]&gt;0.5,1,0),0)</f>
        <v>0</v>
      </c>
      <c r="AF53" s="2">
        <f>IF(AND(Games[[#This Row],[Type]]="P",Games[[#This Row],[Round]]=1),IF(Games[[#This Row],[Result]]&lt;0.5,1,0),0)</f>
        <v>0</v>
      </c>
      <c r="AG53" s="2">
        <f>IF(AND(Games[[#This Row],[Type]]="P",Games[[#This Row],[Round]]=2),IF(Games[[#This Row],[Result]]&gt;0.5,1,0),0)</f>
        <v>0</v>
      </c>
      <c r="AH53" s="2">
        <f>IF(AND(Games[[#This Row],[Type]]="P",Games[[#This Row],[Round]]=2),IF(Games[[#This Row],[Result]]&lt;0.5,1,0),0)</f>
        <v>0</v>
      </c>
      <c r="AI53" s="2">
        <f>IF(AND(Games[[#This Row],[Type]]="P",Games[[#This Row],[Round]]=3),IF(Games[[#This Row],[Result]]&gt;0.5,1,0),0)</f>
        <v>0</v>
      </c>
      <c r="AJ53" s="2">
        <f>IF(AND(Games[[#This Row],[Type]]="P",Games[[#This Row],[Round]]=3),IF(Games[[#This Row],[Result]]&lt;0.5,1,0),0)</f>
        <v>0</v>
      </c>
      <c r="AK53" s="2">
        <f>IF(AND(Games[[#This Row],[Type]]="P",Games[[#This Row],[Round]]=4),IF(Games[[#This Row],[Result]]&gt;0.5,1,0),0)</f>
        <v>0</v>
      </c>
      <c r="AL53" s="2">
        <f>IF(AND(Games[[#This Row],[Type]]="P",Games[[#This Row],[Round]]=4),IF(Games[[#This Row],[Result]]&lt;0.5,1,0),0)</f>
        <v>0</v>
      </c>
    </row>
    <row r="54" spans="1:38" x14ac:dyDescent="0.35">
      <c r="A54" s="10">
        <v>44342</v>
      </c>
      <c r="B54" s="2">
        <v>2021</v>
      </c>
      <c r="C54" s="2">
        <f>COUNTIFS(Games[Team],Games[[#This Row],[Team]],Games[Season],Games[[#This Row],[Season]],Games[Date],"&lt;=" &amp; Games[[#This Row],[Date]])</f>
        <v>5</v>
      </c>
      <c r="D54" s="2" t="s">
        <v>79</v>
      </c>
      <c r="E54" s="2" t="s">
        <v>80</v>
      </c>
      <c r="F54" s="1" t="s">
        <v>85</v>
      </c>
      <c r="G54" s="1" t="s">
        <v>40</v>
      </c>
      <c r="H54" s="1" t="s">
        <v>81</v>
      </c>
      <c r="I54" s="2" cm="1">
        <f t="array" ref="I54">IFERROR(
    Games[[#This Row],[Date]]
    - LOOKUP(
        2,
        1/((Games[Team]=Games[[#This Row],[Team]]) * (Games[Date] &lt; Games[[#This Row],[Date]])),
        Games[Date]
    )
    - 1,
Games[[#This Row],[Date]]-$A$2)</f>
        <v>2</v>
      </c>
      <c r="J54" s="2" cm="1">
        <f t="array" ref="J5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54" s="2">
        <f>Games[[#This Row],[DaysOff]]-Games[[#This Row],[OppDaysOff]]</f>
        <v>-2</v>
      </c>
      <c r="L54" s="2">
        <f>Games[[#This Row],[OppDaysOff]]-Games[[#This Row],[DaysOff]]</f>
        <v>2</v>
      </c>
      <c r="M54" s="1">
        <f>MAX(-16, MIN(16, Games[[#This Row],[RestDiff]]*8))</f>
        <v>-16</v>
      </c>
      <c r="N54" s="1">
        <f>MAX(-16, MIN(16, Games[[#This Row],[OppRestDiff]]*8))</f>
        <v>16</v>
      </c>
      <c r="O54" s="4" cm="1">
        <f t="array" ref="O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1569.0541605147623</v>
      </c>
      <c r="P54" s="4" cm="1">
        <f t="array" ref="P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1517.4665678618469</v>
      </c>
      <c r="Q54" s="4">
        <f>1/(1+10^(((Games[[#This Row],[OppPreGmRate]]+IF(Games[[#This Row],[HomeAway]]="A",HCA,0)+Games[[#This Row],[OppRestAdj]])-(Games[[#This Row],[PreGmRate]]+IF(Games[[#This Row],[HomeAway]]="H",HCA,0)+Games[[#This Row],[RestAdj]]))/400))</f>
        <v>0.40835071794517092</v>
      </c>
      <c r="R54" s="1">
        <v>85</v>
      </c>
      <c r="S54" s="1">
        <v>79</v>
      </c>
      <c r="T54" s="1">
        <v>0</v>
      </c>
      <c r="U54" s="1">
        <f>Games[[#This Row],[PointsFor]]-Games[[#This Row],[PointsAgainst]]</f>
        <v>6</v>
      </c>
      <c r="V54" s="1">
        <f>IF(Games[[#This Row],[MOV]]&gt;0,1,IF(Games[[#This Row],[MOV]]=0,0.5,0))</f>
        <v>1</v>
      </c>
      <c r="W54" s="4">
        <f>((ABS(Games[[#This Row],[MOV]])+5)^0.6)/(12+0.01*(ABS(Games[[#This Row],[PreGmRate]]-Games[[#This Row],[OppPreGmRate]])))*IF(Games[[#This Row],[OT]]=1,0.9,1)</f>
        <v>0.33680176743817297</v>
      </c>
      <c r="X54" s="7" cm="1">
        <f t="array" ref="X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4" s="9">
        <f>MAX(kmin, kmax - 0.15 * MIN(Games[[#This Row],[GamesPlayed]], 82))</f>
        <v>75.25</v>
      </c>
      <c r="Z54" s="4">
        <f>Games[[#This Row],[K]]*Games[[#This Row],[POMult]]</f>
        <v>75.25</v>
      </c>
      <c r="AA54" s="4">
        <f>(Games[[#This Row],[Keff]]*Games[[#This Row],[MOVMult]])*(Games[[#This Row],[Result]]-Games[[#This Row],[ExpectedWin%]])</f>
        <v>14.994956423444341</v>
      </c>
      <c r="AB54" s="4">
        <f>Games[[#This Row],[PreGmRate]]+Games[[#This Row],[RatingChange]]</f>
        <v>1584.0491169382067</v>
      </c>
      <c r="AC54" s="2">
        <f>IF(Games[[#This Row],[Type]]="R",IF(Games[[#This Row],[Result]]&gt;0.5,1,0),0)</f>
        <v>1</v>
      </c>
      <c r="AD54" s="2">
        <f>IF(Games[[#This Row],[Type]]="R",IF(Games[[#This Row],[Result]]&lt;0.5,1,0),0)</f>
        <v>0</v>
      </c>
      <c r="AE54" s="2">
        <f>IF(AND(Games[[#This Row],[Type]]="P",Games[[#This Row],[Round]]=1),IF(Games[[#This Row],[Result]]&gt;0.5,1,0),0)</f>
        <v>0</v>
      </c>
      <c r="AF54" s="2">
        <f>IF(AND(Games[[#This Row],[Type]]="P",Games[[#This Row],[Round]]=1),IF(Games[[#This Row],[Result]]&lt;0.5,1,0),0)</f>
        <v>0</v>
      </c>
      <c r="AG54" s="2">
        <f>IF(AND(Games[[#This Row],[Type]]="P",Games[[#This Row],[Round]]=2),IF(Games[[#This Row],[Result]]&gt;0.5,1,0),0)</f>
        <v>0</v>
      </c>
      <c r="AH54" s="2">
        <f>IF(AND(Games[[#This Row],[Type]]="P",Games[[#This Row],[Round]]=2),IF(Games[[#This Row],[Result]]&lt;0.5,1,0),0)</f>
        <v>0</v>
      </c>
      <c r="AI54" s="2">
        <f>IF(AND(Games[[#This Row],[Type]]="P",Games[[#This Row],[Round]]=3),IF(Games[[#This Row],[Result]]&gt;0.5,1,0),0)</f>
        <v>0</v>
      </c>
      <c r="AJ54" s="2">
        <f>IF(AND(Games[[#This Row],[Type]]="P",Games[[#This Row],[Round]]=3),IF(Games[[#This Row],[Result]]&lt;0.5,1,0),0)</f>
        <v>0</v>
      </c>
      <c r="AK54" s="2">
        <f>IF(AND(Games[[#This Row],[Type]]="P",Games[[#This Row],[Round]]=4),IF(Games[[#This Row],[Result]]&gt;0.5,1,0),0)</f>
        <v>0</v>
      </c>
      <c r="AL54" s="2">
        <f>IF(AND(Games[[#This Row],[Type]]="P",Games[[#This Row],[Round]]=4),IF(Games[[#This Row],[Result]]&lt;0.5,1,0),0)</f>
        <v>0</v>
      </c>
    </row>
    <row r="55" spans="1:38" x14ac:dyDescent="0.35">
      <c r="A55" s="10">
        <v>44342</v>
      </c>
      <c r="B55" s="2">
        <v>2021</v>
      </c>
      <c r="C55" s="2">
        <f>COUNTIFS(Games[Team],Games[[#This Row],[Team]],Games[Season],Games[[#This Row],[Season]],Games[Date],"&lt;=" &amp; Games[[#This Row],[Date]])</f>
        <v>5</v>
      </c>
      <c r="D55" s="2" t="s">
        <v>79</v>
      </c>
      <c r="E55" s="2" t="s">
        <v>80</v>
      </c>
      <c r="F55" s="1" t="s">
        <v>40</v>
      </c>
      <c r="G55" s="1" t="s">
        <v>85</v>
      </c>
      <c r="H55" s="1" t="s">
        <v>82</v>
      </c>
      <c r="I55" s="2" cm="1">
        <f t="array" ref="I55">IFERROR(
    Games[[#This Row],[Date]]
    - LOOKUP(
        2,
        1/((Games[Team]=Games[[#This Row],[Team]]) * (Games[Date] &lt; Games[[#This Row],[Date]])),
        Games[Date]
    )
    - 1,
Games[[#This Row],[Date]]-$A$2)</f>
        <v>4</v>
      </c>
      <c r="J55" s="2" cm="1">
        <f t="array" ref="J5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5" s="2">
        <f>Games[[#This Row],[DaysOff]]-Games[[#This Row],[OppDaysOff]]</f>
        <v>2</v>
      </c>
      <c r="L55" s="2">
        <f>Games[[#This Row],[OppDaysOff]]-Games[[#This Row],[DaysOff]]</f>
        <v>-2</v>
      </c>
      <c r="M55" s="1">
        <f>MAX(-16, MIN(16, Games[[#This Row],[RestDiff]]*8))</f>
        <v>16</v>
      </c>
      <c r="N55" s="1">
        <f>MAX(-16, MIN(16, Games[[#This Row],[OppRestDiff]]*8))</f>
        <v>-16</v>
      </c>
      <c r="O55" s="4" cm="1">
        <f t="array" ref="O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1517.4665678618469</v>
      </c>
      <c r="P55" s="4" cm="1">
        <f t="array" ref="P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1569.0541605147623</v>
      </c>
      <c r="Q55" s="4">
        <f>1/(1+10^(((Games[[#This Row],[OppPreGmRate]]+IF(Games[[#This Row],[HomeAway]]="A",HCA,0)+Games[[#This Row],[OppRestAdj]])-(Games[[#This Row],[PreGmRate]]+IF(Games[[#This Row],[HomeAway]]="H",HCA,0)+Games[[#This Row],[RestAdj]]))/400))</f>
        <v>0.59164928205482914</v>
      </c>
      <c r="R55" s="1">
        <v>79</v>
      </c>
      <c r="S55" s="1">
        <v>85</v>
      </c>
      <c r="T55" s="1">
        <v>0</v>
      </c>
      <c r="U55" s="1">
        <f>Games[[#This Row],[PointsFor]]-Games[[#This Row],[PointsAgainst]]</f>
        <v>-6</v>
      </c>
      <c r="V55" s="1">
        <f>IF(Games[[#This Row],[MOV]]&gt;0,1,IF(Games[[#This Row],[MOV]]=0,0.5,0))</f>
        <v>0</v>
      </c>
      <c r="W55" s="4">
        <f>((ABS(Games[[#This Row],[MOV]])+5)^0.6)/(12+0.01*(ABS(Games[[#This Row],[PreGmRate]]-Games[[#This Row],[OppPreGmRate]])))*IF(Games[[#This Row],[OT]]=1,0.9,1)</f>
        <v>0.33680176743817297</v>
      </c>
      <c r="X55" s="7" cm="1">
        <f t="array" ref="X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5" s="9">
        <f>MAX(kmin, kmax - 0.15 * MIN(Games[[#This Row],[GamesPlayed]], 82))</f>
        <v>75.25</v>
      </c>
      <c r="Z55" s="4">
        <f>Games[[#This Row],[K]]*Games[[#This Row],[POMult]]</f>
        <v>75.25</v>
      </c>
      <c r="AA55" s="4">
        <f>(Games[[#This Row],[Keff]]*Games[[#This Row],[MOVMult]])*(Games[[#This Row],[Result]]-Games[[#This Row],[ExpectedWin%]])</f>
        <v>-14.994956423444341</v>
      </c>
      <c r="AB55" s="4">
        <f>Games[[#This Row],[PreGmRate]]+Games[[#This Row],[RatingChange]]</f>
        <v>1502.4716114384025</v>
      </c>
      <c r="AC55" s="2">
        <f>IF(Games[[#This Row],[Type]]="R",IF(Games[[#This Row],[Result]]&gt;0.5,1,0),0)</f>
        <v>0</v>
      </c>
      <c r="AD55" s="2">
        <f>IF(Games[[#This Row],[Type]]="R",IF(Games[[#This Row],[Result]]&lt;0.5,1,0),0)</f>
        <v>1</v>
      </c>
      <c r="AE55" s="2">
        <f>IF(AND(Games[[#This Row],[Type]]="P",Games[[#This Row],[Round]]=1),IF(Games[[#This Row],[Result]]&gt;0.5,1,0),0)</f>
        <v>0</v>
      </c>
      <c r="AF55" s="2">
        <f>IF(AND(Games[[#This Row],[Type]]="P",Games[[#This Row],[Round]]=1),IF(Games[[#This Row],[Result]]&lt;0.5,1,0),0)</f>
        <v>0</v>
      </c>
      <c r="AG55" s="2">
        <f>IF(AND(Games[[#This Row],[Type]]="P",Games[[#This Row],[Round]]=2),IF(Games[[#This Row],[Result]]&gt;0.5,1,0),0)</f>
        <v>0</v>
      </c>
      <c r="AH55" s="2">
        <f>IF(AND(Games[[#This Row],[Type]]="P",Games[[#This Row],[Round]]=2),IF(Games[[#This Row],[Result]]&lt;0.5,1,0),0)</f>
        <v>0</v>
      </c>
      <c r="AI55" s="2">
        <f>IF(AND(Games[[#This Row],[Type]]="P",Games[[#This Row],[Round]]=3),IF(Games[[#This Row],[Result]]&gt;0.5,1,0),0)</f>
        <v>0</v>
      </c>
      <c r="AJ55" s="2">
        <f>IF(AND(Games[[#This Row],[Type]]="P",Games[[#This Row],[Round]]=3),IF(Games[[#This Row],[Result]]&lt;0.5,1,0),0)</f>
        <v>0</v>
      </c>
      <c r="AK55" s="2">
        <f>IF(AND(Games[[#This Row],[Type]]="P",Games[[#This Row],[Round]]=4),IF(Games[[#This Row],[Result]]&gt;0.5,1,0),0)</f>
        <v>0</v>
      </c>
      <c r="AL55" s="2">
        <f>IF(AND(Games[[#This Row],[Type]]="P",Games[[#This Row],[Round]]=4),IF(Games[[#This Row],[Result]]&lt;0.5,1,0),0)</f>
        <v>0</v>
      </c>
    </row>
    <row r="56" spans="1:38" x14ac:dyDescent="0.35">
      <c r="A56" s="10">
        <v>44343</v>
      </c>
      <c r="B56" s="2">
        <v>2021</v>
      </c>
      <c r="C56" s="2">
        <f>COUNTIFS(Games[Team],Games[[#This Row],[Team]],Games[Season],Games[[#This Row],[Season]],Games[Date],"&lt;=" &amp; Games[[#This Row],[Date]])</f>
        <v>4</v>
      </c>
      <c r="D56" s="2" t="s">
        <v>79</v>
      </c>
      <c r="E56" s="2" t="s">
        <v>80</v>
      </c>
      <c r="F56" s="1" t="s">
        <v>84</v>
      </c>
      <c r="G56" s="1" t="s">
        <v>77</v>
      </c>
      <c r="H56" s="1" t="s">
        <v>81</v>
      </c>
      <c r="I56" s="2" cm="1">
        <f t="array" ref="I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56" s="2" cm="1">
        <f t="array" ref="J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56" s="2">
        <f>Games[[#This Row],[DaysOff]]-Games[[#This Row],[OppDaysOff]]</f>
        <v>1</v>
      </c>
      <c r="L56" s="2">
        <f>Games[[#This Row],[OppDaysOff]]-Games[[#This Row],[DaysOff]]</f>
        <v>-1</v>
      </c>
      <c r="M56" s="1">
        <f>MAX(-16, MIN(16, Games[[#This Row],[RestDiff]]*8))</f>
        <v>8</v>
      </c>
      <c r="N56" s="1">
        <f>MAX(-16, MIN(16, Games[[#This Row],[OppRestDiff]]*8))</f>
        <v>-8</v>
      </c>
      <c r="O56" s="4" cm="1">
        <f t="array" ref="O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1468.2368466623311</v>
      </c>
      <c r="P56" s="4" cm="1">
        <f t="array" ref="P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1445.8666093823792</v>
      </c>
      <c r="Q56" s="4">
        <f>1/(1+10^(((Games[[#This Row],[OppPreGmRate]]+IF(Games[[#This Row],[HomeAway]]="A",HCA,0)+Games[[#This Row],[OppRestAdj]])-(Games[[#This Row],[PreGmRate]]+IF(Games[[#This Row],[HomeAway]]="H",HCA,0)+Games[[#This Row],[RestAdj]]))/400))</f>
        <v>0.43470845262077079</v>
      </c>
      <c r="R56" s="1">
        <v>95</v>
      </c>
      <c r="S56" s="1">
        <v>101</v>
      </c>
      <c r="T56" s="1">
        <v>0</v>
      </c>
      <c r="U56" s="1">
        <f>Games[[#This Row],[PointsFor]]-Games[[#This Row],[PointsAgainst]]</f>
        <v>-6</v>
      </c>
      <c r="V56" s="1">
        <f>IF(Games[[#This Row],[MOV]]&gt;0,1,IF(Games[[#This Row],[MOV]]=0,0.5,0))</f>
        <v>0</v>
      </c>
      <c r="W56" s="4">
        <f>((ABS(Games[[#This Row],[MOV]])+5)^0.6)/(12+0.01*(ABS(Games[[#This Row],[PreGmRate]]-Games[[#This Row],[OppPreGmRate]])))*IF(Games[[#This Row],[OT]]=1,0.9,1)</f>
        <v>0.34485207546218094</v>
      </c>
      <c r="X56" s="7" cm="1">
        <f t="array" ref="X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6" s="9">
        <f>MAX(kmin, kmax - 0.15 * MIN(Games[[#This Row],[GamesPlayed]], 82))</f>
        <v>75.400000000000006</v>
      </c>
      <c r="Z56" s="4">
        <f>Games[[#This Row],[K]]*Games[[#This Row],[POMult]]</f>
        <v>75.400000000000006</v>
      </c>
      <c r="AA56" s="4">
        <f>(Games[[#This Row],[Keff]]*Games[[#This Row],[MOVMult]])*(Games[[#This Row],[Result]]-Games[[#This Row],[ExpectedWin%]])</f>
        <v>-11.303222452884837</v>
      </c>
      <c r="AB56" s="4">
        <f>Games[[#This Row],[PreGmRate]]+Games[[#This Row],[RatingChange]]</f>
        <v>1456.9336242094462</v>
      </c>
      <c r="AC56" s="2">
        <f>IF(Games[[#This Row],[Type]]="R",IF(Games[[#This Row],[Result]]&gt;0.5,1,0),0)</f>
        <v>0</v>
      </c>
      <c r="AD56" s="2">
        <f>IF(Games[[#This Row],[Type]]="R",IF(Games[[#This Row],[Result]]&lt;0.5,1,0),0)</f>
        <v>1</v>
      </c>
      <c r="AE56" s="2">
        <f>IF(AND(Games[[#This Row],[Type]]="P",Games[[#This Row],[Round]]=1),IF(Games[[#This Row],[Result]]&gt;0.5,1,0),0)</f>
        <v>0</v>
      </c>
      <c r="AF56" s="2">
        <f>IF(AND(Games[[#This Row],[Type]]="P",Games[[#This Row],[Round]]=1),IF(Games[[#This Row],[Result]]&lt;0.5,1,0),0)</f>
        <v>0</v>
      </c>
      <c r="AG56" s="2">
        <f>IF(AND(Games[[#This Row],[Type]]="P",Games[[#This Row],[Round]]=2),IF(Games[[#This Row],[Result]]&gt;0.5,1,0),0)</f>
        <v>0</v>
      </c>
      <c r="AH56" s="2">
        <f>IF(AND(Games[[#This Row],[Type]]="P",Games[[#This Row],[Round]]=2),IF(Games[[#This Row],[Result]]&lt;0.5,1,0),0)</f>
        <v>0</v>
      </c>
      <c r="AI56" s="2">
        <f>IF(AND(Games[[#This Row],[Type]]="P",Games[[#This Row],[Round]]=3),IF(Games[[#This Row],[Result]]&gt;0.5,1,0),0)</f>
        <v>0</v>
      </c>
      <c r="AJ56" s="2">
        <f>IF(AND(Games[[#This Row],[Type]]="P",Games[[#This Row],[Round]]=3),IF(Games[[#This Row],[Result]]&lt;0.5,1,0),0)</f>
        <v>0</v>
      </c>
      <c r="AK56" s="2">
        <f>IF(AND(Games[[#This Row],[Type]]="P",Games[[#This Row],[Round]]=4),IF(Games[[#This Row],[Result]]&gt;0.5,1,0),0)</f>
        <v>0</v>
      </c>
      <c r="AL56" s="2">
        <f>IF(AND(Games[[#This Row],[Type]]="P",Games[[#This Row],[Round]]=4),IF(Games[[#This Row],[Result]]&lt;0.5,1,0),0)</f>
        <v>0</v>
      </c>
    </row>
    <row r="57" spans="1:38" x14ac:dyDescent="0.35">
      <c r="A57" s="10">
        <v>44343</v>
      </c>
      <c r="B57" s="2">
        <v>2021</v>
      </c>
      <c r="C57" s="2">
        <f>COUNTIFS(Games[Team],Games[[#This Row],[Team]],Games[Season],Games[[#This Row],[Season]],Games[Date],"&lt;=" &amp; Games[[#This Row],[Date]])</f>
        <v>5</v>
      </c>
      <c r="D57" s="2" t="s">
        <v>79</v>
      </c>
      <c r="E57" s="2" t="s">
        <v>80</v>
      </c>
      <c r="F57" s="1" t="s">
        <v>77</v>
      </c>
      <c r="G57" s="1" t="s">
        <v>84</v>
      </c>
      <c r="H57" s="1" t="s">
        <v>82</v>
      </c>
      <c r="I57" s="2" cm="1">
        <f t="array" ref="I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57" s="2" cm="1">
        <f t="array" ref="J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7" s="2">
        <f>Games[[#This Row],[DaysOff]]-Games[[#This Row],[OppDaysOff]]</f>
        <v>-1</v>
      </c>
      <c r="L57" s="2">
        <f>Games[[#This Row],[OppDaysOff]]-Games[[#This Row],[DaysOff]]</f>
        <v>1</v>
      </c>
      <c r="M57" s="1">
        <f>MAX(-16, MIN(16, Games[[#This Row],[RestDiff]]*8))</f>
        <v>-8</v>
      </c>
      <c r="N57" s="1">
        <f>MAX(-16, MIN(16, Games[[#This Row],[OppRestDiff]]*8))</f>
        <v>8</v>
      </c>
      <c r="O57" s="4" cm="1">
        <f t="array" ref="O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1445.8666093823792</v>
      </c>
      <c r="P57" s="4" cm="1">
        <f t="array" ref="P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1468.2368466623311</v>
      </c>
      <c r="Q57" s="4">
        <f>1/(1+10^(((Games[[#This Row],[OppPreGmRate]]+IF(Games[[#This Row],[HomeAway]]="A",HCA,0)+Games[[#This Row],[OppRestAdj]])-(Games[[#This Row],[PreGmRate]]+IF(Games[[#This Row],[HomeAway]]="H",HCA,0)+Games[[#This Row],[RestAdj]]))/400))</f>
        <v>0.56529154737922915</v>
      </c>
      <c r="R57" s="1">
        <v>101</v>
      </c>
      <c r="S57" s="1">
        <v>95</v>
      </c>
      <c r="T57" s="1">
        <v>0</v>
      </c>
      <c r="U57" s="1">
        <f>Games[[#This Row],[PointsFor]]-Games[[#This Row],[PointsAgainst]]</f>
        <v>6</v>
      </c>
      <c r="V57" s="1">
        <f>IF(Games[[#This Row],[MOV]]&gt;0,1,IF(Games[[#This Row],[MOV]]=0,0.5,0))</f>
        <v>1</v>
      </c>
      <c r="W57" s="4">
        <f>((ABS(Games[[#This Row],[MOV]])+5)^0.6)/(12+0.01*(ABS(Games[[#This Row],[PreGmRate]]-Games[[#This Row],[OppPreGmRate]])))*IF(Games[[#This Row],[OT]]=1,0.9,1)</f>
        <v>0.34485207546218094</v>
      </c>
      <c r="X57" s="7" cm="1">
        <f t="array" ref="X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7" s="9">
        <f>MAX(kmin, kmax - 0.15 * MIN(Games[[#This Row],[GamesPlayed]], 82))</f>
        <v>75.25</v>
      </c>
      <c r="Z57" s="4">
        <f>Games[[#This Row],[K]]*Games[[#This Row],[POMult]]</f>
        <v>75.25</v>
      </c>
      <c r="AA57" s="4">
        <f>(Games[[#This Row],[Keff]]*Games[[#This Row],[MOVMult]])*(Games[[#This Row],[Result]]-Games[[#This Row],[ExpectedWin%]])</f>
        <v>11.280735936068755</v>
      </c>
      <c r="AB57" s="4">
        <f>Games[[#This Row],[PreGmRate]]+Games[[#This Row],[RatingChange]]</f>
        <v>1457.1473453184481</v>
      </c>
      <c r="AC57" s="2">
        <f>IF(Games[[#This Row],[Type]]="R",IF(Games[[#This Row],[Result]]&gt;0.5,1,0),0)</f>
        <v>1</v>
      </c>
      <c r="AD57" s="2">
        <f>IF(Games[[#This Row],[Type]]="R",IF(Games[[#This Row],[Result]]&lt;0.5,1,0),0)</f>
        <v>0</v>
      </c>
      <c r="AE57" s="2">
        <f>IF(AND(Games[[#This Row],[Type]]="P",Games[[#This Row],[Round]]=1),IF(Games[[#This Row],[Result]]&gt;0.5,1,0),0)</f>
        <v>0</v>
      </c>
      <c r="AF57" s="2">
        <f>IF(AND(Games[[#This Row],[Type]]="P",Games[[#This Row],[Round]]=1),IF(Games[[#This Row],[Result]]&lt;0.5,1,0),0)</f>
        <v>0</v>
      </c>
      <c r="AG57" s="2">
        <f>IF(AND(Games[[#This Row],[Type]]="P",Games[[#This Row],[Round]]=2),IF(Games[[#This Row],[Result]]&gt;0.5,1,0),0)</f>
        <v>0</v>
      </c>
      <c r="AH57" s="2">
        <f>IF(AND(Games[[#This Row],[Type]]="P",Games[[#This Row],[Round]]=2),IF(Games[[#This Row],[Result]]&lt;0.5,1,0),0)</f>
        <v>0</v>
      </c>
      <c r="AI57" s="2">
        <f>IF(AND(Games[[#This Row],[Type]]="P",Games[[#This Row],[Round]]=3),IF(Games[[#This Row],[Result]]&gt;0.5,1,0),0)</f>
        <v>0</v>
      </c>
      <c r="AJ57" s="2">
        <f>IF(AND(Games[[#This Row],[Type]]="P",Games[[#This Row],[Round]]=3),IF(Games[[#This Row],[Result]]&lt;0.5,1,0),0)</f>
        <v>0</v>
      </c>
      <c r="AK57" s="2">
        <f>IF(AND(Games[[#This Row],[Type]]="P",Games[[#This Row],[Round]]=4),IF(Games[[#This Row],[Result]]&gt;0.5,1,0),0)</f>
        <v>0</v>
      </c>
      <c r="AL57" s="2">
        <f>IF(AND(Games[[#This Row],[Type]]="P",Games[[#This Row],[Round]]=4),IF(Games[[#This Row],[Result]]&lt;0.5,1,0),0)</f>
        <v>0</v>
      </c>
    </row>
    <row r="58" spans="1:38" x14ac:dyDescent="0.35">
      <c r="A58" s="10">
        <v>44344</v>
      </c>
      <c r="B58" s="2">
        <v>2021</v>
      </c>
      <c r="C58" s="2">
        <f>COUNTIFS(Games[Team],Games[[#This Row],[Team]],Games[Season],Games[[#This Row],[Season]],Games[Date],"&lt;=" &amp; Games[[#This Row],[Date]])</f>
        <v>3</v>
      </c>
      <c r="D58" s="2" t="s">
        <v>79</v>
      </c>
      <c r="E58" s="2" t="s">
        <v>80</v>
      </c>
      <c r="F58" s="1" t="s">
        <v>63</v>
      </c>
      <c r="G58" s="1" t="s">
        <v>75</v>
      </c>
      <c r="H58" s="1" t="s">
        <v>81</v>
      </c>
      <c r="I58" s="2" cm="1">
        <f t="array" ref="I58">IFERROR(
    Games[[#This Row],[Date]]
    - LOOKUP(
        2,
        1/((Games[Team]=Games[[#This Row],[Team]]) * (Games[Date] &lt; Games[[#This Row],[Date]])),
        Games[Date]
    )
    - 1,
Games[[#This Row],[Date]]-$A$2)</f>
        <v>6</v>
      </c>
      <c r="J58" s="2" cm="1">
        <f t="array" ref="J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58" s="2">
        <f>Games[[#This Row],[DaysOff]]-Games[[#This Row],[OppDaysOff]]</f>
        <v>4</v>
      </c>
      <c r="L58" s="2">
        <f>Games[[#This Row],[OppDaysOff]]-Games[[#This Row],[DaysOff]]</f>
        <v>-4</v>
      </c>
      <c r="M58" s="1">
        <f>MAX(-16, MIN(16, Games[[#This Row],[RestDiff]]*8))</f>
        <v>16</v>
      </c>
      <c r="N58" s="1">
        <f>MAX(-16, MIN(16, Games[[#This Row],[OppRestDiff]]*8))</f>
        <v>-16</v>
      </c>
      <c r="O58" s="4" cm="1">
        <f t="array" ref="O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1480.7391811257776</v>
      </c>
      <c r="P58" s="4" cm="1">
        <f t="array" ref="P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1499.2659894610699</v>
      </c>
      <c r="Q58" s="4">
        <f>1/(1+10^(((Games[[#This Row],[OppPreGmRate]]+IF(Games[[#This Row],[HomeAway]]="A",HCA,0)+Games[[#This Row],[OppRestAdj]])-(Games[[#This Row],[PreGmRate]]+IF(Games[[#This Row],[HomeAway]]="H",HCA,0)+Games[[#This Row],[RestAdj]]))/400))</f>
        <v>0.3998752459163562</v>
      </c>
      <c r="R58" s="1">
        <v>76</v>
      </c>
      <c r="S58" s="1">
        <v>61</v>
      </c>
      <c r="T58" s="1">
        <v>0</v>
      </c>
      <c r="U58" s="1">
        <f>Games[[#This Row],[PointsFor]]-Games[[#This Row],[PointsAgainst]]</f>
        <v>15</v>
      </c>
      <c r="V58" s="1">
        <f>IF(Games[[#This Row],[MOV]]&gt;0,1,IF(Games[[#This Row],[MOV]]=0,0.5,0))</f>
        <v>1</v>
      </c>
      <c r="W58" s="4">
        <f>((ABS(Games[[#This Row],[MOV]])+5)^0.6)/(12+0.01*(ABS(Games[[#This Row],[PreGmRate]]-Games[[#This Row],[OppPreGmRate]])))*IF(Games[[#This Row],[OT]]=1,0.9,1)</f>
        <v>0.4952025917910528</v>
      </c>
      <c r="X58" s="7" cm="1">
        <f t="array" ref="X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8" s="9">
        <f>MAX(kmin, kmax - 0.15 * MIN(Games[[#This Row],[GamesPlayed]], 82))</f>
        <v>75.55</v>
      </c>
      <c r="Z58" s="4">
        <f>Games[[#This Row],[K]]*Games[[#This Row],[POMult]]</f>
        <v>75.55</v>
      </c>
      <c r="AA58" s="4">
        <f>(Games[[#This Row],[Keff]]*Games[[#This Row],[MOVMult]])*(Games[[#This Row],[Result]]-Games[[#This Row],[ExpectedWin%]])</f>
        <v>22.452200855005252</v>
      </c>
      <c r="AB58" s="4">
        <f>Games[[#This Row],[PreGmRate]]+Games[[#This Row],[RatingChange]]</f>
        <v>1503.1913819807828</v>
      </c>
      <c r="AC58" s="2">
        <f>IF(Games[[#This Row],[Type]]="R",IF(Games[[#This Row],[Result]]&gt;0.5,1,0),0)</f>
        <v>1</v>
      </c>
      <c r="AD58" s="2">
        <f>IF(Games[[#This Row],[Type]]="R",IF(Games[[#This Row],[Result]]&lt;0.5,1,0),0)</f>
        <v>0</v>
      </c>
      <c r="AE58" s="2">
        <f>IF(AND(Games[[#This Row],[Type]]="P",Games[[#This Row],[Round]]=1),IF(Games[[#This Row],[Result]]&gt;0.5,1,0),0)</f>
        <v>0</v>
      </c>
      <c r="AF58" s="2">
        <f>IF(AND(Games[[#This Row],[Type]]="P",Games[[#This Row],[Round]]=1),IF(Games[[#This Row],[Result]]&lt;0.5,1,0),0)</f>
        <v>0</v>
      </c>
      <c r="AG58" s="2">
        <f>IF(AND(Games[[#This Row],[Type]]="P",Games[[#This Row],[Round]]=2),IF(Games[[#This Row],[Result]]&gt;0.5,1,0),0)</f>
        <v>0</v>
      </c>
      <c r="AH58" s="2">
        <f>IF(AND(Games[[#This Row],[Type]]="P",Games[[#This Row],[Round]]=2),IF(Games[[#This Row],[Result]]&lt;0.5,1,0),0)</f>
        <v>0</v>
      </c>
      <c r="AI58" s="2">
        <f>IF(AND(Games[[#This Row],[Type]]="P",Games[[#This Row],[Round]]=3),IF(Games[[#This Row],[Result]]&gt;0.5,1,0),0)</f>
        <v>0</v>
      </c>
      <c r="AJ58" s="2">
        <f>IF(AND(Games[[#This Row],[Type]]="P",Games[[#This Row],[Round]]=3),IF(Games[[#This Row],[Result]]&lt;0.5,1,0),0)</f>
        <v>0</v>
      </c>
      <c r="AK58" s="2">
        <f>IF(AND(Games[[#This Row],[Type]]="P",Games[[#This Row],[Round]]=4),IF(Games[[#This Row],[Result]]&gt;0.5,1,0),0)</f>
        <v>0</v>
      </c>
      <c r="AL58" s="2">
        <f>IF(AND(Games[[#This Row],[Type]]="P",Games[[#This Row],[Round]]=4),IF(Games[[#This Row],[Result]]&lt;0.5,1,0),0)</f>
        <v>0</v>
      </c>
    </row>
    <row r="59" spans="1:38" x14ac:dyDescent="0.35">
      <c r="A59" s="10">
        <v>44344</v>
      </c>
      <c r="B59" s="2">
        <v>2021</v>
      </c>
      <c r="C59" s="2">
        <f>COUNTIFS(Games[Team],Games[[#This Row],[Team]],Games[Season],Games[[#This Row],[Season]],Games[Date],"&lt;=" &amp; Games[[#This Row],[Date]])</f>
        <v>5</v>
      </c>
      <c r="D59" s="2" t="s">
        <v>79</v>
      </c>
      <c r="E59" s="2" t="s">
        <v>80</v>
      </c>
      <c r="F59" s="1" t="s">
        <v>75</v>
      </c>
      <c r="G59" s="1" t="s">
        <v>63</v>
      </c>
      <c r="H59" s="1" t="s">
        <v>82</v>
      </c>
      <c r="I59" s="2" cm="1">
        <f t="array" ref="I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59" s="2" cm="1">
        <f t="array" ref="J5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59" s="2">
        <f>Games[[#This Row],[DaysOff]]-Games[[#This Row],[OppDaysOff]]</f>
        <v>-4</v>
      </c>
      <c r="L59" s="2">
        <f>Games[[#This Row],[OppDaysOff]]-Games[[#This Row],[DaysOff]]</f>
        <v>4</v>
      </c>
      <c r="M59" s="1">
        <f>MAX(-16, MIN(16, Games[[#This Row],[RestDiff]]*8))</f>
        <v>-16</v>
      </c>
      <c r="N59" s="1">
        <f>MAX(-16, MIN(16, Games[[#This Row],[OppRestDiff]]*8))</f>
        <v>16</v>
      </c>
      <c r="O59" s="4" cm="1">
        <f t="array" ref="O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1499.2659894610699</v>
      </c>
      <c r="P59" s="4" cm="1">
        <f t="array" ref="P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1480.7391811257776</v>
      </c>
      <c r="Q59" s="4">
        <f>1/(1+10^(((Games[[#This Row],[OppPreGmRate]]+IF(Games[[#This Row],[HomeAway]]="A",HCA,0)+Games[[#This Row],[OppRestAdj]])-(Games[[#This Row],[PreGmRate]]+IF(Games[[#This Row],[HomeAway]]="H",HCA,0)+Games[[#This Row],[RestAdj]]))/400))</f>
        <v>0.60012475408364385</v>
      </c>
      <c r="R59" s="1">
        <v>61</v>
      </c>
      <c r="S59" s="1">
        <v>76</v>
      </c>
      <c r="T59" s="1">
        <v>0</v>
      </c>
      <c r="U59" s="1">
        <f>Games[[#This Row],[PointsFor]]-Games[[#This Row],[PointsAgainst]]</f>
        <v>-15</v>
      </c>
      <c r="V59" s="1">
        <f>IF(Games[[#This Row],[MOV]]&gt;0,1,IF(Games[[#This Row],[MOV]]=0,0.5,0))</f>
        <v>0</v>
      </c>
      <c r="W59" s="4">
        <f>((ABS(Games[[#This Row],[MOV]])+5)^0.6)/(12+0.01*(ABS(Games[[#This Row],[PreGmRate]]-Games[[#This Row],[OppPreGmRate]])))*IF(Games[[#This Row],[OT]]=1,0.9,1)</f>
        <v>0.4952025917910528</v>
      </c>
      <c r="X59" s="7" cm="1">
        <f t="array" ref="X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59" s="9">
        <f>MAX(kmin, kmax - 0.15 * MIN(Games[[#This Row],[GamesPlayed]], 82))</f>
        <v>75.25</v>
      </c>
      <c r="Z59" s="4">
        <f>Games[[#This Row],[K]]*Games[[#This Row],[POMult]]</f>
        <v>75.25</v>
      </c>
      <c r="AA59" s="4">
        <f>(Games[[#This Row],[Keff]]*Games[[#This Row],[MOVMult]])*(Games[[#This Row],[Result]]-Games[[#This Row],[ExpectedWin%]])</f>
        <v>-22.363045854919196</v>
      </c>
      <c r="AB59" s="4">
        <f>Games[[#This Row],[PreGmRate]]+Games[[#This Row],[RatingChange]]</f>
        <v>1476.9029436061508</v>
      </c>
      <c r="AC59" s="2">
        <f>IF(Games[[#This Row],[Type]]="R",IF(Games[[#This Row],[Result]]&gt;0.5,1,0),0)</f>
        <v>0</v>
      </c>
      <c r="AD59" s="2">
        <f>IF(Games[[#This Row],[Type]]="R",IF(Games[[#This Row],[Result]]&lt;0.5,1,0),0)</f>
        <v>1</v>
      </c>
      <c r="AE59" s="2">
        <f>IF(AND(Games[[#This Row],[Type]]="P",Games[[#This Row],[Round]]=1),IF(Games[[#This Row],[Result]]&gt;0.5,1,0),0)</f>
        <v>0</v>
      </c>
      <c r="AF59" s="2">
        <f>IF(AND(Games[[#This Row],[Type]]="P",Games[[#This Row],[Round]]=1),IF(Games[[#This Row],[Result]]&lt;0.5,1,0),0)</f>
        <v>0</v>
      </c>
      <c r="AG59" s="2">
        <f>IF(AND(Games[[#This Row],[Type]]="P",Games[[#This Row],[Round]]=2),IF(Games[[#This Row],[Result]]&gt;0.5,1,0),0)</f>
        <v>0</v>
      </c>
      <c r="AH59" s="2">
        <f>IF(AND(Games[[#This Row],[Type]]="P",Games[[#This Row],[Round]]=2),IF(Games[[#This Row],[Result]]&lt;0.5,1,0),0)</f>
        <v>0</v>
      </c>
      <c r="AI59" s="2">
        <f>IF(AND(Games[[#This Row],[Type]]="P",Games[[#This Row],[Round]]=3),IF(Games[[#This Row],[Result]]&gt;0.5,1,0),0)</f>
        <v>0</v>
      </c>
      <c r="AJ59" s="2">
        <f>IF(AND(Games[[#This Row],[Type]]="P",Games[[#This Row],[Round]]=3),IF(Games[[#This Row],[Result]]&lt;0.5,1,0),0)</f>
        <v>0</v>
      </c>
      <c r="AK59" s="2">
        <f>IF(AND(Games[[#This Row],[Type]]="P",Games[[#This Row],[Round]]=4),IF(Games[[#This Row],[Result]]&gt;0.5,1,0),0)</f>
        <v>0</v>
      </c>
      <c r="AL59" s="2">
        <f>IF(AND(Games[[#This Row],[Type]]="P",Games[[#This Row],[Round]]=4),IF(Games[[#This Row],[Result]]&lt;0.5,1,0),0)</f>
        <v>0</v>
      </c>
    </row>
    <row r="60" spans="1:38" x14ac:dyDescent="0.35">
      <c r="A60" s="10">
        <v>44344</v>
      </c>
      <c r="B60" s="2">
        <v>2021</v>
      </c>
      <c r="C60" s="2">
        <f>COUNTIFS(Games[Team],Games[[#This Row],[Team]],Games[Season],Games[[#This Row],[Season]],Games[Date],"&lt;=" &amp; Games[[#This Row],[Date]])</f>
        <v>6</v>
      </c>
      <c r="D60" s="2" t="s">
        <v>79</v>
      </c>
      <c r="E60" s="2" t="s">
        <v>80</v>
      </c>
      <c r="F60" s="1" t="s">
        <v>65</v>
      </c>
      <c r="G60" s="1" t="s">
        <v>74</v>
      </c>
      <c r="H60" s="1" t="s">
        <v>81</v>
      </c>
      <c r="I60" s="2" cm="1">
        <f t="array" ref="I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60" s="2" cm="1">
        <f t="array" ref="J6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0" s="2">
        <f>Games[[#This Row],[DaysOff]]-Games[[#This Row],[OppDaysOff]]</f>
        <v>0</v>
      </c>
      <c r="L60" s="2">
        <f>Games[[#This Row],[OppDaysOff]]-Games[[#This Row],[DaysOff]]</f>
        <v>0</v>
      </c>
      <c r="M60" s="1">
        <f>MAX(-16, MIN(16, Games[[#This Row],[RestDiff]]*8))</f>
        <v>0</v>
      </c>
      <c r="N60" s="1">
        <f>MAX(-16, MIN(16, Games[[#This Row],[OppRestDiff]]*8))</f>
        <v>0</v>
      </c>
      <c r="O60" s="4" cm="1">
        <f t="array" ref="O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1473.7926513178193</v>
      </c>
      <c r="P60" s="4" cm="1">
        <f t="array" ref="P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1606.6174296432469</v>
      </c>
      <c r="Q60" s="4">
        <f>1/(1+10^(((Games[[#This Row],[OppPreGmRate]]+IF(Games[[#This Row],[HomeAway]]="A",HCA,0)+Games[[#This Row],[OppRestAdj]])-(Games[[#This Row],[PreGmRate]]+IF(Games[[#This Row],[HomeAway]]="H",HCA,0)+Games[[#This Row],[RestAdj]]))/400))</f>
        <v>0.22302162895347594</v>
      </c>
      <c r="R60" s="1">
        <v>81</v>
      </c>
      <c r="S60" s="1">
        <v>86</v>
      </c>
      <c r="T60" s="1">
        <v>0</v>
      </c>
      <c r="U60" s="1">
        <f>Games[[#This Row],[PointsFor]]-Games[[#This Row],[PointsAgainst]]</f>
        <v>-5</v>
      </c>
      <c r="V60" s="1">
        <f>IF(Games[[#This Row],[MOV]]&gt;0,1,IF(Games[[#This Row],[MOV]]=0,0.5,0))</f>
        <v>0</v>
      </c>
      <c r="W60" s="4">
        <f>((ABS(Games[[#This Row],[MOV]])+5)^0.6)/(12+0.01*(ABS(Games[[#This Row],[PreGmRate]]-Games[[#This Row],[OppPreGmRate]])))*IF(Games[[#This Row],[OT]]=1,0.9,1)</f>
        <v>0.29869430477851894</v>
      </c>
      <c r="X60" s="7" cm="1">
        <f t="array" ref="X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0" s="9">
        <f>MAX(kmin, kmax - 0.15 * MIN(Games[[#This Row],[GamesPlayed]], 82))</f>
        <v>75.099999999999994</v>
      </c>
      <c r="Z60" s="4">
        <f>Games[[#This Row],[K]]*Games[[#This Row],[POMult]]</f>
        <v>75.099999999999994</v>
      </c>
      <c r="AA60" s="4">
        <f>(Games[[#This Row],[Keff]]*Games[[#This Row],[MOVMult]])*(Games[[#This Row],[Result]]-Games[[#This Row],[ExpectedWin%]])</f>
        <v>-5.0028083098534308</v>
      </c>
      <c r="AB60" s="4">
        <f>Games[[#This Row],[PreGmRate]]+Games[[#This Row],[RatingChange]]</f>
        <v>1468.7898430079658</v>
      </c>
      <c r="AC60" s="2">
        <f>IF(Games[[#This Row],[Type]]="R",IF(Games[[#This Row],[Result]]&gt;0.5,1,0),0)</f>
        <v>0</v>
      </c>
      <c r="AD60" s="2">
        <f>IF(Games[[#This Row],[Type]]="R",IF(Games[[#This Row],[Result]]&lt;0.5,1,0),0)</f>
        <v>1</v>
      </c>
      <c r="AE60" s="2">
        <f>IF(AND(Games[[#This Row],[Type]]="P",Games[[#This Row],[Round]]=1),IF(Games[[#This Row],[Result]]&gt;0.5,1,0),0)</f>
        <v>0</v>
      </c>
      <c r="AF60" s="2">
        <f>IF(AND(Games[[#This Row],[Type]]="P",Games[[#This Row],[Round]]=1),IF(Games[[#This Row],[Result]]&lt;0.5,1,0),0)</f>
        <v>0</v>
      </c>
      <c r="AG60" s="2">
        <f>IF(AND(Games[[#This Row],[Type]]="P",Games[[#This Row],[Round]]=2),IF(Games[[#This Row],[Result]]&gt;0.5,1,0),0)</f>
        <v>0</v>
      </c>
      <c r="AH60" s="2">
        <f>IF(AND(Games[[#This Row],[Type]]="P",Games[[#This Row],[Round]]=2),IF(Games[[#This Row],[Result]]&lt;0.5,1,0),0)</f>
        <v>0</v>
      </c>
      <c r="AI60" s="2">
        <f>IF(AND(Games[[#This Row],[Type]]="P",Games[[#This Row],[Round]]=3),IF(Games[[#This Row],[Result]]&gt;0.5,1,0),0)</f>
        <v>0</v>
      </c>
      <c r="AJ60" s="2">
        <f>IF(AND(Games[[#This Row],[Type]]="P",Games[[#This Row],[Round]]=3),IF(Games[[#This Row],[Result]]&lt;0.5,1,0),0)</f>
        <v>0</v>
      </c>
      <c r="AK60" s="2">
        <f>IF(AND(Games[[#This Row],[Type]]="P",Games[[#This Row],[Round]]=4),IF(Games[[#This Row],[Result]]&gt;0.5,1,0),0)</f>
        <v>0</v>
      </c>
      <c r="AL60" s="2">
        <f>IF(AND(Games[[#This Row],[Type]]="P",Games[[#This Row],[Round]]=4),IF(Games[[#This Row],[Result]]&lt;0.5,1,0),0)</f>
        <v>0</v>
      </c>
    </row>
    <row r="61" spans="1:38" x14ac:dyDescent="0.35">
      <c r="A61" s="10">
        <v>44344</v>
      </c>
      <c r="B61" s="2">
        <v>2021</v>
      </c>
      <c r="C61" s="2">
        <f>COUNTIFS(Games[Team],Games[[#This Row],[Team]],Games[Season],Games[[#This Row],[Season]],Games[Date],"&lt;=" &amp; Games[[#This Row],[Date]])</f>
        <v>7</v>
      </c>
      <c r="D61" s="2" t="s">
        <v>79</v>
      </c>
      <c r="E61" s="2" t="s">
        <v>80</v>
      </c>
      <c r="F61" s="1" t="s">
        <v>74</v>
      </c>
      <c r="G61" s="1" t="s">
        <v>65</v>
      </c>
      <c r="H61" s="1" t="s">
        <v>82</v>
      </c>
      <c r="I61" s="2" cm="1">
        <f t="array" ref="I61">IFERROR(
    Games[[#This Row],[Date]]
    - LOOKUP(
        2,
        1/((Games[Team]=Games[[#This Row],[Team]]) * (Games[Date] &lt; Games[[#This Row],[Date]])),
        Games[Date]
    )
    - 1,
Games[[#This Row],[Date]]-$A$2)</f>
        <v>2</v>
      </c>
      <c r="J61" s="2" cm="1">
        <f t="array" ref="J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1" s="2">
        <f>Games[[#This Row],[DaysOff]]-Games[[#This Row],[OppDaysOff]]</f>
        <v>0</v>
      </c>
      <c r="L61" s="2">
        <f>Games[[#This Row],[OppDaysOff]]-Games[[#This Row],[DaysOff]]</f>
        <v>0</v>
      </c>
      <c r="M61" s="1">
        <f>MAX(-16, MIN(16, Games[[#This Row],[RestDiff]]*8))</f>
        <v>0</v>
      </c>
      <c r="N61" s="1">
        <f>MAX(-16, MIN(16, Games[[#This Row],[OppRestDiff]]*8))</f>
        <v>0</v>
      </c>
      <c r="O61" s="4" cm="1">
        <f t="array" ref="O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1606.6174296432469</v>
      </c>
      <c r="P61" s="4" cm="1">
        <f t="array" ref="P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1473.7926513178193</v>
      </c>
      <c r="Q61" s="4">
        <f>1/(1+10^(((Games[[#This Row],[OppPreGmRate]]+IF(Games[[#This Row],[HomeAway]]="A",HCA,0)+Games[[#This Row],[OppRestAdj]])-(Games[[#This Row],[PreGmRate]]+IF(Games[[#This Row],[HomeAway]]="H",HCA,0)+Games[[#This Row],[RestAdj]]))/400))</f>
        <v>0.77697837104652401</v>
      </c>
      <c r="R61" s="1">
        <v>86</v>
      </c>
      <c r="S61" s="1">
        <v>81</v>
      </c>
      <c r="T61" s="1">
        <v>0</v>
      </c>
      <c r="U61" s="1">
        <f>Games[[#This Row],[PointsFor]]-Games[[#This Row],[PointsAgainst]]</f>
        <v>5</v>
      </c>
      <c r="V61" s="1">
        <f>IF(Games[[#This Row],[MOV]]&gt;0,1,IF(Games[[#This Row],[MOV]]=0,0.5,0))</f>
        <v>1</v>
      </c>
      <c r="W61" s="4">
        <f>((ABS(Games[[#This Row],[MOV]])+5)^0.6)/(12+0.01*(ABS(Games[[#This Row],[PreGmRate]]-Games[[#This Row],[OppPreGmRate]])))*IF(Games[[#This Row],[OT]]=1,0.9,1)</f>
        <v>0.29869430477851894</v>
      </c>
      <c r="X61" s="7" cm="1">
        <f t="array" ref="X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1" s="9">
        <f>MAX(kmin, kmax - 0.15 * MIN(Games[[#This Row],[GamesPlayed]], 82))</f>
        <v>74.95</v>
      </c>
      <c r="Z61" s="4">
        <f>Games[[#This Row],[K]]*Games[[#This Row],[POMult]]</f>
        <v>74.95</v>
      </c>
      <c r="AA61" s="4">
        <f>(Games[[#This Row],[Keff]]*Games[[#This Row],[MOVMult]])*(Games[[#This Row],[Result]]-Games[[#This Row],[ExpectedWin%]])</f>
        <v>4.9928160162918083</v>
      </c>
      <c r="AB61" s="4">
        <f>Games[[#This Row],[PreGmRate]]+Games[[#This Row],[RatingChange]]</f>
        <v>1611.6102456595386</v>
      </c>
      <c r="AC61" s="2">
        <f>IF(Games[[#This Row],[Type]]="R",IF(Games[[#This Row],[Result]]&gt;0.5,1,0),0)</f>
        <v>1</v>
      </c>
      <c r="AD61" s="2">
        <f>IF(Games[[#This Row],[Type]]="R",IF(Games[[#This Row],[Result]]&lt;0.5,1,0),0)</f>
        <v>0</v>
      </c>
      <c r="AE61" s="2">
        <f>IF(AND(Games[[#This Row],[Type]]="P",Games[[#This Row],[Round]]=1),IF(Games[[#This Row],[Result]]&gt;0.5,1,0),0)</f>
        <v>0</v>
      </c>
      <c r="AF61" s="2">
        <f>IF(AND(Games[[#This Row],[Type]]="P",Games[[#This Row],[Round]]=1),IF(Games[[#This Row],[Result]]&lt;0.5,1,0),0)</f>
        <v>0</v>
      </c>
      <c r="AG61" s="2">
        <f>IF(AND(Games[[#This Row],[Type]]="P",Games[[#This Row],[Round]]=2),IF(Games[[#This Row],[Result]]&gt;0.5,1,0),0)</f>
        <v>0</v>
      </c>
      <c r="AH61" s="2">
        <f>IF(AND(Games[[#This Row],[Type]]="P",Games[[#This Row],[Round]]=2),IF(Games[[#This Row],[Result]]&lt;0.5,1,0),0)</f>
        <v>0</v>
      </c>
      <c r="AI61" s="2">
        <f>IF(AND(Games[[#This Row],[Type]]="P",Games[[#This Row],[Round]]=3),IF(Games[[#This Row],[Result]]&gt;0.5,1,0),0)</f>
        <v>0</v>
      </c>
      <c r="AJ61" s="2">
        <f>IF(AND(Games[[#This Row],[Type]]="P",Games[[#This Row],[Round]]=3),IF(Games[[#This Row],[Result]]&lt;0.5,1,0),0)</f>
        <v>0</v>
      </c>
      <c r="AK61" s="2">
        <f>IF(AND(Games[[#This Row],[Type]]="P",Games[[#This Row],[Round]]=4),IF(Games[[#This Row],[Result]]&gt;0.5,1,0),0)</f>
        <v>0</v>
      </c>
      <c r="AL61" s="2">
        <f>IF(AND(Games[[#This Row],[Type]]="P",Games[[#This Row],[Round]]=4),IF(Games[[#This Row],[Result]]&lt;0.5,1,0),0)</f>
        <v>0</v>
      </c>
    </row>
    <row r="62" spans="1:38" x14ac:dyDescent="0.35">
      <c r="A62" s="10">
        <v>44344</v>
      </c>
      <c r="B62" s="2">
        <v>2021</v>
      </c>
      <c r="C62" s="2">
        <f>COUNTIFS(Games[Team],Games[[#This Row],[Team]],Games[Season],Games[[#This Row],[Season]],Games[Date],"&lt;=" &amp; Games[[#This Row],[Date]])</f>
        <v>7</v>
      </c>
      <c r="D62" s="2" t="s">
        <v>79</v>
      </c>
      <c r="E62" s="2" t="s">
        <v>80</v>
      </c>
      <c r="F62" s="1" t="s">
        <v>69</v>
      </c>
      <c r="G62" s="1" t="s">
        <v>85</v>
      </c>
      <c r="H62" s="1" t="s">
        <v>81</v>
      </c>
      <c r="I62" s="2" cm="1">
        <f t="array" ref="I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62" s="2" cm="1">
        <f t="array" ref="J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2" s="2">
        <f>Games[[#This Row],[DaysOff]]-Games[[#This Row],[OppDaysOff]]</f>
        <v>1</v>
      </c>
      <c r="L62" s="2">
        <f>Games[[#This Row],[OppDaysOff]]-Games[[#This Row],[DaysOff]]</f>
        <v>-1</v>
      </c>
      <c r="M62" s="1">
        <f>MAX(-16, MIN(16, Games[[#This Row],[RestDiff]]*8))</f>
        <v>8</v>
      </c>
      <c r="N62" s="1">
        <f>MAX(-16, MIN(16, Games[[#This Row],[OppRestDiff]]*8))</f>
        <v>-8</v>
      </c>
      <c r="O62" s="4" cm="1">
        <f t="array" ref="O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1379.1070558398005</v>
      </c>
      <c r="P62" s="4" cm="1">
        <f t="array" ref="P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1584.0491169382067</v>
      </c>
      <c r="Q62" s="4">
        <f>1/(1+10^(((Games[[#This Row],[OppPreGmRate]]+IF(Games[[#This Row],[HomeAway]]="A",HCA,0)+Games[[#This Row],[OppRestAdj]])-(Games[[#This Row],[PreGmRate]]+IF(Games[[#This Row],[HomeAway]]="H",HCA,0)+Games[[#This Row],[RestAdj]]))/400))</f>
        <v>0.17204812410050746</v>
      </c>
      <c r="R62" s="1">
        <v>77</v>
      </c>
      <c r="S62" s="1">
        <v>113</v>
      </c>
      <c r="T62" s="1">
        <v>0</v>
      </c>
      <c r="U62" s="1">
        <f>Games[[#This Row],[PointsFor]]-Games[[#This Row],[PointsAgainst]]</f>
        <v>-36</v>
      </c>
      <c r="V62" s="1">
        <f>IF(Games[[#This Row],[MOV]]&gt;0,1,IF(Games[[#This Row],[MOV]]=0,0.5,0))</f>
        <v>0</v>
      </c>
      <c r="W62" s="4">
        <f>((ABS(Games[[#This Row],[MOV]])+5)^0.6)/(12+0.01*(ABS(Games[[#This Row],[PreGmRate]]-Games[[#This Row],[OppPreGmRate]])))*IF(Games[[#This Row],[OT]]=1,0.9,1)</f>
        <v>0.66071155091544398</v>
      </c>
      <c r="X62" s="7" cm="1">
        <f t="array" ref="X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2" s="9">
        <f>MAX(kmin, kmax - 0.15 * MIN(Games[[#This Row],[GamesPlayed]], 82))</f>
        <v>74.95</v>
      </c>
      <c r="Z62" s="4">
        <f>Games[[#This Row],[K]]*Games[[#This Row],[POMult]]</f>
        <v>74.95</v>
      </c>
      <c r="AA62" s="4">
        <f>(Games[[#This Row],[Keff]]*Games[[#This Row],[MOVMult]])*(Games[[#This Row],[Result]]-Games[[#This Row],[ExpectedWin%]])</f>
        <v>-8.519880008845103</v>
      </c>
      <c r="AB62" s="4">
        <f>Games[[#This Row],[PreGmRate]]+Games[[#This Row],[RatingChange]]</f>
        <v>1370.5871758309554</v>
      </c>
      <c r="AC62" s="2">
        <f>IF(Games[[#This Row],[Type]]="R",IF(Games[[#This Row],[Result]]&gt;0.5,1,0),0)</f>
        <v>0</v>
      </c>
      <c r="AD62" s="2">
        <f>IF(Games[[#This Row],[Type]]="R",IF(Games[[#This Row],[Result]]&lt;0.5,1,0),0)</f>
        <v>1</v>
      </c>
      <c r="AE62" s="2">
        <f>IF(AND(Games[[#This Row],[Type]]="P",Games[[#This Row],[Round]]=1),IF(Games[[#This Row],[Result]]&gt;0.5,1,0),0)</f>
        <v>0</v>
      </c>
      <c r="AF62" s="2">
        <f>IF(AND(Games[[#This Row],[Type]]="P",Games[[#This Row],[Round]]=1),IF(Games[[#This Row],[Result]]&lt;0.5,1,0),0)</f>
        <v>0</v>
      </c>
      <c r="AG62" s="2">
        <f>IF(AND(Games[[#This Row],[Type]]="P",Games[[#This Row],[Round]]=2),IF(Games[[#This Row],[Result]]&gt;0.5,1,0),0)</f>
        <v>0</v>
      </c>
      <c r="AH62" s="2">
        <f>IF(AND(Games[[#This Row],[Type]]="P",Games[[#This Row],[Round]]=2),IF(Games[[#This Row],[Result]]&lt;0.5,1,0),0)</f>
        <v>0</v>
      </c>
      <c r="AI62" s="2">
        <f>IF(AND(Games[[#This Row],[Type]]="P",Games[[#This Row],[Round]]=3),IF(Games[[#This Row],[Result]]&gt;0.5,1,0),0)</f>
        <v>0</v>
      </c>
      <c r="AJ62" s="2">
        <f>IF(AND(Games[[#This Row],[Type]]="P",Games[[#This Row],[Round]]=3),IF(Games[[#This Row],[Result]]&lt;0.5,1,0),0)</f>
        <v>0</v>
      </c>
      <c r="AK62" s="2">
        <f>IF(AND(Games[[#This Row],[Type]]="P",Games[[#This Row],[Round]]=4),IF(Games[[#This Row],[Result]]&gt;0.5,1,0),0)</f>
        <v>0</v>
      </c>
      <c r="AL62" s="2">
        <f>IF(AND(Games[[#This Row],[Type]]="P",Games[[#This Row],[Round]]=4),IF(Games[[#This Row],[Result]]&lt;0.5,1,0),0)</f>
        <v>0</v>
      </c>
    </row>
    <row r="63" spans="1:38" x14ac:dyDescent="0.35">
      <c r="A63" s="10">
        <v>44344</v>
      </c>
      <c r="B63" s="2">
        <v>2021</v>
      </c>
      <c r="C63" s="2">
        <f>COUNTIFS(Games[Team],Games[[#This Row],[Team]],Games[Season],Games[[#This Row],[Season]],Games[Date],"&lt;=" &amp; Games[[#This Row],[Date]])</f>
        <v>6</v>
      </c>
      <c r="D63" s="2" t="s">
        <v>79</v>
      </c>
      <c r="E63" s="2" t="s">
        <v>80</v>
      </c>
      <c r="F63" s="1" t="s">
        <v>85</v>
      </c>
      <c r="G63" s="1" t="s">
        <v>69</v>
      </c>
      <c r="H63" s="1" t="s">
        <v>82</v>
      </c>
      <c r="I63" s="2" cm="1">
        <f t="array" ref="I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63" s="2" cm="1">
        <f t="array" ref="J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3" s="2">
        <f>Games[[#This Row],[DaysOff]]-Games[[#This Row],[OppDaysOff]]</f>
        <v>-1</v>
      </c>
      <c r="L63" s="2">
        <f>Games[[#This Row],[OppDaysOff]]-Games[[#This Row],[DaysOff]]</f>
        <v>1</v>
      </c>
      <c r="M63" s="1">
        <f>MAX(-16, MIN(16, Games[[#This Row],[RestDiff]]*8))</f>
        <v>-8</v>
      </c>
      <c r="N63" s="1">
        <f>MAX(-16, MIN(16, Games[[#This Row],[OppRestDiff]]*8))</f>
        <v>8</v>
      </c>
      <c r="O63" s="4" cm="1">
        <f t="array" ref="O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1584.0491169382067</v>
      </c>
      <c r="P63" s="4" cm="1">
        <f t="array" ref="P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1379.1070558398005</v>
      </c>
      <c r="Q63" s="4">
        <f>1/(1+10^(((Games[[#This Row],[OppPreGmRate]]+IF(Games[[#This Row],[HomeAway]]="A",HCA,0)+Games[[#This Row],[OppRestAdj]])-(Games[[#This Row],[PreGmRate]]+IF(Games[[#This Row],[HomeAway]]="H",HCA,0)+Games[[#This Row],[RestAdj]]))/400))</f>
        <v>0.82795187589949248</v>
      </c>
      <c r="R63" s="1">
        <v>113</v>
      </c>
      <c r="S63" s="1">
        <v>77</v>
      </c>
      <c r="T63" s="1">
        <v>0</v>
      </c>
      <c r="U63" s="1">
        <f>Games[[#This Row],[PointsFor]]-Games[[#This Row],[PointsAgainst]]</f>
        <v>36</v>
      </c>
      <c r="V63" s="1">
        <f>IF(Games[[#This Row],[MOV]]&gt;0,1,IF(Games[[#This Row],[MOV]]=0,0.5,0))</f>
        <v>1</v>
      </c>
      <c r="W63" s="4">
        <f>((ABS(Games[[#This Row],[MOV]])+5)^0.6)/(12+0.01*(ABS(Games[[#This Row],[PreGmRate]]-Games[[#This Row],[OppPreGmRate]])))*IF(Games[[#This Row],[OT]]=1,0.9,1)</f>
        <v>0.66071155091544398</v>
      </c>
      <c r="X63" s="7" cm="1">
        <f t="array" ref="X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3" s="9">
        <f>MAX(kmin, kmax - 0.15 * MIN(Games[[#This Row],[GamesPlayed]], 82))</f>
        <v>75.099999999999994</v>
      </c>
      <c r="Z63" s="4">
        <f>Games[[#This Row],[K]]*Games[[#This Row],[POMult]]</f>
        <v>75.099999999999994</v>
      </c>
      <c r="AA63" s="4">
        <f>(Games[[#This Row],[Keff]]*Games[[#This Row],[MOVMult]])*(Games[[#This Row],[Result]]-Games[[#This Row],[ExpectedWin%]])</f>
        <v>8.5369311362810851</v>
      </c>
      <c r="AB63" s="4">
        <f>Games[[#This Row],[PreGmRate]]+Games[[#This Row],[RatingChange]]</f>
        <v>1592.5860480744877</v>
      </c>
      <c r="AC63" s="2">
        <f>IF(Games[[#This Row],[Type]]="R",IF(Games[[#This Row],[Result]]&gt;0.5,1,0),0)</f>
        <v>1</v>
      </c>
      <c r="AD63" s="2">
        <f>IF(Games[[#This Row],[Type]]="R",IF(Games[[#This Row],[Result]]&lt;0.5,1,0),0)</f>
        <v>0</v>
      </c>
      <c r="AE63" s="2">
        <f>IF(AND(Games[[#This Row],[Type]]="P",Games[[#This Row],[Round]]=1),IF(Games[[#This Row],[Result]]&gt;0.5,1,0),0)</f>
        <v>0</v>
      </c>
      <c r="AF63" s="2">
        <f>IF(AND(Games[[#This Row],[Type]]="P",Games[[#This Row],[Round]]=1),IF(Games[[#This Row],[Result]]&lt;0.5,1,0),0)</f>
        <v>0</v>
      </c>
      <c r="AG63" s="2">
        <f>IF(AND(Games[[#This Row],[Type]]="P",Games[[#This Row],[Round]]=2),IF(Games[[#This Row],[Result]]&gt;0.5,1,0),0)</f>
        <v>0</v>
      </c>
      <c r="AH63" s="2">
        <f>IF(AND(Games[[#This Row],[Type]]="P",Games[[#This Row],[Round]]=2),IF(Games[[#This Row],[Result]]&lt;0.5,1,0),0)</f>
        <v>0</v>
      </c>
      <c r="AI63" s="2">
        <f>IF(AND(Games[[#This Row],[Type]]="P",Games[[#This Row],[Round]]=3),IF(Games[[#This Row],[Result]]&gt;0.5,1,0),0)</f>
        <v>0</v>
      </c>
      <c r="AJ63" s="2">
        <f>IF(AND(Games[[#This Row],[Type]]="P",Games[[#This Row],[Round]]=3),IF(Games[[#This Row],[Result]]&lt;0.5,1,0),0)</f>
        <v>0</v>
      </c>
      <c r="AK63" s="2">
        <f>IF(AND(Games[[#This Row],[Type]]="P",Games[[#This Row],[Round]]=4),IF(Games[[#This Row],[Result]]&gt;0.5,1,0),0)</f>
        <v>0</v>
      </c>
      <c r="AL63" s="2">
        <f>IF(AND(Games[[#This Row],[Type]]="P",Games[[#This Row],[Round]]=4),IF(Games[[#This Row],[Result]]&lt;0.5,1,0),0)</f>
        <v>0</v>
      </c>
    </row>
    <row r="64" spans="1:38" x14ac:dyDescent="0.35">
      <c r="A64" s="10">
        <v>44344</v>
      </c>
      <c r="B64" s="2">
        <v>2021</v>
      </c>
      <c r="C64" s="2">
        <f>COUNTIFS(Games[Team],Games[[#This Row],[Team]],Games[Season],Games[[#This Row],[Season]],Games[Date],"&lt;=" &amp; Games[[#This Row],[Date]])</f>
        <v>4</v>
      </c>
      <c r="D64" s="2" t="s">
        <v>79</v>
      </c>
      <c r="E64" s="2" t="s">
        <v>80</v>
      </c>
      <c r="F64" s="1" t="s">
        <v>67</v>
      </c>
      <c r="G64" s="1" t="s">
        <v>71</v>
      </c>
      <c r="H64" s="1" t="s">
        <v>81</v>
      </c>
      <c r="I64" s="2" cm="1">
        <f t="array" ref="I64">IFERROR(
    Games[[#This Row],[Date]]
    - LOOKUP(
        2,
        1/((Games[Team]=Games[[#This Row],[Team]]) * (Games[Date] &lt; Games[[#This Row],[Date]])),
        Games[Date]
    )
    - 1,
Games[[#This Row],[Date]]-$A$2)</f>
        <v>7</v>
      </c>
      <c r="J64" s="2" cm="1">
        <f t="array" ref="J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4" s="2">
        <f>Games[[#This Row],[DaysOff]]-Games[[#This Row],[OppDaysOff]]</f>
        <v>5</v>
      </c>
      <c r="L64" s="2">
        <f>Games[[#This Row],[OppDaysOff]]-Games[[#This Row],[DaysOff]]</f>
        <v>-5</v>
      </c>
      <c r="M64" s="1">
        <f>MAX(-16, MIN(16, Games[[#This Row],[RestDiff]]*8))</f>
        <v>16</v>
      </c>
      <c r="N64" s="1">
        <f>MAX(-16, MIN(16, Games[[#This Row],[OppRestDiff]]*8))</f>
        <v>-16</v>
      </c>
      <c r="O64" s="4" cm="1">
        <f t="array" ref="O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1474.5215818853571</v>
      </c>
      <c r="P64" s="4" cm="1">
        <f t="array" ref="P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1641.7457869105808</v>
      </c>
      <c r="Q64" s="4">
        <f>1/(1+10^(((Games[[#This Row],[OppPreGmRate]]+IF(Games[[#This Row],[HomeAway]]="A",HCA,0)+Games[[#This Row],[OppRestAdj]])-(Games[[#This Row],[PreGmRate]]+IF(Games[[#This Row],[HomeAway]]="H",HCA,0)+Games[[#This Row],[RestAdj]]))/400))</f>
        <v>0.22063736728745956</v>
      </c>
      <c r="R64" s="1">
        <v>72</v>
      </c>
      <c r="S64" s="1">
        <v>82</v>
      </c>
      <c r="T64" s="1">
        <v>0</v>
      </c>
      <c r="U64" s="1">
        <f>Games[[#This Row],[PointsFor]]-Games[[#This Row],[PointsAgainst]]</f>
        <v>-10</v>
      </c>
      <c r="V64" s="1">
        <f>IF(Games[[#This Row],[MOV]]&gt;0,1,IF(Games[[#This Row],[MOV]]=0,0.5,0))</f>
        <v>0</v>
      </c>
      <c r="W64" s="4">
        <f>((ABS(Games[[#This Row],[MOV]])+5)^0.6)/(12+0.01*(ABS(Games[[#This Row],[PreGmRate]]-Games[[#This Row],[OppPreGmRate]])))*IF(Games[[#This Row],[OT]]=1,0.9,1)</f>
        <v>0.3713770114166266</v>
      </c>
      <c r="X64" s="7" cm="1">
        <f t="array" ref="X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4" s="9">
        <f>MAX(kmin, kmax - 0.15 * MIN(Games[[#This Row],[GamesPlayed]], 82))</f>
        <v>75.400000000000006</v>
      </c>
      <c r="Z64" s="4">
        <f>Games[[#This Row],[K]]*Games[[#This Row],[POMult]]</f>
        <v>75.400000000000006</v>
      </c>
      <c r="AA64" s="4">
        <f>(Games[[#This Row],[Keff]]*Games[[#This Row],[MOVMult]])*(Games[[#This Row],[Result]]-Games[[#This Row],[ExpectedWin%]])</f>
        <v>-6.178249313681718</v>
      </c>
      <c r="AB64" s="4">
        <f>Games[[#This Row],[PreGmRate]]+Games[[#This Row],[RatingChange]]</f>
        <v>1468.3433325716753</v>
      </c>
      <c r="AC64" s="2">
        <f>IF(Games[[#This Row],[Type]]="R",IF(Games[[#This Row],[Result]]&gt;0.5,1,0),0)</f>
        <v>0</v>
      </c>
      <c r="AD64" s="2">
        <f>IF(Games[[#This Row],[Type]]="R",IF(Games[[#This Row],[Result]]&lt;0.5,1,0),0)</f>
        <v>1</v>
      </c>
      <c r="AE64" s="2">
        <f>IF(AND(Games[[#This Row],[Type]]="P",Games[[#This Row],[Round]]=1),IF(Games[[#This Row],[Result]]&gt;0.5,1,0),0)</f>
        <v>0</v>
      </c>
      <c r="AF64" s="2">
        <f>IF(AND(Games[[#This Row],[Type]]="P",Games[[#This Row],[Round]]=1),IF(Games[[#This Row],[Result]]&lt;0.5,1,0),0)</f>
        <v>0</v>
      </c>
      <c r="AG64" s="2">
        <f>IF(AND(Games[[#This Row],[Type]]="P",Games[[#This Row],[Round]]=2),IF(Games[[#This Row],[Result]]&gt;0.5,1,0),0)</f>
        <v>0</v>
      </c>
      <c r="AH64" s="2">
        <f>IF(AND(Games[[#This Row],[Type]]="P",Games[[#This Row],[Round]]=2),IF(Games[[#This Row],[Result]]&lt;0.5,1,0),0)</f>
        <v>0</v>
      </c>
      <c r="AI64" s="2">
        <f>IF(AND(Games[[#This Row],[Type]]="P",Games[[#This Row],[Round]]=3),IF(Games[[#This Row],[Result]]&gt;0.5,1,0),0)</f>
        <v>0</v>
      </c>
      <c r="AJ64" s="2">
        <f>IF(AND(Games[[#This Row],[Type]]="P",Games[[#This Row],[Round]]=3),IF(Games[[#This Row],[Result]]&lt;0.5,1,0),0)</f>
        <v>0</v>
      </c>
      <c r="AK64" s="2">
        <f>IF(AND(Games[[#This Row],[Type]]="P",Games[[#This Row],[Round]]=4),IF(Games[[#This Row],[Result]]&gt;0.5,1,0),0)</f>
        <v>0</v>
      </c>
      <c r="AL64" s="2">
        <f>IF(AND(Games[[#This Row],[Type]]="P",Games[[#This Row],[Round]]=4),IF(Games[[#This Row],[Result]]&lt;0.5,1,0),0)</f>
        <v>0</v>
      </c>
    </row>
    <row r="65" spans="1:38" x14ac:dyDescent="0.35">
      <c r="A65" s="10">
        <v>44344</v>
      </c>
      <c r="B65" s="2">
        <v>2021</v>
      </c>
      <c r="C65" s="2">
        <f>COUNTIFS(Games[Team],Games[[#This Row],[Team]],Games[Season],Games[[#This Row],[Season]],Games[Date],"&lt;=" &amp; Games[[#This Row],[Date]])</f>
        <v>6</v>
      </c>
      <c r="D65" s="2" t="s">
        <v>79</v>
      </c>
      <c r="E65" s="2" t="s">
        <v>80</v>
      </c>
      <c r="F65" s="1" t="s">
        <v>71</v>
      </c>
      <c r="G65" s="1" t="s">
        <v>67</v>
      </c>
      <c r="H65" s="1" t="s">
        <v>82</v>
      </c>
      <c r="I65" s="2" cm="1">
        <f t="array" ref="I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65" s="2" cm="1">
        <f t="array" ref="J65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65" s="2">
        <f>Games[[#This Row],[DaysOff]]-Games[[#This Row],[OppDaysOff]]</f>
        <v>-5</v>
      </c>
      <c r="L65" s="2">
        <f>Games[[#This Row],[OppDaysOff]]-Games[[#This Row],[DaysOff]]</f>
        <v>5</v>
      </c>
      <c r="M65" s="1">
        <f>MAX(-16, MIN(16, Games[[#This Row],[RestDiff]]*8))</f>
        <v>-16</v>
      </c>
      <c r="N65" s="1">
        <f>MAX(-16, MIN(16, Games[[#This Row],[OppRestDiff]]*8))</f>
        <v>16</v>
      </c>
      <c r="O65" s="4" cm="1">
        <f t="array" ref="O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1641.7457869105808</v>
      </c>
      <c r="P65" s="4" cm="1">
        <f t="array" ref="P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1474.5215818853571</v>
      </c>
      <c r="Q65" s="4">
        <f>1/(1+10^(((Games[[#This Row],[OppPreGmRate]]+IF(Games[[#This Row],[HomeAway]]="A",HCA,0)+Games[[#This Row],[OppRestAdj]])-(Games[[#This Row],[PreGmRate]]+IF(Games[[#This Row],[HomeAway]]="H",HCA,0)+Games[[#This Row],[RestAdj]]))/400))</f>
        <v>0.77936263271254047</v>
      </c>
      <c r="R65" s="1">
        <v>82</v>
      </c>
      <c r="S65" s="1">
        <v>72</v>
      </c>
      <c r="T65" s="1">
        <v>0</v>
      </c>
      <c r="U65" s="1">
        <f>Games[[#This Row],[PointsFor]]-Games[[#This Row],[PointsAgainst]]</f>
        <v>10</v>
      </c>
      <c r="V65" s="1">
        <f>IF(Games[[#This Row],[MOV]]&gt;0,1,IF(Games[[#This Row],[MOV]]=0,0.5,0))</f>
        <v>1</v>
      </c>
      <c r="W65" s="4">
        <f>((ABS(Games[[#This Row],[MOV]])+5)^0.6)/(12+0.01*(ABS(Games[[#This Row],[PreGmRate]]-Games[[#This Row],[OppPreGmRate]])))*IF(Games[[#This Row],[OT]]=1,0.9,1)</f>
        <v>0.3713770114166266</v>
      </c>
      <c r="X65" s="7" cm="1">
        <f t="array" ref="X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5" s="9">
        <f>MAX(kmin, kmax - 0.15 * MIN(Games[[#This Row],[GamesPlayed]], 82))</f>
        <v>75.099999999999994</v>
      </c>
      <c r="Z65" s="4">
        <f>Games[[#This Row],[K]]*Games[[#This Row],[POMult]]</f>
        <v>75.099999999999994</v>
      </c>
      <c r="AA65" s="4">
        <f>(Games[[#This Row],[Keff]]*Games[[#This Row],[MOVMult]])*(Games[[#This Row],[Result]]-Games[[#This Row],[ExpectedWin%]])</f>
        <v>6.1536674198607013</v>
      </c>
      <c r="AB65" s="4">
        <f>Games[[#This Row],[PreGmRate]]+Games[[#This Row],[RatingChange]]</f>
        <v>1647.8994543304416</v>
      </c>
      <c r="AC65" s="2">
        <f>IF(Games[[#This Row],[Type]]="R",IF(Games[[#This Row],[Result]]&gt;0.5,1,0),0)</f>
        <v>1</v>
      </c>
      <c r="AD65" s="2">
        <f>IF(Games[[#This Row],[Type]]="R",IF(Games[[#This Row],[Result]]&lt;0.5,1,0),0)</f>
        <v>0</v>
      </c>
      <c r="AE65" s="2">
        <f>IF(AND(Games[[#This Row],[Type]]="P",Games[[#This Row],[Round]]=1),IF(Games[[#This Row],[Result]]&gt;0.5,1,0),0)</f>
        <v>0</v>
      </c>
      <c r="AF65" s="2">
        <f>IF(AND(Games[[#This Row],[Type]]="P",Games[[#This Row],[Round]]=1),IF(Games[[#This Row],[Result]]&lt;0.5,1,0),0)</f>
        <v>0</v>
      </c>
      <c r="AG65" s="2">
        <f>IF(AND(Games[[#This Row],[Type]]="P",Games[[#This Row],[Round]]=2),IF(Games[[#This Row],[Result]]&gt;0.5,1,0),0)</f>
        <v>0</v>
      </c>
      <c r="AH65" s="2">
        <f>IF(AND(Games[[#This Row],[Type]]="P",Games[[#This Row],[Round]]=2),IF(Games[[#This Row],[Result]]&lt;0.5,1,0),0)</f>
        <v>0</v>
      </c>
      <c r="AI65" s="2">
        <f>IF(AND(Games[[#This Row],[Type]]="P",Games[[#This Row],[Round]]=3),IF(Games[[#This Row],[Result]]&gt;0.5,1,0),0)</f>
        <v>0</v>
      </c>
      <c r="AJ65" s="2">
        <f>IF(AND(Games[[#This Row],[Type]]="P",Games[[#This Row],[Round]]=3),IF(Games[[#This Row],[Result]]&lt;0.5,1,0),0)</f>
        <v>0</v>
      </c>
      <c r="AK65" s="2">
        <f>IF(AND(Games[[#This Row],[Type]]="P",Games[[#This Row],[Round]]=4),IF(Games[[#This Row],[Result]]&gt;0.5,1,0),0)</f>
        <v>0</v>
      </c>
      <c r="AL65" s="2">
        <f>IF(AND(Games[[#This Row],[Type]]="P",Games[[#This Row],[Round]]=4),IF(Games[[#This Row],[Result]]&lt;0.5,1,0),0)</f>
        <v>0</v>
      </c>
    </row>
    <row r="66" spans="1:38" x14ac:dyDescent="0.35">
      <c r="A66" s="10">
        <v>44345</v>
      </c>
      <c r="B66" s="2">
        <v>2021</v>
      </c>
      <c r="C66" s="2">
        <f>COUNTIFS(Games[Team],Games[[#This Row],[Team]],Games[Season],Games[[#This Row],[Season]],Games[Date],"&lt;=" &amp; Games[[#This Row],[Date]])</f>
        <v>6</v>
      </c>
      <c r="D66" s="2" t="s">
        <v>79</v>
      </c>
      <c r="E66" s="2" t="s">
        <v>80</v>
      </c>
      <c r="F66" s="1" t="s">
        <v>40</v>
      </c>
      <c r="G66" s="1" t="s">
        <v>84</v>
      </c>
      <c r="H66" s="1" t="s">
        <v>81</v>
      </c>
      <c r="I66" s="2" cm="1">
        <f t="array" ref="I66">IFERROR(
    Games[[#This Row],[Date]]
    - LOOKUP(
        2,
        1/((Games[Team]=Games[[#This Row],[Team]]) * (Games[Date] &lt; Games[[#This Row],[Date]])),
        Games[Date]
    )
    - 1,
Games[[#This Row],[Date]]-$A$2)</f>
        <v>2</v>
      </c>
      <c r="J66" s="2" cm="1">
        <f t="array" ref="J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6" s="2">
        <f>Games[[#This Row],[DaysOff]]-Games[[#This Row],[OppDaysOff]]</f>
        <v>1</v>
      </c>
      <c r="L66" s="2">
        <f>Games[[#This Row],[OppDaysOff]]-Games[[#This Row],[DaysOff]]</f>
        <v>-1</v>
      </c>
      <c r="M66" s="1">
        <f>MAX(-16, MIN(16, Games[[#This Row],[RestDiff]]*8))</f>
        <v>8</v>
      </c>
      <c r="N66" s="1">
        <f>MAX(-16, MIN(16, Games[[#This Row],[OppRestDiff]]*8))</f>
        <v>-8</v>
      </c>
      <c r="O66" s="4" cm="1">
        <f t="array" ref="O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1502.4716114384025</v>
      </c>
      <c r="P66" s="4" cm="1">
        <f t="array" ref="P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1456.9336242094462</v>
      </c>
      <c r="Q66" s="4">
        <f>1/(1+10^(((Games[[#This Row],[OppPreGmRate]]+IF(Games[[#This Row],[HomeAway]]="A",HCA,0)+Games[[#This Row],[OppRestAdj]])-(Games[[#This Row],[PreGmRate]]+IF(Games[[#This Row],[HomeAway]]="H",HCA,0)+Games[[#This Row],[RestAdj]]))/400))</f>
        <v>0.46771952722637072</v>
      </c>
      <c r="R66" s="1">
        <v>89</v>
      </c>
      <c r="S66" s="1">
        <v>85</v>
      </c>
      <c r="T66" s="1">
        <v>0</v>
      </c>
      <c r="U66" s="1">
        <f>Games[[#This Row],[PointsFor]]-Games[[#This Row],[PointsAgainst]]</f>
        <v>4</v>
      </c>
      <c r="V66" s="1">
        <f>IF(Games[[#This Row],[MOV]]&gt;0,1,IF(Games[[#This Row],[MOV]]=0,0.5,0))</f>
        <v>1</v>
      </c>
      <c r="W66" s="4">
        <f>((ABS(Games[[#This Row],[MOV]])+5)^0.6)/(12+0.01*(ABS(Games[[#This Row],[PreGmRate]]-Games[[#This Row],[OppPreGmRate]])))*IF(Games[[#This Row],[OT]]=1,0.9,1)</f>
        <v>0.30004647446851229</v>
      </c>
      <c r="X66" s="7" cm="1">
        <f t="array" ref="X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6" s="9">
        <f>MAX(kmin, kmax - 0.15 * MIN(Games[[#This Row],[GamesPlayed]], 82))</f>
        <v>75.099999999999994</v>
      </c>
      <c r="Z66" s="4">
        <f>Games[[#This Row],[K]]*Games[[#This Row],[POMult]]</f>
        <v>75.099999999999994</v>
      </c>
      <c r="AA66" s="4">
        <f>(Games[[#This Row],[Keff]]*Games[[#This Row],[MOVMult]])*(Games[[#This Row],[Result]]-Games[[#This Row],[ExpectedWin%]])</f>
        <v>11.994136834240445</v>
      </c>
      <c r="AB66" s="4">
        <f>Games[[#This Row],[PreGmRate]]+Games[[#This Row],[RatingChange]]</f>
        <v>1514.4657482726429</v>
      </c>
      <c r="AC66" s="2">
        <f>IF(Games[[#This Row],[Type]]="R",IF(Games[[#This Row],[Result]]&gt;0.5,1,0),0)</f>
        <v>1</v>
      </c>
      <c r="AD66" s="2">
        <f>IF(Games[[#This Row],[Type]]="R",IF(Games[[#This Row],[Result]]&lt;0.5,1,0),0)</f>
        <v>0</v>
      </c>
      <c r="AE66" s="2">
        <f>IF(AND(Games[[#This Row],[Type]]="P",Games[[#This Row],[Round]]=1),IF(Games[[#This Row],[Result]]&gt;0.5,1,0),0)</f>
        <v>0</v>
      </c>
      <c r="AF66" s="2">
        <f>IF(AND(Games[[#This Row],[Type]]="P",Games[[#This Row],[Round]]=1),IF(Games[[#This Row],[Result]]&lt;0.5,1,0),0)</f>
        <v>0</v>
      </c>
      <c r="AG66" s="2">
        <f>IF(AND(Games[[#This Row],[Type]]="P",Games[[#This Row],[Round]]=2),IF(Games[[#This Row],[Result]]&gt;0.5,1,0),0)</f>
        <v>0</v>
      </c>
      <c r="AH66" s="2">
        <f>IF(AND(Games[[#This Row],[Type]]="P",Games[[#This Row],[Round]]=2),IF(Games[[#This Row],[Result]]&lt;0.5,1,0),0)</f>
        <v>0</v>
      </c>
      <c r="AI66" s="2">
        <f>IF(AND(Games[[#This Row],[Type]]="P",Games[[#This Row],[Round]]=3),IF(Games[[#This Row],[Result]]&gt;0.5,1,0),0)</f>
        <v>0</v>
      </c>
      <c r="AJ66" s="2">
        <f>IF(AND(Games[[#This Row],[Type]]="P",Games[[#This Row],[Round]]=3),IF(Games[[#This Row],[Result]]&lt;0.5,1,0),0)</f>
        <v>0</v>
      </c>
      <c r="AK66" s="2">
        <f>IF(AND(Games[[#This Row],[Type]]="P",Games[[#This Row],[Round]]=4),IF(Games[[#This Row],[Result]]&gt;0.5,1,0),0)</f>
        <v>0</v>
      </c>
      <c r="AL66" s="2">
        <f>IF(AND(Games[[#This Row],[Type]]="P",Games[[#This Row],[Round]]=4),IF(Games[[#This Row],[Result]]&lt;0.5,1,0),0)</f>
        <v>0</v>
      </c>
    </row>
    <row r="67" spans="1:38" x14ac:dyDescent="0.35">
      <c r="A67" s="10">
        <v>44345</v>
      </c>
      <c r="B67" s="2">
        <v>2021</v>
      </c>
      <c r="C67" s="2">
        <f>COUNTIFS(Games[Team],Games[[#This Row],[Team]],Games[Season],Games[[#This Row],[Season]],Games[Date],"&lt;=" &amp; Games[[#This Row],[Date]])</f>
        <v>5</v>
      </c>
      <c r="D67" s="2" t="s">
        <v>79</v>
      </c>
      <c r="E67" s="2" t="s">
        <v>80</v>
      </c>
      <c r="F67" s="1" t="s">
        <v>84</v>
      </c>
      <c r="G67" s="1" t="s">
        <v>40</v>
      </c>
      <c r="H67" s="1" t="s">
        <v>82</v>
      </c>
      <c r="I67" s="2" cm="1">
        <f t="array" ref="I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67" s="2" cm="1">
        <f t="array" ref="J6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67" s="2">
        <f>Games[[#This Row],[DaysOff]]-Games[[#This Row],[OppDaysOff]]</f>
        <v>-1</v>
      </c>
      <c r="L67" s="2">
        <f>Games[[#This Row],[OppDaysOff]]-Games[[#This Row],[DaysOff]]</f>
        <v>1</v>
      </c>
      <c r="M67" s="1">
        <f>MAX(-16, MIN(16, Games[[#This Row],[RestDiff]]*8))</f>
        <v>-8</v>
      </c>
      <c r="N67" s="1">
        <f>MAX(-16, MIN(16, Games[[#This Row],[OppRestDiff]]*8))</f>
        <v>8</v>
      </c>
      <c r="O67" s="4" cm="1">
        <f t="array" ref="O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1456.9336242094462</v>
      </c>
      <c r="P67" s="4" cm="1">
        <f t="array" ref="P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1502.4716114384025</v>
      </c>
      <c r="Q67" s="4">
        <f>1/(1+10^(((Games[[#This Row],[OppPreGmRate]]+IF(Games[[#This Row],[HomeAway]]="A",HCA,0)+Games[[#This Row],[OppRestAdj]])-(Games[[#This Row],[PreGmRate]]+IF(Games[[#This Row],[HomeAway]]="H",HCA,0)+Games[[#This Row],[RestAdj]]))/400))</f>
        <v>0.53228047277362933</v>
      </c>
      <c r="R67" s="1">
        <v>85</v>
      </c>
      <c r="S67" s="1">
        <v>89</v>
      </c>
      <c r="T67" s="1">
        <v>0</v>
      </c>
      <c r="U67" s="1">
        <f>Games[[#This Row],[PointsFor]]-Games[[#This Row],[PointsAgainst]]</f>
        <v>-4</v>
      </c>
      <c r="V67" s="1">
        <f>IF(Games[[#This Row],[MOV]]&gt;0,1,IF(Games[[#This Row],[MOV]]=0,0.5,0))</f>
        <v>0</v>
      </c>
      <c r="W67" s="4">
        <f>((ABS(Games[[#This Row],[MOV]])+5)^0.6)/(12+0.01*(ABS(Games[[#This Row],[PreGmRate]]-Games[[#This Row],[OppPreGmRate]])))*IF(Games[[#This Row],[OT]]=1,0.9,1)</f>
        <v>0.30004647446851229</v>
      </c>
      <c r="X67" s="7" cm="1">
        <f t="array" ref="X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7" s="9">
        <f>MAX(kmin, kmax - 0.15 * MIN(Games[[#This Row],[GamesPlayed]], 82))</f>
        <v>75.25</v>
      </c>
      <c r="Z67" s="4">
        <f>Games[[#This Row],[K]]*Games[[#This Row],[POMult]]</f>
        <v>75.25</v>
      </c>
      <c r="AA67" s="4">
        <f>(Games[[#This Row],[Keff]]*Games[[#This Row],[MOVMult]])*(Games[[#This Row],[Result]]-Games[[#This Row],[ExpectedWin%]])</f>
        <v>-12.018093166133072</v>
      </c>
      <c r="AB67" s="4">
        <f>Games[[#This Row],[PreGmRate]]+Games[[#This Row],[RatingChange]]</f>
        <v>1444.9155310433132</v>
      </c>
      <c r="AC67" s="2">
        <f>IF(Games[[#This Row],[Type]]="R",IF(Games[[#This Row],[Result]]&gt;0.5,1,0),0)</f>
        <v>0</v>
      </c>
      <c r="AD67" s="2">
        <f>IF(Games[[#This Row],[Type]]="R",IF(Games[[#This Row],[Result]]&lt;0.5,1,0),0)</f>
        <v>1</v>
      </c>
      <c r="AE67" s="2">
        <f>IF(AND(Games[[#This Row],[Type]]="P",Games[[#This Row],[Round]]=1),IF(Games[[#This Row],[Result]]&gt;0.5,1,0),0)</f>
        <v>0</v>
      </c>
      <c r="AF67" s="2">
        <f>IF(AND(Games[[#This Row],[Type]]="P",Games[[#This Row],[Round]]=1),IF(Games[[#This Row],[Result]]&lt;0.5,1,0),0)</f>
        <v>0</v>
      </c>
      <c r="AG67" s="2">
        <f>IF(AND(Games[[#This Row],[Type]]="P",Games[[#This Row],[Round]]=2),IF(Games[[#This Row],[Result]]&gt;0.5,1,0),0)</f>
        <v>0</v>
      </c>
      <c r="AH67" s="2">
        <f>IF(AND(Games[[#This Row],[Type]]="P",Games[[#This Row],[Round]]=2),IF(Games[[#This Row],[Result]]&lt;0.5,1,0),0)</f>
        <v>0</v>
      </c>
      <c r="AI67" s="2">
        <f>IF(AND(Games[[#This Row],[Type]]="P",Games[[#This Row],[Round]]=3),IF(Games[[#This Row],[Result]]&gt;0.5,1,0),0)</f>
        <v>0</v>
      </c>
      <c r="AJ67" s="2">
        <f>IF(AND(Games[[#This Row],[Type]]="P",Games[[#This Row],[Round]]=3),IF(Games[[#This Row],[Result]]&lt;0.5,1,0),0)</f>
        <v>0</v>
      </c>
      <c r="AK67" s="2">
        <f>IF(AND(Games[[#This Row],[Type]]="P",Games[[#This Row],[Round]]=4),IF(Games[[#This Row],[Result]]&gt;0.5,1,0),0)</f>
        <v>0</v>
      </c>
      <c r="AL67" s="2">
        <f>IF(AND(Games[[#This Row],[Type]]="P",Games[[#This Row],[Round]]=4),IF(Games[[#This Row],[Result]]&lt;0.5,1,0),0)</f>
        <v>0</v>
      </c>
    </row>
    <row r="68" spans="1:38" x14ac:dyDescent="0.35">
      <c r="A68" s="10">
        <v>44345</v>
      </c>
      <c r="B68" s="2">
        <v>2021</v>
      </c>
      <c r="C68" s="2">
        <f>COUNTIFS(Games[Team],Games[[#This Row],[Team]],Games[Season],Games[[#This Row],[Season]],Games[Date],"&lt;=" &amp; Games[[#This Row],[Date]])</f>
        <v>6</v>
      </c>
      <c r="D68" s="2" t="s">
        <v>79</v>
      </c>
      <c r="E68" s="2" t="s">
        <v>80</v>
      </c>
      <c r="F68" s="1" t="s">
        <v>77</v>
      </c>
      <c r="G68" s="1" t="s">
        <v>60</v>
      </c>
      <c r="H68" s="1" t="s">
        <v>81</v>
      </c>
      <c r="I68" s="2" cm="1">
        <f t="array" ref="I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68" s="2" cm="1">
        <f t="array" ref="J6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68" s="2">
        <f>Games[[#This Row],[DaysOff]]-Games[[#This Row],[OppDaysOff]]</f>
        <v>-3</v>
      </c>
      <c r="L68" s="2">
        <f>Games[[#This Row],[OppDaysOff]]-Games[[#This Row],[DaysOff]]</f>
        <v>3</v>
      </c>
      <c r="M68" s="1">
        <f>MAX(-16, MIN(16, Games[[#This Row],[RestDiff]]*8))</f>
        <v>-16</v>
      </c>
      <c r="N68" s="1">
        <f>MAX(-16, MIN(16, Games[[#This Row],[OppRestDiff]]*8))</f>
        <v>16</v>
      </c>
      <c r="O68" s="4" cm="1">
        <f t="array" ref="O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1457.1473453184481</v>
      </c>
      <c r="P68" s="4" cm="1">
        <f t="array" ref="P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1443.6214131623226</v>
      </c>
      <c r="Q68" s="4">
        <f>1/(1+10^(((Games[[#This Row],[OppPreGmRate]]+IF(Games[[#This Row],[HomeAway]]="A",HCA,0)+Games[[#This Row],[OppRestAdj]])-(Games[[#This Row],[PreGmRate]]+IF(Games[[#This Row],[HomeAway]]="H",HCA,0)+Games[[#This Row],[RestAdj]]))/400))</f>
        <v>0.35666051770670737</v>
      </c>
      <c r="R68" s="1">
        <v>90</v>
      </c>
      <c r="S68" s="1">
        <v>87</v>
      </c>
      <c r="T68" s="1">
        <v>1</v>
      </c>
      <c r="U68" s="1">
        <f>Games[[#This Row],[PointsFor]]-Games[[#This Row],[PointsAgainst]]</f>
        <v>3</v>
      </c>
      <c r="V68" s="1">
        <f>IF(Games[[#This Row],[MOV]]&gt;0,1,IF(Games[[#This Row],[MOV]]=0,0.5,0))</f>
        <v>1</v>
      </c>
      <c r="W68" s="4">
        <f>((ABS(Games[[#This Row],[MOV]])+5)^0.6)/(12+0.01*(ABS(Games[[#This Row],[PreGmRate]]-Games[[#This Row],[OppPreGmRate]])))*IF(Games[[#This Row],[OT]]=1,0.9,1)</f>
        <v>0.25825422801618764</v>
      </c>
      <c r="X68" s="7" cm="1">
        <f t="array" ref="X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8" s="9">
        <f>MAX(kmin, kmax - 0.15 * MIN(Games[[#This Row],[GamesPlayed]], 82))</f>
        <v>75.099999999999994</v>
      </c>
      <c r="Z68" s="4">
        <f>Games[[#This Row],[K]]*Games[[#This Row],[POMult]]</f>
        <v>75.099999999999994</v>
      </c>
      <c r="AA68" s="4">
        <f>(Games[[#This Row],[Keff]]*Games[[#This Row],[MOVMult]])*(Games[[#This Row],[Result]]-Games[[#This Row],[ExpectedWin%]])</f>
        <v>12.477500115534307</v>
      </c>
      <c r="AB68" s="4">
        <f>Games[[#This Row],[PreGmRate]]+Games[[#This Row],[RatingChange]]</f>
        <v>1469.6248454339823</v>
      </c>
      <c r="AC68" s="2">
        <f>IF(Games[[#This Row],[Type]]="R",IF(Games[[#This Row],[Result]]&gt;0.5,1,0),0)</f>
        <v>1</v>
      </c>
      <c r="AD68" s="2">
        <f>IF(Games[[#This Row],[Type]]="R",IF(Games[[#This Row],[Result]]&lt;0.5,1,0),0)</f>
        <v>0</v>
      </c>
      <c r="AE68" s="2">
        <f>IF(AND(Games[[#This Row],[Type]]="P",Games[[#This Row],[Round]]=1),IF(Games[[#This Row],[Result]]&gt;0.5,1,0),0)</f>
        <v>0</v>
      </c>
      <c r="AF68" s="2">
        <f>IF(AND(Games[[#This Row],[Type]]="P",Games[[#This Row],[Round]]=1),IF(Games[[#This Row],[Result]]&lt;0.5,1,0),0)</f>
        <v>0</v>
      </c>
      <c r="AG68" s="2">
        <f>IF(AND(Games[[#This Row],[Type]]="P",Games[[#This Row],[Round]]=2),IF(Games[[#This Row],[Result]]&gt;0.5,1,0),0)</f>
        <v>0</v>
      </c>
      <c r="AH68" s="2">
        <f>IF(AND(Games[[#This Row],[Type]]="P",Games[[#This Row],[Round]]=2),IF(Games[[#This Row],[Result]]&lt;0.5,1,0),0)</f>
        <v>0</v>
      </c>
      <c r="AI68" s="2">
        <f>IF(AND(Games[[#This Row],[Type]]="P",Games[[#This Row],[Round]]=3),IF(Games[[#This Row],[Result]]&gt;0.5,1,0),0)</f>
        <v>0</v>
      </c>
      <c r="AJ68" s="2">
        <f>IF(AND(Games[[#This Row],[Type]]="P",Games[[#This Row],[Round]]=3),IF(Games[[#This Row],[Result]]&lt;0.5,1,0),0)</f>
        <v>0</v>
      </c>
      <c r="AK68" s="2">
        <f>IF(AND(Games[[#This Row],[Type]]="P",Games[[#This Row],[Round]]=4),IF(Games[[#This Row],[Result]]&gt;0.5,1,0),0)</f>
        <v>0</v>
      </c>
      <c r="AL68" s="2">
        <f>IF(AND(Games[[#This Row],[Type]]="P",Games[[#This Row],[Round]]=4),IF(Games[[#This Row],[Result]]&lt;0.5,1,0),0)</f>
        <v>0</v>
      </c>
    </row>
    <row r="69" spans="1:38" x14ac:dyDescent="0.35">
      <c r="A69" s="10">
        <v>44345</v>
      </c>
      <c r="B69" s="2">
        <v>2021</v>
      </c>
      <c r="C69" s="2">
        <f>COUNTIFS(Games[Team],Games[[#This Row],[Team]],Games[Season],Games[[#This Row],[Season]],Games[Date],"&lt;=" &amp; Games[[#This Row],[Date]])</f>
        <v>7</v>
      </c>
      <c r="D69" s="2" t="s">
        <v>79</v>
      </c>
      <c r="E69" s="2" t="s">
        <v>80</v>
      </c>
      <c r="F69" s="1" t="s">
        <v>60</v>
      </c>
      <c r="G69" s="1" t="s">
        <v>77</v>
      </c>
      <c r="H69" s="1" t="s">
        <v>82</v>
      </c>
      <c r="I69" s="2" cm="1">
        <f t="array" ref="I69">IFERROR(
    Games[[#This Row],[Date]]
    - LOOKUP(
        2,
        1/((Games[Team]=Games[[#This Row],[Team]]) * (Games[Date] &lt; Games[[#This Row],[Date]])),
        Games[Date]
    )
    - 1,
Games[[#This Row],[Date]]-$A$2)</f>
        <v>4</v>
      </c>
      <c r="J69" s="2" cm="1">
        <f t="array" ref="J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69" s="2">
        <f>Games[[#This Row],[DaysOff]]-Games[[#This Row],[OppDaysOff]]</f>
        <v>3</v>
      </c>
      <c r="L69" s="2">
        <f>Games[[#This Row],[OppDaysOff]]-Games[[#This Row],[DaysOff]]</f>
        <v>-3</v>
      </c>
      <c r="M69" s="1">
        <f>MAX(-16, MIN(16, Games[[#This Row],[RestDiff]]*8))</f>
        <v>16</v>
      </c>
      <c r="N69" s="1">
        <f>MAX(-16, MIN(16, Games[[#This Row],[OppRestDiff]]*8))</f>
        <v>-16</v>
      </c>
      <c r="O69" s="4" cm="1">
        <f t="array" ref="O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1443.6214131623226</v>
      </c>
      <c r="P69" s="4" cm="1">
        <f t="array" ref="P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1457.1473453184481</v>
      </c>
      <c r="Q69" s="4">
        <f>1/(1+10^(((Games[[#This Row],[OppPreGmRate]]+IF(Games[[#This Row],[HomeAway]]="A",HCA,0)+Games[[#This Row],[OppRestAdj]])-(Games[[#This Row],[PreGmRate]]+IF(Games[[#This Row],[HomeAway]]="H",HCA,0)+Games[[#This Row],[RestAdj]]))/400))</f>
        <v>0.64333948229329263</v>
      </c>
      <c r="R69" s="1">
        <v>87</v>
      </c>
      <c r="S69" s="1">
        <v>90</v>
      </c>
      <c r="T69" s="1">
        <v>1</v>
      </c>
      <c r="U69" s="1">
        <f>Games[[#This Row],[PointsFor]]-Games[[#This Row],[PointsAgainst]]</f>
        <v>-3</v>
      </c>
      <c r="V69" s="1">
        <f>IF(Games[[#This Row],[MOV]]&gt;0,1,IF(Games[[#This Row],[MOV]]=0,0.5,0))</f>
        <v>0</v>
      </c>
      <c r="W69" s="4">
        <f>((ABS(Games[[#This Row],[MOV]])+5)^0.6)/(12+0.01*(ABS(Games[[#This Row],[PreGmRate]]-Games[[#This Row],[OppPreGmRate]])))*IF(Games[[#This Row],[OT]]=1,0.9,1)</f>
        <v>0.25825422801618764</v>
      </c>
      <c r="X69" s="7" cm="1">
        <f t="array" ref="X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69" s="9">
        <f>MAX(kmin, kmax - 0.15 * MIN(Games[[#This Row],[GamesPlayed]], 82))</f>
        <v>74.95</v>
      </c>
      <c r="Z69" s="4">
        <f>Games[[#This Row],[K]]*Games[[#This Row],[POMult]]</f>
        <v>74.95</v>
      </c>
      <c r="AA69" s="4">
        <f>(Games[[#This Row],[Keff]]*Games[[#This Row],[MOVMult]])*(Games[[#This Row],[Result]]-Games[[#This Row],[ExpectedWin%]])</f>
        <v>-12.452578344331508</v>
      </c>
      <c r="AB69" s="4">
        <f>Games[[#This Row],[PreGmRate]]+Games[[#This Row],[RatingChange]]</f>
        <v>1431.1688348179912</v>
      </c>
      <c r="AC69" s="2">
        <f>IF(Games[[#This Row],[Type]]="R",IF(Games[[#This Row],[Result]]&gt;0.5,1,0),0)</f>
        <v>0</v>
      </c>
      <c r="AD69" s="2">
        <f>IF(Games[[#This Row],[Type]]="R",IF(Games[[#This Row],[Result]]&lt;0.5,1,0),0)</f>
        <v>1</v>
      </c>
      <c r="AE69" s="2">
        <f>IF(AND(Games[[#This Row],[Type]]="P",Games[[#This Row],[Round]]=1),IF(Games[[#This Row],[Result]]&gt;0.5,1,0),0)</f>
        <v>0</v>
      </c>
      <c r="AF69" s="2">
        <f>IF(AND(Games[[#This Row],[Type]]="P",Games[[#This Row],[Round]]=1),IF(Games[[#This Row],[Result]]&lt;0.5,1,0),0)</f>
        <v>0</v>
      </c>
      <c r="AG69" s="2">
        <f>IF(AND(Games[[#This Row],[Type]]="P",Games[[#This Row],[Round]]=2),IF(Games[[#This Row],[Result]]&gt;0.5,1,0),0)</f>
        <v>0</v>
      </c>
      <c r="AH69" s="2">
        <f>IF(AND(Games[[#This Row],[Type]]="P",Games[[#This Row],[Round]]=2),IF(Games[[#This Row],[Result]]&lt;0.5,1,0),0)</f>
        <v>0</v>
      </c>
      <c r="AI69" s="2">
        <f>IF(AND(Games[[#This Row],[Type]]="P",Games[[#This Row],[Round]]=3),IF(Games[[#This Row],[Result]]&gt;0.5,1,0),0)</f>
        <v>0</v>
      </c>
      <c r="AJ69" s="2">
        <f>IF(AND(Games[[#This Row],[Type]]="P",Games[[#This Row],[Round]]=3),IF(Games[[#This Row],[Result]]&lt;0.5,1,0),0)</f>
        <v>0</v>
      </c>
      <c r="AK69" s="2">
        <f>IF(AND(Games[[#This Row],[Type]]="P",Games[[#This Row],[Round]]=4),IF(Games[[#This Row],[Result]]&gt;0.5,1,0),0)</f>
        <v>0</v>
      </c>
      <c r="AL69" s="2">
        <f>IF(AND(Games[[#This Row],[Type]]="P",Games[[#This Row],[Round]]=4),IF(Games[[#This Row],[Result]]&lt;0.5,1,0),0)</f>
        <v>0</v>
      </c>
    </row>
    <row r="70" spans="1:38" x14ac:dyDescent="0.35">
      <c r="A70" s="10">
        <v>44346</v>
      </c>
      <c r="B70" s="2">
        <v>2021</v>
      </c>
      <c r="C70" s="2">
        <f>COUNTIFS(Games[Team],Games[[#This Row],[Team]],Games[Season],Games[[#This Row],[Season]],Games[Date],"&lt;=" &amp; Games[[#This Row],[Date]])</f>
        <v>4</v>
      </c>
      <c r="D70" s="2" t="s">
        <v>79</v>
      </c>
      <c r="E70" s="2" t="s">
        <v>80</v>
      </c>
      <c r="F70" s="1" t="s">
        <v>63</v>
      </c>
      <c r="G70" s="1" t="s">
        <v>75</v>
      </c>
      <c r="H70" s="1" t="s">
        <v>81</v>
      </c>
      <c r="I70" s="2" cm="1">
        <f t="array" ref="I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70" s="2" cm="1">
        <f t="array" ref="J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0" s="2">
        <f>Games[[#This Row],[DaysOff]]-Games[[#This Row],[OppDaysOff]]</f>
        <v>0</v>
      </c>
      <c r="L70" s="2">
        <f>Games[[#This Row],[OppDaysOff]]-Games[[#This Row],[DaysOff]]</f>
        <v>0</v>
      </c>
      <c r="M70" s="1">
        <f>MAX(-16, MIN(16, Games[[#This Row],[RestDiff]]*8))</f>
        <v>0</v>
      </c>
      <c r="N70" s="1">
        <f>MAX(-16, MIN(16, Games[[#This Row],[OppRestDiff]]*8))</f>
        <v>0</v>
      </c>
      <c r="O70" s="4" cm="1">
        <f t="array" ref="O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1503.1913819807828</v>
      </c>
      <c r="P70" s="4" cm="1">
        <f t="array" ref="P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1476.9029436061508</v>
      </c>
      <c r="Q70" s="4">
        <f>1/(1+10^(((Games[[#This Row],[OppPreGmRate]]+IF(Games[[#This Row],[HomeAway]]="A",HCA,0)+Games[[#This Row],[OppRestAdj]])-(Games[[#This Row],[PreGmRate]]+IF(Games[[#This Row],[HomeAway]]="H",HCA,0)+Games[[#This Row],[RestAdj]]))/400))</f>
        <v>0.41770191020895558</v>
      </c>
      <c r="R70" s="1">
        <v>82</v>
      </c>
      <c r="S70" s="1">
        <v>79</v>
      </c>
      <c r="T70" s="1">
        <v>1</v>
      </c>
      <c r="U70" s="1">
        <f>Games[[#This Row],[PointsFor]]-Games[[#This Row],[PointsAgainst]]</f>
        <v>3</v>
      </c>
      <c r="V70" s="1">
        <f>IF(Games[[#This Row],[MOV]]&gt;0,1,IF(Games[[#This Row],[MOV]]=0,0.5,0))</f>
        <v>1</v>
      </c>
      <c r="W70" s="4">
        <f>((ABS(Games[[#This Row],[MOV]])+5)^0.6)/(12+0.01*(ABS(Games[[#This Row],[PreGmRate]]-Games[[#This Row],[OppPreGmRate]])))*IF(Games[[#This Row],[OT]]=1,0.9,1)</f>
        <v>0.25556646624018919</v>
      </c>
      <c r="X70" s="7" cm="1">
        <f t="array" ref="X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0" s="9">
        <f>MAX(kmin, kmax - 0.15 * MIN(Games[[#This Row],[GamesPlayed]], 82))</f>
        <v>75.400000000000006</v>
      </c>
      <c r="Z70" s="4">
        <f>Games[[#This Row],[K]]*Games[[#This Row],[POMult]]</f>
        <v>75.400000000000006</v>
      </c>
      <c r="AA70" s="4">
        <f>(Games[[#This Row],[Keff]]*Games[[#This Row],[MOVMult]])*(Games[[#This Row],[Result]]-Games[[#This Row],[ExpectedWin%]])</f>
        <v>11.220716229015745</v>
      </c>
      <c r="AB70" s="4">
        <f>Games[[#This Row],[PreGmRate]]+Games[[#This Row],[RatingChange]]</f>
        <v>1514.4120982097986</v>
      </c>
      <c r="AC70" s="2">
        <f>IF(Games[[#This Row],[Type]]="R",IF(Games[[#This Row],[Result]]&gt;0.5,1,0),0)</f>
        <v>1</v>
      </c>
      <c r="AD70" s="2">
        <f>IF(Games[[#This Row],[Type]]="R",IF(Games[[#This Row],[Result]]&lt;0.5,1,0),0)</f>
        <v>0</v>
      </c>
      <c r="AE70" s="2">
        <f>IF(AND(Games[[#This Row],[Type]]="P",Games[[#This Row],[Round]]=1),IF(Games[[#This Row],[Result]]&gt;0.5,1,0),0)</f>
        <v>0</v>
      </c>
      <c r="AF70" s="2">
        <f>IF(AND(Games[[#This Row],[Type]]="P",Games[[#This Row],[Round]]=1),IF(Games[[#This Row],[Result]]&lt;0.5,1,0),0)</f>
        <v>0</v>
      </c>
      <c r="AG70" s="2">
        <f>IF(AND(Games[[#This Row],[Type]]="P",Games[[#This Row],[Round]]=2),IF(Games[[#This Row],[Result]]&gt;0.5,1,0),0)</f>
        <v>0</v>
      </c>
      <c r="AH70" s="2">
        <f>IF(AND(Games[[#This Row],[Type]]="P",Games[[#This Row],[Round]]=2),IF(Games[[#This Row],[Result]]&lt;0.5,1,0),0)</f>
        <v>0</v>
      </c>
      <c r="AI70" s="2">
        <f>IF(AND(Games[[#This Row],[Type]]="P",Games[[#This Row],[Round]]=3),IF(Games[[#This Row],[Result]]&gt;0.5,1,0),0)</f>
        <v>0</v>
      </c>
      <c r="AJ70" s="2">
        <f>IF(AND(Games[[#This Row],[Type]]="P",Games[[#This Row],[Round]]=3),IF(Games[[#This Row],[Result]]&lt;0.5,1,0),0)</f>
        <v>0</v>
      </c>
      <c r="AK70" s="2">
        <f>IF(AND(Games[[#This Row],[Type]]="P",Games[[#This Row],[Round]]=4),IF(Games[[#This Row],[Result]]&gt;0.5,1,0),0)</f>
        <v>0</v>
      </c>
      <c r="AL70" s="2">
        <f>IF(AND(Games[[#This Row],[Type]]="P",Games[[#This Row],[Round]]=4),IF(Games[[#This Row],[Result]]&lt;0.5,1,0),0)</f>
        <v>0</v>
      </c>
    </row>
    <row r="71" spans="1:38" x14ac:dyDescent="0.35">
      <c r="A71" s="10">
        <v>44346</v>
      </c>
      <c r="B71" s="2">
        <v>2021</v>
      </c>
      <c r="C71" s="2">
        <f>COUNTIFS(Games[Team],Games[[#This Row],[Team]],Games[Season],Games[[#This Row],[Season]],Games[Date],"&lt;=" &amp; Games[[#This Row],[Date]])</f>
        <v>6</v>
      </c>
      <c r="D71" s="2" t="s">
        <v>79</v>
      </c>
      <c r="E71" s="2" t="s">
        <v>80</v>
      </c>
      <c r="F71" s="1" t="s">
        <v>75</v>
      </c>
      <c r="G71" s="1" t="s">
        <v>63</v>
      </c>
      <c r="H71" s="1" t="s">
        <v>82</v>
      </c>
      <c r="I71" s="2" cm="1">
        <f t="array" ref="I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71" s="2" cm="1">
        <f t="array" ref="J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1" s="2">
        <f>Games[[#This Row],[DaysOff]]-Games[[#This Row],[OppDaysOff]]</f>
        <v>0</v>
      </c>
      <c r="L71" s="2">
        <f>Games[[#This Row],[OppDaysOff]]-Games[[#This Row],[DaysOff]]</f>
        <v>0</v>
      </c>
      <c r="M71" s="1">
        <f>MAX(-16, MIN(16, Games[[#This Row],[RestDiff]]*8))</f>
        <v>0</v>
      </c>
      <c r="N71" s="1">
        <f>MAX(-16, MIN(16, Games[[#This Row],[OppRestDiff]]*8))</f>
        <v>0</v>
      </c>
      <c r="O71" s="4" cm="1">
        <f t="array" ref="O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1476.9029436061508</v>
      </c>
      <c r="P71" s="4" cm="1">
        <f t="array" ref="P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1503.1913819807828</v>
      </c>
      <c r="Q71" s="4">
        <f>1/(1+10^(((Games[[#This Row],[OppPreGmRate]]+IF(Games[[#This Row],[HomeAway]]="A",HCA,0)+Games[[#This Row],[OppRestAdj]])-(Games[[#This Row],[PreGmRate]]+IF(Games[[#This Row],[HomeAway]]="H",HCA,0)+Games[[#This Row],[RestAdj]]))/400))</f>
        <v>0.58229808979104447</v>
      </c>
      <c r="R71" s="1">
        <v>79</v>
      </c>
      <c r="S71" s="1">
        <v>82</v>
      </c>
      <c r="T71" s="1">
        <v>1</v>
      </c>
      <c r="U71" s="1">
        <f>Games[[#This Row],[PointsFor]]-Games[[#This Row],[PointsAgainst]]</f>
        <v>-3</v>
      </c>
      <c r="V71" s="1">
        <f>IF(Games[[#This Row],[MOV]]&gt;0,1,IF(Games[[#This Row],[MOV]]=0,0.5,0))</f>
        <v>0</v>
      </c>
      <c r="W71" s="4">
        <f>((ABS(Games[[#This Row],[MOV]])+5)^0.6)/(12+0.01*(ABS(Games[[#This Row],[PreGmRate]]-Games[[#This Row],[OppPreGmRate]])))*IF(Games[[#This Row],[OT]]=1,0.9,1)</f>
        <v>0.25556646624018919</v>
      </c>
      <c r="X71" s="7" cm="1">
        <f t="array" ref="X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1" s="9">
        <f>MAX(kmin, kmax - 0.15 * MIN(Games[[#This Row],[GamesPlayed]], 82))</f>
        <v>75.099999999999994</v>
      </c>
      <c r="Z71" s="4">
        <f>Games[[#This Row],[K]]*Games[[#This Row],[POMult]]</f>
        <v>75.099999999999994</v>
      </c>
      <c r="AA71" s="4">
        <f>(Games[[#This Row],[Keff]]*Games[[#This Row],[MOVMult]])*(Games[[#This Row],[Result]]-Games[[#This Row],[ExpectedWin%]])</f>
        <v>-11.176071469483853</v>
      </c>
      <c r="AB71" s="4">
        <f>Games[[#This Row],[PreGmRate]]+Games[[#This Row],[RatingChange]]</f>
        <v>1465.726872136667</v>
      </c>
      <c r="AC71" s="2">
        <f>IF(Games[[#This Row],[Type]]="R",IF(Games[[#This Row],[Result]]&gt;0.5,1,0),0)</f>
        <v>0</v>
      </c>
      <c r="AD71" s="2">
        <f>IF(Games[[#This Row],[Type]]="R",IF(Games[[#This Row],[Result]]&lt;0.5,1,0),0)</f>
        <v>1</v>
      </c>
      <c r="AE71" s="2">
        <f>IF(AND(Games[[#This Row],[Type]]="P",Games[[#This Row],[Round]]=1),IF(Games[[#This Row],[Result]]&gt;0.5,1,0),0)</f>
        <v>0</v>
      </c>
      <c r="AF71" s="2">
        <f>IF(AND(Games[[#This Row],[Type]]="P",Games[[#This Row],[Round]]=1),IF(Games[[#This Row],[Result]]&lt;0.5,1,0),0)</f>
        <v>0</v>
      </c>
      <c r="AG71" s="2">
        <f>IF(AND(Games[[#This Row],[Type]]="P",Games[[#This Row],[Round]]=2),IF(Games[[#This Row],[Result]]&gt;0.5,1,0),0)</f>
        <v>0</v>
      </c>
      <c r="AH71" s="2">
        <f>IF(AND(Games[[#This Row],[Type]]="P",Games[[#This Row],[Round]]=2),IF(Games[[#This Row],[Result]]&lt;0.5,1,0),0)</f>
        <v>0</v>
      </c>
      <c r="AI71" s="2">
        <f>IF(AND(Games[[#This Row],[Type]]="P",Games[[#This Row],[Round]]=3),IF(Games[[#This Row],[Result]]&gt;0.5,1,0),0)</f>
        <v>0</v>
      </c>
      <c r="AJ71" s="2">
        <f>IF(AND(Games[[#This Row],[Type]]="P",Games[[#This Row],[Round]]=3),IF(Games[[#This Row],[Result]]&lt;0.5,1,0),0)</f>
        <v>0</v>
      </c>
      <c r="AK71" s="2">
        <f>IF(AND(Games[[#This Row],[Type]]="P",Games[[#This Row],[Round]]=4),IF(Games[[#This Row],[Result]]&gt;0.5,1,0),0)</f>
        <v>0</v>
      </c>
      <c r="AL71" s="2">
        <f>IF(AND(Games[[#This Row],[Type]]="P",Games[[#This Row],[Round]]=4),IF(Games[[#This Row],[Result]]&lt;0.5,1,0),0)</f>
        <v>0</v>
      </c>
    </row>
    <row r="72" spans="1:38" x14ac:dyDescent="0.35">
      <c r="A72" s="10">
        <v>44346</v>
      </c>
      <c r="B72" s="2">
        <v>2021</v>
      </c>
      <c r="C72" s="2">
        <f>COUNTIFS(Games[Team],Games[[#This Row],[Team]],Games[Season],Games[[#This Row],[Season]],Games[Date],"&lt;=" &amp; Games[[#This Row],[Date]])</f>
        <v>8</v>
      </c>
      <c r="D72" s="2" t="s">
        <v>79</v>
      </c>
      <c r="E72" s="2" t="s">
        <v>80</v>
      </c>
      <c r="F72" s="1" t="s">
        <v>69</v>
      </c>
      <c r="G72" s="1" t="s">
        <v>85</v>
      </c>
      <c r="H72" s="1" t="s">
        <v>81</v>
      </c>
      <c r="I72" s="2" cm="1">
        <f t="array" ref="I72">IFERROR(
    Games[[#This Row],[Date]]
    - LOOKUP(
        2,
        1/((Games[Team]=Games[[#This Row],[Team]]) * (Games[Date] &lt; Games[[#This Row],[Date]])),
        Games[Date]
    )
    - 1,
Games[[#This Row],[Date]]-$A$2)</f>
        <v>1</v>
      </c>
      <c r="J72" s="2" cm="1">
        <f t="array" ref="J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2" s="2">
        <f>Games[[#This Row],[DaysOff]]-Games[[#This Row],[OppDaysOff]]</f>
        <v>0</v>
      </c>
      <c r="L72" s="2">
        <f>Games[[#This Row],[OppDaysOff]]-Games[[#This Row],[DaysOff]]</f>
        <v>0</v>
      </c>
      <c r="M72" s="1">
        <f>MAX(-16, MIN(16, Games[[#This Row],[RestDiff]]*8))</f>
        <v>0</v>
      </c>
      <c r="N72" s="1">
        <f>MAX(-16, MIN(16, Games[[#This Row],[OppRestDiff]]*8))</f>
        <v>0</v>
      </c>
      <c r="O72" s="4" cm="1">
        <f t="array" ref="O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1370.5871758309554</v>
      </c>
      <c r="P72" s="4" cm="1">
        <f t="array" ref="P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1592.5860480744877</v>
      </c>
      <c r="Q72" s="4">
        <f>1/(1+10^(((Games[[#This Row],[OppPreGmRate]]+IF(Games[[#This Row],[HomeAway]]="A",HCA,0)+Games[[#This Row],[OppRestAdj]])-(Games[[#This Row],[PreGmRate]]+IF(Games[[#This Row],[HomeAway]]="H",HCA,0)+Games[[#This Row],[RestAdj]]))/400))</f>
        <v>0.14660619010464768</v>
      </c>
      <c r="R72" s="1">
        <v>78</v>
      </c>
      <c r="S72" s="1">
        <v>101</v>
      </c>
      <c r="T72" s="1">
        <v>0</v>
      </c>
      <c r="U72" s="1">
        <f>Games[[#This Row],[PointsFor]]-Games[[#This Row],[PointsAgainst]]</f>
        <v>-23</v>
      </c>
      <c r="V72" s="1">
        <f>IF(Games[[#This Row],[MOV]]&gt;0,1,IF(Games[[#This Row],[MOV]]=0,0.5,0))</f>
        <v>0</v>
      </c>
      <c r="W72" s="4">
        <f>((ABS(Games[[#This Row],[MOV]])+5)^0.6)/(12+0.01*(ABS(Games[[#This Row],[PreGmRate]]-Games[[#This Row],[OppPreGmRate]])))*IF(Games[[#This Row],[OT]]=1,0.9,1)</f>
        <v>0.51927279091952916</v>
      </c>
      <c r="X72" s="7" cm="1">
        <f t="array" ref="X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2" s="9">
        <f>MAX(kmin, kmax - 0.15 * MIN(Games[[#This Row],[GamesPlayed]], 82))</f>
        <v>74.8</v>
      </c>
      <c r="Z72" s="4">
        <f>Games[[#This Row],[K]]*Games[[#This Row],[POMult]]</f>
        <v>74.8</v>
      </c>
      <c r="AA72" s="4">
        <f>(Games[[#This Row],[Keff]]*Games[[#This Row],[MOVMult]])*(Games[[#This Row],[Result]]-Games[[#This Row],[ExpectedWin%]])</f>
        <v>-5.6944196915286156</v>
      </c>
      <c r="AB72" s="4">
        <f>Games[[#This Row],[PreGmRate]]+Games[[#This Row],[RatingChange]]</f>
        <v>1364.8927561394269</v>
      </c>
      <c r="AC72" s="2">
        <f>IF(Games[[#This Row],[Type]]="R",IF(Games[[#This Row],[Result]]&gt;0.5,1,0),0)</f>
        <v>0</v>
      </c>
      <c r="AD72" s="2">
        <f>IF(Games[[#This Row],[Type]]="R",IF(Games[[#This Row],[Result]]&lt;0.5,1,0),0)</f>
        <v>1</v>
      </c>
      <c r="AE72" s="2">
        <f>IF(AND(Games[[#This Row],[Type]]="P",Games[[#This Row],[Round]]=1),IF(Games[[#This Row],[Result]]&gt;0.5,1,0),0)</f>
        <v>0</v>
      </c>
      <c r="AF72" s="2">
        <f>IF(AND(Games[[#This Row],[Type]]="P",Games[[#This Row],[Round]]=1),IF(Games[[#This Row],[Result]]&lt;0.5,1,0),0)</f>
        <v>0</v>
      </c>
      <c r="AG72" s="2">
        <f>IF(AND(Games[[#This Row],[Type]]="P",Games[[#This Row],[Round]]=2),IF(Games[[#This Row],[Result]]&gt;0.5,1,0),0)</f>
        <v>0</v>
      </c>
      <c r="AH72" s="2">
        <f>IF(AND(Games[[#This Row],[Type]]="P",Games[[#This Row],[Round]]=2),IF(Games[[#This Row],[Result]]&lt;0.5,1,0),0)</f>
        <v>0</v>
      </c>
      <c r="AI72" s="2">
        <f>IF(AND(Games[[#This Row],[Type]]="P",Games[[#This Row],[Round]]=3),IF(Games[[#This Row],[Result]]&gt;0.5,1,0),0)</f>
        <v>0</v>
      </c>
      <c r="AJ72" s="2">
        <f>IF(AND(Games[[#This Row],[Type]]="P",Games[[#This Row],[Round]]=3),IF(Games[[#This Row],[Result]]&lt;0.5,1,0),0)</f>
        <v>0</v>
      </c>
      <c r="AK72" s="2">
        <f>IF(AND(Games[[#This Row],[Type]]="P",Games[[#This Row],[Round]]=4),IF(Games[[#This Row],[Result]]&gt;0.5,1,0),0)</f>
        <v>0</v>
      </c>
      <c r="AL72" s="2">
        <f>IF(AND(Games[[#This Row],[Type]]="P",Games[[#This Row],[Round]]=4),IF(Games[[#This Row],[Result]]&lt;0.5,1,0),0)</f>
        <v>0</v>
      </c>
    </row>
    <row r="73" spans="1:38" x14ac:dyDescent="0.35">
      <c r="A73" s="10">
        <v>44346</v>
      </c>
      <c r="B73" s="2">
        <v>2021</v>
      </c>
      <c r="C73" s="2">
        <f>COUNTIFS(Games[Team],Games[[#This Row],[Team]],Games[Season],Games[[#This Row],[Season]],Games[Date],"&lt;=" &amp; Games[[#This Row],[Date]])</f>
        <v>7</v>
      </c>
      <c r="D73" s="2" t="s">
        <v>79</v>
      </c>
      <c r="E73" s="2" t="s">
        <v>80</v>
      </c>
      <c r="F73" s="1" t="s">
        <v>85</v>
      </c>
      <c r="G73" s="1" t="s">
        <v>69</v>
      </c>
      <c r="H73" s="1" t="s">
        <v>82</v>
      </c>
      <c r="I73" s="2" cm="1">
        <f t="array" ref="I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73" s="2" cm="1">
        <f t="array" ref="J7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3" s="2">
        <f>Games[[#This Row],[DaysOff]]-Games[[#This Row],[OppDaysOff]]</f>
        <v>0</v>
      </c>
      <c r="L73" s="2">
        <f>Games[[#This Row],[OppDaysOff]]-Games[[#This Row],[DaysOff]]</f>
        <v>0</v>
      </c>
      <c r="M73" s="1">
        <f>MAX(-16, MIN(16, Games[[#This Row],[RestDiff]]*8))</f>
        <v>0</v>
      </c>
      <c r="N73" s="1">
        <f>MAX(-16, MIN(16, Games[[#This Row],[OppRestDiff]]*8))</f>
        <v>0</v>
      </c>
      <c r="O73" s="4" cm="1">
        <f t="array" ref="O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1592.5860480744877</v>
      </c>
      <c r="P73" s="4" cm="1">
        <f t="array" ref="P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1370.5871758309554</v>
      </c>
      <c r="Q73" s="4">
        <f>1/(1+10^(((Games[[#This Row],[OppPreGmRate]]+IF(Games[[#This Row],[HomeAway]]="A",HCA,0)+Games[[#This Row],[OppRestAdj]])-(Games[[#This Row],[PreGmRate]]+IF(Games[[#This Row],[HomeAway]]="H",HCA,0)+Games[[#This Row],[RestAdj]]))/400))</f>
        <v>0.85339380989535241</v>
      </c>
      <c r="R73" s="1">
        <v>101</v>
      </c>
      <c r="S73" s="1">
        <v>78</v>
      </c>
      <c r="T73" s="1">
        <v>0</v>
      </c>
      <c r="U73" s="1">
        <f>Games[[#This Row],[PointsFor]]-Games[[#This Row],[PointsAgainst]]</f>
        <v>23</v>
      </c>
      <c r="V73" s="1">
        <f>IF(Games[[#This Row],[MOV]]&gt;0,1,IF(Games[[#This Row],[MOV]]=0,0.5,0))</f>
        <v>1</v>
      </c>
      <c r="W73" s="4">
        <f>((ABS(Games[[#This Row],[MOV]])+5)^0.6)/(12+0.01*(ABS(Games[[#This Row],[PreGmRate]]-Games[[#This Row],[OppPreGmRate]])))*IF(Games[[#This Row],[OT]]=1,0.9,1)</f>
        <v>0.51927279091952916</v>
      </c>
      <c r="X73" s="7" cm="1">
        <f t="array" ref="X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3" s="9">
        <f>MAX(kmin, kmax - 0.15 * MIN(Games[[#This Row],[GamesPlayed]], 82))</f>
        <v>74.95</v>
      </c>
      <c r="Z73" s="4">
        <f>Games[[#This Row],[K]]*Games[[#This Row],[POMult]]</f>
        <v>74.95</v>
      </c>
      <c r="AA73" s="4">
        <f>(Games[[#This Row],[Keff]]*Games[[#This Row],[MOVMult]])*(Games[[#This Row],[Result]]-Games[[#This Row],[ExpectedWin%]])</f>
        <v>5.7058389823538702</v>
      </c>
      <c r="AB73" s="4">
        <f>Games[[#This Row],[PreGmRate]]+Games[[#This Row],[RatingChange]]</f>
        <v>1598.2918870568417</v>
      </c>
      <c r="AC73" s="2">
        <f>IF(Games[[#This Row],[Type]]="R",IF(Games[[#This Row],[Result]]&gt;0.5,1,0),0)</f>
        <v>1</v>
      </c>
      <c r="AD73" s="2">
        <f>IF(Games[[#This Row],[Type]]="R",IF(Games[[#This Row],[Result]]&lt;0.5,1,0),0)</f>
        <v>0</v>
      </c>
      <c r="AE73" s="2">
        <f>IF(AND(Games[[#This Row],[Type]]="P",Games[[#This Row],[Round]]=1),IF(Games[[#This Row],[Result]]&gt;0.5,1,0),0)</f>
        <v>0</v>
      </c>
      <c r="AF73" s="2">
        <f>IF(AND(Games[[#This Row],[Type]]="P",Games[[#This Row],[Round]]=1),IF(Games[[#This Row],[Result]]&lt;0.5,1,0),0)</f>
        <v>0</v>
      </c>
      <c r="AG73" s="2">
        <f>IF(AND(Games[[#This Row],[Type]]="P",Games[[#This Row],[Round]]=2),IF(Games[[#This Row],[Result]]&gt;0.5,1,0),0)</f>
        <v>0</v>
      </c>
      <c r="AH73" s="2">
        <f>IF(AND(Games[[#This Row],[Type]]="P",Games[[#This Row],[Round]]=2),IF(Games[[#This Row],[Result]]&lt;0.5,1,0),0)</f>
        <v>0</v>
      </c>
      <c r="AI73" s="2">
        <f>IF(AND(Games[[#This Row],[Type]]="P",Games[[#This Row],[Round]]=3),IF(Games[[#This Row],[Result]]&gt;0.5,1,0),0)</f>
        <v>0</v>
      </c>
      <c r="AJ73" s="2">
        <f>IF(AND(Games[[#This Row],[Type]]="P",Games[[#This Row],[Round]]=3),IF(Games[[#This Row],[Result]]&lt;0.5,1,0),0)</f>
        <v>0</v>
      </c>
      <c r="AK73" s="2">
        <f>IF(AND(Games[[#This Row],[Type]]="P",Games[[#This Row],[Round]]=4),IF(Games[[#This Row],[Result]]&gt;0.5,1,0),0)</f>
        <v>0</v>
      </c>
      <c r="AL73" s="2">
        <f>IF(AND(Games[[#This Row],[Type]]="P",Games[[#This Row],[Round]]=4),IF(Games[[#This Row],[Result]]&lt;0.5,1,0),0)</f>
        <v>0</v>
      </c>
    </row>
    <row r="74" spans="1:38" x14ac:dyDescent="0.35">
      <c r="A74" s="10">
        <v>44346</v>
      </c>
      <c r="B74" s="2">
        <v>2021</v>
      </c>
      <c r="C74" s="2">
        <f>COUNTIFS(Games[Team],Games[[#This Row],[Team]],Games[Season],Games[[#This Row],[Season]],Games[Date],"&lt;=" &amp; Games[[#This Row],[Date]])</f>
        <v>8</v>
      </c>
      <c r="D74" s="2" t="s">
        <v>79</v>
      </c>
      <c r="E74" s="2" t="s">
        <v>80</v>
      </c>
      <c r="F74" s="1" t="s">
        <v>74</v>
      </c>
      <c r="G74" s="1" t="s">
        <v>67</v>
      </c>
      <c r="H74" s="1" t="s">
        <v>81</v>
      </c>
      <c r="I74" s="2" cm="1">
        <f t="array" ref="I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74" s="2" cm="1">
        <f t="array" ref="J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4" s="2">
        <f>Games[[#This Row],[DaysOff]]-Games[[#This Row],[OppDaysOff]]</f>
        <v>0</v>
      </c>
      <c r="L74" s="2">
        <f>Games[[#This Row],[OppDaysOff]]-Games[[#This Row],[DaysOff]]</f>
        <v>0</v>
      </c>
      <c r="M74" s="1">
        <f>MAX(-16, MIN(16, Games[[#This Row],[RestDiff]]*8))</f>
        <v>0</v>
      </c>
      <c r="N74" s="1">
        <f>MAX(-16, MIN(16, Games[[#This Row],[OppRestDiff]]*8))</f>
        <v>0</v>
      </c>
      <c r="O74" s="4" cm="1">
        <f t="array" ref="O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1611.6102456595386</v>
      </c>
      <c r="P74" s="4" cm="1">
        <f t="array" ref="P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1468.3433325716753</v>
      </c>
      <c r="Q74" s="4">
        <f>1/(1+10^(((Games[[#This Row],[OppPreGmRate]]+IF(Games[[#This Row],[HomeAway]]="A",HCA,0)+Games[[#This Row],[OppRestAdj]])-(Games[[#This Row],[PreGmRate]]+IF(Games[[#This Row],[HomeAway]]="H",HCA,0)+Games[[#This Row],[RestAdj]]))/400))</f>
        <v>0.58447416188083301</v>
      </c>
      <c r="R74" s="1">
        <v>74</v>
      </c>
      <c r="S74" s="1">
        <v>79</v>
      </c>
      <c r="T74" s="1">
        <v>1</v>
      </c>
      <c r="U74" s="1">
        <f>Games[[#This Row],[PointsFor]]-Games[[#This Row],[PointsAgainst]]</f>
        <v>-5</v>
      </c>
      <c r="V74" s="1">
        <f>IF(Games[[#This Row],[MOV]]&gt;0,1,IF(Games[[#This Row],[MOV]]=0,0.5,0))</f>
        <v>0</v>
      </c>
      <c r="W74" s="4">
        <f>((ABS(Games[[#This Row],[MOV]])+5)^0.6)/(12+0.01*(ABS(Games[[#This Row],[PreGmRate]]-Games[[#This Row],[OppPreGmRate]])))*IF(Games[[#This Row],[OT]]=1,0.9,1)</f>
        <v>0.26673511422573937</v>
      </c>
      <c r="X74" s="7" cm="1">
        <f t="array" ref="X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4" s="9">
        <f>MAX(kmin, kmax - 0.15 * MIN(Games[[#This Row],[GamesPlayed]], 82))</f>
        <v>74.8</v>
      </c>
      <c r="Z74" s="4">
        <f>Games[[#This Row],[K]]*Games[[#This Row],[POMult]]</f>
        <v>74.8</v>
      </c>
      <c r="AA74" s="4">
        <f>(Games[[#This Row],[Keff]]*Games[[#This Row],[MOVMult]])*(Games[[#This Row],[Result]]-Games[[#This Row],[ExpectedWin%]])</f>
        <v>-11.661303718379541</v>
      </c>
      <c r="AB74" s="4">
        <f>Games[[#This Row],[PreGmRate]]+Games[[#This Row],[RatingChange]]</f>
        <v>1599.9489419411591</v>
      </c>
      <c r="AC74" s="2">
        <f>IF(Games[[#This Row],[Type]]="R",IF(Games[[#This Row],[Result]]&gt;0.5,1,0),0)</f>
        <v>0</v>
      </c>
      <c r="AD74" s="2">
        <f>IF(Games[[#This Row],[Type]]="R",IF(Games[[#This Row],[Result]]&lt;0.5,1,0),0)</f>
        <v>1</v>
      </c>
      <c r="AE74" s="2">
        <f>IF(AND(Games[[#This Row],[Type]]="P",Games[[#This Row],[Round]]=1),IF(Games[[#This Row],[Result]]&gt;0.5,1,0),0)</f>
        <v>0</v>
      </c>
      <c r="AF74" s="2">
        <f>IF(AND(Games[[#This Row],[Type]]="P",Games[[#This Row],[Round]]=1),IF(Games[[#This Row],[Result]]&lt;0.5,1,0),0)</f>
        <v>0</v>
      </c>
      <c r="AG74" s="2">
        <f>IF(AND(Games[[#This Row],[Type]]="P",Games[[#This Row],[Round]]=2),IF(Games[[#This Row],[Result]]&gt;0.5,1,0),0)</f>
        <v>0</v>
      </c>
      <c r="AH74" s="2">
        <f>IF(AND(Games[[#This Row],[Type]]="P",Games[[#This Row],[Round]]=2),IF(Games[[#This Row],[Result]]&lt;0.5,1,0),0)</f>
        <v>0</v>
      </c>
      <c r="AI74" s="2">
        <f>IF(AND(Games[[#This Row],[Type]]="P",Games[[#This Row],[Round]]=3),IF(Games[[#This Row],[Result]]&gt;0.5,1,0),0)</f>
        <v>0</v>
      </c>
      <c r="AJ74" s="2">
        <f>IF(AND(Games[[#This Row],[Type]]="P",Games[[#This Row],[Round]]=3),IF(Games[[#This Row],[Result]]&lt;0.5,1,0),0)</f>
        <v>0</v>
      </c>
      <c r="AK74" s="2">
        <f>IF(AND(Games[[#This Row],[Type]]="P",Games[[#This Row],[Round]]=4),IF(Games[[#This Row],[Result]]&gt;0.5,1,0),0)</f>
        <v>0</v>
      </c>
      <c r="AL74" s="2">
        <f>IF(AND(Games[[#This Row],[Type]]="P",Games[[#This Row],[Round]]=4),IF(Games[[#This Row],[Result]]&lt;0.5,1,0),0)</f>
        <v>0</v>
      </c>
    </row>
    <row r="75" spans="1:38" x14ac:dyDescent="0.35">
      <c r="A75" s="10">
        <v>44346</v>
      </c>
      <c r="B75" s="2">
        <v>2021</v>
      </c>
      <c r="C75" s="2">
        <f>COUNTIFS(Games[Team],Games[[#This Row],[Team]],Games[Season],Games[[#This Row],[Season]],Games[Date],"&lt;=" &amp; Games[[#This Row],[Date]])</f>
        <v>5</v>
      </c>
      <c r="D75" s="2" t="s">
        <v>79</v>
      </c>
      <c r="E75" s="2" t="s">
        <v>80</v>
      </c>
      <c r="F75" s="1" t="s">
        <v>67</v>
      </c>
      <c r="G75" s="1" t="s">
        <v>74</v>
      </c>
      <c r="H75" s="1" t="s">
        <v>82</v>
      </c>
      <c r="I75" s="2" cm="1">
        <f t="array" ref="I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75" s="2" cm="1">
        <f t="array" ref="J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5" s="2">
        <f>Games[[#This Row],[DaysOff]]-Games[[#This Row],[OppDaysOff]]</f>
        <v>0</v>
      </c>
      <c r="L75" s="2">
        <f>Games[[#This Row],[OppDaysOff]]-Games[[#This Row],[DaysOff]]</f>
        <v>0</v>
      </c>
      <c r="M75" s="1">
        <f>MAX(-16, MIN(16, Games[[#This Row],[RestDiff]]*8))</f>
        <v>0</v>
      </c>
      <c r="N75" s="1">
        <f>MAX(-16, MIN(16, Games[[#This Row],[OppRestDiff]]*8))</f>
        <v>0</v>
      </c>
      <c r="O75" s="4" cm="1">
        <f t="array" ref="O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1468.3433325716753</v>
      </c>
      <c r="P75" s="4" cm="1">
        <f t="array" ref="P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1611.6102456595386</v>
      </c>
      <c r="Q75" s="4">
        <f>1/(1+10^(((Games[[#This Row],[OppPreGmRate]]+IF(Games[[#This Row],[HomeAway]]="A",HCA,0)+Games[[#This Row],[OppRestAdj]])-(Games[[#This Row],[PreGmRate]]+IF(Games[[#This Row],[HomeAway]]="H",HCA,0)+Games[[#This Row],[RestAdj]]))/400))</f>
        <v>0.41552583811916693</v>
      </c>
      <c r="R75" s="1">
        <v>79</v>
      </c>
      <c r="S75" s="1">
        <v>74</v>
      </c>
      <c r="T75" s="1">
        <v>1</v>
      </c>
      <c r="U75" s="1">
        <f>Games[[#This Row],[PointsFor]]-Games[[#This Row],[PointsAgainst]]</f>
        <v>5</v>
      </c>
      <c r="V75" s="1">
        <f>IF(Games[[#This Row],[MOV]]&gt;0,1,IF(Games[[#This Row],[MOV]]=0,0.5,0))</f>
        <v>1</v>
      </c>
      <c r="W75" s="4">
        <f>((ABS(Games[[#This Row],[MOV]])+5)^0.6)/(12+0.01*(ABS(Games[[#This Row],[PreGmRate]]-Games[[#This Row],[OppPreGmRate]])))*IF(Games[[#This Row],[OT]]=1,0.9,1)</f>
        <v>0.26673511422573937</v>
      </c>
      <c r="X75" s="7" cm="1">
        <f t="array" ref="X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5" s="9">
        <f>MAX(kmin, kmax - 0.15 * MIN(Games[[#This Row],[GamesPlayed]], 82))</f>
        <v>75.25</v>
      </c>
      <c r="Z75" s="4">
        <f>Games[[#This Row],[K]]*Games[[#This Row],[POMult]]</f>
        <v>75.25</v>
      </c>
      <c r="AA75" s="4">
        <f>(Games[[#This Row],[Keff]]*Games[[#This Row],[MOVMult]])*(Games[[#This Row],[Result]]-Games[[#This Row],[ExpectedWin%]])</f>
        <v>11.731458620428617</v>
      </c>
      <c r="AB75" s="4">
        <f>Games[[#This Row],[PreGmRate]]+Games[[#This Row],[RatingChange]]</f>
        <v>1480.0747911921039</v>
      </c>
      <c r="AC75" s="2">
        <f>IF(Games[[#This Row],[Type]]="R",IF(Games[[#This Row],[Result]]&gt;0.5,1,0),0)</f>
        <v>1</v>
      </c>
      <c r="AD75" s="2">
        <f>IF(Games[[#This Row],[Type]]="R",IF(Games[[#This Row],[Result]]&lt;0.5,1,0),0)</f>
        <v>0</v>
      </c>
      <c r="AE75" s="2">
        <f>IF(AND(Games[[#This Row],[Type]]="P",Games[[#This Row],[Round]]=1),IF(Games[[#This Row],[Result]]&gt;0.5,1,0),0)</f>
        <v>0</v>
      </c>
      <c r="AF75" s="2">
        <f>IF(AND(Games[[#This Row],[Type]]="P",Games[[#This Row],[Round]]=1),IF(Games[[#This Row],[Result]]&lt;0.5,1,0),0)</f>
        <v>0</v>
      </c>
      <c r="AG75" s="2">
        <f>IF(AND(Games[[#This Row],[Type]]="P",Games[[#This Row],[Round]]=2),IF(Games[[#This Row],[Result]]&gt;0.5,1,0),0)</f>
        <v>0</v>
      </c>
      <c r="AH75" s="2">
        <f>IF(AND(Games[[#This Row],[Type]]="P",Games[[#This Row],[Round]]=2),IF(Games[[#This Row],[Result]]&lt;0.5,1,0),0)</f>
        <v>0</v>
      </c>
      <c r="AI75" s="2">
        <f>IF(AND(Games[[#This Row],[Type]]="P",Games[[#This Row],[Round]]=3),IF(Games[[#This Row],[Result]]&gt;0.5,1,0),0)</f>
        <v>0</v>
      </c>
      <c r="AJ75" s="2">
        <f>IF(AND(Games[[#This Row],[Type]]="P",Games[[#This Row],[Round]]=3),IF(Games[[#This Row],[Result]]&lt;0.5,1,0),0)</f>
        <v>0</v>
      </c>
      <c r="AK75" s="2">
        <f>IF(AND(Games[[#This Row],[Type]]="P",Games[[#This Row],[Round]]=4),IF(Games[[#This Row],[Result]]&gt;0.5,1,0),0)</f>
        <v>0</v>
      </c>
      <c r="AL75" s="2">
        <f>IF(AND(Games[[#This Row],[Type]]="P",Games[[#This Row],[Round]]=4),IF(Games[[#This Row],[Result]]&lt;0.5,1,0),0)</f>
        <v>0</v>
      </c>
    </row>
    <row r="76" spans="1:38" x14ac:dyDescent="0.35">
      <c r="A76" s="10">
        <v>44348</v>
      </c>
      <c r="B76" s="2">
        <v>2021</v>
      </c>
      <c r="C76" s="2">
        <f>COUNTIFS(Games[Team],Games[[#This Row],[Team]],Games[Season],Games[[#This Row],[Season]],Games[Date],"&lt;=" &amp; Games[[#This Row],[Date]])</f>
        <v>7</v>
      </c>
      <c r="D76" s="2" t="s">
        <v>79</v>
      </c>
      <c r="E76" s="2" t="s">
        <v>80</v>
      </c>
      <c r="F76" s="1" t="s">
        <v>40</v>
      </c>
      <c r="G76" s="1" t="s">
        <v>75</v>
      </c>
      <c r="H76" s="1" t="s">
        <v>81</v>
      </c>
      <c r="I76" s="2" cm="1">
        <f t="array" ref="I76">IFERROR(
    Games[[#This Row],[Date]]
    - LOOKUP(
        2,
        1/((Games[Team]=Games[[#This Row],[Team]]) * (Games[Date] &lt; Games[[#This Row],[Date]])),
        Games[Date]
    )
    - 1,
Games[[#This Row],[Date]]-$A$2)</f>
        <v>2</v>
      </c>
      <c r="J76" s="2" cm="1">
        <f t="array" ref="J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6" s="2">
        <f>Games[[#This Row],[DaysOff]]-Games[[#This Row],[OppDaysOff]]</f>
        <v>1</v>
      </c>
      <c r="L76" s="2">
        <f>Games[[#This Row],[OppDaysOff]]-Games[[#This Row],[DaysOff]]</f>
        <v>-1</v>
      </c>
      <c r="M76" s="1">
        <f>MAX(-16, MIN(16, Games[[#This Row],[RestDiff]]*8))</f>
        <v>8</v>
      </c>
      <c r="N76" s="1">
        <f>MAX(-16, MIN(16, Games[[#This Row],[OppRestDiff]]*8))</f>
        <v>-8</v>
      </c>
      <c r="O76" s="4" cm="1">
        <f t="array" ref="O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1514.4657482726429</v>
      </c>
      <c r="P76" s="4" cm="1">
        <f t="array" ref="P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1465.726872136667</v>
      </c>
      <c r="Q76" s="4">
        <f>1/(1+10^(((Games[[#This Row],[OppPreGmRate]]+IF(Games[[#This Row],[HomeAway]]="A",HCA,0)+Games[[#This Row],[OppRestAdj]])-(Games[[#This Row],[PreGmRate]]+IF(Games[[#This Row],[HomeAway]]="H",HCA,0)+Games[[#This Row],[RestAdj]]))/400))</f>
        <v>0.47230937659306826</v>
      </c>
      <c r="R76" s="1">
        <v>84</v>
      </c>
      <c r="S76" s="1">
        <v>83</v>
      </c>
      <c r="T76" s="1">
        <v>0</v>
      </c>
      <c r="U76" s="1">
        <f>Games[[#This Row],[PointsFor]]-Games[[#This Row],[PointsAgainst]]</f>
        <v>1</v>
      </c>
      <c r="V76" s="1">
        <f>IF(Games[[#This Row],[MOV]]&gt;0,1,IF(Games[[#This Row],[MOV]]=0,0.5,0))</f>
        <v>1</v>
      </c>
      <c r="W76" s="4">
        <f>((ABS(Games[[#This Row],[MOV]])+5)^0.6)/(12+0.01*(ABS(Games[[#This Row],[PreGmRate]]-Games[[#This Row],[OppPreGmRate]])))*IF(Games[[#This Row],[OT]]=1,0.9,1)</f>
        <v>0.23464922151302148</v>
      </c>
      <c r="X76" s="7" cm="1">
        <f t="array" ref="X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6" s="9">
        <f>MAX(kmin, kmax - 0.15 * MIN(Games[[#This Row],[GamesPlayed]], 82))</f>
        <v>74.95</v>
      </c>
      <c r="Z76" s="4">
        <f>Games[[#This Row],[K]]*Games[[#This Row],[POMult]]</f>
        <v>74.95</v>
      </c>
      <c r="AA76" s="4">
        <f>(Games[[#This Row],[Keff]]*Games[[#This Row],[MOVMult]])*(Games[[#This Row],[Result]]-Games[[#This Row],[ExpectedWin%]])</f>
        <v>9.2804734389627068</v>
      </c>
      <c r="AB76" s="4">
        <f>Games[[#This Row],[PreGmRate]]+Games[[#This Row],[RatingChange]]</f>
        <v>1523.7462217116056</v>
      </c>
      <c r="AC76" s="2">
        <f>IF(Games[[#This Row],[Type]]="R",IF(Games[[#This Row],[Result]]&gt;0.5,1,0),0)</f>
        <v>1</v>
      </c>
      <c r="AD76" s="2">
        <f>IF(Games[[#This Row],[Type]]="R",IF(Games[[#This Row],[Result]]&lt;0.5,1,0),0)</f>
        <v>0</v>
      </c>
      <c r="AE76" s="2">
        <f>IF(AND(Games[[#This Row],[Type]]="P",Games[[#This Row],[Round]]=1),IF(Games[[#This Row],[Result]]&gt;0.5,1,0),0)</f>
        <v>0</v>
      </c>
      <c r="AF76" s="2">
        <f>IF(AND(Games[[#This Row],[Type]]="P",Games[[#This Row],[Round]]=1),IF(Games[[#This Row],[Result]]&lt;0.5,1,0),0)</f>
        <v>0</v>
      </c>
      <c r="AG76" s="2">
        <f>IF(AND(Games[[#This Row],[Type]]="P",Games[[#This Row],[Round]]=2),IF(Games[[#This Row],[Result]]&gt;0.5,1,0),0)</f>
        <v>0</v>
      </c>
      <c r="AH76" s="2">
        <f>IF(AND(Games[[#This Row],[Type]]="P",Games[[#This Row],[Round]]=2),IF(Games[[#This Row],[Result]]&lt;0.5,1,0),0)</f>
        <v>0</v>
      </c>
      <c r="AI76" s="2">
        <f>IF(AND(Games[[#This Row],[Type]]="P",Games[[#This Row],[Round]]=3),IF(Games[[#This Row],[Result]]&gt;0.5,1,0),0)</f>
        <v>0</v>
      </c>
      <c r="AJ76" s="2">
        <f>IF(AND(Games[[#This Row],[Type]]="P",Games[[#This Row],[Round]]=3),IF(Games[[#This Row],[Result]]&lt;0.5,1,0),0)</f>
        <v>0</v>
      </c>
      <c r="AK76" s="2">
        <f>IF(AND(Games[[#This Row],[Type]]="P",Games[[#This Row],[Round]]=4),IF(Games[[#This Row],[Result]]&gt;0.5,1,0),0)</f>
        <v>0</v>
      </c>
      <c r="AL76" s="2">
        <f>IF(AND(Games[[#This Row],[Type]]="P",Games[[#This Row],[Round]]=4),IF(Games[[#This Row],[Result]]&lt;0.5,1,0),0)</f>
        <v>0</v>
      </c>
    </row>
    <row r="77" spans="1:38" x14ac:dyDescent="0.35">
      <c r="A77" s="10">
        <v>44348</v>
      </c>
      <c r="B77" s="2">
        <v>2021</v>
      </c>
      <c r="C77" s="2">
        <f>COUNTIFS(Games[Team],Games[[#This Row],[Team]],Games[Season],Games[[#This Row],[Season]],Games[Date],"&lt;=" &amp; Games[[#This Row],[Date]])</f>
        <v>7</v>
      </c>
      <c r="D77" s="2" t="s">
        <v>79</v>
      </c>
      <c r="E77" s="2" t="s">
        <v>80</v>
      </c>
      <c r="F77" s="1" t="s">
        <v>75</v>
      </c>
      <c r="G77" s="1" t="s">
        <v>40</v>
      </c>
      <c r="H77" s="1" t="s">
        <v>82</v>
      </c>
      <c r="I77" s="2" cm="1">
        <f t="array" ref="I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77" s="2" cm="1">
        <f t="array" ref="J7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77" s="2">
        <f>Games[[#This Row],[DaysOff]]-Games[[#This Row],[OppDaysOff]]</f>
        <v>-1</v>
      </c>
      <c r="L77" s="2">
        <f>Games[[#This Row],[OppDaysOff]]-Games[[#This Row],[DaysOff]]</f>
        <v>1</v>
      </c>
      <c r="M77" s="1">
        <f>MAX(-16, MIN(16, Games[[#This Row],[RestDiff]]*8))</f>
        <v>-8</v>
      </c>
      <c r="N77" s="1">
        <f>MAX(-16, MIN(16, Games[[#This Row],[OppRestDiff]]*8))</f>
        <v>8</v>
      </c>
      <c r="O77" s="4" cm="1">
        <f t="array" ref="O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1465.726872136667</v>
      </c>
      <c r="P77" s="4" cm="1">
        <f t="array" ref="P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1514.4657482726429</v>
      </c>
      <c r="Q77" s="4">
        <f>1/(1+10^(((Games[[#This Row],[OppPreGmRate]]+IF(Games[[#This Row],[HomeAway]]="A",HCA,0)+Games[[#This Row],[OppRestAdj]])-(Games[[#This Row],[PreGmRate]]+IF(Games[[#This Row],[HomeAway]]="H",HCA,0)+Games[[#This Row],[RestAdj]]))/400))</f>
        <v>0.52769062340693174</v>
      </c>
      <c r="R77" s="1">
        <v>83</v>
      </c>
      <c r="S77" s="1">
        <v>84</v>
      </c>
      <c r="T77" s="1">
        <v>0</v>
      </c>
      <c r="U77" s="1">
        <f>Games[[#This Row],[PointsFor]]-Games[[#This Row],[PointsAgainst]]</f>
        <v>-1</v>
      </c>
      <c r="V77" s="1">
        <f>IF(Games[[#This Row],[MOV]]&gt;0,1,IF(Games[[#This Row],[MOV]]=0,0.5,0))</f>
        <v>0</v>
      </c>
      <c r="W77" s="4">
        <f>((ABS(Games[[#This Row],[MOV]])+5)^0.6)/(12+0.01*(ABS(Games[[#This Row],[PreGmRate]]-Games[[#This Row],[OppPreGmRate]])))*IF(Games[[#This Row],[OT]]=1,0.9,1)</f>
        <v>0.23464922151302148</v>
      </c>
      <c r="X77" s="7" cm="1">
        <f t="array" ref="X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7" s="9">
        <f>MAX(kmin, kmax - 0.15 * MIN(Games[[#This Row],[GamesPlayed]], 82))</f>
        <v>74.95</v>
      </c>
      <c r="Z77" s="4">
        <f>Games[[#This Row],[K]]*Games[[#This Row],[POMult]]</f>
        <v>74.95</v>
      </c>
      <c r="AA77" s="4">
        <f>(Games[[#This Row],[Keff]]*Games[[#This Row],[MOVMult]])*(Games[[#This Row],[Result]]-Games[[#This Row],[ExpectedWin%]])</f>
        <v>-9.2804734389627068</v>
      </c>
      <c r="AB77" s="4">
        <f>Games[[#This Row],[PreGmRate]]+Games[[#This Row],[RatingChange]]</f>
        <v>1456.4463986977044</v>
      </c>
      <c r="AC77" s="2">
        <f>IF(Games[[#This Row],[Type]]="R",IF(Games[[#This Row],[Result]]&gt;0.5,1,0),0)</f>
        <v>0</v>
      </c>
      <c r="AD77" s="2">
        <f>IF(Games[[#This Row],[Type]]="R",IF(Games[[#This Row],[Result]]&lt;0.5,1,0),0)</f>
        <v>1</v>
      </c>
      <c r="AE77" s="2">
        <f>IF(AND(Games[[#This Row],[Type]]="P",Games[[#This Row],[Round]]=1),IF(Games[[#This Row],[Result]]&gt;0.5,1,0),0)</f>
        <v>0</v>
      </c>
      <c r="AF77" s="2">
        <f>IF(AND(Games[[#This Row],[Type]]="P",Games[[#This Row],[Round]]=1),IF(Games[[#This Row],[Result]]&lt;0.5,1,0),0)</f>
        <v>0</v>
      </c>
      <c r="AG77" s="2">
        <f>IF(AND(Games[[#This Row],[Type]]="P",Games[[#This Row],[Round]]=2),IF(Games[[#This Row],[Result]]&gt;0.5,1,0),0)</f>
        <v>0</v>
      </c>
      <c r="AH77" s="2">
        <f>IF(AND(Games[[#This Row],[Type]]="P",Games[[#This Row],[Round]]=2),IF(Games[[#This Row],[Result]]&lt;0.5,1,0),0)</f>
        <v>0</v>
      </c>
      <c r="AI77" s="2">
        <f>IF(AND(Games[[#This Row],[Type]]="P",Games[[#This Row],[Round]]=3),IF(Games[[#This Row],[Result]]&gt;0.5,1,0),0)</f>
        <v>0</v>
      </c>
      <c r="AJ77" s="2">
        <f>IF(AND(Games[[#This Row],[Type]]="P",Games[[#This Row],[Round]]=3),IF(Games[[#This Row],[Result]]&lt;0.5,1,0),0)</f>
        <v>0</v>
      </c>
      <c r="AK77" s="2">
        <f>IF(AND(Games[[#This Row],[Type]]="P",Games[[#This Row],[Round]]=4),IF(Games[[#This Row],[Result]]&gt;0.5,1,0),0)</f>
        <v>0</v>
      </c>
      <c r="AL77" s="2">
        <f>IF(AND(Games[[#This Row],[Type]]="P",Games[[#This Row],[Round]]=4),IF(Games[[#This Row],[Result]]&lt;0.5,1,0),0)</f>
        <v>0</v>
      </c>
    </row>
    <row r="78" spans="1:38" x14ac:dyDescent="0.35">
      <c r="A78" s="10">
        <v>44348</v>
      </c>
      <c r="B78" s="2">
        <v>2021</v>
      </c>
      <c r="C78" s="2">
        <f>COUNTIFS(Games[Team],Games[[#This Row],[Team]],Games[Season],Games[[#This Row],[Season]],Games[Date],"&lt;=" &amp; Games[[#This Row],[Date]])</f>
        <v>8</v>
      </c>
      <c r="D78" s="2" t="s">
        <v>79</v>
      </c>
      <c r="E78" s="2" t="s">
        <v>80</v>
      </c>
      <c r="F78" s="1" t="s">
        <v>85</v>
      </c>
      <c r="G78" s="1" t="s">
        <v>74</v>
      </c>
      <c r="H78" s="1" t="s">
        <v>81</v>
      </c>
      <c r="I78" s="2" cm="1">
        <f t="array" ref="I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78" s="2" cm="1">
        <f t="array" ref="J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8" s="2">
        <f>Games[[#This Row],[DaysOff]]-Games[[#This Row],[OppDaysOff]]</f>
        <v>0</v>
      </c>
      <c r="L78" s="2">
        <f>Games[[#This Row],[OppDaysOff]]-Games[[#This Row],[DaysOff]]</f>
        <v>0</v>
      </c>
      <c r="M78" s="1">
        <f>MAX(-16, MIN(16, Games[[#This Row],[RestDiff]]*8))</f>
        <v>0</v>
      </c>
      <c r="N78" s="1">
        <f>MAX(-16, MIN(16, Games[[#This Row],[OppRestDiff]]*8))</f>
        <v>0</v>
      </c>
      <c r="O78" s="4" cm="1">
        <f t="array" ref="O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1598.2918870568417</v>
      </c>
      <c r="P78" s="4" cm="1">
        <f t="array" ref="P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1599.9489419411591</v>
      </c>
      <c r="Q78" s="4">
        <f>1/(1+10^(((Games[[#This Row],[OppPreGmRate]]+IF(Games[[#This Row],[HomeAway]]="A",HCA,0)+Games[[#This Row],[OppRestAdj]])-(Games[[#This Row],[PreGmRate]]+IF(Games[[#This Row],[HomeAway]]="H",HCA,0)+Games[[#This Row],[RestAdj]]))/400))</f>
        <v>0.37916788020088954</v>
      </c>
      <c r="R78" s="1">
        <v>67</v>
      </c>
      <c r="S78" s="1">
        <v>74</v>
      </c>
      <c r="T78" s="1">
        <v>0</v>
      </c>
      <c r="U78" s="1">
        <f>Games[[#This Row],[PointsFor]]-Games[[#This Row],[PointsAgainst]]</f>
        <v>-7</v>
      </c>
      <c r="V78" s="1">
        <f>IF(Games[[#This Row],[MOV]]&gt;0,1,IF(Games[[#This Row],[MOV]]=0,0.5,0))</f>
        <v>0</v>
      </c>
      <c r="W78" s="4">
        <f>((ABS(Games[[#This Row],[MOV]])+5)^0.6)/(12+0.01*(ABS(Games[[#This Row],[PreGmRate]]-Games[[#This Row],[OppPreGmRate]])))*IF(Games[[#This Row],[OT]]=1,0.9,1)</f>
        <v>0.36959680399607853</v>
      </c>
      <c r="X78" s="7" cm="1">
        <f t="array" ref="X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8" s="9">
        <f>MAX(kmin, kmax - 0.15 * MIN(Games[[#This Row],[GamesPlayed]], 82))</f>
        <v>74.8</v>
      </c>
      <c r="Z78" s="4">
        <f>Games[[#This Row],[K]]*Games[[#This Row],[POMult]]</f>
        <v>74.8</v>
      </c>
      <c r="AA78" s="4">
        <f>(Games[[#This Row],[Keff]]*Games[[#This Row],[MOVMult]])*(Games[[#This Row],[Result]]-Games[[#This Row],[ExpectedWin%]])</f>
        <v>-10.482414905176213</v>
      </c>
      <c r="AB78" s="4">
        <f>Games[[#This Row],[PreGmRate]]+Games[[#This Row],[RatingChange]]</f>
        <v>1587.8094721516654</v>
      </c>
      <c r="AC78" s="2">
        <f>IF(Games[[#This Row],[Type]]="R",IF(Games[[#This Row],[Result]]&gt;0.5,1,0),0)</f>
        <v>0</v>
      </c>
      <c r="AD78" s="2">
        <f>IF(Games[[#This Row],[Type]]="R",IF(Games[[#This Row],[Result]]&lt;0.5,1,0),0)</f>
        <v>1</v>
      </c>
      <c r="AE78" s="2">
        <f>IF(AND(Games[[#This Row],[Type]]="P",Games[[#This Row],[Round]]=1),IF(Games[[#This Row],[Result]]&gt;0.5,1,0),0)</f>
        <v>0</v>
      </c>
      <c r="AF78" s="2">
        <f>IF(AND(Games[[#This Row],[Type]]="P",Games[[#This Row],[Round]]=1),IF(Games[[#This Row],[Result]]&lt;0.5,1,0),0)</f>
        <v>0</v>
      </c>
      <c r="AG78" s="2">
        <f>IF(AND(Games[[#This Row],[Type]]="P",Games[[#This Row],[Round]]=2),IF(Games[[#This Row],[Result]]&gt;0.5,1,0),0)</f>
        <v>0</v>
      </c>
      <c r="AH78" s="2">
        <f>IF(AND(Games[[#This Row],[Type]]="P",Games[[#This Row],[Round]]=2),IF(Games[[#This Row],[Result]]&lt;0.5,1,0),0)</f>
        <v>0</v>
      </c>
      <c r="AI78" s="2">
        <f>IF(AND(Games[[#This Row],[Type]]="P",Games[[#This Row],[Round]]=3),IF(Games[[#This Row],[Result]]&gt;0.5,1,0),0)</f>
        <v>0</v>
      </c>
      <c r="AJ78" s="2">
        <f>IF(AND(Games[[#This Row],[Type]]="P",Games[[#This Row],[Round]]=3),IF(Games[[#This Row],[Result]]&lt;0.5,1,0),0)</f>
        <v>0</v>
      </c>
      <c r="AK78" s="2">
        <f>IF(AND(Games[[#This Row],[Type]]="P",Games[[#This Row],[Round]]=4),IF(Games[[#This Row],[Result]]&gt;0.5,1,0),0)</f>
        <v>0</v>
      </c>
      <c r="AL78" s="2">
        <f>IF(AND(Games[[#This Row],[Type]]="P",Games[[#This Row],[Round]]=4),IF(Games[[#This Row],[Result]]&lt;0.5,1,0),0)</f>
        <v>0</v>
      </c>
    </row>
    <row r="79" spans="1:38" x14ac:dyDescent="0.35">
      <c r="A79" s="10">
        <v>44348</v>
      </c>
      <c r="B79" s="2">
        <v>2021</v>
      </c>
      <c r="C79" s="2">
        <f>COUNTIFS(Games[Team],Games[[#This Row],[Team]],Games[Season],Games[[#This Row],[Season]],Games[Date],"&lt;=" &amp; Games[[#This Row],[Date]])</f>
        <v>9</v>
      </c>
      <c r="D79" s="2" t="s">
        <v>79</v>
      </c>
      <c r="E79" s="2" t="s">
        <v>80</v>
      </c>
      <c r="F79" s="1" t="s">
        <v>74</v>
      </c>
      <c r="G79" s="1" t="s">
        <v>85</v>
      </c>
      <c r="H79" s="1" t="s">
        <v>82</v>
      </c>
      <c r="I79" s="2" cm="1">
        <f t="array" ref="I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79" s="2" cm="1">
        <f t="array" ref="J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79" s="2">
        <f>Games[[#This Row],[DaysOff]]-Games[[#This Row],[OppDaysOff]]</f>
        <v>0</v>
      </c>
      <c r="L79" s="2">
        <f>Games[[#This Row],[OppDaysOff]]-Games[[#This Row],[DaysOff]]</f>
        <v>0</v>
      </c>
      <c r="M79" s="1">
        <f>MAX(-16, MIN(16, Games[[#This Row],[RestDiff]]*8))</f>
        <v>0</v>
      </c>
      <c r="N79" s="1">
        <f>MAX(-16, MIN(16, Games[[#This Row],[OppRestDiff]]*8))</f>
        <v>0</v>
      </c>
      <c r="O79" s="4" cm="1">
        <f t="array" ref="O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1599.9489419411591</v>
      </c>
      <c r="P79" s="4" cm="1">
        <f t="array" ref="P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1598.2918870568417</v>
      </c>
      <c r="Q79" s="4">
        <f>1/(1+10^(((Games[[#This Row],[OppPreGmRate]]+IF(Games[[#This Row],[HomeAway]]="A",HCA,0)+Games[[#This Row],[OppRestAdj]])-(Games[[#This Row],[PreGmRate]]+IF(Games[[#This Row],[HomeAway]]="H",HCA,0)+Games[[#This Row],[RestAdj]]))/400))</f>
        <v>0.62083211979911046</v>
      </c>
      <c r="R79" s="1">
        <v>74</v>
      </c>
      <c r="S79" s="1">
        <v>67</v>
      </c>
      <c r="T79" s="1">
        <v>0</v>
      </c>
      <c r="U79" s="1">
        <f>Games[[#This Row],[PointsFor]]-Games[[#This Row],[PointsAgainst]]</f>
        <v>7</v>
      </c>
      <c r="V79" s="1">
        <f>IF(Games[[#This Row],[MOV]]&gt;0,1,IF(Games[[#This Row],[MOV]]=0,0.5,0))</f>
        <v>1</v>
      </c>
      <c r="W79" s="4">
        <f>((ABS(Games[[#This Row],[MOV]])+5)^0.6)/(12+0.01*(ABS(Games[[#This Row],[PreGmRate]]-Games[[#This Row],[OppPreGmRate]])))*IF(Games[[#This Row],[OT]]=1,0.9,1)</f>
        <v>0.36959680399607853</v>
      </c>
      <c r="X79" s="7" cm="1">
        <f t="array" ref="X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79" s="9">
        <f>MAX(kmin, kmax - 0.15 * MIN(Games[[#This Row],[GamesPlayed]], 82))</f>
        <v>74.650000000000006</v>
      </c>
      <c r="Z79" s="4">
        <f>Games[[#This Row],[K]]*Games[[#This Row],[POMult]]</f>
        <v>74.650000000000006</v>
      </c>
      <c r="AA79" s="4">
        <f>(Games[[#This Row],[Keff]]*Games[[#This Row],[MOVMult]])*(Games[[#This Row],[Result]]-Games[[#This Row],[ExpectedWin%]])</f>
        <v>10.461394019671181</v>
      </c>
      <c r="AB79" s="4">
        <f>Games[[#This Row],[PreGmRate]]+Games[[#This Row],[RatingChange]]</f>
        <v>1610.4103359608303</v>
      </c>
      <c r="AC79" s="2">
        <f>IF(Games[[#This Row],[Type]]="R",IF(Games[[#This Row],[Result]]&gt;0.5,1,0),0)</f>
        <v>1</v>
      </c>
      <c r="AD79" s="2">
        <f>IF(Games[[#This Row],[Type]]="R",IF(Games[[#This Row],[Result]]&lt;0.5,1,0),0)</f>
        <v>0</v>
      </c>
      <c r="AE79" s="2">
        <f>IF(AND(Games[[#This Row],[Type]]="P",Games[[#This Row],[Round]]=1),IF(Games[[#This Row],[Result]]&gt;0.5,1,0),0)</f>
        <v>0</v>
      </c>
      <c r="AF79" s="2">
        <f>IF(AND(Games[[#This Row],[Type]]="P",Games[[#This Row],[Round]]=1),IF(Games[[#This Row],[Result]]&lt;0.5,1,0),0)</f>
        <v>0</v>
      </c>
      <c r="AG79" s="2">
        <f>IF(AND(Games[[#This Row],[Type]]="P",Games[[#This Row],[Round]]=2),IF(Games[[#This Row],[Result]]&gt;0.5,1,0),0)</f>
        <v>0</v>
      </c>
      <c r="AH79" s="2">
        <f>IF(AND(Games[[#This Row],[Type]]="P",Games[[#This Row],[Round]]=2),IF(Games[[#This Row],[Result]]&lt;0.5,1,0),0)</f>
        <v>0</v>
      </c>
      <c r="AI79" s="2">
        <f>IF(AND(Games[[#This Row],[Type]]="P",Games[[#This Row],[Round]]=3),IF(Games[[#This Row],[Result]]&gt;0.5,1,0),0)</f>
        <v>0</v>
      </c>
      <c r="AJ79" s="2">
        <f>IF(AND(Games[[#This Row],[Type]]="P",Games[[#This Row],[Round]]=3),IF(Games[[#This Row],[Result]]&lt;0.5,1,0),0)</f>
        <v>0</v>
      </c>
      <c r="AK79" s="2">
        <f>IF(AND(Games[[#This Row],[Type]]="P",Games[[#This Row],[Round]]=4),IF(Games[[#This Row],[Result]]&gt;0.5,1,0),0)</f>
        <v>0</v>
      </c>
      <c r="AL79" s="2">
        <f>IF(AND(Games[[#This Row],[Type]]="P",Games[[#This Row],[Round]]=4),IF(Games[[#This Row],[Result]]&lt;0.5,1,0),0)</f>
        <v>0</v>
      </c>
    </row>
    <row r="80" spans="1:38" x14ac:dyDescent="0.35">
      <c r="A80" s="10">
        <v>44348</v>
      </c>
      <c r="B80" s="2">
        <v>2021</v>
      </c>
      <c r="C80" s="2">
        <f>COUNTIFS(Games[Team],Games[[#This Row],[Team]],Games[Season],Games[[#This Row],[Season]],Games[Date],"&lt;=" &amp; Games[[#This Row],[Date]])</f>
        <v>5</v>
      </c>
      <c r="D80" s="2" t="s">
        <v>79</v>
      </c>
      <c r="E80" s="2" t="s">
        <v>80</v>
      </c>
      <c r="F80" s="1" t="s">
        <v>63</v>
      </c>
      <c r="G80" s="1" t="s">
        <v>84</v>
      </c>
      <c r="H80" s="1" t="s">
        <v>81</v>
      </c>
      <c r="I80" s="2" cm="1">
        <f t="array" ref="I80">IFERROR(
    Games[[#This Row],[Date]]
    - LOOKUP(
        2,
        1/((Games[Team]=Games[[#This Row],[Team]]) * (Games[Date] &lt; Games[[#This Row],[Date]])),
        Games[Date]
    )
    - 1,
Games[[#This Row],[Date]]-$A$2)</f>
        <v>1</v>
      </c>
      <c r="J80" s="2" cm="1">
        <f t="array" ref="J8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80" s="2">
        <f>Games[[#This Row],[DaysOff]]-Games[[#This Row],[OppDaysOff]]</f>
        <v>-1</v>
      </c>
      <c r="L80" s="2">
        <f>Games[[#This Row],[OppDaysOff]]-Games[[#This Row],[DaysOff]]</f>
        <v>1</v>
      </c>
      <c r="M80" s="1">
        <f>MAX(-16, MIN(16, Games[[#This Row],[RestDiff]]*8))</f>
        <v>-8</v>
      </c>
      <c r="N80" s="1">
        <f>MAX(-16, MIN(16, Games[[#This Row],[OppRestDiff]]*8))</f>
        <v>8</v>
      </c>
      <c r="O80" s="4" cm="1">
        <f t="array" ref="O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1514.4120982097986</v>
      </c>
      <c r="P80" s="4" cm="1">
        <f t="array" ref="P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1444.9155310433132</v>
      </c>
      <c r="Q80" s="4">
        <f>1/(1+10^(((Games[[#This Row],[OppPreGmRate]]+IF(Games[[#This Row],[HomeAway]]="A",HCA,0)+Games[[#This Row],[OppRestAdj]])-(Games[[#This Row],[PreGmRate]]+IF(Games[[#This Row],[HomeAway]]="H",HCA,0)+Games[[#This Row],[RestAdj]]))/400))</f>
        <v>0.45621447510706942</v>
      </c>
      <c r="R80" s="1">
        <v>69</v>
      </c>
      <c r="S80" s="1">
        <v>79</v>
      </c>
      <c r="T80" s="1">
        <v>0</v>
      </c>
      <c r="U80" s="1">
        <f>Games[[#This Row],[PointsFor]]-Games[[#This Row],[PointsAgainst]]</f>
        <v>-10</v>
      </c>
      <c r="V80" s="1">
        <f>IF(Games[[#This Row],[MOV]]&gt;0,1,IF(Games[[#This Row],[MOV]]=0,0.5,0))</f>
        <v>0</v>
      </c>
      <c r="W80" s="4">
        <f>((ABS(Games[[#This Row],[MOV]])+5)^0.6)/(12+0.01*(ABS(Games[[#This Row],[PreGmRate]]-Games[[#This Row],[OppPreGmRate]])))*IF(Games[[#This Row],[OT]]=1,0.9,1)</f>
        <v>0.39996613801961722</v>
      </c>
      <c r="X80" s="7" cm="1">
        <f t="array" ref="X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0" s="9">
        <f>MAX(kmin, kmax - 0.15 * MIN(Games[[#This Row],[GamesPlayed]], 82))</f>
        <v>75.25</v>
      </c>
      <c r="Z80" s="4">
        <f>Games[[#This Row],[K]]*Games[[#This Row],[POMult]]</f>
        <v>75.25</v>
      </c>
      <c r="AA80" s="4">
        <f>(Games[[#This Row],[Keff]]*Games[[#This Row],[MOVMult]])*(Games[[#This Row],[Result]]-Games[[#This Row],[ExpectedWin%]])</f>
        <v>-13.730893214220906</v>
      </c>
      <c r="AB80" s="4">
        <f>Games[[#This Row],[PreGmRate]]+Games[[#This Row],[RatingChange]]</f>
        <v>1500.6812049955777</v>
      </c>
      <c r="AC80" s="2">
        <f>IF(Games[[#This Row],[Type]]="R",IF(Games[[#This Row],[Result]]&gt;0.5,1,0),0)</f>
        <v>0</v>
      </c>
      <c r="AD80" s="2">
        <f>IF(Games[[#This Row],[Type]]="R",IF(Games[[#This Row],[Result]]&lt;0.5,1,0),0)</f>
        <v>1</v>
      </c>
      <c r="AE80" s="2">
        <f>IF(AND(Games[[#This Row],[Type]]="P",Games[[#This Row],[Round]]=1),IF(Games[[#This Row],[Result]]&gt;0.5,1,0),0)</f>
        <v>0</v>
      </c>
      <c r="AF80" s="2">
        <f>IF(AND(Games[[#This Row],[Type]]="P",Games[[#This Row],[Round]]=1),IF(Games[[#This Row],[Result]]&lt;0.5,1,0),0)</f>
        <v>0</v>
      </c>
      <c r="AG80" s="2">
        <f>IF(AND(Games[[#This Row],[Type]]="P",Games[[#This Row],[Round]]=2),IF(Games[[#This Row],[Result]]&gt;0.5,1,0),0)</f>
        <v>0</v>
      </c>
      <c r="AH80" s="2">
        <f>IF(AND(Games[[#This Row],[Type]]="P",Games[[#This Row],[Round]]=2),IF(Games[[#This Row],[Result]]&lt;0.5,1,0),0)</f>
        <v>0</v>
      </c>
      <c r="AI80" s="2">
        <f>IF(AND(Games[[#This Row],[Type]]="P",Games[[#This Row],[Round]]=3),IF(Games[[#This Row],[Result]]&gt;0.5,1,0),0)</f>
        <v>0</v>
      </c>
      <c r="AJ80" s="2">
        <f>IF(AND(Games[[#This Row],[Type]]="P",Games[[#This Row],[Round]]=3),IF(Games[[#This Row],[Result]]&lt;0.5,1,0),0)</f>
        <v>0</v>
      </c>
      <c r="AK80" s="2">
        <f>IF(AND(Games[[#This Row],[Type]]="P",Games[[#This Row],[Round]]=4),IF(Games[[#This Row],[Result]]&gt;0.5,1,0),0)</f>
        <v>0</v>
      </c>
      <c r="AL80" s="2">
        <f>IF(AND(Games[[#This Row],[Type]]="P",Games[[#This Row],[Round]]=4),IF(Games[[#This Row],[Result]]&lt;0.5,1,0),0)</f>
        <v>0</v>
      </c>
    </row>
    <row r="81" spans="1:38" x14ac:dyDescent="0.35">
      <c r="A81" s="10">
        <v>44348</v>
      </c>
      <c r="B81" s="2">
        <v>2021</v>
      </c>
      <c r="C81" s="2">
        <f>COUNTIFS(Games[Team],Games[[#This Row],[Team]],Games[Season],Games[[#This Row],[Season]],Games[Date],"&lt;=" &amp; Games[[#This Row],[Date]])</f>
        <v>6</v>
      </c>
      <c r="D81" s="2" t="s">
        <v>79</v>
      </c>
      <c r="E81" s="2" t="s">
        <v>80</v>
      </c>
      <c r="F81" s="1" t="s">
        <v>84</v>
      </c>
      <c r="G81" s="1" t="s">
        <v>63</v>
      </c>
      <c r="H81" s="1" t="s">
        <v>82</v>
      </c>
      <c r="I81" s="2" cm="1">
        <f t="array" ref="I81">IFERROR(
    Games[[#This Row],[Date]]
    - LOOKUP(
        2,
        1/((Games[Team]=Games[[#This Row],[Team]]) * (Games[Date] &lt; Games[[#This Row],[Date]])),
        Games[Date]
    )
    - 1,
Games[[#This Row],[Date]]-$A$2)</f>
        <v>2</v>
      </c>
      <c r="J81" s="2" cm="1">
        <f t="array" ref="J8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1" s="2">
        <f>Games[[#This Row],[DaysOff]]-Games[[#This Row],[OppDaysOff]]</f>
        <v>1</v>
      </c>
      <c r="L81" s="2">
        <f>Games[[#This Row],[OppDaysOff]]-Games[[#This Row],[DaysOff]]</f>
        <v>-1</v>
      </c>
      <c r="M81" s="1">
        <f>MAX(-16, MIN(16, Games[[#This Row],[RestDiff]]*8))</f>
        <v>8</v>
      </c>
      <c r="N81" s="1">
        <f>MAX(-16, MIN(16, Games[[#This Row],[OppRestDiff]]*8))</f>
        <v>-8</v>
      </c>
      <c r="O81" s="4" cm="1">
        <f t="array" ref="O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1444.9155310433132</v>
      </c>
      <c r="P81" s="4" cm="1">
        <f t="array" ref="P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1514.4120982097986</v>
      </c>
      <c r="Q81" s="4">
        <f>1/(1+10^(((Games[[#This Row],[OppPreGmRate]]+IF(Games[[#This Row],[HomeAway]]="A",HCA,0)+Games[[#This Row],[OppRestAdj]])-(Games[[#This Row],[PreGmRate]]+IF(Games[[#This Row],[HomeAway]]="H",HCA,0)+Games[[#This Row],[RestAdj]]))/400))</f>
        <v>0.54378552489293053</v>
      </c>
      <c r="R81" s="1">
        <v>79</v>
      </c>
      <c r="S81" s="1">
        <v>69</v>
      </c>
      <c r="T81" s="1">
        <v>0</v>
      </c>
      <c r="U81" s="1">
        <f>Games[[#This Row],[PointsFor]]-Games[[#This Row],[PointsAgainst]]</f>
        <v>10</v>
      </c>
      <c r="V81" s="1">
        <f>IF(Games[[#This Row],[MOV]]&gt;0,1,IF(Games[[#This Row],[MOV]]=0,0.5,0))</f>
        <v>1</v>
      </c>
      <c r="W81" s="4">
        <f>((ABS(Games[[#This Row],[MOV]])+5)^0.6)/(12+0.01*(ABS(Games[[#This Row],[PreGmRate]]-Games[[#This Row],[OppPreGmRate]])))*IF(Games[[#This Row],[OT]]=1,0.9,1)</f>
        <v>0.39996613801961722</v>
      </c>
      <c r="X81" s="7" cm="1">
        <f t="array" ref="X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1" s="9">
        <f>MAX(kmin, kmax - 0.15 * MIN(Games[[#This Row],[GamesPlayed]], 82))</f>
        <v>75.099999999999994</v>
      </c>
      <c r="Z81" s="4">
        <f>Games[[#This Row],[K]]*Games[[#This Row],[POMult]]</f>
        <v>75.099999999999994</v>
      </c>
      <c r="AA81" s="4">
        <f>(Games[[#This Row],[Keff]]*Games[[#This Row],[MOVMult]])*(Games[[#This Row],[Result]]-Games[[#This Row],[ExpectedWin%]])</f>
        <v>13.703522662963325</v>
      </c>
      <c r="AB81" s="4">
        <f>Games[[#This Row],[PreGmRate]]+Games[[#This Row],[RatingChange]]</f>
        <v>1458.6190537062764</v>
      </c>
      <c r="AC81" s="2">
        <f>IF(Games[[#This Row],[Type]]="R",IF(Games[[#This Row],[Result]]&gt;0.5,1,0),0)</f>
        <v>1</v>
      </c>
      <c r="AD81" s="2">
        <f>IF(Games[[#This Row],[Type]]="R",IF(Games[[#This Row],[Result]]&lt;0.5,1,0),0)</f>
        <v>0</v>
      </c>
      <c r="AE81" s="2">
        <f>IF(AND(Games[[#This Row],[Type]]="P",Games[[#This Row],[Round]]=1),IF(Games[[#This Row],[Result]]&gt;0.5,1,0),0)</f>
        <v>0</v>
      </c>
      <c r="AF81" s="2">
        <f>IF(AND(Games[[#This Row],[Type]]="P",Games[[#This Row],[Round]]=1),IF(Games[[#This Row],[Result]]&lt;0.5,1,0),0)</f>
        <v>0</v>
      </c>
      <c r="AG81" s="2">
        <f>IF(AND(Games[[#This Row],[Type]]="P",Games[[#This Row],[Round]]=2),IF(Games[[#This Row],[Result]]&gt;0.5,1,0),0)</f>
        <v>0</v>
      </c>
      <c r="AH81" s="2">
        <f>IF(AND(Games[[#This Row],[Type]]="P",Games[[#This Row],[Round]]=2),IF(Games[[#This Row],[Result]]&lt;0.5,1,0),0)</f>
        <v>0</v>
      </c>
      <c r="AI81" s="2">
        <f>IF(AND(Games[[#This Row],[Type]]="P",Games[[#This Row],[Round]]=3),IF(Games[[#This Row],[Result]]&gt;0.5,1,0),0)</f>
        <v>0</v>
      </c>
      <c r="AJ81" s="2">
        <f>IF(AND(Games[[#This Row],[Type]]="P",Games[[#This Row],[Round]]=3),IF(Games[[#This Row],[Result]]&lt;0.5,1,0),0)</f>
        <v>0</v>
      </c>
      <c r="AK81" s="2">
        <f>IF(AND(Games[[#This Row],[Type]]="P",Games[[#This Row],[Round]]=4),IF(Games[[#This Row],[Result]]&gt;0.5,1,0),0)</f>
        <v>0</v>
      </c>
      <c r="AL81" s="2">
        <f>IF(AND(Games[[#This Row],[Type]]="P",Games[[#This Row],[Round]]=4),IF(Games[[#This Row],[Result]]&lt;0.5,1,0),0)</f>
        <v>0</v>
      </c>
    </row>
    <row r="82" spans="1:38" x14ac:dyDescent="0.35">
      <c r="A82" s="10">
        <v>44348</v>
      </c>
      <c r="B82" s="2">
        <v>2021</v>
      </c>
      <c r="C82" s="2">
        <f>COUNTIFS(Games[Team],Games[[#This Row],[Team]],Games[Season],Games[[#This Row],[Season]],Games[Date],"&lt;=" &amp; Games[[#This Row],[Date]])</f>
        <v>9</v>
      </c>
      <c r="D82" s="2" t="s">
        <v>79</v>
      </c>
      <c r="E82" s="2" t="s">
        <v>80</v>
      </c>
      <c r="F82" s="1" t="s">
        <v>69</v>
      </c>
      <c r="G82" s="1" t="s">
        <v>71</v>
      </c>
      <c r="H82" s="1" t="s">
        <v>81</v>
      </c>
      <c r="I82" s="2" cm="1">
        <f t="array" ref="I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82" s="2" cm="1">
        <f t="array" ref="J8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82" s="2">
        <f>Games[[#This Row],[DaysOff]]-Games[[#This Row],[OppDaysOff]]</f>
        <v>-2</v>
      </c>
      <c r="L82" s="2">
        <f>Games[[#This Row],[OppDaysOff]]-Games[[#This Row],[DaysOff]]</f>
        <v>2</v>
      </c>
      <c r="M82" s="1">
        <f>MAX(-16, MIN(16, Games[[#This Row],[RestDiff]]*8))</f>
        <v>-16</v>
      </c>
      <c r="N82" s="1">
        <f>MAX(-16, MIN(16, Games[[#This Row],[OppRestDiff]]*8))</f>
        <v>16</v>
      </c>
      <c r="O82" s="4" cm="1">
        <f t="array" ref="O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1364.8927561394269</v>
      </c>
      <c r="P82" s="4" cm="1">
        <f t="array" ref="P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1647.8994543304416</v>
      </c>
      <c r="Q82" s="4">
        <f>1/(1+10^(((Games[[#This Row],[OppPreGmRate]]+IF(Games[[#This Row],[HomeAway]]="A",HCA,0)+Games[[#This Row],[OppRestAdj]])-(Games[[#This Row],[PreGmRate]]+IF(Games[[#This Row],[HomeAway]]="H",HCA,0)+Games[[#This Row],[RestAdj]]))/400))</f>
        <v>9.1382751698319206E-2</v>
      </c>
      <c r="R82" s="1">
        <v>73</v>
      </c>
      <c r="S82" s="1">
        <v>88</v>
      </c>
      <c r="T82" s="1">
        <v>0</v>
      </c>
      <c r="U82" s="1">
        <f>Games[[#This Row],[PointsFor]]-Games[[#This Row],[PointsAgainst]]</f>
        <v>-15</v>
      </c>
      <c r="V82" s="1">
        <f>IF(Games[[#This Row],[MOV]]&gt;0,1,IF(Games[[#This Row],[MOV]]=0,0.5,0))</f>
        <v>0</v>
      </c>
      <c r="W82" s="4">
        <f>((ABS(Games[[#This Row],[MOV]])+5)^0.6)/(12+0.01*(ABS(Games[[#This Row],[PreGmRate]]-Games[[#This Row],[OppPreGmRate]])))*IF(Games[[#This Row],[OT]]=1,0.9,1)</f>
        <v>0.40688800285971105</v>
      </c>
      <c r="X82" s="7" cm="1">
        <f t="array" ref="X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2" s="9">
        <f>MAX(kmin, kmax - 0.15 * MIN(Games[[#This Row],[GamesPlayed]], 82))</f>
        <v>74.650000000000006</v>
      </c>
      <c r="Z82" s="4">
        <f>Games[[#This Row],[K]]*Games[[#This Row],[POMult]]</f>
        <v>74.650000000000006</v>
      </c>
      <c r="AA82" s="4">
        <f>(Games[[#This Row],[Keff]]*Games[[#This Row],[MOVMult]])*(Games[[#This Row],[Result]]-Games[[#This Row],[ExpectedWin%]])</f>
        <v>-2.7756770092095242</v>
      </c>
      <c r="AB82" s="4">
        <f>Games[[#This Row],[PreGmRate]]+Games[[#This Row],[RatingChange]]</f>
        <v>1362.1170791302172</v>
      </c>
      <c r="AC82" s="2">
        <f>IF(Games[[#This Row],[Type]]="R",IF(Games[[#This Row],[Result]]&gt;0.5,1,0),0)</f>
        <v>0</v>
      </c>
      <c r="AD82" s="2">
        <f>IF(Games[[#This Row],[Type]]="R",IF(Games[[#This Row],[Result]]&lt;0.5,1,0),0)</f>
        <v>1</v>
      </c>
      <c r="AE82" s="2">
        <f>IF(AND(Games[[#This Row],[Type]]="P",Games[[#This Row],[Round]]=1),IF(Games[[#This Row],[Result]]&gt;0.5,1,0),0)</f>
        <v>0</v>
      </c>
      <c r="AF82" s="2">
        <f>IF(AND(Games[[#This Row],[Type]]="P",Games[[#This Row],[Round]]=1),IF(Games[[#This Row],[Result]]&lt;0.5,1,0),0)</f>
        <v>0</v>
      </c>
      <c r="AG82" s="2">
        <f>IF(AND(Games[[#This Row],[Type]]="P",Games[[#This Row],[Round]]=2),IF(Games[[#This Row],[Result]]&gt;0.5,1,0),0)</f>
        <v>0</v>
      </c>
      <c r="AH82" s="2">
        <f>IF(AND(Games[[#This Row],[Type]]="P",Games[[#This Row],[Round]]=2),IF(Games[[#This Row],[Result]]&lt;0.5,1,0),0)</f>
        <v>0</v>
      </c>
      <c r="AI82" s="2">
        <f>IF(AND(Games[[#This Row],[Type]]="P",Games[[#This Row],[Round]]=3),IF(Games[[#This Row],[Result]]&gt;0.5,1,0),0)</f>
        <v>0</v>
      </c>
      <c r="AJ82" s="2">
        <f>IF(AND(Games[[#This Row],[Type]]="P",Games[[#This Row],[Round]]=3),IF(Games[[#This Row],[Result]]&lt;0.5,1,0),0)</f>
        <v>0</v>
      </c>
      <c r="AK82" s="2">
        <f>IF(AND(Games[[#This Row],[Type]]="P",Games[[#This Row],[Round]]=4),IF(Games[[#This Row],[Result]]&gt;0.5,1,0),0)</f>
        <v>0</v>
      </c>
      <c r="AL82" s="2">
        <f>IF(AND(Games[[#This Row],[Type]]="P",Games[[#This Row],[Round]]=4),IF(Games[[#This Row],[Result]]&lt;0.5,1,0),0)</f>
        <v>0</v>
      </c>
    </row>
    <row r="83" spans="1:38" x14ac:dyDescent="0.35">
      <c r="A83" s="10">
        <v>44348</v>
      </c>
      <c r="B83" s="2">
        <v>2021</v>
      </c>
      <c r="C83" s="2">
        <f>COUNTIFS(Games[Team],Games[[#This Row],[Team]],Games[Season],Games[[#This Row],[Season]],Games[Date],"&lt;=" &amp; Games[[#This Row],[Date]])</f>
        <v>7</v>
      </c>
      <c r="D83" s="2" t="s">
        <v>79</v>
      </c>
      <c r="E83" s="2" t="s">
        <v>80</v>
      </c>
      <c r="F83" s="1" t="s">
        <v>71</v>
      </c>
      <c r="G83" s="1" t="s">
        <v>69</v>
      </c>
      <c r="H83" s="1" t="s">
        <v>82</v>
      </c>
      <c r="I83" s="2" cm="1">
        <f t="array" ref="I83">IFERROR(
    Games[[#This Row],[Date]]
    - LOOKUP(
        2,
        1/((Games[Team]=Games[[#This Row],[Team]]) * (Games[Date] &lt; Games[[#This Row],[Date]])),
        Games[Date]
    )
    - 1,
Games[[#This Row],[Date]]-$A$2)</f>
        <v>3</v>
      </c>
      <c r="J83" s="2" cm="1">
        <f t="array" ref="J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3" s="2">
        <f>Games[[#This Row],[DaysOff]]-Games[[#This Row],[OppDaysOff]]</f>
        <v>2</v>
      </c>
      <c r="L83" s="2">
        <f>Games[[#This Row],[OppDaysOff]]-Games[[#This Row],[DaysOff]]</f>
        <v>-2</v>
      </c>
      <c r="M83" s="1">
        <f>MAX(-16, MIN(16, Games[[#This Row],[RestDiff]]*8))</f>
        <v>16</v>
      </c>
      <c r="N83" s="1">
        <f>MAX(-16, MIN(16, Games[[#This Row],[OppRestDiff]]*8))</f>
        <v>-16</v>
      </c>
      <c r="O83" s="4" cm="1">
        <f t="array" ref="O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1647.8994543304416</v>
      </c>
      <c r="P83" s="4" cm="1">
        <f t="array" ref="P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1364.8927561394269</v>
      </c>
      <c r="Q83" s="4">
        <f>1/(1+10^(((Games[[#This Row],[OppPreGmRate]]+IF(Games[[#This Row],[HomeAway]]="A",HCA,0)+Games[[#This Row],[OppRestAdj]])-(Games[[#This Row],[PreGmRate]]+IF(Games[[#This Row],[HomeAway]]="H",HCA,0)+Games[[#This Row],[RestAdj]]))/400))</f>
        <v>0.90861724830168078</v>
      </c>
      <c r="R83" s="1">
        <v>88</v>
      </c>
      <c r="S83" s="1">
        <v>73</v>
      </c>
      <c r="T83" s="1">
        <v>0</v>
      </c>
      <c r="U83" s="1">
        <f>Games[[#This Row],[PointsFor]]-Games[[#This Row],[PointsAgainst]]</f>
        <v>15</v>
      </c>
      <c r="V83" s="1">
        <f>IF(Games[[#This Row],[MOV]]&gt;0,1,IF(Games[[#This Row],[MOV]]=0,0.5,0))</f>
        <v>1</v>
      </c>
      <c r="W83" s="4">
        <f>((ABS(Games[[#This Row],[MOV]])+5)^0.6)/(12+0.01*(ABS(Games[[#This Row],[PreGmRate]]-Games[[#This Row],[OppPreGmRate]])))*IF(Games[[#This Row],[OT]]=1,0.9,1)</f>
        <v>0.40688800285971105</v>
      </c>
      <c r="X83" s="7" cm="1">
        <f t="array" ref="X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3" s="9">
        <f>MAX(kmin, kmax - 0.15 * MIN(Games[[#This Row],[GamesPlayed]], 82))</f>
        <v>74.95</v>
      </c>
      <c r="Z83" s="4">
        <f>Games[[#This Row],[K]]*Games[[#This Row],[POMult]]</f>
        <v>74.95</v>
      </c>
      <c r="AA83" s="4">
        <f>(Games[[#This Row],[Keff]]*Games[[#This Row],[MOVMult]])*(Games[[#This Row],[Result]]-Games[[#This Row],[ExpectedWin%]])</f>
        <v>2.7868317728098306</v>
      </c>
      <c r="AB83" s="4">
        <f>Games[[#This Row],[PreGmRate]]+Games[[#This Row],[RatingChange]]</f>
        <v>1650.6862861032514</v>
      </c>
      <c r="AC83" s="2">
        <f>IF(Games[[#This Row],[Type]]="R",IF(Games[[#This Row],[Result]]&gt;0.5,1,0),0)</f>
        <v>1</v>
      </c>
      <c r="AD83" s="2">
        <f>IF(Games[[#This Row],[Type]]="R",IF(Games[[#This Row],[Result]]&lt;0.5,1,0),0)</f>
        <v>0</v>
      </c>
      <c r="AE83" s="2">
        <f>IF(AND(Games[[#This Row],[Type]]="P",Games[[#This Row],[Round]]=1),IF(Games[[#This Row],[Result]]&gt;0.5,1,0),0)</f>
        <v>0</v>
      </c>
      <c r="AF83" s="2">
        <f>IF(AND(Games[[#This Row],[Type]]="P",Games[[#This Row],[Round]]=1),IF(Games[[#This Row],[Result]]&lt;0.5,1,0),0)</f>
        <v>0</v>
      </c>
      <c r="AG83" s="2">
        <f>IF(AND(Games[[#This Row],[Type]]="P",Games[[#This Row],[Round]]=2),IF(Games[[#This Row],[Result]]&gt;0.5,1,0),0)</f>
        <v>0</v>
      </c>
      <c r="AH83" s="2">
        <f>IF(AND(Games[[#This Row],[Type]]="P",Games[[#This Row],[Round]]=2),IF(Games[[#This Row],[Result]]&lt;0.5,1,0),0)</f>
        <v>0</v>
      </c>
      <c r="AI83" s="2">
        <f>IF(AND(Games[[#This Row],[Type]]="P",Games[[#This Row],[Round]]=3),IF(Games[[#This Row],[Result]]&gt;0.5,1,0),0)</f>
        <v>0</v>
      </c>
      <c r="AJ83" s="2">
        <f>IF(AND(Games[[#This Row],[Type]]="P",Games[[#This Row],[Round]]=3),IF(Games[[#This Row],[Result]]&lt;0.5,1,0),0)</f>
        <v>0</v>
      </c>
      <c r="AK83" s="2">
        <f>IF(AND(Games[[#This Row],[Type]]="P",Games[[#This Row],[Round]]=4),IF(Games[[#This Row],[Result]]&gt;0.5,1,0),0)</f>
        <v>0</v>
      </c>
      <c r="AL83" s="2">
        <f>IF(AND(Games[[#This Row],[Type]]="P",Games[[#This Row],[Round]]=4),IF(Games[[#This Row],[Result]]&lt;0.5,1,0),0)</f>
        <v>0</v>
      </c>
    </row>
    <row r="84" spans="1:38" x14ac:dyDescent="0.35">
      <c r="A84" s="10">
        <v>44350</v>
      </c>
      <c r="B84" s="2">
        <v>2021</v>
      </c>
      <c r="C84" s="2">
        <f>COUNTIFS(Games[Team],Games[[#This Row],[Team]],Games[Season],Games[[#This Row],[Season]],Games[Date],"&lt;=" &amp; Games[[#This Row],[Date]])</f>
        <v>10</v>
      </c>
      <c r="D84" s="2" t="s">
        <v>79</v>
      </c>
      <c r="E84" s="2" t="s">
        <v>80</v>
      </c>
      <c r="F84" s="1" t="s">
        <v>69</v>
      </c>
      <c r="G84" s="1" t="s">
        <v>63</v>
      </c>
      <c r="H84" s="1" t="s">
        <v>81</v>
      </c>
      <c r="I84" s="2" cm="1">
        <f t="array" ref="I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84" s="2" cm="1">
        <f t="array" ref="J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4" s="2">
        <f>Games[[#This Row],[DaysOff]]-Games[[#This Row],[OppDaysOff]]</f>
        <v>0</v>
      </c>
      <c r="L84" s="2">
        <f>Games[[#This Row],[OppDaysOff]]-Games[[#This Row],[DaysOff]]</f>
        <v>0</v>
      </c>
      <c r="M84" s="1">
        <f>MAX(-16, MIN(16, Games[[#This Row],[RestDiff]]*8))</f>
        <v>0</v>
      </c>
      <c r="N84" s="1">
        <f>MAX(-16, MIN(16, Games[[#This Row],[OppRestDiff]]*8))</f>
        <v>0</v>
      </c>
      <c r="O84" s="4" cm="1">
        <f t="array" ref="O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1362.1170791302172</v>
      </c>
      <c r="P84" s="4" cm="1">
        <f t="array" ref="P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1500.6812049955777</v>
      </c>
      <c r="Q84" s="4">
        <f>1/(1+10^(((Games[[#This Row],[OppPreGmRate]]+IF(Games[[#This Row],[HomeAway]]="A",HCA,0)+Games[[#This Row],[OppRestAdj]])-(Games[[#This Row],[PreGmRate]]+IF(Games[[#This Row],[HomeAway]]="H",HCA,0)+Games[[#This Row],[RestAdj]]))/400))</f>
        <v>0.21734907184727553</v>
      </c>
      <c r="R84" s="1">
        <v>63</v>
      </c>
      <c r="S84" s="1">
        <v>98</v>
      </c>
      <c r="T84" s="1">
        <v>0</v>
      </c>
      <c r="U84" s="1">
        <f>Games[[#This Row],[PointsFor]]-Games[[#This Row],[PointsAgainst]]</f>
        <v>-35</v>
      </c>
      <c r="V84" s="1">
        <f>IF(Games[[#This Row],[MOV]]&gt;0,1,IF(Games[[#This Row],[MOV]]=0,0.5,0))</f>
        <v>0</v>
      </c>
      <c r="W84" s="4">
        <f>((ABS(Games[[#This Row],[MOV]])+5)^0.6)/(12+0.01*(ABS(Games[[#This Row],[PreGmRate]]-Games[[#This Row],[OppPreGmRate]])))*IF(Games[[#This Row],[OT]]=1,0.9,1)</f>
        <v>0.68327701765006699</v>
      </c>
      <c r="X84" s="7" cm="1">
        <f t="array" ref="X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4" s="9">
        <f>MAX(kmin, kmax - 0.15 * MIN(Games[[#This Row],[GamesPlayed]], 82))</f>
        <v>74.5</v>
      </c>
      <c r="Z84" s="4">
        <f>Games[[#This Row],[K]]*Games[[#This Row],[POMult]]</f>
        <v>74.5</v>
      </c>
      <c r="AA84" s="4">
        <f>(Games[[#This Row],[Keff]]*Games[[#This Row],[MOVMult]])*(Games[[#This Row],[Result]]-Games[[#This Row],[ExpectedWin%]])</f>
        <v>-11.063967107260833</v>
      </c>
      <c r="AB84" s="4">
        <f>Games[[#This Row],[PreGmRate]]+Games[[#This Row],[RatingChange]]</f>
        <v>1351.0531120229564</v>
      </c>
      <c r="AC84" s="2">
        <f>IF(Games[[#This Row],[Type]]="R",IF(Games[[#This Row],[Result]]&gt;0.5,1,0),0)</f>
        <v>0</v>
      </c>
      <c r="AD84" s="2">
        <f>IF(Games[[#This Row],[Type]]="R",IF(Games[[#This Row],[Result]]&lt;0.5,1,0),0)</f>
        <v>1</v>
      </c>
      <c r="AE84" s="2">
        <f>IF(AND(Games[[#This Row],[Type]]="P",Games[[#This Row],[Round]]=1),IF(Games[[#This Row],[Result]]&gt;0.5,1,0),0)</f>
        <v>0</v>
      </c>
      <c r="AF84" s="2">
        <f>IF(AND(Games[[#This Row],[Type]]="P",Games[[#This Row],[Round]]=1),IF(Games[[#This Row],[Result]]&lt;0.5,1,0),0)</f>
        <v>0</v>
      </c>
      <c r="AG84" s="2">
        <f>IF(AND(Games[[#This Row],[Type]]="P",Games[[#This Row],[Round]]=2),IF(Games[[#This Row],[Result]]&gt;0.5,1,0),0)</f>
        <v>0</v>
      </c>
      <c r="AH84" s="2">
        <f>IF(AND(Games[[#This Row],[Type]]="P",Games[[#This Row],[Round]]=2),IF(Games[[#This Row],[Result]]&lt;0.5,1,0),0)</f>
        <v>0</v>
      </c>
      <c r="AI84" s="2">
        <f>IF(AND(Games[[#This Row],[Type]]="P",Games[[#This Row],[Round]]=3),IF(Games[[#This Row],[Result]]&gt;0.5,1,0),0)</f>
        <v>0</v>
      </c>
      <c r="AJ84" s="2">
        <f>IF(AND(Games[[#This Row],[Type]]="P",Games[[#This Row],[Round]]=3),IF(Games[[#This Row],[Result]]&lt;0.5,1,0),0)</f>
        <v>0</v>
      </c>
      <c r="AK84" s="2">
        <f>IF(AND(Games[[#This Row],[Type]]="P",Games[[#This Row],[Round]]=4),IF(Games[[#This Row],[Result]]&gt;0.5,1,0),0)</f>
        <v>0</v>
      </c>
      <c r="AL84" s="2">
        <f>IF(AND(Games[[#This Row],[Type]]="P",Games[[#This Row],[Round]]=4),IF(Games[[#This Row],[Result]]&lt;0.5,1,0),0)</f>
        <v>0</v>
      </c>
    </row>
    <row r="85" spans="1:38" x14ac:dyDescent="0.35">
      <c r="A85" s="10">
        <v>44350</v>
      </c>
      <c r="B85" s="2">
        <v>2021</v>
      </c>
      <c r="C85" s="2">
        <f>COUNTIFS(Games[Team],Games[[#This Row],[Team]],Games[Season],Games[[#This Row],[Season]],Games[Date],"&lt;=" &amp; Games[[#This Row],[Date]])</f>
        <v>6</v>
      </c>
      <c r="D85" s="2" t="s">
        <v>79</v>
      </c>
      <c r="E85" s="2" t="s">
        <v>80</v>
      </c>
      <c r="F85" s="1" t="s">
        <v>63</v>
      </c>
      <c r="G85" s="1" t="s">
        <v>69</v>
      </c>
      <c r="H85" s="1" t="s">
        <v>82</v>
      </c>
      <c r="I85" s="2" cm="1">
        <f t="array" ref="I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85" s="2" cm="1">
        <f t="array" ref="J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5" s="2">
        <f>Games[[#This Row],[DaysOff]]-Games[[#This Row],[OppDaysOff]]</f>
        <v>0</v>
      </c>
      <c r="L85" s="2">
        <f>Games[[#This Row],[OppDaysOff]]-Games[[#This Row],[DaysOff]]</f>
        <v>0</v>
      </c>
      <c r="M85" s="1">
        <f>MAX(-16, MIN(16, Games[[#This Row],[RestDiff]]*8))</f>
        <v>0</v>
      </c>
      <c r="N85" s="1">
        <f>MAX(-16, MIN(16, Games[[#This Row],[OppRestDiff]]*8))</f>
        <v>0</v>
      </c>
      <c r="O85" s="4" cm="1">
        <f t="array" ref="O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1500.6812049955777</v>
      </c>
      <c r="P85" s="4" cm="1">
        <f t="array" ref="P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1362.1170791302172</v>
      </c>
      <c r="Q85" s="4">
        <f>1/(1+10^(((Games[[#This Row],[OppPreGmRate]]+IF(Games[[#This Row],[HomeAway]]="A",HCA,0)+Games[[#This Row],[OppRestAdj]])-(Games[[#This Row],[PreGmRate]]+IF(Games[[#This Row],[HomeAway]]="H",HCA,0)+Games[[#This Row],[RestAdj]]))/400))</f>
        <v>0.78265092815272452</v>
      </c>
      <c r="R85" s="1">
        <v>98</v>
      </c>
      <c r="S85" s="1">
        <v>63</v>
      </c>
      <c r="T85" s="1">
        <v>0</v>
      </c>
      <c r="U85" s="1">
        <f>Games[[#This Row],[PointsFor]]-Games[[#This Row],[PointsAgainst]]</f>
        <v>35</v>
      </c>
      <c r="V85" s="1">
        <f>IF(Games[[#This Row],[MOV]]&gt;0,1,IF(Games[[#This Row],[MOV]]=0,0.5,0))</f>
        <v>1</v>
      </c>
      <c r="W85" s="4">
        <f>((ABS(Games[[#This Row],[MOV]])+5)^0.6)/(12+0.01*(ABS(Games[[#This Row],[PreGmRate]]-Games[[#This Row],[OppPreGmRate]])))*IF(Games[[#This Row],[OT]]=1,0.9,1)</f>
        <v>0.68327701765006699</v>
      </c>
      <c r="X85" s="7" cm="1">
        <f t="array" ref="X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5" s="9">
        <f>MAX(kmin, kmax - 0.15 * MIN(Games[[#This Row],[GamesPlayed]], 82))</f>
        <v>75.099999999999994</v>
      </c>
      <c r="Z85" s="4">
        <f>Games[[#This Row],[K]]*Games[[#This Row],[POMult]]</f>
        <v>75.099999999999994</v>
      </c>
      <c r="AA85" s="4">
        <f>(Games[[#This Row],[Keff]]*Games[[#This Row],[MOVMult]])*(Games[[#This Row],[Result]]-Games[[#This Row],[ExpectedWin%]])</f>
        <v>11.15307288262132</v>
      </c>
      <c r="AB85" s="4">
        <f>Games[[#This Row],[PreGmRate]]+Games[[#This Row],[RatingChange]]</f>
        <v>1511.8342778781989</v>
      </c>
      <c r="AC85" s="2">
        <f>IF(Games[[#This Row],[Type]]="R",IF(Games[[#This Row],[Result]]&gt;0.5,1,0),0)</f>
        <v>1</v>
      </c>
      <c r="AD85" s="2">
        <f>IF(Games[[#This Row],[Type]]="R",IF(Games[[#This Row],[Result]]&lt;0.5,1,0),0)</f>
        <v>0</v>
      </c>
      <c r="AE85" s="2">
        <f>IF(AND(Games[[#This Row],[Type]]="P",Games[[#This Row],[Round]]=1),IF(Games[[#This Row],[Result]]&gt;0.5,1,0),0)</f>
        <v>0</v>
      </c>
      <c r="AF85" s="2">
        <f>IF(AND(Games[[#This Row],[Type]]="P",Games[[#This Row],[Round]]=1),IF(Games[[#This Row],[Result]]&lt;0.5,1,0),0)</f>
        <v>0</v>
      </c>
      <c r="AG85" s="2">
        <f>IF(AND(Games[[#This Row],[Type]]="P",Games[[#This Row],[Round]]=2),IF(Games[[#This Row],[Result]]&gt;0.5,1,0),0)</f>
        <v>0</v>
      </c>
      <c r="AH85" s="2">
        <f>IF(AND(Games[[#This Row],[Type]]="P",Games[[#This Row],[Round]]=2),IF(Games[[#This Row],[Result]]&lt;0.5,1,0),0)</f>
        <v>0</v>
      </c>
      <c r="AI85" s="2">
        <f>IF(AND(Games[[#This Row],[Type]]="P",Games[[#This Row],[Round]]=3),IF(Games[[#This Row],[Result]]&gt;0.5,1,0),0)</f>
        <v>0</v>
      </c>
      <c r="AJ85" s="2">
        <f>IF(AND(Games[[#This Row],[Type]]="P",Games[[#This Row],[Round]]=3),IF(Games[[#This Row],[Result]]&lt;0.5,1,0),0)</f>
        <v>0</v>
      </c>
      <c r="AK85" s="2">
        <f>IF(AND(Games[[#This Row],[Type]]="P",Games[[#This Row],[Round]]=4),IF(Games[[#This Row],[Result]]&gt;0.5,1,0),0)</f>
        <v>0</v>
      </c>
      <c r="AL85" s="2">
        <f>IF(AND(Games[[#This Row],[Type]]="P",Games[[#This Row],[Round]]=4),IF(Games[[#This Row],[Result]]&lt;0.5,1,0),0)</f>
        <v>0</v>
      </c>
    </row>
    <row r="86" spans="1:38" x14ac:dyDescent="0.35">
      <c r="A86" s="10">
        <v>44350</v>
      </c>
      <c r="B86" s="2">
        <v>2021</v>
      </c>
      <c r="C86" s="2">
        <f>COUNTIFS(Games[Team],Games[[#This Row],[Team]],Games[Season],Games[[#This Row],[Season]],Games[Date],"&lt;=" &amp; Games[[#This Row],[Date]])</f>
        <v>9</v>
      </c>
      <c r="D86" s="2" t="s">
        <v>79</v>
      </c>
      <c r="E86" s="2" t="s">
        <v>80</v>
      </c>
      <c r="F86" s="1" t="s">
        <v>85</v>
      </c>
      <c r="G86" s="1" t="s">
        <v>60</v>
      </c>
      <c r="H86" s="1" t="s">
        <v>81</v>
      </c>
      <c r="I86" s="2" cm="1">
        <f t="array" ref="I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86" s="2" cm="1">
        <f t="array" ref="J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86" s="2">
        <f>Games[[#This Row],[DaysOff]]-Games[[#This Row],[OppDaysOff]]</f>
        <v>-3</v>
      </c>
      <c r="L86" s="2">
        <f>Games[[#This Row],[OppDaysOff]]-Games[[#This Row],[DaysOff]]</f>
        <v>3</v>
      </c>
      <c r="M86" s="1">
        <f>MAX(-16, MIN(16, Games[[#This Row],[RestDiff]]*8))</f>
        <v>-16</v>
      </c>
      <c r="N86" s="1">
        <f>MAX(-16, MIN(16, Games[[#This Row],[OppRestDiff]]*8))</f>
        <v>16</v>
      </c>
      <c r="O86" s="4" cm="1">
        <f t="array" ref="O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1587.8094721516654</v>
      </c>
      <c r="P86" s="4" cm="1">
        <f t="array" ref="P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1431.1688348179912</v>
      </c>
      <c r="Q86" s="4">
        <f>1/(1+10^(((Games[[#This Row],[OppPreGmRate]]+IF(Games[[#This Row],[HomeAway]]="A",HCA,0)+Games[[#This Row],[OppRestAdj]])-(Games[[#This Row],[PreGmRate]]+IF(Games[[#This Row],[HomeAway]]="H",HCA,0)+Games[[#This Row],[RestAdj]]))/400))</f>
        <v>0.55822127865799342</v>
      </c>
      <c r="R86" s="1">
        <v>94</v>
      </c>
      <c r="S86" s="1">
        <v>82</v>
      </c>
      <c r="T86" s="1">
        <v>0</v>
      </c>
      <c r="U86" s="1">
        <f>Games[[#This Row],[PointsFor]]-Games[[#This Row],[PointsAgainst]]</f>
        <v>12</v>
      </c>
      <c r="V86" s="1">
        <f>IF(Games[[#This Row],[MOV]]&gt;0,1,IF(Games[[#This Row],[MOV]]=0,0.5,0))</f>
        <v>1</v>
      </c>
      <c r="W86" s="4">
        <f>((ABS(Games[[#This Row],[MOV]])+5)^0.6)/(12+0.01*(ABS(Games[[#This Row],[PreGmRate]]-Games[[#This Row],[OppPreGmRate]])))*IF(Games[[#This Row],[OT]]=1,0.9,1)</f>
        <v>0.40346375939881518</v>
      </c>
      <c r="X86" s="7" cm="1">
        <f t="array" ref="X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6" s="9">
        <f>MAX(kmin, kmax - 0.15 * MIN(Games[[#This Row],[GamesPlayed]], 82))</f>
        <v>74.650000000000006</v>
      </c>
      <c r="Z86" s="4">
        <f>Games[[#This Row],[K]]*Games[[#This Row],[POMult]]</f>
        <v>74.650000000000006</v>
      </c>
      <c r="AA86" s="4">
        <f>(Games[[#This Row],[Keff]]*Games[[#This Row],[MOVMult]])*(Games[[#This Row],[Result]]-Games[[#This Row],[ExpectedWin%]])</f>
        <v>13.305743183821301</v>
      </c>
      <c r="AB86" s="4">
        <f>Games[[#This Row],[PreGmRate]]+Games[[#This Row],[RatingChange]]</f>
        <v>1601.1152153354867</v>
      </c>
      <c r="AC86" s="2">
        <f>IF(Games[[#This Row],[Type]]="R",IF(Games[[#This Row],[Result]]&gt;0.5,1,0),0)</f>
        <v>1</v>
      </c>
      <c r="AD86" s="2">
        <f>IF(Games[[#This Row],[Type]]="R",IF(Games[[#This Row],[Result]]&lt;0.5,1,0),0)</f>
        <v>0</v>
      </c>
      <c r="AE86" s="2">
        <f>IF(AND(Games[[#This Row],[Type]]="P",Games[[#This Row],[Round]]=1),IF(Games[[#This Row],[Result]]&gt;0.5,1,0),0)</f>
        <v>0</v>
      </c>
      <c r="AF86" s="2">
        <f>IF(AND(Games[[#This Row],[Type]]="P",Games[[#This Row],[Round]]=1),IF(Games[[#This Row],[Result]]&lt;0.5,1,0),0)</f>
        <v>0</v>
      </c>
      <c r="AG86" s="2">
        <f>IF(AND(Games[[#This Row],[Type]]="P",Games[[#This Row],[Round]]=2),IF(Games[[#This Row],[Result]]&gt;0.5,1,0),0)</f>
        <v>0</v>
      </c>
      <c r="AH86" s="2">
        <f>IF(AND(Games[[#This Row],[Type]]="P",Games[[#This Row],[Round]]=2),IF(Games[[#This Row],[Result]]&lt;0.5,1,0),0)</f>
        <v>0</v>
      </c>
      <c r="AI86" s="2">
        <f>IF(AND(Games[[#This Row],[Type]]="P",Games[[#This Row],[Round]]=3),IF(Games[[#This Row],[Result]]&gt;0.5,1,0),0)</f>
        <v>0</v>
      </c>
      <c r="AJ86" s="2">
        <f>IF(AND(Games[[#This Row],[Type]]="P",Games[[#This Row],[Round]]=3),IF(Games[[#This Row],[Result]]&lt;0.5,1,0),0)</f>
        <v>0</v>
      </c>
      <c r="AK86" s="2">
        <f>IF(AND(Games[[#This Row],[Type]]="P",Games[[#This Row],[Round]]=4),IF(Games[[#This Row],[Result]]&gt;0.5,1,0),0)</f>
        <v>0</v>
      </c>
      <c r="AL86" s="2">
        <f>IF(AND(Games[[#This Row],[Type]]="P",Games[[#This Row],[Round]]=4),IF(Games[[#This Row],[Result]]&lt;0.5,1,0),0)</f>
        <v>0</v>
      </c>
    </row>
    <row r="87" spans="1:38" x14ac:dyDescent="0.35">
      <c r="A87" s="10">
        <v>44350</v>
      </c>
      <c r="B87" s="2">
        <v>2021</v>
      </c>
      <c r="C87" s="2">
        <f>COUNTIFS(Games[Team],Games[[#This Row],[Team]],Games[Season],Games[[#This Row],[Season]],Games[Date],"&lt;=" &amp; Games[[#This Row],[Date]])</f>
        <v>8</v>
      </c>
      <c r="D87" s="2" t="s">
        <v>79</v>
      </c>
      <c r="E87" s="2" t="s">
        <v>80</v>
      </c>
      <c r="F87" s="1" t="s">
        <v>60</v>
      </c>
      <c r="G87" s="1" t="s">
        <v>85</v>
      </c>
      <c r="H87" s="1" t="s">
        <v>82</v>
      </c>
      <c r="I87" s="2" cm="1">
        <f t="array" ref="I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87" s="2" cm="1">
        <f t="array" ref="J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7" s="2">
        <f>Games[[#This Row],[DaysOff]]-Games[[#This Row],[OppDaysOff]]</f>
        <v>3</v>
      </c>
      <c r="L87" s="2">
        <f>Games[[#This Row],[OppDaysOff]]-Games[[#This Row],[DaysOff]]</f>
        <v>-3</v>
      </c>
      <c r="M87" s="1">
        <f>MAX(-16, MIN(16, Games[[#This Row],[RestDiff]]*8))</f>
        <v>16</v>
      </c>
      <c r="N87" s="1">
        <f>MAX(-16, MIN(16, Games[[#This Row],[OppRestDiff]]*8))</f>
        <v>-16</v>
      </c>
      <c r="O87" s="4" cm="1">
        <f t="array" ref="O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1431.1688348179912</v>
      </c>
      <c r="P87" s="4" cm="1">
        <f t="array" ref="P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1587.8094721516654</v>
      </c>
      <c r="Q87" s="4">
        <f>1/(1+10^(((Games[[#This Row],[OppPreGmRate]]+IF(Games[[#This Row],[HomeAway]]="A",HCA,0)+Games[[#This Row],[OppRestAdj]])-(Games[[#This Row],[PreGmRate]]+IF(Games[[#This Row],[HomeAway]]="H",HCA,0)+Games[[#This Row],[RestAdj]]))/400))</f>
        <v>0.44177872134200646</v>
      </c>
      <c r="R87" s="1">
        <v>82</v>
      </c>
      <c r="S87" s="1">
        <v>94</v>
      </c>
      <c r="T87" s="1">
        <v>0</v>
      </c>
      <c r="U87" s="1">
        <f>Games[[#This Row],[PointsFor]]-Games[[#This Row],[PointsAgainst]]</f>
        <v>-12</v>
      </c>
      <c r="V87" s="1">
        <f>IF(Games[[#This Row],[MOV]]&gt;0,1,IF(Games[[#This Row],[MOV]]=0,0.5,0))</f>
        <v>0</v>
      </c>
      <c r="W87" s="4">
        <f>((ABS(Games[[#This Row],[MOV]])+5)^0.6)/(12+0.01*(ABS(Games[[#This Row],[PreGmRate]]-Games[[#This Row],[OppPreGmRate]])))*IF(Games[[#This Row],[OT]]=1,0.9,1)</f>
        <v>0.40346375939881518</v>
      </c>
      <c r="X87" s="7" cm="1">
        <f t="array" ref="X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7" s="9">
        <f>MAX(kmin, kmax - 0.15 * MIN(Games[[#This Row],[GamesPlayed]], 82))</f>
        <v>74.8</v>
      </c>
      <c r="Z87" s="4">
        <f>Games[[#This Row],[K]]*Games[[#This Row],[POMult]]</f>
        <v>74.8</v>
      </c>
      <c r="AA87" s="4">
        <f>(Games[[#This Row],[Keff]]*Games[[#This Row],[MOVMult]])*(Games[[#This Row],[Result]]-Games[[#This Row],[ExpectedWin%]])</f>
        <v>-13.332479439381553</v>
      </c>
      <c r="AB87" s="4">
        <f>Games[[#This Row],[PreGmRate]]+Games[[#This Row],[RatingChange]]</f>
        <v>1417.8363553786096</v>
      </c>
      <c r="AC87" s="2">
        <f>IF(Games[[#This Row],[Type]]="R",IF(Games[[#This Row],[Result]]&gt;0.5,1,0),0)</f>
        <v>0</v>
      </c>
      <c r="AD87" s="2">
        <f>IF(Games[[#This Row],[Type]]="R",IF(Games[[#This Row],[Result]]&lt;0.5,1,0),0)</f>
        <v>1</v>
      </c>
      <c r="AE87" s="2">
        <f>IF(AND(Games[[#This Row],[Type]]="P",Games[[#This Row],[Round]]=1),IF(Games[[#This Row],[Result]]&gt;0.5,1,0),0)</f>
        <v>0</v>
      </c>
      <c r="AF87" s="2">
        <f>IF(AND(Games[[#This Row],[Type]]="P",Games[[#This Row],[Round]]=1),IF(Games[[#This Row],[Result]]&lt;0.5,1,0),0)</f>
        <v>0</v>
      </c>
      <c r="AG87" s="2">
        <f>IF(AND(Games[[#This Row],[Type]]="P",Games[[#This Row],[Round]]=2),IF(Games[[#This Row],[Result]]&gt;0.5,1,0),0)</f>
        <v>0</v>
      </c>
      <c r="AH87" s="2">
        <f>IF(AND(Games[[#This Row],[Type]]="P",Games[[#This Row],[Round]]=2),IF(Games[[#This Row],[Result]]&lt;0.5,1,0),0)</f>
        <v>0</v>
      </c>
      <c r="AI87" s="2">
        <f>IF(AND(Games[[#This Row],[Type]]="P",Games[[#This Row],[Round]]=3),IF(Games[[#This Row],[Result]]&gt;0.5,1,0),0)</f>
        <v>0</v>
      </c>
      <c r="AJ87" s="2">
        <f>IF(AND(Games[[#This Row],[Type]]="P",Games[[#This Row],[Round]]=3),IF(Games[[#This Row],[Result]]&lt;0.5,1,0),0)</f>
        <v>0</v>
      </c>
      <c r="AK87" s="2">
        <f>IF(AND(Games[[#This Row],[Type]]="P",Games[[#This Row],[Round]]=4),IF(Games[[#This Row],[Result]]&gt;0.5,1,0),0)</f>
        <v>0</v>
      </c>
      <c r="AL87" s="2">
        <f>IF(AND(Games[[#This Row],[Type]]="P",Games[[#This Row],[Round]]=4),IF(Games[[#This Row],[Result]]&lt;0.5,1,0),0)</f>
        <v>0</v>
      </c>
    </row>
    <row r="88" spans="1:38" x14ac:dyDescent="0.35">
      <c r="A88" s="10">
        <v>44350</v>
      </c>
      <c r="B88" s="2">
        <v>2021</v>
      </c>
      <c r="C88" s="2">
        <f>COUNTIFS(Games[Team],Games[[#This Row],[Team]],Games[Season],Games[[#This Row],[Season]],Games[Date],"&lt;=" &amp; Games[[#This Row],[Date]])</f>
        <v>8</v>
      </c>
      <c r="D88" s="2" t="s">
        <v>79</v>
      </c>
      <c r="E88" s="2" t="s">
        <v>80</v>
      </c>
      <c r="F88" s="1" t="s">
        <v>75</v>
      </c>
      <c r="G88" s="1" t="s">
        <v>40</v>
      </c>
      <c r="H88" s="1" t="s">
        <v>81</v>
      </c>
      <c r="I88" s="2" cm="1">
        <f t="array" ref="I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88" s="2" cm="1">
        <f t="array" ref="J8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8" s="2">
        <f>Games[[#This Row],[DaysOff]]-Games[[#This Row],[OppDaysOff]]</f>
        <v>0</v>
      </c>
      <c r="L88" s="2">
        <f>Games[[#This Row],[OppDaysOff]]-Games[[#This Row],[DaysOff]]</f>
        <v>0</v>
      </c>
      <c r="M88" s="1">
        <f>MAX(-16, MIN(16, Games[[#This Row],[RestDiff]]*8))</f>
        <v>0</v>
      </c>
      <c r="N88" s="1">
        <f>MAX(-16, MIN(16, Games[[#This Row],[OppRestDiff]]*8))</f>
        <v>0</v>
      </c>
      <c r="O88" s="4" cm="1">
        <f t="array" ref="O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1456.4463986977044</v>
      </c>
      <c r="P88" s="4" cm="1">
        <f t="array" ref="P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1523.7462217116056</v>
      </c>
      <c r="Q88" s="4">
        <f>1/(1+10^(((Games[[#This Row],[OppPreGmRate]]+IF(Games[[#This Row],[HomeAway]]="A",HCA,0)+Games[[#This Row],[OppRestAdj]])-(Games[[#This Row],[PreGmRate]]+IF(Games[[#This Row],[HomeAway]]="H",HCA,0)+Games[[#This Row],[RestAdj]]))/400))</f>
        <v>0.29505629235979464</v>
      </c>
      <c r="R88" s="1">
        <v>74</v>
      </c>
      <c r="S88" s="1">
        <v>77</v>
      </c>
      <c r="T88" s="1">
        <v>1</v>
      </c>
      <c r="U88" s="1">
        <f>Games[[#This Row],[PointsFor]]-Games[[#This Row],[PointsAgainst]]</f>
        <v>-3</v>
      </c>
      <c r="V88" s="1">
        <f>IF(Games[[#This Row],[MOV]]&gt;0,1,IF(Games[[#This Row],[MOV]]=0,0.5,0))</f>
        <v>0</v>
      </c>
      <c r="W88" s="4">
        <f>((ABS(Games[[#This Row],[MOV]])+5)^0.6)/(12+0.01*(ABS(Games[[#This Row],[PreGmRate]]-Games[[#This Row],[OppPreGmRate]])))*IF(Games[[#This Row],[OT]]=1,0.9,1)</f>
        <v>0.2472960203223882</v>
      </c>
      <c r="X88" s="7" cm="1">
        <f t="array" ref="X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8" s="9">
        <f>MAX(kmin, kmax - 0.15 * MIN(Games[[#This Row],[GamesPlayed]], 82))</f>
        <v>74.8</v>
      </c>
      <c r="Z88" s="4">
        <f>Games[[#This Row],[K]]*Games[[#This Row],[POMult]]</f>
        <v>74.8</v>
      </c>
      <c r="AA88" s="4">
        <f>(Games[[#This Row],[Keff]]*Games[[#This Row],[MOVMult]])*(Games[[#This Row],[Result]]-Games[[#This Row],[ExpectedWin%]])</f>
        <v>-5.4578752659998901</v>
      </c>
      <c r="AB88" s="4">
        <f>Games[[#This Row],[PreGmRate]]+Games[[#This Row],[RatingChange]]</f>
        <v>1450.9885234317044</v>
      </c>
      <c r="AC88" s="2">
        <f>IF(Games[[#This Row],[Type]]="R",IF(Games[[#This Row],[Result]]&gt;0.5,1,0),0)</f>
        <v>0</v>
      </c>
      <c r="AD88" s="2">
        <f>IF(Games[[#This Row],[Type]]="R",IF(Games[[#This Row],[Result]]&lt;0.5,1,0),0)</f>
        <v>1</v>
      </c>
      <c r="AE88" s="2">
        <f>IF(AND(Games[[#This Row],[Type]]="P",Games[[#This Row],[Round]]=1),IF(Games[[#This Row],[Result]]&gt;0.5,1,0),0)</f>
        <v>0</v>
      </c>
      <c r="AF88" s="2">
        <f>IF(AND(Games[[#This Row],[Type]]="P",Games[[#This Row],[Round]]=1),IF(Games[[#This Row],[Result]]&lt;0.5,1,0),0)</f>
        <v>0</v>
      </c>
      <c r="AG88" s="2">
        <f>IF(AND(Games[[#This Row],[Type]]="P",Games[[#This Row],[Round]]=2),IF(Games[[#This Row],[Result]]&gt;0.5,1,0),0)</f>
        <v>0</v>
      </c>
      <c r="AH88" s="2">
        <f>IF(AND(Games[[#This Row],[Type]]="P",Games[[#This Row],[Round]]=2),IF(Games[[#This Row],[Result]]&lt;0.5,1,0),0)</f>
        <v>0</v>
      </c>
      <c r="AI88" s="2">
        <f>IF(AND(Games[[#This Row],[Type]]="P",Games[[#This Row],[Round]]=3),IF(Games[[#This Row],[Result]]&gt;0.5,1,0),0)</f>
        <v>0</v>
      </c>
      <c r="AJ88" s="2">
        <f>IF(AND(Games[[#This Row],[Type]]="P",Games[[#This Row],[Round]]=3),IF(Games[[#This Row],[Result]]&lt;0.5,1,0),0)</f>
        <v>0</v>
      </c>
      <c r="AK88" s="2">
        <f>IF(AND(Games[[#This Row],[Type]]="P",Games[[#This Row],[Round]]=4),IF(Games[[#This Row],[Result]]&gt;0.5,1,0),0)</f>
        <v>0</v>
      </c>
      <c r="AL88" s="2">
        <f>IF(AND(Games[[#This Row],[Type]]="P",Games[[#This Row],[Round]]=4),IF(Games[[#This Row],[Result]]&lt;0.5,1,0),0)</f>
        <v>0</v>
      </c>
    </row>
    <row r="89" spans="1:38" x14ac:dyDescent="0.35">
      <c r="A89" s="10">
        <v>44350</v>
      </c>
      <c r="B89" s="2">
        <v>2021</v>
      </c>
      <c r="C89" s="2">
        <f>COUNTIFS(Games[Team],Games[[#This Row],[Team]],Games[Season],Games[[#This Row],[Season]],Games[Date],"&lt;=" &amp; Games[[#This Row],[Date]])</f>
        <v>8</v>
      </c>
      <c r="D89" s="2" t="s">
        <v>79</v>
      </c>
      <c r="E89" s="2" t="s">
        <v>80</v>
      </c>
      <c r="F89" s="1" t="s">
        <v>40</v>
      </c>
      <c r="G89" s="1" t="s">
        <v>75</v>
      </c>
      <c r="H89" s="1" t="s">
        <v>82</v>
      </c>
      <c r="I89" s="2" cm="1">
        <f t="array" ref="I89">IFERROR(
    Games[[#This Row],[Date]]
    - LOOKUP(
        2,
        1/((Games[Team]=Games[[#This Row],[Team]]) * (Games[Date] &lt; Games[[#This Row],[Date]])),
        Games[Date]
    )
    - 1,
Games[[#This Row],[Date]]-$A$2)</f>
        <v>1</v>
      </c>
      <c r="J89" s="2" cm="1">
        <f t="array" ref="J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89" s="2">
        <f>Games[[#This Row],[DaysOff]]-Games[[#This Row],[OppDaysOff]]</f>
        <v>0</v>
      </c>
      <c r="L89" s="2">
        <f>Games[[#This Row],[OppDaysOff]]-Games[[#This Row],[DaysOff]]</f>
        <v>0</v>
      </c>
      <c r="M89" s="1">
        <f>MAX(-16, MIN(16, Games[[#This Row],[RestDiff]]*8))</f>
        <v>0</v>
      </c>
      <c r="N89" s="1">
        <f>MAX(-16, MIN(16, Games[[#This Row],[OppRestDiff]]*8))</f>
        <v>0</v>
      </c>
      <c r="O89" s="4" cm="1">
        <f t="array" ref="O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1523.7462217116056</v>
      </c>
      <c r="P89" s="4" cm="1">
        <f t="array" ref="P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1456.4463986977044</v>
      </c>
      <c r="Q89" s="4">
        <f>1/(1+10^(((Games[[#This Row],[OppPreGmRate]]+IF(Games[[#This Row],[HomeAway]]="A",HCA,0)+Games[[#This Row],[OppRestAdj]])-(Games[[#This Row],[PreGmRate]]+IF(Games[[#This Row],[HomeAway]]="H",HCA,0)+Games[[#This Row],[RestAdj]]))/400))</f>
        <v>0.70494370764020531</v>
      </c>
      <c r="R89" s="1">
        <v>77</v>
      </c>
      <c r="S89" s="1">
        <v>74</v>
      </c>
      <c r="T89" s="1">
        <v>1</v>
      </c>
      <c r="U89" s="1">
        <f>Games[[#This Row],[PointsFor]]-Games[[#This Row],[PointsAgainst]]</f>
        <v>3</v>
      </c>
      <c r="V89" s="1">
        <f>IF(Games[[#This Row],[MOV]]&gt;0,1,IF(Games[[#This Row],[MOV]]=0,0.5,0))</f>
        <v>1</v>
      </c>
      <c r="W89" s="4">
        <f>((ABS(Games[[#This Row],[MOV]])+5)^0.6)/(12+0.01*(ABS(Games[[#This Row],[PreGmRate]]-Games[[#This Row],[OppPreGmRate]])))*IF(Games[[#This Row],[OT]]=1,0.9,1)</f>
        <v>0.2472960203223882</v>
      </c>
      <c r="X89" s="7" cm="1">
        <f t="array" ref="X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89" s="9">
        <f>MAX(kmin, kmax - 0.15 * MIN(Games[[#This Row],[GamesPlayed]], 82))</f>
        <v>74.8</v>
      </c>
      <c r="Z89" s="4">
        <f>Games[[#This Row],[K]]*Games[[#This Row],[POMult]]</f>
        <v>74.8</v>
      </c>
      <c r="AA89" s="4">
        <f>(Games[[#This Row],[Keff]]*Games[[#This Row],[MOVMult]])*(Games[[#This Row],[Result]]-Games[[#This Row],[ExpectedWin%]])</f>
        <v>5.457875265999891</v>
      </c>
      <c r="AB89" s="4">
        <f>Games[[#This Row],[PreGmRate]]+Games[[#This Row],[RatingChange]]</f>
        <v>1529.2040969776056</v>
      </c>
      <c r="AC89" s="2">
        <f>IF(Games[[#This Row],[Type]]="R",IF(Games[[#This Row],[Result]]&gt;0.5,1,0),0)</f>
        <v>1</v>
      </c>
      <c r="AD89" s="2">
        <f>IF(Games[[#This Row],[Type]]="R",IF(Games[[#This Row],[Result]]&lt;0.5,1,0),0)</f>
        <v>0</v>
      </c>
      <c r="AE89" s="2">
        <f>IF(AND(Games[[#This Row],[Type]]="P",Games[[#This Row],[Round]]=1),IF(Games[[#This Row],[Result]]&gt;0.5,1,0),0)</f>
        <v>0</v>
      </c>
      <c r="AF89" s="2">
        <f>IF(AND(Games[[#This Row],[Type]]="P",Games[[#This Row],[Round]]=1),IF(Games[[#This Row],[Result]]&lt;0.5,1,0),0)</f>
        <v>0</v>
      </c>
      <c r="AG89" s="2">
        <f>IF(AND(Games[[#This Row],[Type]]="P",Games[[#This Row],[Round]]=2),IF(Games[[#This Row],[Result]]&gt;0.5,1,0),0)</f>
        <v>0</v>
      </c>
      <c r="AH89" s="2">
        <f>IF(AND(Games[[#This Row],[Type]]="P",Games[[#This Row],[Round]]=2),IF(Games[[#This Row],[Result]]&lt;0.5,1,0),0)</f>
        <v>0</v>
      </c>
      <c r="AI89" s="2">
        <f>IF(AND(Games[[#This Row],[Type]]="P",Games[[#This Row],[Round]]=3),IF(Games[[#This Row],[Result]]&gt;0.5,1,0),0)</f>
        <v>0</v>
      </c>
      <c r="AJ89" s="2">
        <f>IF(AND(Games[[#This Row],[Type]]="P",Games[[#This Row],[Round]]=3),IF(Games[[#This Row],[Result]]&lt;0.5,1,0),0)</f>
        <v>0</v>
      </c>
      <c r="AK89" s="2">
        <f>IF(AND(Games[[#This Row],[Type]]="P",Games[[#This Row],[Round]]=4),IF(Games[[#This Row],[Result]]&gt;0.5,1,0),0)</f>
        <v>0</v>
      </c>
      <c r="AL89" s="2">
        <f>IF(AND(Games[[#This Row],[Type]]="P",Games[[#This Row],[Round]]=4),IF(Games[[#This Row],[Result]]&lt;0.5,1,0),0)</f>
        <v>0</v>
      </c>
    </row>
    <row r="90" spans="1:38" x14ac:dyDescent="0.35">
      <c r="A90" s="10">
        <v>44351</v>
      </c>
      <c r="B90" s="2">
        <v>2021</v>
      </c>
      <c r="C90" s="2">
        <f>COUNTIFS(Games[Team],Games[[#This Row],[Team]],Games[Season],Games[[#This Row],[Season]],Games[Date],"&lt;=" &amp; Games[[#This Row],[Date]])</f>
        <v>7</v>
      </c>
      <c r="D90" s="2" t="s">
        <v>79</v>
      </c>
      <c r="E90" s="2" t="s">
        <v>80</v>
      </c>
      <c r="F90" s="1" t="s">
        <v>77</v>
      </c>
      <c r="G90" s="1" t="s">
        <v>67</v>
      </c>
      <c r="H90" s="1" t="s">
        <v>81</v>
      </c>
      <c r="I90" s="2" cm="1">
        <f t="array" ref="I90">IFERROR(
    Games[[#This Row],[Date]]
    - LOOKUP(
        2,
        1/((Games[Team]=Games[[#This Row],[Team]]) * (Games[Date] &lt; Games[[#This Row],[Date]])),
        Games[Date]
    )
    - 1,
Games[[#This Row],[Date]]-$A$2)</f>
        <v>5</v>
      </c>
      <c r="J90" s="2" cm="1">
        <f t="array" ref="J9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90" s="2">
        <f>Games[[#This Row],[DaysOff]]-Games[[#This Row],[OppDaysOff]]</f>
        <v>1</v>
      </c>
      <c r="L90" s="2">
        <f>Games[[#This Row],[OppDaysOff]]-Games[[#This Row],[DaysOff]]</f>
        <v>-1</v>
      </c>
      <c r="M90" s="1">
        <f>MAX(-16, MIN(16, Games[[#This Row],[RestDiff]]*8))</f>
        <v>8</v>
      </c>
      <c r="N90" s="1">
        <f>MAX(-16, MIN(16, Games[[#This Row],[OppRestDiff]]*8))</f>
        <v>-8</v>
      </c>
      <c r="O90" s="4" cm="1">
        <f t="array" ref="O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1469.6248454339823</v>
      </c>
      <c r="P90" s="4" cm="1">
        <f t="array" ref="P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1480.0747911921039</v>
      </c>
      <c r="Q90" s="4">
        <f>1/(1+10^(((Games[[#This Row],[OppPreGmRate]]+IF(Games[[#This Row],[HomeAway]]="A",HCA,0)+Games[[#This Row],[OppRestAdj]])-(Games[[#This Row],[PreGmRate]]+IF(Games[[#This Row],[HomeAway]]="H",HCA,0)+Games[[#This Row],[RestAdj]]))/400))</f>
        <v>0.38898180022540474</v>
      </c>
      <c r="R90" s="1">
        <v>84</v>
      </c>
      <c r="S90" s="1">
        <v>86</v>
      </c>
      <c r="T90" s="1">
        <v>0</v>
      </c>
      <c r="U90" s="1">
        <f>Games[[#This Row],[PointsFor]]-Games[[#This Row],[PointsAgainst]]</f>
        <v>-2</v>
      </c>
      <c r="V90" s="1">
        <f>IF(Games[[#This Row],[MOV]]&gt;0,1,IF(Games[[#This Row],[MOV]]=0,0.5,0))</f>
        <v>0</v>
      </c>
      <c r="W90" s="4">
        <f>((ABS(Games[[#This Row],[MOV]])+5)^0.6)/(12+0.01*(ABS(Games[[#This Row],[PreGmRate]]-Games[[#This Row],[OppPreGmRate]])))*IF(Games[[#This Row],[OT]]=1,0.9,1)</f>
        <v>0.26552901761691644</v>
      </c>
      <c r="X90" s="7" cm="1">
        <f t="array" ref="X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0" s="9">
        <f>MAX(kmin, kmax - 0.15 * MIN(Games[[#This Row],[GamesPlayed]], 82))</f>
        <v>74.95</v>
      </c>
      <c r="Z90" s="4">
        <f>Games[[#This Row],[K]]*Games[[#This Row],[POMult]]</f>
        <v>74.95</v>
      </c>
      <c r="AA90" s="4">
        <f>(Games[[#This Row],[Keff]]*Games[[#This Row],[MOVMult]])*(Games[[#This Row],[Result]]-Games[[#This Row],[ExpectedWin%]])</f>
        <v>-7.7412823485891167</v>
      </c>
      <c r="AB90" s="4">
        <f>Games[[#This Row],[PreGmRate]]+Games[[#This Row],[RatingChange]]</f>
        <v>1461.8835630853932</v>
      </c>
      <c r="AC90" s="2">
        <f>IF(Games[[#This Row],[Type]]="R",IF(Games[[#This Row],[Result]]&gt;0.5,1,0),0)</f>
        <v>0</v>
      </c>
      <c r="AD90" s="2">
        <f>IF(Games[[#This Row],[Type]]="R",IF(Games[[#This Row],[Result]]&lt;0.5,1,0),0)</f>
        <v>1</v>
      </c>
      <c r="AE90" s="2">
        <f>IF(AND(Games[[#This Row],[Type]]="P",Games[[#This Row],[Round]]=1),IF(Games[[#This Row],[Result]]&gt;0.5,1,0),0)</f>
        <v>0</v>
      </c>
      <c r="AF90" s="2">
        <f>IF(AND(Games[[#This Row],[Type]]="P",Games[[#This Row],[Round]]=1),IF(Games[[#This Row],[Result]]&lt;0.5,1,0),0)</f>
        <v>0</v>
      </c>
      <c r="AG90" s="2">
        <f>IF(AND(Games[[#This Row],[Type]]="P",Games[[#This Row],[Round]]=2),IF(Games[[#This Row],[Result]]&gt;0.5,1,0),0)</f>
        <v>0</v>
      </c>
      <c r="AH90" s="2">
        <f>IF(AND(Games[[#This Row],[Type]]="P",Games[[#This Row],[Round]]=2),IF(Games[[#This Row],[Result]]&lt;0.5,1,0),0)</f>
        <v>0</v>
      </c>
      <c r="AI90" s="2">
        <f>IF(AND(Games[[#This Row],[Type]]="P",Games[[#This Row],[Round]]=3),IF(Games[[#This Row],[Result]]&gt;0.5,1,0),0)</f>
        <v>0</v>
      </c>
      <c r="AJ90" s="2">
        <f>IF(AND(Games[[#This Row],[Type]]="P",Games[[#This Row],[Round]]=3),IF(Games[[#This Row],[Result]]&lt;0.5,1,0),0)</f>
        <v>0</v>
      </c>
      <c r="AK90" s="2">
        <f>IF(AND(Games[[#This Row],[Type]]="P",Games[[#This Row],[Round]]=4),IF(Games[[#This Row],[Result]]&gt;0.5,1,0),0)</f>
        <v>0</v>
      </c>
      <c r="AL90" s="2">
        <f>IF(AND(Games[[#This Row],[Type]]="P",Games[[#This Row],[Round]]=4),IF(Games[[#This Row],[Result]]&lt;0.5,1,0),0)</f>
        <v>0</v>
      </c>
    </row>
    <row r="91" spans="1:38" x14ac:dyDescent="0.35">
      <c r="A91" s="10">
        <v>44351</v>
      </c>
      <c r="B91" s="2">
        <v>2021</v>
      </c>
      <c r="C91" s="2">
        <f>COUNTIFS(Games[Team],Games[[#This Row],[Team]],Games[Season],Games[[#This Row],[Season]],Games[Date],"&lt;=" &amp; Games[[#This Row],[Date]])</f>
        <v>6</v>
      </c>
      <c r="D91" s="2" t="s">
        <v>79</v>
      </c>
      <c r="E91" s="2" t="s">
        <v>80</v>
      </c>
      <c r="F91" s="1" t="s">
        <v>67</v>
      </c>
      <c r="G91" s="1" t="s">
        <v>77</v>
      </c>
      <c r="H91" s="1" t="s">
        <v>82</v>
      </c>
      <c r="I91" s="2" cm="1">
        <f t="array" ref="I91">IFERROR(
    Games[[#This Row],[Date]]
    - LOOKUP(
        2,
        1/((Games[Team]=Games[[#This Row],[Team]]) * (Games[Date] &lt; Games[[#This Row],[Date]])),
        Games[Date]
    )
    - 1,
Games[[#This Row],[Date]]-$A$2)</f>
        <v>4</v>
      </c>
      <c r="J91" s="2" cm="1">
        <f t="array" ref="J9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91" s="2">
        <f>Games[[#This Row],[DaysOff]]-Games[[#This Row],[OppDaysOff]]</f>
        <v>-1</v>
      </c>
      <c r="L91" s="2">
        <f>Games[[#This Row],[OppDaysOff]]-Games[[#This Row],[DaysOff]]</f>
        <v>1</v>
      </c>
      <c r="M91" s="1">
        <f>MAX(-16, MIN(16, Games[[#This Row],[RestDiff]]*8))</f>
        <v>-8</v>
      </c>
      <c r="N91" s="1">
        <f>MAX(-16, MIN(16, Games[[#This Row],[OppRestDiff]]*8))</f>
        <v>8</v>
      </c>
      <c r="O91" s="4" cm="1">
        <f t="array" ref="O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1480.0747911921039</v>
      </c>
      <c r="P91" s="4" cm="1">
        <f t="array" ref="P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1469.6248454339823</v>
      </c>
      <c r="Q91" s="4">
        <f>1/(1+10^(((Games[[#This Row],[OppPreGmRate]]+IF(Games[[#This Row],[HomeAway]]="A",HCA,0)+Games[[#This Row],[OppRestAdj]])-(Games[[#This Row],[PreGmRate]]+IF(Games[[#This Row],[HomeAway]]="H",HCA,0)+Games[[#This Row],[RestAdj]]))/400))</f>
        <v>0.61101819977459526</v>
      </c>
      <c r="R91" s="1">
        <v>86</v>
      </c>
      <c r="S91" s="1">
        <v>84</v>
      </c>
      <c r="T91" s="1">
        <v>0</v>
      </c>
      <c r="U91" s="1">
        <f>Games[[#This Row],[PointsFor]]-Games[[#This Row],[PointsAgainst]]</f>
        <v>2</v>
      </c>
      <c r="V91" s="1">
        <f>IF(Games[[#This Row],[MOV]]&gt;0,1,IF(Games[[#This Row],[MOV]]=0,0.5,0))</f>
        <v>1</v>
      </c>
      <c r="W91" s="4">
        <f>((ABS(Games[[#This Row],[MOV]])+5)^0.6)/(12+0.01*(ABS(Games[[#This Row],[PreGmRate]]-Games[[#This Row],[OppPreGmRate]])))*IF(Games[[#This Row],[OT]]=1,0.9,1)</f>
        <v>0.26552901761691644</v>
      </c>
      <c r="X91" s="7" cm="1">
        <f t="array" ref="X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1" s="9">
        <f>MAX(kmin, kmax - 0.15 * MIN(Games[[#This Row],[GamesPlayed]], 82))</f>
        <v>75.099999999999994</v>
      </c>
      <c r="Z91" s="4">
        <f>Games[[#This Row],[K]]*Games[[#This Row],[POMult]]</f>
        <v>75.099999999999994</v>
      </c>
      <c r="AA91" s="4">
        <f>(Games[[#This Row],[Keff]]*Games[[#This Row],[MOVMult]])*(Games[[#This Row],[Result]]-Games[[#This Row],[ExpectedWin%]])</f>
        <v>7.7567752418818223</v>
      </c>
      <c r="AB91" s="4">
        <f>Games[[#This Row],[PreGmRate]]+Games[[#This Row],[RatingChange]]</f>
        <v>1487.8315664339857</v>
      </c>
      <c r="AC91" s="2">
        <f>IF(Games[[#This Row],[Type]]="R",IF(Games[[#This Row],[Result]]&gt;0.5,1,0),0)</f>
        <v>1</v>
      </c>
      <c r="AD91" s="2">
        <f>IF(Games[[#This Row],[Type]]="R",IF(Games[[#This Row],[Result]]&lt;0.5,1,0),0)</f>
        <v>0</v>
      </c>
      <c r="AE91" s="2">
        <f>IF(AND(Games[[#This Row],[Type]]="P",Games[[#This Row],[Round]]=1),IF(Games[[#This Row],[Result]]&gt;0.5,1,0),0)</f>
        <v>0</v>
      </c>
      <c r="AF91" s="2">
        <f>IF(AND(Games[[#This Row],[Type]]="P",Games[[#This Row],[Round]]=1),IF(Games[[#This Row],[Result]]&lt;0.5,1,0),0)</f>
        <v>0</v>
      </c>
      <c r="AG91" s="2">
        <f>IF(AND(Games[[#This Row],[Type]]="P",Games[[#This Row],[Round]]=2),IF(Games[[#This Row],[Result]]&gt;0.5,1,0),0)</f>
        <v>0</v>
      </c>
      <c r="AH91" s="2">
        <f>IF(AND(Games[[#This Row],[Type]]="P",Games[[#This Row],[Round]]=2),IF(Games[[#This Row],[Result]]&lt;0.5,1,0),0)</f>
        <v>0</v>
      </c>
      <c r="AI91" s="2">
        <f>IF(AND(Games[[#This Row],[Type]]="P",Games[[#This Row],[Round]]=3),IF(Games[[#This Row],[Result]]&gt;0.5,1,0),0)</f>
        <v>0</v>
      </c>
      <c r="AJ91" s="2">
        <f>IF(AND(Games[[#This Row],[Type]]="P",Games[[#This Row],[Round]]=3),IF(Games[[#This Row],[Result]]&lt;0.5,1,0),0)</f>
        <v>0</v>
      </c>
      <c r="AK91" s="2">
        <f>IF(AND(Games[[#This Row],[Type]]="P",Games[[#This Row],[Round]]=4),IF(Games[[#This Row],[Result]]&gt;0.5,1,0),0)</f>
        <v>0</v>
      </c>
      <c r="AL91" s="2">
        <f>IF(AND(Games[[#This Row],[Type]]="P",Games[[#This Row],[Round]]=4),IF(Games[[#This Row],[Result]]&lt;0.5,1,0),0)</f>
        <v>0</v>
      </c>
    </row>
    <row r="92" spans="1:38" x14ac:dyDescent="0.35">
      <c r="A92" s="10">
        <v>44351</v>
      </c>
      <c r="B92" s="2">
        <v>2021</v>
      </c>
      <c r="C92" s="2">
        <f>COUNTIFS(Games[Team],Games[[#This Row],[Team]],Games[Season],Games[[#This Row],[Season]],Games[Date],"&lt;=" &amp; Games[[#This Row],[Date]])</f>
        <v>7</v>
      </c>
      <c r="D92" s="2" t="s">
        <v>79</v>
      </c>
      <c r="E92" s="2" t="s">
        <v>80</v>
      </c>
      <c r="F92" s="1" t="s">
        <v>84</v>
      </c>
      <c r="G92" s="1" t="s">
        <v>71</v>
      </c>
      <c r="H92" s="1" t="s">
        <v>81</v>
      </c>
      <c r="I92" s="2" cm="1">
        <f t="array" ref="I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92" s="2" cm="1">
        <f t="array" ref="J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2" s="2">
        <f>Games[[#This Row],[DaysOff]]-Games[[#This Row],[OppDaysOff]]</f>
        <v>0</v>
      </c>
      <c r="L92" s="2">
        <f>Games[[#This Row],[OppDaysOff]]-Games[[#This Row],[DaysOff]]</f>
        <v>0</v>
      </c>
      <c r="M92" s="1">
        <f>MAX(-16, MIN(16, Games[[#This Row],[RestDiff]]*8))</f>
        <v>0</v>
      </c>
      <c r="N92" s="1">
        <f>MAX(-16, MIN(16, Games[[#This Row],[OppRestDiff]]*8))</f>
        <v>0</v>
      </c>
      <c r="O92" s="4" cm="1">
        <f t="array" ref="O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1458.6190537062764</v>
      </c>
      <c r="P92" s="4" cm="1">
        <f t="array" ref="P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1650.6862861032514</v>
      </c>
      <c r="Q92" s="4">
        <f>1/(1+10^(((Games[[#This Row],[OppPreGmRate]]+IF(Games[[#This Row],[HomeAway]]="A",HCA,0)+Games[[#This Row],[OppRestAdj]])-(Games[[#This Row],[PreGmRate]]+IF(Games[[#This Row],[HomeAway]]="H",HCA,0)+Games[[#This Row],[RestAdj]]))/400))</f>
        <v>0.16950060070469458</v>
      </c>
      <c r="R92" s="1">
        <v>102</v>
      </c>
      <c r="S92" s="1">
        <v>105</v>
      </c>
      <c r="T92" s="1">
        <v>1</v>
      </c>
      <c r="U92" s="1">
        <f>Games[[#This Row],[PointsFor]]-Games[[#This Row],[PointsAgainst]]</f>
        <v>-3</v>
      </c>
      <c r="V92" s="1">
        <f>IF(Games[[#This Row],[MOV]]&gt;0,1,IF(Games[[#This Row],[MOV]]=0,0.5,0))</f>
        <v>0</v>
      </c>
      <c r="W92" s="4">
        <f>((ABS(Games[[#This Row],[MOV]])+5)^0.6)/(12+0.01*(ABS(Games[[#This Row],[PreGmRate]]-Games[[#This Row],[OppPreGmRate]])))*IF(Games[[#This Row],[OT]]=1,0.9,1)</f>
        <v>0.22513151340181328</v>
      </c>
      <c r="X92" s="7" cm="1">
        <f t="array" ref="X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2" s="9">
        <f>MAX(kmin, kmax - 0.15 * MIN(Games[[#This Row],[GamesPlayed]], 82))</f>
        <v>74.95</v>
      </c>
      <c r="Z92" s="4">
        <f>Games[[#This Row],[K]]*Games[[#This Row],[POMult]]</f>
        <v>74.95</v>
      </c>
      <c r="AA92" s="4">
        <f>(Games[[#This Row],[Keff]]*Games[[#This Row],[MOVMult]])*(Games[[#This Row],[Result]]-Games[[#This Row],[ExpectedWin%]])</f>
        <v>-2.8600865105993685</v>
      </c>
      <c r="AB92" s="4">
        <f>Games[[#This Row],[PreGmRate]]+Games[[#This Row],[RatingChange]]</f>
        <v>1455.7589671956771</v>
      </c>
      <c r="AC92" s="2">
        <f>IF(Games[[#This Row],[Type]]="R",IF(Games[[#This Row],[Result]]&gt;0.5,1,0),0)</f>
        <v>0</v>
      </c>
      <c r="AD92" s="2">
        <f>IF(Games[[#This Row],[Type]]="R",IF(Games[[#This Row],[Result]]&lt;0.5,1,0),0)</f>
        <v>1</v>
      </c>
      <c r="AE92" s="2">
        <f>IF(AND(Games[[#This Row],[Type]]="P",Games[[#This Row],[Round]]=1),IF(Games[[#This Row],[Result]]&gt;0.5,1,0),0)</f>
        <v>0</v>
      </c>
      <c r="AF92" s="2">
        <f>IF(AND(Games[[#This Row],[Type]]="P",Games[[#This Row],[Round]]=1),IF(Games[[#This Row],[Result]]&lt;0.5,1,0),0)</f>
        <v>0</v>
      </c>
      <c r="AG92" s="2">
        <f>IF(AND(Games[[#This Row],[Type]]="P",Games[[#This Row],[Round]]=2),IF(Games[[#This Row],[Result]]&gt;0.5,1,0),0)</f>
        <v>0</v>
      </c>
      <c r="AH92" s="2">
        <f>IF(AND(Games[[#This Row],[Type]]="P",Games[[#This Row],[Round]]=2),IF(Games[[#This Row],[Result]]&lt;0.5,1,0),0)</f>
        <v>0</v>
      </c>
      <c r="AI92" s="2">
        <f>IF(AND(Games[[#This Row],[Type]]="P",Games[[#This Row],[Round]]=3),IF(Games[[#This Row],[Result]]&gt;0.5,1,0),0)</f>
        <v>0</v>
      </c>
      <c r="AJ92" s="2">
        <f>IF(AND(Games[[#This Row],[Type]]="P",Games[[#This Row],[Round]]=3),IF(Games[[#This Row],[Result]]&lt;0.5,1,0),0)</f>
        <v>0</v>
      </c>
      <c r="AK92" s="2">
        <f>IF(AND(Games[[#This Row],[Type]]="P",Games[[#This Row],[Round]]=4),IF(Games[[#This Row],[Result]]&gt;0.5,1,0),0)</f>
        <v>0</v>
      </c>
      <c r="AL92" s="2">
        <f>IF(AND(Games[[#This Row],[Type]]="P",Games[[#This Row],[Round]]=4),IF(Games[[#This Row],[Result]]&lt;0.5,1,0),0)</f>
        <v>0</v>
      </c>
    </row>
    <row r="93" spans="1:38" x14ac:dyDescent="0.35">
      <c r="A93" s="10">
        <v>44351</v>
      </c>
      <c r="B93" s="2">
        <v>2021</v>
      </c>
      <c r="C93" s="2">
        <f>COUNTIFS(Games[Team],Games[[#This Row],[Team]],Games[Season],Games[[#This Row],[Season]],Games[Date],"&lt;=" &amp; Games[[#This Row],[Date]])</f>
        <v>8</v>
      </c>
      <c r="D93" s="2" t="s">
        <v>79</v>
      </c>
      <c r="E93" s="2" t="s">
        <v>80</v>
      </c>
      <c r="F93" s="1" t="s">
        <v>71</v>
      </c>
      <c r="G93" s="1" t="s">
        <v>84</v>
      </c>
      <c r="H93" s="1" t="s">
        <v>82</v>
      </c>
      <c r="I93" s="2" cm="1">
        <f t="array" ref="I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93" s="2" cm="1">
        <f t="array" ref="J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93" s="2">
        <f>Games[[#This Row],[DaysOff]]-Games[[#This Row],[OppDaysOff]]</f>
        <v>0</v>
      </c>
      <c r="L93" s="2">
        <f>Games[[#This Row],[OppDaysOff]]-Games[[#This Row],[DaysOff]]</f>
        <v>0</v>
      </c>
      <c r="M93" s="1">
        <f>MAX(-16, MIN(16, Games[[#This Row],[RestDiff]]*8))</f>
        <v>0</v>
      </c>
      <c r="N93" s="1">
        <f>MAX(-16, MIN(16, Games[[#This Row],[OppRestDiff]]*8))</f>
        <v>0</v>
      </c>
      <c r="O93" s="4" cm="1">
        <f t="array" ref="O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1650.6862861032514</v>
      </c>
      <c r="P93" s="4" cm="1">
        <f t="array" ref="P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1458.6190537062764</v>
      </c>
      <c r="Q93" s="4">
        <f>1/(1+10^(((Games[[#This Row],[OppPreGmRate]]+IF(Games[[#This Row],[HomeAway]]="A",HCA,0)+Games[[#This Row],[OppRestAdj]])-(Games[[#This Row],[PreGmRate]]+IF(Games[[#This Row],[HomeAway]]="H",HCA,0)+Games[[#This Row],[RestAdj]]))/400))</f>
        <v>0.83049939929530536</v>
      </c>
      <c r="R93" s="1">
        <v>105</v>
      </c>
      <c r="S93" s="1">
        <v>102</v>
      </c>
      <c r="T93" s="1">
        <v>1</v>
      </c>
      <c r="U93" s="1">
        <f>Games[[#This Row],[PointsFor]]-Games[[#This Row],[PointsAgainst]]</f>
        <v>3</v>
      </c>
      <c r="V93" s="1">
        <f>IF(Games[[#This Row],[MOV]]&gt;0,1,IF(Games[[#This Row],[MOV]]=0,0.5,0))</f>
        <v>1</v>
      </c>
      <c r="W93" s="4">
        <f>((ABS(Games[[#This Row],[MOV]])+5)^0.6)/(12+0.01*(ABS(Games[[#This Row],[PreGmRate]]-Games[[#This Row],[OppPreGmRate]])))*IF(Games[[#This Row],[OT]]=1,0.9,1)</f>
        <v>0.22513151340181328</v>
      </c>
      <c r="X93" s="7" cm="1">
        <f t="array" ref="X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3" s="9">
        <f>MAX(kmin, kmax - 0.15 * MIN(Games[[#This Row],[GamesPlayed]], 82))</f>
        <v>74.8</v>
      </c>
      <c r="Z93" s="4">
        <f>Games[[#This Row],[K]]*Games[[#This Row],[POMult]]</f>
        <v>74.8</v>
      </c>
      <c r="AA93" s="4">
        <f>(Games[[#This Row],[Keff]]*Games[[#This Row],[MOVMult]])*(Games[[#This Row],[Result]]-Games[[#This Row],[ExpectedWin%]])</f>
        <v>2.8543625215854944</v>
      </c>
      <c r="AB93" s="4">
        <f>Games[[#This Row],[PreGmRate]]+Games[[#This Row],[RatingChange]]</f>
        <v>1653.5406486248369</v>
      </c>
      <c r="AC93" s="2">
        <f>IF(Games[[#This Row],[Type]]="R",IF(Games[[#This Row],[Result]]&gt;0.5,1,0),0)</f>
        <v>1</v>
      </c>
      <c r="AD93" s="2">
        <f>IF(Games[[#This Row],[Type]]="R",IF(Games[[#This Row],[Result]]&lt;0.5,1,0),0)</f>
        <v>0</v>
      </c>
      <c r="AE93" s="2">
        <f>IF(AND(Games[[#This Row],[Type]]="P",Games[[#This Row],[Round]]=1),IF(Games[[#This Row],[Result]]&gt;0.5,1,0),0)</f>
        <v>0</v>
      </c>
      <c r="AF93" s="2">
        <f>IF(AND(Games[[#This Row],[Type]]="P",Games[[#This Row],[Round]]=1),IF(Games[[#This Row],[Result]]&lt;0.5,1,0),0)</f>
        <v>0</v>
      </c>
      <c r="AG93" s="2">
        <f>IF(AND(Games[[#This Row],[Type]]="P",Games[[#This Row],[Round]]=2),IF(Games[[#This Row],[Result]]&gt;0.5,1,0),0)</f>
        <v>0</v>
      </c>
      <c r="AH93" s="2">
        <f>IF(AND(Games[[#This Row],[Type]]="P",Games[[#This Row],[Round]]=2),IF(Games[[#This Row],[Result]]&lt;0.5,1,0),0)</f>
        <v>0</v>
      </c>
      <c r="AI93" s="2">
        <f>IF(AND(Games[[#This Row],[Type]]="P",Games[[#This Row],[Round]]=3),IF(Games[[#This Row],[Result]]&gt;0.5,1,0),0)</f>
        <v>0</v>
      </c>
      <c r="AJ93" s="2">
        <f>IF(AND(Games[[#This Row],[Type]]="P",Games[[#This Row],[Round]]=3),IF(Games[[#This Row],[Result]]&lt;0.5,1,0),0)</f>
        <v>0</v>
      </c>
      <c r="AK93" s="2">
        <f>IF(AND(Games[[#This Row],[Type]]="P",Games[[#This Row],[Round]]=4),IF(Games[[#This Row],[Result]]&gt;0.5,1,0),0)</f>
        <v>0</v>
      </c>
      <c r="AL93" s="2">
        <f>IF(AND(Games[[#This Row],[Type]]="P",Games[[#This Row],[Round]]=4),IF(Games[[#This Row],[Result]]&lt;0.5,1,0),0)</f>
        <v>0</v>
      </c>
    </row>
    <row r="94" spans="1:38" x14ac:dyDescent="0.35">
      <c r="A94" s="10">
        <v>44352</v>
      </c>
      <c r="B94" s="2">
        <v>2021</v>
      </c>
      <c r="C94" s="2">
        <f>COUNTIFS(Games[Team],Games[[#This Row],[Team]],Games[Season],Games[[#This Row],[Season]],Games[Date],"&lt;=" &amp; Games[[#This Row],[Date]])</f>
        <v>9</v>
      </c>
      <c r="D94" s="2" t="s">
        <v>79</v>
      </c>
      <c r="E94" s="2" t="s">
        <v>80</v>
      </c>
      <c r="F94" s="1" t="s">
        <v>60</v>
      </c>
      <c r="G94" s="1" t="s">
        <v>74</v>
      </c>
      <c r="H94" s="1" t="s">
        <v>81</v>
      </c>
      <c r="I94" s="2" cm="1">
        <f t="array" ref="I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94" s="2" cm="1">
        <f t="array" ref="J9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94" s="2">
        <f>Games[[#This Row],[DaysOff]]-Games[[#This Row],[OppDaysOff]]</f>
        <v>-2</v>
      </c>
      <c r="L94" s="2">
        <f>Games[[#This Row],[OppDaysOff]]-Games[[#This Row],[DaysOff]]</f>
        <v>2</v>
      </c>
      <c r="M94" s="1">
        <f>MAX(-16, MIN(16, Games[[#This Row],[RestDiff]]*8))</f>
        <v>-16</v>
      </c>
      <c r="N94" s="1">
        <f>MAX(-16, MIN(16, Games[[#This Row],[OppRestDiff]]*8))</f>
        <v>16</v>
      </c>
      <c r="O94" s="4" cm="1">
        <f t="array" ref="O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1417.8363553786096</v>
      </c>
      <c r="P94" s="4" cm="1">
        <f t="array" ref="P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1610.4103359608303</v>
      </c>
      <c r="Q94" s="4">
        <f>1/(1+10^(((Games[[#This Row],[OppPreGmRate]]+IF(Games[[#This Row],[HomeAway]]="A",HCA,0)+Games[[#This Row],[OppRestAdj]])-(Games[[#This Row],[PreGmRate]]+IF(Games[[#This Row],[HomeAway]]="H",HCA,0)+Games[[#This Row],[RestAdj]]))/400))</f>
        <v>0.14476127682198267</v>
      </c>
      <c r="R94" s="1">
        <v>64</v>
      </c>
      <c r="S94" s="1">
        <v>85</v>
      </c>
      <c r="T94" s="1">
        <v>0</v>
      </c>
      <c r="U94" s="1">
        <f>Games[[#This Row],[PointsFor]]-Games[[#This Row],[PointsAgainst]]</f>
        <v>-21</v>
      </c>
      <c r="V94" s="1">
        <f>IF(Games[[#This Row],[MOV]]&gt;0,1,IF(Games[[#This Row],[MOV]]=0,0.5,0))</f>
        <v>0</v>
      </c>
      <c r="W94" s="4">
        <f>((ABS(Games[[#This Row],[MOV]])+5)^0.6)/(12+0.01*(ABS(Games[[#This Row],[PreGmRate]]-Games[[#This Row],[OppPreGmRate]])))*IF(Games[[#This Row],[OT]]=1,0.9,1)</f>
        <v>0.50718421941905834</v>
      </c>
      <c r="X94" s="7" cm="1">
        <f t="array" ref="X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4" s="9">
        <f>MAX(kmin, kmax - 0.15 * MIN(Games[[#This Row],[GamesPlayed]], 82))</f>
        <v>74.650000000000006</v>
      </c>
      <c r="Z94" s="4">
        <f>Games[[#This Row],[K]]*Games[[#This Row],[POMult]]</f>
        <v>74.650000000000006</v>
      </c>
      <c r="AA94" s="4">
        <f>(Games[[#This Row],[Keff]]*Games[[#This Row],[MOVMult]])*(Games[[#This Row],[Result]]-Games[[#This Row],[ExpectedWin%]])</f>
        <v>-5.4808504167142909</v>
      </c>
      <c r="AB94" s="4">
        <f>Games[[#This Row],[PreGmRate]]+Games[[#This Row],[RatingChange]]</f>
        <v>1412.3555049618953</v>
      </c>
      <c r="AC94" s="2">
        <f>IF(Games[[#This Row],[Type]]="R",IF(Games[[#This Row],[Result]]&gt;0.5,1,0),0)</f>
        <v>0</v>
      </c>
      <c r="AD94" s="2">
        <f>IF(Games[[#This Row],[Type]]="R",IF(Games[[#This Row],[Result]]&lt;0.5,1,0),0)</f>
        <v>1</v>
      </c>
      <c r="AE94" s="2">
        <f>IF(AND(Games[[#This Row],[Type]]="P",Games[[#This Row],[Round]]=1),IF(Games[[#This Row],[Result]]&gt;0.5,1,0),0)</f>
        <v>0</v>
      </c>
      <c r="AF94" s="2">
        <f>IF(AND(Games[[#This Row],[Type]]="P",Games[[#This Row],[Round]]=1),IF(Games[[#This Row],[Result]]&lt;0.5,1,0),0)</f>
        <v>0</v>
      </c>
      <c r="AG94" s="2">
        <f>IF(AND(Games[[#This Row],[Type]]="P",Games[[#This Row],[Round]]=2),IF(Games[[#This Row],[Result]]&gt;0.5,1,0),0)</f>
        <v>0</v>
      </c>
      <c r="AH94" s="2">
        <f>IF(AND(Games[[#This Row],[Type]]="P",Games[[#This Row],[Round]]=2),IF(Games[[#This Row],[Result]]&lt;0.5,1,0),0)</f>
        <v>0</v>
      </c>
      <c r="AI94" s="2">
        <f>IF(AND(Games[[#This Row],[Type]]="P",Games[[#This Row],[Round]]=3),IF(Games[[#This Row],[Result]]&gt;0.5,1,0),0)</f>
        <v>0</v>
      </c>
      <c r="AJ94" s="2">
        <f>IF(AND(Games[[#This Row],[Type]]="P",Games[[#This Row],[Round]]=3),IF(Games[[#This Row],[Result]]&lt;0.5,1,0),0)</f>
        <v>0</v>
      </c>
      <c r="AK94" s="2">
        <f>IF(AND(Games[[#This Row],[Type]]="P",Games[[#This Row],[Round]]=4),IF(Games[[#This Row],[Result]]&gt;0.5,1,0),0)</f>
        <v>0</v>
      </c>
      <c r="AL94" s="2">
        <f>IF(AND(Games[[#This Row],[Type]]="P",Games[[#This Row],[Round]]=4),IF(Games[[#This Row],[Result]]&lt;0.5,1,0),0)</f>
        <v>0</v>
      </c>
    </row>
    <row r="95" spans="1:38" x14ac:dyDescent="0.35">
      <c r="A95" s="10">
        <v>44352</v>
      </c>
      <c r="B95" s="2">
        <v>2021</v>
      </c>
      <c r="C95" s="2">
        <f>COUNTIFS(Games[Team],Games[[#This Row],[Team]],Games[Season],Games[[#This Row],[Season]],Games[Date],"&lt;=" &amp; Games[[#This Row],[Date]])</f>
        <v>10</v>
      </c>
      <c r="D95" s="2" t="s">
        <v>79</v>
      </c>
      <c r="E95" s="2" t="s">
        <v>80</v>
      </c>
      <c r="F95" s="1" t="s">
        <v>74</v>
      </c>
      <c r="G95" s="1" t="s">
        <v>60</v>
      </c>
      <c r="H95" s="1" t="s">
        <v>82</v>
      </c>
      <c r="I95" s="2" cm="1">
        <f t="array" ref="I95">IFERROR(
    Games[[#This Row],[Date]]
    - LOOKUP(
        2,
        1/((Games[Team]=Games[[#This Row],[Team]]) * (Games[Date] &lt; Games[[#This Row],[Date]])),
        Games[Date]
    )
    - 1,
Games[[#This Row],[Date]]-$A$2)</f>
        <v>3</v>
      </c>
      <c r="J95" s="2" cm="1">
        <f t="array" ref="J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5" s="2">
        <f>Games[[#This Row],[DaysOff]]-Games[[#This Row],[OppDaysOff]]</f>
        <v>2</v>
      </c>
      <c r="L95" s="2">
        <f>Games[[#This Row],[OppDaysOff]]-Games[[#This Row],[DaysOff]]</f>
        <v>-2</v>
      </c>
      <c r="M95" s="1">
        <f>MAX(-16, MIN(16, Games[[#This Row],[RestDiff]]*8))</f>
        <v>16</v>
      </c>
      <c r="N95" s="1">
        <f>MAX(-16, MIN(16, Games[[#This Row],[OppRestDiff]]*8))</f>
        <v>-16</v>
      </c>
      <c r="O95" s="4" cm="1">
        <f t="array" ref="O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1610.4103359608303</v>
      </c>
      <c r="P95" s="4" cm="1">
        <f t="array" ref="P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1417.8363553786096</v>
      </c>
      <c r="Q95" s="4">
        <f>1/(1+10^(((Games[[#This Row],[OppPreGmRate]]+IF(Games[[#This Row],[HomeAway]]="A",HCA,0)+Games[[#This Row],[OppRestAdj]])-(Games[[#This Row],[PreGmRate]]+IF(Games[[#This Row],[HomeAway]]="H",HCA,0)+Games[[#This Row],[RestAdj]]))/400))</f>
        <v>0.8552387231780173</v>
      </c>
      <c r="R95" s="1">
        <v>85</v>
      </c>
      <c r="S95" s="1">
        <v>64</v>
      </c>
      <c r="T95" s="1">
        <v>0</v>
      </c>
      <c r="U95" s="1">
        <f>Games[[#This Row],[PointsFor]]-Games[[#This Row],[PointsAgainst]]</f>
        <v>21</v>
      </c>
      <c r="V95" s="1">
        <f>IF(Games[[#This Row],[MOV]]&gt;0,1,IF(Games[[#This Row],[MOV]]=0,0.5,0))</f>
        <v>1</v>
      </c>
      <c r="W95" s="4">
        <f>((ABS(Games[[#This Row],[MOV]])+5)^0.6)/(12+0.01*(ABS(Games[[#This Row],[PreGmRate]]-Games[[#This Row],[OppPreGmRate]])))*IF(Games[[#This Row],[OT]]=1,0.9,1)</f>
        <v>0.50718421941905834</v>
      </c>
      <c r="X95" s="7" cm="1">
        <f t="array" ref="X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5" s="9">
        <f>MAX(kmin, kmax - 0.15 * MIN(Games[[#This Row],[GamesPlayed]], 82))</f>
        <v>74.5</v>
      </c>
      <c r="Z95" s="4">
        <f>Games[[#This Row],[K]]*Games[[#This Row],[POMult]]</f>
        <v>74.5</v>
      </c>
      <c r="AA95" s="4">
        <f>(Games[[#This Row],[Keff]]*Games[[#This Row],[MOVMult]])*(Games[[#This Row],[Result]]-Games[[#This Row],[ExpectedWin%]])</f>
        <v>5.4698373214362315</v>
      </c>
      <c r="AB95" s="4">
        <f>Games[[#This Row],[PreGmRate]]+Games[[#This Row],[RatingChange]]</f>
        <v>1615.8801732822665</v>
      </c>
      <c r="AC95" s="2">
        <f>IF(Games[[#This Row],[Type]]="R",IF(Games[[#This Row],[Result]]&gt;0.5,1,0),0)</f>
        <v>1</v>
      </c>
      <c r="AD95" s="2">
        <f>IF(Games[[#This Row],[Type]]="R",IF(Games[[#This Row],[Result]]&lt;0.5,1,0),0)</f>
        <v>0</v>
      </c>
      <c r="AE95" s="2">
        <f>IF(AND(Games[[#This Row],[Type]]="P",Games[[#This Row],[Round]]=1),IF(Games[[#This Row],[Result]]&gt;0.5,1,0),0)</f>
        <v>0</v>
      </c>
      <c r="AF95" s="2">
        <f>IF(AND(Games[[#This Row],[Type]]="P",Games[[#This Row],[Round]]=1),IF(Games[[#This Row],[Result]]&lt;0.5,1,0),0)</f>
        <v>0</v>
      </c>
      <c r="AG95" s="2">
        <f>IF(AND(Games[[#This Row],[Type]]="P",Games[[#This Row],[Round]]=2),IF(Games[[#This Row],[Result]]&gt;0.5,1,0),0)</f>
        <v>0</v>
      </c>
      <c r="AH95" s="2">
        <f>IF(AND(Games[[#This Row],[Type]]="P",Games[[#This Row],[Round]]=2),IF(Games[[#This Row],[Result]]&lt;0.5,1,0),0)</f>
        <v>0</v>
      </c>
      <c r="AI95" s="2">
        <f>IF(AND(Games[[#This Row],[Type]]="P",Games[[#This Row],[Round]]=3),IF(Games[[#This Row],[Result]]&gt;0.5,1,0),0)</f>
        <v>0</v>
      </c>
      <c r="AJ95" s="2">
        <f>IF(AND(Games[[#This Row],[Type]]="P",Games[[#This Row],[Round]]=3),IF(Games[[#This Row],[Result]]&lt;0.5,1,0),0)</f>
        <v>0</v>
      </c>
      <c r="AK95" s="2">
        <f>IF(AND(Games[[#This Row],[Type]]="P",Games[[#This Row],[Round]]=4),IF(Games[[#This Row],[Result]]&gt;0.5,1,0),0)</f>
        <v>0</v>
      </c>
      <c r="AL95" s="2">
        <f>IF(AND(Games[[#This Row],[Type]]="P",Games[[#This Row],[Round]]=4),IF(Games[[#This Row],[Result]]&lt;0.5,1,0),0)</f>
        <v>0</v>
      </c>
    </row>
    <row r="96" spans="1:38" x14ac:dyDescent="0.35">
      <c r="A96" s="10">
        <v>44352</v>
      </c>
      <c r="B96" s="2">
        <v>2021</v>
      </c>
      <c r="C96" s="2">
        <f>COUNTIFS(Games[Team],Games[[#This Row],[Team]],Games[Season],Games[[#This Row],[Season]],Games[Date],"&lt;=" &amp; Games[[#This Row],[Date]])</f>
        <v>9</v>
      </c>
      <c r="D96" s="2" t="s">
        <v>79</v>
      </c>
      <c r="E96" s="2" t="s">
        <v>80</v>
      </c>
      <c r="F96" s="1" t="s">
        <v>75</v>
      </c>
      <c r="G96" s="1" t="s">
        <v>63</v>
      </c>
      <c r="H96" s="1" t="s">
        <v>81</v>
      </c>
      <c r="I96" s="2" cm="1">
        <f t="array" ref="I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96" s="2" cm="1">
        <f t="array" ref="J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6" s="2">
        <f>Games[[#This Row],[DaysOff]]-Games[[#This Row],[OppDaysOff]]</f>
        <v>0</v>
      </c>
      <c r="L96" s="2">
        <f>Games[[#This Row],[OppDaysOff]]-Games[[#This Row],[DaysOff]]</f>
        <v>0</v>
      </c>
      <c r="M96" s="1">
        <f>MAX(-16, MIN(16, Games[[#This Row],[RestDiff]]*8))</f>
        <v>0</v>
      </c>
      <c r="N96" s="1">
        <f>MAX(-16, MIN(16, Games[[#This Row],[OppRestDiff]]*8))</f>
        <v>0</v>
      </c>
      <c r="O96" s="4" cm="1">
        <f t="array" ref="O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1450.9885234317044</v>
      </c>
      <c r="P96" s="4" cm="1">
        <f t="array" ref="P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1511.8342778781989</v>
      </c>
      <c r="Q96" s="4">
        <f>1/(1+10^(((Games[[#This Row],[OppPreGmRate]]+IF(Games[[#This Row],[HomeAway]]="A",HCA,0)+Games[[#This Row],[OppRestAdj]])-(Games[[#This Row],[PreGmRate]]+IF(Games[[#This Row],[HomeAway]]="H",HCA,0)+Games[[#This Row],[RestAdj]]))/400))</f>
        <v>0.30284235175678526</v>
      </c>
      <c r="R96" s="1">
        <v>63</v>
      </c>
      <c r="S96" s="1">
        <v>68</v>
      </c>
      <c r="T96" s="1">
        <v>0</v>
      </c>
      <c r="U96" s="1">
        <f>Games[[#This Row],[PointsFor]]-Games[[#This Row],[PointsAgainst]]</f>
        <v>-5</v>
      </c>
      <c r="V96" s="1">
        <f>IF(Games[[#This Row],[MOV]]&gt;0,1,IF(Games[[#This Row],[MOV]]=0,0.5,0))</f>
        <v>0</v>
      </c>
      <c r="W96" s="4">
        <f>((ABS(Games[[#This Row],[MOV]])+5)^0.6)/(12+0.01*(ABS(Games[[#This Row],[PreGmRate]]-Games[[#This Row],[OppPreGmRate]])))*IF(Games[[#This Row],[OT]]=1,0.9,1)</f>
        <v>0.31574613242701083</v>
      </c>
      <c r="X96" s="7" cm="1">
        <f t="array" ref="X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6" s="9">
        <f>MAX(kmin, kmax - 0.15 * MIN(Games[[#This Row],[GamesPlayed]], 82))</f>
        <v>74.650000000000006</v>
      </c>
      <c r="Z96" s="4">
        <f>Games[[#This Row],[K]]*Games[[#This Row],[POMult]]</f>
        <v>74.650000000000006</v>
      </c>
      <c r="AA96" s="4">
        <f>(Games[[#This Row],[Keff]]*Games[[#This Row],[MOVMult]])*(Games[[#This Row],[Result]]-Games[[#This Row],[ExpectedWin%]])</f>
        <v>-7.1381301422170917</v>
      </c>
      <c r="AB96" s="4">
        <f>Games[[#This Row],[PreGmRate]]+Games[[#This Row],[RatingChange]]</f>
        <v>1443.8503932894873</v>
      </c>
      <c r="AC96" s="2">
        <f>IF(Games[[#This Row],[Type]]="R",IF(Games[[#This Row],[Result]]&gt;0.5,1,0),0)</f>
        <v>0</v>
      </c>
      <c r="AD96" s="2">
        <f>IF(Games[[#This Row],[Type]]="R",IF(Games[[#This Row],[Result]]&lt;0.5,1,0),0)</f>
        <v>1</v>
      </c>
      <c r="AE96" s="2">
        <f>IF(AND(Games[[#This Row],[Type]]="P",Games[[#This Row],[Round]]=1),IF(Games[[#This Row],[Result]]&gt;0.5,1,0),0)</f>
        <v>0</v>
      </c>
      <c r="AF96" s="2">
        <f>IF(AND(Games[[#This Row],[Type]]="P",Games[[#This Row],[Round]]=1),IF(Games[[#This Row],[Result]]&lt;0.5,1,0),0)</f>
        <v>0</v>
      </c>
      <c r="AG96" s="2">
        <f>IF(AND(Games[[#This Row],[Type]]="P",Games[[#This Row],[Round]]=2),IF(Games[[#This Row],[Result]]&gt;0.5,1,0),0)</f>
        <v>0</v>
      </c>
      <c r="AH96" s="2">
        <f>IF(AND(Games[[#This Row],[Type]]="P",Games[[#This Row],[Round]]=2),IF(Games[[#This Row],[Result]]&lt;0.5,1,0),0)</f>
        <v>0</v>
      </c>
      <c r="AI96" s="2">
        <f>IF(AND(Games[[#This Row],[Type]]="P",Games[[#This Row],[Round]]=3),IF(Games[[#This Row],[Result]]&gt;0.5,1,0),0)</f>
        <v>0</v>
      </c>
      <c r="AJ96" s="2">
        <f>IF(AND(Games[[#This Row],[Type]]="P",Games[[#This Row],[Round]]=3),IF(Games[[#This Row],[Result]]&lt;0.5,1,0),0)</f>
        <v>0</v>
      </c>
      <c r="AK96" s="2">
        <f>IF(AND(Games[[#This Row],[Type]]="P",Games[[#This Row],[Round]]=4),IF(Games[[#This Row],[Result]]&gt;0.5,1,0),0)</f>
        <v>0</v>
      </c>
      <c r="AL96" s="2">
        <f>IF(AND(Games[[#This Row],[Type]]="P",Games[[#This Row],[Round]]=4),IF(Games[[#This Row],[Result]]&lt;0.5,1,0),0)</f>
        <v>0</v>
      </c>
    </row>
    <row r="97" spans="1:38" x14ac:dyDescent="0.35">
      <c r="A97" s="10">
        <v>44352</v>
      </c>
      <c r="B97" s="2">
        <v>2021</v>
      </c>
      <c r="C97" s="2">
        <f>COUNTIFS(Games[Team],Games[[#This Row],[Team]],Games[Season],Games[[#This Row],[Season]],Games[Date],"&lt;=" &amp; Games[[#This Row],[Date]])</f>
        <v>7</v>
      </c>
      <c r="D97" s="2" t="s">
        <v>79</v>
      </c>
      <c r="E97" s="2" t="s">
        <v>80</v>
      </c>
      <c r="F97" s="1" t="s">
        <v>63</v>
      </c>
      <c r="G97" s="1" t="s">
        <v>75</v>
      </c>
      <c r="H97" s="1" t="s">
        <v>82</v>
      </c>
      <c r="I97" s="2" cm="1">
        <f t="array" ref="I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97" s="2" cm="1">
        <f t="array" ref="J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7" s="2">
        <f>Games[[#This Row],[DaysOff]]-Games[[#This Row],[OppDaysOff]]</f>
        <v>0</v>
      </c>
      <c r="L97" s="2">
        <f>Games[[#This Row],[OppDaysOff]]-Games[[#This Row],[DaysOff]]</f>
        <v>0</v>
      </c>
      <c r="M97" s="1">
        <f>MAX(-16, MIN(16, Games[[#This Row],[RestDiff]]*8))</f>
        <v>0</v>
      </c>
      <c r="N97" s="1">
        <f>MAX(-16, MIN(16, Games[[#This Row],[OppRestDiff]]*8))</f>
        <v>0</v>
      </c>
      <c r="O97" s="4" cm="1">
        <f t="array" ref="O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1511.8342778781989</v>
      </c>
      <c r="P97" s="4" cm="1">
        <f t="array" ref="P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1450.9885234317044</v>
      </c>
      <c r="Q97" s="4">
        <f>1/(1+10^(((Games[[#This Row],[OppPreGmRate]]+IF(Games[[#This Row],[HomeAway]]="A",HCA,0)+Games[[#This Row],[OppRestAdj]])-(Games[[#This Row],[PreGmRate]]+IF(Games[[#This Row],[HomeAway]]="H",HCA,0)+Games[[#This Row],[RestAdj]]))/400))</f>
        <v>0.69715764824321469</v>
      </c>
      <c r="R97" s="1">
        <v>68</v>
      </c>
      <c r="S97" s="1">
        <v>63</v>
      </c>
      <c r="T97" s="1">
        <v>0</v>
      </c>
      <c r="U97" s="1">
        <f>Games[[#This Row],[PointsFor]]-Games[[#This Row],[PointsAgainst]]</f>
        <v>5</v>
      </c>
      <c r="V97" s="1">
        <f>IF(Games[[#This Row],[MOV]]&gt;0,1,IF(Games[[#This Row],[MOV]]=0,0.5,0))</f>
        <v>1</v>
      </c>
      <c r="W97" s="4">
        <f>((ABS(Games[[#This Row],[MOV]])+5)^0.6)/(12+0.01*(ABS(Games[[#This Row],[PreGmRate]]-Games[[#This Row],[OppPreGmRate]])))*IF(Games[[#This Row],[OT]]=1,0.9,1)</f>
        <v>0.31574613242701083</v>
      </c>
      <c r="X97" s="7" cm="1">
        <f t="array" ref="X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7" s="9">
        <f>MAX(kmin, kmax - 0.15 * MIN(Games[[#This Row],[GamesPlayed]], 82))</f>
        <v>74.95</v>
      </c>
      <c r="Z97" s="4">
        <f>Games[[#This Row],[K]]*Games[[#This Row],[POMult]]</f>
        <v>74.95</v>
      </c>
      <c r="AA97" s="4">
        <f>(Games[[#This Row],[Keff]]*Games[[#This Row],[MOVMult]])*(Games[[#This Row],[Result]]-Games[[#This Row],[ExpectedWin%]])</f>
        <v>7.1668165326077844</v>
      </c>
      <c r="AB97" s="4">
        <f>Games[[#This Row],[PreGmRate]]+Games[[#This Row],[RatingChange]]</f>
        <v>1519.0010944108067</v>
      </c>
      <c r="AC97" s="2">
        <f>IF(Games[[#This Row],[Type]]="R",IF(Games[[#This Row],[Result]]&gt;0.5,1,0),0)</f>
        <v>1</v>
      </c>
      <c r="AD97" s="2">
        <f>IF(Games[[#This Row],[Type]]="R",IF(Games[[#This Row],[Result]]&lt;0.5,1,0),0)</f>
        <v>0</v>
      </c>
      <c r="AE97" s="2">
        <f>IF(AND(Games[[#This Row],[Type]]="P",Games[[#This Row],[Round]]=1),IF(Games[[#This Row],[Result]]&gt;0.5,1,0),0)</f>
        <v>0</v>
      </c>
      <c r="AF97" s="2">
        <f>IF(AND(Games[[#This Row],[Type]]="P",Games[[#This Row],[Round]]=1),IF(Games[[#This Row],[Result]]&lt;0.5,1,0),0)</f>
        <v>0</v>
      </c>
      <c r="AG97" s="2">
        <f>IF(AND(Games[[#This Row],[Type]]="P",Games[[#This Row],[Round]]=2),IF(Games[[#This Row],[Result]]&gt;0.5,1,0),0)</f>
        <v>0</v>
      </c>
      <c r="AH97" s="2">
        <f>IF(AND(Games[[#This Row],[Type]]="P",Games[[#This Row],[Round]]=2),IF(Games[[#This Row],[Result]]&lt;0.5,1,0),0)</f>
        <v>0</v>
      </c>
      <c r="AI97" s="2">
        <f>IF(AND(Games[[#This Row],[Type]]="P",Games[[#This Row],[Round]]=3),IF(Games[[#This Row],[Result]]&gt;0.5,1,0),0)</f>
        <v>0</v>
      </c>
      <c r="AJ97" s="2">
        <f>IF(AND(Games[[#This Row],[Type]]="P",Games[[#This Row],[Round]]=3),IF(Games[[#This Row],[Result]]&lt;0.5,1,0),0)</f>
        <v>0</v>
      </c>
      <c r="AK97" s="2">
        <f>IF(AND(Games[[#This Row],[Type]]="P",Games[[#This Row],[Round]]=4),IF(Games[[#This Row],[Result]]&gt;0.5,1,0),0)</f>
        <v>0</v>
      </c>
      <c r="AL97" s="2">
        <f>IF(AND(Games[[#This Row],[Type]]="P",Games[[#This Row],[Round]]=4),IF(Games[[#This Row],[Result]]&lt;0.5,1,0),0)</f>
        <v>0</v>
      </c>
    </row>
    <row r="98" spans="1:38" x14ac:dyDescent="0.35">
      <c r="A98" s="10">
        <v>44352</v>
      </c>
      <c r="B98" s="2">
        <v>2021</v>
      </c>
      <c r="C98" s="2">
        <f>COUNTIFS(Games[Team],Games[[#This Row],[Team]],Games[Season],Games[[#This Row],[Season]],Games[Date],"&lt;=" &amp; Games[[#This Row],[Date]])</f>
        <v>10</v>
      </c>
      <c r="D98" s="2" t="s">
        <v>79</v>
      </c>
      <c r="E98" s="2" t="s">
        <v>80</v>
      </c>
      <c r="F98" s="1" t="s">
        <v>85</v>
      </c>
      <c r="G98" s="1" t="s">
        <v>65</v>
      </c>
      <c r="H98" s="1" t="s">
        <v>81</v>
      </c>
      <c r="I98" s="2" cm="1">
        <f t="array" ref="I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98" s="2" cm="1">
        <f t="array" ref="J98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98" s="2">
        <f>Games[[#This Row],[DaysOff]]-Games[[#This Row],[OppDaysOff]]</f>
        <v>-6</v>
      </c>
      <c r="L98" s="2">
        <f>Games[[#This Row],[OppDaysOff]]-Games[[#This Row],[DaysOff]]</f>
        <v>6</v>
      </c>
      <c r="M98" s="1">
        <f>MAX(-16, MIN(16, Games[[#This Row],[RestDiff]]*8))</f>
        <v>-16</v>
      </c>
      <c r="N98" s="1">
        <f>MAX(-16, MIN(16, Games[[#This Row],[OppRestDiff]]*8))</f>
        <v>16</v>
      </c>
      <c r="O98" s="4" cm="1">
        <f t="array" ref="O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1601.1152153354867</v>
      </c>
      <c r="P98" s="4" cm="1">
        <f t="array" ref="P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1468.7898430079658</v>
      </c>
      <c r="Q98" s="4">
        <f>1/(1+10^(((Games[[#This Row],[OppPreGmRate]]+IF(Games[[#This Row],[HomeAway]]="A",HCA,0)+Games[[#This Row],[OppRestAdj]])-(Games[[#This Row],[PreGmRate]]+IF(Games[[#This Row],[HomeAway]]="H",HCA,0)+Games[[#This Row],[RestAdj]]))/400))</f>
        <v>0.52347682380410743</v>
      </c>
      <c r="R98" s="1">
        <v>96</v>
      </c>
      <c r="S98" s="1">
        <v>93</v>
      </c>
      <c r="T98" s="1">
        <v>0</v>
      </c>
      <c r="U98" s="1">
        <f>Games[[#This Row],[PointsFor]]-Games[[#This Row],[PointsAgainst]]</f>
        <v>3</v>
      </c>
      <c r="V98" s="1">
        <f>IF(Games[[#This Row],[MOV]]&gt;0,1,IF(Games[[#This Row],[MOV]]=0,0.5,0))</f>
        <v>1</v>
      </c>
      <c r="W98" s="4">
        <f>((ABS(Games[[#This Row],[MOV]])+5)^0.6)/(12+0.01*(ABS(Games[[#This Row],[PreGmRate]]-Games[[#This Row],[OppPreGmRate]])))*IF(Games[[#This Row],[OT]]=1,0.9,1)</f>
        <v>0.26136275158531463</v>
      </c>
      <c r="X98" s="7" cm="1">
        <f t="array" ref="X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8" s="9">
        <f>MAX(kmin, kmax - 0.15 * MIN(Games[[#This Row],[GamesPlayed]], 82))</f>
        <v>74.5</v>
      </c>
      <c r="Z98" s="4">
        <f>Games[[#This Row],[K]]*Games[[#This Row],[POMult]]</f>
        <v>74.5</v>
      </c>
      <c r="AA98" s="4">
        <f>(Games[[#This Row],[Keff]]*Games[[#This Row],[MOVMult]])*(Games[[#This Row],[Result]]-Games[[#This Row],[ExpectedWin%]])</f>
        <v>9.2786329350925492</v>
      </c>
      <c r="AB98" s="4">
        <f>Games[[#This Row],[PreGmRate]]+Games[[#This Row],[RatingChange]]</f>
        <v>1610.3938482705792</v>
      </c>
      <c r="AC98" s="2">
        <f>IF(Games[[#This Row],[Type]]="R",IF(Games[[#This Row],[Result]]&gt;0.5,1,0),0)</f>
        <v>1</v>
      </c>
      <c r="AD98" s="2">
        <f>IF(Games[[#This Row],[Type]]="R",IF(Games[[#This Row],[Result]]&lt;0.5,1,0),0)</f>
        <v>0</v>
      </c>
      <c r="AE98" s="2">
        <f>IF(AND(Games[[#This Row],[Type]]="P",Games[[#This Row],[Round]]=1),IF(Games[[#This Row],[Result]]&gt;0.5,1,0),0)</f>
        <v>0</v>
      </c>
      <c r="AF98" s="2">
        <f>IF(AND(Games[[#This Row],[Type]]="P",Games[[#This Row],[Round]]=1),IF(Games[[#This Row],[Result]]&lt;0.5,1,0),0)</f>
        <v>0</v>
      </c>
      <c r="AG98" s="2">
        <f>IF(AND(Games[[#This Row],[Type]]="P",Games[[#This Row],[Round]]=2),IF(Games[[#This Row],[Result]]&gt;0.5,1,0),0)</f>
        <v>0</v>
      </c>
      <c r="AH98" s="2">
        <f>IF(AND(Games[[#This Row],[Type]]="P",Games[[#This Row],[Round]]=2),IF(Games[[#This Row],[Result]]&lt;0.5,1,0),0)</f>
        <v>0</v>
      </c>
      <c r="AI98" s="2">
        <f>IF(AND(Games[[#This Row],[Type]]="P",Games[[#This Row],[Round]]=3),IF(Games[[#This Row],[Result]]&gt;0.5,1,0),0)</f>
        <v>0</v>
      </c>
      <c r="AJ98" s="2">
        <f>IF(AND(Games[[#This Row],[Type]]="P",Games[[#This Row],[Round]]=3),IF(Games[[#This Row],[Result]]&lt;0.5,1,0),0)</f>
        <v>0</v>
      </c>
      <c r="AK98" s="2">
        <f>IF(AND(Games[[#This Row],[Type]]="P",Games[[#This Row],[Round]]=4),IF(Games[[#This Row],[Result]]&gt;0.5,1,0),0)</f>
        <v>0</v>
      </c>
      <c r="AL98" s="2">
        <f>IF(AND(Games[[#This Row],[Type]]="P",Games[[#This Row],[Round]]=4),IF(Games[[#This Row],[Result]]&lt;0.5,1,0),0)</f>
        <v>0</v>
      </c>
    </row>
    <row r="99" spans="1:38" x14ac:dyDescent="0.35">
      <c r="A99" s="10">
        <v>44352</v>
      </c>
      <c r="B99" s="2">
        <v>2021</v>
      </c>
      <c r="C99" s="2">
        <f>COUNTIFS(Games[Team],Games[[#This Row],[Team]],Games[Season],Games[[#This Row],[Season]],Games[Date],"&lt;=" &amp; Games[[#This Row],[Date]])</f>
        <v>7</v>
      </c>
      <c r="D99" s="2" t="s">
        <v>79</v>
      </c>
      <c r="E99" s="2" t="s">
        <v>80</v>
      </c>
      <c r="F99" s="1" t="s">
        <v>65</v>
      </c>
      <c r="G99" s="1" t="s">
        <v>85</v>
      </c>
      <c r="H99" s="1" t="s">
        <v>82</v>
      </c>
      <c r="I99" s="2" cm="1">
        <f t="array" ref="I99">IFERROR(
    Games[[#This Row],[Date]]
    - LOOKUP(
        2,
        1/((Games[Team]=Games[[#This Row],[Team]]) * (Games[Date] &lt; Games[[#This Row],[Date]])),
        Games[Date]
    )
    - 1,
Games[[#This Row],[Date]]-$A$2)</f>
        <v>7</v>
      </c>
      <c r="J99" s="2" cm="1">
        <f t="array" ref="J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99" s="2">
        <f>Games[[#This Row],[DaysOff]]-Games[[#This Row],[OppDaysOff]]</f>
        <v>6</v>
      </c>
      <c r="L99" s="2">
        <f>Games[[#This Row],[OppDaysOff]]-Games[[#This Row],[DaysOff]]</f>
        <v>-6</v>
      </c>
      <c r="M99" s="1">
        <f>MAX(-16, MIN(16, Games[[#This Row],[RestDiff]]*8))</f>
        <v>16</v>
      </c>
      <c r="N99" s="1">
        <f>MAX(-16, MIN(16, Games[[#This Row],[OppRestDiff]]*8))</f>
        <v>-16</v>
      </c>
      <c r="O99" s="4" cm="1">
        <f t="array" ref="O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1468.7898430079658</v>
      </c>
      <c r="P99" s="4" cm="1">
        <f t="array" ref="P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1601.1152153354867</v>
      </c>
      <c r="Q99" s="4">
        <f>1/(1+10^(((Games[[#This Row],[OppPreGmRate]]+IF(Games[[#This Row],[HomeAway]]="A",HCA,0)+Games[[#This Row],[OppRestAdj]])-(Games[[#This Row],[PreGmRate]]+IF(Games[[#This Row],[HomeAway]]="H",HCA,0)+Games[[#This Row],[RestAdj]]))/400))</f>
        <v>0.47652317619589246</v>
      </c>
      <c r="R99" s="1">
        <v>93</v>
      </c>
      <c r="S99" s="1">
        <v>96</v>
      </c>
      <c r="T99" s="1">
        <v>0</v>
      </c>
      <c r="U99" s="1">
        <f>Games[[#This Row],[PointsFor]]-Games[[#This Row],[PointsAgainst]]</f>
        <v>-3</v>
      </c>
      <c r="V99" s="1">
        <f>IF(Games[[#This Row],[MOV]]&gt;0,1,IF(Games[[#This Row],[MOV]]=0,0.5,0))</f>
        <v>0</v>
      </c>
      <c r="W99" s="4">
        <f>((ABS(Games[[#This Row],[MOV]])+5)^0.6)/(12+0.01*(ABS(Games[[#This Row],[PreGmRate]]-Games[[#This Row],[OppPreGmRate]])))*IF(Games[[#This Row],[OT]]=1,0.9,1)</f>
        <v>0.26136275158531463</v>
      </c>
      <c r="X99" s="7" cm="1">
        <f t="array" ref="X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99" s="9">
        <f>MAX(kmin, kmax - 0.15 * MIN(Games[[#This Row],[GamesPlayed]], 82))</f>
        <v>74.95</v>
      </c>
      <c r="Z99" s="4">
        <f>Games[[#This Row],[K]]*Games[[#This Row],[POMult]]</f>
        <v>74.95</v>
      </c>
      <c r="AA99" s="4">
        <f>(Games[[#This Row],[Keff]]*Games[[#This Row],[MOVMult]])*(Games[[#This Row],[Result]]-Games[[#This Row],[ExpectedWin%]])</f>
        <v>-9.3346783689286745</v>
      </c>
      <c r="AB99" s="4">
        <f>Games[[#This Row],[PreGmRate]]+Games[[#This Row],[RatingChange]]</f>
        <v>1459.4551646390371</v>
      </c>
      <c r="AC99" s="2">
        <f>IF(Games[[#This Row],[Type]]="R",IF(Games[[#This Row],[Result]]&gt;0.5,1,0),0)</f>
        <v>0</v>
      </c>
      <c r="AD99" s="2">
        <f>IF(Games[[#This Row],[Type]]="R",IF(Games[[#This Row],[Result]]&lt;0.5,1,0),0)</f>
        <v>1</v>
      </c>
      <c r="AE99" s="2">
        <f>IF(AND(Games[[#This Row],[Type]]="P",Games[[#This Row],[Round]]=1),IF(Games[[#This Row],[Result]]&gt;0.5,1,0),0)</f>
        <v>0</v>
      </c>
      <c r="AF99" s="2">
        <f>IF(AND(Games[[#This Row],[Type]]="P",Games[[#This Row],[Round]]=1),IF(Games[[#This Row],[Result]]&lt;0.5,1,0),0)</f>
        <v>0</v>
      </c>
      <c r="AG99" s="2">
        <f>IF(AND(Games[[#This Row],[Type]]="P",Games[[#This Row],[Round]]=2),IF(Games[[#This Row],[Result]]&gt;0.5,1,0),0)</f>
        <v>0</v>
      </c>
      <c r="AH99" s="2">
        <f>IF(AND(Games[[#This Row],[Type]]="P",Games[[#This Row],[Round]]=2),IF(Games[[#This Row],[Result]]&lt;0.5,1,0),0)</f>
        <v>0</v>
      </c>
      <c r="AI99" s="2">
        <f>IF(AND(Games[[#This Row],[Type]]="P",Games[[#This Row],[Round]]=3),IF(Games[[#This Row],[Result]]&gt;0.5,1,0),0)</f>
        <v>0</v>
      </c>
      <c r="AJ99" s="2">
        <f>IF(AND(Games[[#This Row],[Type]]="P",Games[[#This Row],[Round]]=3),IF(Games[[#This Row],[Result]]&lt;0.5,1,0),0)</f>
        <v>0</v>
      </c>
      <c r="AK99" s="2">
        <f>IF(AND(Games[[#This Row],[Type]]="P",Games[[#This Row],[Round]]=4),IF(Games[[#This Row],[Result]]&gt;0.5,1,0),0)</f>
        <v>0</v>
      </c>
      <c r="AL99" s="2">
        <f>IF(AND(Games[[#This Row],[Type]]="P",Games[[#This Row],[Round]]=4),IF(Games[[#This Row],[Result]]&lt;0.5,1,0),0)</f>
        <v>0</v>
      </c>
    </row>
    <row r="100" spans="1:38" x14ac:dyDescent="0.35">
      <c r="A100" s="10">
        <v>44353</v>
      </c>
      <c r="B100" s="2">
        <v>2021</v>
      </c>
      <c r="C100" s="2">
        <f>COUNTIFS(Games[Team],Games[[#This Row],[Team]],Games[Season],Games[[#This Row],[Season]],Games[Date],"&lt;=" &amp; Games[[#This Row],[Date]])</f>
        <v>8</v>
      </c>
      <c r="D100" s="2" t="s">
        <v>79</v>
      </c>
      <c r="E100" s="2" t="s">
        <v>80</v>
      </c>
      <c r="F100" s="1" t="s">
        <v>77</v>
      </c>
      <c r="G100" s="1" t="s">
        <v>67</v>
      </c>
      <c r="H100" s="1" t="s">
        <v>81</v>
      </c>
      <c r="I100" s="2" cm="1">
        <f t="array" ref="I1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0" s="2" cm="1">
        <f t="array" ref="J1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0" s="2">
        <f>Games[[#This Row],[DaysOff]]-Games[[#This Row],[OppDaysOff]]</f>
        <v>0</v>
      </c>
      <c r="L100" s="2">
        <f>Games[[#This Row],[OppDaysOff]]-Games[[#This Row],[DaysOff]]</f>
        <v>0</v>
      </c>
      <c r="M100" s="1">
        <f>MAX(-16, MIN(16, Games[[#This Row],[RestDiff]]*8))</f>
        <v>0</v>
      </c>
      <c r="N100" s="1">
        <f>MAX(-16, MIN(16, Games[[#This Row],[OppRestDiff]]*8))</f>
        <v>0</v>
      </c>
      <c r="O100" s="4" cm="1">
        <f t="array" ref="O1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1461.8835630853932</v>
      </c>
      <c r="P100" s="4" cm="1">
        <f t="array" ref="P1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1487.8315664339857</v>
      </c>
      <c r="Q100" s="4">
        <f>1/(1+10^(((Games[[#This Row],[OppPreGmRate]]+IF(Games[[#This Row],[HomeAway]]="A",HCA,0)+Games[[#This Row],[OppRestAdj]])-(Games[[#This Row],[PreGmRate]]+IF(Games[[#This Row],[HomeAway]]="H",HCA,0)+Games[[#This Row],[RestAdj]]))/400))</f>
        <v>0.34685063847542574</v>
      </c>
      <c r="R100" s="1">
        <v>80</v>
      </c>
      <c r="S100" s="1">
        <v>100</v>
      </c>
      <c r="T100" s="1">
        <v>0</v>
      </c>
      <c r="U100" s="1">
        <f>Games[[#This Row],[PointsFor]]-Games[[#This Row],[PointsAgainst]]</f>
        <v>-20</v>
      </c>
      <c r="V100" s="1">
        <f>IF(Games[[#This Row],[MOV]]&gt;0,1,IF(Games[[#This Row],[MOV]]=0,0.5,0))</f>
        <v>0</v>
      </c>
      <c r="W100" s="4">
        <f>((ABS(Games[[#This Row],[MOV]])+5)^0.6)/(12+0.01*(ABS(Games[[#This Row],[PreGmRate]]-Games[[#This Row],[OppPreGmRate]])))*IF(Games[[#This Row],[OT]]=1,0.9,1)</f>
        <v>0.56271948634549673</v>
      </c>
      <c r="X100" s="7" cm="1">
        <f t="array" ref="X1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0" s="9">
        <f>MAX(kmin, kmax - 0.15 * MIN(Games[[#This Row],[GamesPlayed]], 82))</f>
        <v>74.8</v>
      </c>
      <c r="Z100" s="4">
        <f>Games[[#This Row],[K]]*Games[[#This Row],[POMult]]</f>
        <v>74.8</v>
      </c>
      <c r="AA100" s="4">
        <f>(Games[[#This Row],[Keff]]*Games[[#This Row],[MOVMult]])*(Games[[#This Row],[Result]]-Games[[#This Row],[ExpectedWin%]])</f>
        <v>-14.599435061488137</v>
      </c>
      <c r="AB100" s="4">
        <f>Games[[#This Row],[PreGmRate]]+Games[[#This Row],[RatingChange]]</f>
        <v>1447.2841280239052</v>
      </c>
      <c r="AC100" s="2">
        <f>IF(Games[[#This Row],[Type]]="R",IF(Games[[#This Row],[Result]]&gt;0.5,1,0),0)</f>
        <v>0</v>
      </c>
      <c r="AD100" s="2">
        <f>IF(Games[[#This Row],[Type]]="R",IF(Games[[#This Row],[Result]]&lt;0.5,1,0),0)</f>
        <v>1</v>
      </c>
      <c r="AE100" s="2">
        <f>IF(AND(Games[[#This Row],[Type]]="P",Games[[#This Row],[Round]]=1),IF(Games[[#This Row],[Result]]&gt;0.5,1,0),0)</f>
        <v>0</v>
      </c>
      <c r="AF100" s="2">
        <f>IF(AND(Games[[#This Row],[Type]]="P",Games[[#This Row],[Round]]=1),IF(Games[[#This Row],[Result]]&lt;0.5,1,0),0)</f>
        <v>0</v>
      </c>
      <c r="AG100" s="2">
        <f>IF(AND(Games[[#This Row],[Type]]="P",Games[[#This Row],[Round]]=2),IF(Games[[#This Row],[Result]]&gt;0.5,1,0),0)</f>
        <v>0</v>
      </c>
      <c r="AH100" s="2">
        <f>IF(AND(Games[[#This Row],[Type]]="P",Games[[#This Row],[Round]]=2),IF(Games[[#This Row],[Result]]&lt;0.5,1,0),0)</f>
        <v>0</v>
      </c>
      <c r="AI100" s="2">
        <f>IF(AND(Games[[#This Row],[Type]]="P",Games[[#This Row],[Round]]=3),IF(Games[[#This Row],[Result]]&gt;0.5,1,0),0)</f>
        <v>0</v>
      </c>
      <c r="AJ100" s="2">
        <f>IF(AND(Games[[#This Row],[Type]]="P",Games[[#This Row],[Round]]=3),IF(Games[[#This Row],[Result]]&lt;0.5,1,0),0)</f>
        <v>0</v>
      </c>
      <c r="AK100" s="2">
        <f>IF(AND(Games[[#This Row],[Type]]="P",Games[[#This Row],[Round]]=4),IF(Games[[#This Row],[Result]]&gt;0.5,1,0),0)</f>
        <v>0</v>
      </c>
      <c r="AL100" s="2">
        <f>IF(AND(Games[[#This Row],[Type]]="P",Games[[#This Row],[Round]]=4),IF(Games[[#This Row],[Result]]&lt;0.5,1,0),0)</f>
        <v>0</v>
      </c>
    </row>
    <row r="101" spans="1:38" x14ac:dyDescent="0.35">
      <c r="A101" s="10">
        <v>44353</v>
      </c>
      <c r="B101" s="2">
        <v>2021</v>
      </c>
      <c r="C101" s="2">
        <f>COUNTIFS(Games[Team],Games[[#This Row],[Team]],Games[Season],Games[[#This Row],[Season]],Games[Date],"&lt;=" &amp; Games[[#This Row],[Date]])</f>
        <v>7</v>
      </c>
      <c r="D101" s="2" t="s">
        <v>79</v>
      </c>
      <c r="E101" s="2" t="s">
        <v>80</v>
      </c>
      <c r="F101" s="1" t="s">
        <v>67</v>
      </c>
      <c r="G101" s="1" t="s">
        <v>77</v>
      </c>
      <c r="H101" s="1" t="s">
        <v>82</v>
      </c>
      <c r="I101" s="2" cm="1">
        <f t="array" ref="I1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1" s="2" cm="1">
        <f t="array" ref="J1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1" s="2">
        <f>Games[[#This Row],[DaysOff]]-Games[[#This Row],[OppDaysOff]]</f>
        <v>0</v>
      </c>
      <c r="L101" s="2">
        <f>Games[[#This Row],[OppDaysOff]]-Games[[#This Row],[DaysOff]]</f>
        <v>0</v>
      </c>
      <c r="M101" s="1">
        <f>MAX(-16, MIN(16, Games[[#This Row],[RestDiff]]*8))</f>
        <v>0</v>
      </c>
      <c r="N101" s="1">
        <f>MAX(-16, MIN(16, Games[[#This Row],[OppRestDiff]]*8))</f>
        <v>0</v>
      </c>
      <c r="O101" s="4" cm="1">
        <f t="array" ref="O1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1487.8315664339857</v>
      </c>
      <c r="P101" s="4" cm="1">
        <f t="array" ref="P1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1461.8835630853932</v>
      </c>
      <c r="Q101" s="4">
        <f>1/(1+10^(((Games[[#This Row],[OppPreGmRate]]+IF(Games[[#This Row],[HomeAway]]="A",HCA,0)+Games[[#This Row],[OppRestAdj]])-(Games[[#This Row],[PreGmRate]]+IF(Games[[#This Row],[HomeAway]]="H",HCA,0)+Games[[#This Row],[RestAdj]]))/400))</f>
        <v>0.65314936152457426</v>
      </c>
      <c r="R101" s="1">
        <v>100</v>
      </c>
      <c r="S101" s="1">
        <v>80</v>
      </c>
      <c r="T101" s="1">
        <v>0</v>
      </c>
      <c r="U101" s="1">
        <f>Games[[#This Row],[PointsFor]]-Games[[#This Row],[PointsAgainst]]</f>
        <v>20</v>
      </c>
      <c r="V101" s="1">
        <f>IF(Games[[#This Row],[MOV]]&gt;0,1,IF(Games[[#This Row],[MOV]]=0,0.5,0))</f>
        <v>1</v>
      </c>
      <c r="W101" s="4">
        <f>((ABS(Games[[#This Row],[MOV]])+5)^0.6)/(12+0.01*(ABS(Games[[#This Row],[PreGmRate]]-Games[[#This Row],[OppPreGmRate]])))*IF(Games[[#This Row],[OT]]=1,0.9,1)</f>
        <v>0.56271948634549673</v>
      </c>
      <c r="X101" s="7" cm="1">
        <f t="array" ref="X1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1" s="9">
        <f>MAX(kmin, kmax - 0.15 * MIN(Games[[#This Row],[GamesPlayed]], 82))</f>
        <v>74.95</v>
      </c>
      <c r="Z101" s="4">
        <f>Games[[#This Row],[K]]*Games[[#This Row],[POMult]]</f>
        <v>74.95</v>
      </c>
      <c r="AA101" s="4">
        <f>(Games[[#This Row],[Keff]]*Games[[#This Row],[MOVMult]])*(Games[[#This Row],[Result]]-Games[[#This Row],[ExpectedWin%]])</f>
        <v>14.628712003456361</v>
      </c>
      <c r="AB101" s="4">
        <f>Games[[#This Row],[PreGmRate]]+Games[[#This Row],[RatingChange]]</f>
        <v>1502.460278437442</v>
      </c>
      <c r="AC101" s="2">
        <f>IF(Games[[#This Row],[Type]]="R",IF(Games[[#This Row],[Result]]&gt;0.5,1,0),0)</f>
        <v>1</v>
      </c>
      <c r="AD101" s="2">
        <f>IF(Games[[#This Row],[Type]]="R",IF(Games[[#This Row],[Result]]&lt;0.5,1,0),0)</f>
        <v>0</v>
      </c>
      <c r="AE101" s="2">
        <f>IF(AND(Games[[#This Row],[Type]]="P",Games[[#This Row],[Round]]=1),IF(Games[[#This Row],[Result]]&gt;0.5,1,0),0)</f>
        <v>0</v>
      </c>
      <c r="AF101" s="2">
        <f>IF(AND(Games[[#This Row],[Type]]="P",Games[[#This Row],[Round]]=1),IF(Games[[#This Row],[Result]]&lt;0.5,1,0),0)</f>
        <v>0</v>
      </c>
      <c r="AG101" s="2">
        <f>IF(AND(Games[[#This Row],[Type]]="P",Games[[#This Row],[Round]]=2),IF(Games[[#This Row],[Result]]&gt;0.5,1,0),0)</f>
        <v>0</v>
      </c>
      <c r="AH101" s="2">
        <f>IF(AND(Games[[#This Row],[Type]]="P",Games[[#This Row],[Round]]=2),IF(Games[[#This Row],[Result]]&lt;0.5,1,0),0)</f>
        <v>0</v>
      </c>
      <c r="AI101" s="2">
        <f>IF(AND(Games[[#This Row],[Type]]="P",Games[[#This Row],[Round]]=3),IF(Games[[#This Row],[Result]]&gt;0.5,1,0),0)</f>
        <v>0</v>
      </c>
      <c r="AJ101" s="2">
        <f>IF(AND(Games[[#This Row],[Type]]="P",Games[[#This Row],[Round]]=3),IF(Games[[#This Row],[Result]]&lt;0.5,1,0),0)</f>
        <v>0</v>
      </c>
      <c r="AK101" s="2">
        <f>IF(AND(Games[[#This Row],[Type]]="P",Games[[#This Row],[Round]]=4),IF(Games[[#This Row],[Result]]&gt;0.5,1,0),0)</f>
        <v>0</v>
      </c>
      <c r="AL101" s="2">
        <f>IF(AND(Games[[#This Row],[Type]]="P",Games[[#This Row],[Round]]=4),IF(Games[[#This Row],[Result]]&lt;0.5,1,0),0)</f>
        <v>0</v>
      </c>
    </row>
    <row r="102" spans="1:38" x14ac:dyDescent="0.35">
      <c r="A102" s="10">
        <v>44353</v>
      </c>
      <c r="B102" s="2">
        <v>2021</v>
      </c>
      <c r="C102" s="2">
        <f>COUNTIFS(Games[Team],Games[[#This Row],[Team]],Games[Season],Games[[#This Row],[Season]],Games[Date],"&lt;=" &amp; Games[[#This Row],[Date]])</f>
        <v>8</v>
      </c>
      <c r="D102" s="2" t="s">
        <v>79</v>
      </c>
      <c r="E102" s="2" t="s">
        <v>80</v>
      </c>
      <c r="F102" s="1" t="s">
        <v>84</v>
      </c>
      <c r="G102" s="1" t="s">
        <v>71</v>
      </c>
      <c r="H102" s="1" t="s">
        <v>81</v>
      </c>
      <c r="I102" s="2" cm="1">
        <f t="array" ref="I1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2" s="2" cm="1">
        <f t="array" ref="J1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2" s="2">
        <f>Games[[#This Row],[DaysOff]]-Games[[#This Row],[OppDaysOff]]</f>
        <v>0</v>
      </c>
      <c r="L102" s="2">
        <f>Games[[#This Row],[OppDaysOff]]-Games[[#This Row],[DaysOff]]</f>
        <v>0</v>
      </c>
      <c r="M102" s="1">
        <f>MAX(-16, MIN(16, Games[[#This Row],[RestDiff]]*8))</f>
        <v>0</v>
      </c>
      <c r="N102" s="1">
        <f>MAX(-16, MIN(16, Games[[#This Row],[OppRestDiff]]*8))</f>
        <v>0</v>
      </c>
      <c r="O102" s="4" cm="1">
        <f t="array" ref="O1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1455.7589671956771</v>
      </c>
      <c r="P102" s="4" cm="1">
        <f t="array" ref="P1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1653.5406486248369</v>
      </c>
      <c r="Q102" s="4">
        <f>1/(1+10^(((Games[[#This Row],[OppPreGmRate]]+IF(Games[[#This Row],[HomeAway]]="A",HCA,0)+Games[[#This Row],[OppRestAdj]])-(Games[[#This Row],[PreGmRate]]+IF(Games[[#This Row],[HomeAway]]="H",HCA,0)+Games[[#This Row],[RestAdj]]))/400))</f>
        <v>0.16492017531419034</v>
      </c>
      <c r="R102" s="1">
        <v>68</v>
      </c>
      <c r="S102" s="1">
        <v>67</v>
      </c>
      <c r="T102" s="1">
        <v>0</v>
      </c>
      <c r="U102" s="1">
        <f>Games[[#This Row],[PointsFor]]-Games[[#This Row],[PointsAgainst]]</f>
        <v>1</v>
      </c>
      <c r="V102" s="1">
        <f>IF(Games[[#This Row],[MOV]]&gt;0,1,IF(Games[[#This Row],[MOV]]=0,0.5,0))</f>
        <v>1</v>
      </c>
      <c r="W102" s="4">
        <f>((ABS(Games[[#This Row],[MOV]])+5)^0.6)/(12+0.01*(ABS(Games[[#This Row],[PreGmRate]]-Games[[#This Row],[OppPreGmRate]])))*IF(Games[[#This Row],[OT]]=1,0.9,1)</f>
        <v>0.20962902079154361</v>
      </c>
      <c r="X102" s="7" cm="1">
        <f t="array" ref="X1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2" s="9">
        <f>MAX(kmin, kmax - 0.15 * MIN(Games[[#This Row],[GamesPlayed]], 82))</f>
        <v>74.8</v>
      </c>
      <c r="Z102" s="4">
        <f>Games[[#This Row],[K]]*Games[[#This Row],[POMult]]</f>
        <v>74.8</v>
      </c>
      <c r="AA102" s="4">
        <f>(Games[[#This Row],[Keff]]*Games[[#This Row],[MOVMult]])*(Games[[#This Row],[Result]]-Games[[#This Row],[ExpectedWin%]])</f>
        <v>13.094261051688182</v>
      </c>
      <c r="AB102" s="4">
        <f>Games[[#This Row],[PreGmRate]]+Games[[#This Row],[RatingChange]]</f>
        <v>1468.8532282473652</v>
      </c>
      <c r="AC102" s="2">
        <f>IF(Games[[#This Row],[Type]]="R",IF(Games[[#This Row],[Result]]&gt;0.5,1,0),0)</f>
        <v>1</v>
      </c>
      <c r="AD102" s="2">
        <f>IF(Games[[#This Row],[Type]]="R",IF(Games[[#This Row],[Result]]&lt;0.5,1,0),0)</f>
        <v>0</v>
      </c>
      <c r="AE102" s="2">
        <f>IF(AND(Games[[#This Row],[Type]]="P",Games[[#This Row],[Round]]=1),IF(Games[[#This Row],[Result]]&gt;0.5,1,0),0)</f>
        <v>0</v>
      </c>
      <c r="AF102" s="2">
        <f>IF(AND(Games[[#This Row],[Type]]="P",Games[[#This Row],[Round]]=1),IF(Games[[#This Row],[Result]]&lt;0.5,1,0),0)</f>
        <v>0</v>
      </c>
      <c r="AG102" s="2">
        <f>IF(AND(Games[[#This Row],[Type]]="P",Games[[#This Row],[Round]]=2),IF(Games[[#This Row],[Result]]&gt;0.5,1,0),0)</f>
        <v>0</v>
      </c>
      <c r="AH102" s="2">
        <f>IF(AND(Games[[#This Row],[Type]]="P",Games[[#This Row],[Round]]=2),IF(Games[[#This Row],[Result]]&lt;0.5,1,0),0)</f>
        <v>0</v>
      </c>
      <c r="AI102" s="2">
        <f>IF(AND(Games[[#This Row],[Type]]="P",Games[[#This Row],[Round]]=3),IF(Games[[#This Row],[Result]]&gt;0.5,1,0),0)</f>
        <v>0</v>
      </c>
      <c r="AJ102" s="2">
        <f>IF(AND(Games[[#This Row],[Type]]="P",Games[[#This Row],[Round]]=3),IF(Games[[#This Row],[Result]]&lt;0.5,1,0),0)</f>
        <v>0</v>
      </c>
      <c r="AK102" s="2">
        <f>IF(AND(Games[[#This Row],[Type]]="P",Games[[#This Row],[Round]]=4),IF(Games[[#This Row],[Result]]&gt;0.5,1,0),0)</f>
        <v>0</v>
      </c>
      <c r="AL102" s="2">
        <f>IF(AND(Games[[#This Row],[Type]]="P",Games[[#This Row],[Round]]=4),IF(Games[[#This Row],[Result]]&lt;0.5,1,0),0)</f>
        <v>0</v>
      </c>
    </row>
    <row r="103" spans="1:38" x14ac:dyDescent="0.35">
      <c r="A103" s="10">
        <v>44353</v>
      </c>
      <c r="B103" s="2">
        <v>2021</v>
      </c>
      <c r="C103" s="2">
        <f>COUNTIFS(Games[Team],Games[[#This Row],[Team]],Games[Season],Games[[#This Row],[Season]],Games[Date],"&lt;=" &amp; Games[[#This Row],[Date]])</f>
        <v>9</v>
      </c>
      <c r="D103" s="2" t="s">
        <v>79</v>
      </c>
      <c r="E103" s="2" t="s">
        <v>80</v>
      </c>
      <c r="F103" s="1" t="s">
        <v>71</v>
      </c>
      <c r="G103" s="1" t="s">
        <v>84</v>
      </c>
      <c r="H103" s="1" t="s">
        <v>82</v>
      </c>
      <c r="I103" s="2" cm="1">
        <f t="array" ref="I1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3" s="2" cm="1">
        <f t="array" ref="J1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3" s="2">
        <f>Games[[#This Row],[DaysOff]]-Games[[#This Row],[OppDaysOff]]</f>
        <v>0</v>
      </c>
      <c r="L103" s="2">
        <f>Games[[#This Row],[OppDaysOff]]-Games[[#This Row],[DaysOff]]</f>
        <v>0</v>
      </c>
      <c r="M103" s="1">
        <f>MAX(-16, MIN(16, Games[[#This Row],[RestDiff]]*8))</f>
        <v>0</v>
      </c>
      <c r="N103" s="1">
        <f>MAX(-16, MIN(16, Games[[#This Row],[OppRestDiff]]*8))</f>
        <v>0</v>
      </c>
      <c r="O103" s="4" cm="1">
        <f t="array" ref="O1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1653.5406486248369</v>
      </c>
      <c r="P103" s="4" cm="1">
        <f t="array" ref="P1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1455.7589671956771</v>
      </c>
      <c r="Q103" s="4">
        <f>1/(1+10^(((Games[[#This Row],[OppPreGmRate]]+IF(Games[[#This Row],[HomeAway]]="A",HCA,0)+Games[[#This Row],[OppRestAdj]])-(Games[[#This Row],[PreGmRate]]+IF(Games[[#This Row],[HomeAway]]="H",HCA,0)+Games[[#This Row],[RestAdj]]))/400))</f>
        <v>0.83507982468580966</v>
      </c>
      <c r="R103" s="1">
        <v>67</v>
      </c>
      <c r="S103" s="1">
        <v>68</v>
      </c>
      <c r="T103" s="1">
        <v>0</v>
      </c>
      <c r="U103" s="1">
        <f>Games[[#This Row],[PointsFor]]-Games[[#This Row],[PointsAgainst]]</f>
        <v>-1</v>
      </c>
      <c r="V103" s="1">
        <f>IF(Games[[#This Row],[MOV]]&gt;0,1,IF(Games[[#This Row],[MOV]]=0,0.5,0))</f>
        <v>0</v>
      </c>
      <c r="W103" s="4">
        <f>((ABS(Games[[#This Row],[MOV]])+5)^0.6)/(12+0.01*(ABS(Games[[#This Row],[PreGmRate]]-Games[[#This Row],[OppPreGmRate]])))*IF(Games[[#This Row],[OT]]=1,0.9,1)</f>
        <v>0.20962902079154361</v>
      </c>
      <c r="X103" s="7" cm="1">
        <f t="array" ref="X1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3" s="9">
        <f>MAX(kmin, kmax - 0.15 * MIN(Games[[#This Row],[GamesPlayed]], 82))</f>
        <v>74.650000000000006</v>
      </c>
      <c r="Z103" s="4">
        <f>Games[[#This Row],[K]]*Games[[#This Row],[POMult]]</f>
        <v>74.650000000000006</v>
      </c>
      <c r="AA103" s="4">
        <f>(Games[[#This Row],[Keff]]*Games[[#This Row],[MOVMult]])*(Games[[#This Row],[Result]]-Games[[#This Row],[ExpectedWin%]])</f>
        <v>-13.068002506798432</v>
      </c>
      <c r="AB103" s="4">
        <f>Games[[#This Row],[PreGmRate]]+Games[[#This Row],[RatingChange]]</f>
        <v>1640.4726461180385</v>
      </c>
      <c r="AC103" s="2">
        <f>IF(Games[[#This Row],[Type]]="R",IF(Games[[#This Row],[Result]]&gt;0.5,1,0),0)</f>
        <v>0</v>
      </c>
      <c r="AD103" s="2">
        <f>IF(Games[[#This Row],[Type]]="R",IF(Games[[#This Row],[Result]]&lt;0.5,1,0),0)</f>
        <v>1</v>
      </c>
      <c r="AE103" s="2">
        <f>IF(AND(Games[[#This Row],[Type]]="P",Games[[#This Row],[Round]]=1),IF(Games[[#This Row],[Result]]&gt;0.5,1,0),0)</f>
        <v>0</v>
      </c>
      <c r="AF103" s="2">
        <f>IF(AND(Games[[#This Row],[Type]]="P",Games[[#This Row],[Round]]=1),IF(Games[[#This Row],[Result]]&lt;0.5,1,0),0)</f>
        <v>0</v>
      </c>
      <c r="AG103" s="2">
        <f>IF(AND(Games[[#This Row],[Type]]="P",Games[[#This Row],[Round]]=2),IF(Games[[#This Row],[Result]]&gt;0.5,1,0),0)</f>
        <v>0</v>
      </c>
      <c r="AH103" s="2">
        <f>IF(AND(Games[[#This Row],[Type]]="P",Games[[#This Row],[Round]]=2),IF(Games[[#This Row],[Result]]&lt;0.5,1,0),0)</f>
        <v>0</v>
      </c>
      <c r="AI103" s="2">
        <f>IF(AND(Games[[#This Row],[Type]]="P",Games[[#This Row],[Round]]=3),IF(Games[[#This Row],[Result]]&gt;0.5,1,0),0)</f>
        <v>0</v>
      </c>
      <c r="AJ103" s="2">
        <f>IF(AND(Games[[#This Row],[Type]]="P",Games[[#This Row],[Round]]=3),IF(Games[[#This Row],[Result]]&lt;0.5,1,0),0)</f>
        <v>0</v>
      </c>
      <c r="AK103" s="2">
        <f>IF(AND(Games[[#This Row],[Type]]="P",Games[[#This Row],[Round]]=4),IF(Games[[#This Row],[Result]]&gt;0.5,1,0),0)</f>
        <v>0</v>
      </c>
      <c r="AL103" s="2">
        <f>IF(AND(Games[[#This Row],[Type]]="P",Games[[#This Row],[Round]]=4),IF(Games[[#This Row],[Result]]&lt;0.5,1,0),0)</f>
        <v>0</v>
      </c>
    </row>
    <row r="104" spans="1:38" x14ac:dyDescent="0.35">
      <c r="A104" s="10">
        <v>44355</v>
      </c>
      <c r="B104" s="2">
        <v>2021</v>
      </c>
      <c r="C104" s="2">
        <f>COUNTIFS(Games[Team],Games[[#This Row],[Team]],Games[Season],Games[[#This Row],[Season]],Games[Date],"&lt;=" &amp; Games[[#This Row],[Date]])</f>
        <v>9</v>
      </c>
      <c r="D104" s="2" t="s">
        <v>79</v>
      </c>
      <c r="E104" s="2" t="s">
        <v>80</v>
      </c>
      <c r="F104" s="1" t="s">
        <v>84</v>
      </c>
      <c r="G104" s="1" t="s">
        <v>40</v>
      </c>
      <c r="H104" s="1" t="s">
        <v>81</v>
      </c>
      <c r="I104" s="2" cm="1">
        <f t="array" ref="I1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4" s="2" cm="1">
        <f t="array" ref="J104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04" s="2">
        <f>Games[[#This Row],[DaysOff]]-Games[[#This Row],[OppDaysOff]]</f>
        <v>-3</v>
      </c>
      <c r="L104" s="2">
        <f>Games[[#This Row],[OppDaysOff]]-Games[[#This Row],[DaysOff]]</f>
        <v>3</v>
      </c>
      <c r="M104" s="1">
        <f>MAX(-16, MIN(16, Games[[#This Row],[RestDiff]]*8))</f>
        <v>-16</v>
      </c>
      <c r="N104" s="1">
        <f>MAX(-16, MIN(16, Games[[#This Row],[OppRestDiff]]*8))</f>
        <v>16</v>
      </c>
      <c r="O104" s="4" cm="1">
        <f t="array" ref="O1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1468.8532282473652</v>
      </c>
      <c r="P104" s="4" cm="1">
        <f t="array" ref="P1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1529.2040969776056</v>
      </c>
      <c r="Q104" s="4">
        <f>1/(1+10^(((Games[[#This Row],[OppPreGmRate]]+IF(Games[[#This Row],[HomeAway]]="A",HCA,0)+Games[[#This Row],[OppRestAdj]])-(Games[[#This Row],[PreGmRate]]+IF(Games[[#This Row],[HomeAway]]="H",HCA,0)+Games[[#This Row],[RestAdj]]))/400))</f>
        <v>0.26597179134813487</v>
      </c>
      <c r="R104" s="1">
        <v>85</v>
      </c>
      <c r="S104" s="1">
        <v>81</v>
      </c>
      <c r="T104" s="1">
        <v>0</v>
      </c>
      <c r="U104" s="1">
        <f>Games[[#This Row],[PointsFor]]-Games[[#This Row],[PointsAgainst]]</f>
        <v>4</v>
      </c>
      <c r="V104" s="1">
        <f>IF(Games[[#This Row],[MOV]]&gt;0,1,IF(Games[[#This Row],[MOV]]=0,0.5,0))</f>
        <v>1</v>
      </c>
      <c r="W104" s="4">
        <f>((ABS(Games[[#This Row],[MOV]])+5)^0.6)/(12+0.01*(ABS(Games[[#This Row],[PreGmRate]]-Games[[#This Row],[OppPreGmRate]])))*IF(Games[[#This Row],[OT]]=1,0.9,1)</f>
        <v>0.29652003355316792</v>
      </c>
      <c r="X104" s="7" cm="1">
        <f t="array" ref="X1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4" s="9">
        <f>MAX(kmin, kmax - 0.15 * MIN(Games[[#This Row],[GamesPlayed]], 82))</f>
        <v>74.650000000000006</v>
      </c>
      <c r="Z104" s="4">
        <f>Games[[#This Row],[K]]*Games[[#This Row],[POMult]]</f>
        <v>74.650000000000006</v>
      </c>
      <c r="AA104" s="4">
        <f>(Games[[#This Row],[Keff]]*Games[[#This Row],[MOVMult]])*(Games[[#This Row],[Result]]-Games[[#This Row],[ExpectedWin%]])</f>
        <v>16.247876255211263</v>
      </c>
      <c r="AB104" s="4">
        <f>Games[[#This Row],[PreGmRate]]+Games[[#This Row],[RatingChange]]</f>
        <v>1485.1011045025764</v>
      </c>
      <c r="AC104" s="2">
        <f>IF(Games[[#This Row],[Type]]="R",IF(Games[[#This Row],[Result]]&gt;0.5,1,0),0)</f>
        <v>1</v>
      </c>
      <c r="AD104" s="2">
        <f>IF(Games[[#This Row],[Type]]="R",IF(Games[[#This Row],[Result]]&lt;0.5,1,0),0)</f>
        <v>0</v>
      </c>
      <c r="AE104" s="2">
        <f>IF(AND(Games[[#This Row],[Type]]="P",Games[[#This Row],[Round]]=1),IF(Games[[#This Row],[Result]]&gt;0.5,1,0),0)</f>
        <v>0</v>
      </c>
      <c r="AF104" s="2">
        <f>IF(AND(Games[[#This Row],[Type]]="P",Games[[#This Row],[Round]]=1),IF(Games[[#This Row],[Result]]&lt;0.5,1,0),0)</f>
        <v>0</v>
      </c>
      <c r="AG104" s="2">
        <f>IF(AND(Games[[#This Row],[Type]]="P",Games[[#This Row],[Round]]=2),IF(Games[[#This Row],[Result]]&gt;0.5,1,0),0)</f>
        <v>0</v>
      </c>
      <c r="AH104" s="2">
        <f>IF(AND(Games[[#This Row],[Type]]="P",Games[[#This Row],[Round]]=2),IF(Games[[#This Row],[Result]]&lt;0.5,1,0),0)</f>
        <v>0</v>
      </c>
      <c r="AI104" s="2">
        <f>IF(AND(Games[[#This Row],[Type]]="P",Games[[#This Row],[Round]]=3),IF(Games[[#This Row],[Result]]&gt;0.5,1,0),0)</f>
        <v>0</v>
      </c>
      <c r="AJ104" s="2">
        <f>IF(AND(Games[[#This Row],[Type]]="P",Games[[#This Row],[Round]]=3),IF(Games[[#This Row],[Result]]&lt;0.5,1,0),0)</f>
        <v>0</v>
      </c>
      <c r="AK104" s="2">
        <f>IF(AND(Games[[#This Row],[Type]]="P",Games[[#This Row],[Round]]=4),IF(Games[[#This Row],[Result]]&gt;0.5,1,0),0)</f>
        <v>0</v>
      </c>
      <c r="AL104" s="2">
        <f>IF(AND(Games[[#This Row],[Type]]="P",Games[[#This Row],[Round]]=4),IF(Games[[#This Row],[Result]]&lt;0.5,1,0),0)</f>
        <v>0</v>
      </c>
    </row>
    <row r="105" spans="1:38" x14ac:dyDescent="0.35">
      <c r="A105" s="10">
        <v>44355</v>
      </c>
      <c r="B105" s="2">
        <v>2021</v>
      </c>
      <c r="C105" s="2">
        <f>COUNTIFS(Games[Team],Games[[#This Row],[Team]],Games[Season],Games[[#This Row],[Season]],Games[Date],"&lt;=" &amp; Games[[#This Row],[Date]])</f>
        <v>9</v>
      </c>
      <c r="D105" s="2" t="s">
        <v>79</v>
      </c>
      <c r="E105" s="2" t="s">
        <v>80</v>
      </c>
      <c r="F105" s="1" t="s">
        <v>40</v>
      </c>
      <c r="G105" s="1" t="s">
        <v>84</v>
      </c>
      <c r="H105" s="1" t="s">
        <v>82</v>
      </c>
      <c r="I105" s="2" cm="1">
        <f t="array" ref="I105">IFERROR(
    Games[[#This Row],[Date]]
    - LOOKUP(
        2,
        1/((Games[Team]=Games[[#This Row],[Team]]) * (Games[Date] &lt; Games[[#This Row],[Date]])),
        Games[Date]
    )
    - 1,
Games[[#This Row],[Date]]-$A$2)</f>
        <v>4</v>
      </c>
      <c r="J105" s="2" cm="1">
        <f t="array" ref="J1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5" s="2">
        <f>Games[[#This Row],[DaysOff]]-Games[[#This Row],[OppDaysOff]]</f>
        <v>3</v>
      </c>
      <c r="L105" s="2">
        <f>Games[[#This Row],[OppDaysOff]]-Games[[#This Row],[DaysOff]]</f>
        <v>-3</v>
      </c>
      <c r="M105" s="1">
        <f>MAX(-16, MIN(16, Games[[#This Row],[RestDiff]]*8))</f>
        <v>16</v>
      </c>
      <c r="N105" s="1">
        <f>MAX(-16, MIN(16, Games[[#This Row],[OppRestDiff]]*8))</f>
        <v>-16</v>
      </c>
      <c r="O105" s="4" cm="1">
        <f t="array" ref="O1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1529.2040969776056</v>
      </c>
      <c r="P105" s="4" cm="1">
        <f t="array" ref="P1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1468.8532282473652</v>
      </c>
      <c r="Q105" s="4">
        <f>1/(1+10^(((Games[[#This Row],[OppPreGmRate]]+IF(Games[[#This Row],[HomeAway]]="A",HCA,0)+Games[[#This Row],[OppRestAdj]])-(Games[[#This Row],[PreGmRate]]+IF(Games[[#This Row],[HomeAway]]="H",HCA,0)+Games[[#This Row],[RestAdj]]))/400))</f>
        <v>0.73402820865186513</v>
      </c>
      <c r="R105" s="1">
        <v>81</v>
      </c>
      <c r="S105" s="1">
        <v>85</v>
      </c>
      <c r="T105" s="1">
        <v>0</v>
      </c>
      <c r="U105" s="1">
        <f>Games[[#This Row],[PointsFor]]-Games[[#This Row],[PointsAgainst]]</f>
        <v>-4</v>
      </c>
      <c r="V105" s="1">
        <f>IF(Games[[#This Row],[MOV]]&gt;0,1,IF(Games[[#This Row],[MOV]]=0,0.5,0))</f>
        <v>0</v>
      </c>
      <c r="W105" s="4">
        <f>((ABS(Games[[#This Row],[MOV]])+5)^0.6)/(12+0.01*(ABS(Games[[#This Row],[PreGmRate]]-Games[[#This Row],[OppPreGmRate]])))*IF(Games[[#This Row],[OT]]=1,0.9,1)</f>
        <v>0.29652003355316792</v>
      </c>
      <c r="X105" s="7" cm="1">
        <f t="array" ref="X1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5" s="9">
        <f>MAX(kmin, kmax - 0.15 * MIN(Games[[#This Row],[GamesPlayed]], 82))</f>
        <v>74.650000000000006</v>
      </c>
      <c r="Z105" s="4">
        <f>Games[[#This Row],[K]]*Games[[#This Row],[POMult]]</f>
        <v>74.650000000000006</v>
      </c>
      <c r="AA105" s="4">
        <f>(Games[[#This Row],[Keff]]*Games[[#This Row],[MOVMult]])*(Games[[#This Row],[Result]]-Games[[#This Row],[ExpectedWin%]])</f>
        <v>-16.247876255211263</v>
      </c>
      <c r="AB105" s="4">
        <f>Games[[#This Row],[PreGmRate]]+Games[[#This Row],[RatingChange]]</f>
        <v>1512.9562207223944</v>
      </c>
      <c r="AC105" s="2">
        <f>IF(Games[[#This Row],[Type]]="R",IF(Games[[#This Row],[Result]]&gt;0.5,1,0),0)</f>
        <v>0</v>
      </c>
      <c r="AD105" s="2">
        <f>IF(Games[[#This Row],[Type]]="R",IF(Games[[#This Row],[Result]]&lt;0.5,1,0),0)</f>
        <v>1</v>
      </c>
      <c r="AE105" s="2">
        <f>IF(AND(Games[[#This Row],[Type]]="P",Games[[#This Row],[Round]]=1),IF(Games[[#This Row],[Result]]&gt;0.5,1,0),0)</f>
        <v>0</v>
      </c>
      <c r="AF105" s="2">
        <f>IF(AND(Games[[#This Row],[Type]]="P",Games[[#This Row],[Round]]=1),IF(Games[[#This Row],[Result]]&lt;0.5,1,0),0)</f>
        <v>0</v>
      </c>
      <c r="AG105" s="2">
        <f>IF(AND(Games[[#This Row],[Type]]="P",Games[[#This Row],[Round]]=2),IF(Games[[#This Row],[Result]]&gt;0.5,1,0),0)</f>
        <v>0</v>
      </c>
      <c r="AH105" s="2">
        <f>IF(AND(Games[[#This Row],[Type]]="P",Games[[#This Row],[Round]]=2),IF(Games[[#This Row],[Result]]&lt;0.5,1,0),0)</f>
        <v>0</v>
      </c>
      <c r="AI105" s="2">
        <f>IF(AND(Games[[#This Row],[Type]]="P",Games[[#This Row],[Round]]=3),IF(Games[[#This Row],[Result]]&gt;0.5,1,0),0)</f>
        <v>0</v>
      </c>
      <c r="AJ105" s="2">
        <f>IF(AND(Games[[#This Row],[Type]]="P",Games[[#This Row],[Round]]=3),IF(Games[[#This Row],[Result]]&lt;0.5,1,0),0)</f>
        <v>0</v>
      </c>
      <c r="AK105" s="2">
        <f>IF(AND(Games[[#This Row],[Type]]="P",Games[[#This Row],[Round]]=4),IF(Games[[#This Row],[Result]]&gt;0.5,1,0),0)</f>
        <v>0</v>
      </c>
      <c r="AL105" s="2">
        <f>IF(AND(Games[[#This Row],[Type]]="P",Games[[#This Row],[Round]]=4),IF(Games[[#This Row],[Result]]&lt;0.5,1,0),0)</f>
        <v>0</v>
      </c>
    </row>
    <row r="106" spans="1:38" x14ac:dyDescent="0.35">
      <c r="A106" s="10">
        <v>44355</v>
      </c>
      <c r="B106" s="2">
        <v>2021</v>
      </c>
      <c r="C106" s="2">
        <f>COUNTIFS(Games[Team],Games[[#This Row],[Team]],Games[Season],Games[[#This Row],[Season]],Games[Date],"&lt;=" &amp; Games[[#This Row],[Date]])</f>
        <v>8</v>
      </c>
      <c r="D106" s="2" t="s">
        <v>79</v>
      </c>
      <c r="E106" s="2" t="s">
        <v>80</v>
      </c>
      <c r="F106" s="1" t="s">
        <v>67</v>
      </c>
      <c r="G106" s="1" t="s">
        <v>65</v>
      </c>
      <c r="H106" s="1" t="s">
        <v>81</v>
      </c>
      <c r="I106" s="2" cm="1">
        <f t="array" ref="I1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06" s="2" cm="1">
        <f t="array" ref="J1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6" s="2">
        <f>Games[[#This Row],[DaysOff]]-Games[[#This Row],[OppDaysOff]]</f>
        <v>-1</v>
      </c>
      <c r="L106" s="2">
        <f>Games[[#This Row],[OppDaysOff]]-Games[[#This Row],[DaysOff]]</f>
        <v>1</v>
      </c>
      <c r="M106" s="1">
        <f>MAX(-16, MIN(16, Games[[#This Row],[RestDiff]]*8))</f>
        <v>-8</v>
      </c>
      <c r="N106" s="1">
        <f>MAX(-16, MIN(16, Games[[#This Row],[OppRestDiff]]*8))</f>
        <v>8</v>
      </c>
      <c r="O106" s="4" cm="1">
        <f t="array" ref="O1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1502.460278437442</v>
      </c>
      <c r="P106" s="4" cm="1">
        <f t="array" ref="P1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1459.4551646390371</v>
      </c>
      <c r="Q106" s="4">
        <f>1/(1+10^(((Games[[#This Row],[OppPreGmRate]]+IF(Games[[#This Row],[HomeAway]]="A",HCA,0)+Games[[#This Row],[OppRestAdj]])-(Games[[#This Row],[PreGmRate]]+IF(Games[[#This Row],[HomeAway]]="H",HCA,0)+Games[[#This Row],[RestAdj]]))/400))</f>
        <v>0.41870568641661854</v>
      </c>
      <c r="R106" s="1">
        <v>81</v>
      </c>
      <c r="S106" s="1">
        <v>85</v>
      </c>
      <c r="T106" s="1">
        <v>0</v>
      </c>
      <c r="U106" s="1">
        <f>Games[[#This Row],[PointsFor]]-Games[[#This Row],[PointsAgainst]]</f>
        <v>-4</v>
      </c>
      <c r="V106" s="1">
        <f>IF(Games[[#This Row],[MOV]]&gt;0,1,IF(Games[[#This Row],[MOV]]=0,0.5,0))</f>
        <v>0</v>
      </c>
      <c r="W106" s="4">
        <f>((ABS(Games[[#This Row],[MOV]])+5)^0.6)/(12+0.01*(ABS(Games[[#This Row],[PreGmRate]]-Games[[#This Row],[OppPreGmRate]])))*IF(Games[[#This Row],[OT]]=1,0.9,1)</f>
        <v>0.30065787963062751</v>
      </c>
      <c r="X106" s="7" cm="1">
        <f t="array" ref="X1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6" s="9">
        <f>MAX(kmin, kmax - 0.15 * MIN(Games[[#This Row],[GamesPlayed]], 82))</f>
        <v>74.8</v>
      </c>
      <c r="Z106" s="4">
        <f>Games[[#This Row],[K]]*Games[[#This Row],[POMult]]</f>
        <v>74.8</v>
      </c>
      <c r="AA106" s="4">
        <f>(Games[[#This Row],[Keff]]*Games[[#This Row],[MOVMult]])*(Games[[#This Row],[Result]]-Games[[#This Row],[ExpectedWin%]])</f>
        <v>-9.4163598572745606</v>
      </c>
      <c r="AB106" s="4">
        <f>Games[[#This Row],[PreGmRate]]+Games[[#This Row],[RatingChange]]</f>
        <v>1493.0439185801674</v>
      </c>
      <c r="AC106" s="2">
        <f>IF(Games[[#This Row],[Type]]="R",IF(Games[[#This Row],[Result]]&gt;0.5,1,0),0)</f>
        <v>0</v>
      </c>
      <c r="AD106" s="2">
        <f>IF(Games[[#This Row],[Type]]="R",IF(Games[[#This Row],[Result]]&lt;0.5,1,0),0)</f>
        <v>1</v>
      </c>
      <c r="AE106" s="2">
        <f>IF(AND(Games[[#This Row],[Type]]="P",Games[[#This Row],[Round]]=1),IF(Games[[#This Row],[Result]]&gt;0.5,1,0),0)</f>
        <v>0</v>
      </c>
      <c r="AF106" s="2">
        <f>IF(AND(Games[[#This Row],[Type]]="P",Games[[#This Row],[Round]]=1),IF(Games[[#This Row],[Result]]&lt;0.5,1,0),0)</f>
        <v>0</v>
      </c>
      <c r="AG106" s="2">
        <f>IF(AND(Games[[#This Row],[Type]]="P",Games[[#This Row],[Round]]=2),IF(Games[[#This Row],[Result]]&gt;0.5,1,0),0)</f>
        <v>0</v>
      </c>
      <c r="AH106" s="2">
        <f>IF(AND(Games[[#This Row],[Type]]="P",Games[[#This Row],[Round]]=2),IF(Games[[#This Row],[Result]]&lt;0.5,1,0),0)</f>
        <v>0</v>
      </c>
      <c r="AI106" s="2">
        <f>IF(AND(Games[[#This Row],[Type]]="P",Games[[#This Row],[Round]]=3),IF(Games[[#This Row],[Result]]&gt;0.5,1,0),0)</f>
        <v>0</v>
      </c>
      <c r="AJ106" s="2">
        <f>IF(AND(Games[[#This Row],[Type]]="P",Games[[#This Row],[Round]]=3),IF(Games[[#This Row],[Result]]&lt;0.5,1,0),0)</f>
        <v>0</v>
      </c>
      <c r="AK106" s="2">
        <f>IF(AND(Games[[#This Row],[Type]]="P",Games[[#This Row],[Round]]=4),IF(Games[[#This Row],[Result]]&gt;0.5,1,0),0)</f>
        <v>0</v>
      </c>
      <c r="AL106" s="2">
        <f>IF(AND(Games[[#This Row],[Type]]="P",Games[[#This Row],[Round]]=4),IF(Games[[#This Row],[Result]]&lt;0.5,1,0),0)</f>
        <v>0</v>
      </c>
    </row>
    <row r="107" spans="1:38" x14ac:dyDescent="0.35">
      <c r="A107" s="10">
        <v>44355</v>
      </c>
      <c r="B107" s="2">
        <v>2021</v>
      </c>
      <c r="C107" s="2">
        <f>COUNTIFS(Games[Team],Games[[#This Row],[Team]],Games[Season],Games[[#This Row],[Season]],Games[Date],"&lt;=" &amp; Games[[#This Row],[Date]])</f>
        <v>8</v>
      </c>
      <c r="D107" s="2" t="s">
        <v>79</v>
      </c>
      <c r="E107" s="2" t="s">
        <v>80</v>
      </c>
      <c r="F107" s="1" t="s">
        <v>65</v>
      </c>
      <c r="G107" s="1" t="s">
        <v>67</v>
      </c>
      <c r="H107" s="1" t="s">
        <v>82</v>
      </c>
      <c r="I107" s="2" cm="1">
        <f t="array" ref="I1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7" s="2" cm="1">
        <f t="array" ref="J1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07" s="2">
        <f>Games[[#This Row],[DaysOff]]-Games[[#This Row],[OppDaysOff]]</f>
        <v>1</v>
      </c>
      <c r="L107" s="2">
        <f>Games[[#This Row],[OppDaysOff]]-Games[[#This Row],[DaysOff]]</f>
        <v>-1</v>
      </c>
      <c r="M107" s="1">
        <f>MAX(-16, MIN(16, Games[[#This Row],[RestDiff]]*8))</f>
        <v>8</v>
      </c>
      <c r="N107" s="1">
        <f>MAX(-16, MIN(16, Games[[#This Row],[OppRestDiff]]*8))</f>
        <v>-8</v>
      </c>
      <c r="O107" s="4" cm="1">
        <f t="array" ref="O1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1459.4551646390371</v>
      </c>
      <c r="P107" s="4" cm="1">
        <f t="array" ref="P1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1502.460278437442</v>
      </c>
      <c r="Q107" s="4">
        <f>1/(1+10^(((Games[[#This Row],[OppPreGmRate]]+IF(Games[[#This Row],[HomeAway]]="A",HCA,0)+Games[[#This Row],[OppRestAdj]])-(Games[[#This Row],[PreGmRate]]+IF(Games[[#This Row],[HomeAway]]="H",HCA,0)+Games[[#This Row],[RestAdj]]))/400))</f>
        <v>0.58129431358338146</v>
      </c>
      <c r="R107" s="1">
        <v>85</v>
      </c>
      <c r="S107" s="1">
        <v>81</v>
      </c>
      <c r="T107" s="1">
        <v>0</v>
      </c>
      <c r="U107" s="1">
        <f>Games[[#This Row],[PointsFor]]-Games[[#This Row],[PointsAgainst]]</f>
        <v>4</v>
      </c>
      <c r="V107" s="1">
        <f>IF(Games[[#This Row],[MOV]]&gt;0,1,IF(Games[[#This Row],[MOV]]=0,0.5,0))</f>
        <v>1</v>
      </c>
      <c r="W107" s="4">
        <f>((ABS(Games[[#This Row],[MOV]])+5)^0.6)/(12+0.01*(ABS(Games[[#This Row],[PreGmRate]]-Games[[#This Row],[OppPreGmRate]])))*IF(Games[[#This Row],[OT]]=1,0.9,1)</f>
        <v>0.30065787963062751</v>
      </c>
      <c r="X107" s="7" cm="1">
        <f t="array" ref="X1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7" s="9">
        <f>MAX(kmin, kmax - 0.15 * MIN(Games[[#This Row],[GamesPlayed]], 82))</f>
        <v>74.8</v>
      </c>
      <c r="Z107" s="4">
        <f>Games[[#This Row],[K]]*Games[[#This Row],[POMult]]</f>
        <v>74.8</v>
      </c>
      <c r="AA107" s="4">
        <f>(Games[[#This Row],[Keff]]*Games[[#This Row],[MOVMult]])*(Games[[#This Row],[Result]]-Games[[#This Row],[ExpectedWin%]])</f>
        <v>9.4163598572745606</v>
      </c>
      <c r="AB107" s="4">
        <f>Games[[#This Row],[PreGmRate]]+Games[[#This Row],[RatingChange]]</f>
        <v>1468.8715244963116</v>
      </c>
      <c r="AC107" s="2">
        <f>IF(Games[[#This Row],[Type]]="R",IF(Games[[#This Row],[Result]]&gt;0.5,1,0),0)</f>
        <v>1</v>
      </c>
      <c r="AD107" s="2">
        <f>IF(Games[[#This Row],[Type]]="R",IF(Games[[#This Row],[Result]]&lt;0.5,1,0),0)</f>
        <v>0</v>
      </c>
      <c r="AE107" s="2">
        <f>IF(AND(Games[[#This Row],[Type]]="P",Games[[#This Row],[Round]]=1),IF(Games[[#This Row],[Result]]&gt;0.5,1,0),0)</f>
        <v>0</v>
      </c>
      <c r="AF107" s="2">
        <f>IF(AND(Games[[#This Row],[Type]]="P",Games[[#This Row],[Round]]=1),IF(Games[[#This Row],[Result]]&lt;0.5,1,0),0)</f>
        <v>0</v>
      </c>
      <c r="AG107" s="2">
        <f>IF(AND(Games[[#This Row],[Type]]="P",Games[[#This Row],[Round]]=2),IF(Games[[#This Row],[Result]]&gt;0.5,1,0),0)</f>
        <v>0</v>
      </c>
      <c r="AH107" s="2">
        <f>IF(AND(Games[[#This Row],[Type]]="P",Games[[#This Row],[Round]]=2),IF(Games[[#This Row],[Result]]&lt;0.5,1,0),0)</f>
        <v>0</v>
      </c>
      <c r="AI107" s="2">
        <f>IF(AND(Games[[#This Row],[Type]]="P",Games[[#This Row],[Round]]=3),IF(Games[[#This Row],[Result]]&gt;0.5,1,0),0)</f>
        <v>0</v>
      </c>
      <c r="AJ107" s="2">
        <f>IF(AND(Games[[#This Row],[Type]]="P",Games[[#This Row],[Round]]=3),IF(Games[[#This Row],[Result]]&lt;0.5,1,0),0)</f>
        <v>0</v>
      </c>
      <c r="AK107" s="2">
        <f>IF(AND(Games[[#This Row],[Type]]="P",Games[[#This Row],[Round]]=4),IF(Games[[#This Row],[Result]]&gt;0.5,1,0),0)</f>
        <v>0</v>
      </c>
      <c r="AL107" s="2">
        <f>IF(AND(Games[[#This Row],[Type]]="P",Games[[#This Row],[Round]]=4),IF(Games[[#This Row],[Result]]&lt;0.5,1,0),0)</f>
        <v>0</v>
      </c>
    </row>
    <row r="108" spans="1:38" x14ac:dyDescent="0.35">
      <c r="A108" s="10">
        <v>44356</v>
      </c>
      <c r="B108" s="2">
        <v>2021</v>
      </c>
      <c r="C108" s="2">
        <f>COUNTIFS(Games[Team],Games[[#This Row],[Team]],Games[Season],Games[[#This Row],[Season]],Games[Date],"&lt;=" &amp; Games[[#This Row],[Date]])</f>
        <v>10</v>
      </c>
      <c r="D108" s="2" t="s">
        <v>79</v>
      </c>
      <c r="E108" s="2" t="s">
        <v>80</v>
      </c>
      <c r="F108" s="1" t="s">
        <v>71</v>
      </c>
      <c r="G108" s="1" t="s">
        <v>77</v>
      </c>
      <c r="H108" s="1" t="s">
        <v>81</v>
      </c>
      <c r="I108" s="2" cm="1">
        <f t="array" ref="I1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8" s="2" cm="1">
        <f t="array" ref="J1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8" s="2">
        <f>Games[[#This Row],[DaysOff]]-Games[[#This Row],[OppDaysOff]]</f>
        <v>0</v>
      </c>
      <c r="L108" s="2">
        <f>Games[[#This Row],[OppDaysOff]]-Games[[#This Row],[DaysOff]]</f>
        <v>0</v>
      </c>
      <c r="M108" s="1">
        <f>MAX(-16, MIN(16, Games[[#This Row],[RestDiff]]*8))</f>
        <v>0</v>
      </c>
      <c r="N108" s="1">
        <f>MAX(-16, MIN(16, Games[[#This Row],[OppRestDiff]]*8))</f>
        <v>0</v>
      </c>
      <c r="O108" s="4" cm="1">
        <f t="array" ref="O1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1640.4726461180385</v>
      </c>
      <c r="P108" s="4" cm="1">
        <f t="array" ref="P1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1447.2841280239052</v>
      </c>
      <c r="Q108" s="4">
        <f>1/(1+10^(((Games[[#This Row],[OppPreGmRate]]+IF(Games[[#This Row],[HomeAway]]="A",HCA,0)+Games[[#This Row],[OppRestAdj]])-(Games[[#This Row],[PreGmRate]]+IF(Games[[#This Row],[HomeAway]]="H",HCA,0)+Games[[#This Row],[RestAdj]]))/400))</f>
        <v>0.65215825521590753</v>
      </c>
      <c r="R108" s="1">
        <v>95</v>
      </c>
      <c r="S108" s="1">
        <v>71</v>
      </c>
      <c r="T108" s="1">
        <v>0</v>
      </c>
      <c r="U108" s="1">
        <f>Games[[#This Row],[PointsFor]]-Games[[#This Row],[PointsAgainst]]</f>
        <v>24</v>
      </c>
      <c r="V108" s="1">
        <f>IF(Games[[#This Row],[MOV]]&gt;0,1,IF(Games[[#This Row],[MOV]]=0,0.5,0))</f>
        <v>1</v>
      </c>
      <c r="W108" s="4">
        <f>((ABS(Games[[#This Row],[MOV]])+5)^0.6)/(12+0.01*(ABS(Games[[#This Row],[PreGmRate]]-Games[[#This Row],[OppPreGmRate]])))*IF(Games[[#This Row],[OT]]=1,0.9,1)</f>
        <v>0.5412886393647488</v>
      </c>
      <c r="X108" s="7" cm="1">
        <f t="array" ref="X1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8" s="9">
        <f>MAX(kmin, kmax - 0.15 * MIN(Games[[#This Row],[GamesPlayed]], 82))</f>
        <v>74.5</v>
      </c>
      <c r="Z108" s="4">
        <f>Games[[#This Row],[K]]*Games[[#This Row],[POMult]]</f>
        <v>74.5</v>
      </c>
      <c r="AA108" s="4">
        <f>(Games[[#This Row],[Keff]]*Games[[#This Row],[MOVMult]])*(Games[[#This Row],[Result]]-Games[[#This Row],[ExpectedWin%]])</f>
        <v>14.027067463758902</v>
      </c>
      <c r="AB108" s="4">
        <f>Games[[#This Row],[PreGmRate]]+Games[[#This Row],[RatingChange]]</f>
        <v>1654.4997135817973</v>
      </c>
      <c r="AC108" s="2">
        <f>IF(Games[[#This Row],[Type]]="R",IF(Games[[#This Row],[Result]]&gt;0.5,1,0),0)</f>
        <v>1</v>
      </c>
      <c r="AD108" s="2">
        <f>IF(Games[[#This Row],[Type]]="R",IF(Games[[#This Row],[Result]]&lt;0.5,1,0),0)</f>
        <v>0</v>
      </c>
      <c r="AE108" s="2">
        <f>IF(AND(Games[[#This Row],[Type]]="P",Games[[#This Row],[Round]]=1),IF(Games[[#This Row],[Result]]&gt;0.5,1,0),0)</f>
        <v>0</v>
      </c>
      <c r="AF108" s="2">
        <f>IF(AND(Games[[#This Row],[Type]]="P",Games[[#This Row],[Round]]=1),IF(Games[[#This Row],[Result]]&lt;0.5,1,0),0)</f>
        <v>0</v>
      </c>
      <c r="AG108" s="2">
        <f>IF(AND(Games[[#This Row],[Type]]="P",Games[[#This Row],[Round]]=2),IF(Games[[#This Row],[Result]]&gt;0.5,1,0),0)</f>
        <v>0</v>
      </c>
      <c r="AH108" s="2">
        <f>IF(AND(Games[[#This Row],[Type]]="P",Games[[#This Row],[Round]]=2),IF(Games[[#This Row],[Result]]&lt;0.5,1,0),0)</f>
        <v>0</v>
      </c>
      <c r="AI108" s="2">
        <f>IF(AND(Games[[#This Row],[Type]]="P",Games[[#This Row],[Round]]=3),IF(Games[[#This Row],[Result]]&gt;0.5,1,0),0)</f>
        <v>0</v>
      </c>
      <c r="AJ108" s="2">
        <f>IF(AND(Games[[#This Row],[Type]]="P",Games[[#This Row],[Round]]=3),IF(Games[[#This Row],[Result]]&lt;0.5,1,0),0)</f>
        <v>0</v>
      </c>
      <c r="AK108" s="2">
        <f>IF(AND(Games[[#This Row],[Type]]="P",Games[[#This Row],[Round]]=4),IF(Games[[#This Row],[Result]]&gt;0.5,1,0),0)</f>
        <v>0</v>
      </c>
      <c r="AL108" s="2">
        <f>IF(AND(Games[[#This Row],[Type]]="P",Games[[#This Row],[Round]]=4),IF(Games[[#This Row],[Result]]&lt;0.5,1,0),0)</f>
        <v>0</v>
      </c>
    </row>
    <row r="109" spans="1:38" x14ac:dyDescent="0.35">
      <c r="A109" s="10">
        <v>44356</v>
      </c>
      <c r="B109" s="2">
        <v>2021</v>
      </c>
      <c r="C109" s="2">
        <f>COUNTIFS(Games[Team],Games[[#This Row],[Team]],Games[Season],Games[[#This Row],[Season]],Games[Date],"&lt;=" &amp; Games[[#This Row],[Date]])</f>
        <v>9</v>
      </c>
      <c r="D109" s="2" t="s">
        <v>79</v>
      </c>
      <c r="E109" s="2" t="s">
        <v>80</v>
      </c>
      <c r="F109" s="1" t="s">
        <v>77</v>
      </c>
      <c r="G109" s="1" t="s">
        <v>71</v>
      </c>
      <c r="H109" s="1" t="s">
        <v>82</v>
      </c>
      <c r="I109" s="2" cm="1">
        <f t="array" ref="I1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09" s="2" cm="1">
        <f t="array" ref="J1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09" s="2">
        <f>Games[[#This Row],[DaysOff]]-Games[[#This Row],[OppDaysOff]]</f>
        <v>0</v>
      </c>
      <c r="L109" s="2">
        <f>Games[[#This Row],[OppDaysOff]]-Games[[#This Row],[DaysOff]]</f>
        <v>0</v>
      </c>
      <c r="M109" s="1">
        <f>MAX(-16, MIN(16, Games[[#This Row],[RestDiff]]*8))</f>
        <v>0</v>
      </c>
      <c r="N109" s="1">
        <f>MAX(-16, MIN(16, Games[[#This Row],[OppRestDiff]]*8))</f>
        <v>0</v>
      </c>
      <c r="O109" s="4" cm="1">
        <f t="array" ref="O1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1447.2841280239052</v>
      </c>
      <c r="P109" s="4" cm="1">
        <f t="array" ref="P1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1640.4726461180385</v>
      </c>
      <c r="Q109" s="4">
        <f>1/(1+10^(((Games[[#This Row],[OppPreGmRate]]+IF(Games[[#This Row],[HomeAway]]="A",HCA,0)+Games[[#This Row],[OppRestAdj]])-(Games[[#This Row],[PreGmRate]]+IF(Games[[#This Row],[HomeAway]]="H",HCA,0)+Games[[#This Row],[RestAdj]]))/400))</f>
        <v>0.34784174478409247</v>
      </c>
      <c r="R109" s="1">
        <v>71</v>
      </c>
      <c r="S109" s="1">
        <v>95</v>
      </c>
      <c r="T109" s="1">
        <v>0</v>
      </c>
      <c r="U109" s="1">
        <f>Games[[#This Row],[PointsFor]]-Games[[#This Row],[PointsAgainst]]</f>
        <v>-24</v>
      </c>
      <c r="V109" s="1">
        <f>IF(Games[[#This Row],[MOV]]&gt;0,1,IF(Games[[#This Row],[MOV]]=0,0.5,0))</f>
        <v>0</v>
      </c>
      <c r="W109" s="4">
        <f>((ABS(Games[[#This Row],[MOV]])+5)^0.6)/(12+0.01*(ABS(Games[[#This Row],[PreGmRate]]-Games[[#This Row],[OppPreGmRate]])))*IF(Games[[#This Row],[OT]]=1,0.9,1)</f>
        <v>0.5412886393647488</v>
      </c>
      <c r="X109" s="7" cm="1">
        <f t="array" ref="X1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09" s="9">
        <f>MAX(kmin, kmax - 0.15 * MIN(Games[[#This Row],[GamesPlayed]], 82))</f>
        <v>74.650000000000006</v>
      </c>
      <c r="Z109" s="4">
        <f>Games[[#This Row],[K]]*Games[[#This Row],[POMult]]</f>
        <v>74.650000000000006</v>
      </c>
      <c r="AA109" s="4">
        <f>(Games[[#This Row],[Keff]]*Games[[#This Row],[MOVMult]])*(Games[[#This Row],[Result]]-Games[[#This Row],[ExpectedWin%]])</f>
        <v>-14.055309881471167</v>
      </c>
      <c r="AB109" s="4">
        <f>Games[[#This Row],[PreGmRate]]+Games[[#This Row],[RatingChange]]</f>
        <v>1433.228818142434</v>
      </c>
      <c r="AC109" s="2">
        <f>IF(Games[[#This Row],[Type]]="R",IF(Games[[#This Row],[Result]]&gt;0.5,1,0),0)</f>
        <v>0</v>
      </c>
      <c r="AD109" s="2">
        <f>IF(Games[[#This Row],[Type]]="R",IF(Games[[#This Row],[Result]]&lt;0.5,1,0),0)</f>
        <v>1</v>
      </c>
      <c r="AE109" s="2">
        <f>IF(AND(Games[[#This Row],[Type]]="P",Games[[#This Row],[Round]]=1),IF(Games[[#This Row],[Result]]&gt;0.5,1,0),0)</f>
        <v>0</v>
      </c>
      <c r="AF109" s="2">
        <f>IF(AND(Games[[#This Row],[Type]]="P",Games[[#This Row],[Round]]=1),IF(Games[[#This Row],[Result]]&lt;0.5,1,0),0)</f>
        <v>0</v>
      </c>
      <c r="AG109" s="2">
        <f>IF(AND(Games[[#This Row],[Type]]="P",Games[[#This Row],[Round]]=2),IF(Games[[#This Row],[Result]]&gt;0.5,1,0),0)</f>
        <v>0</v>
      </c>
      <c r="AH109" s="2">
        <f>IF(AND(Games[[#This Row],[Type]]="P",Games[[#This Row],[Round]]=2),IF(Games[[#This Row],[Result]]&lt;0.5,1,0),0)</f>
        <v>0</v>
      </c>
      <c r="AI109" s="2">
        <f>IF(AND(Games[[#This Row],[Type]]="P",Games[[#This Row],[Round]]=3),IF(Games[[#This Row],[Result]]&gt;0.5,1,0),0)</f>
        <v>0</v>
      </c>
      <c r="AJ109" s="2">
        <f>IF(AND(Games[[#This Row],[Type]]="P",Games[[#This Row],[Round]]=3),IF(Games[[#This Row],[Result]]&lt;0.5,1,0),0)</f>
        <v>0</v>
      </c>
      <c r="AK109" s="2">
        <f>IF(AND(Games[[#This Row],[Type]]="P",Games[[#This Row],[Round]]=4),IF(Games[[#This Row],[Result]]&gt;0.5,1,0),0)</f>
        <v>0</v>
      </c>
      <c r="AL109" s="2">
        <f>IF(AND(Games[[#This Row],[Type]]="P",Games[[#This Row],[Round]]=4),IF(Games[[#This Row],[Result]]&lt;0.5,1,0),0)</f>
        <v>0</v>
      </c>
    </row>
    <row r="110" spans="1:38" x14ac:dyDescent="0.35">
      <c r="A110" s="10">
        <v>44356</v>
      </c>
      <c r="B110" s="2">
        <v>2021</v>
      </c>
      <c r="C110" s="2">
        <f>COUNTIFS(Games[Team],Games[[#This Row],[Team]],Games[Season],Games[[#This Row],[Season]],Games[Date],"&lt;=" &amp; Games[[#This Row],[Date]])</f>
        <v>11</v>
      </c>
      <c r="D110" s="2" t="s">
        <v>79</v>
      </c>
      <c r="E110" s="2" t="s">
        <v>80</v>
      </c>
      <c r="F110" s="1" t="s">
        <v>69</v>
      </c>
      <c r="G110" s="1" t="s">
        <v>75</v>
      </c>
      <c r="H110" s="1" t="s">
        <v>81</v>
      </c>
      <c r="I110" s="2" cm="1">
        <f t="array" ref="I110">IFERROR(
    Games[[#This Row],[Date]]
    - LOOKUP(
        2,
        1/((Games[Team]=Games[[#This Row],[Team]]) * (Games[Date] &lt; Games[[#This Row],[Date]])),
        Games[Date]
    )
    - 1,
Games[[#This Row],[Date]]-$A$2)</f>
        <v>5</v>
      </c>
      <c r="J110" s="2" cm="1">
        <f t="array" ref="J11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10" s="2">
        <f>Games[[#This Row],[DaysOff]]-Games[[#This Row],[OppDaysOff]]</f>
        <v>2</v>
      </c>
      <c r="L110" s="2">
        <f>Games[[#This Row],[OppDaysOff]]-Games[[#This Row],[DaysOff]]</f>
        <v>-2</v>
      </c>
      <c r="M110" s="1">
        <f>MAX(-16, MIN(16, Games[[#This Row],[RestDiff]]*8))</f>
        <v>16</v>
      </c>
      <c r="N110" s="1">
        <f>MAX(-16, MIN(16, Games[[#This Row],[OppRestDiff]]*8))</f>
        <v>-16</v>
      </c>
      <c r="O110" s="4" cm="1">
        <f t="array" ref="O1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1351.0531120229564</v>
      </c>
      <c r="P110" s="4" cm="1">
        <f t="array" ref="P1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1443.8503932894873</v>
      </c>
      <c r="Q110" s="4">
        <f>1/(1+10^(((Games[[#This Row],[OppPreGmRate]]+IF(Games[[#This Row],[HomeAway]]="A",HCA,0)+Games[[#This Row],[OppRestAdj]])-(Games[[#This Row],[PreGmRate]]+IF(Games[[#This Row],[HomeAway]]="H",HCA,0)+Games[[#This Row],[RestAdj]]))/400))</f>
        <v>0.30290126713976046</v>
      </c>
      <c r="R110" s="1">
        <v>76</v>
      </c>
      <c r="S110" s="1">
        <v>92</v>
      </c>
      <c r="T110" s="1">
        <v>0</v>
      </c>
      <c r="U110" s="1">
        <f>Games[[#This Row],[PointsFor]]-Games[[#This Row],[PointsAgainst]]</f>
        <v>-16</v>
      </c>
      <c r="V110" s="1">
        <f>IF(Games[[#This Row],[MOV]]&gt;0,1,IF(Games[[#This Row],[MOV]]=0,0.5,0))</f>
        <v>0</v>
      </c>
      <c r="W110" s="4">
        <f>((ABS(Games[[#This Row],[MOV]])+5)^0.6)/(12+0.01*(ABS(Games[[#This Row],[PreGmRate]]-Games[[#This Row],[OppPreGmRate]])))*IF(Games[[#This Row],[OT]]=1,0.9,1)</f>
        <v>0.48061923376521576</v>
      </c>
      <c r="X110" s="7" cm="1">
        <f t="array" ref="X1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0" s="9">
        <f>MAX(kmin, kmax - 0.15 * MIN(Games[[#This Row],[GamesPlayed]], 82))</f>
        <v>74.349999999999994</v>
      </c>
      <c r="Z110" s="4">
        <f>Games[[#This Row],[K]]*Games[[#This Row],[POMult]]</f>
        <v>74.349999999999994</v>
      </c>
      <c r="AA110" s="4">
        <f>(Games[[#This Row],[Keff]]*Games[[#This Row],[MOVMult]])*(Games[[#This Row],[Result]]-Games[[#This Row],[ExpectedWin%]])</f>
        <v>-10.823886005244347</v>
      </c>
      <c r="AB110" s="4">
        <f>Games[[#This Row],[PreGmRate]]+Games[[#This Row],[RatingChange]]</f>
        <v>1340.2292260177121</v>
      </c>
      <c r="AC110" s="2">
        <f>IF(Games[[#This Row],[Type]]="R",IF(Games[[#This Row],[Result]]&gt;0.5,1,0),0)</f>
        <v>0</v>
      </c>
      <c r="AD110" s="2">
        <f>IF(Games[[#This Row],[Type]]="R",IF(Games[[#This Row],[Result]]&lt;0.5,1,0),0)</f>
        <v>1</v>
      </c>
      <c r="AE110" s="2">
        <f>IF(AND(Games[[#This Row],[Type]]="P",Games[[#This Row],[Round]]=1),IF(Games[[#This Row],[Result]]&gt;0.5,1,0),0)</f>
        <v>0</v>
      </c>
      <c r="AF110" s="2">
        <f>IF(AND(Games[[#This Row],[Type]]="P",Games[[#This Row],[Round]]=1),IF(Games[[#This Row],[Result]]&lt;0.5,1,0),0)</f>
        <v>0</v>
      </c>
      <c r="AG110" s="2">
        <f>IF(AND(Games[[#This Row],[Type]]="P",Games[[#This Row],[Round]]=2),IF(Games[[#This Row],[Result]]&gt;0.5,1,0),0)</f>
        <v>0</v>
      </c>
      <c r="AH110" s="2">
        <f>IF(AND(Games[[#This Row],[Type]]="P",Games[[#This Row],[Round]]=2),IF(Games[[#This Row],[Result]]&lt;0.5,1,0),0)</f>
        <v>0</v>
      </c>
      <c r="AI110" s="2">
        <f>IF(AND(Games[[#This Row],[Type]]="P",Games[[#This Row],[Round]]=3),IF(Games[[#This Row],[Result]]&gt;0.5,1,0),0)</f>
        <v>0</v>
      </c>
      <c r="AJ110" s="2">
        <f>IF(AND(Games[[#This Row],[Type]]="P",Games[[#This Row],[Round]]=3),IF(Games[[#This Row],[Result]]&lt;0.5,1,0),0)</f>
        <v>0</v>
      </c>
      <c r="AK110" s="2">
        <f>IF(AND(Games[[#This Row],[Type]]="P",Games[[#This Row],[Round]]=4),IF(Games[[#This Row],[Result]]&gt;0.5,1,0),0)</f>
        <v>0</v>
      </c>
      <c r="AL110" s="2">
        <f>IF(AND(Games[[#This Row],[Type]]="P",Games[[#This Row],[Round]]=4),IF(Games[[#This Row],[Result]]&lt;0.5,1,0),0)</f>
        <v>0</v>
      </c>
    </row>
    <row r="111" spans="1:38" x14ac:dyDescent="0.35">
      <c r="A111" s="10">
        <v>44356</v>
      </c>
      <c r="B111" s="2">
        <v>2021</v>
      </c>
      <c r="C111" s="2">
        <f>COUNTIFS(Games[Team],Games[[#This Row],[Team]],Games[Season],Games[[#This Row],[Season]],Games[Date],"&lt;=" &amp; Games[[#This Row],[Date]])</f>
        <v>10</v>
      </c>
      <c r="D111" s="2" t="s">
        <v>79</v>
      </c>
      <c r="E111" s="2" t="s">
        <v>80</v>
      </c>
      <c r="F111" s="1" t="s">
        <v>75</v>
      </c>
      <c r="G111" s="1" t="s">
        <v>69</v>
      </c>
      <c r="H111" s="1" t="s">
        <v>82</v>
      </c>
      <c r="I111" s="2" cm="1">
        <f t="array" ref="I11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11" s="2" cm="1">
        <f t="array" ref="J11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11" s="2">
        <f>Games[[#This Row],[DaysOff]]-Games[[#This Row],[OppDaysOff]]</f>
        <v>-2</v>
      </c>
      <c r="L111" s="2">
        <f>Games[[#This Row],[OppDaysOff]]-Games[[#This Row],[DaysOff]]</f>
        <v>2</v>
      </c>
      <c r="M111" s="1">
        <f>MAX(-16, MIN(16, Games[[#This Row],[RestDiff]]*8))</f>
        <v>-16</v>
      </c>
      <c r="N111" s="1">
        <f>MAX(-16, MIN(16, Games[[#This Row],[OppRestDiff]]*8))</f>
        <v>16</v>
      </c>
      <c r="O111" s="4" cm="1">
        <f t="array" ref="O1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1443.8503932894873</v>
      </c>
      <c r="P111" s="4" cm="1">
        <f t="array" ref="P1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1351.0531120229564</v>
      </c>
      <c r="Q111" s="4">
        <f>1/(1+10^(((Games[[#This Row],[OppPreGmRate]]+IF(Games[[#This Row],[HomeAway]]="A",HCA,0)+Games[[#This Row],[OppRestAdj]])-(Games[[#This Row],[PreGmRate]]+IF(Games[[#This Row],[HomeAway]]="H",HCA,0)+Games[[#This Row],[RestAdj]]))/400))</f>
        <v>0.6970987328602396</v>
      </c>
      <c r="R111" s="1">
        <v>92</v>
      </c>
      <c r="S111" s="1">
        <v>76</v>
      </c>
      <c r="T111" s="1">
        <v>0</v>
      </c>
      <c r="U111" s="1">
        <f>Games[[#This Row],[PointsFor]]-Games[[#This Row],[PointsAgainst]]</f>
        <v>16</v>
      </c>
      <c r="V111" s="1">
        <f>IF(Games[[#This Row],[MOV]]&gt;0,1,IF(Games[[#This Row],[MOV]]=0,0.5,0))</f>
        <v>1</v>
      </c>
      <c r="W111" s="4">
        <f>((ABS(Games[[#This Row],[MOV]])+5)^0.6)/(12+0.01*(ABS(Games[[#This Row],[PreGmRate]]-Games[[#This Row],[OppPreGmRate]])))*IF(Games[[#This Row],[OT]]=1,0.9,1)</f>
        <v>0.48061923376521576</v>
      </c>
      <c r="X111" s="7" cm="1">
        <f t="array" ref="X1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1" s="9">
        <f>MAX(kmin, kmax - 0.15 * MIN(Games[[#This Row],[GamesPlayed]], 82))</f>
        <v>74.5</v>
      </c>
      <c r="Z111" s="4">
        <f>Games[[#This Row],[K]]*Games[[#This Row],[POMult]]</f>
        <v>74.5</v>
      </c>
      <c r="AA111" s="4">
        <f>(Games[[#This Row],[Keff]]*Games[[#This Row],[MOVMult]])*(Games[[#This Row],[Result]]-Games[[#This Row],[ExpectedWin%]])</f>
        <v>10.845723031482231</v>
      </c>
      <c r="AB111" s="4">
        <f>Games[[#This Row],[PreGmRate]]+Games[[#This Row],[RatingChange]]</f>
        <v>1454.6961163209696</v>
      </c>
      <c r="AC111" s="2">
        <f>IF(Games[[#This Row],[Type]]="R",IF(Games[[#This Row],[Result]]&gt;0.5,1,0),0)</f>
        <v>1</v>
      </c>
      <c r="AD111" s="2">
        <f>IF(Games[[#This Row],[Type]]="R",IF(Games[[#This Row],[Result]]&lt;0.5,1,0),0)</f>
        <v>0</v>
      </c>
      <c r="AE111" s="2">
        <f>IF(AND(Games[[#This Row],[Type]]="P",Games[[#This Row],[Round]]=1),IF(Games[[#This Row],[Result]]&gt;0.5,1,0),0)</f>
        <v>0</v>
      </c>
      <c r="AF111" s="2">
        <f>IF(AND(Games[[#This Row],[Type]]="P",Games[[#This Row],[Round]]=1),IF(Games[[#This Row],[Result]]&lt;0.5,1,0),0)</f>
        <v>0</v>
      </c>
      <c r="AG111" s="2">
        <f>IF(AND(Games[[#This Row],[Type]]="P",Games[[#This Row],[Round]]=2),IF(Games[[#This Row],[Result]]&gt;0.5,1,0),0)</f>
        <v>0</v>
      </c>
      <c r="AH111" s="2">
        <f>IF(AND(Games[[#This Row],[Type]]="P",Games[[#This Row],[Round]]=2),IF(Games[[#This Row],[Result]]&lt;0.5,1,0),0)</f>
        <v>0</v>
      </c>
      <c r="AI111" s="2">
        <f>IF(AND(Games[[#This Row],[Type]]="P",Games[[#This Row],[Round]]=3),IF(Games[[#This Row],[Result]]&gt;0.5,1,0),0)</f>
        <v>0</v>
      </c>
      <c r="AJ111" s="2">
        <f>IF(AND(Games[[#This Row],[Type]]="P",Games[[#This Row],[Round]]=3),IF(Games[[#This Row],[Result]]&lt;0.5,1,0),0)</f>
        <v>0</v>
      </c>
      <c r="AK111" s="2">
        <f>IF(AND(Games[[#This Row],[Type]]="P",Games[[#This Row],[Round]]=4),IF(Games[[#This Row],[Result]]&gt;0.5,1,0),0)</f>
        <v>0</v>
      </c>
      <c r="AL111" s="2">
        <f>IF(AND(Games[[#This Row],[Type]]="P",Games[[#This Row],[Round]]=4),IF(Games[[#This Row],[Result]]&lt;0.5,1,0),0)</f>
        <v>0</v>
      </c>
    </row>
    <row r="112" spans="1:38" x14ac:dyDescent="0.35">
      <c r="A112" s="10">
        <v>44357</v>
      </c>
      <c r="B112" s="2">
        <v>2021</v>
      </c>
      <c r="C112" s="2">
        <f>COUNTIFS(Games[Team],Games[[#This Row],[Team]],Games[Season],Games[[#This Row],[Season]],Games[Date],"&lt;=" &amp; Games[[#This Row],[Date]])</f>
        <v>8</v>
      </c>
      <c r="D112" s="2" t="s">
        <v>79</v>
      </c>
      <c r="E112" s="2" t="s">
        <v>80</v>
      </c>
      <c r="F112" s="1" t="s">
        <v>63</v>
      </c>
      <c r="G112" s="1" t="s">
        <v>65</v>
      </c>
      <c r="H112" s="1" t="s">
        <v>81</v>
      </c>
      <c r="I112" s="2" cm="1">
        <f t="array" ref="I11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12" s="2" cm="1">
        <f t="array" ref="J1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2" s="2">
        <f>Games[[#This Row],[DaysOff]]-Games[[#This Row],[OppDaysOff]]</f>
        <v>3</v>
      </c>
      <c r="L112" s="2">
        <f>Games[[#This Row],[OppDaysOff]]-Games[[#This Row],[DaysOff]]</f>
        <v>-3</v>
      </c>
      <c r="M112" s="1">
        <f>MAX(-16, MIN(16, Games[[#This Row],[RestDiff]]*8))</f>
        <v>16</v>
      </c>
      <c r="N112" s="1">
        <f>MAX(-16, MIN(16, Games[[#This Row],[OppRestDiff]]*8))</f>
        <v>-16</v>
      </c>
      <c r="O112" s="4" cm="1">
        <f t="array" ref="O1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1519.0010944108067</v>
      </c>
      <c r="P112" s="4" cm="1">
        <f t="array" ref="P1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1468.8715244963116</v>
      </c>
      <c r="Q112" s="4">
        <f>1/(1+10^(((Games[[#This Row],[OppPreGmRate]]+IF(Games[[#This Row],[HomeAway]]="A",HCA,0)+Games[[#This Row],[OppRestAdj]])-(Games[[#This Row],[PreGmRate]]+IF(Games[[#This Row],[HomeAway]]="H",HCA,0)+Games[[#This Row],[RestAdj]]))/400))</f>
        <v>0.49730826073407336</v>
      </c>
      <c r="R112" s="1">
        <v>71</v>
      </c>
      <c r="S112" s="1">
        <v>89</v>
      </c>
      <c r="T112" s="1">
        <v>0</v>
      </c>
      <c r="U112" s="1">
        <f>Games[[#This Row],[PointsFor]]-Games[[#This Row],[PointsAgainst]]</f>
        <v>-18</v>
      </c>
      <c r="V112" s="1">
        <f>IF(Games[[#This Row],[MOV]]&gt;0,1,IF(Games[[#This Row],[MOV]]=0,0.5,0))</f>
        <v>0</v>
      </c>
      <c r="W112" s="4">
        <f>((ABS(Games[[#This Row],[MOV]])+5)^0.6)/(12+0.01*(ABS(Games[[#This Row],[PreGmRate]]-Games[[#This Row],[OppPreGmRate]])))*IF(Games[[#This Row],[OT]]=1,0.9,1)</f>
        <v>0.52490616520371369</v>
      </c>
      <c r="X112" s="7" cm="1">
        <f t="array" ref="X1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2" s="9">
        <f>MAX(kmin, kmax - 0.15 * MIN(Games[[#This Row],[GamesPlayed]], 82))</f>
        <v>74.8</v>
      </c>
      <c r="Z112" s="4">
        <f>Games[[#This Row],[K]]*Games[[#This Row],[POMult]]</f>
        <v>74.8</v>
      </c>
      <c r="AA112" s="4">
        <f>(Games[[#This Row],[Keff]]*Games[[#This Row],[MOVMult]])*(Games[[#This Row],[Result]]-Games[[#This Row],[ExpectedWin%]])</f>
        <v>-19.525804870540615</v>
      </c>
      <c r="AB112" s="4">
        <f>Games[[#This Row],[PreGmRate]]+Games[[#This Row],[RatingChange]]</f>
        <v>1499.475289540266</v>
      </c>
      <c r="AC112" s="2">
        <f>IF(Games[[#This Row],[Type]]="R",IF(Games[[#This Row],[Result]]&gt;0.5,1,0),0)</f>
        <v>0</v>
      </c>
      <c r="AD112" s="2">
        <f>IF(Games[[#This Row],[Type]]="R",IF(Games[[#This Row],[Result]]&lt;0.5,1,0),0)</f>
        <v>1</v>
      </c>
      <c r="AE112" s="2">
        <f>IF(AND(Games[[#This Row],[Type]]="P",Games[[#This Row],[Round]]=1),IF(Games[[#This Row],[Result]]&gt;0.5,1,0),0)</f>
        <v>0</v>
      </c>
      <c r="AF112" s="2">
        <f>IF(AND(Games[[#This Row],[Type]]="P",Games[[#This Row],[Round]]=1),IF(Games[[#This Row],[Result]]&lt;0.5,1,0),0)</f>
        <v>0</v>
      </c>
      <c r="AG112" s="2">
        <f>IF(AND(Games[[#This Row],[Type]]="P",Games[[#This Row],[Round]]=2),IF(Games[[#This Row],[Result]]&gt;0.5,1,0),0)</f>
        <v>0</v>
      </c>
      <c r="AH112" s="2">
        <f>IF(AND(Games[[#This Row],[Type]]="P",Games[[#This Row],[Round]]=2),IF(Games[[#This Row],[Result]]&lt;0.5,1,0),0)</f>
        <v>0</v>
      </c>
      <c r="AI112" s="2">
        <f>IF(AND(Games[[#This Row],[Type]]="P",Games[[#This Row],[Round]]=3),IF(Games[[#This Row],[Result]]&gt;0.5,1,0),0)</f>
        <v>0</v>
      </c>
      <c r="AJ112" s="2">
        <f>IF(AND(Games[[#This Row],[Type]]="P",Games[[#This Row],[Round]]=3),IF(Games[[#This Row],[Result]]&lt;0.5,1,0),0)</f>
        <v>0</v>
      </c>
      <c r="AK112" s="2">
        <f>IF(AND(Games[[#This Row],[Type]]="P",Games[[#This Row],[Round]]=4),IF(Games[[#This Row],[Result]]&gt;0.5,1,0),0)</f>
        <v>0</v>
      </c>
      <c r="AL112" s="2">
        <f>IF(AND(Games[[#This Row],[Type]]="P",Games[[#This Row],[Round]]=4),IF(Games[[#This Row],[Result]]&lt;0.5,1,0),0)</f>
        <v>0</v>
      </c>
    </row>
    <row r="113" spans="1:38" x14ac:dyDescent="0.35">
      <c r="A113" s="10">
        <v>44357</v>
      </c>
      <c r="B113" s="2">
        <v>2021</v>
      </c>
      <c r="C113" s="2">
        <f>COUNTIFS(Games[Team],Games[[#This Row],[Team]],Games[Season],Games[[#This Row],[Season]],Games[Date],"&lt;=" &amp; Games[[#This Row],[Date]])</f>
        <v>9</v>
      </c>
      <c r="D113" s="2" t="s">
        <v>79</v>
      </c>
      <c r="E113" s="2" t="s">
        <v>80</v>
      </c>
      <c r="F113" s="1" t="s">
        <v>65</v>
      </c>
      <c r="G113" s="1" t="s">
        <v>63</v>
      </c>
      <c r="H113" s="1" t="s">
        <v>82</v>
      </c>
      <c r="I113" s="2" cm="1">
        <f t="array" ref="I1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3" s="2" cm="1">
        <f t="array" ref="J11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13" s="2">
        <f>Games[[#This Row],[DaysOff]]-Games[[#This Row],[OppDaysOff]]</f>
        <v>-3</v>
      </c>
      <c r="L113" s="2">
        <f>Games[[#This Row],[OppDaysOff]]-Games[[#This Row],[DaysOff]]</f>
        <v>3</v>
      </c>
      <c r="M113" s="1">
        <f>MAX(-16, MIN(16, Games[[#This Row],[RestDiff]]*8))</f>
        <v>-16</v>
      </c>
      <c r="N113" s="1">
        <f>MAX(-16, MIN(16, Games[[#This Row],[OppRestDiff]]*8))</f>
        <v>16</v>
      </c>
      <c r="O113" s="4" cm="1">
        <f t="array" ref="O1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1468.8715244963116</v>
      </c>
      <c r="P113" s="4" cm="1">
        <f t="array" ref="P1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1519.0010944108067</v>
      </c>
      <c r="Q113" s="4">
        <f>1/(1+10^(((Games[[#This Row],[OppPreGmRate]]+IF(Games[[#This Row],[HomeAway]]="A",HCA,0)+Games[[#This Row],[OppRestAdj]])-(Games[[#This Row],[PreGmRate]]+IF(Games[[#This Row],[HomeAway]]="H",HCA,0)+Games[[#This Row],[RestAdj]]))/400))</f>
        <v>0.50269173926592658</v>
      </c>
      <c r="R113" s="1">
        <v>89</v>
      </c>
      <c r="S113" s="1">
        <v>71</v>
      </c>
      <c r="T113" s="1">
        <v>0</v>
      </c>
      <c r="U113" s="1">
        <f>Games[[#This Row],[PointsFor]]-Games[[#This Row],[PointsAgainst]]</f>
        <v>18</v>
      </c>
      <c r="V113" s="1">
        <f>IF(Games[[#This Row],[MOV]]&gt;0,1,IF(Games[[#This Row],[MOV]]=0,0.5,0))</f>
        <v>1</v>
      </c>
      <c r="W113" s="4">
        <f>((ABS(Games[[#This Row],[MOV]])+5)^0.6)/(12+0.01*(ABS(Games[[#This Row],[PreGmRate]]-Games[[#This Row],[OppPreGmRate]])))*IF(Games[[#This Row],[OT]]=1,0.9,1)</f>
        <v>0.52490616520371369</v>
      </c>
      <c r="X113" s="7" cm="1">
        <f t="array" ref="X1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3" s="9">
        <f>MAX(kmin, kmax - 0.15 * MIN(Games[[#This Row],[GamesPlayed]], 82))</f>
        <v>74.650000000000006</v>
      </c>
      <c r="Z113" s="4">
        <f>Games[[#This Row],[K]]*Games[[#This Row],[POMult]]</f>
        <v>74.650000000000006</v>
      </c>
      <c r="AA113" s="4">
        <f>(Games[[#This Row],[Keff]]*Games[[#This Row],[MOVMult]])*(Games[[#This Row],[Result]]-Games[[#This Row],[ExpectedWin%]])</f>
        <v>19.486648844730713</v>
      </c>
      <c r="AB113" s="4">
        <f>Games[[#This Row],[PreGmRate]]+Games[[#This Row],[RatingChange]]</f>
        <v>1488.3581733410424</v>
      </c>
      <c r="AC113" s="2">
        <f>IF(Games[[#This Row],[Type]]="R",IF(Games[[#This Row],[Result]]&gt;0.5,1,0),0)</f>
        <v>1</v>
      </c>
      <c r="AD113" s="2">
        <f>IF(Games[[#This Row],[Type]]="R",IF(Games[[#This Row],[Result]]&lt;0.5,1,0),0)</f>
        <v>0</v>
      </c>
      <c r="AE113" s="2">
        <f>IF(AND(Games[[#This Row],[Type]]="P",Games[[#This Row],[Round]]=1),IF(Games[[#This Row],[Result]]&gt;0.5,1,0),0)</f>
        <v>0</v>
      </c>
      <c r="AF113" s="2">
        <f>IF(AND(Games[[#This Row],[Type]]="P",Games[[#This Row],[Round]]=1),IF(Games[[#This Row],[Result]]&lt;0.5,1,0),0)</f>
        <v>0</v>
      </c>
      <c r="AG113" s="2">
        <f>IF(AND(Games[[#This Row],[Type]]="P",Games[[#This Row],[Round]]=2),IF(Games[[#This Row],[Result]]&gt;0.5,1,0),0)</f>
        <v>0</v>
      </c>
      <c r="AH113" s="2">
        <f>IF(AND(Games[[#This Row],[Type]]="P",Games[[#This Row],[Round]]=2),IF(Games[[#This Row],[Result]]&lt;0.5,1,0),0)</f>
        <v>0</v>
      </c>
      <c r="AI113" s="2">
        <f>IF(AND(Games[[#This Row],[Type]]="P",Games[[#This Row],[Round]]=3),IF(Games[[#This Row],[Result]]&gt;0.5,1,0),0)</f>
        <v>0</v>
      </c>
      <c r="AJ113" s="2">
        <f>IF(AND(Games[[#This Row],[Type]]="P",Games[[#This Row],[Round]]=3),IF(Games[[#This Row],[Result]]&lt;0.5,1,0),0)</f>
        <v>0</v>
      </c>
      <c r="AK113" s="2">
        <f>IF(AND(Games[[#This Row],[Type]]="P",Games[[#This Row],[Round]]=4),IF(Games[[#This Row],[Result]]&gt;0.5,1,0),0)</f>
        <v>0</v>
      </c>
      <c r="AL113" s="2">
        <f>IF(AND(Games[[#This Row],[Type]]="P",Games[[#This Row],[Round]]=4),IF(Games[[#This Row],[Result]]&lt;0.5,1,0),0)</f>
        <v>0</v>
      </c>
    </row>
    <row r="114" spans="1:38" x14ac:dyDescent="0.35">
      <c r="A114" s="10">
        <v>44358</v>
      </c>
      <c r="B114" s="2">
        <v>2021</v>
      </c>
      <c r="C114" s="2">
        <f>COUNTIFS(Games[Team],Games[[#This Row],[Team]],Games[Season],Games[[#This Row],[Season]],Games[Date],"&lt;=" &amp; Games[[#This Row],[Date]])</f>
        <v>11</v>
      </c>
      <c r="D114" s="2" t="s">
        <v>79</v>
      </c>
      <c r="E114" s="2" t="s">
        <v>80</v>
      </c>
      <c r="F114" s="1" t="s">
        <v>71</v>
      </c>
      <c r="G114" s="1" t="s">
        <v>77</v>
      </c>
      <c r="H114" s="1" t="s">
        <v>81</v>
      </c>
      <c r="I114" s="2" cm="1">
        <f t="array" ref="I11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4" s="2" cm="1">
        <f t="array" ref="J1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4" s="2">
        <f>Games[[#This Row],[DaysOff]]-Games[[#This Row],[OppDaysOff]]</f>
        <v>0</v>
      </c>
      <c r="L114" s="2">
        <f>Games[[#This Row],[OppDaysOff]]-Games[[#This Row],[DaysOff]]</f>
        <v>0</v>
      </c>
      <c r="M114" s="1">
        <f>MAX(-16, MIN(16, Games[[#This Row],[RestDiff]]*8))</f>
        <v>0</v>
      </c>
      <c r="N114" s="1">
        <f>MAX(-16, MIN(16, Games[[#This Row],[OppRestDiff]]*8))</f>
        <v>0</v>
      </c>
      <c r="O114" s="4" cm="1">
        <f t="array" ref="O1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1654.4997135817973</v>
      </c>
      <c r="P114" s="4" cm="1">
        <f t="array" ref="P1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1433.228818142434</v>
      </c>
      <c r="Q114" s="4">
        <f>1/(1+10^(((Games[[#This Row],[OppPreGmRate]]+IF(Games[[#This Row],[HomeAway]]="A",HCA,0)+Games[[#This Row],[OppRestAdj]])-(Games[[#This Row],[PreGmRate]]+IF(Games[[#This Row],[HomeAway]]="H",HCA,0)+Games[[#This Row],[RestAdj]]))/400))</f>
        <v>0.68787315506964319</v>
      </c>
      <c r="R114" s="1">
        <v>86</v>
      </c>
      <c r="S114" s="1">
        <v>75</v>
      </c>
      <c r="T114" s="1">
        <v>0</v>
      </c>
      <c r="U114" s="1">
        <f>Games[[#This Row],[PointsFor]]-Games[[#This Row],[PointsAgainst]]</f>
        <v>11</v>
      </c>
      <c r="V114" s="1">
        <f>IF(Games[[#This Row],[MOV]]&gt;0,1,IF(Games[[#This Row],[MOV]]=0,0.5,0))</f>
        <v>1</v>
      </c>
      <c r="W114" s="4">
        <f>((ABS(Games[[#This Row],[MOV]])+5)^0.6)/(12+0.01*(ABS(Games[[#This Row],[PreGmRate]]-Games[[#This Row],[OppPreGmRate]])))*IF(Games[[#This Row],[OT]]=1,0.9,1)</f>
        <v>0.37136000322162066</v>
      </c>
      <c r="X114" s="7" cm="1">
        <f t="array" ref="X1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4" s="9">
        <f>MAX(kmin, kmax - 0.15 * MIN(Games[[#This Row],[GamesPlayed]], 82))</f>
        <v>74.349999999999994</v>
      </c>
      <c r="Z114" s="4">
        <f>Games[[#This Row],[K]]*Games[[#This Row],[POMult]]</f>
        <v>74.349999999999994</v>
      </c>
      <c r="AA114" s="4">
        <f>(Games[[#This Row],[Keff]]*Games[[#This Row],[MOVMult]])*(Games[[#This Row],[Result]]-Games[[#This Row],[ExpectedWin%]])</f>
        <v>8.6180145334265905</v>
      </c>
      <c r="AB114" s="4">
        <f>Games[[#This Row],[PreGmRate]]+Games[[#This Row],[RatingChange]]</f>
        <v>1663.1177281152238</v>
      </c>
      <c r="AC114" s="2">
        <f>IF(Games[[#This Row],[Type]]="R",IF(Games[[#This Row],[Result]]&gt;0.5,1,0),0)</f>
        <v>1</v>
      </c>
      <c r="AD114" s="2">
        <f>IF(Games[[#This Row],[Type]]="R",IF(Games[[#This Row],[Result]]&lt;0.5,1,0),0)</f>
        <v>0</v>
      </c>
      <c r="AE114" s="2">
        <f>IF(AND(Games[[#This Row],[Type]]="P",Games[[#This Row],[Round]]=1),IF(Games[[#This Row],[Result]]&gt;0.5,1,0),0)</f>
        <v>0</v>
      </c>
      <c r="AF114" s="2">
        <f>IF(AND(Games[[#This Row],[Type]]="P",Games[[#This Row],[Round]]=1),IF(Games[[#This Row],[Result]]&lt;0.5,1,0),0)</f>
        <v>0</v>
      </c>
      <c r="AG114" s="2">
        <f>IF(AND(Games[[#This Row],[Type]]="P",Games[[#This Row],[Round]]=2),IF(Games[[#This Row],[Result]]&gt;0.5,1,0),0)</f>
        <v>0</v>
      </c>
      <c r="AH114" s="2">
        <f>IF(AND(Games[[#This Row],[Type]]="P",Games[[#This Row],[Round]]=2),IF(Games[[#This Row],[Result]]&lt;0.5,1,0),0)</f>
        <v>0</v>
      </c>
      <c r="AI114" s="2">
        <f>IF(AND(Games[[#This Row],[Type]]="P",Games[[#This Row],[Round]]=3),IF(Games[[#This Row],[Result]]&gt;0.5,1,0),0)</f>
        <v>0</v>
      </c>
      <c r="AJ114" s="2">
        <f>IF(AND(Games[[#This Row],[Type]]="P",Games[[#This Row],[Round]]=3),IF(Games[[#This Row],[Result]]&lt;0.5,1,0),0)</f>
        <v>0</v>
      </c>
      <c r="AK114" s="2">
        <f>IF(AND(Games[[#This Row],[Type]]="P",Games[[#This Row],[Round]]=4),IF(Games[[#This Row],[Result]]&gt;0.5,1,0),0)</f>
        <v>0</v>
      </c>
      <c r="AL114" s="2">
        <f>IF(AND(Games[[#This Row],[Type]]="P",Games[[#This Row],[Round]]=4),IF(Games[[#This Row],[Result]]&lt;0.5,1,0),0)</f>
        <v>0</v>
      </c>
    </row>
    <row r="115" spans="1:38" x14ac:dyDescent="0.35">
      <c r="A115" s="10">
        <v>44358</v>
      </c>
      <c r="B115" s="2">
        <v>2021</v>
      </c>
      <c r="C115" s="2">
        <f>COUNTIFS(Games[Team],Games[[#This Row],[Team]],Games[Season],Games[[#This Row],[Season]],Games[Date],"&lt;=" &amp; Games[[#This Row],[Date]])</f>
        <v>10</v>
      </c>
      <c r="D115" s="2" t="s">
        <v>79</v>
      </c>
      <c r="E115" s="2" t="s">
        <v>80</v>
      </c>
      <c r="F115" s="1" t="s">
        <v>77</v>
      </c>
      <c r="G115" s="1" t="s">
        <v>71</v>
      </c>
      <c r="H115" s="1" t="s">
        <v>82</v>
      </c>
      <c r="I115" s="2" cm="1">
        <f t="array" ref="I1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15" s="2" cm="1">
        <f t="array" ref="J11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15" s="2">
        <f>Games[[#This Row],[DaysOff]]-Games[[#This Row],[OppDaysOff]]</f>
        <v>0</v>
      </c>
      <c r="L115" s="2">
        <f>Games[[#This Row],[OppDaysOff]]-Games[[#This Row],[DaysOff]]</f>
        <v>0</v>
      </c>
      <c r="M115" s="1">
        <f>MAX(-16, MIN(16, Games[[#This Row],[RestDiff]]*8))</f>
        <v>0</v>
      </c>
      <c r="N115" s="1">
        <f>MAX(-16, MIN(16, Games[[#This Row],[OppRestDiff]]*8))</f>
        <v>0</v>
      </c>
      <c r="O115" s="4" cm="1">
        <f t="array" ref="O1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1433.228818142434</v>
      </c>
      <c r="P115" s="4" cm="1">
        <f t="array" ref="P1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1654.4997135817973</v>
      </c>
      <c r="Q115" s="4">
        <f>1/(1+10^(((Games[[#This Row],[OppPreGmRate]]+IF(Games[[#This Row],[HomeAway]]="A",HCA,0)+Games[[#This Row],[OppRestAdj]])-(Games[[#This Row],[PreGmRate]]+IF(Games[[#This Row],[HomeAway]]="H",HCA,0)+Games[[#This Row],[RestAdj]]))/400))</f>
        <v>0.31212684493035681</v>
      </c>
      <c r="R115" s="1">
        <v>75</v>
      </c>
      <c r="S115" s="1">
        <v>86</v>
      </c>
      <c r="T115" s="1">
        <v>0</v>
      </c>
      <c r="U115" s="1">
        <f>Games[[#This Row],[PointsFor]]-Games[[#This Row],[PointsAgainst]]</f>
        <v>-11</v>
      </c>
      <c r="V115" s="1">
        <f>IF(Games[[#This Row],[MOV]]&gt;0,1,IF(Games[[#This Row],[MOV]]=0,0.5,0))</f>
        <v>0</v>
      </c>
      <c r="W115" s="4">
        <f>((ABS(Games[[#This Row],[MOV]])+5)^0.6)/(12+0.01*(ABS(Games[[#This Row],[PreGmRate]]-Games[[#This Row],[OppPreGmRate]])))*IF(Games[[#This Row],[OT]]=1,0.9,1)</f>
        <v>0.37136000322162066</v>
      </c>
      <c r="X115" s="7" cm="1">
        <f t="array" ref="X1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5" s="9">
        <f>MAX(kmin, kmax - 0.15 * MIN(Games[[#This Row],[GamesPlayed]], 82))</f>
        <v>74.5</v>
      </c>
      <c r="Z115" s="4">
        <f>Games[[#This Row],[K]]*Games[[#This Row],[POMult]]</f>
        <v>74.5</v>
      </c>
      <c r="AA115" s="4">
        <f>(Games[[#This Row],[Keff]]*Games[[#This Row],[MOVMult]])*(Games[[#This Row],[Result]]-Games[[#This Row],[ExpectedWin%]])</f>
        <v>-8.6354012473474242</v>
      </c>
      <c r="AB115" s="4">
        <f>Games[[#This Row],[PreGmRate]]+Games[[#This Row],[RatingChange]]</f>
        <v>1424.5934168950866</v>
      </c>
      <c r="AC115" s="2">
        <f>IF(Games[[#This Row],[Type]]="R",IF(Games[[#This Row],[Result]]&gt;0.5,1,0),0)</f>
        <v>0</v>
      </c>
      <c r="AD115" s="2">
        <f>IF(Games[[#This Row],[Type]]="R",IF(Games[[#This Row],[Result]]&lt;0.5,1,0),0)</f>
        <v>1</v>
      </c>
      <c r="AE115" s="2">
        <f>IF(AND(Games[[#This Row],[Type]]="P",Games[[#This Row],[Round]]=1),IF(Games[[#This Row],[Result]]&gt;0.5,1,0),0)</f>
        <v>0</v>
      </c>
      <c r="AF115" s="2">
        <f>IF(AND(Games[[#This Row],[Type]]="P",Games[[#This Row],[Round]]=1),IF(Games[[#This Row],[Result]]&lt;0.5,1,0),0)</f>
        <v>0</v>
      </c>
      <c r="AG115" s="2">
        <f>IF(AND(Games[[#This Row],[Type]]="P",Games[[#This Row],[Round]]=2),IF(Games[[#This Row],[Result]]&gt;0.5,1,0),0)</f>
        <v>0</v>
      </c>
      <c r="AH115" s="2">
        <f>IF(AND(Games[[#This Row],[Type]]="P",Games[[#This Row],[Round]]=2),IF(Games[[#This Row],[Result]]&lt;0.5,1,0),0)</f>
        <v>0</v>
      </c>
      <c r="AI115" s="2">
        <f>IF(AND(Games[[#This Row],[Type]]="P",Games[[#This Row],[Round]]=3),IF(Games[[#This Row],[Result]]&gt;0.5,1,0),0)</f>
        <v>0</v>
      </c>
      <c r="AJ115" s="2">
        <f>IF(AND(Games[[#This Row],[Type]]="P",Games[[#This Row],[Round]]=3),IF(Games[[#This Row],[Result]]&lt;0.5,1,0),0)</f>
        <v>0</v>
      </c>
      <c r="AK115" s="2">
        <f>IF(AND(Games[[#This Row],[Type]]="P",Games[[#This Row],[Round]]=4),IF(Games[[#This Row],[Result]]&gt;0.5,1,0),0)</f>
        <v>0</v>
      </c>
      <c r="AL115" s="2">
        <f>IF(AND(Games[[#This Row],[Type]]="P",Games[[#This Row],[Round]]=4),IF(Games[[#This Row],[Result]]&lt;0.5,1,0),0)</f>
        <v>0</v>
      </c>
    </row>
    <row r="116" spans="1:38" x14ac:dyDescent="0.35">
      <c r="A116" s="10">
        <v>44358</v>
      </c>
      <c r="B116" s="2">
        <v>2021</v>
      </c>
      <c r="C116" s="2">
        <f>COUNTIFS(Games[Team],Games[[#This Row],[Team]],Games[Season],Games[[#This Row],[Season]],Games[Date],"&lt;=" &amp; Games[[#This Row],[Date]])</f>
        <v>10</v>
      </c>
      <c r="D116" s="2" t="s">
        <v>79</v>
      </c>
      <c r="E116" s="2" t="s">
        <v>80</v>
      </c>
      <c r="F116" s="1" t="s">
        <v>84</v>
      </c>
      <c r="G116" s="1" t="s">
        <v>40</v>
      </c>
      <c r="H116" s="1" t="s">
        <v>81</v>
      </c>
      <c r="I116" s="2" cm="1">
        <f t="array" ref="I1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6" s="2" cm="1">
        <f t="array" ref="J1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6" s="2">
        <f>Games[[#This Row],[DaysOff]]-Games[[#This Row],[OppDaysOff]]</f>
        <v>0</v>
      </c>
      <c r="L116" s="2">
        <f>Games[[#This Row],[OppDaysOff]]-Games[[#This Row],[DaysOff]]</f>
        <v>0</v>
      </c>
      <c r="M116" s="1">
        <f>MAX(-16, MIN(16, Games[[#This Row],[RestDiff]]*8))</f>
        <v>0</v>
      </c>
      <c r="N116" s="1">
        <f>MAX(-16, MIN(16, Games[[#This Row],[OppRestDiff]]*8))</f>
        <v>0</v>
      </c>
      <c r="O116" s="4" cm="1">
        <f t="array" ref="O1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1485.1011045025764</v>
      </c>
      <c r="P116" s="4" cm="1">
        <f t="array" ref="P1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1512.9562207223944</v>
      </c>
      <c r="Q116" s="4">
        <f>1/(1+10^(((Games[[#This Row],[OppPreGmRate]]+IF(Games[[#This Row],[HomeAway]]="A",HCA,0)+Games[[#This Row],[OppRestAdj]])-(Games[[#This Row],[PreGmRate]]+IF(Games[[#This Row],[HomeAway]]="H",HCA,0)+Games[[#This Row],[RestAdj]]))/400))</f>
        <v>0.34436777308109329</v>
      </c>
      <c r="R116" s="1">
        <v>77</v>
      </c>
      <c r="S116" s="1">
        <v>59</v>
      </c>
      <c r="T116" s="1">
        <v>0</v>
      </c>
      <c r="U116" s="1">
        <f>Games[[#This Row],[PointsFor]]-Games[[#This Row],[PointsAgainst]]</f>
        <v>18</v>
      </c>
      <c r="V116" s="1">
        <f>IF(Games[[#This Row],[MOV]]&gt;0,1,IF(Games[[#This Row],[MOV]]=0,0.5,0))</f>
        <v>1</v>
      </c>
      <c r="W116" s="4">
        <f>((ABS(Games[[#This Row],[MOV]])+5)^0.6)/(12+0.01*(ABS(Games[[#This Row],[PreGmRate]]-Games[[#This Row],[OppPreGmRate]])))*IF(Games[[#This Row],[OT]]=1,0.9,1)</f>
        <v>0.53442845974517117</v>
      </c>
      <c r="X116" s="7" cm="1">
        <f t="array" ref="X1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6" s="9">
        <f>MAX(kmin, kmax - 0.15 * MIN(Games[[#This Row],[GamesPlayed]], 82))</f>
        <v>74.5</v>
      </c>
      <c r="Z116" s="4">
        <f>Games[[#This Row],[K]]*Games[[#This Row],[POMult]]</f>
        <v>74.5</v>
      </c>
      <c r="AA116" s="4">
        <f>(Games[[#This Row],[Keff]]*Games[[#This Row],[MOVMult]])*(Games[[#This Row],[Result]]-Games[[#This Row],[ExpectedWin%]])</f>
        <v>26.103944828771809</v>
      </c>
      <c r="AB116" s="4">
        <f>Games[[#This Row],[PreGmRate]]+Games[[#This Row],[RatingChange]]</f>
        <v>1511.2050493313482</v>
      </c>
      <c r="AC116" s="2">
        <f>IF(Games[[#This Row],[Type]]="R",IF(Games[[#This Row],[Result]]&gt;0.5,1,0),0)</f>
        <v>1</v>
      </c>
      <c r="AD116" s="2">
        <f>IF(Games[[#This Row],[Type]]="R",IF(Games[[#This Row],[Result]]&lt;0.5,1,0),0)</f>
        <v>0</v>
      </c>
      <c r="AE116" s="2">
        <f>IF(AND(Games[[#This Row],[Type]]="P",Games[[#This Row],[Round]]=1),IF(Games[[#This Row],[Result]]&gt;0.5,1,0),0)</f>
        <v>0</v>
      </c>
      <c r="AF116" s="2">
        <f>IF(AND(Games[[#This Row],[Type]]="P",Games[[#This Row],[Round]]=1),IF(Games[[#This Row],[Result]]&lt;0.5,1,0),0)</f>
        <v>0</v>
      </c>
      <c r="AG116" s="2">
        <f>IF(AND(Games[[#This Row],[Type]]="P",Games[[#This Row],[Round]]=2),IF(Games[[#This Row],[Result]]&gt;0.5,1,0),0)</f>
        <v>0</v>
      </c>
      <c r="AH116" s="2">
        <f>IF(AND(Games[[#This Row],[Type]]="P",Games[[#This Row],[Round]]=2),IF(Games[[#This Row],[Result]]&lt;0.5,1,0),0)</f>
        <v>0</v>
      </c>
      <c r="AI116" s="2">
        <f>IF(AND(Games[[#This Row],[Type]]="P",Games[[#This Row],[Round]]=3),IF(Games[[#This Row],[Result]]&gt;0.5,1,0),0)</f>
        <v>0</v>
      </c>
      <c r="AJ116" s="2">
        <f>IF(AND(Games[[#This Row],[Type]]="P",Games[[#This Row],[Round]]=3),IF(Games[[#This Row],[Result]]&lt;0.5,1,0),0)</f>
        <v>0</v>
      </c>
      <c r="AK116" s="2">
        <f>IF(AND(Games[[#This Row],[Type]]="P",Games[[#This Row],[Round]]=4),IF(Games[[#This Row],[Result]]&gt;0.5,1,0),0)</f>
        <v>0</v>
      </c>
      <c r="AL116" s="2">
        <f>IF(AND(Games[[#This Row],[Type]]="P",Games[[#This Row],[Round]]=4),IF(Games[[#This Row],[Result]]&lt;0.5,1,0),0)</f>
        <v>0</v>
      </c>
    </row>
    <row r="117" spans="1:38" x14ac:dyDescent="0.35">
      <c r="A117" s="10">
        <v>44358</v>
      </c>
      <c r="B117" s="2">
        <v>2021</v>
      </c>
      <c r="C117" s="2">
        <f>COUNTIFS(Games[Team],Games[[#This Row],[Team]],Games[Season],Games[[#This Row],[Season]],Games[Date],"&lt;=" &amp; Games[[#This Row],[Date]])</f>
        <v>10</v>
      </c>
      <c r="D117" s="2" t="s">
        <v>79</v>
      </c>
      <c r="E117" s="2" t="s">
        <v>80</v>
      </c>
      <c r="F117" s="1" t="s">
        <v>40</v>
      </c>
      <c r="G117" s="1" t="s">
        <v>84</v>
      </c>
      <c r="H117" s="1" t="s">
        <v>82</v>
      </c>
      <c r="I117" s="2" cm="1">
        <f t="array" ref="I1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7" s="2" cm="1">
        <f t="array" ref="J1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7" s="2">
        <f>Games[[#This Row],[DaysOff]]-Games[[#This Row],[OppDaysOff]]</f>
        <v>0</v>
      </c>
      <c r="L117" s="2">
        <f>Games[[#This Row],[OppDaysOff]]-Games[[#This Row],[DaysOff]]</f>
        <v>0</v>
      </c>
      <c r="M117" s="1">
        <f>MAX(-16, MIN(16, Games[[#This Row],[RestDiff]]*8))</f>
        <v>0</v>
      </c>
      <c r="N117" s="1">
        <f>MAX(-16, MIN(16, Games[[#This Row],[OppRestDiff]]*8))</f>
        <v>0</v>
      </c>
      <c r="O117" s="4" cm="1">
        <f t="array" ref="O1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1512.9562207223944</v>
      </c>
      <c r="P117" s="4" cm="1">
        <f t="array" ref="P1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1485.1011045025764</v>
      </c>
      <c r="Q117" s="4">
        <f>1/(1+10^(((Games[[#This Row],[OppPreGmRate]]+IF(Games[[#This Row],[HomeAway]]="A",HCA,0)+Games[[#This Row],[OppRestAdj]])-(Games[[#This Row],[PreGmRate]]+IF(Games[[#This Row],[HomeAway]]="H",HCA,0)+Games[[#This Row],[RestAdj]]))/400))</f>
        <v>0.65563222691890677</v>
      </c>
      <c r="R117" s="1">
        <v>59</v>
      </c>
      <c r="S117" s="1">
        <v>77</v>
      </c>
      <c r="T117" s="1">
        <v>0</v>
      </c>
      <c r="U117" s="1">
        <f>Games[[#This Row],[PointsFor]]-Games[[#This Row],[PointsAgainst]]</f>
        <v>-18</v>
      </c>
      <c r="V117" s="1">
        <f>IF(Games[[#This Row],[MOV]]&gt;0,1,IF(Games[[#This Row],[MOV]]=0,0.5,0))</f>
        <v>0</v>
      </c>
      <c r="W117" s="4">
        <f>((ABS(Games[[#This Row],[MOV]])+5)^0.6)/(12+0.01*(ABS(Games[[#This Row],[PreGmRate]]-Games[[#This Row],[OppPreGmRate]])))*IF(Games[[#This Row],[OT]]=1,0.9,1)</f>
        <v>0.53442845974517117</v>
      </c>
      <c r="X117" s="7" cm="1">
        <f t="array" ref="X1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7" s="9">
        <f>MAX(kmin, kmax - 0.15 * MIN(Games[[#This Row],[GamesPlayed]], 82))</f>
        <v>74.5</v>
      </c>
      <c r="Z117" s="4">
        <f>Games[[#This Row],[K]]*Games[[#This Row],[POMult]]</f>
        <v>74.5</v>
      </c>
      <c r="AA117" s="4">
        <f>(Games[[#This Row],[Keff]]*Games[[#This Row],[MOVMult]])*(Games[[#This Row],[Result]]-Games[[#This Row],[ExpectedWin%]])</f>
        <v>-26.103944828771809</v>
      </c>
      <c r="AB117" s="4">
        <f>Games[[#This Row],[PreGmRate]]+Games[[#This Row],[RatingChange]]</f>
        <v>1486.8522758936226</v>
      </c>
      <c r="AC117" s="2">
        <f>IF(Games[[#This Row],[Type]]="R",IF(Games[[#This Row],[Result]]&gt;0.5,1,0),0)</f>
        <v>0</v>
      </c>
      <c r="AD117" s="2">
        <f>IF(Games[[#This Row],[Type]]="R",IF(Games[[#This Row],[Result]]&lt;0.5,1,0),0)</f>
        <v>1</v>
      </c>
      <c r="AE117" s="2">
        <f>IF(AND(Games[[#This Row],[Type]]="P",Games[[#This Row],[Round]]=1),IF(Games[[#This Row],[Result]]&gt;0.5,1,0),0)</f>
        <v>0</v>
      </c>
      <c r="AF117" s="2">
        <f>IF(AND(Games[[#This Row],[Type]]="P",Games[[#This Row],[Round]]=1),IF(Games[[#This Row],[Result]]&lt;0.5,1,0),0)</f>
        <v>0</v>
      </c>
      <c r="AG117" s="2">
        <f>IF(AND(Games[[#This Row],[Type]]="P",Games[[#This Row],[Round]]=2),IF(Games[[#This Row],[Result]]&gt;0.5,1,0),0)</f>
        <v>0</v>
      </c>
      <c r="AH117" s="2">
        <f>IF(AND(Games[[#This Row],[Type]]="P",Games[[#This Row],[Round]]=2),IF(Games[[#This Row],[Result]]&lt;0.5,1,0),0)</f>
        <v>0</v>
      </c>
      <c r="AI117" s="2">
        <f>IF(AND(Games[[#This Row],[Type]]="P",Games[[#This Row],[Round]]=3),IF(Games[[#This Row],[Result]]&gt;0.5,1,0),0)</f>
        <v>0</v>
      </c>
      <c r="AJ117" s="2">
        <f>IF(AND(Games[[#This Row],[Type]]="P",Games[[#This Row],[Round]]=3),IF(Games[[#This Row],[Result]]&lt;0.5,1,0),0)</f>
        <v>0</v>
      </c>
      <c r="AK117" s="2">
        <f>IF(AND(Games[[#This Row],[Type]]="P",Games[[#This Row],[Round]]=4),IF(Games[[#This Row],[Result]]&gt;0.5,1,0),0)</f>
        <v>0</v>
      </c>
      <c r="AL117" s="2">
        <f>IF(AND(Games[[#This Row],[Type]]="P",Games[[#This Row],[Round]]=4),IF(Games[[#This Row],[Result]]&lt;0.5,1,0),0)</f>
        <v>0</v>
      </c>
    </row>
    <row r="118" spans="1:38" x14ac:dyDescent="0.35">
      <c r="A118" s="10">
        <v>44359</v>
      </c>
      <c r="B118" s="2">
        <v>2021</v>
      </c>
      <c r="C118" s="2">
        <f>COUNTIFS(Games[Team],Games[[#This Row],[Team]],Games[Season],Games[[#This Row],[Season]],Games[Date],"&lt;=" &amp; Games[[#This Row],[Date]])</f>
        <v>11</v>
      </c>
      <c r="D118" s="2" t="s">
        <v>79</v>
      </c>
      <c r="E118" s="2" t="s">
        <v>80</v>
      </c>
      <c r="F118" s="1" t="s">
        <v>75</v>
      </c>
      <c r="G118" s="1" t="s">
        <v>69</v>
      </c>
      <c r="H118" s="1" t="s">
        <v>81</v>
      </c>
      <c r="I118" s="2" cm="1">
        <f t="array" ref="I1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8" s="2" cm="1">
        <f t="array" ref="J1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8" s="2">
        <f>Games[[#This Row],[DaysOff]]-Games[[#This Row],[OppDaysOff]]</f>
        <v>0</v>
      </c>
      <c r="L118" s="2">
        <f>Games[[#This Row],[OppDaysOff]]-Games[[#This Row],[DaysOff]]</f>
        <v>0</v>
      </c>
      <c r="M118" s="1">
        <f>MAX(-16, MIN(16, Games[[#This Row],[RestDiff]]*8))</f>
        <v>0</v>
      </c>
      <c r="N118" s="1">
        <f>MAX(-16, MIN(16, Games[[#This Row],[OppRestDiff]]*8))</f>
        <v>0</v>
      </c>
      <c r="O118" s="4" cm="1">
        <f t="array" ref="O1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1454.6961163209696</v>
      </c>
      <c r="P118" s="4" cm="1">
        <f t="array" ref="P1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1340.2292260177121</v>
      </c>
      <c r="Q118" s="4">
        <f>1/(1+10^(((Games[[#This Row],[OppPreGmRate]]+IF(Games[[#This Row],[HomeAway]]="A",HCA,0)+Games[[#This Row],[OppRestAdj]])-(Games[[#This Row],[PreGmRate]]+IF(Games[[#This Row],[HomeAway]]="H",HCA,0)+Games[[#This Row],[RestAdj]]))/400))</f>
        <v>0.5437333387721911</v>
      </c>
      <c r="R118" s="1">
        <v>83</v>
      </c>
      <c r="S118" s="1">
        <v>79</v>
      </c>
      <c r="T118" s="1">
        <v>0</v>
      </c>
      <c r="U118" s="1">
        <f>Games[[#This Row],[PointsFor]]-Games[[#This Row],[PointsAgainst]]</f>
        <v>4</v>
      </c>
      <c r="V118" s="1">
        <f>IF(Games[[#This Row],[MOV]]&gt;0,1,IF(Games[[#This Row],[MOV]]=0,0.5,0))</f>
        <v>1</v>
      </c>
      <c r="W118" s="4">
        <f>((ABS(Games[[#This Row],[MOV]])+5)^0.6)/(12+0.01*(ABS(Games[[#This Row],[PreGmRate]]-Games[[#This Row],[OppPreGmRate]])))*IF(Games[[#This Row],[OT]]=1,0.9,1)</f>
        <v>0.28431243467717576</v>
      </c>
      <c r="X118" s="7" cm="1">
        <f t="array" ref="X1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8" s="9">
        <f>MAX(kmin, kmax - 0.15 * MIN(Games[[#This Row],[GamesPlayed]], 82))</f>
        <v>74.349999999999994</v>
      </c>
      <c r="Z118" s="4">
        <f>Games[[#This Row],[K]]*Games[[#This Row],[POMult]]</f>
        <v>74.349999999999994</v>
      </c>
      <c r="AA118" s="4">
        <f>(Games[[#This Row],[Keff]]*Games[[#This Row],[MOVMult]])*(Games[[#This Row],[Result]]-Games[[#This Row],[ExpectedWin%]])</f>
        <v>9.6448519132226291</v>
      </c>
      <c r="AB118" s="4">
        <f>Games[[#This Row],[PreGmRate]]+Games[[#This Row],[RatingChange]]</f>
        <v>1464.3409682341924</v>
      </c>
      <c r="AC118" s="2">
        <f>IF(Games[[#This Row],[Type]]="R",IF(Games[[#This Row],[Result]]&gt;0.5,1,0),0)</f>
        <v>1</v>
      </c>
      <c r="AD118" s="2">
        <f>IF(Games[[#This Row],[Type]]="R",IF(Games[[#This Row],[Result]]&lt;0.5,1,0),0)</f>
        <v>0</v>
      </c>
      <c r="AE118" s="2">
        <f>IF(AND(Games[[#This Row],[Type]]="P",Games[[#This Row],[Round]]=1),IF(Games[[#This Row],[Result]]&gt;0.5,1,0),0)</f>
        <v>0</v>
      </c>
      <c r="AF118" s="2">
        <f>IF(AND(Games[[#This Row],[Type]]="P",Games[[#This Row],[Round]]=1),IF(Games[[#This Row],[Result]]&lt;0.5,1,0),0)</f>
        <v>0</v>
      </c>
      <c r="AG118" s="2">
        <f>IF(AND(Games[[#This Row],[Type]]="P",Games[[#This Row],[Round]]=2),IF(Games[[#This Row],[Result]]&gt;0.5,1,0),0)</f>
        <v>0</v>
      </c>
      <c r="AH118" s="2">
        <f>IF(AND(Games[[#This Row],[Type]]="P",Games[[#This Row],[Round]]=2),IF(Games[[#This Row],[Result]]&lt;0.5,1,0),0)</f>
        <v>0</v>
      </c>
      <c r="AI118" s="2">
        <f>IF(AND(Games[[#This Row],[Type]]="P",Games[[#This Row],[Round]]=3),IF(Games[[#This Row],[Result]]&gt;0.5,1,0),0)</f>
        <v>0</v>
      </c>
      <c r="AJ118" s="2">
        <f>IF(AND(Games[[#This Row],[Type]]="P",Games[[#This Row],[Round]]=3),IF(Games[[#This Row],[Result]]&lt;0.5,1,0),0)</f>
        <v>0</v>
      </c>
      <c r="AK118" s="2">
        <f>IF(AND(Games[[#This Row],[Type]]="P",Games[[#This Row],[Round]]=4),IF(Games[[#This Row],[Result]]&gt;0.5,1,0),0)</f>
        <v>0</v>
      </c>
      <c r="AL118" s="2">
        <f>IF(AND(Games[[#This Row],[Type]]="P",Games[[#This Row],[Round]]=4),IF(Games[[#This Row],[Result]]&lt;0.5,1,0),0)</f>
        <v>0</v>
      </c>
    </row>
    <row r="119" spans="1:38" x14ac:dyDescent="0.35">
      <c r="A119" s="10">
        <v>44359</v>
      </c>
      <c r="B119" s="2">
        <v>2021</v>
      </c>
      <c r="C119" s="2">
        <f>COUNTIFS(Games[Team],Games[[#This Row],[Team]],Games[Season],Games[[#This Row],[Season]],Games[Date],"&lt;=" &amp; Games[[#This Row],[Date]])</f>
        <v>12</v>
      </c>
      <c r="D119" s="2" t="s">
        <v>79</v>
      </c>
      <c r="E119" s="2" t="s">
        <v>80</v>
      </c>
      <c r="F119" s="1" t="s">
        <v>69</v>
      </c>
      <c r="G119" s="1" t="s">
        <v>75</v>
      </c>
      <c r="H119" s="1" t="s">
        <v>82</v>
      </c>
      <c r="I119" s="2" cm="1">
        <f t="array" ref="I1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19" s="2" cm="1">
        <f t="array" ref="J1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19" s="2">
        <f>Games[[#This Row],[DaysOff]]-Games[[#This Row],[OppDaysOff]]</f>
        <v>0</v>
      </c>
      <c r="L119" s="2">
        <f>Games[[#This Row],[OppDaysOff]]-Games[[#This Row],[DaysOff]]</f>
        <v>0</v>
      </c>
      <c r="M119" s="1">
        <f>MAX(-16, MIN(16, Games[[#This Row],[RestDiff]]*8))</f>
        <v>0</v>
      </c>
      <c r="N119" s="1">
        <f>MAX(-16, MIN(16, Games[[#This Row],[OppRestDiff]]*8))</f>
        <v>0</v>
      </c>
      <c r="O119" s="4" cm="1">
        <f t="array" ref="O1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1340.2292260177121</v>
      </c>
      <c r="P119" s="4" cm="1">
        <f t="array" ref="P1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1454.6961163209696</v>
      </c>
      <c r="Q119" s="4">
        <f>1/(1+10^(((Games[[#This Row],[OppPreGmRate]]+IF(Games[[#This Row],[HomeAway]]="A",HCA,0)+Games[[#This Row],[OppRestAdj]])-(Games[[#This Row],[PreGmRate]]+IF(Games[[#This Row],[HomeAway]]="H",HCA,0)+Games[[#This Row],[RestAdj]]))/400))</f>
        <v>0.45626666122780896</v>
      </c>
      <c r="R119" s="1">
        <v>79</v>
      </c>
      <c r="S119" s="1">
        <v>83</v>
      </c>
      <c r="T119" s="1">
        <v>0</v>
      </c>
      <c r="U119" s="1">
        <f>Games[[#This Row],[PointsFor]]-Games[[#This Row],[PointsAgainst]]</f>
        <v>-4</v>
      </c>
      <c r="V119" s="1">
        <f>IF(Games[[#This Row],[MOV]]&gt;0,1,IF(Games[[#This Row],[MOV]]=0,0.5,0))</f>
        <v>0</v>
      </c>
      <c r="W119" s="4">
        <f>((ABS(Games[[#This Row],[MOV]])+5)^0.6)/(12+0.01*(ABS(Games[[#This Row],[PreGmRate]]-Games[[#This Row],[OppPreGmRate]])))*IF(Games[[#This Row],[OT]]=1,0.9,1)</f>
        <v>0.28431243467717576</v>
      </c>
      <c r="X119" s="7" cm="1">
        <f t="array" ref="X1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19" s="9">
        <f>MAX(kmin, kmax - 0.15 * MIN(Games[[#This Row],[GamesPlayed]], 82))</f>
        <v>74.2</v>
      </c>
      <c r="Z119" s="4">
        <f>Games[[#This Row],[K]]*Games[[#This Row],[POMult]]</f>
        <v>74.2</v>
      </c>
      <c r="AA119" s="4">
        <f>(Games[[#This Row],[Keff]]*Games[[#This Row],[MOVMult]])*(Games[[#This Row],[Result]]-Games[[#This Row],[ExpectedWin%]])</f>
        <v>-9.6253935704252758</v>
      </c>
      <c r="AB119" s="4">
        <f>Games[[#This Row],[PreGmRate]]+Games[[#This Row],[RatingChange]]</f>
        <v>1330.6038324472868</v>
      </c>
      <c r="AC119" s="2">
        <f>IF(Games[[#This Row],[Type]]="R",IF(Games[[#This Row],[Result]]&gt;0.5,1,0),0)</f>
        <v>0</v>
      </c>
      <c r="AD119" s="2">
        <f>IF(Games[[#This Row],[Type]]="R",IF(Games[[#This Row],[Result]]&lt;0.5,1,0),0)</f>
        <v>1</v>
      </c>
      <c r="AE119" s="2">
        <f>IF(AND(Games[[#This Row],[Type]]="P",Games[[#This Row],[Round]]=1),IF(Games[[#This Row],[Result]]&gt;0.5,1,0),0)</f>
        <v>0</v>
      </c>
      <c r="AF119" s="2">
        <f>IF(AND(Games[[#This Row],[Type]]="P",Games[[#This Row],[Round]]=1),IF(Games[[#This Row],[Result]]&lt;0.5,1,0),0)</f>
        <v>0</v>
      </c>
      <c r="AG119" s="2">
        <f>IF(AND(Games[[#This Row],[Type]]="P",Games[[#This Row],[Round]]=2),IF(Games[[#This Row],[Result]]&gt;0.5,1,0),0)</f>
        <v>0</v>
      </c>
      <c r="AH119" s="2">
        <f>IF(AND(Games[[#This Row],[Type]]="P",Games[[#This Row],[Round]]=2),IF(Games[[#This Row],[Result]]&lt;0.5,1,0),0)</f>
        <v>0</v>
      </c>
      <c r="AI119" s="2">
        <f>IF(AND(Games[[#This Row],[Type]]="P",Games[[#This Row],[Round]]=3),IF(Games[[#This Row],[Result]]&gt;0.5,1,0),0)</f>
        <v>0</v>
      </c>
      <c r="AJ119" s="2">
        <f>IF(AND(Games[[#This Row],[Type]]="P",Games[[#This Row],[Round]]=3),IF(Games[[#This Row],[Result]]&lt;0.5,1,0),0)</f>
        <v>0</v>
      </c>
      <c r="AK119" s="2">
        <f>IF(AND(Games[[#This Row],[Type]]="P",Games[[#This Row],[Round]]=4),IF(Games[[#This Row],[Result]]&gt;0.5,1,0),0)</f>
        <v>0</v>
      </c>
      <c r="AL119" s="2">
        <f>IF(AND(Games[[#This Row],[Type]]="P",Games[[#This Row],[Round]]=4),IF(Games[[#This Row],[Result]]&lt;0.5,1,0),0)</f>
        <v>0</v>
      </c>
    </row>
    <row r="120" spans="1:38" x14ac:dyDescent="0.35">
      <c r="A120" s="10">
        <v>44359</v>
      </c>
      <c r="B120" s="2">
        <v>2021</v>
      </c>
      <c r="C120" s="2">
        <f>COUNTIFS(Games[Team],Games[[#This Row],[Team]],Games[Season],Games[[#This Row],[Season]],Games[Date],"&lt;=" &amp; Games[[#This Row],[Date]])</f>
        <v>9</v>
      </c>
      <c r="D120" s="2" t="s">
        <v>79</v>
      </c>
      <c r="E120" s="2" t="s">
        <v>80</v>
      </c>
      <c r="F120" s="1" t="s">
        <v>63</v>
      </c>
      <c r="G120" s="1" t="s">
        <v>67</v>
      </c>
      <c r="H120" s="1" t="s">
        <v>81</v>
      </c>
      <c r="I120" s="2" cm="1">
        <f t="array" ref="I1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0" s="2" cm="1">
        <f t="array" ref="J12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20" s="2">
        <f>Games[[#This Row],[DaysOff]]-Games[[#This Row],[OppDaysOff]]</f>
        <v>-2</v>
      </c>
      <c r="L120" s="2">
        <f>Games[[#This Row],[OppDaysOff]]-Games[[#This Row],[DaysOff]]</f>
        <v>2</v>
      </c>
      <c r="M120" s="1">
        <f>MAX(-16, MIN(16, Games[[#This Row],[RestDiff]]*8))</f>
        <v>-16</v>
      </c>
      <c r="N120" s="1">
        <f>MAX(-16, MIN(16, Games[[#This Row],[OppRestDiff]]*8))</f>
        <v>16</v>
      </c>
      <c r="O120" s="4" cm="1">
        <f t="array" ref="O1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1499.475289540266</v>
      </c>
      <c r="P120" s="4" cm="1">
        <f t="array" ref="P1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1493.0439185801674</v>
      </c>
      <c r="Q120" s="4">
        <f>1/(1+10^(((Games[[#This Row],[OppPreGmRate]]+IF(Games[[#This Row],[HomeAway]]="A",HCA,0)+Games[[#This Row],[OppRestAdj]])-(Games[[#This Row],[PreGmRate]]+IF(Games[[#This Row],[HomeAway]]="H",HCA,0)+Games[[#This Row],[RestAdj]]))/400))</f>
        <v>0.34734554561986553</v>
      </c>
      <c r="R120" s="1">
        <v>64</v>
      </c>
      <c r="S120" s="1">
        <v>80</v>
      </c>
      <c r="T120" s="1">
        <v>0</v>
      </c>
      <c r="U120" s="1">
        <f>Games[[#This Row],[PointsFor]]-Games[[#This Row],[PointsAgainst]]</f>
        <v>-16</v>
      </c>
      <c r="V120" s="1">
        <f>IF(Games[[#This Row],[MOV]]&gt;0,1,IF(Games[[#This Row],[MOV]]=0,0.5,0))</f>
        <v>0</v>
      </c>
      <c r="W120" s="4">
        <f>((ABS(Games[[#This Row],[MOV]])+5)^0.6)/(12+0.01*(ABS(Games[[#This Row],[PreGmRate]]-Games[[#This Row],[OppPreGmRate]])))*IF(Games[[#This Row],[OT]]=1,0.9,1)</f>
        <v>0.51502576416062418</v>
      </c>
      <c r="X120" s="7" cm="1">
        <f t="array" ref="X1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0" s="9">
        <f>MAX(kmin, kmax - 0.15 * MIN(Games[[#This Row],[GamesPlayed]], 82))</f>
        <v>74.650000000000006</v>
      </c>
      <c r="Z120" s="4">
        <f>Games[[#This Row],[K]]*Games[[#This Row],[POMult]]</f>
        <v>74.650000000000006</v>
      </c>
      <c r="AA120" s="4">
        <f>(Games[[#This Row],[Keff]]*Games[[#This Row],[MOVMult]])*(Games[[#This Row],[Result]]-Games[[#This Row],[ExpectedWin%]])</f>
        <v>-13.354280712778284</v>
      </c>
      <c r="AB120" s="4">
        <f>Games[[#This Row],[PreGmRate]]+Games[[#This Row],[RatingChange]]</f>
        <v>1486.1210088274877</v>
      </c>
      <c r="AC120" s="2">
        <f>IF(Games[[#This Row],[Type]]="R",IF(Games[[#This Row],[Result]]&gt;0.5,1,0),0)</f>
        <v>0</v>
      </c>
      <c r="AD120" s="2">
        <f>IF(Games[[#This Row],[Type]]="R",IF(Games[[#This Row],[Result]]&lt;0.5,1,0),0)</f>
        <v>1</v>
      </c>
      <c r="AE120" s="2">
        <f>IF(AND(Games[[#This Row],[Type]]="P",Games[[#This Row],[Round]]=1),IF(Games[[#This Row],[Result]]&gt;0.5,1,0),0)</f>
        <v>0</v>
      </c>
      <c r="AF120" s="2">
        <f>IF(AND(Games[[#This Row],[Type]]="P",Games[[#This Row],[Round]]=1),IF(Games[[#This Row],[Result]]&lt;0.5,1,0),0)</f>
        <v>0</v>
      </c>
      <c r="AG120" s="2">
        <f>IF(AND(Games[[#This Row],[Type]]="P",Games[[#This Row],[Round]]=2),IF(Games[[#This Row],[Result]]&gt;0.5,1,0),0)</f>
        <v>0</v>
      </c>
      <c r="AH120" s="2">
        <f>IF(AND(Games[[#This Row],[Type]]="P",Games[[#This Row],[Round]]=2),IF(Games[[#This Row],[Result]]&lt;0.5,1,0),0)</f>
        <v>0</v>
      </c>
      <c r="AI120" s="2">
        <f>IF(AND(Games[[#This Row],[Type]]="P",Games[[#This Row],[Round]]=3),IF(Games[[#This Row],[Result]]&gt;0.5,1,0),0)</f>
        <v>0</v>
      </c>
      <c r="AJ120" s="2">
        <f>IF(AND(Games[[#This Row],[Type]]="P",Games[[#This Row],[Round]]=3),IF(Games[[#This Row],[Result]]&lt;0.5,1,0),0)</f>
        <v>0</v>
      </c>
      <c r="AK120" s="2">
        <f>IF(AND(Games[[#This Row],[Type]]="P",Games[[#This Row],[Round]]=4),IF(Games[[#This Row],[Result]]&gt;0.5,1,0),0)</f>
        <v>0</v>
      </c>
      <c r="AL120" s="2">
        <f>IF(AND(Games[[#This Row],[Type]]="P",Games[[#This Row],[Round]]=4),IF(Games[[#This Row],[Result]]&lt;0.5,1,0),0)</f>
        <v>0</v>
      </c>
    </row>
    <row r="121" spans="1:38" x14ac:dyDescent="0.35">
      <c r="A121" s="10">
        <v>44359</v>
      </c>
      <c r="B121" s="2">
        <v>2021</v>
      </c>
      <c r="C121" s="2">
        <f>COUNTIFS(Games[Team],Games[[#This Row],[Team]],Games[Season],Games[[#This Row],[Season]],Games[Date],"&lt;=" &amp; Games[[#This Row],[Date]])</f>
        <v>9</v>
      </c>
      <c r="D121" s="2" t="s">
        <v>79</v>
      </c>
      <c r="E121" s="2" t="s">
        <v>80</v>
      </c>
      <c r="F121" s="1" t="s">
        <v>67</v>
      </c>
      <c r="G121" s="1" t="s">
        <v>63</v>
      </c>
      <c r="H121" s="1" t="s">
        <v>82</v>
      </c>
      <c r="I121" s="2" cm="1">
        <f t="array" ref="I12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21" s="2" cm="1">
        <f t="array" ref="J1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1" s="2">
        <f>Games[[#This Row],[DaysOff]]-Games[[#This Row],[OppDaysOff]]</f>
        <v>2</v>
      </c>
      <c r="L121" s="2">
        <f>Games[[#This Row],[OppDaysOff]]-Games[[#This Row],[DaysOff]]</f>
        <v>-2</v>
      </c>
      <c r="M121" s="1">
        <f>MAX(-16, MIN(16, Games[[#This Row],[RestDiff]]*8))</f>
        <v>16</v>
      </c>
      <c r="N121" s="1">
        <f>MAX(-16, MIN(16, Games[[#This Row],[OppRestDiff]]*8))</f>
        <v>-16</v>
      </c>
      <c r="O121" s="4" cm="1">
        <f t="array" ref="O1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1493.0439185801674</v>
      </c>
      <c r="P121" s="4" cm="1">
        <f t="array" ref="P1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1499.475289540266</v>
      </c>
      <c r="Q121" s="4">
        <f>1/(1+10^(((Games[[#This Row],[OppPreGmRate]]+IF(Games[[#This Row],[HomeAway]]="A",HCA,0)+Games[[#This Row],[OppRestAdj]])-(Games[[#This Row],[PreGmRate]]+IF(Games[[#This Row],[HomeAway]]="H",HCA,0)+Games[[#This Row],[RestAdj]]))/400))</f>
        <v>0.65265445438013447</v>
      </c>
      <c r="R121" s="1">
        <v>80</v>
      </c>
      <c r="S121" s="1">
        <v>64</v>
      </c>
      <c r="T121" s="1">
        <v>0</v>
      </c>
      <c r="U121" s="1">
        <f>Games[[#This Row],[PointsFor]]-Games[[#This Row],[PointsAgainst]]</f>
        <v>16</v>
      </c>
      <c r="V121" s="1">
        <f>IF(Games[[#This Row],[MOV]]&gt;0,1,IF(Games[[#This Row],[MOV]]=0,0.5,0))</f>
        <v>1</v>
      </c>
      <c r="W121" s="4">
        <f>((ABS(Games[[#This Row],[MOV]])+5)^0.6)/(12+0.01*(ABS(Games[[#This Row],[PreGmRate]]-Games[[#This Row],[OppPreGmRate]])))*IF(Games[[#This Row],[OT]]=1,0.9,1)</f>
        <v>0.51502576416062418</v>
      </c>
      <c r="X121" s="7" cm="1">
        <f t="array" ref="X1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1" s="9">
        <f>MAX(kmin, kmax - 0.15 * MIN(Games[[#This Row],[GamesPlayed]], 82))</f>
        <v>74.650000000000006</v>
      </c>
      <c r="Z121" s="4">
        <f>Games[[#This Row],[K]]*Games[[#This Row],[POMult]]</f>
        <v>74.650000000000006</v>
      </c>
      <c r="AA121" s="4">
        <f>(Games[[#This Row],[Keff]]*Games[[#This Row],[MOVMult]])*(Games[[#This Row],[Result]]-Games[[#This Row],[ExpectedWin%]])</f>
        <v>13.354280712778284</v>
      </c>
      <c r="AB121" s="4">
        <f>Games[[#This Row],[PreGmRate]]+Games[[#This Row],[RatingChange]]</f>
        <v>1506.3981992929457</v>
      </c>
      <c r="AC121" s="2">
        <f>IF(Games[[#This Row],[Type]]="R",IF(Games[[#This Row],[Result]]&gt;0.5,1,0),0)</f>
        <v>1</v>
      </c>
      <c r="AD121" s="2">
        <f>IF(Games[[#This Row],[Type]]="R",IF(Games[[#This Row],[Result]]&lt;0.5,1,0),0)</f>
        <v>0</v>
      </c>
      <c r="AE121" s="2">
        <f>IF(AND(Games[[#This Row],[Type]]="P",Games[[#This Row],[Round]]=1),IF(Games[[#This Row],[Result]]&gt;0.5,1,0),0)</f>
        <v>0</v>
      </c>
      <c r="AF121" s="2">
        <f>IF(AND(Games[[#This Row],[Type]]="P",Games[[#This Row],[Round]]=1),IF(Games[[#This Row],[Result]]&lt;0.5,1,0),0)</f>
        <v>0</v>
      </c>
      <c r="AG121" s="2">
        <f>IF(AND(Games[[#This Row],[Type]]="P",Games[[#This Row],[Round]]=2),IF(Games[[#This Row],[Result]]&gt;0.5,1,0),0)</f>
        <v>0</v>
      </c>
      <c r="AH121" s="2">
        <f>IF(AND(Games[[#This Row],[Type]]="P",Games[[#This Row],[Round]]=2),IF(Games[[#This Row],[Result]]&lt;0.5,1,0),0)</f>
        <v>0</v>
      </c>
      <c r="AI121" s="2">
        <f>IF(AND(Games[[#This Row],[Type]]="P",Games[[#This Row],[Round]]=3),IF(Games[[#This Row],[Result]]&gt;0.5,1,0),0)</f>
        <v>0</v>
      </c>
      <c r="AJ121" s="2">
        <f>IF(AND(Games[[#This Row],[Type]]="P",Games[[#This Row],[Round]]=3),IF(Games[[#This Row],[Result]]&lt;0.5,1,0),0)</f>
        <v>0</v>
      </c>
      <c r="AK121" s="2">
        <f>IF(AND(Games[[#This Row],[Type]]="P",Games[[#This Row],[Round]]=4),IF(Games[[#This Row],[Result]]&gt;0.5,1,0),0)</f>
        <v>0</v>
      </c>
      <c r="AL121" s="2">
        <f>IF(AND(Games[[#This Row],[Type]]="P",Games[[#This Row],[Round]]=4),IF(Games[[#This Row],[Result]]&lt;0.5,1,0),0)</f>
        <v>0</v>
      </c>
    </row>
    <row r="122" spans="1:38" x14ac:dyDescent="0.35">
      <c r="A122" s="10">
        <v>44360</v>
      </c>
      <c r="B122" s="2">
        <v>2021</v>
      </c>
      <c r="C122" s="2">
        <f>COUNTIFS(Games[Team],Games[[#This Row],[Team]],Games[Season],Games[[#This Row],[Season]],Games[Date],"&lt;=" &amp; Games[[#This Row],[Date]])</f>
        <v>10</v>
      </c>
      <c r="D122" s="2" t="s">
        <v>79</v>
      </c>
      <c r="E122" s="2" t="s">
        <v>80</v>
      </c>
      <c r="F122" s="1" t="s">
        <v>65</v>
      </c>
      <c r="G122" s="1" t="s">
        <v>77</v>
      </c>
      <c r="H122" s="1" t="s">
        <v>81</v>
      </c>
      <c r="I122" s="2" cm="1">
        <f t="array" ref="I12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22" s="2" cm="1">
        <f t="array" ref="J12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2" s="2">
        <f>Games[[#This Row],[DaysOff]]-Games[[#This Row],[OppDaysOff]]</f>
        <v>1</v>
      </c>
      <c r="L122" s="2">
        <f>Games[[#This Row],[OppDaysOff]]-Games[[#This Row],[DaysOff]]</f>
        <v>-1</v>
      </c>
      <c r="M122" s="1">
        <f>MAX(-16, MIN(16, Games[[#This Row],[RestDiff]]*8))</f>
        <v>8</v>
      </c>
      <c r="N122" s="1">
        <f>MAX(-16, MIN(16, Games[[#This Row],[OppRestDiff]]*8))</f>
        <v>-8</v>
      </c>
      <c r="O122" s="4" cm="1">
        <f t="array" ref="O1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1488.3581733410424</v>
      </c>
      <c r="P122" s="4" cm="1">
        <f t="array" ref="P1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1424.5934168950866</v>
      </c>
      <c r="Q122" s="4">
        <f>1/(1+10^(((Games[[#This Row],[OppPreGmRate]]+IF(Games[[#This Row],[HomeAway]]="A",HCA,0)+Games[[#This Row],[OppRestAdj]])-(Games[[#This Row],[PreGmRate]]+IF(Games[[#This Row],[HomeAway]]="H",HCA,0)+Games[[#This Row],[RestAdj]]))/400))</f>
        <v>0.49390529646014197</v>
      </c>
      <c r="R122" s="1">
        <v>78</v>
      </c>
      <c r="S122" s="1">
        <v>101</v>
      </c>
      <c r="T122" s="1">
        <v>0</v>
      </c>
      <c r="U122" s="1">
        <f>Games[[#This Row],[PointsFor]]-Games[[#This Row],[PointsAgainst]]</f>
        <v>-23</v>
      </c>
      <c r="V122" s="1">
        <f>IF(Games[[#This Row],[MOV]]&gt;0,1,IF(Games[[#This Row],[MOV]]=0,0.5,0))</f>
        <v>0</v>
      </c>
      <c r="W122" s="4">
        <f>((ABS(Games[[#This Row],[MOV]])+5)^0.6)/(12+0.01*(ABS(Games[[#This Row],[PreGmRate]]-Games[[#This Row],[OppPreGmRate]])))*IF(Games[[#This Row],[OT]]=1,0.9,1)</f>
        <v>0.58429016896381503</v>
      </c>
      <c r="X122" s="7" cm="1">
        <f t="array" ref="X1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2" s="9">
        <f>MAX(kmin, kmax - 0.15 * MIN(Games[[#This Row],[GamesPlayed]], 82))</f>
        <v>74.5</v>
      </c>
      <c r="Z122" s="4">
        <f>Games[[#This Row],[K]]*Games[[#This Row],[POMult]]</f>
        <v>74.5</v>
      </c>
      <c r="AA122" s="4">
        <f>(Games[[#This Row],[Keff]]*Games[[#This Row],[MOVMult]])*(Games[[#This Row],[Result]]-Games[[#This Row],[ExpectedWin%]])</f>
        <v>-21.499508679501051</v>
      </c>
      <c r="AB122" s="4">
        <f>Games[[#This Row],[PreGmRate]]+Games[[#This Row],[RatingChange]]</f>
        <v>1466.8586646615413</v>
      </c>
      <c r="AC122" s="2">
        <f>IF(Games[[#This Row],[Type]]="R",IF(Games[[#This Row],[Result]]&gt;0.5,1,0),0)</f>
        <v>0</v>
      </c>
      <c r="AD122" s="2">
        <f>IF(Games[[#This Row],[Type]]="R",IF(Games[[#This Row],[Result]]&lt;0.5,1,0),0)</f>
        <v>1</v>
      </c>
      <c r="AE122" s="2">
        <f>IF(AND(Games[[#This Row],[Type]]="P",Games[[#This Row],[Round]]=1),IF(Games[[#This Row],[Result]]&gt;0.5,1,0),0)</f>
        <v>0</v>
      </c>
      <c r="AF122" s="2">
        <f>IF(AND(Games[[#This Row],[Type]]="P",Games[[#This Row],[Round]]=1),IF(Games[[#This Row],[Result]]&lt;0.5,1,0),0)</f>
        <v>0</v>
      </c>
      <c r="AG122" s="2">
        <f>IF(AND(Games[[#This Row],[Type]]="P",Games[[#This Row],[Round]]=2),IF(Games[[#This Row],[Result]]&gt;0.5,1,0),0)</f>
        <v>0</v>
      </c>
      <c r="AH122" s="2">
        <f>IF(AND(Games[[#This Row],[Type]]="P",Games[[#This Row],[Round]]=2),IF(Games[[#This Row],[Result]]&lt;0.5,1,0),0)</f>
        <v>0</v>
      </c>
      <c r="AI122" s="2">
        <f>IF(AND(Games[[#This Row],[Type]]="P",Games[[#This Row],[Round]]=3),IF(Games[[#This Row],[Result]]&gt;0.5,1,0),0)</f>
        <v>0</v>
      </c>
      <c r="AJ122" s="2">
        <f>IF(AND(Games[[#This Row],[Type]]="P",Games[[#This Row],[Round]]=3),IF(Games[[#This Row],[Result]]&lt;0.5,1,0),0)</f>
        <v>0</v>
      </c>
      <c r="AK122" s="2">
        <f>IF(AND(Games[[#This Row],[Type]]="P",Games[[#This Row],[Round]]=4),IF(Games[[#This Row],[Result]]&gt;0.5,1,0),0)</f>
        <v>0</v>
      </c>
      <c r="AL122" s="2">
        <f>IF(AND(Games[[#This Row],[Type]]="P",Games[[#This Row],[Round]]=4),IF(Games[[#This Row],[Result]]&lt;0.5,1,0),0)</f>
        <v>0</v>
      </c>
    </row>
    <row r="123" spans="1:38" x14ac:dyDescent="0.35">
      <c r="A123" s="10">
        <v>44360</v>
      </c>
      <c r="B123" s="2">
        <v>2021</v>
      </c>
      <c r="C123" s="2">
        <f>COUNTIFS(Games[Team],Games[[#This Row],[Team]],Games[Season],Games[[#This Row],[Season]],Games[Date],"&lt;=" &amp; Games[[#This Row],[Date]])</f>
        <v>11</v>
      </c>
      <c r="D123" s="2" t="s">
        <v>79</v>
      </c>
      <c r="E123" s="2" t="s">
        <v>80</v>
      </c>
      <c r="F123" s="1" t="s">
        <v>77</v>
      </c>
      <c r="G123" s="1" t="s">
        <v>65</v>
      </c>
      <c r="H123" s="1" t="s">
        <v>82</v>
      </c>
      <c r="I123" s="2" cm="1">
        <f t="array" ref="I12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3" s="2" cm="1">
        <f t="array" ref="J12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23" s="2">
        <f>Games[[#This Row],[DaysOff]]-Games[[#This Row],[OppDaysOff]]</f>
        <v>-1</v>
      </c>
      <c r="L123" s="2">
        <f>Games[[#This Row],[OppDaysOff]]-Games[[#This Row],[DaysOff]]</f>
        <v>1</v>
      </c>
      <c r="M123" s="1">
        <f>MAX(-16, MIN(16, Games[[#This Row],[RestDiff]]*8))</f>
        <v>-8</v>
      </c>
      <c r="N123" s="1">
        <f>MAX(-16, MIN(16, Games[[#This Row],[OppRestDiff]]*8))</f>
        <v>8</v>
      </c>
      <c r="O123" s="4" cm="1">
        <f t="array" ref="O1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1424.5934168950866</v>
      </c>
      <c r="P123" s="4" cm="1">
        <f t="array" ref="P1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1488.3581733410424</v>
      </c>
      <c r="Q123" s="4">
        <f>1/(1+10^(((Games[[#This Row],[OppPreGmRate]]+IF(Games[[#This Row],[HomeAway]]="A",HCA,0)+Games[[#This Row],[OppRestAdj]])-(Games[[#This Row],[PreGmRate]]+IF(Games[[#This Row],[HomeAway]]="H",HCA,0)+Games[[#This Row],[RestAdj]]))/400))</f>
        <v>0.50609470353985808</v>
      </c>
      <c r="R123" s="1">
        <v>101</v>
      </c>
      <c r="S123" s="1">
        <v>78</v>
      </c>
      <c r="T123" s="1">
        <v>0</v>
      </c>
      <c r="U123" s="1">
        <f>Games[[#This Row],[PointsFor]]-Games[[#This Row],[PointsAgainst]]</f>
        <v>23</v>
      </c>
      <c r="V123" s="1">
        <f>IF(Games[[#This Row],[MOV]]&gt;0,1,IF(Games[[#This Row],[MOV]]=0,0.5,0))</f>
        <v>1</v>
      </c>
      <c r="W123" s="4">
        <f>((ABS(Games[[#This Row],[MOV]])+5)^0.6)/(12+0.01*(ABS(Games[[#This Row],[PreGmRate]]-Games[[#This Row],[OppPreGmRate]])))*IF(Games[[#This Row],[OT]]=1,0.9,1)</f>
        <v>0.58429016896381503</v>
      </c>
      <c r="X123" s="7" cm="1">
        <f t="array" ref="X1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3" s="9">
        <f>MAX(kmin, kmax - 0.15 * MIN(Games[[#This Row],[GamesPlayed]], 82))</f>
        <v>74.349999999999994</v>
      </c>
      <c r="Z123" s="4">
        <f>Games[[#This Row],[K]]*Games[[#This Row],[POMult]]</f>
        <v>74.349999999999994</v>
      </c>
      <c r="AA123" s="4">
        <f>(Games[[#This Row],[Keff]]*Games[[#This Row],[MOVMult]])*(Games[[#This Row],[Result]]-Games[[#This Row],[ExpectedWin%]])</f>
        <v>21.456221078132927</v>
      </c>
      <c r="AB123" s="4">
        <f>Games[[#This Row],[PreGmRate]]+Games[[#This Row],[RatingChange]]</f>
        <v>1446.0496379732197</v>
      </c>
      <c r="AC123" s="2">
        <f>IF(Games[[#This Row],[Type]]="R",IF(Games[[#This Row],[Result]]&gt;0.5,1,0),0)</f>
        <v>1</v>
      </c>
      <c r="AD123" s="2">
        <f>IF(Games[[#This Row],[Type]]="R",IF(Games[[#This Row],[Result]]&lt;0.5,1,0),0)</f>
        <v>0</v>
      </c>
      <c r="AE123" s="2">
        <f>IF(AND(Games[[#This Row],[Type]]="P",Games[[#This Row],[Round]]=1),IF(Games[[#This Row],[Result]]&gt;0.5,1,0),0)</f>
        <v>0</v>
      </c>
      <c r="AF123" s="2">
        <f>IF(AND(Games[[#This Row],[Type]]="P",Games[[#This Row],[Round]]=1),IF(Games[[#This Row],[Result]]&lt;0.5,1,0),0)</f>
        <v>0</v>
      </c>
      <c r="AG123" s="2">
        <f>IF(AND(Games[[#This Row],[Type]]="P",Games[[#This Row],[Round]]=2),IF(Games[[#This Row],[Result]]&gt;0.5,1,0),0)</f>
        <v>0</v>
      </c>
      <c r="AH123" s="2">
        <f>IF(AND(Games[[#This Row],[Type]]="P",Games[[#This Row],[Round]]=2),IF(Games[[#This Row],[Result]]&lt;0.5,1,0),0)</f>
        <v>0</v>
      </c>
      <c r="AI123" s="2">
        <f>IF(AND(Games[[#This Row],[Type]]="P",Games[[#This Row],[Round]]=3),IF(Games[[#This Row],[Result]]&gt;0.5,1,0),0)</f>
        <v>0</v>
      </c>
      <c r="AJ123" s="2">
        <f>IF(AND(Games[[#This Row],[Type]]="P",Games[[#This Row],[Round]]=3),IF(Games[[#This Row],[Result]]&lt;0.5,1,0),0)</f>
        <v>0</v>
      </c>
      <c r="AK123" s="2">
        <f>IF(AND(Games[[#This Row],[Type]]="P",Games[[#This Row],[Round]]=4),IF(Games[[#This Row],[Result]]&gt;0.5,1,0),0)</f>
        <v>0</v>
      </c>
      <c r="AL123" s="2">
        <f>IF(AND(Games[[#This Row],[Type]]="P",Games[[#This Row],[Round]]=4),IF(Games[[#This Row],[Result]]&lt;0.5,1,0),0)</f>
        <v>0</v>
      </c>
    </row>
    <row r="124" spans="1:38" x14ac:dyDescent="0.35">
      <c r="A124" s="10">
        <v>44360</v>
      </c>
      <c r="B124" s="2">
        <v>2021</v>
      </c>
      <c r="C124" s="2">
        <f>COUNTIFS(Games[Team],Games[[#This Row],[Team]],Games[Season],Games[[#This Row],[Season]],Games[Date],"&lt;=" &amp; Games[[#This Row],[Date]])</f>
        <v>12</v>
      </c>
      <c r="D124" s="2" t="s">
        <v>79</v>
      </c>
      <c r="E124" s="2" t="s">
        <v>80</v>
      </c>
      <c r="F124" s="1" t="s">
        <v>71</v>
      </c>
      <c r="G124" s="1" t="s">
        <v>74</v>
      </c>
      <c r="H124" s="1" t="s">
        <v>81</v>
      </c>
      <c r="I124" s="2" cm="1">
        <f t="array" ref="I1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4" s="2" cm="1">
        <f t="array" ref="J124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24" s="2">
        <f>Games[[#This Row],[DaysOff]]-Games[[#This Row],[OppDaysOff]]</f>
        <v>-6</v>
      </c>
      <c r="L124" s="2">
        <f>Games[[#This Row],[OppDaysOff]]-Games[[#This Row],[DaysOff]]</f>
        <v>6</v>
      </c>
      <c r="M124" s="1">
        <f>MAX(-16, MIN(16, Games[[#This Row],[RestDiff]]*8))</f>
        <v>-16</v>
      </c>
      <c r="N124" s="1">
        <f>MAX(-16, MIN(16, Games[[#This Row],[OppRestDiff]]*8))</f>
        <v>16</v>
      </c>
      <c r="O124" s="4" cm="1">
        <f t="array" ref="O1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1663.1177281152238</v>
      </c>
      <c r="P124" s="4" cm="1">
        <f t="array" ref="P1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1615.8801732822665</v>
      </c>
      <c r="Q124" s="4">
        <f>1/(1+10^(((Games[[#This Row],[OppPreGmRate]]+IF(Games[[#This Row],[HomeAway]]="A",HCA,0)+Games[[#This Row],[OppRestAdj]])-(Games[[#This Row],[PreGmRate]]+IF(Games[[#This Row],[HomeAway]]="H",HCA,0)+Games[[#This Row],[RestAdj]]))/400))</f>
        <v>0.40231501020650023</v>
      </c>
      <c r="R124" s="1">
        <v>89</v>
      </c>
      <c r="S124" s="1">
        <v>66</v>
      </c>
      <c r="T124" s="1">
        <v>0</v>
      </c>
      <c r="U124" s="1">
        <f>Games[[#This Row],[PointsFor]]-Games[[#This Row],[PointsAgainst]]</f>
        <v>23</v>
      </c>
      <c r="V124" s="1">
        <f>IF(Games[[#This Row],[MOV]]&gt;0,1,IF(Games[[#This Row],[MOV]]=0,0.5,0))</f>
        <v>1</v>
      </c>
      <c r="W124" s="4">
        <f>((ABS(Games[[#This Row],[MOV]])+5)^0.6)/(12+0.01*(ABS(Games[[#This Row],[PreGmRate]]-Games[[#This Row],[OppPreGmRate]])))*IF(Games[[#This Row],[OT]]=1,0.9,1)</f>
        <v>0.59203262458948069</v>
      </c>
      <c r="X124" s="7" cm="1">
        <f t="array" ref="X1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4" s="9">
        <f>MAX(kmin, kmax - 0.15 * MIN(Games[[#This Row],[GamesPlayed]], 82))</f>
        <v>74.2</v>
      </c>
      <c r="Z124" s="4">
        <f>Games[[#This Row],[K]]*Games[[#This Row],[POMult]]</f>
        <v>74.2</v>
      </c>
      <c r="AA124" s="4">
        <f>(Games[[#This Row],[Keff]]*Games[[#This Row],[MOVMult]])*(Games[[#This Row],[Result]]-Games[[#This Row],[ExpectedWin%]])</f>
        <v>26.255596778340553</v>
      </c>
      <c r="AB124" s="4">
        <f>Games[[#This Row],[PreGmRate]]+Games[[#This Row],[RatingChange]]</f>
        <v>1689.3733248935644</v>
      </c>
      <c r="AC124" s="2">
        <f>IF(Games[[#This Row],[Type]]="R",IF(Games[[#This Row],[Result]]&gt;0.5,1,0),0)</f>
        <v>1</v>
      </c>
      <c r="AD124" s="2">
        <f>IF(Games[[#This Row],[Type]]="R",IF(Games[[#This Row],[Result]]&lt;0.5,1,0),0)</f>
        <v>0</v>
      </c>
      <c r="AE124" s="2">
        <f>IF(AND(Games[[#This Row],[Type]]="P",Games[[#This Row],[Round]]=1),IF(Games[[#This Row],[Result]]&gt;0.5,1,0),0)</f>
        <v>0</v>
      </c>
      <c r="AF124" s="2">
        <f>IF(AND(Games[[#This Row],[Type]]="P",Games[[#This Row],[Round]]=1),IF(Games[[#This Row],[Result]]&lt;0.5,1,0),0)</f>
        <v>0</v>
      </c>
      <c r="AG124" s="2">
        <f>IF(AND(Games[[#This Row],[Type]]="P",Games[[#This Row],[Round]]=2),IF(Games[[#This Row],[Result]]&gt;0.5,1,0),0)</f>
        <v>0</v>
      </c>
      <c r="AH124" s="2">
        <f>IF(AND(Games[[#This Row],[Type]]="P",Games[[#This Row],[Round]]=2),IF(Games[[#This Row],[Result]]&lt;0.5,1,0),0)</f>
        <v>0</v>
      </c>
      <c r="AI124" s="2">
        <f>IF(AND(Games[[#This Row],[Type]]="P",Games[[#This Row],[Round]]=3),IF(Games[[#This Row],[Result]]&gt;0.5,1,0),0)</f>
        <v>0</v>
      </c>
      <c r="AJ124" s="2">
        <f>IF(AND(Games[[#This Row],[Type]]="P",Games[[#This Row],[Round]]=3),IF(Games[[#This Row],[Result]]&lt;0.5,1,0),0)</f>
        <v>0</v>
      </c>
      <c r="AK124" s="2">
        <f>IF(AND(Games[[#This Row],[Type]]="P",Games[[#This Row],[Round]]=4),IF(Games[[#This Row],[Result]]&gt;0.5,1,0),0)</f>
        <v>0</v>
      </c>
      <c r="AL124" s="2">
        <f>IF(AND(Games[[#This Row],[Type]]="P",Games[[#This Row],[Round]]=4),IF(Games[[#This Row],[Result]]&lt;0.5,1,0),0)</f>
        <v>0</v>
      </c>
    </row>
    <row r="125" spans="1:38" x14ac:dyDescent="0.35">
      <c r="A125" s="10">
        <v>44360</v>
      </c>
      <c r="B125" s="2">
        <v>2021</v>
      </c>
      <c r="C125" s="2">
        <f>COUNTIFS(Games[Team],Games[[#This Row],[Team]],Games[Season],Games[[#This Row],[Season]],Games[Date],"&lt;=" &amp; Games[[#This Row],[Date]])</f>
        <v>11</v>
      </c>
      <c r="D125" s="2" t="s">
        <v>79</v>
      </c>
      <c r="E125" s="2" t="s">
        <v>80</v>
      </c>
      <c r="F125" s="1" t="s">
        <v>74</v>
      </c>
      <c r="G125" s="1" t="s">
        <v>71</v>
      </c>
      <c r="H125" s="1" t="s">
        <v>82</v>
      </c>
      <c r="I125" s="2" cm="1">
        <f t="array" ref="I125">IFERROR(
    Games[[#This Row],[Date]]
    - LOOKUP(
        2,
        1/((Games[Team]=Games[[#This Row],[Team]]) * (Games[Date] &lt; Games[[#This Row],[Date]])),
        Games[Date]
    )
    - 1,
Games[[#This Row],[Date]]-$A$2)</f>
        <v>7</v>
      </c>
      <c r="J125" s="2" cm="1">
        <f t="array" ref="J1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5" s="2">
        <f>Games[[#This Row],[DaysOff]]-Games[[#This Row],[OppDaysOff]]</f>
        <v>6</v>
      </c>
      <c r="L125" s="2">
        <f>Games[[#This Row],[OppDaysOff]]-Games[[#This Row],[DaysOff]]</f>
        <v>-6</v>
      </c>
      <c r="M125" s="1">
        <f>MAX(-16, MIN(16, Games[[#This Row],[RestDiff]]*8))</f>
        <v>16</v>
      </c>
      <c r="N125" s="1">
        <f>MAX(-16, MIN(16, Games[[#This Row],[OppRestDiff]]*8))</f>
        <v>-16</v>
      </c>
      <c r="O125" s="4" cm="1">
        <f t="array" ref="O1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1615.8801732822665</v>
      </c>
      <c r="P125" s="4" cm="1">
        <f t="array" ref="P1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1663.1177281152238</v>
      </c>
      <c r="Q125" s="4">
        <f>1/(1+10^(((Games[[#This Row],[OppPreGmRate]]+IF(Games[[#This Row],[HomeAway]]="A",HCA,0)+Games[[#This Row],[OppRestAdj]])-(Games[[#This Row],[PreGmRate]]+IF(Games[[#This Row],[HomeAway]]="H",HCA,0)+Games[[#This Row],[RestAdj]]))/400))</f>
        <v>0.59768498979349982</v>
      </c>
      <c r="R125" s="1">
        <v>66</v>
      </c>
      <c r="S125" s="1">
        <v>89</v>
      </c>
      <c r="T125" s="1">
        <v>0</v>
      </c>
      <c r="U125" s="1">
        <f>Games[[#This Row],[PointsFor]]-Games[[#This Row],[PointsAgainst]]</f>
        <v>-23</v>
      </c>
      <c r="V125" s="1">
        <f>IF(Games[[#This Row],[MOV]]&gt;0,1,IF(Games[[#This Row],[MOV]]=0,0.5,0))</f>
        <v>0</v>
      </c>
      <c r="W125" s="4">
        <f>((ABS(Games[[#This Row],[MOV]])+5)^0.6)/(12+0.01*(ABS(Games[[#This Row],[PreGmRate]]-Games[[#This Row],[OppPreGmRate]])))*IF(Games[[#This Row],[OT]]=1,0.9,1)</f>
        <v>0.59203262458948069</v>
      </c>
      <c r="X125" s="7" cm="1">
        <f t="array" ref="X1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5" s="9">
        <f>MAX(kmin, kmax - 0.15 * MIN(Games[[#This Row],[GamesPlayed]], 82))</f>
        <v>74.349999999999994</v>
      </c>
      <c r="Z125" s="4">
        <f>Games[[#This Row],[K]]*Games[[#This Row],[POMult]]</f>
        <v>74.349999999999994</v>
      </c>
      <c r="AA125" s="4">
        <f>(Games[[#This Row],[Keff]]*Games[[#This Row],[MOVMult]])*(Games[[#This Row],[Result]]-Games[[#This Row],[ExpectedWin%]])</f>
        <v>-26.30867413031833</v>
      </c>
      <c r="AB125" s="4">
        <f>Games[[#This Row],[PreGmRate]]+Games[[#This Row],[RatingChange]]</f>
        <v>1589.571499151948</v>
      </c>
      <c r="AC125" s="2">
        <f>IF(Games[[#This Row],[Type]]="R",IF(Games[[#This Row],[Result]]&gt;0.5,1,0),0)</f>
        <v>0</v>
      </c>
      <c r="AD125" s="2">
        <f>IF(Games[[#This Row],[Type]]="R",IF(Games[[#This Row],[Result]]&lt;0.5,1,0),0)</f>
        <v>1</v>
      </c>
      <c r="AE125" s="2">
        <f>IF(AND(Games[[#This Row],[Type]]="P",Games[[#This Row],[Round]]=1),IF(Games[[#This Row],[Result]]&gt;0.5,1,0),0)</f>
        <v>0</v>
      </c>
      <c r="AF125" s="2">
        <f>IF(AND(Games[[#This Row],[Type]]="P",Games[[#This Row],[Round]]=1),IF(Games[[#This Row],[Result]]&lt;0.5,1,0),0)</f>
        <v>0</v>
      </c>
      <c r="AG125" s="2">
        <f>IF(AND(Games[[#This Row],[Type]]="P",Games[[#This Row],[Round]]=2),IF(Games[[#This Row],[Result]]&gt;0.5,1,0),0)</f>
        <v>0</v>
      </c>
      <c r="AH125" s="2">
        <f>IF(AND(Games[[#This Row],[Type]]="P",Games[[#This Row],[Round]]=2),IF(Games[[#This Row],[Result]]&lt;0.5,1,0),0)</f>
        <v>0</v>
      </c>
      <c r="AI125" s="2">
        <f>IF(AND(Games[[#This Row],[Type]]="P",Games[[#This Row],[Round]]=3),IF(Games[[#This Row],[Result]]&gt;0.5,1,0),0)</f>
        <v>0</v>
      </c>
      <c r="AJ125" s="2">
        <f>IF(AND(Games[[#This Row],[Type]]="P",Games[[#This Row],[Round]]=3),IF(Games[[#This Row],[Result]]&lt;0.5,1,0),0)</f>
        <v>0</v>
      </c>
      <c r="AK125" s="2">
        <f>IF(AND(Games[[#This Row],[Type]]="P",Games[[#This Row],[Round]]=4),IF(Games[[#This Row],[Result]]&gt;0.5,1,0),0)</f>
        <v>0</v>
      </c>
      <c r="AL125" s="2">
        <f>IF(AND(Games[[#This Row],[Type]]="P",Games[[#This Row],[Round]]=4),IF(Games[[#This Row],[Result]]&lt;0.5,1,0),0)</f>
        <v>0</v>
      </c>
    </row>
    <row r="126" spans="1:38" x14ac:dyDescent="0.35">
      <c r="A126" s="10">
        <v>44360</v>
      </c>
      <c r="B126" s="2">
        <v>2021</v>
      </c>
      <c r="C126" s="2">
        <f>COUNTIFS(Games[Team],Games[[#This Row],[Team]],Games[Season],Games[[#This Row],[Season]],Games[Date],"&lt;=" &amp; Games[[#This Row],[Date]])</f>
        <v>11</v>
      </c>
      <c r="D126" s="2" t="s">
        <v>79</v>
      </c>
      <c r="E126" s="2" t="s">
        <v>80</v>
      </c>
      <c r="F126" s="1" t="s">
        <v>84</v>
      </c>
      <c r="G126" s="1" t="s">
        <v>85</v>
      </c>
      <c r="H126" s="1" t="s">
        <v>81</v>
      </c>
      <c r="I126" s="2" cm="1">
        <f t="array" ref="I1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6" s="2" cm="1">
        <f t="array" ref="J12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26" s="2">
        <f>Games[[#This Row],[DaysOff]]-Games[[#This Row],[OppDaysOff]]</f>
        <v>-6</v>
      </c>
      <c r="L126" s="2">
        <f>Games[[#This Row],[OppDaysOff]]-Games[[#This Row],[DaysOff]]</f>
        <v>6</v>
      </c>
      <c r="M126" s="1">
        <f>MAX(-16, MIN(16, Games[[#This Row],[RestDiff]]*8))</f>
        <v>-16</v>
      </c>
      <c r="N126" s="1">
        <f>MAX(-16, MIN(16, Games[[#This Row],[OppRestDiff]]*8))</f>
        <v>16</v>
      </c>
      <c r="O126" s="4" cm="1">
        <f t="array" ref="O1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1511.2050493313482</v>
      </c>
      <c r="P126" s="4" cm="1">
        <f t="array" ref="P1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1610.3938482705792</v>
      </c>
      <c r="Q126" s="4">
        <f>1/(1+10^(((Games[[#This Row],[OppPreGmRate]]+IF(Games[[#This Row],[HomeAway]]="A",HCA,0)+Games[[#This Row],[OppRestAdj]])-(Games[[#This Row],[PreGmRate]]+IF(Games[[#This Row],[HomeAway]]="H",HCA,0)+Games[[#This Row],[RestAdj]]))/400))</f>
        <v>0.22465776919590655</v>
      </c>
      <c r="R126" s="1">
        <v>78</v>
      </c>
      <c r="S126" s="1">
        <v>85</v>
      </c>
      <c r="T126" s="1">
        <v>0</v>
      </c>
      <c r="U126" s="1">
        <f>Games[[#This Row],[PointsFor]]-Games[[#This Row],[PointsAgainst]]</f>
        <v>-7</v>
      </c>
      <c r="V126" s="1">
        <f>IF(Games[[#This Row],[MOV]]&gt;0,1,IF(Games[[#This Row],[MOV]]=0,0.5,0))</f>
        <v>0</v>
      </c>
      <c r="W126" s="4">
        <f>((ABS(Games[[#This Row],[MOV]])+5)^0.6)/(12+0.01*(ABS(Games[[#This Row],[PreGmRate]]-Games[[#This Row],[OppPreGmRate]])))*IF(Games[[#This Row],[OT]]=1,0.9,1)</f>
        <v>0.34185070510707039</v>
      </c>
      <c r="X126" s="7" cm="1">
        <f t="array" ref="X1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6" s="9">
        <f>MAX(kmin, kmax - 0.15 * MIN(Games[[#This Row],[GamesPlayed]], 82))</f>
        <v>74.349999999999994</v>
      </c>
      <c r="Z126" s="4">
        <f>Games[[#This Row],[K]]*Games[[#This Row],[POMult]]</f>
        <v>74.349999999999994</v>
      </c>
      <c r="AA126" s="4">
        <f>(Games[[#This Row],[Keff]]*Games[[#This Row],[MOVMult]])*(Games[[#This Row],[Result]]-Games[[#This Row],[ExpectedWin%]])</f>
        <v>-5.7100366396303484</v>
      </c>
      <c r="AB126" s="4">
        <f>Games[[#This Row],[PreGmRate]]+Games[[#This Row],[RatingChange]]</f>
        <v>1505.4950126917179</v>
      </c>
      <c r="AC126" s="2">
        <f>IF(Games[[#This Row],[Type]]="R",IF(Games[[#This Row],[Result]]&gt;0.5,1,0),0)</f>
        <v>0</v>
      </c>
      <c r="AD126" s="2">
        <f>IF(Games[[#This Row],[Type]]="R",IF(Games[[#This Row],[Result]]&lt;0.5,1,0),0)</f>
        <v>1</v>
      </c>
      <c r="AE126" s="2">
        <f>IF(AND(Games[[#This Row],[Type]]="P",Games[[#This Row],[Round]]=1),IF(Games[[#This Row],[Result]]&gt;0.5,1,0),0)</f>
        <v>0</v>
      </c>
      <c r="AF126" s="2">
        <f>IF(AND(Games[[#This Row],[Type]]="P",Games[[#This Row],[Round]]=1),IF(Games[[#This Row],[Result]]&lt;0.5,1,0),0)</f>
        <v>0</v>
      </c>
      <c r="AG126" s="2">
        <f>IF(AND(Games[[#This Row],[Type]]="P",Games[[#This Row],[Round]]=2),IF(Games[[#This Row],[Result]]&gt;0.5,1,0),0)</f>
        <v>0</v>
      </c>
      <c r="AH126" s="2">
        <f>IF(AND(Games[[#This Row],[Type]]="P",Games[[#This Row],[Round]]=2),IF(Games[[#This Row],[Result]]&lt;0.5,1,0),0)</f>
        <v>0</v>
      </c>
      <c r="AI126" s="2">
        <f>IF(AND(Games[[#This Row],[Type]]="P",Games[[#This Row],[Round]]=3),IF(Games[[#This Row],[Result]]&gt;0.5,1,0),0)</f>
        <v>0</v>
      </c>
      <c r="AJ126" s="2">
        <f>IF(AND(Games[[#This Row],[Type]]="P",Games[[#This Row],[Round]]=3),IF(Games[[#This Row],[Result]]&lt;0.5,1,0),0)</f>
        <v>0</v>
      </c>
      <c r="AK126" s="2">
        <f>IF(AND(Games[[#This Row],[Type]]="P",Games[[#This Row],[Round]]=4),IF(Games[[#This Row],[Result]]&gt;0.5,1,0),0)</f>
        <v>0</v>
      </c>
      <c r="AL126" s="2">
        <f>IF(AND(Games[[#This Row],[Type]]="P",Games[[#This Row],[Round]]=4),IF(Games[[#This Row],[Result]]&lt;0.5,1,0),0)</f>
        <v>0</v>
      </c>
    </row>
    <row r="127" spans="1:38" x14ac:dyDescent="0.35">
      <c r="A127" s="10">
        <v>44360</v>
      </c>
      <c r="B127" s="2">
        <v>2021</v>
      </c>
      <c r="C127" s="2">
        <f>COUNTIFS(Games[Team],Games[[#This Row],[Team]],Games[Season],Games[[#This Row],[Season]],Games[Date],"&lt;=" &amp; Games[[#This Row],[Date]])</f>
        <v>11</v>
      </c>
      <c r="D127" s="2" t="s">
        <v>79</v>
      </c>
      <c r="E127" s="2" t="s">
        <v>80</v>
      </c>
      <c r="F127" s="1" t="s">
        <v>85</v>
      </c>
      <c r="G127" s="1" t="s">
        <v>84</v>
      </c>
      <c r="H127" s="1" t="s">
        <v>82</v>
      </c>
      <c r="I127" s="2" cm="1">
        <f t="array" ref="I127">IFERROR(
    Games[[#This Row],[Date]]
    - LOOKUP(
        2,
        1/((Games[Team]=Games[[#This Row],[Team]]) * (Games[Date] &lt; Games[[#This Row],[Date]])),
        Games[Date]
    )
    - 1,
Games[[#This Row],[Date]]-$A$2)</f>
        <v>7</v>
      </c>
      <c r="J127" s="2" cm="1">
        <f t="array" ref="J1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7" s="2">
        <f>Games[[#This Row],[DaysOff]]-Games[[#This Row],[OppDaysOff]]</f>
        <v>6</v>
      </c>
      <c r="L127" s="2">
        <f>Games[[#This Row],[OppDaysOff]]-Games[[#This Row],[DaysOff]]</f>
        <v>-6</v>
      </c>
      <c r="M127" s="1">
        <f>MAX(-16, MIN(16, Games[[#This Row],[RestDiff]]*8))</f>
        <v>16</v>
      </c>
      <c r="N127" s="1">
        <f>MAX(-16, MIN(16, Games[[#This Row],[OppRestDiff]]*8))</f>
        <v>-16</v>
      </c>
      <c r="O127" s="4" cm="1">
        <f t="array" ref="O1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1610.3938482705792</v>
      </c>
      <c r="P127" s="4" cm="1">
        <f t="array" ref="P1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1511.2050493313482</v>
      </c>
      <c r="Q127" s="4">
        <f>1/(1+10^(((Games[[#This Row],[OppPreGmRate]]+IF(Games[[#This Row],[HomeAway]]="A",HCA,0)+Games[[#This Row],[OppRestAdj]])-(Games[[#This Row],[PreGmRate]]+IF(Games[[#This Row],[HomeAway]]="H",HCA,0)+Games[[#This Row],[RestAdj]]))/400))</f>
        <v>0.77534223080409348</v>
      </c>
      <c r="R127" s="1">
        <v>85</v>
      </c>
      <c r="S127" s="1">
        <v>78</v>
      </c>
      <c r="T127" s="1">
        <v>0</v>
      </c>
      <c r="U127" s="1">
        <f>Games[[#This Row],[PointsFor]]-Games[[#This Row],[PointsAgainst]]</f>
        <v>7</v>
      </c>
      <c r="V127" s="1">
        <f>IF(Games[[#This Row],[MOV]]&gt;0,1,IF(Games[[#This Row],[MOV]]=0,0.5,0))</f>
        <v>1</v>
      </c>
      <c r="W127" s="4">
        <f>((ABS(Games[[#This Row],[MOV]])+5)^0.6)/(12+0.01*(ABS(Games[[#This Row],[PreGmRate]]-Games[[#This Row],[OppPreGmRate]])))*IF(Games[[#This Row],[OT]]=1,0.9,1)</f>
        <v>0.34185070510707039</v>
      </c>
      <c r="X127" s="7" cm="1">
        <f t="array" ref="X1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7" s="9">
        <f>MAX(kmin, kmax - 0.15 * MIN(Games[[#This Row],[GamesPlayed]], 82))</f>
        <v>74.349999999999994</v>
      </c>
      <c r="Z127" s="4">
        <f>Games[[#This Row],[K]]*Games[[#This Row],[POMult]]</f>
        <v>74.349999999999994</v>
      </c>
      <c r="AA127" s="4">
        <f>(Games[[#This Row],[Keff]]*Games[[#This Row],[MOVMult]])*(Games[[#This Row],[Result]]-Games[[#This Row],[ExpectedWin%]])</f>
        <v>5.7100366396303475</v>
      </c>
      <c r="AB127" s="4">
        <f>Games[[#This Row],[PreGmRate]]+Games[[#This Row],[RatingChange]]</f>
        <v>1616.1038849102094</v>
      </c>
      <c r="AC127" s="2">
        <f>IF(Games[[#This Row],[Type]]="R",IF(Games[[#This Row],[Result]]&gt;0.5,1,0),0)</f>
        <v>1</v>
      </c>
      <c r="AD127" s="2">
        <f>IF(Games[[#This Row],[Type]]="R",IF(Games[[#This Row],[Result]]&lt;0.5,1,0),0)</f>
        <v>0</v>
      </c>
      <c r="AE127" s="2">
        <f>IF(AND(Games[[#This Row],[Type]]="P",Games[[#This Row],[Round]]=1),IF(Games[[#This Row],[Result]]&gt;0.5,1,0),0)</f>
        <v>0</v>
      </c>
      <c r="AF127" s="2">
        <f>IF(AND(Games[[#This Row],[Type]]="P",Games[[#This Row],[Round]]=1),IF(Games[[#This Row],[Result]]&lt;0.5,1,0),0)</f>
        <v>0</v>
      </c>
      <c r="AG127" s="2">
        <f>IF(AND(Games[[#This Row],[Type]]="P",Games[[#This Row],[Round]]=2),IF(Games[[#This Row],[Result]]&gt;0.5,1,0),0)</f>
        <v>0</v>
      </c>
      <c r="AH127" s="2">
        <f>IF(AND(Games[[#This Row],[Type]]="P",Games[[#This Row],[Round]]=2),IF(Games[[#This Row],[Result]]&lt;0.5,1,0),0)</f>
        <v>0</v>
      </c>
      <c r="AI127" s="2">
        <f>IF(AND(Games[[#This Row],[Type]]="P",Games[[#This Row],[Round]]=3),IF(Games[[#This Row],[Result]]&gt;0.5,1,0),0)</f>
        <v>0</v>
      </c>
      <c r="AJ127" s="2">
        <f>IF(AND(Games[[#This Row],[Type]]="P",Games[[#This Row],[Round]]=3),IF(Games[[#This Row],[Result]]&lt;0.5,1,0),0)</f>
        <v>0</v>
      </c>
      <c r="AK127" s="2">
        <f>IF(AND(Games[[#This Row],[Type]]="P",Games[[#This Row],[Round]]=4),IF(Games[[#This Row],[Result]]&gt;0.5,1,0),0)</f>
        <v>0</v>
      </c>
      <c r="AL127" s="2">
        <f>IF(AND(Games[[#This Row],[Type]]="P",Games[[#This Row],[Round]]=4),IF(Games[[#This Row],[Result]]&lt;0.5,1,0),0)</f>
        <v>0</v>
      </c>
    </row>
    <row r="128" spans="1:38" x14ac:dyDescent="0.35">
      <c r="A128" s="10">
        <v>44360</v>
      </c>
      <c r="B128" s="2">
        <v>2021</v>
      </c>
      <c r="C128" s="2">
        <f>COUNTIFS(Games[Team],Games[[#This Row],[Team]],Games[Season],Games[[#This Row],[Season]],Games[Date],"&lt;=" &amp; Games[[#This Row],[Date]])</f>
        <v>10</v>
      </c>
      <c r="D128" s="2" t="s">
        <v>79</v>
      </c>
      <c r="E128" s="2" t="s">
        <v>80</v>
      </c>
      <c r="F128" s="1" t="s">
        <v>60</v>
      </c>
      <c r="G128" s="1" t="s">
        <v>40</v>
      </c>
      <c r="H128" s="1" t="s">
        <v>81</v>
      </c>
      <c r="I128" s="2" cm="1">
        <f t="array" ref="I128">IFERROR(
    Games[[#This Row],[Date]]
    - LOOKUP(
        2,
        1/((Games[Team]=Games[[#This Row],[Team]]) * (Games[Date] &lt; Games[[#This Row],[Date]])),
        Games[Date]
    )
    - 1,
Games[[#This Row],[Date]]-$A$2)</f>
        <v>7</v>
      </c>
      <c r="J128" s="2" cm="1">
        <f t="array" ref="J12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28" s="2">
        <f>Games[[#This Row],[DaysOff]]-Games[[#This Row],[OppDaysOff]]</f>
        <v>6</v>
      </c>
      <c r="L128" s="2">
        <f>Games[[#This Row],[OppDaysOff]]-Games[[#This Row],[DaysOff]]</f>
        <v>-6</v>
      </c>
      <c r="M128" s="1">
        <f>MAX(-16, MIN(16, Games[[#This Row],[RestDiff]]*8))</f>
        <v>16</v>
      </c>
      <c r="N128" s="1">
        <f>MAX(-16, MIN(16, Games[[#This Row],[OppRestDiff]]*8))</f>
        <v>-16</v>
      </c>
      <c r="O128" s="4" cm="1">
        <f t="array" ref="O1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1412.3555049618953</v>
      </c>
      <c r="P128" s="4" cm="1">
        <f t="array" ref="P1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1486.8522758936226</v>
      </c>
      <c r="Q128" s="4">
        <f>1/(1+10^(((Games[[#This Row],[OppPreGmRate]]+IF(Games[[#This Row],[HomeAway]]="A",HCA,0)+Games[[#This Row],[OppRestAdj]])-(Games[[#This Row],[PreGmRate]]+IF(Games[[#This Row],[HomeAway]]="H",HCA,0)+Games[[#This Row],[RestAdj]]))/400))</f>
        <v>0.32559556987594718</v>
      </c>
      <c r="R128" s="1">
        <v>85</v>
      </c>
      <c r="S128" s="1">
        <v>83</v>
      </c>
      <c r="T128" s="1">
        <v>0</v>
      </c>
      <c r="U128" s="1">
        <f>Games[[#This Row],[PointsFor]]-Games[[#This Row],[PointsAgainst]]</f>
        <v>2</v>
      </c>
      <c r="V128" s="1">
        <f>IF(Games[[#This Row],[MOV]]&gt;0,1,IF(Games[[#This Row],[MOV]]=0,0.5,0))</f>
        <v>1</v>
      </c>
      <c r="W128" s="4">
        <f>((ABS(Games[[#This Row],[MOV]])+5)^0.6)/(12+0.01*(ABS(Games[[#This Row],[PreGmRate]]-Games[[#This Row],[OppPreGmRate]])))*IF(Games[[#This Row],[OT]]=1,0.9,1)</f>
        <v>0.25218548395115647</v>
      </c>
      <c r="X128" s="7" cm="1">
        <f t="array" ref="X1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8" s="9">
        <f>MAX(kmin, kmax - 0.15 * MIN(Games[[#This Row],[GamesPlayed]], 82))</f>
        <v>74.5</v>
      </c>
      <c r="Z128" s="4">
        <f>Games[[#This Row],[K]]*Games[[#This Row],[POMult]]</f>
        <v>74.5</v>
      </c>
      <c r="AA128" s="4">
        <f>(Games[[#This Row],[Keff]]*Games[[#This Row],[MOVMult]])*(Games[[#This Row],[Result]]-Games[[#This Row],[ExpectedWin%]])</f>
        <v>12.670588065428042</v>
      </c>
      <c r="AB128" s="4">
        <f>Games[[#This Row],[PreGmRate]]+Games[[#This Row],[RatingChange]]</f>
        <v>1425.0260930273234</v>
      </c>
      <c r="AC128" s="2">
        <f>IF(Games[[#This Row],[Type]]="R",IF(Games[[#This Row],[Result]]&gt;0.5,1,0),0)</f>
        <v>1</v>
      </c>
      <c r="AD128" s="2">
        <f>IF(Games[[#This Row],[Type]]="R",IF(Games[[#This Row],[Result]]&lt;0.5,1,0),0)</f>
        <v>0</v>
      </c>
      <c r="AE128" s="2">
        <f>IF(AND(Games[[#This Row],[Type]]="P",Games[[#This Row],[Round]]=1),IF(Games[[#This Row],[Result]]&gt;0.5,1,0),0)</f>
        <v>0</v>
      </c>
      <c r="AF128" s="2">
        <f>IF(AND(Games[[#This Row],[Type]]="P",Games[[#This Row],[Round]]=1),IF(Games[[#This Row],[Result]]&lt;0.5,1,0),0)</f>
        <v>0</v>
      </c>
      <c r="AG128" s="2">
        <f>IF(AND(Games[[#This Row],[Type]]="P",Games[[#This Row],[Round]]=2),IF(Games[[#This Row],[Result]]&gt;0.5,1,0),0)</f>
        <v>0</v>
      </c>
      <c r="AH128" s="2">
        <f>IF(AND(Games[[#This Row],[Type]]="P",Games[[#This Row],[Round]]=2),IF(Games[[#This Row],[Result]]&lt;0.5,1,0),0)</f>
        <v>0</v>
      </c>
      <c r="AI128" s="2">
        <f>IF(AND(Games[[#This Row],[Type]]="P",Games[[#This Row],[Round]]=3),IF(Games[[#This Row],[Result]]&gt;0.5,1,0),0)</f>
        <v>0</v>
      </c>
      <c r="AJ128" s="2">
        <f>IF(AND(Games[[#This Row],[Type]]="P",Games[[#This Row],[Round]]=3),IF(Games[[#This Row],[Result]]&lt;0.5,1,0),0)</f>
        <v>0</v>
      </c>
      <c r="AK128" s="2">
        <f>IF(AND(Games[[#This Row],[Type]]="P",Games[[#This Row],[Round]]=4),IF(Games[[#This Row],[Result]]&gt;0.5,1,0),0)</f>
        <v>0</v>
      </c>
      <c r="AL128" s="2">
        <f>IF(AND(Games[[#This Row],[Type]]="P",Games[[#This Row],[Round]]=4),IF(Games[[#This Row],[Result]]&lt;0.5,1,0),0)</f>
        <v>0</v>
      </c>
    </row>
    <row r="129" spans="1:38" x14ac:dyDescent="0.35">
      <c r="A129" s="10">
        <v>44360</v>
      </c>
      <c r="B129" s="2">
        <v>2021</v>
      </c>
      <c r="C129" s="2">
        <f>COUNTIFS(Games[Team],Games[[#This Row],[Team]],Games[Season],Games[[#This Row],[Season]],Games[Date],"&lt;=" &amp; Games[[#This Row],[Date]])</f>
        <v>11</v>
      </c>
      <c r="D129" s="2" t="s">
        <v>79</v>
      </c>
      <c r="E129" s="2" t="s">
        <v>80</v>
      </c>
      <c r="F129" s="1" t="s">
        <v>40</v>
      </c>
      <c r="G129" s="1" t="s">
        <v>60</v>
      </c>
      <c r="H129" s="1" t="s">
        <v>82</v>
      </c>
      <c r="I129" s="2" cm="1">
        <f t="array" ref="I12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29" s="2" cm="1">
        <f t="array" ref="J129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29" s="2">
        <f>Games[[#This Row],[DaysOff]]-Games[[#This Row],[OppDaysOff]]</f>
        <v>-6</v>
      </c>
      <c r="L129" s="2">
        <f>Games[[#This Row],[OppDaysOff]]-Games[[#This Row],[DaysOff]]</f>
        <v>6</v>
      </c>
      <c r="M129" s="1">
        <f>MAX(-16, MIN(16, Games[[#This Row],[RestDiff]]*8))</f>
        <v>-16</v>
      </c>
      <c r="N129" s="1">
        <f>MAX(-16, MIN(16, Games[[#This Row],[OppRestDiff]]*8))</f>
        <v>16</v>
      </c>
      <c r="O129" s="4" cm="1">
        <f t="array" ref="O1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1486.8522758936226</v>
      </c>
      <c r="P129" s="4" cm="1">
        <f t="array" ref="P1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1412.3555049618953</v>
      </c>
      <c r="Q129" s="4">
        <f>1/(1+10^(((Games[[#This Row],[OppPreGmRate]]+IF(Games[[#This Row],[HomeAway]]="A",HCA,0)+Games[[#This Row],[OppRestAdj]])-(Games[[#This Row],[PreGmRate]]+IF(Games[[#This Row],[HomeAway]]="H",HCA,0)+Games[[#This Row],[RestAdj]]))/400))</f>
        <v>0.67440443012405282</v>
      </c>
      <c r="R129" s="1">
        <v>83</v>
      </c>
      <c r="S129" s="1">
        <v>85</v>
      </c>
      <c r="T129" s="1">
        <v>0</v>
      </c>
      <c r="U129" s="1">
        <f>Games[[#This Row],[PointsFor]]-Games[[#This Row],[PointsAgainst]]</f>
        <v>-2</v>
      </c>
      <c r="V129" s="1">
        <f>IF(Games[[#This Row],[MOV]]&gt;0,1,IF(Games[[#This Row],[MOV]]=0,0.5,0))</f>
        <v>0</v>
      </c>
      <c r="W129" s="4">
        <f>((ABS(Games[[#This Row],[MOV]])+5)^0.6)/(12+0.01*(ABS(Games[[#This Row],[PreGmRate]]-Games[[#This Row],[OppPreGmRate]])))*IF(Games[[#This Row],[OT]]=1,0.9,1)</f>
        <v>0.25218548395115647</v>
      </c>
      <c r="X129" s="7" cm="1">
        <f t="array" ref="X1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29" s="9">
        <f>MAX(kmin, kmax - 0.15 * MIN(Games[[#This Row],[GamesPlayed]], 82))</f>
        <v>74.349999999999994</v>
      </c>
      <c r="Z129" s="4">
        <f>Games[[#This Row],[K]]*Games[[#This Row],[POMult]]</f>
        <v>74.349999999999994</v>
      </c>
      <c r="AA129" s="4">
        <f>(Games[[#This Row],[Keff]]*Games[[#This Row],[MOVMult]])*(Games[[#This Row],[Result]]-Games[[#This Row],[ExpectedWin%]])</f>
        <v>-12.645076814289595</v>
      </c>
      <c r="AB129" s="4">
        <f>Games[[#This Row],[PreGmRate]]+Games[[#This Row],[RatingChange]]</f>
        <v>1474.2071990793331</v>
      </c>
      <c r="AC129" s="2">
        <f>IF(Games[[#This Row],[Type]]="R",IF(Games[[#This Row],[Result]]&gt;0.5,1,0),0)</f>
        <v>0</v>
      </c>
      <c r="AD129" s="2">
        <f>IF(Games[[#This Row],[Type]]="R",IF(Games[[#This Row],[Result]]&lt;0.5,1,0),0)</f>
        <v>1</v>
      </c>
      <c r="AE129" s="2">
        <f>IF(AND(Games[[#This Row],[Type]]="P",Games[[#This Row],[Round]]=1),IF(Games[[#This Row],[Result]]&gt;0.5,1,0),0)</f>
        <v>0</v>
      </c>
      <c r="AF129" s="2">
        <f>IF(AND(Games[[#This Row],[Type]]="P",Games[[#This Row],[Round]]=1),IF(Games[[#This Row],[Result]]&lt;0.5,1,0),0)</f>
        <v>0</v>
      </c>
      <c r="AG129" s="2">
        <f>IF(AND(Games[[#This Row],[Type]]="P",Games[[#This Row],[Round]]=2),IF(Games[[#This Row],[Result]]&gt;0.5,1,0),0)</f>
        <v>0</v>
      </c>
      <c r="AH129" s="2">
        <f>IF(AND(Games[[#This Row],[Type]]="P",Games[[#This Row],[Round]]=2),IF(Games[[#This Row],[Result]]&lt;0.5,1,0),0)</f>
        <v>0</v>
      </c>
      <c r="AI129" s="2">
        <f>IF(AND(Games[[#This Row],[Type]]="P",Games[[#This Row],[Round]]=3),IF(Games[[#This Row],[Result]]&gt;0.5,1,0),0)</f>
        <v>0</v>
      </c>
      <c r="AJ129" s="2">
        <f>IF(AND(Games[[#This Row],[Type]]="P",Games[[#This Row],[Round]]=3),IF(Games[[#This Row],[Result]]&lt;0.5,1,0),0)</f>
        <v>0</v>
      </c>
      <c r="AK129" s="2">
        <f>IF(AND(Games[[#This Row],[Type]]="P",Games[[#This Row],[Round]]=4),IF(Games[[#This Row],[Result]]&gt;0.5,1,0),0)</f>
        <v>0</v>
      </c>
      <c r="AL129" s="2">
        <f>IF(AND(Games[[#This Row],[Type]]="P",Games[[#This Row],[Round]]=4),IF(Games[[#This Row],[Result]]&lt;0.5,1,0),0)</f>
        <v>0</v>
      </c>
    </row>
    <row r="130" spans="1:38" x14ac:dyDescent="0.35">
      <c r="A130" s="10">
        <v>44362</v>
      </c>
      <c r="B130" s="2">
        <v>2021</v>
      </c>
      <c r="C130" s="2">
        <f>COUNTIFS(Games[Team],Games[[#This Row],[Team]],Games[Season],Games[[#This Row],[Season]],Games[Date],"&lt;=" &amp; Games[[#This Row],[Date]])</f>
        <v>13</v>
      </c>
      <c r="D130" s="2" t="s">
        <v>79</v>
      </c>
      <c r="E130" s="2" t="s">
        <v>80</v>
      </c>
      <c r="F130" s="1" t="s">
        <v>71</v>
      </c>
      <c r="G130" s="1" t="s">
        <v>69</v>
      </c>
      <c r="H130" s="1" t="s">
        <v>81</v>
      </c>
      <c r="I130" s="2" cm="1">
        <f t="array" ref="I1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0" s="2" cm="1">
        <f t="array" ref="J13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0" s="2">
        <f>Games[[#This Row],[DaysOff]]-Games[[#This Row],[OppDaysOff]]</f>
        <v>-1</v>
      </c>
      <c r="L130" s="2">
        <f>Games[[#This Row],[OppDaysOff]]-Games[[#This Row],[DaysOff]]</f>
        <v>1</v>
      </c>
      <c r="M130" s="1">
        <f>MAX(-16, MIN(16, Games[[#This Row],[RestDiff]]*8))</f>
        <v>-8</v>
      </c>
      <c r="N130" s="1">
        <f>MAX(-16, MIN(16, Games[[#This Row],[OppRestDiff]]*8))</f>
        <v>8</v>
      </c>
      <c r="O130" s="4" cm="1">
        <f t="array" ref="O1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1689.3733248935644</v>
      </c>
      <c r="P130" s="4" cm="1">
        <f t="array" ref="P1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1330.6038324472868</v>
      </c>
      <c r="Q130" s="4">
        <f>1/(1+10^(((Games[[#This Row],[OppPreGmRate]]+IF(Games[[#This Row],[HomeAway]]="A",HCA,0)+Games[[#This Row],[OppRestAdj]])-(Games[[#This Row],[PreGmRate]]+IF(Games[[#This Row],[HomeAway]]="H",HCA,0)+Games[[#This Row],[RestAdj]]))/400))</f>
        <v>0.8160177677092092</v>
      </c>
      <c r="R130" s="1">
        <v>87</v>
      </c>
      <c r="S130" s="1">
        <v>70</v>
      </c>
      <c r="T130" s="1">
        <v>0</v>
      </c>
      <c r="U130" s="1">
        <f>Games[[#This Row],[PointsFor]]-Games[[#This Row],[PointsAgainst]]</f>
        <v>17</v>
      </c>
      <c r="V130" s="1">
        <f>IF(Games[[#This Row],[MOV]]&gt;0,1,IF(Games[[#This Row],[MOV]]=0,0.5,0))</f>
        <v>1</v>
      </c>
      <c r="W130" s="4">
        <f>((ABS(Games[[#This Row],[MOV]])+5)^0.6)/(12+0.01*(ABS(Games[[#This Row],[PreGmRate]]-Games[[#This Row],[OppPreGmRate]])))*IF(Games[[#This Row],[OT]]=1,0.9,1)</f>
        <v>0.4098941414972665</v>
      </c>
      <c r="X130" s="7" cm="1">
        <f t="array" ref="X1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0" s="9">
        <f>MAX(kmin, kmax - 0.15 * MIN(Games[[#This Row],[GamesPlayed]], 82))</f>
        <v>74.05</v>
      </c>
      <c r="Z130" s="4">
        <f>Games[[#This Row],[K]]*Games[[#This Row],[POMult]]</f>
        <v>74.05</v>
      </c>
      <c r="AA130" s="4">
        <f>(Games[[#This Row],[Keff]]*Games[[#This Row],[MOVMult]])*(Games[[#This Row],[Result]]-Games[[#This Row],[ExpectedWin%]])</f>
        <v>5.5843503594710215</v>
      </c>
      <c r="AB130" s="4">
        <f>Games[[#This Row],[PreGmRate]]+Games[[#This Row],[RatingChange]]</f>
        <v>1694.9576752530354</v>
      </c>
      <c r="AC130" s="2">
        <f>IF(Games[[#This Row],[Type]]="R",IF(Games[[#This Row],[Result]]&gt;0.5,1,0),0)</f>
        <v>1</v>
      </c>
      <c r="AD130" s="2">
        <f>IF(Games[[#This Row],[Type]]="R",IF(Games[[#This Row],[Result]]&lt;0.5,1,0),0)</f>
        <v>0</v>
      </c>
      <c r="AE130" s="2">
        <f>IF(AND(Games[[#This Row],[Type]]="P",Games[[#This Row],[Round]]=1),IF(Games[[#This Row],[Result]]&gt;0.5,1,0),0)</f>
        <v>0</v>
      </c>
      <c r="AF130" s="2">
        <f>IF(AND(Games[[#This Row],[Type]]="P",Games[[#This Row],[Round]]=1),IF(Games[[#This Row],[Result]]&lt;0.5,1,0),0)</f>
        <v>0</v>
      </c>
      <c r="AG130" s="2">
        <f>IF(AND(Games[[#This Row],[Type]]="P",Games[[#This Row],[Round]]=2),IF(Games[[#This Row],[Result]]&gt;0.5,1,0),0)</f>
        <v>0</v>
      </c>
      <c r="AH130" s="2">
        <f>IF(AND(Games[[#This Row],[Type]]="P",Games[[#This Row],[Round]]=2),IF(Games[[#This Row],[Result]]&lt;0.5,1,0),0)</f>
        <v>0</v>
      </c>
      <c r="AI130" s="2">
        <f>IF(AND(Games[[#This Row],[Type]]="P",Games[[#This Row],[Round]]=3),IF(Games[[#This Row],[Result]]&gt;0.5,1,0),0)</f>
        <v>0</v>
      </c>
      <c r="AJ130" s="2">
        <f>IF(AND(Games[[#This Row],[Type]]="P",Games[[#This Row],[Round]]=3),IF(Games[[#This Row],[Result]]&lt;0.5,1,0),0)</f>
        <v>0</v>
      </c>
      <c r="AK130" s="2">
        <f>IF(AND(Games[[#This Row],[Type]]="P",Games[[#This Row],[Round]]=4),IF(Games[[#This Row],[Result]]&gt;0.5,1,0),0)</f>
        <v>0</v>
      </c>
      <c r="AL130" s="2">
        <f>IF(AND(Games[[#This Row],[Type]]="P",Games[[#This Row],[Round]]=4),IF(Games[[#This Row],[Result]]&lt;0.5,1,0),0)</f>
        <v>0</v>
      </c>
    </row>
    <row r="131" spans="1:38" x14ac:dyDescent="0.35">
      <c r="A131" s="10">
        <v>44362</v>
      </c>
      <c r="B131" s="2">
        <v>2021</v>
      </c>
      <c r="C131" s="2">
        <f>COUNTIFS(Games[Team],Games[[#This Row],[Team]],Games[Season],Games[[#This Row],[Season]],Games[Date],"&lt;=" &amp; Games[[#This Row],[Date]])</f>
        <v>13</v>
      </c>
      <c r="D131" s="2" t="s">
        <v>79</v>
      </c>
      <c r="E131" s="2" t="s">
        <v>80</v>
      </c>
      <c r="F131" s="1" t="s">
        <v>69</v>
      </c>
      <c r="G131" s="1" t="s">
        <v>71</v>
      </c>
      <c r="H131" s="1" t="s">
        <v>82</v>
      </c>
      <c r="I131" s="2" cm="1">
        <f t="array" ref="I13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1" s="2" cm="1">
        <f t="array" ref="J1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1" s="2">
        <f>Games[[#This Row],[DaysOff]]-Games[[#This Row],[OppDaysOff]]</f>
        <v>1</v>
      </c>
      <c r="L131" s="2">
        <f>Games[[#This Row],[OppDaysOff]]-Games[[#This Row],[DaysOff]]</f>
        <v>-1</v>
      </c>
      <c r="M131" s="1">
        <f>MAX(-16, MIN(16, Games[[#This Row],[RestDiff]]*8))</f>
        <v>8</v>
      </c>
      <c r="N131" s="1">
        <f>MAX(-16, MIN(16, Games[[#This Row],[OppRestDiff]]*8))</f>
        <v>-8</v>
      </c>
      <c r="O131" s="4" cm="1">
        <f t="array" ref="O1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1330.6038324472868</v>
      </c>
      <c r="P131" s="4" cm="1">
        <f t="array" ref="P1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1689.3733248935644</v>
      </c>
      <c r="Q131" s="4">
        <f>1/(1+10^(((Games[[#This Row],[OppPreGmRate]]+IF(Games[[#This Row],[HomeAway]]="A",HCA,0)+Games[[#This Row],[OppRestAdj]])-(Games[[#This Row],[PreGmRate]]+IF(Games[[#This Row],[HomeAway]]="H",HCA,0)+Games[[#This Row],[RestAdj]]))/400))</f>
        <v>0.18398223229079083</v>
      </c>
      <c r="R131" s="1">
        <v>70</v>
      </c>
      <c r="S131" s="1">
        <v>87</v>
      </c>
      <c r="T131" s="1">
        <v>0</v>
      </c>
      <c r="U131" s="1">
        <f>Games[[#This Row],[PointsFor]]-Games[[#This Row],[PointsAgainst]]</f>
        <v>-17</v>
      </c>
      <c r="V131" s="1">
        <f>IF(Games[[#This Row],[MOV]]&gt;0,1,IF(Games[[#This Row],[MOV]]=0,0.5,0))</f>
        <v>0</v>
      </c>
      <c r="W131" s="4">
        <f>((ABS(Games[[#This Row],[MOV]])+5)^0.6)/(12+0.01*(ABS(Games[[#This Row],[PreGmRate]]-Games[[#This Row],[OppPreGmRate]])))*IF(Games[[#This Row],[OT]]=1,0.9,1)</f>
        <v>0.4098941414972665</v>
      </c>
      <c r="X131" s="7" cm="1">
        <f t="array" ref="X1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1" s="9">
        <f>MAX(kmin, kmax - 0.15 * MIN(Games[[#This Row],[GamesPlayed]], 82))</f>
        <v>74.05</v>
      </c>
      <c r="Z131" s="4">
        <f>Games[[#This Row],[K]]*Games[[#This Row],[POMult]]</f>
        <v>74.05</v>
      </c>
      <c r="AA131" s="4">
        <f>(Games[[#This Row],[Keff]]*Games[[#This Row],[MOVMult]])*(Games[[#This Row],[Result]]-Games[[#This Row],[ExpectedWin%]])</f>
        <v>-5.5843503594710224</v>
      </c>
      <c r="AB131" s="4">
        <f>Games[[#This Row],[PreGmRate]]+Games[[#This Row],[RatingChange]]</f>
        <v>1325.0194820878157</v>
      </c>
      <c r="AC131" s="2">
        <f>IF(Games[[#This Row],[Type]]="R",IF(Games[[#This Row],[Result]]&gt;0.5,1,0),0)</f>
        <v>0</v>
      </c>
      <c r="AD131" s="2">
        <f>IF(Games[[#This Row],[Type]]="R",IF(Games[[#This Row],[Result]]&lt;0.5,1,0),0)</f>
        <v>1</v>
      </c>
      <c r="AE131" s="2">
        <f>IF(AND(Games[[#This Row],[Type]]="P",Games[[#This Row],[Round]]=1),IF(Games[[#This Row],[Result]]&gt;0.5,1,0),0)</f>
        <v>0</v>
      </c>
      <c r="AF131" s="2">
        <f>IF(AND(Games[[#This Row],[Type]]="P",Games[[#This Row],[Round]]=1),IF(Games[[#This Row],[Result]]&lt;0.5,1,0),0)</f>
        <v>0</v>
      </c>
      <c r="AG131" s="2">
        <f>IF(AND(Games[[#This Row],[Type]]="P",Games[[#This Row],[Round]]=2),IF(Games[[#This Row],[Result]]&gt;0.5,1,0),0)</f>
        <v>0</v>
      </c>
      <c r="AH131" s="2">
        <f>IF(AND(Games[[#This Row],[Type]]="P",Games[[#This Row],[Round]]=2),IF(Games[[#This Row],[Result]]&lt;0.5,1,0),0)</f>
        <v>0</v>
      </c>
      <c r="AI131" s="2">
        <f>IF(AND(Games[[#This Row],[Type]]="P",Games[[#This Row],[Round]]=3),IF(Games[[#This Row],[Result]]&gt;0.5,1,0),0)</f>
        <v>0</v>
      </c>
      <c r="AJ131" s="2">
        <f>IF(AND(Games[[#This Row],[Type]]="P",Games[[#This Row],[Round]]=3),IF(Games[[#This Row],[Result]]&lt;0.5,1,0),0)</f>
        <v>0</v>
      </c>
      <c r="AK131" s="2">
        <f>IF(AND(Games[[#This Row],[Type]]="P",Games[[#This Row],[Round]]=4),IF(Games[[#This Row],[Result]]&gt;0.5,1,0),0)</f>
        <v>0</v>
      </c>
      <c r="AL131" s="2">
        <f>IF(AND(Games[[#This Row],[Type]]="P",Games[[#This Row],[Round]]=4),IF(Games[[#This Row],[Result]]&lt;0.5,1,0),0)</f>
        <v>0</v>
      </c>
    </row>
    <row r="132" spans="1:38" x14ac:dyDescent="0.35">
      <c r="A132" s="10">
        <v>44362</v>
      </c>
      <c r="B132" s="2">
        <v>2021</v>
      </c>
      <c r="C132" s="2">
        <f>COUNTIFS(Games[Team],Games[[#This Row],[Team]],Games[Season],Games[[#This Row],[Season]],Games[Date],"&lt;=" &amp; Games[[#This Row],[Date]])</f>
        <v>11</v>
      </c>
      <c r="D132" s="2" t="s">
        <v>79</v>
      </c>
      <c r="E132" s="2" t="s">
        <v>80</v>
      </c>
      <c r="F132" s="1" t="s">
        <v>60</v>
      </c>
      <c r="G132" s="1" t="s">
        <v>85</v>
      </c>
      <c r="H132" s="1" t="s">
        <v>81</v>
      </c>
      <c r="I132" s="2" cm="1">
        <f t="array" ref="I1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2" s="2" cm="1">
        <f t="array" ref="J13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2" s="2">
        <f>Games[[#This Row],[DaysOff]]-Games[[#This Row],[OppDaysOff]]</f>
        <v>0</v>
      </c>
      <c r="L132" s="2">
        <f>Games[[#This Row],[OppDaysOff]]-Games[[#This Row],[DaysOff]]</f>
        <v>0</v>
      </c>
      <c r="M132" s="1">
        <f>MAX(-16, MIN(16, Games[[#This Row],[RestDiff]]*8))</f>
        <v>0</v>
      </c>
      <c r="N132" s="1">
        <f>MAX(-16, MIN(16, Games[[#This Row],[OppRestDiff]]*8))</f>
        <v>0</v>
      </c>
      <c r="O132" s="4" cm="1">
        <f t="array" ref="O1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1425.0260930273234</v>
      </c>
      <c r="P132" s="4" cm="1">
        <f t="array" ref="P1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1616.1038849102094</v>
      </c>
      <c r="Q132" s="4">
        <f>1/(1+10^(((Games[[#This Row],[OppPreGmRate]]+IF(Games[[#This Row],[HomeAway]]="A",HCA,0)+Games[[#This Row],[OppRestAdj]])-(Games[[#This Row],[PreGmRate]]+IF(Games[[#This Row],[HomeAway]]="H",HCA,0)+Games[[#This Row],[RestAdj]]))/400))</f>
        <v>0.17030389201470375</v>
      </c>
      <c r="R132" s="1">
        <v>78</v>
      </c>
      <c r="S132" s="1">
        <v>100</v>
      </c>
      <c r="T132" s="1">
        <v>0</v>
      </c>
      <c r="U132" s="1">
        <f>Games[[#This Row],[PointsFor]]-Games[[#This Row],[PointsAgainst]]</f>
        <v>-22</v>
      </c>
      <c r="V132" s="1">
        <f>IF(Games[[#This Row],[MOV]]&gt;0,1,IF(Games[[#This Row],[MOV]]=0,0.5,0))</f>
        <v>0</v>
      </c>
      <c r="W132" s="4">
        <f>((ABS(Games[[#This Row],[MOV]])+5)^0.6)/(12+0.01*(ABS(Games[[#This Row],[PreGmRate]]-Games[[#This Row],[OppPreGmRate]])))*IF(Games[[#This Row],[OT]]=1,0.9,1)</f>
        <v>0.51935801850902652</v>
      </c>
      <c r="X132" s="7" cm="1">
        <f t="array" ref="X1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2" s="9">
        <f>MAX(kmin, kmax - 0.15 * MIN(Games[[#This Row],[GamesPlayed]], 82))</f>
        <v>74.349999999999994</v>
      </c>
      <c r="Z132" s="4">
        <f>Games[[#This Row],[K]]*Games[[#This Row],[POMult]]</f>
        <v>74.349999999999994</v>
      </c>
      <c r="AA132" s="4">
        <f>(Games[[#This Row],[Keff]]*Games[[#This Row],[MOVMult]])*(Games[[#This Row],[Result]]-Games[[#This Row],[ExpectedWin%]])</f>
        <v>-6.5761602428491459</v>
      </c>
      <c r="AB132" s="4">
        <f>Games[[#This Row],[PreGmRate]]+Games[[#This Row],[RatingChange]]</f>
        <v>1418.4499327844742</v>
      </c>
      <c r="AC132" s="2">
        <f>IF(Games[[#This Row],[Type]]="R",IF(Games[[#This Row],[Result]]&gt;0.5,1,0),0)</f>
        <v>0</v>
      </c>
      <c r="AD132" s="2">
        <f>IF(Games[[#This Row],[Type]]="R",IF(Games[[#This Row],[Result]]&lt;0.5,1,0),0)</f>
        <v>1</v>
      </c>
      <c r="AE132" s="2">
        <f>IF(AND(Games[[#This Row],[Type]]="P",Games[[#This Row],[Round]]=1),IF(Games[[#This Row],[Result]]&gt;0.5,1,0),0)</f>
        <v>0</v>
      </c>
      <c r="AF132" s="2">
        <f>IF(AND(Games[[#This Row],[Type]]="P",Games[[#This Row],[Round]]=1),IF(Games[[#This Row],[Result]]&lt;0.5,1,0),0)</f>
        <v>0</v>
      </c>
      <c r="AG132" s="2">
        <f>IF(AND(Games[[#This Row],[Type]]="P",Games[[#This Row],[Round]]=2),IF(Games[[#This Row],[Result]]&gt;0.5,1,0),0)</f>
        <v>0</v>
      </c>
      <c r="AH132" s="2">
        <f>IF(AND(Games[[#This Row],[Type]]="P",Games[[#This Row],[Round]]=2),IF(Games[[#This Row],[Result]]&lt;0.5,1,0),0)</f>
        <v>0</v>
      </c>
      <c r="AI132" s="2">
        <f>IF(AND(Games[[#This Row],[Type]]="P",Games[[#This Row],[Round]]=3),IF(Games[[#This Row],[Result]]&gt;0.5,1,0),0)</f>
        <v>0</v>
      </c>
      <c r="AJ132" s="2">
        <f>IF(AND(Games[[#This Row],[Type]]="P",Games[[#This Row],[Round]]=3),IF(Games[[#This Row],[Result]]&lt;0.5,1,0),0)</f>
        <v>0</v>
      </c>
      <c r="AK132" s="2">
        <f>IF(AND(Games[[#This Row],[Type]]="P",Games[[#This Row],[Round]]=4),IF(Games[[#This Row],[Result]]&gt;0.5,1,0),0)</f>
        <v>0</v>
      </c>
      <c r="AL132" s="2">
        <f>IF(AND(Games[[#This Row],[Type]]="P",Games[[#This Row],[Round]]=4),IF(Games[[#This Row],[Result]]&lt;0.5,1,0),0)</f>
        <v>0</v>
      </c>
    </row>
    <row r="133" spans="1:38" x14ac:dyDescent="0.35">
      <c r="A133" s="10">
        <v>44362</v>
      </c>
      <c r="B133" s="2">
        <v>2021</v>
      </c>
      <c r="C133" s="2">
        <f>COUNTIFS(Games[Team],Games[[#This Row],[Team]],Games[Season],Games[[#This Row],[Season]],Games[Date],"&lt;=" &amp; Games[[#This Row],[Date]])</f>
        <v>12</v>
      </c>
      <c r="D133" s="2" t="s">
        <v>79</v>
      </c>
      <c r="E133" s="2" t="s">
        <v>80</v>
      </c>
      <c r="F133" s="1" t="s">
        <v>85</v>
      </c>
      <c r="G133" s="1" t="s">
        <v>60</v>
      </c>
      <c r="H133" s="1" t="s">
        <v>82</v>
      </c>
      <c r="I133" s="2" cm="1">
        <f t="array" ref="I13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3" s="2" cm="1">
        <f t="array" ref="J1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3" s="2">
        <f>Games[[#This Row],[DaysOff]]-Games[[#This Row],[OppDaysOff]]</f>
        <v>0</v>
      </c>
      <c r="L133" s="2">
        <f>Games[[#This Row],[OppDaysOff]]-Games[[#This Row],[DaysOff]]</f>
        <v>0</v>
      </c>
      <c r="M133" s="1">
        <f>MAX(-16, MIN(16, Games[[#This Row],[RestDiff]]*8))</f>
        <v>0</v>
      </c>
      <c r="N133" s="1">
        <f>MAX(-16, MIN(16, Games[[#This Row],[OppRestDiff]]*8))</f>
        <v>0</v>
      </c>
      <c r="O133" s="4" cm="1">
        <f t="array" ref="O1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1616.1038849102094</v>
      </c>
      <c r="P133" s="4" cm="1">
        <f t="array" ref="P1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1425.0260930273234</v>
      </c>
      <c r="Q133" s="4">
        <f>1/(1+10^(((Games[[#This Row],[OppPreGmRate]]+IF(Games[[#This Row],[HomeAway]]="A",HCA,0)+Games[[#This Row],[OppRestAdj]])-(Games[[#This Row],[PreGmRate]]+IF(Games[[#This Row],[HomeAway]]="H",HCA,0)+Games[[#This Row],[RestAdj]]))/400))</f>
        <v>0.82969610798529625</v>
      </c>
      <c r="R133" s="1">
        <v>100</v>
      </c>
      <c r="S133" s="1">
        <v>78</v>
      </c>
      <c r="T133" s="1">
        <v>0</v>
      </c>
      <c r="U133" s="1">
        <f>Games[[#This Row],[PointsFor]]-Games[[#This Row],[PointsAgainst]]</f>
        <v>22</v>
      </c>
      <c r="V133" s="1">
        <f>IF(Games[[#This Row],[MOV]]&gt;0,1,IF(Games[[#This Row],[MOV]]=0,0.5,0))</f>
        <v>1</v>
      </c>
      <c r="W133" s="4">
        <f>((ABS(Games[[#This Row],[MOV]])+5)^0.6)/(12+0.01*(ABS(Games[[#This Row],[PreGmRate]]-Games[[#This Row],[OppPreGmRate]])))*IF(Games[[#This Row],[OT]]=1,0.9,1)</f>
        <v>0.51935801850902652</v>
      </c>
      <c r="X133" s="7" cm="1">
        <f t="array" ref="X1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3" s="9">
        <f>MAX(kmin, kmax - 0.15 * MIN(Games[[#This Row],[GamesPlayed]], 82))</f>
        <v>74.2</v>
      </c>
      <c r="Z133" s="4">
        <f>Games[[#This Row],[K]]*Games[[#This Row],[POMult]]</f>
        <v>74.2</v>
      </c>
      <c r="AA133" s="4">
        <f>(Games[[#This Row],[Keff]]*Games[[#This Row],[MOVMult]])*(Games[[#This Row],[Result]]-Games[[#This Row],[ExpectedWin%]])</f>
        <v>6.5628929390639774</v>
      </c>
      <c r="AB133" s="4">
        <f>Games[[#This Row],[PreGmRate]]+Games[[#This Row],[RatingChange]]</f>
        <v>1622.6667778492733</v>
      </c>
      <c r="AC133" s="2">
        <f>IF(Games[[#This Row],[Type]]="R",IF(Games[[#This Row],[Result]]&gt;0.5,1,0),0)</f>
        <v>1</v>
      </c>
      <c r="AD133" s="2">
        <f>IF(Games[[#This Row],[Type]]="R",IF(Games[[#This Row],[Result]]&lt;0.5,1,0),0)</f>
        <v>0</v>
      </c>
      <c r="AE133" s="2">
        <f>IF(AND(Games[[#This Row],[Type]]="P",Games[[#This Row],[Round]]=1),IF(Games[[#This Row],[Result]]&gt;0.5,1,0),0)</f>
        <v>0</v>
      </c>
      <c r="AF133" s="2">
        <f>IF(AND(Games[[#This Row],[Type]]="P",Games[[#This Row],[Round]]=1),IF(Games[[#This Row],[Result]]&lt;0.5,1,0),0)</f>
        <v>0</v>
      </c>
      <c r="AG133" s="2">
        <f>IF(AND(Games[[#This Row],[Type]]="P",Games[[#This Row],[Round]]=2),IF(Games[[#This Row],[Result]]&gt;0.5,1,0),0)</f>
        <v>0</v>
      </c>
      <c r="AH133" s="2">
        <f>IF(AND(Games[[#This Row],[Type]]="P",Games[[#This Row],[Round]]=2),IF(Games[[#This Row],[Result]]&lt;0.5,1,0),0)</f>
        <v>0</v>
      </c>
      <c r="AI133" s="2">
        <f>IF(AND(Games[[#This Row],[Type]]="P",Games[[#This Row],[Round]]=3),IF(Games[[#This Row],[Result]]&gt;0.5,1,0),0)</f>
        <v>0</v>
      </c>
      <c r="AJ133" s="2">
        <f>IF(AND(Games[[#This Row],[Type]]="P",Games[[#This Row],[Round]]=3),IF(Games[[#This Row],[Result]]&lt;0.5,1,0),0)</f>
        <v>0</v>
      </c>
      <c r="AK133" s="2">
        <f>IF(AND(Games[[#This Row],[Type]]="P",Games[[#This Row],[Round]]=4),IF(Games[[#This Row],[Result]]&gt;0.5,1,0),0)</f>
        <v>0</v>
      </c>
      <c r="AL133" s="2">
        <f>IF(AND(Games[[#This Row],[Type]]="P",Games[[#This Row],[Round]]=4),IF(Games[[#This Row],[Result]]&lt;0.5,1,0),0)</f>
        <v>0</v>
      </c>
    </row>
    <row r="134" spans="1:38" x14ac:dyDescent="0.35">
      <c r="A134" s="10">
        <v>44362</v>
      </c>
      <c r="B134" s="2">
        <v>2021</v>
      </c>
      <c r="C134" s="2">
        <f>COUNTIFS(Games[Team],Games[[#This Row],[Team]],Games[Season],Games[[#This Row],[Season]],Games[Date],"&lt;=" &amp; Games[[#This Row],[Date]])</f>
        <v>12</v>
      </c>
      <c r="D134" s="2" t="s">
        <v>79</v>
      </c>
      <c r="E134" s="2" t="s">
        <v>80</v>
      </c>
      <c r="F134" s="1" t="s">
        <v>75</v>
      </c>
      <c r="G134" s="1" t="s">
        <v>67</v>
      </c>
      <c r="H134" s="1" t="s">
        <v>81</v>
      </c>
      <c r="I134" s="2" cm="1">
        <f t="array" ref="I1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4" s="2" cm="1">
        <f t="array" ref="J1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4" s="2">
        <f>Games[[#This Row],[DaysOff]]-Games[[#This Row],[OppDaysOff]]</f>
        <v>0</v>
      </c>
      <c r="L134" s="2">
        <f>Games[[#This Row],[OppDaysOff]]-Games[[#This Row],[DaysOff]]</f>
        <v>0</v>
      </c>
      <c r="M134" s="1">
        <f>MAX(-16, MIN(16, Games[[#This Row],[RestDiff]]*8))</f>
        <v>0</v>
      </c>
      <c r="N134" s="1">
        <f>MAX(-16, MIN(16, Games[[#This Row],[OppRestDiff]]*8))</f>
        <v>0</v>
      </c>
      <c r="O134" s="4" cm="1">
        <f t="array" ref="O1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1464.3409682341924</v>
      </c>
      <c r="P134" s="4" cm="1">
        <f t="array" ref="P1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1506.3981992929457</v>
      </c>
      <c r="Q134" s="4">
        <f>1/(1+10^(((Games[[#This Row],[OppPreGmRate]]+IF(Games[[#This Row],[HomeAway]]="A",HCA,0)+Games[[#This Row],[OppRestAdj]])-(Games[[#This Row],[PreGmRate]]+IF(Games[[#This Row],[HomeAway]]="H",HCA,0)+Games[[#This Row],[RestAdj]]))/400))</f>
        <v>0.3261514028819264</v>
      </c>
      <c r="R134" s="1">
        <v>105</v>
      </c>
      <c r="S134" s="1">
        <v>89</v>
      </c>
      <c r="T134" s="1">
        <v>0</v>
      </c>
      <c r="U134" s="1">
        <f>Games[[#This Row],[PointsFor]]-Games[[#This Row],[PointsAgainst]]</f>
        <v>16</v>
      </c>
      <c r="V134" s="1">
        <f>IF(Games[[#This Row],[MOV]]&gt;0,1,IF(Games[[#This Row],[MOV]]=0,0.5,0))</f>
        <v>1</v>
      </c>
      <c r="W134" s="4">
        <f>((ABS(Games[[#This Row],[MOV]])+5)^0.6)/(12+0.01*(ABS(Games[[#This Row],[PreGmRate]]-Games[[#This Row],[OppPreGmRate]])))*IF(Games[[#This Row],[OT]]=1,0.9,1)</f>
        <v>0.5002533081397782</v>
      </c>
      <c r="X134" s="7" cm="1">
        <f t="array" ref="X1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4" s="9">
        <f>MAX(kmin, kmax - 0.15 * MIN(Games[[#This Row],[GamesPlayed]], 82))</f>
        <v>74.2</v>
      </c>
      <c r="Z134" s="4">
        <f>Games[[#This Row],[K]]*Games[[#This Row],[POMult]]</f>
        <v>74.2</v>
      </c>
      <c r="AA134" s="4">
        <f>(Games[[#This Row],[Keff]]*Games[[#This Row],[MOVMult]])*(Games[[#This Row],[Result]]-Games[[#This Row],[ExpectedWin%]])</f>
        <v>25.012448250109941</v>
      </c>
      <c r="AB134" s="4">
        <f>Games[[#This Row],[PreGmRate]]+Games[[#This Row],[RatingChange]]</f>
        <v>1489.3534164843022</v>
      </c>
      <c r="AC134" s="2">
        <f>IF(Games[[#This Row],[Type]]="R",IF(Games[[#This Row],[Result]]&gt;0.5,1,0),0)</f>
        <v>1</v>
      </c>
      <c r="AD134" s="2">
        <f>IF(Games[[#This Row],[Type]]="R",IF(Games[[#This Row],[Result]]&lt;0.5,1,0),0)</f>
        <v>0</v>
      </c>
      <c r="AE134" s="2">
        <f>IF(AND(Games[[#This Row],[Type]]="P",Games[[#This Row],[Round]]=1),IF(Games[[#This Row],[Result]]&gt;0.5,1,0),0)</f>
        <v>0</v>
      </c>
      <c r="AF134" s="2">
        <f>IF(AND(Games[[#This Row],[Type]]="P",Games[[#This Row],[Round]]=1),IF(Games[[#This Row],[Result]]&lt;0.5,1,0),0)</f>
        <v>0</v>
      </c>
      <c r="AG134" s="2">
        <f>IF(AND(Games[[#This Row],[Type]]="P",Games[[#This Row],[Round]]=2),IF(Games[[#This Row],[Result]]&gt;0.5,1,0),0)</f>
        <v>0</v>
      </c>
      <c r="AH134" s="2">
        <f>IF(AND(Games[[#This Row],[Type]]="P",Games[[#This Row],[Round]]=2),IF(Games[[#This Row],[Result]]&lt;0.5,1,0),0)</f>
        <v>0</v>
      </c>
      <c r="AI134" s="2">
        <f>IF(AND(Games[[#This Row],[Type]]="P",Games[[#This Row],[Round]]=3),IF(Games[[#This Row],[Result]]&gt;0.5,1,0),0)</f>
        <v>0</v>
      </c>
      <c r="AJ134" s="2">
        <f>IF(AND(Games[[#This Row],[Type]]="P",Games[[#This Row],[Round]]=3),IF(Games[[#This Row],[Result]]&lt;0.5,1,0),0)</f>
        <v>0</v>
      </c>
      <c r="AK134" s="2">
        <f>IF(AND(Games[[#This Row],[Type]]="P",Games[[#This Row],[Round]]=4),IF(Games[[#This Row],[Result]]&gt;0.5,1,0),0)</f>
        <v>0</v>
      </c>
      <c r="AL134" s="2">
        <f>IF(AND(Games[[#This Row],[Type]]="P",Games[[#This Row],[Round]]=4),IF(Games[[#This Row],[Result]]&lt;0.5,1,0),0)</f>
        <v>0</v>
      </c>
    </row>
    <row r="135" spans="1:38" x14ac:dyDescent="0.35">
      <c r="A135" s="10">
        <v>44362</v>
      </c>
      <c r="B135" s="2">
        <v>2021</v>
      </c>
      <c r="C135" s="2">
        <f>COUNTIFS(Games[Team],Games[[#This Row],[Team]],Games[Season],Games[[#This Row],[Season]],Games[Date],"&lt;=" &amp; Games[[#This Row],[Date]])</f>
        <v>10</v>
      </c>
      <c r="D135" s="2" t="s">
        <v>79</v>
      </c>
      <c r="E135" s="2" t="s">
        <v>80</v>
      </c>
      <c r="F135" s="1" t="s">
        <v>67</v>
      </c>
      <c r="G135" s="1" t="s">
        <v>75</v>
      </c>
      <c r="H135" s="1" t="s">
        <v>82</v>
      </c>
      <c r="I135" s="2" cm="1">
        <f t="array" ref="I1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5" s="2" cm="1">
        <f t="array" ref="J1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5" s="2">
        <f>Games[[#This Row],[DaysOff]]-Games[[#This Row],[OppDaysOff]]</f>
        <v>0</v>
      </c>
      <c r="L135" s="2">
        <f>Games[[#This Row],[OppDaysOff]]-Games[[#This Row],[DaysOff]]</f>
        <v>0</v>
      </c>
      <c r="M135" s="1">
        <f>MAX(-16, MIN(16, Games[[#This Row],[RestDiff]]*8))</f>
        <v>0</v>
      </c>
      <c r="N135" s="1">
        <f>MAX(-16, MIN(16, Games[[#This Row],[OppRestDiff]]*8))</f>
        <v>0</v>
      </c>
      <c r="O135" s="4" cm="1">
        <f t="array" ref="O1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1506.3981992929457</v>
      </c>
      <c r="P135" s="4" cm="1">
        <f t="array" ref="P1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1464.3409682341924</v>
      </c>
      <c r="Q135" s="4">
        <f>1/(1+10^(((Games[[#This Row],[OppPreGmRate]]+IF(Games[[#This Row],[HomeAway]]="A",HCA,0)+Games[[#This Row],[OppRestAdj]])-(Games[[#This Row],[PreGmRate]]+IF(Games[[#This Row],[HomeAway]]="H",HCA,0)+Games[[#This Row],[RestAdj]]))/400))</f>
        <v>0.67384859711807354</v>
      </c>
      <c r="R135" s="1">
        <v>89</v>
      </c>
      <c r="S135" s="1">
        <v>105</v>
      </c>
      <c r="T135" s="1">
        <v>0</v>
      </c>
      <c r="U135" s="1">
        <f>Games[[#This Row],[PointsFor]]-Games[[#This Row],[PointsAgainst]]</f>
        <v>-16</v>
      </c>
      <c r="V135" s="1">
        <f>IF(Games[[#This Row],[MOV]]&gt;0,1,IF(Games[[#This Row],[MOV]]=0,0.5,0))</f>
        <v>0</v>
      </c>
      <c r="W135" s="4">
        <f>((ABS(Games[[#This Row],[MOV]])+5)^0.6)/(12+0.01*(ABS(Games[[#This Row],[PreGmRate]]-Games[[#This Row],[OppPreGmRate]])))*IF(Games[[#This Row],[OT]]=1,0.9,1)</f>
        <v>0.5002533081397782</v>
      </c>
      <c r="X135" s="7" cm="1">
        <f t="array" ref="X1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5" s="9">
        <f>MAX(kmin, kmax - 0.15 * MIN(Games[[#This Row],[GamesPlayed]], 82))</f>
        <v>74.5</v>
      </c>
      <c r="Z135" s="4">
        <f>Games[[#This Row],[K]]*Games[[#This Row],[POMult]]</f>
        <v>74.5</v>
      </c>
      <c r="AA135" s="4">
        <f>(Games[[#This Row],[Keff]]*Games[[#This Row],[MOVMult]])*(Games[[#This Row],[Result]]-Games[[#This Row],[ExpectedWin%]])</f>
        <v>-25.113576747078035</v>
      </c>
      <c r="AB135" s="4">
        <f>Games[[#This Row],[PreGmRate]]+Games[[#This Row],[RatingChange]]</f>
        <v>1481.2846225458677</v>
      </c>
      <c r="AC135" s="2">
        <f>IF(Games[[#This Row],[Type]]="R",IF(Games[[#This Row],[Result]]&gt;0.5,1,0),0)</f>
        <v>0</v>
      </c>
      <c r="AD135" s="2">
        <f>IF(Games[[#This Row],[Type]]="R",IF(Games[[#This Row],[Result]]&lt;0.5,1,0),0)</f>
        <v>1</v>
      </c>
      <c r="AE135" s="2">
        <f>IF(AND(Games[[#This Row],[Type]]="P",Games[[#This Row],[Round]]=1),IF(Games[[#This Row],[Result]]&gt;0.5,1,0),0)</f>
        <v>0</v>
      </c>
      <c r="AF135" s="2">
        <f>IF(AND(Games[[#This Row],[Type]]="P",Games[[#This Row],[Round]]=1),IF(Games[[#This Row],[Result]]&lt;0.5,1,0),0)</f>
        <v>0</v>
      </c>
      <c r="AG135" s="2">
        <f>IF(AND(Games[[#This Row],[Type]]="P",Games[[#This Row],[Round]]=2),IF(Games[[#This Row],[Result]]&gt;0.5,1,0),0)</f>
        <v>0</v>
      </c>
      <c r="AH135" s="2">
        <f>IF(AND(Games[[#This Row],[Type]]="P",Games[[#This Row],[Round]]=2),IF(Games[[#This Row],[Result]]&lt;0.5,1,0),0)</f>
        <v>0</v>
      </c>
      <c r="AI135" s="2">
        <f>IF(AND(Games[[#This Row],[Type]]="P",Games[[#This Row],[Round]]=3),IF(Games[[#This Row],[Result]]&gt;0.5,1,0),0)</f>
        <v>0</v>
      </c>
      <c r="AJ135" s="2">
        <f>IF(AND(Games[[#This Row],[Type]]="P",Games[[#This Row],[Round]]=3),IF(Games[[#This Row],[Result]]&lt;0.5,1,0),0)</f>
        <v>0</v>
      </c>
      <c r="AK135" s="2">
        <f>IF(AND(Games[[#This Row],[Type]]="P",Games[[#This Row],[Round]]=4),IF(Games[[#This Row],[Result]]&gt;0.5,1,0),0)</f>
        <v>0</v>
      </c>
      <c r="AL135" s="2">
        <f>IF(AND(Games[[#This Row],[Type]]="P",Games[[#This Row],[Round]]=4),IF(Games[[#This Row],[Result]]&lt;0.5,1,0),0)</f>
        <v>0</v>
      </c>
    </row>
    <row r="136" spans="1:38" x14ac:dyDescent="0.35">
      <c r="A136" s="10">
        <v>44363</v>
      </c>
      <c r="B136" s="2">
        <v>2021</v>
      </c>
      <c r="C136" s="2">
        <f>COUNTIFS(Games[Team],Games[[#This Row],[Team]],Games[Season],Games[[#This Row],[Season]],Games[Date],"&lt;=" &amp; Games[[#This Row],[Date]])</f>
        <v>12</v>
      </c>
      <c r="D136" s="2" t="s">
        <v>79</v>
      </c>
      <c r="E136" s="2" t="s">
        <v>80</v>
      </c>
      <c r="F136" s="1" t="s">
        <v>40</v>
      </c>
      <c r="G136" s="1" t="s">
        <v>63</v>
      </c>
      <c r="H136" s="1" t="s">
        <v>81</v>
      </c>
      <c r="I136" s="2" cm="1">
        <f t="array" ref="I13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36" s="2" cm="1">
        <f t="array" ref="J13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6" s="2">
        <f>Games[[#This Row],[DaysOff]]-Games[[#This Row],[OppDaysOff]]</f>
        <v>-1</v>
      </c>
      <c r="L136" s="2">
        <f>Games[[#This Row],[OppDaysOff]]-Games[[#This Row],[DaysOff]]</f>
        <v>1</v>
      </c>
      <c r="M136" s="1">
        <f>MAX(-16, MIN(16, Games[[#This Row],[RestDiff]]*8))</f>
        <v>-8</v>
      </c>
      <c r="N136" s="1">
        <f>MAX(-16, MIN(16, Games[[#This Row],[OppRestDiff]]*8))</f>
        <v>8</v>
      </c>
      <c r="O136" s="4" cm="1">
        <f t="array" ref="O1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1474.2071990793331</v>
      </c>
      <c r="P136" s="4" cm="1">
        <f t="array" ref="P1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1486.1210088274877</v>
      </c>
      <c r="Q136" s="4">
        <f>1/(1+10^(((Games[[#This Row],[OppPreGmRate]]+IF(Games[[#This Row],[HomeAway]]="A",HCA,0)+Games[[#This Row],[OppRestAdj]])-(Games[[#This Row],[PreGmRate]]+IF(Games[[#This Row],[HomeAway]]="H",HCA,0)+Games[[#This Row],[RestAdj]]))/400))</f>
        <v>0.34429149392670172</v>
      </c>
      <c r="R136" s="1">
        <v>80</v>
      </c>
      <c r="S136" s="1">
        <v>85</v>
      </c>
      <c r="T136" s="1">
        <v>0</v>
      </c>
      <c r="U136" s="1">
        <f>Games[[#This Row],[PointsFor]]-Games[[#This Row],[PointsAgainst]]</f>
        <v>-5</v>
      </c>
      <c r="V136" s="1">
        <f>IF(Games[[#This Row],[MOV]]&gt;0,1,IF(Games[[#This Row],[MOV]]=0,0.5,0))</f>
        <v>0</v>
      </c>
      <c r="W136" s="4">
        <f>((ABS(Games[[#This Row],[MOV]])+5)^0.6)/(12+0.01*(ABS(Games[[#This Row],[PreGmRate]]-Games[[#This Row],[OppPreGmRate]])))*IF(Games[[#This Row],[OT]]=1,0.9,1)</f>
        <v>0.32849462342229363</v>
      </c>
      <c r="X136" s="7" cm="1">
        <f t="array" ref="X1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6" s="9">
        <f>MAX(kmin, kmax - 0.15 * MIN(Games[[#This Row],[GamesPlayed]], 82))</f>
        <v>74.2</v>
      </c>
      <c r="Z136" s="4">
        <f>Games[[#This Row],[K]]*Games[[#This Row],[POMult]]</f>
        <v>74.2</v>
      </c>
      <c r="AA136" s="4">
        <f>(Games[[#This Row],[Keff]]*Games[[#This Row],[MOVMult]])*(Games[[#This Row],[Result]]-Games[[#This Row],[ExpectedWin%]])</f>
        <v>-8.3918645246553485</v>
      </c>
      <c r="AB136" s="4">
        <f>Games[[#This Row],[PreGmRate]]+Games[[#This Row],[RatingChange]]</f>
        <v>1465.8153345546777</v>
      </c>
      <c r="AC136" s="2">
        <f>IF(Games[[#This Row],[Type]]="R",IF(Games[[#This Row],[Result]]&gt;0.5,1,0),0)</f>
        <v>0</v>
      </c>
      <c r="AD136" s="2">
        <f>IF(Games[[#This Row],[Type]]="R",IF(Games[[#This Row],[Result]]&lt;0.5,1,0),0)</f>
        <v>1</v>
      </c>
      <c r="AE136" s="2">
        <f>IF(AND(Games[[#This Row],[Type]]="P",Games[[#This Row],[Round]]=1),IF(Games[[#This Row],[Result]]&gt;0.5,1,0),0)</f>
        <v>0</v>
      </c>
      <c r="AF136" s="2">
        <f>IF(AND(Games[[#This Row],[Type]]="P",Games[[#This Row],[Round]]=1),IF(Games[[#This Row],[Result]]&lt;0.5,1,0),0)</f>
        <v>0</v>
      </c>
      <c r="AG136" s="2">
        <f>IF(AND(Games[[#This Row],[Type]]="P",Games[[#This Row],[Round]]=2),IF(Games[[#This Row],[Result]]&gt;0.5,1,0),0)</f>
        <v>0</v>
      </c>
      <c r="AH136" s="2">
        <f>IF(AND(Games[[#This Row],[Type]]="P",Games[[#This Row],[Round]]=2),IF(Games[[#This Row],[Result]]&lt;0.5,1,0),0)</f>
        <v>0</v>
      </c>
      <c r="AI136" s="2">
        <f>IF(AND(Games[[#This Row],[Type]]="P",Games[[#This Row],[Round]]=3),IF(Games[[#This Row],[Result]]&gt;0.5,1,0),0)</f>
        <v>0</v>
      </c>
      <c r="AJ136" s="2">
        <f>IF(AND(Games[[#This Row],[Type]]="P",Games[[#This Row],[Round]]=3),IF(Games[[#This Row],[Result]]&lt;0.5,1,0),0)</f>
        <v>0</v>
      </c>
      <c r="AK136" s="2">
        <f>IF(AND(Games[[#This Row],[Type]]="P",Games[[#This Row],[Round]]=4),IF(Games[[#This Row],[Result]]&gt;0.5,1,0),0)</f>
        <v>0</v>
      </c>
      <c r="AL136" s="2">
        <f>IF(AND(Games[[#This Row],[Type]]="P",Games[[#This Row],[Round]]=4),IF(Games[[#This Row],[Result]]&lt;0.5,1,0),0)</f>
        <v>0</v>
      </c>
    </row>
    <row r="137" spans="1:38" x14ac:dyDescent="0.35">
      <c r="A137" s="10">
        <v>44363</v>
      </c>
      <c r="B137" s="2">
        <v>2021</v>
      </c>
      <c r="C137" s="2">
        <f>COUNTIFS(Games[Team],Games[[#This Row],[Team]],Games[Season],Games[[#This Row],[Season]],Games[Date],"&lt;=" &amp; Games[[#This Row],[Date]])</f>
        <v>10</v>
      </c>
      <c r="D137" s="2" t="s">
        <v>79</v>
      </c>
      <c r="E137" s="2" t="s">
        <v>80</v>
      </c>
      <c r="F137" s="1" t="s">
        <v>63</v>
      </c>
      <c r="G137" s="1" t="s">
        <v>40</v>
      </c>
      <c r="H137" s="1" t="s">
        <v>82</v>
      </c>
      <c r="I137" s="2" cm="1">
        <f t="array" ref="I13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7" s="2" cm="1">
        <f t="array" ref="J13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37" s="2">
        <f>Games[[#This Row],[DaysOff]]-Games[[#This Row],[OppDaysOff]]</f>
        <v>1</v>
      </c>
      <c r="L137" s="2">
        <f>Games[[#This Row],[OppDaysOff]]-Games[[#This Row],[DaysOff]]</f>
        <v>-1</v>
      </c>
      <c r="M137" s="1">
        <f>MAX(-16, MIN(16, Games[[#This Row],[RestDiff]]*8))</f>
        <v>8</v>
      </c>
      <c r="N137" s="1">
        <f>MAX(-16, MIN(16, Games[[#This Row],[OppRestDiff]]*8))</f>
        <v>-8</v>
      </c>
      <c r="O137" s="4" cm="1">
        <f t="array" ref="O1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1486.1210088274877</v>
      </c>
      <c r="P137" s="4" cm="1">
        <f t="array" ref="P1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1474.2071990793331</v>
      </c>
      <c r="Q137" s="4">
        <f>1/(1+10^(((Games[[#This Row],[OppPreGmRate]]+IF(Games[[#This Row],[HomeAway]]="A",HCA,0)+Games[[#This Row],[OppRestAdj]])-(Games[[#This Row],[PreGmRate]]+IF(Games[[#This Row],[HomeAway]]="H",HCA,0)+Games[[#This Row],[RestAdj]]))/400))</f>
        <v>0.65570850607329823</v>
      </c>
      <c r="R137" s="1">
        <v>85</v>
      </c>
      <c r="S137" s="1">
        <v>80</v>
      </c>
      <c r="T137" s="1">
        <v>0</v>
      </c>
      <c r="U137" s="1">
        <f>Games[[#This Row],[PointsFor]]-Games[[#This Row],[PointsAgainst]]</f>
        <v>5</v>
      </c>
      <c r="V137" s="1">
        <f>IF(Games[[#This Row],[MOV]]&gt;0,1,IF(Games[[#This Row],[MOV]]=0,0.5,0))</f>
        <v>1</v>
      </c>
      <c r="W137" s="4">
        <f>((ABS(Games[[#This Row],[MOV]])+5)^0.6)/(12+0.01*(ABS(Games[[#This Row],[PreGmRate]]-Games[[#This Row],[OppPreGmRate]])))*IF(Games[[#This Row],[OT]]=1,0.9,1)</f>
        <v>0.32849462342229363</v>
      </c>
      <c r="X137" s="7" cm="1">
        <f t="array" ref="X1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7" s="9">
        <f>MAX(kmin, kmax - 0.15 * MIN(Games[[#This Row],[GamesPlayed]], 82))</f>
        <v>74.5</v>
      </c>
      <c r="Z137" s="4">
        <f>Games[[#This Row],[K]]*Games[[#This Row],[POMult]]</f>
        <v>74.5</v>
      </c>
      <c r="AA137" s="4">
        <f>(Games[[#This Row],[Keff]]*Games[[#This Row],[MOVMult]])*(Games[[#This Row],[Result]]-Games[[#This Row],[ExpectedWin%]])</f>
        <v>8.4257938960488339</v>
      </c>
      <c r="AB137" s="4">
        <f>Games[[#This Row],[PreGmRate]]+Games[[#This Row],[RatingChange]]</f>
        <v>1494.5468027235365</v>
      </c>
      <c r="AC137" s="2">
        <f>IF(Games[[#This Row],[Type]]="R",IF(Games[[#This Row],[Result]]&gt;0.5,1,0),0)</f>
        <v>1</v>
      </c>
      <c r="AD137" s="2">
        <f>IF(Games[[#This Row],[Type]]="R",IF(Games[[#This Row],[Result]]&lt;0.5,1,0),0)</f>
        <v>0</v>
      </c>
      <c r="AE137" s="2">
        <f>IF(AND(Games[[#This Row],[Type]]="P",Games[[#This Row],[Round]]=1),IF(Games[[#This Row],[Result]]&gt;0.5,1,0),0)</f>
        <v>0</v>
      </c>
      <c r="AF137" s="2">
        <f>IF(AND(Games[[#This Row],[Type]]="P",Games[[#This Row],[Round]]=1),IF(Games[[#This Row],[Result]]&lt;0.5,1,0),0)</f>
        <v>0</v>
      </c>
      <c r="AG137" s="2">
        <f>IF(AND(Games[[#This Row],[Type]]="P",Games[[#This Row],[Round]]=2),IF(Games[[#This Row],[Result]]&gt;0.5,1,0),0)</f>
        <v>0</v>
      </c>
      <c r="AH137" s="2">
        <f>IF(AND(Games[[#This Row],[Type]]="P",Games[[#This Row],[Round]]=2),IF(Games[[#This Row],[Result]]&lt;0.5,1,0),0)</f>
        <v>0</v>
      </c>
      <c r="AI137" s="2">
        <f>IF(AND(Games[[#This Row],[Type]]="P",Games[[#This Row],[Round]]=3),IF(Games[[#This Row],[Result]]&gt;0.5,1,0),0)</f>
        <v>0</v>
      </c>
      <c r="AJ137" s="2">
        <f>IF(AND(Games[[#This Row],[Type]]="P",Games[[#This Row],[Round]]=3),IF(Games[[#This Row],[Result]]&lt;0.5,1,0),0)</f>
        <v>0</v>
      </c>
      <c r="AK137" s="2">
        <f>IF(AND(Games[[#This Row],[Type]]="P",Games[[#This Row],[Round]]=4),IF(Games[[#This Row],[Result]]&gt;0.5,1,0),0)</f>
        <v>0</v>
      </c>
      <c r="AL137" s="2">
        <f>IF(AND(Games[[#This Row],[Type]]="P",Games[[#This Row],[Round]]=4),IF(Games[[#This Row],[Result]]&lt;0.5,1,0),0)</f>
        <v>0</v>
      </c>
    </row>
    <row r="138" spans="1:38" x14ac:dyDescent="0.35">
      <c r="A138" s="10">
        <v>44364</v>
      </c>
      <c r="B138" s="2">
        <v>2021</v>
      </c>
      <c r="C138" s="2">
        <f>COUNTIFS(Games[Team],Games[[#This Row],[Team]],Games[Season],Games[[#This Row],[Season]],Games[Date],"&lt;=" &amp; Games[[#This Row],[Date]])</f>
        <v>12</v>
      </c>
      <c r="D138" s="2" t="s">
        <v>79</v>
      </c>
      <c r="E138" s="2" t="s">
        <v>80</v>
      </c>
      <c r="F138" s="1" t="s">
        <v>74</v>
      </c>
      <c r="G138" s="1" t="s">
        <v>75</v>
      </c>
      <c r="H138" s="1" t="s">
        <v>81</v>
      </c>
      <c r="I138" s="2" cm="1">
        <f t="array" ref="I138">IFERROR(
    Games[[#This Row],[Date]]
    - LOOKUP(
        2,
        1/((Games[Team]=Games[[#This Row],[Team]]) * (Games[Date] &lt; Games[[#This Row],[Date]])),
        Games[Date]
    )
    - 1,
Games[[#This Row],[Date]]-$A$2)</f>
        <v>3</v>
      </c>
      <c r="J138" s="2" cm="1">
        <f t="array" ref="J1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38" s="2">
        <f>Games[[#This Row],[DaysOff]]-Games[[#This Row],[OppDaysOff]]</f>
        <v>2</v>
      </c>
      <c r="L138" s="2">
        <f>Games[[#This Row],[OppDaysOff]]-Games[[#This Row],[DaysOff]]</f>
        <v>-2</v>
      </c>
      <c r="M138" s="1">
        <f>MAX(-16, MIN(16, Games[[#This Row],[RestDiff]]*8))</f>
        <v>16</v>
      </c>
      <c r="N138" s="1">
        <f>MAX(-16, MIN(16, Games[[#This Row],[OppRestDiff]]*8))</f>
        <v>-16</v>
      </c>
      <c r="O138" s="4" cm="1">
        <f t="array" ref="O1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1589.571499151948</v>
      </c>
      <c r="P138" s="4" cm="1">
        <f t="array" ref="P1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1489.3534164843022</v>
      </c>
      <c r="Q138" s="4">
        <f>1/(1+10^(((Games[[#This Row],[OppPreGmRate]]+IF(Games[[#This Row],[HomeAway]]="A",HCA,0)+Games[[#This Row],[OppRestAdj]])-(Games[[#This Row],[PreGmRate]]+IF(Games[[#This Row],[HomeAway]]="H",HCA,0)+Games[[#This Row],[RestAdj]]))/400))</f>
        <v>0.5689492965760391</v>
      </c>
      <c r="R138" s="1">
        <v>75</v>
      </c>
      <c r="S138" s="1">
        <v>81</v>
      </c>
      <c r="T138" s="1">
        <v>0</v>
      </c>
      <c r="U138" s="1">
        <f>Games[[#This Row],[PointsFor]]-Games[[#This Row],[PointsAgainst]]</f>
        <v>-6</v>
      </c>
      <c r="V138" s="1">
        <f>IF(Games[[#This Row],[MOV]]&gt;0,1,IF(Games[[#This Row],[MOV]]=0,0.5,0))</f>
        <v>0</v>
      </c>
      <c r="W138" s="4">
        <f>((ABS(Games[[#This Row],[MOV]])+5)^0.6)/(12+0.01*(ABS(Games[[#This Row],[PreGmRate]]-Games[[#This Row],[OppPreGmRate]])))*IF(Games[[#This Row],[OT]]=1,0.9,1)</f>
        <v>0.32420477682045962</v>
      </c>
      <c r="X138" s="7" cm="1">
        <f t="array" ref="X1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8" s="9">
        <f>MAX(kmin, kmax - 0.15 * MIN(Games[[#This Row],[GamesPlayed]], 82))</f>
        <v>74.2</v>
      </c>
      <c r="Z138" s="4">
        <f>Games[[#This Row],[K]]*Games[[#This Row],[POMult]]</f>
        <v>74.2</v>
      </c>
      <c r="AA138" s="4">
        <f>(Games[[#This Row],[Keff]]*Games[[#This Row],[MOVMult]])*(Games[[#This Row],[Result]]-Games[[#This Row],[ExpectedWin%]])</f>
        <v>-13.686641115119546</v>
      </c>
      <c r="AB138" s="4">
        <f>Games[[#This Row],[PreGmRate]]+Games[[#This Row],[RatingChange]]</f>
        <v>1575.8848580368285</v>
      </c>
      <c r="AC138" s="2">
        <f>IF(Games[[#This Row],[Type]]="R",IF(Games[[#This Row],[Result]]&gt;0.5,1,0),0)</f>
        <v>0</v>
      </c>
      <c r="AD138" s="2">
        <f>IF(Games[[#This Row],[Type]]="R",IF(Games[[#This Row],[Result]]&lt;0.5,1,0),0)</f>
        <v>1</v>
      </c>
      <c r="AE138" s="2">
        <f>IF(AND(Games[[#This Row],[Type]]="P",Games[[#This Row],[Round]]=1),IF(Games[[#This Row],[Result]]&gt;0.5,1,0),0)</f>
        <v>0</v>
      </c>
      <c r="AF138" s="2">
        <f>IF(AND(Games[[#This Row],[Type]]="P",Games[[#This Row],[Round]]=1),IF(Games[[#This Row],[Result]]&lt;0.5,1,0),0)</f>
        <v>0</v>
      </c>
      <c r="AG138" s="2">
        <f>IF(AND(Games[[#This Row],[Type]]="P",Games[[#This Row],[Round]]=2),IF(Games[[#This Row],[Result]]&gt;0.5,1,0),0)</f>
        <v>0</v>
      </c>
      <c r="AH138" s="2">
        <f>IF(AND(Games[[#This Row],[Type]]="P",Games[[#This Row],[Round]]=2),IF(Games[[#This Row],[Result]]&lt;0.5,1,0),0)</f>
        <v>0</v>
      </c>
      <c r="AI138" s="2">
        <f>IF(AND(Games[[#This Row],[Type]]="P",Games[[#This Row],[Round]]=3),IF(Games[[#This Row],[Result]]&gt;0.5,1,0),0)</f>
        <v>0</v>
      </c>
      <c r="AJ138" s="2">
        <f>IF(AND(Games[[#This Row],[Type]]="P",Games[[#This Row],[Round]]=3),IF(Games[[#This Row],[Result]]&lt;0.5,1,0),0)</f>
        <v>0</v>
      </c>
      <c r="AK138" s="2">
        <f>IF(AND(Games[[#This Row],[Type]]="P",Games[[#This Row],[Round]]=4),IF(Games[[#This Row],[Result]]&gt;0.5,1,0),0)</f>
        <v>0</v>
      </c>
      <c r="AL138" s="2">
        <f>IF(AND(Games[[#This Row],[Type]]="P",Games[[#This Row],[Round]]=4),IF(Games[[#This Row],[Result]]&lt;0.5,1,0),0)</f>
        <v>0</v>
      </c>
    </row>
    <row r="139" spans="1:38" x14ac:dyDescent="0.35">
      <c r="A139" s="10">
        <v>44364</v>
      </c>
      <c r="B139" s="2">
        <v>2021</v>
      </c>
      <c r="C139" s="2">
        <f>COUNTIFS(Games[Team],Games[[#This Row],[Team]],Games[Season],Games[[#This Row],[Season]],Games[Date],"&lt;=" &amp; Games[[#This Row],[Date]])</f>
        <v>13</v>
      </c>
      <c r="D139" s="2" t="s">
        <v>79</v>
      </c>
      <c r="E139" s="2" t="s">
        <v>80</v>
      </c>
      <c r="F139" s="1" t="s">
        <v>75</v>
      </c>
      <c r="G139" s="1" t="s">
        <v>74</v>
      </c>
      <c r="H139" s="1" t="s">
        <v>82</v>
      </c>
      <c r="I139" s="2" cm="1">
        <f t="array" ref="I1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39" s="2" cm="1">
        <f t="array" ref="J13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39" s="2">
        <f>Games[[#This Row],[DaysOff]]-Games[[#This Row],[OppDaysOff]]</f>
        <v>-2</v>
      </c>
      <c r="L139" s="2">
        <f>Games[[#This Row],[OppDaysOff]]-Games[[#This Row],[DaysOff]]</f>
        <v>2</v>
      </c>
      <c r="M139" s="1">
        <f>MAX(-16, MIN(16, Games[[#This Row],[RestDiff]]*8))</f>
        <v>-16</v>
      </c>
      <c r="N139" s="1">
        <f>MAX(-16, MIN(16, Games[[#This Row],[OppRestDiff]]*8))</f>
        <v>16</v>
      </c>
      <c r="O139" s="4" cm="1">
        <f t="array" ref="O1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1489.3534164843022</v>
      </c>
      <c r="P139" s="4" cm="1">
        <f t="array" ref="P1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1589.571499151948</v>
      </c>
      <c r="Q139" s="4">
        <f>1/(1+10^(((Games[[#This Row],[OppPreGmRate]]+IF(Games[[#This Row],[HomeAway]]="A",HCA,0)+Games[[#This Row],[OppRestAdj]])-(Games[[#This Row],[PreGmRate]]+IF(Games[[#This Row],[HomeAway]]="H",HCA,0)+Games[[#This Row],[RestAdj]]))/400))</f>
        <v>0.4310507034239609</v>
      </c>
      <c r="R139" s="1">
        <v>81</v>
      </c>
      <c r="S139" s="1">
        <v>75</v>
      </c>
      <c r="T139" s="1">
        <v>0</v>
      </c>
      <c r="U139" s="1">
        <f>Games[[#This Row],[PointsFor]]-Games[[#This Row],[PointsAgainst]]</f>
        <v>6</v>
      </c>
      <c r="V139" s="1">
        <f>IF(Games[[#This Row],[MOV]]&gt;0,1,IF(Games[[#This Row],[MOV]]=0,0.5,0))</f>
        <v>1</v>
      </c>
      <c r="W139" s="4">
        <f>((ABS(Games[[#This Row],[MOV]])+5)^0.6)/(12+0.01*(ABS(Games[[#This Row],[PreGmRate]]-Games[[#This Row],[OppPreGmRate]])))*IF(Games[[#This Row],[OT]]=1,0.9,1)</f>
        <v>0.32420477682045962</v>
      </c>
      <c r="X139" s="7" cm="1">
        <f t="array" ref="X1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39" s="9">
        <f>MAX(kmin, kmax - 0.15 * MIN(Games[[#This Row],[GamesPlayed]], 82))</f>
        <v>74.05</v>
      </c>
      <c r="Z139" s="4">
        <f>Games[[#This Row],[K]]*Games[[#This Row],[POMult]]</f>
        <v>74.05</v>
      </c>
      <c r="AA139" s="4">
        <f>(Games[[#This Row],[Keff]]*Games[[#This Row],[MOVMult]])*(Games[[#This Row],[Result]]-Games[[#This Row],[ExpectedWin%]])</f>
        <v>13.658972703161755</v>
      </c>
      <c r="AB139" s="4">
        <f>Games[[#This Row],[PreGmRate]]+Games[[#This Row],[RatingChange]]</f>
        <v>1503.0123891874639</v>
      </c>
      <c r="AC139" s="2">
        <f>IF(Games[[#This Row],[Type]]="R",IF(Games[[#This Row],[Result]]&gt;0.5,1,0),0)</f>
        <v>1</v>
      </c>
      <c r="AD139" s="2">
        <f>IF(Games[[#This Row],[Type]]="R",IF(Games[[#This Row],[Result]]&lt;0.5,1,0),0)</f>
        <v>0</v>
      </c>
      <c r="AE139" s="2">
        <f>IF(AND(Games[[#This Row],[Type]]="P",Games[[#This Row],[Round]]=1),IF(Games[[#This Row],[Result]]&gt;0.5,1,0),0)</f>
        <v>0</v>
      </c>
      <c r="AF139" s="2">
        <f>IF(AND(Games[[#This Row],[Type]]="P",Games[[#This Row],[Round]]=1),IF(Games[[#This Row],[Result]]&lt;0.5,1,0),0)</f>
        <v>0</v>
      </c>
      <c r="AG139" s="2">
        <f>IF(AND(Games[[#This Row],[Type]]="P",Games[[#This Row],[Round]]=2),IF(Games[[#This Row],[Result]]&gt;0.5,1,0),0)</f>
        <v>0</v>
      </c>
      <c r="AH139" s="2">
        <f>IF(AND(Games[[#This Row],[Type]]="P",Games[[#This Row],[Round]]=2),IF(Games[[#This Row],[Result]]&lt;0.5,1,0),0)</f>
        <v>0</v>
      </c>
      <c r="AI139" s="2">
        <f>IF(AND(Games[[#This Row],[Type]]="P",Games[[#This Row],[Round]]=3),IF(Games[[#This Row],[Result]]&gt;0.5,1,0),0)</f>
        <v>0</v>
      </c>
      <c r="AJ139" s="2">
        <f>IF(AND(Games[[#This Row],[Type]]="P",Games[[#This Row],[Round]]=3),IF(Games[[#This Row],[Result]]&lt;0.5,1,0),0)</f>
        <v>0</v>
      </c>
      <c r="AK139" s="2">
        <f>IF(AND(Games[[#This Row],[Type]]="P",Games[[#This Row],[Round]]=4),IF(Games[[#This Row],[Result]]&gt;0.5,1,0),0)</f>
        <v>0</v>
      </c>
      <c r="AL139" s="2">
        <f>IF(AND(Games[[#This Row],[Type]]="P",Games[[#This Row],[Round]]=4),IF(Games[[#This Row],[Result]]&lt;0.5,1,0),0)</f>
        <v>0</v>
      </c>
    </row>
    <row r="140" spans="1:38" x14ac:dyDescent="0.35">
      <c r="A140" s="10">
        <v>44364</v>
      </c>
      <c r="B140" s="2">
        <v>2021</v>
      </c>
      <c r="C140" s="2">
        <f>COUNTIFS(Games[Team],Games[[#This Row],[Team]],Games[Season],Games[[#This Row],[Season]],Games[Date],"&lt;=" &amp; Games[[#This Row],[Date]])</f>
        <v>11</v>
      </c>
      <c r="D140" s="2" t="s">
        <v>79</v>
      </c>
      <c r="E140" s="2" t="s">
        <v>80</v>
      </c>
      <c r="F140" s="1" t="s">
        <v>67</v>
      </c>
      <c r="G140" s="1" t="s">
        <v>84</v>
      </c>
      <c r="H140" s="1" t="s">
        <v>81</v>
      </c>
      <c r="I140" s="2" cm="1">
        <f t="array" ref="I14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0" s="2" cm="1">
        <f t="array" ref="J14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0" s="2">
        <f>Games[[#This Row],[DaysOff]]-Games[[#This Row],[OppDaysOff]]</f>
        <v>-2</v>
      </c>
      <c r="L140" s="2">
        <f>Games[[#This Row],[OppDaysOff]]-Games[[#This Row],[DaysOff]]</f>
        <v>2</v>
      </c>
      <c r="M140" s="1">
        <f>MAX(-16, MIN(16, Games[[#This Row],[RestDiff]]*8))</f>
        <v>-16</v>
      </c>
      <c r="N140" s="1">
        <f>MAX(-16, MIN(16, Games[[#This Row],[OppRestDiff]]*8))</f>
        <v>16</v>
      </c>
      <c r="O140" s="4" cm="1">
        <f t="array" ref="O1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1481.2846225458677</v>
      </c>
      <c r="P140" s="4" cm="1">
        <f t="array" ref="P1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1505.4950126917179</v>
      </c>
      <c r="Q140" s="4">
        <f>1/(1+10^(((Games[[#This Row],[OppPreGmRate]]+IF(Games[[#This Row],[HomeAway]]="A",HCA,0)+Games[[#This Row],[OppRestAdj]])-(Games[[#This Row],[PreGmRate]]+IF(Games[[#This Row],[HomeAway]]="H",HCA,0)+Games[[#This Row],[RestAdj]]))/400))</f>
        <v>0.30850542328234659</v>
      </c>
      <c r="R140" s="1">
        <v>85</v>
      </c>
      <c r="S140" s="1">
        <v>73</v>
      </c>
      <c r="T140" s="1">
        <v>0</v>
      </c>
      <c r="U140" s="1">
        <f>Games[[#This Row],[PointsFor]]-Games[[#This Row],[PointsAgainst]]</f>
        <v>12</v>
      </c>
      <c r="V140" s="1">
        <f>IF(Games[[#This Row],[MOV]]&gt;0,1,IF(Games[[#This Row],[MOV]]=0,0.5,0))</f>
        <v>1</v>
      </c>
      <c r="W140" s="4">
        <f>((ABS(Games[[#This Row],[MOV]])+5)^0.6)/(12+0.01*(ABS(Games[[#This Row],[PreGmRate]]-Games[[#This Row],[OppPreGmRate]])))*IF(Games[[#This Row],[OT]]=1,0.9,1)</f>
        <v>0.44710887613577432</v>
      </c>
      <c r="X140" s="7" cm="1">
        <f t="array" ref="X1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0" s="9">
        <f>MAX(kmin, kmax - 0.15 * MIN(Games[[#This Row],[GamesPlayed]], 82))</f>
        <v>74.349999999999994</v>
      </c>
      <c r="Z140" s="4">
        <f>Games[[#This Row],[K]]*Games[[#This Row],[POMult]]</f>
        <v>74.349999999999994</v>
      </c>
      <c r="AA140" s="4">
        <f>(Games[[#This Row],[Keff]]*Games[[#This Row],[MOVMult]])*(Games[[#This Row],[Result]]-Games[[#This Row],[ExpectedWin%]])</f>
        <v>22.987039542783336</v>
      </c>
      <c r="AB140" s="4">
        <f>Games[[#This Row],[PreGmRate]]+Games[[#This Row],[RatingChange]]</f>
        <v>1504.2716620886511</v>
      </c>
      <c r="AC140" s="2">
        <f>IF(Games[[#This Row],[Type]]="R",IF(Games[[#This Row],[Result]]&gt;0.5,1,0),0)</f>
        <v>1</v>
      </c>
      <c r="AD140" s="2">
        <f>IF(Games[[#This Row],[Type]]="R",IF(Games[[#This Row],[Result]]&lt;0.5,1,0),0)</f>
        <v>0</v>
      </c>
      <c r="AE140" s="2">
        <f>IF(AND(Games[[#This Row],[Type]]="P",Games[[#This Row],[Round]]=1),IF(Games[[#This Row],[Result]]&gt;0.5,1,0),0)</f>
        <v>0</v>
      </c>
      <c r="AF140" s="2">
        <f>IF(AND(Games[[#This Row],[Type]]="P",Games[[#This Row],[Round]]=1),IF(Games[[#This Row],[Result]]&lt;0.5,1,0),0)</f>
        <v>0</v>
      </c>
      <c r="AG140" s="2">
        <f>IF(AND(Games[[#This Row],[Type]]="P",Games[[#This Row],[Round]]=2),IF(Games[[#This Row],[Result]]&gt;0.5,1,0),0)</f>
        <v>0</v>
      </c>
      <c r="AH140" s="2">
        <f>IF(AND(Games[[#This Row],[Type]]="P",Games[[#This Row],[Round]]=2),IF(Games[[#This Row],[Result]]&lt;0.5,1,0),0)</f>
        <v>0</v>
      </c>
      <c r="AI140" s="2">
        <f>IF(AND(Games[[#This Row],[Type]]="P",Games[[#This Row],[Round]]=3),IF(Games[[#This Row],[Result]]&gt;0.5,1,0),0)</f>
        <v>0</v>
      </c>
      <c r="AJ140" s="2">
        <f>IF(AND(Games[[#This Row],[Type]]="P",Games[[#This Row],[Round]]=3),IF(Games[[#This Row],[Result]]&lt;0.5,1,0),0)</f>
        <v>0</v>
      </c>
      <c r="AK140" s="2">
        <f>IF(AND(Games[[#This Row],[Type]]="P",Games[[#This Row],[Round]]=4),IF(Games[[#This Row],[Result]]&gt;0.5,1,0),0)</f>
        <v>0</v>
      </c>
      <c r="AL140" s="2">
        <f>IF(AND(Games[[#This Row],[Type]]="P",Games[[#This Row],[Round]]=4),IF(Games[[#This Row],[Result]]&lt;0.5,1,0),0)</f>
        <v>0</v>
      </c>
    </row>
    <row r="141" spans="1:38" x14ac:dyDescent="0.35">
      <c r="A141" s="10">
        <v>44364</v>
      </c>
      <c r="B141" s="2">
        <v>2021</v>
      </c>
      <c r="C141" s="2">
        <f>COUNTIFS(Games[Team],Games[[#This Row],[Team]],Games[Season],Games[[#This Row],[Season]],Games[Date],"&lt;=" &amp; Games[[#This Row],[Date]])</f>
        <v>12</v>
      </c>
      <c r="D141" s="2" t="s">
        <v>79</v>
      </c>
      <c r="E141" s="2" t="s">
        <v>80</v>
      </c>
      <c r="F141" s="1" t="s">
        <v>84</v>
      </c>
      <c r="G141" s="1" t="s">
        <v>67</v>
      </c>
      <c r="H141" s="1" t="s">
        <v>82</v>
      </c>
      <c r="I141" s="2" cm="1">
        <f t="array" ref="I141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1" s="2" cm="1">
        <f t="array" ref="J14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1" s="2">
        <f>Games[[#This Row],[DaysOff]]-Games[[#This Row],[OppDaysOff]]</f>
        <v>2</v>
      </c>
      <c r="L141" s="2">
        <f>Games[[#This Row],[OppDaysOff]]-Games[[#This Row],[DaysOff]]</f>
        <v>-2</v>
      </c>
      <c r="M141" s="1">
        <f>MAX(-16, MIN(16, Games[[#This Row],[RestDiff]]*8))</f>
        <v>16</v>
      </c>
      <c r="N141" s="1">
        <f>MAX(-16, MIN(16, Games[[#This Row],[OppRestDiff]]*8))</f>
        <v>-16</v>
      </c>
      <c r="O141" s="4" cm="1">
        <f t="array" ref="O1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1505.4950126917179</v>
      </c>
      <c r="P141" s="4" cm="1">
        <f t="array" ref="P1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1481.2846225458677</v>
      </c>
      <c r="Q141" s="4">
        <f>1/(1+10^(((Games[[#This Row],[OppPreGmRate]]+IF(Games[[#This Row],[HomeAway]]="A",HCA,0)+Games[[#This Row],[OppRestAdj]])-(Games[[#This Row],[PreGmRate]]+IF(Games[[#This Row],[HomeAway]]="H",HCA,0)+Games[[#This Row],[RestAdj]]))/400))</f>
        <v>0.69149457671765335</v>
      </c>
      <c r="R141" s="1">
        <v>73</v>
      </c>
      <c r="S141" s="1">
        <v>85</v>
      </c>
      <c r="T141" s="1">
        <v>0</v>
      </c>
      <c r="U141" s="1">
        <f>Games[[#This Row],[PointsFor]]-Games[[#This Row],[PointsAgainst]]</f>
        <v>-12</v>
      </c>
      <c r="V141" s="1">
        <f>IF(Games[[#This Row],[MOV]]&gt;0,1,IF(Games[[#This Row],[MOV]]=0,0.5,0))</f>
        <v>0</v>
      </c>
      <c r="W141" s="4">
        <f>((ABS(Games[[#This Row],[MOV]])+5)^0.6)/(12+0.01*(ABS(Games[[#This Row],[PreGmRate]]-Games[[#This Row],[OppPreGmRate]])))*IF(Games[[#This Row],[OT]]=1,0.9,1)</f>
        <v>0.44710887613577432</v>
      </c>
      <c r="X141" s="7" cm="1">
        <f t="array" ref="X1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1" s="9">
        <f>MAX(kmin, kmax - 0.15 * MIN(Games[[#This Row],[GamesPlayed]], 82))</f>
        <v>74.2</v>
      </c>
      <c r="Z141" s="4">
        <f>Games[[#This Row],[K]]*Games[[#This Row],[POMult]]</f>
        <v>74.2</v>
      </c>
      <c r="AA141" s="4">
        <f>(Games[[#This Row],[Keff]]*Games[[#This Row],[MOVMult]])*(Games[[#This Row],[Result]]-Games[[#This Row],[ExpectedWin%]])</f>
        <v>-22.940663538325804</v>
      </c>
      <c r="AB141" s="4">
        <f>Games[[#This Row],[PreGmRate]]+Games[[#This Row],[RatingChange]]</f>
        <v>1482.554349153392</v>
      </c>
      <c r="AC141" s="2">
        <f>IF(Games[[#This Row],[Type]]="R",IF(Games[[#This Row],[Result]]&gt;0.5,1,0),0)</f>
        <v>0</v>
      </c>
      <c r="AD141" s="2">
        <f>IF(Games[[#This Row],[Type]]="R",IF(Games[[#This Row],[Result]]&lt;0.5,1,0),0)</f>
        <v>1</v>
      </c>
      <c r="AE141" s="2">
        <f>IF(AND(Games[[#This Row],[Type]]="P",Games[[#This Row],[Round]]=1),IF(Games[[#This Row],[Result]]&gt;0.5,1,0),0)</f>
        <v>0</v>
      </c>
      <c r="AF141" s="2">
        <f>IF(AND(Games[[#This Row],[Type]]="P",Games[[#This Row],[Round]]=1),IF(Games[[#This Row],[Result]]&lt;0.5,1,0),0)</f>
        <v>0</v>
      </c>
      <c r="AG141" s="2">
        <f>IF(AND(Games[[#This Row],[Type]]="P",Games[[#This Row],[Round]]=2),IF(Games[[#This Row],[Result]]&gt;0.5,1,0),0)</f>
        <v>0</v>
      </c>
      <c r="AH141" s="2">
        <f>IF(AND(Games[[#This Row],[Type]]="P",Games[[#This Row],[Round]]=2),IF(Games[[#This Row],[Result]]&lt;0.5,1,0),0)</f>
        <v>0</v>
      </c>
      <c r="AI141" s="2">
        <f>IF(AND(Games[[#This Row],[Type]]="P",Games[[#This Row],[Round]]=3),IF(Games[[#This Row],[Result]]&gt;0.5,1,0),0)</f>
        <v>0</v>
      </c>
      <c r="AJ141" s="2">
        <f>IF(AND(Games[[#This Row],[Type]]="P",Games[[#This Row],[Round]]=3),IF(Games[[#This Row],[Result]]&lt;0.5,1,0),0)</f>
        <v>0</v>
      </c>
      <c r="AK141" s="2">
        <f>IF(AND(Games[[#This Row],[Type]]="P",Games[[#This Row],[Round]]=4),IF(Games[[#This Row],[Result]]&gt;0.5,1,0),0)</f>
        <v>0</v>
      </c>
      <c r="AL141" s="2">
        <f>IF(AND(Games[[#This Row],[Type]]="P",Games[[#This Row],[Round]]=4),IF(Games[[#This Row],[Result]]&lt;0.5,1,0),0)</f>
        <v>0</v>
      </c>
    </row>
    <row r="142" spans="1:38" x14ac:dyDescent="0.35">
      <c r="A142" s="10">
        <v>44364</v>
      </c>
      <c r="B142" s="2">
        <v>2021</v>
      </c>
      <c r="C142" s="2">
        <f>COUNTIFS(Games[Team],Games[[#This Row],[Team]],Games[Season],Games[[#This Row],[Season]],Games[Date],"&lt;=" &amp; Games[[#This Row],[Date]])</f>
        <v>14</v>
      </c>
      <c r="D142" s="2" t="s">
        <v>79</v>
      </c>
      <c r="E142" s="2" t="s">
        <v>80</v>
      </c>
      <c r="F142" s="1" t="s">
        <v>71</v>
      </c>
      <c r="G142" s="1" t="s">
        <v>69</v>
      </c>
      <c r="H142" s="1" t="s">
        <v>81</v>
      </c>
      <c r="I142" s="2" cm="1">
        <f t="array" ref="I1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2" s="2" cm="1">
        <f t="array" ref="J14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2" s="2">
        <f>Games[[#This Row],[DaysOff]]-Games[[#This Row],[OppDaysOff]]</f>
        <v>0</v>
      </c>
      <c r="L142" s="2">
        <f>Games[[#This Row],[OppDaysOff]]-Games[[#This Row],[DaysOff]]</f>
        <v>0</v>
      </c>
      <c r="M142" s="1">
        <f>MAX(-16, MIN(16, Games[[#This Row],[RestDiff]]*8))</f>
        <v>0</v>
      </c>
      <c r="N142" s="1">
        <f>MAX(-16, MIN(16, Games[[#This Row],[OppRestDiff]]*8))</f>
        <v>0</v>
      </c>
      <c r="O142" s="4" cm="1">
        <f t="array" ref="O1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1694.9576752530354</v>
      </c>
      <c r="P142" s="4" cm="1">
        <f t="array" ref="P1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1325.0194820878157</v>
      </c>
      <c r="Q142" s="4">
        <f>1/(1+10^(((Games[[#This Row],[OppPreGmRate]]+IF(Games[[#This Row],[HomeAway]]="A",HCA,0)+Games[[#This Row],[OppRestAdj]])-(Games[[#This Row],[PreGmRate]]+IF(Games[[#This Row],[HomeAway]]="H",HCA,0)+Games[[#This Row],[RestAdj]]))/400))</f>
        <v>0.83834869664416811</v>
      </c>
      <c r="R142" s="1">
        <v>79</v>
      </c>
      <c r="S142" s="1">
        <v>69</v>
      </c>
      <c r="T142" s="1">
        <v>0</v>
      </c>
      <c r="U142" s="1">
        <f>Games[[#This Row],[PointsFor]]-Games[[#This Row],[PointsAgainst]]</f>
        <v>10</v>
      </c>
      <c r="V142" s="1">
        <f>IF(Games[[#This Row],[MOV]]&gt;0,1,IF(Games[[#This Row],[MOV]]=0,0.5,0))</f>
        <v>1</v>
      </c>
      <c r="W142" s="4">
        <f>((ABS(Games[[#This Row],[MOV]])+5)^0.6)/(12+0.01*(ABS(Games[[#This Row],[PreGmRate]]-Games[[#This Row],[OppPreGmRate]])))*IF(Games[[#This Row],[OT]]=1,0.9,1)</f>
        <v>0.3234239675225894</v>
      </c>
      <c r="X142" s="7" cm="1">
        <f t="array" ref="X1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2" s="9">
        <f>MAX(kmin, kmax - 0.15 * MIN(Games[[#This Row],[GamesPlayed]], 82))</f>
        <v>73.900000000000006</v>
      </c>
      <c r="Z142" s="4">
        <f>Games[[#This Row],[K]]*Games[[#This Row],[POMult]]</f>
        <v>73.900000000000006</v>
      </c>
      <c r="AA142" s="4">
        <f>(Games[[#This Row],[Keff]]*Games[[#This Row],[MOVMult]])*(Games[[#This Row],[Result]]-Games[[#This Row],[ExpectedWin%]])</f>
        <v>3.863632845015367</v>
      </c>
      <c r="AB142" s="4">
        <f>Games[[#This Row],[PreGmRate]]+Games[[#This Row],[RatingChange]]</f>
        <v>1698.8213080980508</v>
      </c>
      <c r="AC142" s="2">
        <f>IF(Games[[#This Row],[Type]]="R",IF(Games[[#This Row],[Result]]&gt;0.5,1,0),0)</f>
        <v>1</v>
      </c>
      <c r="AD142" s="2">
        <f>IF(Games[[#This Row],[Type]]="R",IF(Games[[#This Row],[Result]]&lt;0.5,1,0),0)</f>
        <v>0</v>
      </c>
      <c r="AE142" s="2">
        <f>IF(AND(Games[[#This Row],[Type]]="P",Games[[#This Row],[Round]]=1),IF(Games[[#This Row],[Result]]&gt;0.5,1,0),0)</f>
        <v>0</v>
      </c>
      <c r="AF142" s="2">
        <f>IF(AND(Games[[#This Row],[Type]]="P",Games[[#This Row],[Round]]=1),IF(Games[[#This Row],[Result]]&lt;0.5,1,0),0)</f>
        <v>0</v>
      </c>
      <c r="AG142" s="2">
        <f>IF(AND(Games[[#This Row],[Type]]="P",Games[[#This Row],[Round]]=2),IF(Games[[#This Row],[Result]]&gt;0.5,1,0),0)</f>
        <v>0</v>
      </c>
      <c r="AH142" s="2">
        <f>IF(AND(Games[[#This Row],[Type]]="P",Games[[#This Row],[Round]]=2),IF(Games[[#This Row],[Result]]&lt;0.5,1,0),0)</f>
        <v>0</v>
      </c>
      <c r="AI142" s="2">
        <f>IF(AND(Games[[#This Row],[Type]]="P",Games[[#This Row],[Round]]=3),IF(Games[[#This Row],[Result]]&gt;0.5,1,0),0)</f>
        <v>0</v>
      </c>
      <c r="AJ142" s="2">
        <f>IF(AND(Games[[#This Row],[Type]]="P",Games[[#This Row],[Round]]=3),IF(Games[[#This Row],[Result]]&lt;0.5,1,0),0)</f>
        <v>0</v>
      </c>
      <c r="AK142" s="2">
        <f>IF(AND(Games[[#This Row],[Type]]="P",Games[[#This Row],[Round]]=4),IF(Games[[#This Row],[Result]]&gt;0.5,1,0),0)</f>
        <v>0</v>
      </c>
      <c r="AL142" s="2">
        <f>IF(AND(Games[[#This Row],[Type]]="P",Games[[#This Row],[Round]]=4),IF(Games[[#This Row],[Result]]&lt;0.5,1,0),0)</f>
        <v>0</v>
      </c>
    </row>
    <row r="143" spans="1:38" x14ac:dyDescent="0.35">
      <c r="A143" s="10">
        <v>44364</v>
      </c>
      <c r="B143" s="2">
        <v>2021</v>
      </c>
      <c r="C143" s="2">
        <f>COUNTIFS(Games[Team],Games[[#This Row],[Team]],Games[Season],Games[[#This Row],[Season]],Games[Date],"&lt;=" &amp; Games[[#This Row],[Date]])</f>
        <v>14</v>
      </c>
      <c r="D143" s="2" t="s">
        <v>79</v>
      </c>
      <c r="E143" s="2" t="s">
        <v>80</v>
      </c>
      <c r="F143" s="1" t="s">
        <v>69</v>
      </c>
      <c r="G143" s="1" t="s">
        <v>71</v>
      </c>
      <c r="H143" s="1" t="s">
        <v>82</v>
      </c>
      <c r="I143" s="2" cm="1">
        <f t="array" ref="I14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3" s="2" cm="1">
        <f t="array" ref="J1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3" s="2">
        <f>Games[[#This Row],[DaysOff]]-Games[[#This Row],[OppDaysOff]]</f>
        <v>0</v>
      </c>
      <c r="L143" s="2">
        <f>Games[[#This Row],[OppDaysOff]]-Games[[#This Row],[DaysOff]]</f>
        <v>0</v>
      </c>
      <c r="M143" s="1">
        <f>MAX(-16, MIN(16, Games[[#This Row],[RestDiff]]*8))</f>
        <v>0</v>
      </c>
      <c r="N143" s="1">
        <f>MAX(-16, MIN(16, Games[[#This Row],[OppRestDiff]]*8))</f>
        <v>0</v>
      </c>
      <c r="O143" s="4" cm="1">
        <f t="array" ref="O1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1325.0194820878157</v>
      </c>
      <c r="P143" s="4" cm="1">
        <f t="array" ref="P1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1694.9576752530354</v>
      </c>
      <c r="Q143" s="4">
        <f>1/(1+10^(((Games[[#This Row],[OppPreGmRate]]+IF(Games[[#This Row],[HomeAway]]="A",HCA,0)+Games[[#This Row],[OppRestAdj]])-(Games[[#This Row],[PreGmRate]]+IF(Games[[#This Row],[HomeAway]]="H",HCA,0)+Games[[#This Row],[RestAdj]]))/400))</f>
        <v>0.16165130335583194</v>
      </c>
      <c r="R143" s="1">
        <v>69</v>
      </c>
      <c r="S143" s="1">
        <v>79</v>
      </c>
      <c r="T143" s="1">
        <v>0</v>
      </c>
      <c r="U143" s="1">
        <f>Games[[#This Row],[PointsFor]]-Games[[#This Row],[PointsAgainst]]</f>
        <v>-10</v>
      </c>
      <c r="V143" s="1">
        <f>IF(Games[[#This Row],[MOV]]&gt;0,1,IF(Games[[#This Row],[MOV]]=0,0.5,0))</f>
        <v>0</v>
      </c>
      <c r="W143" s="4">
        <f>((ABS(Games[[#This Row],[MOV]])+5)^0.6)/(12+0.01*(ABS(Games[[#This Row],[PreGmRate]]-Games[[#This Row],[OppPreGmRate]])))*IF(Games[[#This Row],[OT]]=1,0.9,1)</f>
        <v>0.3234239675225894</v>
      </c>
      <c r="X143" s="7" cm="1">
        <f t="array" ref="X1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3" s="9">
        <f>MAX(kmin, kmax - 0.15 * MIN(Games[[#This Row],[GamesPlayed]], 82))</f>
        <v>73.900000000000006</v>
      </c>
      <c r="Z143" s="4">
        <f>Games[[#This Row],[K]]*Games[[#This Row],[POMult]]</f>
        <v>73.900000000000006</v>
      </c>
      <c r="AA143" s="4">
        <f>(Games[[#This Row],[Keff]]*Games[[#This Row],[MOVMult]])*(Games[[#This Row],[Result]]-Games[[#This Row],[ExpectedWin%]])</f>
        <v>-3.8636328450153683</v>
      </c>
      <c r="AB143" s="4">
        <f>Games[[#This Row],[PreGmRate]]+Games[[#This Row],[RatingChange]]</f>
        <v>1321.1558492428003</v>
      </c>
      <c r="AC143" s="2">
        <f>IF(Games[[#This Row],[Type]]="R",IF(Games[[#This Row],[Result]]&gt;0.5,1,0),0)</f>
        <v>0</v>
      </c>
      <c r="AD143" s="2">
        <f>IF(Games[[#This Row],[Type]]="R",IF(Games[[#This Row],[Result]]&lt;0.5,1,0),0)</f>
        <v>1</v>
      </c>
      <c r="AE143" s="2">
        <f>IF(AND(Games[[#This Row],[Type]]="P",Games[[#This Row],[Round]]=1),IF(Games[[#This Row],[Result]]&gt;0.5,1,0),0)</f>
        <v>0</v>
      </c>
      <c r="AF143" s="2">
        <f>IF(AND(Games[[#This Row],[Type]]="P",Games[[#This Row],[Round]]=1),IF(Games[[#This Row],[Result]]&lt;0.5,1,0),0)</f>
        <v>0</v>
      </c>
      <c r="AG143" s="2">
        <f>IF(AND(Games[[#This Row],[Type]]="P",Games[[#This Row],[Round]]=2),IF(Games[[#This Row],[Result]]&gt;0.5,1,0),0)</f>
        <v>0</v>
      </c>
      <c r="AH143" s="2">
        <f>IF(AND(Games[[#This Row],[Type]]="P",Games[[#This Row],[Round]]=2),IF(Games[[#This Row],[Result]]&lt;0.5,1,0),0)</f>
        <v>0</v>
      </c>
      <c r="AI143" s="2">
        <f>IF(AND(Games[[#This Row],[Type]]="P",Games[[#This Row],[Round]]=3),IF(Games[[#This Row],[Result]]&gt;0.5,1,0),0)</f>
        <v>0</v>
      </c>
      <c r="AJ143" s="2">
        <f>IF(AND(Games[[#This Row],[Type]]="P",Games[[#This Row],[Round]]=3),IF(Games[[#This Row],[Result]]&lt;0.5,1,0),0)</f>
        <v>0</v>
      </c>
      <c r="AK143" s="2">
        <f>IF(AND(Games[[#This Row],[Type]]="P",Games[[#This Row],[Round]]=4),IF(Games[[#This Row],[Result]]&gt;0.5,1,0),0)</f>
        <v>0</v>
      </c>
      <c r="AL143" s="2">
        <f>IF(AND(Games[[#This Row],[Type]]="P",Games[[#This Row],[Round]]=4),IF(Games[[#This Row],[Result]]&lt;0.5,1,0),0)</f>
        <v>0</v>
      </c>
    </row>
    <row r="144" spans="1:38" x14ac:dyDescent="0.35">
      <c r="A144" s="10">
        <v>44364</v>
      </c>
      <c r="B144" s="2">
        <v>2021</v>
      </c>
      <c r="C144" s="2">
        <f>COUNTIFS(Games[Team],Games[[#This Row],[Team]],Games[Season],Games[[#This Row],[Season]],Games[Date],"&lt;=" &amp; Games[[#This Row],[Date]])</f>
        <v>12</v>
      </c>
      <c r="D144" s="2" t="s">
        <v>79</v>
      </c>
      <c r="E144" s="2" t="s">
        <v>80</v>
      </c>
      <c r="F144" s="1" t="s">
        <v>60</v>
      </c>
      <c r="G144" s="1" t="s">
        <v>85</v>
      </c>
      <c r="H144" s="1" t="s">
        <v>81</v>
      </c>
      <c r="I144" s="2" cm="1">
        <f t="array" ref="I14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4" s="2" cm="1">
        <f t="array" ref="J14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4" s="2">
        <f>Games[[#This Row],[DaysOff]]-Games[[#This Row],[OppDaysOff]]</f>
        <v>0</v>
      </c>
      <c r="L144" s="2">
        <f>Games[[#This Row],[OppDaysOff]]-Games[[#This Row],[DaysOff]]</f>
        <v>0</v>
      </c>
      <c r="M144" s="1">
        <f>MAX(-16, MIN(16, Games[[#This Row],[RestDiff]]*8))</f>
        <v>0</v>
      </c>
      <c r="N144" s="1">
        <f>MAX(-16, MIN(16, Games[[#This Row],[OppRestDiff]]*8))</f>
        <v>0</v>
      </c>
      <c r="O144" s="4" cm="1">
        <f t="array" ref="O1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1418.4499327844742</v>
      </c>
      <c r="P144" s="4" cm="1">
        <f t="array" ref="P1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1622.6667778492733</v>
      </c>
      <c r="Q144" s="4">
        <f>1/(1+10^(((Games[[#This Row],[OppPreGmRate]]+IF(Games[[#This Row],[HomeAway]]="A",HCA,0)+Games[[#This Row],[OppRestAdj]])-(Games[[#This Row],[PreGmRate]]+IF(Games[[#This Row],[HomeAway]]="H",HCA,0)+Games[[#This Row],[RestAdj]]))/400))</f>
        <v>0.15988156850165985</v>
      </c>
      <c r="R144" s="1">
        <v>76</v>
      </c>
      <c r="S144" s="1">
        <v>103</v>
      </c>
      <c r="T144" s="1">
        <v>0</v>
      </c>
      <c r="U144" s="1">
        <f>Games[[#This Row],[PointsFor]]-Games[[#This Row],[PointsAgainst]]</f>
        <v>-27</v>
      </c>
      <c r="V144" s="1">
        <f>IF(Games[[#This Row],[MOV]]&gt;0,1,IF(Games[[#This Row],[MOV]]=0,0.5,0))</f>
        <v>0</v>
      </c>
      <c r="W144" s="4">
        <f>((ABS(Games[[#This Row],[MOV]])+5)^0.6)/(12+0.01*(ABS(Games[[#This Row],[PreGmRate]]-Games[[#This Row],[OppPreGmRate]])))*IF(Games[[#This Row],[OT]]=1,0.9,1)</f>
        <v>0.56971257880265846</v>
      </c>
      <c r="X144" s="7" cm="1">
        <f t="array" ref="X1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4" s="9">
        <f>MAX(kmin, kmax - 0.15 * MIN(Games[[#This Row],[GamesPlayed]], 82))</f>
        <v>74.2</v>
      </c>
      <c r="Z144" s="4">
        <f>Games[[#This Row],[K]]*Games[[#This Row],[POMult]]</f>
        <v>74.2</v>
      </c>
      <c r="AA144" s="4">
        <f>(Games[[#This Row],[Keff]]*Games[[#This Row],[MOVMult]])*(Games[[#This Row],[Result]]-Games[[#This Row],[ExpectedWin%]])</f>
        <v>-6.7586213195018141</v>
      </c>
      <c r="AB144" s="4">
        <f>Games[[#This Row],[PreGmRate]]+Games[[#This Row],[RatingChange]]</f>
        <v>1411.6913114649724</v>
      </c>
      <c r="AC144" s="2">
        <f>IF(Games[[#This Row],[Type]]="R",IF(Games[[#This Row],[Result]]&gt;0.5,1,0),0)</f>
        <v>0</v>
      </c>
      <c r="AD144" s="2">
        <f>IF(Games[[#This Row],[Type]]="R",IF(Games[[#This Row],[Result]]&lt;0.5,1,0),0)</f>
        <v>1</v>
      </c>
      <c r="AE144" s="2">
        <f>IF(AND(Games[[#This Row],[Type]]="P",Games[[#This Row],[Round]]=1),IF(Games[[#This Row],[Result]]&gt;0.5,1,0),0)</f>
        <v>0</v>
      </c>
      <c r="AF144" s="2">
        <f>IF(AND(Games[[#This Row],[Type]]="P",Games[[#This Row],[Round]]=1),IF(Games[[#This Row],[Result]]&lt;0.5,1,0),0)</f>
        <v>0</v>
      </c>
      <c r="AG144" s="2">
        <f>IF(AND(Games[[#This Row],[Type]]="P",Games[[#This Row],[Round]]=2),IF(Games[[#This Row],[Result]]&gt;0.5,1,0),0)</f>
        <v>0</v>
      </c>
      <c r="AH144" s="2">
        <f>IF(AND(Games[[#This Row],[Type]]="P",Games[[#This Row],[Round]]=2),IF(Games[[#This Row],[Result]]&lt;0.5,1,0),0)</f>
        <v>0</v>
      </c>
      <c r="AI144" s="2">
        <f>IF(AND(Games[[#This Row],[Type]]="P",Games[[#This Row],[Round]]=3),IF(Games[[#This Row],[Result]]&gt;0.5,1,0),0)</f>
        <v>0</v>
      </c>
      <c r="AJ144" s="2">
        <f>IF(AND(Games[[#This Row],[Type]]="P",Games[[#This Row],[Round]]=3),IF(Games[[#This Row],[Result]]&lt;0.5,1,0),0)</f>
        <v>0</v>
      </c>
      <c r="AK144" s="2">
        <f>IF(AND(Games[[#This Row],[Type]]="P",Games[[#This Row],[Round]]=4),IF(Games[[#This Row],[Result]]&gt;0.5,1,0),0)</f>
        <v>0</v>
      </c>
      <c r="AL144" s="2">
        <f>IF(AND(Games[[#This Row],[Type]]="P",Games[[#This Row],[Round]]=4),IF(Games[[#This Row],[Result]]&lt;0.5,1,0),0)</f>
        <v>0</v>
      </c>
    </row>
    <row r="145" spans="1:38" x14ac:dyDescent="0.35">
      <c r="A145" s="10">
        <v>44364</v>
      </c>
      <c r="B145" s="2">
        <v>2021</v>
      </c>
      <c r="C145" s="2">
        <f>COUNTIFS(Games[Team],Games[[#This Row],[Team]],Games[Season],Games[[#This Row],[Season]],Games[Date],"&lt;=" &amp; Games[[#This Row],[Date]])</f>
        <v>13</v>
      </c>
      <c r="D145" s="2" t="s">
        <v>79</v>
      </c>
      <c r="E145" s="2" t="s">
        <v>80</v>
      </c>
      <c r="F145" s="1" t="s">
        <v>85</v>
      </c>
      <c r="G145" s="1" t="s">
        <v>60</v>
      </c>
      <c r="H145" s="1" t="s">
        <v>82</v>
      </c>
      <c r="I145" s="2" cm="1">
        <f t="array" ref="I14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5" s="2" cm="1">
        <f t="array" ref="J14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5" s="2">
        <f>Games[[#This Row],[DaysOff]]-Games[[#This Row],[OppDaysOff]]</f>
        <v>0</v>
      </c>
      <c r="L145" s="2">
        <f>Games[[#This Row],[OppDaysOff]]-Games[[#This Row],[DaysOff]]</f>
        <v>0</v>
      </c>
      <c r="M145" s="1">
        <f>MAX(-16, MIN(16, Games[[#This Row],[RestDiff]]*8))</f>
        <v>0</v>
      </c>
      <c r="N145" s="1">
        <f>MAX(-16, MIN(16, Games[[#This Row],[OppRestDiff]]*8))</f>
        <v>0</v>
      </c>
      <c r="O145" s="4" cm="1">
        <f t="array" ref="O1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1622.6667778492733</v>
      </c>
      <c r="P145" s="4" cm="1">
        <f t="array" ref="P1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1418.4499327844742</v>
      </c>
      <c r="Q145" s="4">
        <f>1/(1+10^(((Games[[#This Row],[OppPreGmRate]]+IF(Games[[#This Row],[HomeAway]]="A",HCA,0)+Games[[#This Row],[OppRestAdj]])-(Games[[#This Row],[PreGmRate]]+IF(Games[[#This Row],[HomeAway]]="H",HCA,0)+Games[[#This Row],[RestAdj]]))/400))</f>
        <v>0.84011843149834009</v>
      </c>
      <c r="R145" s="1">
        <v>103</v>
      </c>
      <c r="S145" s="1">
        <v>76</v>
      </c>
      <c r="T145" s="1">
        <v>0</v>
      </c>
      <c r="U145" s="1">
        <f>Games[[#This Row],[PointsFor]]-Games[[#This Row],[PointsAgainst]]</f>
        <v>27</v>
      </c>
      <c r="V145" s="1">
        <f>IF(Games[[#This Row],[MOV]]&gt;0,1,IF(Games[[#This Row],[MOV]]=0,0.5,0))</f>
        <v>1</v>
      </c>
      <c r="W145" s="4">
        <f>((ABS(Games[[#This Row],[MOV]])+5)^0.6)/(12+0.01*(ABS(Games[[#This Row],[PreGmRate]]-Games[[#This Row],[OppPreGmRate]])))*IF(Games[[#This Row],[OT]]=1,0.9,1)</f>
        <v>0.56971257880265846</v>
      </c>
      <c r="X145" s="7" cm="1">
        <f t="array" ref="X1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5" s="9">
        <f>MAX(kmin, kmax - 0.15 * MIN(Games[[#This Row],[GamesPlayed]], 82))</f>
        <v>74.05</v>
      </c>
      <c r="Z145" s="4">
        <f>Games[[#This Row],[K]]*Games[[#This Row],[POMult]]</f>
        <v>74.05</v>
      </c>
      <c r="AA145" s="4">
        <f>(Games[[#This Row],[Keff]]*Games[[#This Row],[MOVMult]])*(Games[[#This Row],[Result]]-Games[[#This Row],[ExpectedWin%]])</f>
        <v>6.7449583383977014</v>
      </c>
      <c r="AB145" s="4">
        <f>Games[[#This Row],[PreGmRate]]+Games[[#This Row],[RatingChange]]</f>
        <v>1629.4117361876711</v>
      </c>
      <c r="AC145" s="2">
        <f>IF(Games[[#This Row],[Type]]="R",IF(Games[[#This Row],[Result]]&gt;0.5,1,0),0)</f>
        <v>1</v>
      </c>
      <c r="AD145" s="2">
        <f>IF(Games[[#This Row],[Type]]="R",IF(Games[[#This Row],[Result]]&lt;0.5,1,0),0)</f>
        <v>0</v>
      </c>
      <c r="AE145" s="2">
        <f>IF(AND(Games[[#This Row],[Type]]="P",Games[[#This Row],[Round]]=1),IF(Games[[#This Row],[Result]]&gt;0.5,1,0),0)</f>
        <v>0</v>
      </c>
      <c r="AF145" s="2">
        <f>IF(AND(Games[[#This Row],[Type]]="P",Games[[#This Row],[Round]]=1),IF(Games[[#This Row],[Result]]&lt;0.5,1,0),0)</f>
        <v>0</v>
      </c>
      <c r="AG145" s="2">
        <f>IF(AND(Games[[#This Row],[Type]]="P",Games[[#This Row],[Round]]=2),IF(Games[[#This Row],[Result]]&gt;0.5,1,0),0)</f>
        <v>0</v>
      </c>
      <c r="AH145" s="2">
        <f>IF(AND(Games[[#This Row],[Type]]="P",Games[[#This Row],[Round]]=2),IF(Games[[#This Row],[Result]]&lt;0.5,1,0),0)</f>
        <v>0</v>
      </c>
      <c r="AI145" s="2">
        <f>IF(AND(Games[[#This Row],[Type]]="P",Games[[#This Row],[Round]]=3),IF(Games[[#This Row],[Result]]&gt;0.5,1,0),0)</f>
        <v>0</v>
      </c>
      <c r="AJ145" s="2">
        <f>IF(AND(Games[[#This Row],[Type]]="P",Games[[#This Row],[Round]]=3),IF(Games[[#This Row],[Result]]&lt;0.5,1,0),0)</f>
        <v>0</v>
      </c>
      <c r="AK145" s="2">
        <f>IF(AND(Games[[#This Row],[Type]]="P",Games[[#This Row],[Round]]=4),IF(Games[[#This Row],[Result]]&gt;0.5,1,0),0)</f>
        <v>0</v>
      </c>
      <c r="AL145" s="2">
        <f>IF(AND(Games[[#This Row],[Type]]="P",Games[[#This Row],[Round]]=4),IF(Games[[#This Row],[Result]]&lt;0.5,1,0),0)</f>
        <v>0</v>
      </c>
    </row>
    <row r="146" spans="1:38" x14ac:dyDescent="0.35">
      <c r="A146" s="10">
        <v>44364</v>
      </c>
      <c r="B146" s="2">
        <v>2021</v>
      </c>
      <c r="C146" s="2">
        <f>COUNTIFS(Games[Team],Games[[#This Row],[Team]],Games[Season],Games[[#This Row],[Season]],Games[Date],"&lt;=" &amp; Games[[#This Row],[Date]])</f>
        <v>12</v>
      </c>
      <c r="D146" s="2" t="s">
        <v>79</v>
      </c>
      <c r="E146" s="2" t="s">
        <v>80</v>
      </c>
      <c r="F146" s="1" t="s">
        <v>77</v>
      </c>
      <c r="G146" s="1" t="s">
        <v>65</v>
      </c>
      <c r="H146" s="1" t="s">
        <v>81</v>
      </c>
      <c r="I146" s="2" cm="1">
        <f t="array" ref="I146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6" s="2" cm="1">
        <f t="array" ref="J14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6" s="2">
        <f>Games[[#This Row],[DaysOff]]-Games[[#This Row],[OppDaysOff]]</f>
        <v>0</v>
      </c>
      <c r="L146" s="2">
        <f>Games[[#This Row],[OppDaysOff]]-Games[[#This Row],[DaysOff]]</f>
        <v>0</v>
      </c>
      <c r="M146" s="1">
        <f>MAX(-16, MIN(16, Games[[#This Row],[RestDiff]]*8))</f>
        <v>0</v>
      </c>
      <c r="N146" s="1">
        <f>MAX(-16, MIN(16, Games[[#This Row],[OppRestDiff]]*8))</f>
        <v>0</v>
      </c>
      <c r="O146" s="4" cm="1">
        <f t="array" ref="O1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1446.0496379732197</v>
      </c>
      <c r="P146" s="4" cm="1">
        <f t="array" ref="P1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1466.8586646615413</v>
      </c>
      <c r="Q146" s="4">
        <f>1/(1+10^(((Games[[#This Row],[OppPreGmRate]]+IF(Games[[#This Row],[HomeAway]]="A",HCA,0)+Games[[#This Row],[OppRestAdj]])-(Games[[#This Row],[PreGmRate]]+IF(Games[[#This Row],[HomeAway]]="H",HCA,0)+Games[[#This Row],[RestAdj]]))/400))</f>
        <v>0.35358238231629302</v>
      </c>
      <c r="R146" s="1">
        <v>93</v>
      </c>
      <c r="S146" s="1">
        <v>96</v>
      </c>
      <c r="T146" s="1">
        <v>0</v>
      </c>
      <c r="U146" s="1">
        <f>Games[[#This Row],[PointsFor]]-Games[[#This Row],[PointsAgainst]]</f>
        <v>-3</v>
      </c>
      <c r="V146" s="1">
        <f>IF(Games[[#This Row],[MOV]]&gt;0,1,IF(Games[[#This Row],[MOV]]=0,0.5,0))</f>
        <v>0</v>
      </c>
      <c r="W146" s="4">
        <f>((ABS(Games[[#This Row],[MOV]])+5)^0.6)/(12+0.01*(ABS(Games[[#This Row],[PreGmRate]]-Games[[#This Row],[OppPreGmRate]])))*IF(Games[[#This Row],[OT]]=1,0.9,1)</f>
        <v>0.28523726291823359</v>
      </c>
      <c r="X146" s="7" cm="1">
        <f t="array" ref="X1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6" s="9">
        <f>MAX(kmin, kmax - 0.15 * MIN(Games[[#This Row],[GamesPlayed]], 82))</f>
        <v>74.2</v>
      </c>
      <c r="Z146" s="4">
        <f>Games[[#This Row],[K]]*Games[[#This Row],[POMult]]</f>
        <v>74.2</v>
      </c>
      <c r="AA146" s="4">
        <f>(Games[[#This Row],[Keff]]*Games[[#This Row],[MOVMult]])*(Games[[#This Row],[Result]]-Games[[#This Row],[ExpectedWin%]])</f>
        <v>-7.4834314243421831</v>
      </c>
      <c r="AB146" s="4">
        <f>Games[[#This Row],[PreGmRate]]+Games[[#This Row],[RatingChange]]</f>
        <v>1438.5662065488775</v>
      </c>
      <c r="AC146" s="2">
        <f>IF(Games[[#This Row],[Type]]="R",IF(Games[[#This Row],[Result]]&gt;0.5,1,0),0)</f>
        <v>0</v>
      </c>
      <c r="AD146" s="2">
        <f>IF(Games[[#This Row],[Type]]="R",IF(Games[[#This Row],[Result]]&lt;0.5,1,0),0)</f>
        <v>1</v>
      </c>
      <c r="AE146" s="2">
        <f>IF(AND(Games[[#This Row],[Type]]="P",Games[[#This Row],[Round]]=1),IF(Games[[#This Row],[Result]]&gt;0.5,1,0),0)</f>
        <v>0</v>
      </c>
      <c r="AF146" s="2">
        <f>IF(AND(Games[[#This Row],[Type]]="P",Games[[#This Row],[Round]]=1),IF(Games[[#This Row],[Result]]&lt;0.5,1,0),0)</f>
        <v>0</v>
      </c>
      <c r="AG146" s="2">
        <f>IF(AND(Games[[#This Row],[Type]]="P",Games[[#This Row],[Round]]=2),IF(Games[[#This Row],[Result]]&gt;0.5,1,0),0)</f>
        <v>0</v>
      </c>
      <c r="AH146" s="2">
        <f>IF(AND(Games[[#This Row],[Type]]="P",Games[[#This Row],[Round]]=2),IF(Games[[#This Row],[Result]]&lt;0.5,1,0),0)</f>
        <v>0</v>
      </c>
      <c r="AI146" s="2">
        <f>IF(AND(Games[[#This Row],[Type]]="P",Games[[#This Row],[Round]]=3),IF(Games[[#This Row],[Result]]&gt;0.5,1,0),0)</f>
        <v>0</v>
      </c>
      <c r="AJ146" s="2">
        <f>IF(AND(Games[[#This Row],[Type]]="P",Games[[#This Row],[Round]]=3),IF(Games[[#This Row],[Result]]&lt;0.5,1,0),0)</f>
        <v>0</v>
      </c>
      <c r="AK146" s="2">
        <f>IF(AND(Games[[#This Row],[Type]]="P",Games[[#This Row],[Round]]=4),IF(Games[[#This Row],[Result]]&gt;0.5,1,0),0)</f>
        <v>0</v>
      </c>
      <c r="AL146" s="2">
        <f>IF(AND(Games[[#This Row],[Type]]="P",Games[[#This Row],[Round]]=4),IF(Games[[#This Row],[Result]]&lt;0.5,1,0),0)</f>
        <v>0</v>
      </c>
    </row>
    <row r="147" spans="1:38" x14ac:dyDescent="0.35">
      <c r="A147" s="10">
        <v>44364</v>
      </c>
      <c r="B147" s="2">
        <v>2021</v>
      </c>
      <c r="C147" s="2">
        <f>COUNTIFS(Games[Team],Games[[#This Row],[Team]],Games[Season],Games[[#This Row],[Season]],Games[Date],"&lt;=" &amp; Games[[#This Row],[Date]])</f>
        <v>11</v>
      </c>
      <c r="D147" s="2" t="s">
        <v>79</v>
      </c>
      <c r="E147" s="2" t="s">
        <v>80</v>
      </c>
      <c r="F147" s="1" t="s">
        <v>65</v>
      </c>
      <c r="G147" s="1" t="s">
        <v>77</v>
      </c>
      <c r="H147" s="1" t="s">
        <v>82</v>
      </c>
      <c r="I147" s="2" cm="1">
        <f t="array" ref="I147">IFERROR(
    Games[[#This Row],[Date]]
    - LOOKUP(
        2,
        1/((Games[Team]=Games[[#This Row],[Team]]) * (Games[Date] &lt; Games[[#This Row],[Date]])),
        Games[Date]
    )
    - 1,
Games[[#This Row],[Date]]-$A$2)</f>
        <v>3</v>
      </c>
      <c r="J147" s="2" cm="1">
        <f t="array" ref="J14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47" s="2">
        <f>Games[[#This Row],[DaysOff]]-Games[[#This Row],[OppDaysOff]]</f>
        <v>0</v>
      </c>
      <c r="L147" s="2">
        <f>Games[[#This Row],[OppDaysOff]]-Games[[#This Row],[DaysOff]]</f>
        <v>0</v>
      </c>
      <c r="M147" s="1">
        <f>MAX(-16, MIN(16, Games[[#This Row],[RestDiff]]*8))</f>
        <v>0</v>
      </c>
      <c r="N147" s="1">
        <f>MAX(-16, MIN(16, Games[[#This Row],[OppRestDiff]]*8))</f>
        <v>0</v>
      </c>
      <c r="O147" s="4" cm="1">
        <f t="array" ref="O1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1466.8586646615413</v>
      </c>
      <c r="P147" s="4" cm="1">
        <f t="array" ref="P1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1446.0496379732197</v>
      </c>
      <c r="Q147" s="4">
        <f>1/(1+10^(((Games[[#This Row],[OppPreGmRate]]+IF(Games[[#This Row],[HomeAway]]="A",HCA,0)+Games[[#This Row],[OppRestAdj]])-(Games[[#This Row],[PreGmRate]]+IF(Games[[#This Row],[HomeAway]]="H",HCA,0)+Games[[#This Row],[RestAdj]]))/400))</f>
        <v>0.64641761768370698</v>
      </c>
      <c r="R147" s="1">
        <v>96</v>
      </c>
      <c r="S147" s="1">
        <v>93</v>
      </c>
      <c r="T147" s="1">
        <v>0</v>
      </c>
      <c r="U147" s="1">
        <f>Games[[#This Row],[PointsFor]]-Games[[#This Row],[PointsAgainst]]</f>
        <v>3</v>
      </c>
      <c r="V147" s="1">
        <f>IF(Games[[#This Row],[MOV]]&gt;0,1,IF(Games[[#This Row],[MOV]]=0,0.5,0))</f>
        <v>1</v>
      </c>
      <c r="W147" s="4">
        <f>((ABS(Games[[#This Row],[MOV]])+5)^0.6)/(12+0.01*(ABS(Games[[#This Row],[PreGmRate]]-Games[[#This Row],[OppPreGmRate]])))*IF(Games[[#This Row],[OT]]=1,0.9,1)</f>
        <v>0.28523726291823359</v>
      </c>
      <c r="X147" s="7" cm="1">
        <f t="array" ref="X1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7" s="9">
        <f>MAX(kmin, kmax - 0.15 * MIN(Games[[#This Row],[GamesPlayed]], 82))</f>
        <v>74.349999999999994</v>
      </c>
      <c r="Z147" s="4">
        <f>Games[[#This Row],[K]]*Games[[#This Row],[POMult]]</f>
        <v>74.349999999999994</v>
      </c>
      <c r="AA147" s="4">
        <f>(Games[[#This Row],[Keff]]*Games[[#This Row],[MOVMult]])*(Games[[#This Row],[Result]]-Games[[#This Row],[ExpectedWin%]])</f>
        <v>7.4985596549843843</v>
      </c>
      <c r="AB147" s="4">
        <f>Games[[#This Row],[PreGmRate]]+Games[[#This Row],[RatingChange]]</f>
        <v>1474.3572243165256</v>
      </c>
      <c r="AC147" s="2">
        <f>IF(Games[[#This Row],[Type]]="R",IF(Games[[#This Row],[Result]]&gt;0.5,1,0),0)</f>
        <v>1</v>
      </c>
      <c r="AD147" s="2">
        <f>IF(Games[[#This Row],[Type]]="R",IF(Games[[#This Row],[Result]]&lt;0.5,1,0),0)</f>
        <v>0</v>
      </c>
      <c r="AE147" s="2">
        <f>IF(AND(Games[[#This Row],[Type]]="P",Games[[#This Row],[Round]]=1),IF(Games[[#This Row],[Result]]&gt;0.5,1,0),0)</f>
        <v>0</v>
      </c>
      <c r="AF147" s="2">
        <f>IF(AND(Games[[#This Row],[Type]]="P",Games[[#This Row],[Round]]=1),IF(Games[[#This Row],[Result]]&lt;0.5,1,0),0)</f>
        <v>0</v>
      </c>
      <c r="AG147" s="2">
        <f>IF(AND(Games[[#This Row],[Type]]="P",Games[[#This Row],[Round]]=2),IF(Games[[#This Row],[Result]]&gt;0.5,1,0),0)</f>
        <v>0</v>
      </c>
      <c r="AH147" s="2">
        <f>IF(AND(Games[[#This Row],[Type]]="P",Games[[#This Row],[Round]]=2),IF(Games[[#This Row],[Result]]&lt;0.5,1,0),0)</f>
        <v>0</v>
      </c>
      <c r="AI147" s="2">
        <f>IF(AND(Games[[#This Row],[Type]]="P",Games[[#This Row],[Round]]=3),IF(Games[[#This Row],[Result]]&gt;0.5,1,0),0)</f>
        <v>0</v>
      </c>
      <c r="AJ147" s="2">
        <f>IF(AND(Games[[#This Row],[Type]]="P",Games[[#This Row],[Round]]=3),IF(Games[[#This Row],[Result]]&lt;0.5,1,0),0)</f>
        <v>0</v>
      </c>
      <c r="AK147" s="2">
        <f>IF(AND(Games[[#This Row],[Type]]="P",Games[[#This Row],[Round]]=4),IF(Games[[#This Row],[Result]]&gt;0.5,1,0),0)</f>
        <v>0</v>
      </c>
      <c r="AL147" s="2">
        <f>IF(AND(Games[[#This Row],[Type]]="P",Games[[#This Row],[Round]]=4),IF(Games[[#This Row],[Result]]&lt;0.5,1,0),0)</f>
        <v>0</v>
      </c>
    </row>
    <row r="148" spans="1:38" x14ac:dyDescent="0.35">
      <c r="A148" s="10">
        <v>44365</v>
      </c>
      <c r="B148" s="2">
        <v>2021</v>
      </c>
      <c r="C148" s="2">
        <f>COUNTIFS(Games[Team],Games[[#This Row],[Team]],Games[Season],Games[[#This Row],[Season]],Games[Date],"&lt;=" &amp; Games[[#This Row],[Date]])</f>
        <v>13</v>
      </c>
      <c r="D148" s="2" t="s">
        <v>79</v>
      </c>
      <c r="E148" s="2" t="s">
        <v>80</v>
      </c>
      <c r="F148" s="1" t="s">
        <v>40</v>
      </c>
      <c r="G148" s="1" t="s">
        <v>63</v>
      </c>
      <c r="H148" s="1" t="s">
        <v>81</v>
      </c>
      <c r="I148" s="2" cm="1">
        <f t="array" ref="I14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8" s="2" cm="1">
        <f t="array" ref="J1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8" s="2">
        <f>Games[[#This Row],[DaysOff]]-Games[[#This Row],[OppDaysOff]]</f>
        <v>0</v>
      </c>
      <c r="L148" s="2">
        <f>Games[[#This Row],[OppDaysOff]]-Games[[#This Row],[DaysOff]]</f>
        <v>0</v>
      </c>
      <c r="M148" s="1">
        <f>MAX(-16, MIN(16, Games[[#This Row],[RestDiff]]*8))</f>
        <v>0</v>
      </c>
      <c r="N148" s="1">
        <f>MAX(-16, MIN(16, Games[[#This Row],[OppRestDiff]]*8))</f>
        <v>0</v>
      </c>
      <c r="O148" s="4" cm="1">
        <f t="array" ref="O1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1465.8153345546777</v>
      </c>
      <c r="P148" s="4" cm="1">
        <f t="array" ref="P1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1494.5468027235365</v>
      </c>
      <c r="Q148" s="4">
        <f>1/(1+10^(((Games[[#This Row],[OppPreGmRate]]+IF(Games[[#This Row],[HomeAway]]="A",HCA,0)+Games[[#This Row],[OppRestAdj]])-(Games[[#This Row],[PreGmRate]]+IF(Games[[#This Row],[HomeAway]]="H",HCA,0)+Games[[#This Row],[RestAdj]]))/400))</f>
        <v>0.34322968653040747</v>
      </c>
      <c r="R148" s="1">
        <v>80</v>
      </c>
      <c r="S148" s="1">
        <v>66</v>
      </c>
      <c r="T148" s="1">
        <v>0</v>
      </c>
      <c r="U148" s="1">
        <f>Games[[#This Row],[PointsFor]]-Games[[#This Row],[PointsAgainst]]</f>
        <v>14</v>
      </c>
      <c r="V148" s="1">
        <f>IF(Games[[#This Row],[MOV]]&gt;0,1,IF(Games[[#This Row],[MOV]]=0,0.5,0))</f>
        <v>1</v>
      </c>
      <c r="W148" s="4">
        <f>((ABS(Games[[#This Row],[MOV]])+5)^0.6)/(12+0.01*(ABS(Games[[#This Row],[PreGmRate]]-Games[[#This Row],[OppPreGmRate]])))*IF(Games[[#This Row],[OT]]=1,0.9,1)</f>
        <v>0.476206347276938</v>
      </c>
      <c r="X148" s="7" cm="1">
        <f t="array" ref="X1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8" s="9">
        <f>MAX(kmin, kmax - 0.15 * MIN(Games[[#This Row],[GamesPlayed]], 82))</f>
        <v>74.05</v>
      </c>
      <c r="Z148" s="4">
        <f>Games[[#This Row],[K]]*Games[[#This Row],[POMult]]</f>
        <v>74.05</v>
      </c>
      <c r="AA148" s="4">
        <f>(Games[[#This Row],[Keff]]*Games[[#This Row],[MOVMult]])*(Games[[#This Row],[Result]]-Games[[#This Row],[ExpectedWin%]])</f>
        <v>23.159744115917896</v>
      </c>
      <c r="AB148" s="4">
        <f>Games[[#This Row],[PreGmRate]]+Games[[#This Row],[RatingChange]]</f>
        <v>1488.9750786705956</v>
      </c>
      <c r="AC148" s="2">
        <f>IF(Games[[#This Row],[Type]]="R",IF(Games[[#This Row],[Result]]&gt;0.5,1,0),0)</f>
        <v>1</v>
      </c>
      <c r="AD148" s="2">
        <f>IF(Games[[#This Row],[Type]]="R",IF(Games[[#This Row],[Result]]&lt;0.5,1,0),0)</f>
        <v>0</v>
      </c>
      <c r="AE148" s="2">
        <f>IF(AND(Games[[#This Row],[Type]]="P",Games[[#This Row],[Round]]=1),IF(Games[[#This Row],[Result]]&gt;0.5,1,0),0)</f>
        <v>0</v>
      </c>
      <c r="AF148" s="2">
        <f>IF(AND(Games[[#This Row],[Type]]="P",Games[[#This Row],[Round]]=1),IF(Games[[#This Row],[Result]]&lt;0.5,1,0),0)</f>
        <v>0</v>
      </c>
      <c r="AG148" s="2">
        <f>IF(AND(Games[[#This Row],[Type]]="P",Games[[#This Row],[Round]]=2),IF(Games[[#This Row],[Result]]&gt;0.5,1,0),0)</f>
        <v>0</v>
      </c>
      <c r="AH148" s="2">
        <f>IF(AND(Games[[#This Row],[Type]]="P",Games[[#This Row],[Round]]=2),IF(Games[[#This Row],[Result]]&lt;0.5,1,0),0)</f>
        <v>0</v>
      </c>
      <c r="AI148" s="2">
        <f>IF(AND(Games[[#This Row],[Type]]="P",Games[[#This Row],[Round]]=3),IF(Games[[#This Row],[Result]]&gt;0.5,1,0),0)</f>
        <v>0</v>
      </c>
      <c r="AJ148" s="2">
        <f>IF(AND(Games[[#This Row],[Type]]="P",Games[[#This Row],[Round]]=3),IF(Games[[#This Row],[Result]]&lt;0.5,1,0),0)</f>
        <v>0</v>
      </c>
      <c r="AK148" s="2">
        <f>IF(AND(Games[[#This Row],[Type]]="P",Games[[#This Row],[Round]]=4),IF(Games[[#This Row],[Result]]&gt;0.5,1,0),0)</f>
        <v>0</v>
      </c>
      <c r="AL148" s="2">
        <f>IF(AND(Games[[#This Row],[Type]]="P",Games[[#This Row],[Round]]=4),IF(Games[[#This Row],[Result]]&lt;0.5,1,0),0)</f>
        <v>0</v>
      </c>
    </row>
    <row r="149" spans="1:38" x14ac:dyDescent="0.35">
      <c r="A149" s="10">
        <v>44365</v>
      </c>
      <c r="B149" s="2">
        <v>2021</v>
      </c>
      <c r="C149" s="2">
        <f>COUNTIFS(Games[Team],Games[[#This Row],[Team]],Games[Season],Games[[#This Row],[Season]],Games[Date],"&lt;=" &amp; Games[[#This Row],[Date]])</f>
        <v>11</v>
      </c>
      <c r="D149" s="2" t="s">
        <v>79</v>
      </c>
      <c r="E149" s="2" t="s">
        <v>80</v>
      </c>
      <c r="F149" s="1" t="s">
        <v>63</v>
      </c>
      <c r="G149" s="1" t="s">
        <v>40</v>
      </c>
      <c r="H149" s="1" t="s">
        <v>82</v>
      </c>
      <c r="I149" s="2" cm="1">
        <f t="array" ref="I1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49" s="2" cm="1">
        <f t="array" ref="J14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49" s="2">
        <f>Games[[#This Row],[DaysOff]]-Games[[#This Row],[OppDaysOff]]</f>
        <v>0</v>
      </c>
      <c r="L149" s="2">
        <f>Games[[#This Row],[OppDaysOff]]-Games[[#This Row],[DaysOff]]</f>
        <v>0</v>
      </c>
      <c r="M149" s="1">
        <f>MAX(-16, MIN(16, Games[[#This Row],[RestDiff]]*8))</f>
        <v>0</v>
      </c>
      <c r="N149" s="1">
        <f>MAX(-16, MIN(16, Games[[#This Row],[OppRestDiff]]*8))</f>
        <v>0</v>
      </c>
      <c r="O149" s="4" cm="1">
        <f t="array" ref="O1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1494.5468027235365</v>
      </c>
      <c r="P149" s="4" cm="1">
        <f t="array" ref="P1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1465.8153345546777</v>
      </c>
      <c r="Q149" s="4">
        <f>1/(1+10^(((Games[[#This Row],[OppPreGmRate]]+IF(Games[[#This Row],[HomeAway]]="A",HCA,0)+Games[[#This Row],[OppRestAdj]])-(Games[[#This Row],[PreGmRate]]+IF(Games[[#This Row],[HomeAway]]="H",HCA,0)+Games[[#This Row],[RestAdj]]))/400))</f>
        <v>0.65677031346959247</v>
      </c>
      <c r="R149" s="1">
        <v>66</v>
      </c>
      <c r="S149" s="1">
        <v>80</v>
      </c>
      <c r="T149" s="1">
        <v>0</v>
      </c>
      <c r="U149" s="1">
        <f>Games[[#This Row],[PointsFor]]-Games[[#This Row],[PointsAgainst]]</f>
        <v>-14</v>
      </c>
      <c r="V149" s="1">
        <f>IF(Games[[#This Row],[MOV]]&gt;0,1,IF(Games[[#This Row],[MOV]]=0,0.5,0))</f>
        <v>0</v>
      </c>
      <c r="W149" s="4">
        <f>((ABS(Games[[#This Row],[MOV]])+5)^0.6)/(12+0.01*(ABS(Games[[#This Row],[PreGmRate]]-Games[[#This Row],[OppPreGmRate]])))*IF(Games[[#This Row],[OT]]=1,0.9,1)</f>
        <v>0.476206347276938</v>
      </c>
      <c r="X149" s="7" cm="1">
        <f t="array" ref="X1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49" s="9">
        <f>MAX(kmin, kmax - 0.15 * MIN(Games[[#This Row],[GamesPlayed]], 82))</f>
        <v>74.349999999999994</v>
      </c>
      <c r="Z149" s="4">
        <f>Games[[#This Row],[K]]*Games[[#This Row],[POMult]]</f>
        <v>74.349999999999994</v>
      </c>
      <c r="AA149" s="4">
        <f>(Games[[#This Row],[Keff]]*Games[[#This Row],[MOVMult]])*(Games[[#This Row],[Result]]-Games[[#This Row],[ExpectedWin%]])</f>
        <v>-23.253571573511081</v>
      </c>
      <c r="AB149" s="4">
        <f>Games[[#This Row],[PreGmRate]]+Games[[#This Row],[RatingChange]]</f>
        <v>1471.2932311500253</v>
      </c>
      <c r="AC149" s="2">
        <f>IF(Games[[#This Row],[Type]]="R",IF(Games[[#This Row],[Result]]&gt;0.5,1,0),0)</f>
        <v>0</v>
      </c>
      <c r="AD149" s="2">
        <f>IF(Games[[#This Row],[Type]]="R",IF(Games[[#This Row],[Result]]&lt;0.5,1,0),0)</f>
        <v>1</v>
      </c>
      <c r="AE149" s="2">
        <f>IF(AND(Games[[#This Row],[Type]]="P",Games[[#This Row],[Round]]=1),IF(Games[[#This Row],[Result]]&gt;0.5,1,0),0)</f>
        <v>0</v>
      </c>
      <c r="AF149" s="2">
        <f>IF(AND(Games[[#This Row],[Type]]="P",Games[[#This Row],[Round]]=1),IF(Games[[#This Row],[Result]]&lt;0.5,1,0),0)</f>
        <v>0</v>
      </c>
      <c r="AG149" s="2">
        <f>IF(AND(Games[[#This Row],[Type]]="P",Games[[#This Row],[Round]]=2),IF(Games[[#This Row],[Result]]&gt;0.5,1,0),0)</f>
        <v>0</v>
      </c>
      <c r="AH149" s="2">
        <f>IF(AND(Games[[#This Row],[Type]]="P",Games[[#This Row],[Round]]=2),IF(Games[[#This Row],[Result]]&lt;0.5,1,0),0)</f>
        <v>0</v>
      </c>
      <c r="AI149" s="2">
        <f>IF(AND(Games[[#This Row],[Type]]="P",Games[[#This Row],[Round]]=3),IF(Games[[#This Row],[Result]]&gt;0.5,1,0),0)</f>
        <v>0</v>
      </c>
      <c r="AJ149" s="2">
        <f>IF(AND(Games[[#This Row],[Type]]="P",Games[[#This Row],[Round]]=3),IF(Games[[#This Row],[Result]]&lt;0.5,1,0),0)</f>
        <v>0</v>
      </c>
      <c r="AK149" s="2">
        <f>IF(AND(Games[[#This Row],[Type]]="P",Games[[#This Row],[Round]]=4),IF(Games[[#This Row],[Result]]&gt;0.5,1,0),0)</f>
        <v>0</v>
      </c>
      <c r="AL149" s="2">
        <f>IF(AND(Games[[#This Row],[Type]]="P",Games[[#This Row],[Round]]=4),IF(Games[[#This Row],[Result]]&lt;0.5,1,0),0)</f>
        <v>0</v>
      </c>
    </row>
    <row r="150" spans="1:38" x14ac:dyDescent="0.35">
      <c r="A150" s="10">
        <v>44366</v>
      </c>
      <c r="B150" s="2">
        <v>2021</v>
      </c>
      <c r="C150" s="2">
        <f>COUNTIFS(Games[Team],Games[[#This Row],[Team]],Games[Season],Games[[#This Row],[Season]],Games[Date],"&lt;=" &amp; Games[[#This Row],[Date]])</f>
        <v>13</v>
      </c>
      <c r="D150" s="2" t="s">
        <v>79</v>
      </c>
      <c r="E150" s="2" t="s">
        <v>80</v>
      </c>
      <c r="F150" s="1" t="s">
        <v>74</v>
      </c>
      <c r="G150" s="1" t="s">
        <v>75</v>
      </c>
      <c r="H150" s="1" t="s">
        <v>81</v>
      </c>
      <c r="I150" s="2" cm="1">
        <f t="array" ref="I1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0" s="2" cm="1">
        <f t="array" ref="J15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0" s="2">
        <f>Games[[#This Row],[DaysOff]]-Games[[#This Row],[OppDaysOff]]</f>
        <v>0</v>
      </c>
      <c r="L150" s="2">
        <f>Games[[#This Row],[OppDaysOff]]-Games[[#This Row],[DaysOff]]</f>
        <v>0</v>
      </c>
      <c r="M150" s="1">
        <f>MAX(-16, MIN(16, Games[[#This Row],[RestDiff]]*8))</f>
        <v>0</v>
      </c>
      <c r="N150" s="1">
        <f>MAX(-16, MIN(16, Games[[#This Row],[OppRestDiff]]*8))</f>
        <v>0</v>
      </c>
      <c r="O150" s="4" cm="1">
        <f t="array" ref="O1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1575.8848580368285</v>
      </c>
      <c r="P150" s="4" cm="1">
        <f t="array" ref="P1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1503.0123891874639</v>
      </c>
      <c r="Q150" s="4">
        <f>1/(1+10^(((Games[[#This Row],[OppPreGmRate]]+IF(Games[[#This Row],[HomeAway]]="A",HCA,0)+Games[[#This Row],[OppRestAdj]])-(Games[[#This Row],[PreGmRate]]+IF(Games[[#This Row],[HomeAway]]="H",HCA,0)+Games[[#This Row],[RestAdj]]))/400))</f>
        <v>0.4839916686424402</v>
      </c>
      <c r="R150" s="1">
        <v>81</v>
      </c>
      <c r="S150" s="1">
        <v>91</v>
      </c>
      <c r="T150" s="1">
        <v>0</v>
      </c>
      <c r="U150" s="1">
        <f>Games[[#This Row],[PointsFor]]-Games[[#This Row],[PointsAgainst]]</f>
        <v>-10</v>
      </c>
      <c r="V150" s="1">
        <f>IF(Games[[#This Row],[MOV]]&gt;0,1,IF(Games[[#This Row],[MOV]]=0,0.5,0))</f>
        <v>0</v>
      </c>
      <c r="W150" s="4">
        <f>((ABS(Games[[#This Row],[MOV]])+5)^0.6)/(12+0.01*(ABS(Games[[#This Row],[PreGmRate]]-Games[[#This Row],[OppPreGmRate]])))*IF(Games[[#This Row],[OT]]=1,0.9,1)</f>
        <v>0.39890535118395276</v>
      </c>
      <c r="X150" s="7" cm="1">
        <f t="array" ref="X1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0" s="9">
        <f>MAX(kmin, kmax - 0.15 * MIN(Games[[#This Row],[GamesPlayed]], 82))</f>
        <v>74.05</v>
      </c>
      <c r="Z150" s="4">
        <f>Games[[#This Row],[K]]*Games[[#This Row],[POMult]]</f>
        <v>74.05</v>
      </c>
      <c r="AA150" s="4">
        <f>(Games[[#This Row],[Keff]]*Games[[#This Row],[MOVMult]])*(Games[[#This Row],[Result]]-Games[[#This Row],[ExpectedWin%]])</f>
        <v>-14.296601468021567</v>
      </c>
      <c r="AB150" s="4">
        <f>Games[[#This Row],[PreGmRate]]+Games[[#This Row],[RatingChange]]</f>
        <v>1561.5882565688069</v>
      </c>
      <c r="AC150" s="2">
        <f>IF(Games[[#This Row],[Type]]="R",IF(Games[[#This Row],[Result]]&gt;0.5,1,0),0)</f>
        <v>0</v>
      </c>
      <c r="AD150" s="2">
        <f>IF(Games[[#This Row],[Type]]="R",IF(Games[[#This Row],[Result]]&lt;0.5,1,0),0)</f>
        <v>1</v>
      </c>
      <c r="AE150" s="2">
        <f>IF(AND(Games[[#This Row],[Type]]="P",Games[[#This Row],[Round]]=1),IF(Games[[#This Row],[Result]]&gt;0.5,1,0),0)</f>
        <v>0</v>
      </c>
      <c r="AF150" s="2">
        <f>IF(AND(Games[[#This Row],[Type]]="P",Games[[#This Row],[Round]]=1),IF(Games[[#This Row],[Result]]&lt;0.5,1,0),0)</f>
        <v>0</v>
      </c>
      <c r="AG150" s="2">
        <f>IF(AND(Games[[#This Row],[Type]]="P",Games[[#This Row],[Round]]=2),IF(Games[[#This Row],[Result]]&gt;0.5,1,0),0)</f>
        <v>0</v>
      </c>
      <c r="AH150" s="2">
        <f>IF(AND(Games[[#This Row],[Type]]="P",Games[[#This Row],[Round]]=2),IF(Games[[#This Row],[Result]]&lt;0.5,1,0),0)</f>
        <v>0</v>
      </c>
      <c r="AI150" s="2">
        <f>IF(AND(Games[[#This Row],[Type]]="P",Games[[#This Row],[Round]]=3),IF(Games[[#This Row],[Result]]&gt;0.5,1,0),0)</f>
        <v>0</v>
      </c>
      <c r="AJ150" s="2">
        <f>IF(AND(Games[[#This Row],[Type]]="P",Games[[#This Row],[Round]]=3),IF(Games[[#This Row],[Result]]&lt;0.5,1,0),0)</f>
        <v>0</v>
      </c>
      <c r="AK150" s="2">
        <f>IF(AND(Games[[#This Row],[Type]]="P",Games[[#This Row],[Round]]=4),IF(Games[[#This Row],[Result]]&gt;0.5,1,0),0)</f>
        <v>0</v>
      </c>
      <c r="AL150" s="2">
        <f>IF(AND(Games[[#This Row],[Type]]="P",Games[[#This Row],[Round]]=4),IF(Games[[#This Row],[Result]]&lt;0.5,1,0),0)</f>
        <v>0</v>
      </c>
    </row>
    <row r="151" spans="1:38" x14ac:dyDescent="0.35">
      <c r="A151" s="10">
        <v>44366</v>
      </c>
      <c r="B151" s="2">
        <v>2021</v>
      </c>
      <c r="C151" s="2">
        <f>COUNTIFS(Games[Team],Games[[#This Row],[Team]],Games[Season],Games[[#This Row],[Season]],Games[Date],"&lt;=" &amp; Games[[#This Row],[Date]])</f>
        <v>14</v>
      </c>
      <c r="D151" s="2" t="s">
        <v>79</v>
      </c>
      <c r="E151" s="2" t="s">
        <v>80</v>
      </c>
      <c r="F151" s="1" t="s">
        <v>75</v>
      </c>
      <c r="G151" s="1" t="s">
        <v>74</v>
      </c>
      <c r="H151" s="1" t="s">
        <v>82</v>
      </c>
      <c r="I151" s="2" cm="1">
        <f t="array" ref="I15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1" s="2" cm="1">
        <f t="array" ref="J1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1" s="2">
        <f>Games[[#This Row],[DaysOff]]-Games[[#This Row],[OppDaysOff]]</f>
        <v>0</v>
      </c>
      <c r="L151" s="2">
        <f>Games[[#This Row],[OppDaysOff]]-Games[[#This Row],[DaysOff]]</f>
        <v>0</v>
      </c>
      <c r="M151" s="1">
        <f>MAX(-16, MIN(16, Games[[#This Row],[RestDiff]]*8))</f>
        <v>0</v>
      </c>
      <c r="N151" s="1">
        <f>MAX(-16, MIN(16, Games[[#This Row],[OppRestDiff]]*8))</f>
        <v>0</v>
      </c>
      <c r="O151" s="4" cm="1">
        <f t="array" ref="O1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1503.0123891874639</v>
      </c>
      <c r="P151" s="4" cm="1">
        <f t="array" ref="P1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1575.8848580368285</v>
      </c>
      <c r="Q151" s="4">
        <f>1/(1+10^(((Games[[#This Row],[OppPreGmRate]]+IF(Games[[#This Row],[HomeAway]]="A",HCA,0)+Games[[#This Row],[OppRestAdj]])-(Games[[#This Row],[PreGmRate]]+IF(Games[[#This Row],[HomeAway]]="H",HCA,0)+Games[[#This Row],[RestAdj]]))/400))</f>
        <v>0.51600833135755975</v>
      </c>
      <c r="R151" s="1">
        <v>91</v>
      </c>
      <c r="S151" s="1">
        <v>81</v>
      </c>
      <c r="T151" s="1">
        <v>0</v>
      </c>
      <c r="U151" s="1">
        <f>Games[[#This Row],[PointsFor]]-Games[[#This Row],[PointsAgainst]]</f>
        <v>10</v>
      </c>
      <c r="V151" s="1">
        <f>IF(Games[[#This Row],[MOV]]&gt;0,1,IF(Games[[#This Row],[MOV]]=0,0.5,0))</f>
        <v>1</v>
      </c>
      <c r="W151" s="4">
        <f>((ABS(Games[[#This Row],[MOV]])+5)^0.6)/(12+0.01*(ABS(Games[[#This Row],[PreGmRate]]-Games[[#This Row],[OppPreGmRate]])))*IF(Games[[#This Row],[OT]]=1,0.9,1)</f>
        <v>0.39890535118395276</v>
      </c>
      <c r="X151" s="7" cm="1">
        <f t="array" ref="X1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1" s="9">
        <f>MAX(kmin, kmax - 0.15 * MIN(Games[[#This Row],[GamesPlayed]], 82))</f>
        <v>73.900000000000006</v>
      </c>
      <c r="Z151" s="4">
        <f>Games[[#This Row],[K]]*Games[[#This Row],[POMult]]</f>
        <v>73.900000000000006</v>
      </c>
      <c r="AA151" s="4">
        <f>(Games[[#This Row],[Keff]]*Games[[#This Row],[MOVMult]])*(Games[[#This Row],[Result]]-Games[[#This Row],[ExpectedWin%]])</f>
        <v>14.267641438039083</v>
      </c>
      <c r="AB151" s="4">
        <f>Games[[#This Row],[PreGmRate]]+Games[[#This Row],[RatingChange]]</f>
        <v>1517.2800306255031</v>
      </c>
      <c r="AC151" s="2">
        <f>IF(Games[[#This Row],[Type]]="R",IF(Games[[#This Row],[Result]]&gt;0.5,1,0),0)</f>
        <v>1</v>
      </c>
      <c r="AD151" s="2">
        <f>IF(Games[[#This Row],[Type]]="R",IF(Games[[#This Row],[Result]]&lt;0.5,1,0),0)</f>
        <v>0</v>
      </c>
      <c r="AE151" s="2">
        <f>IF(AND(Games[[#This Row],[Type]]="P",Games[[#This Row],[Round]]=1),IF(Games[[#This Row],[Result]]&gt;0.5,1,0),0)</f>
        <v>0</v>
      </c>
      <c r="AF151" s="2">
        <f>IF(AND(Games[[#This Row],[Type]]="P",Games[[#This Row],[Round]]=1),IF(Games[[#This Row],[Result]]&lt;0.5,1,0),0)</f>
        <v>0</v>
      </c>
      <c r="AG151" s="2">
        <f>IF(AND(Games[[#This Row],[Type]]="P",Games[[#This Row],[Round]]=2),IF(Games[[#This Row],[Result]]&gt;0.5,1,0),0)</f>
        <v>0</v>
      </c>
      <c r="AH151" s="2">
        <f>IF(AND(Games[[#This Row],[Type]]="P",Games[[#This Row],[Round]]=2),IF(Games[[#This Row],[Result]]&lt;0.5,1,0),0)</f>
        <v>0</v>
      </c>
      <c r="AI151" s="2">
        <f>IF(AND(Games[[#This Row],[Type]]="P",Games[[#This Row],[Round]]=3),IF(Games[[#This Row],[Result]]&gt;0.5,1,0),0)</f>
        <v>0</v>
      </c>
      <c r="AJ151" s="2">
        <f>IF(AND(Games[[#This Row],[Type]]="P",Games[[#This Row],[Round]]=3),IF(Games[[#This Row],[Result]]&lt;0.5,1,0),0)</f>
        <v>0</v>
      </c>
      <c r="AK151" s="2">
        <f>IF(AND(Games[[#This Row],[Type]]="P",Games[[#This Row],[Round]]=4),IF(Games[[#This Row],[Result]]&gt;0.5,1,0),0)</f>
        <v>0</v>
      </c>
      <c r="AL151" s="2">
        <f>IF(AND(Games[[#This Row],[Type]]="P",Games[[#This Row],[Round]]=4),IF(Games[[#This Row],[Result]]&lt;0.5,1,0),0)</f>
        <v>0</v>
      </c>
    </row>
    <row r="152" spans="1:38" x14ac:dyDescent="0.35">
      <c r="A152" s="10">
        <v>44366</v>
      </c>
      <c r="B152" s="2">
        <v>2021</v>
      </c>
      <c r="C152" s="2">
        <f>COUNTIFS(Games[Team],Games[[#This Row],[Team]],Games[Season],Games[[#This Row],[Season]],Games[Date],"&lt;=" &amp; Games[[#This Row],[Date]])</f>
        <v>12</v>
      </c>
      <c r="D152" s="2" t="s">
        <v>79</v>
      </c>
      <c r="E152" s="2" t="s">
        <v>80</v>
      </c>
      <c r="F152" s="1" t="s">
        <v>67</v>
      </c>
      <c r="G152" s="1" t="s">
        <v>84</v>
      </c>
      <c r="H152" s="1" t="s">
        <v>81</v>
      </c>
      <c r="I152" s="2" cm="1">
        <f t="array" ref="I152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2" s="2" cm="1">
        <f t="array" ref="J15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2" s="2">
        <f>Games[[#This Row],[DaysOff]]-Games[[#This Row],[OppDaysOff]]</f>
        <v>0</v>
      </c>
      <c r="L152" s="2">
        <f>Games[[#This Row],[OppDaysOff]]-Games[[#This Row],[DaysOff]]</f>
        <v>0</v>
      </c>
      <c r="M152" s="1">
        <f>MAX(-16, MIN(16, Games[[#This Row],[RestDiff]]*8))</f>
        <v>0</v>
      </c>
      <c r="N152" s="1">
        <f>MAX(-16, MIN(16, Games[[#This Row],[OppRestDiff]]*8))</f>
        <v>0</v>
      </c>
      <c r="O152" s="4" cm="1">
        <f t="array" ref="O1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1504.2716620886511</v>
      </c>
      <c r="P152" s="4" cm="1">
        <f t="array" ref="P1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1482.554349153392</v>
      </c>
      <c r="Q152" s="4">
        <f>1/(1+10^(((Games[[#This Row],[OppPreGmRate]]+IF(Games[[#This Row],[HomeAway]]="A",HCA,0)+Games[[#This Row],[OppRestAdj]])-(Games[[#This Row],[PreGmRate]]+IF(Games[[#This Row],[HomeAway]]="H",HCA,0)+Games[[#This Row],[RestAdj]]))/400))</f>
        <v>0.41131595027596923</v>
      </c>
      <c r="R152" s="1">
        <v>77</v>
      </c>
      <c r="S152" s="1">
        <v>95</v>
      </c>
      <c r="T152" s="1">
        <v>0</v>
      </c>
      <c r="U152" s="1">
        <f>Games[[#This Row],[PointsFor]]-Games[[#This Row],[PointsAgainst]]</f>
        <v>-18</v>
      </c>
      <c r="V152" s="1">
        <f>IF(Games[[#This Row],[MOV]]&gt;0,1,IF(Games[[#This Row],[MOV]]=0,0.5,0))</f>
        <v>0</v>
      </c>
      <c r="W152" s="4">
        <f>((ABS(Games[[#This Row],[MOV]])+5)^0.6)/(12+0.01*(ABS(Games[[#This Row],[PreGmRate]]-Games[[#This Row],[OppPreGmRate]])))*IF(Games[[#This Row],[OT]]=1,0.9,1)</f>
        <v>0.53711338261632591</v>
      </c>
      <c r="X152" s="7" cm="1">
        <f t="array" ref="X1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2" s="9">
        <f>MAX(kmin, kmax - 0.15 * MIN(Games[[#This Row],[GamesPlayed]], 82))</f>
        <v>74.2</v>
      </c>
      <c r="Z152" s="4">
        <f>Games[[#This Row],[K]]*Games[[#This Row],[POMult]]</f>
        <v>74.2</v>
      </c>
      <c r="AA152" s="4">
        <f>(Games[[#This Row],[Keff]]*Games[[#This Row],[MOVMult]])*(Games[[#This Row],[Result]]-Games[[#This Row],[ExpectedWin%]])</f>
        <v>-16.392508962156654</v>
      </c>
      <c r="AB152" s="4">
        <f>Games[[#This Row],[PreGmRate]]+Games[[#This Row],[RatingChange]]</f>
        <v>1487.8791531264944</v>
      </c>
      <c r="AC152" s="2">
        <f>IF(Games[[#This Row],[Type]]="R",IF(Games[[#This Row],[Result]]&gt;0.5,1,0),0)</f>
        <v>0</v>
      </c>
      <c r="AD152" s="2">
        <f>IF(Games[[#This Row],[Type]]="R",IF(Games[[#This Row],[Result]]&lt;0.5,1,0),0)</f>
        <v>1</v>
      </c>
      <c r="AE152" s="2">
        <f>IF(AND(Games[[#This Row],[Type]]="P",Games[[#This Row],[Round]]=1),IF(Games[[#This Row],[Result]]&gt;0.5,1,0),0)</f>
        <v>0</v>
      </c>
      <c r="AF152" s="2">
        <f>IF(AND(Games[[#This Row],[Type]]="P",Games[[#This Row],[Round]]=1),IF(Games[[#This Row],[Result]]&lt;0.5,1,0),0)</f>
        <v>0</v>
      </c>
      <c r="AG152" s="2">
        <f>IF(AND(Games[[#This Row],[Type]]="P",Games[[#This Row],[Round]]=2),IF(Games[[#This Row],[Result]]&gt;0.5,1,0),0)</f>
        <v>0</v>
      </c>
      <c r="AH152" s="2">
        <f>IF(AND(Games[[#This Row],[Type]]="P",Games[[#This Row],[Round]]=2),IF(Games[[#This Row],[Result]]&lt;0.5,1,0),0)</f>
        <v>0</v>
      </c>
      <c r="AI152" s="2">
        <f>IF(AND(Games[[#This Row],[Type]]="P",Games[[#This Row],[Round]]=3),IF(Games[[#This Row],[Result]]&gt;0.5,1,0),0)</f>
        <v>0</v>
      </c>
      <c r="AJ152" s="2">
        <f>IF(AND(Games[[#This Row],[Type]]="P",Games[[#This Row],[Round]]=3),IF(Games[[#This Row],[Result]]&lt;0.5,1,0),0)</f>
        <v>0</v>
      </c>
      <c r="AK152" s="2">
        <f>IF(AND(Games[[#This Row],[Type]]="P",Games[[#This Row],[Round]]=4),IF(Games[[#This Row],[Result]]&gt;0.5,1,0),0)</f>
        <v>0</v>
      </c>
      <c r="AL152" s="2">
        <f>IF(AND(Games[[#This Row],[Type]]="P",Games[[#This Row],[Round]]=4),IF(Games[[#This Row],[Result]]&lt;0.5,1,0),0)</f>
        <v>0</v>
      </c>
    </row>
    <row r="153" spans="1:38" x14ac:dyDescent="0.35">
      <c r="A153" s="10">
        <v>44366</v>
      </c>
      <c r="B153" s="2">
        <v>2021</v>
      </c>
      <c r="C153" s="2">
        <f>COUNTIFS(Games[Team],Games[[#This Row],[Team]],Games[Season],Games[[#This Row],[Season]],Games[Date],"&lt;=" &amp; Games[[#This Row],[Date]])</f>
        <v>13</v>
      </c>
      <c r="D153" s="2" t="s">
        <v>79</v>
      </c>
      <c r="E153" s="2" t="s">
        <v>80</v>
      </c>
      <c r="F153" s="1" t="s">
        <v>84</v>
      </c>
      <c r="G153" s="1" t="s">
        <v>67</v>
      </c>
      <c r="H153" s="1" t="s">
        <v>82</v>
      </c>
      <c r="I153" s="2" cm="1">
        <f t="array" ref="I15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3" s="2" cm="1">
        <f t="array" ref="J15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3" s="2">
        <f>Games[[#This Row],[DaysOff]]-Games[[#This Row],[OppDaysOff]]</f>
        <v>0</v>
      </c>
      <c r="L153" s="2">
        <f>Games[[#This Row],[OppDaysOff]]-Games[[#This Row],[DaysOff]]</f>
        <v>0</v>
      </c>
      <c r="M153" s="1">
        <f>MAX(-16, MIN(16, Games[[#This Row],[RestDiff]]*8))</f>
        <v>0</v>
      </c>
      <c r="N153" s="1">
        <f>MAX(-16, MIN(16, Games[[#This Row],[OppRestDiff]]*8))</f>
        <v>0</v>
      </c>
      <c r="O153" s="4" cm="1">
        <f t="array" ref="O1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1482.554349153392</v>
      </c>
      <c r="P153" s="4" cm="1">
        <f t="array" ref="P1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1504.2716620886511</v>
      </c>
      <c r="Q153" s="4">
        <f>1/(1+10^(((Games[[#This Row],[OppPreGmRate]]+IF(Games[[#This Row],[HomeAway]]="A",HCA,0)+Games[[#This Row],[OppRestAdj]])-(Games[[#This Row],[PreGmRate]]+IF(Games[[#This Row],[HomeAway]]="H",HCA,0)+Games[[#This Row],[RestAdj]]))/400))</f>
        <v>0.58868404972403077</v>
      </c>
      <c r="R153" s="1">
        <v>95</v>
      </c>
      <c r="S153" s="1">
        <v>77</v>
      </c>
      <c r="T153" s="1">
        <v>0</v>
      </c>
      <c r="U153" s="1">
        <f>Games[[#This Row],[PointsFor]]-Games[[#This Row],[PointsAgainst]]</f>
        <v>18</v>
      </c>
      <c r="V153" s="1">
        <f>IF(Games[[#This Row],[MOV]]&gt;0,1,IF(Games[[#This Row],[MOV]]=0,0.5,0))</f>
        <v>1</v>
      </c>
      <c r="W153" s="4">
        <f>((ABS(Games[[#This Row],[MOV]])+5)^0.6)/(12+0.01*(ABS(Games[[#This Row],[PreGmRate]]-Games[[#This Row],[OppPreGmRate]])))*IF(Games[[#This Row],[OT]]=1,0.9,1)</f>
        <v>0.53711338261632591</v>
      </c>
      <c r="X153" s="7" cm="1">
        <f t="array" ref="X1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3" s="9">
        <f>MAX(kmin, kmax - 0.15 * MIN(Games[[#This Row],[GamesPlayed]], 82))</f>
        <v>74.05</v>
      </c>
      <c r="Z153" s="4">
        <f>Games[[#This Row],[K]]*Games[[#This Row],[POMult]]</f>
        <v>74.05</v>
      </c>
      <c r="AA153" s="4">
        <f>(Games[[#This Row],[Keff]]*Games[[#This Row],[MOVMult]])*(Games[[#This Row],[Result]]-Games[[#This Row],[ExpectedWin%]])</f>
        <v>16.359370466950139</v>
      </c>
      <c r="AB153" s="4">
        <f>Games[[#This Row],[PreGmRate]]+Games[[#This Row],[RatingChange]]</f>
        <v>1498.9137196203421</v>
      </c>
      <c r="AC153" s="2">
        <f>IF(Games[[#This Row],[Type]]="R",IF(Games[[#This Row],[Result]]&gt;0.5,1,0),0)</f>
        <v>1</v>
      </c>
      <c r="AD153" s="2">
        <f>IF(Games[[#This Row],[Type]]="R",IF(Games[[#This Row],[Result]]&lt;0.5,1,0),0)</f>
        <v>0</v>
      </c>
      <c r="AE153" s="2">
        <f>IF(AND(Games[[#This Row],[Type]]="P",Games[[#This Row],[Round]]=1),IF(Games[[#This Row],[Result]]&gt;0.5,1,0),0)</f>
        <v>0</v>
      </c>
      <c r="AF153" s="2">
        <f>IF(AND(Games[[#This Row],[Type]]="P",Games[[#This Row],[Round]]=1),IF(Games[[#This Row],[Result]]&lt;0.5,1,0),0)</f>
        <v>0</v>
      </c>
      <c r="AG153" s="2">
        <f>IF(AND(Games[[#This Row],[Type]]="P",Games[[#This Row],[Round]]=2),IF(Games[[#This Row],[Result]]&gt;0.5,1,0),0)</f>
        <v>0</v>
      </c>
      <c r="AH153" s="2">
        <f>IF(AND(Games[[#This Row],[Type]]="P",Games[[#This Row],[Round]]=2),IF(Games[[#This Row],[Result]]&lt;0.5,1,0),0)</f>
        <v>0</v>
      </c>
      <c r="AI153" s="2">
        <f>IF(AND(Games[[#This Row],[Type]]="P",Games[[#This Row],[Round]]=3),IF(Games[[#This Row],[Result]]&gt;0.5,1,0),0)</f>
        <v>0</v>
      </c>
      <c r="AJ153" s="2">
        <f>IF(AND(Games[[#This Row],[Type]]="P",Games[[#This Row],[Round]]=3),IF(Games[[#This Row],[Result]]&lt;0.5,1,0),0)</f>
        <v>0</v>
      </c>
      <c r="AK153" s="2">
        <f>IF(AND(Games[[#This Row],[Type]]="P",Games[[#This Row],[Round]]=4),IF(Games[[#This Row],[Result]]&gt;0.5,1,0),0)</f>
        <v>0</v>
      </c>
      <c r="AL153" s="2">
        <f>IF(AND(Games[[#This Row],[Type]]="P",Games[[#This Row],[Round]]=4),IF(Games[[#This Row],[Result]]&lt;0.5,1,0),0)</f>
        <v>0</v>
      </c>
    </row>
    <row r="154" spans="1:38" x14ac:dyDescent="0.35">
      <c r="A154" s="10">
        <v>44366</v>
      </c>
      <c r="B154" s="2">
        <v>2021</v>
      </c>
      <c r="C154" s="2">
        <f>COUNTIFS(Games[Team],Games[[#This Row],[Team]],Games[Season],Games[[#This Row],[Season]],Games[Date],"&lt;=" &amp; Games[[#This Row],[Date]])</f>
        <v>15</v>
      </c>
      <c r="D154" s="2" t="s">
        <v>79</v>
      </c>
      <c r="E154" s="2" t="s">
        <v>80</v>
      </c>
      <c r="F154" s="1" t="s">
        <v>69</v>
      </c>
      <c r="G154" s="1" t="s">
        <v>65</v>
      </c>
      <c r="H154" s="1" t="s">
        <v>81</v>
      </c>
      <c r="I154" s="2" cm="1">
        <f t="array" ref="I1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4" s="2" cm="1">
        <f t="array" ref="J1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4" s="2">
        <f>Games[[#This Row],[DaysOff]]-Games[[#This Row],[OppDaysOff]]</f>
        <v>0</v>
      </c>
      <c r="L154" s="2">
        <f>Games[[#This Row],[OppDaysOff]]-Games[[#This Row],[DaysOff]]</f>
        <v>0</v>
      </c>
      <c r="M154" s="1">
        <f>MAX(-16, MIN(16, Games[[#This Row],[RestDiff]]*8))</f>
        <v>0</v>
      </c>
      <c r="N154" s="1">
        <f>MAX(-16, MIN(16, Games[[#This Row],[OppRestDiff]]*8))</f>
        <v>0</v>
      </c>
      <c r="O154" s="4" cm="1">
        <f t="array" ref="O1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1321.1558492428003</v>
      </c>
      <c r="P154" s="4" cm="1">
        <f t="array" ref="P1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1474.3572243165256</v>
      </c>
      <c r="Q154" s="4">
        <f>1/(1+10^(((Games[[#This Row],[OppPreGmRate]]+IF(Games[[#This Row],[HomeAway]]="A",HCA,0)+Games[[#This Row],[OppRestAdj]])-(Games[[#This Row],[PreGmRate]]+IF(Games[[#This Row],[HomeAway]]="H",HCA,0)+Games[[#This Row],[RestAdj]]))/400))</f>
        <v>0.20335744029652192</v>
      </c>
      <c r="R154" s="1">
        <v>77</v>
      </c>
      <c r="S154" s="1">
        <v>82</v>
      </c>
      <c r="T154" s="1">
        <v>0</v>
      </c>
      <c r="U154" s="1">
        <f>Games[[#This Row],[PointsFor]]-Games[[#This Row],[PointsAgainst]]</f>
        <v>-5</v>
      </c>
      <c r="V154" s="1">
        <f>IF(Games[[#This Row],[MOV]]&gt;0,1,IF(Games[[#This Row],[MOV]]=0,0.5,0))</f>
        <v>0</v>
      </c>
      <c r="W154" s="4">
        <f>((ABS(Games[[#This Row],[MOV]])+5)^0.6)/(12+0.01*(ABS(Games[[#This Row],[PreGmRate]]-Games[[#This Row],[OppPreGmRate]])))*IF(Games[[#This Row],[OT]]=1,0.9,1)</f>
        <v>0.29419654597366007</v>
      </c>
      <c r="X154" s="7" cm="1">
        <f t="array" ref="X1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4" s="9">
        <f>MAX(kmin, kmax - 0.15 * MIN(Games[[#This Row],[GamesPlayed]], 82))</f>
        <v>73.75</v>
      </c>
      <c r="Z154" s="4">
        <f>Games[[#This Row],[K]]*Games[[#This Row],[POMult]]</f>
        <v>73.75</v>
      </c>
      <c r="AA154" s="4">
        <f>(Games[[#This Row],[Keff]]*Games[[#This Row],[MOVMult]])*(Games[[#This Row],[Result]]-Games[[#This Row],[ExpectedWin%]])</f>
        <v>-4.4122454193295138</v>
      </c>
      <c r="AB154" s="4">
        <f>Games[[#This Row],[PreGmRate]]+Games[[#This Row],[RatingChange]]</f>
        <v>1316.7436038234707</v>
      </c>
      <c r="AC154" s="2">
        <f>IF(Games[[#This Row],[Type]]="R",IF(Games[[#This Row],[Result]]&gt;0.5,1,0),0)</f>
        <v>0</v>
      </c>
      <c r="AD154" s="2">
        <f>IF(Games[[#This Row],[Type]]="R",IF(Games[[#This Row],[Result]]&lt;0.5,1,0),0)</f>
        <v>1</v>
      </c>
      <c r="AE154" s="2">
        <f>IF(AND(Games[[#This Row],[Type]]="P",Games[[#This Row],[Round]]=1),IF(Games[[#This Row],[Result]]&gt;0.5,1,0),0)</f>
        <v>0</v>
      </c>
      <c r="AF154" s="2">
        <f>IF(AND(Games[[#This Row],[Type]]="P",Games[[#This Row],[Round]]=1),IF(Games[[#This Row],[Result]]&lt;0.5,1,0),0)</f>
        <v>0</v>
      </c>
      <c r="AG154" s="2">
        <f>IF(AND(Games[[#This Row],[Type]]="P",Games[[#This Row],[Round]]=2),IF(Games[[#This Row],[Result]]&gt;0.5,1,0),0)</f>
        <v>0</v>
      </c>
      <c r="AH154" s="2">
        <f>IF(AND(Games[[#This Row],[Type]]="P",Games[[#This Row],[Round]]=2),IF(Games[[#This Row],[Result]]&lt;0.5,1,0),0)</f>
        <v>0</v>
      </c>
      <c r="AI154" s="2">
        <f>IF(AND(Games[[#This Row],[Type]]="P",Games[[#This Row],[Round]]=3),IF(Games[[#This Row],[Result]]&gt;0.5,1,0),0)</f>
        <v>0</v>
      </c>
      <c r="AJ154" s="2">
        <f>IF(AND(Games[[#This Row],[Type]]="P",Games[[#This Row],[Round]]=3),IF(Games[[#This Row],[Result]]&lt;0.5,1,0),0)</f>
        <v>0</v>
      </c>
      <c r="AK154" s="2">
        <f>IF(AND(Games[[#This Row],[Type]]="P",Games[[#This Row],[Round]]=4),IF(Games[[#This Row],[Result]]&gt;0.5,1,0),0)</f>
        <v>0</v>
      </c>
      <c r="AL154" s="2">
        <f>IF(AND(Games[[#This Row],[Type]]="P",Games[[#This Row],[Round]]=4),IF(Games[[#This Row],[Result]]&lt;0.5,1,0),0)</f>
        <v>0</v>
      </c>
    </row>
    <row r="155" spans="1:38" x14ac:dyDescent="0.35">
      <c r="A155" s="10">
        <v>44366</v>
      </c>
      <c r="B155" s="2">
        <v>2021</v>
      </c>
      <c r="C155" s="2">
        <f>COUNTIFS(Games[Team],Games[[#This Row],[Team]],Games[Season],Games[[#This Row],[Season]],Games[Date],"&lt;=" &amp; Games[[#This Row],[Date]])</f>
        <v>12</v>
      </c>
      <c r="D155" s="2" t="s">
        <v>79</v>
      </c>
      <c r="E155" s="2" t="s">
        <v>80</v>
      </c>
      <c r="F155" s="1" t="s">
        <v>65</v>
      </c>
      <c r="G155" s="1" t="s">
        <v>69</v>
      </c>
      <c r="H155" s="1" t="s">
        <v>82</v>
      </c>
      <c r="I155" s="2" cm="1">
        <f t="array" ref="I1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5" s="2" cm="1">
        <f t="array" ref="J1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5" s="2">
        <f>Games[[#This Row],[DaysOff]]-Games[[#This Row],[OppDaysOff]]</f>
        <v>0</v>
      </c>
      <c r="L155" s="2">
        <f>Games[[#This Row],[OppDaysOff]]-Games[[#This Row],[DaysOff]]</f>
        <v>0</v>
      </c>
      <c r="M155" s="1">
        <f>MAX(-16, MIN(16, Games[[#This Row],[RestDiff]]*8))</f>
        <v>0</v>
      </c>
      <c r="N155" s="1">
        <f>MAX(-16, MIN(16, Games[[#This Row],[OppRestDiff]]*8))</f>
        <v>0</v>
      </c>
      <c r="O155" s="4" cm="1">
        <f t="array" ref="O1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1474.3572243165256</v>
      </c>
      <c r="P155" s="4" cm="1">
        <f t="array" ref="P1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1321.1558492428003</v>
      </c>
      <c r="Q155" s="4">
        <f>1/(1+10^(((Games[[#This Row],[OppPreGmRate]]+IF(Games[[#This Row],[HomeAway]]="A",HCA,0)+Games[[#This Row],[OppRestAdj]])-(Games[[#This Row],[PreGmRate]]+IF(Games[[#This Row],[HomeAway]]="H",HCA,0)+Games[[#This Row],[RestAdj]]))/400))</f>
        <v>0.79664255970347819</v>
      </c>
      <c r="R155" s="1">
        <v>82</v>
      </c>
      <c r="S155" s="1">
        <v>77</v>
      </c>
      <c r="T155" s="1">
        <v>0</v>
      </c>
      <c r="U155" s="1">
        <f>Games[[#This Row],[PointsFor]]-Games[[#This Row],[PointsAgainst]]</f>
        <v>5</v>
      </c>
      <c r="V155" s="1">
        <f>IF(Games[[#This Row],[MOV]]&gt;0,1,IF(Games[[#This Row],[MOV]]=0,0.5,0))</f>
        <v>1</v>
      </c>
      <c r="W155" s="4">
        <f>((ABS(Games[[#This Row],[MOV]])+5)^0.6)/(12+0.01*(ABS(Games[[#This Row],[PreGmRate]]-Games[[#This Row],[OppPreGmRate]])))*IF(Games[[#This Row],[OT]]=1,0.9,1)</f>
        <v>0.29419654597366007</v>
      </c>
      <c r="X155" s="7" cm="1">
        <f t="array" ref="X1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5" s="9">
        <f>MAX(kmin, kmax - 0.15 * MIN(Games[[#This Row],[GamesPlayed]], 82))</f>
        <v>74.2</v>
      </c>
      <c r="Z155" s="4">
        <f>Games[[#This Row],[K]]*Games[[#This Row],[POMult]]</f>
        <v>74.2</v>
      </c>
      <c r="AA155" s="4">
        <f>(Games[[#This Row],[Keff]]*Games[[#This Row],[MOVMult]])*(Games[[#This Row],[Result]]-Games[[#This Row],[ExpectedWin%]])</f>
        <v>4.4391675947694882</v>
      </c>
      <c r="AB155" s="4">
        <f>Games[[#This Row],[PreGmRate]]+Games[[#This Row],[RatingChange]]</f>
        <v>1478.7963919112951</v>
      </c>
      <c r="AC155" s="2">
        <f>IF(Games[[#This Row],[Type]]="R",IF(Games[[#This Row],[Result]]&gt;0.5,1,0),0)</f>
        <v>1</v>
      </c>
      <c r="AD155" s="2">
        <f>IF(Games[[#This Row],[Type]]="R",IF(Games[[#This Row],[Result]]&lt;0.5,1,0),0)</f>
        <v>0</v>
      </c>
      <c r="AE155" s="2">
        <f>IF(AND(Games[[#This Row],[Type]]="P",Games[[#This Row],[Round]]=1),IF(Games[[#This Row],[Result]]&gt;0.5,1,0),0)</f>
        <v>0</v>
      </c>
      <c r="AF155" s="2">
        <f>IF(AND(Games[[#This Row],[Type]]="P",Games[[#This Row],[Round]]=1),IF(Games[[#This Row],[Result]]&lt;0.5,1,0),0)</f>
        <v>0</v>
      </c>
      <c r="AG155" s="2">
        <f>IF(AND(Games[[#This Row],[Type]]="P",Games[[#This Row],[Round]]=2),IF(Games[[#This Row],[Result]]&gt;0.5,1,0),0)</f>
        <v>0</v>
      </c>
      <c r="AH155" s="2">
        <f>IF(AND(Games[[#This Row],[Type]]="P",Games[[#This Row],[Round]]=2),IF(Games[[#This Row],[Result]]&lt;0.5,1,0),0)</f>
        <v>0</v>
      </c>
      <c r="AI155" s="2">
        <f>IF(AND(Games[[#This Row],[Type]]="P",Games[[#This Row],[Round]]=3),IF(Games[[#This Row],[Result]]&gt;0.5,1,0),0)</f>
        <v>0</v>
      </c>
      <c r="AJ155" s="2">
        <f>IF(AND(Games[[#This Row],[Type]]="P",Games[[#This Row],[Round]]=3),IF(Games[[#This Row],[Result]]&lt;0.5,1,0),0)</f>
        <v>0</v>
      </c>
      <c r="AK155" s="2">
        <f>IF(AND(Games[[#This Row],[Type]]="P",Games[[#This Row],[Round]]=4),IF(Games[[#This Row],[Result]]&gt;0.5,1,0),0)</f>
        <v>0</v>
      </c>
      <c r="AL155" s="2">
        <f>IF(AND(Games[[#This Row],[Type]]="P",Games[[#This Row],[Round]]=4),IF(Games[[#This Row],[Result]]&lt;0.5,1,0),0)</f>
        <v>0</v>
      </c>
    </row>
    <row r="156" spans="1:38" x14ac:dyDescent="0.35">
      <c r="A156" s="10">
        <v>44367</v>
      </c>
      <c r="B156" s="2">
        <v>2021</v>
      </c>
      <c r="C156" s="2">
        <f>COUNTIFS(Games[Team],Games[[#This Row],[Team]],Games[Season],Games[[#This Row],[Season]],Games[Date],"&lt;=" &amp; Games[[#This Row],[Date]])</f>
        <v>13</v>
      </c>
      <c r="D156" s="2" t="s">
        <v>79</v>
      </c>
      <c r="E156" s="2" t="s">
        <v>80</v>
      </c>
      <c r="F156" s="1" t="s">
        <v>60</v>
      </c>
      <c r="G156" s="1" t="s">
        <v>63</v>
      </c>
      <c r="H156" s="1" t="s">
        <v>81</v>
      </c>
      <c r="I156" s="2" cm="1">
        <f t="array" ref="I156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6" s="2" cm="1">
        <f t="array" ref="J1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56" s="2">
        <f>Games[[#This Row],[DaysOff]]-Games[[#This Row],[OppDaysOff]]</f>
        <v>1</v>
      </c>
      <c r="L156" s="2">
        <f>Games[[#This Row],[OppDaysOff]]-Games[[#This Row],[DaysOff]]</f>
        <v>-1</v>
      </c>
      <c r="M156" s="1">
        <f>MAX(-16, MIN(16, Games[[#This Row],[RestDiff]]*8))</f>
        <v>8</v>
      </c>
      <c r="N156" s="1">
        <f>MAX(-16, MIN(16, Games[[#This Row],[OppRestDiff]]*8))</f>
        <v>-8</v>
      </c>
      <c r="O156" s="4" cm="1">
        <f t="array" ref="O1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1411.6913114649724</v>
      </c>
      <c r="P156" s="4" cm="1">
        <f t="array" ref="P1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1471.2932311500253</v>
      </c>
      <c r="Q156" s="4">
        <f>1/(1+10^(((Games[[#This Row],[OppPreGmRate]]+IF(Games[[#This Row],[HomeAway]]="A",HCA,0)+Games[[#This Row],[OppRestAdj]])-(Games[[#This Row],[PreGmRate]]+IF(Games[[#This Row],[HomeAway]]="H",HCA,0)+Games[[#This Row],[RestAdj]]))/400))</f>
        <v>0.32420019055034816</v>
      </c>
      <c r="R156" s="1">
        <v>76</v>
      </c>
      <c r="S156" s="1">
        <v>73</v>
      </c>
      <c r="T156" s="1">
        <v>0</v>
      </c>
      <c r="U156" s="1">
        <f>Games[[#This Row],[PointsFor]]-Games[[#This Row],[PointsAgainst]]</f>
        <v>3</v>
      </c>
      <c r="V156" s="1">
        <f>IF(Games[[#This Row],[MOV]]&gt;0,1,IF(Games[[#This Row],[MOV]]=0,0.5,0))</f>
        <v>1</v>
      </c>
      <c r="W156" s="4">
        <f>((ABS(Games[[#This Row],[MOV]])+5)^0.6)/(12+0.01*(ABS(Games[[#This Row],[PreGmRate]]-Games[[#This Row],[OppPreGmRate]])))*IF(Games[[#This Row],[OT]]=1,0.9,1)</f>
        <v>0.27645259972731512</v>
      </c>
      <c r="X156" s="7" cm="1">
        <f t="array" ref="X1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6" s="9">
        <f>MAX(kmin, kmax - 0.15 * MIN(Games[[#This Row],[GamesPlayed]], 82))</f>
        <v>74.05</v>
      </c>
      <c r="Z156" s="4">
        <f>Games[[#This Row],[K]]*Games[[#This Row],[POMult]]</f>
        <v>74.05</v>
      </c>
      <c r="AA156" s="4">
        <f>(Games[[#This Row],[Keff]]*Games[[#This Row],[MOVMult]])*(Games[[#This Row],[Result]]-Games[[#This Row],[ExpectedWin%]])</f>
        <v>13.834510782811828</v>
      </c>
      <c r="AB156" s="4">
        <f>Games[[#This Row],[PreGmRate]]+Games[[#This Row],[RatingChange]]</f>
        <v>1425.5258222477842</v>
      </c>
      <c r="AC156" s="2">
        <f>IF(Games[[#This Row],[Type]]="R",IF(Games[[#This Row],[Result]]&gt;0.5,1,0),0)</f>
        <v>1</v>
      </c>
      <c r="AD156" s="2">
        <f>IF(Games[[#This Row],[Type]]="R",IF(Games[[#This Row],[Result]]&lt;0.5,1,0),0)</f>
        <v>0</v>
      </c>
      <c r="AE156" s="2">
        <f>IF(AND(Games[[#This Row],[Type]]="P",Games[[#This Row],[Round]]=1),IF(Games[[#This Row],[Result]]&gt;0.5,1,0),0)</f>
        <v>0</v>
      </c>
      <c r="AF156" s="2">
        <f>IF(AND(Games[[#This Row],[Type]]="P",Games[[#This Row],[Round]]=1),IF(Games[[#This Row],[Result]]&lt;0.5,1,0),0)</f>
        <v>0</v>
      </c>
      <c r="AG156" s="2">
        <f>IF(AND(Games[[#This Row],[Type]]="P",Games[[#This Row],[Round]]=2),IF(Games[[#This Row],[Result]]&gt;0.5,1,0),0)</f>
        <v>0</v>
      </c>
      <c r="AH156" s="2">
        <f>IF(AND(Games[[#This Row],[Type]]="P",Games[[#This Row],[Round]]=2),IF(Games[[#This Row],[Result]]&lt;0.5,1,0),0)</f>
        <v>0</v>
      </c>
      <c r="AI156" s="2">
        <f>IF(AND(Games[[#This Row],[Type]]="P",Games[[#This Row],[Round]]=3),IF(Games[[#This Row],[Result]]&gt;0.5,1,0),0)</f>
        <v>0</v>
      </c>
      <c r="AJ156" s="2">
        <f>IF(AND(Games[[#This Row],[Type]]="P",Games[[#This Row],[Round]]=3),IF(Games[[#This Row],[Result]]&lt;0.5,1,0),0)</f>
        <v>0</v>
      </c>
      <c r="AK156" s="2">
        <f>IF(AND(Games[[#This Row],[Type]]="P",Games[[#This Row],[Round]]=4),IF(Games[[#This Row],[Result]]&gt;0.5,1,0),0)</f>
        <v>0</v>
      </c>
      <c r="AL156" s="2">
        <f>IF(AND(Games[[#This Row],[Type]]="P",Games[[#This Row],[Round]]=4),IF(Games[[#This Row],[Result]]&lt;0.5,1,0),0)</f>
        <v>0</v>
      </c>
    </row>
    <row r="157" spans="1:38" x14ac:dyDescent="0.35">
      <c r="A157" s="10">
        <v>44367</v>
      </c>
      <c r="B157" s="2">
        <v>2021</v>
      </c>
      <c r="C157" s="2">
        <f>COUNTIFS(Games[Team],Games[[#This Row],[Team]],Games[Season],Games[[#This Row],[Season]],Games[Date],"&lt;=" &amp; Games[[#This Row],[Date]])</f>
        <v>12</v>
      </c>
      <c r="D157" s="2" t="s">
        <v>79</v>
      </c>
      <c r="E157" s="2" t="s">
        <v>80</v>
      </c>
      <c r="F157" s="1" t="s">
        <v>63</v>
      </c>
      <c r="G157" s="1" t="s">
        <v>60</v>
      </c>
      <c r="H157" s="1" t="s">
        <v>82</v>
      </c>
      <c r="I157" s="2" cm="1">
        <f t="array" ref="I1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57" s="2" cm="1">
        <f t="array" ref="J15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7" s="2">
        <f>Games[[#This Row],[DaysOff]]-Games[[#This Row],[OppDaysOff]]</f>
        <v>-1</v>
      </c>
      <c r="L157" s="2">
        <f>Games[[#This Row],[OppDaysOff]]-Games[[#This Row],[DaysOff]]</f>
        <v>1</v>
      </c>
      <c r="M157" s="1">
        <f>MAX(-16, MIN(16, Games[[#This Row],[RestDiff]]*8))</f>
        <v>-8</v>
      </c>
      <c r="N157" s="1">
        <f>MAX(-16, MIN(16, Games[[#This Row],[OppRestDiff]]*8))</f>
        <v>8</v>
      </c>
      <c r="O157" s="4" cm="1">
        <f t="array" ref="O1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1471.2932311500253</v>
      </c>
      <c r="P157" s="4" cm="1">
        <f t="array" ref="P1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1411.6913114649724</v>
      </c>
      <c r="Q157" s="4">
        <f>1/(1+10^(((Games[[#This Row],[OppPreGmRate]]+IF(Games[[#This Row],[HomeAway]]="A",HCA,0)+Games[[#This Row],[OppRestAdj]])-(Games[[#This Row],[PreGmRate]]+IF(Games[[#This Row],[HomeAway]]="H",HCA,0)+Games[[#This Row],[RestAdj]]))/400))</f>
        <v>0.6757998094496519</v>
      </c>
      <c r="R157" s="1">
        <v>73</v>
      </c>
      <c r="S157" s="1">
        <v>76</v>
      </c>
      <c r="T157" s="1">
        <v>0</v>
      </c>
      <c r="U157" s="1">
        <f>Games[[#This Row],[PointsFor]]-Games[[#This Row],[PointsAgainst]]</f>
        <v>-3</v>
      </c>
      <c r="V157" s="1">
        <f>IF(Games[[#This Row],[MOV]]&gt;0,1,IF(Games[[#This Row],[MOV]]=0,0.5,0))</f>
        <v>0</v>
      </c>
      <c r="W157" s="4">
        <f>((ABS(Games[[#This Row],[MOV]])+5)^0.6)/(12+0.01*(ABS(Games[[#This Row],[PreGmRate]]-Games[[#This Row],[OppPreGmRate]])))*IF(Games[[#This Row],[OT]]=1,0.9,1)</f>
        <v>0.27645259972731512</v>
      </c>
      <c r="X157" s="7" cm="1">
        <f t="array" ref="X1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7" s="9">
        <f>MAX(kmin, kmax - 0.15 * MIN(Games[[#This Row],[GamesPlayed]], 82))</f>
        <v>74.2</v>
      </c>
      <c r="Z157" s="4">
        <f>Games[[#This Row],[K]]*Games[[#This Row],[POMult]]</f>
        <v>74.2</v>
      </c>
      <c r="AA157" s="4">
        <f>(Games[[#This Row],[Keff]]*Games[[#This Row],[MOVMult]])*(Games[[#This Row],[Result]]-Games[[#This Row],[ExpectedWin%]])</f>
        <v>-13.86253477494447</v>
      </c>
      <c r="AB157" s="4">
        <f>Games[[#This Row],[PreGmRate]]+Games[[#This Row],[RatingChange]]</f>
        <v>1457.430696375081</v>
      </c>
      <c r="AC157" s="2">
        <f>IF(Games[[#This Row],[Type]]="R",IF(Games[[#This Row],[Result]]&gt;0.5,1,0),0)</f>
        <v>0</v>
      </c>
      <c r="AD157" s="2">
        <f>IF(Games[[#This Row],[Type]]="R",IF(Games[[#This Row],[Result]]&lt;0.5,1,0),0)</f>
        <v>1</v>
      </c>
      <c r="AE157" s="2">
        <f>IF(AND(Games[[#This Row],[Type]]="P",Games[[#This Row],[Round]]=1),IF(Games[[#This Row],[Result]]&gt;0.5,1,0),0)</f>
        <v>0</v>
      </c>
      <c r="AF157" s="2">
        <f>IF(AND(Games[[#This Row],[Type]]="P",Games[[#This Row],[Round]]=1),IF(Games[[#This Row],[Result]]&lt;0.5,1,0),0)</f>
        <v>0</v>
      </c>
      <c r="AG157" s="2">
        <f>IF(AND(Games[[#This Row],[Type]]="P",Games[[#This Row],[Round]]=2),IF(Games[[#This Row],[Result]]&gt;0.5,1,0),0)</f>
        <v>0</v>
      </c>
      <c r="AH157" s="2">
        <f>IF(AND(Games[[#This Row],[Type]]="P",Games[[#This Row],[Round]]=2),IF(Games[[#This Row],[Result]]&lt;0.5,1,0),0)</f>
        <v>0</v>
      </c>
      <c r="AI157" s="2">
        <f>IF(AND(Games[[#This Row],[Type]]="P",Games[[#This Row],[Round]]=3),IF(Games[[#This Row],[Result]]&gt;0.5,1,0),0)</f>
        <v>0</v>
      </c>
      <c r="AJ157" s="2">
        <f>IF(AND(Games[[#This Row],[Type]]="P",Games[[#This Row],[Round]]=3),IF(Games[[#This Row],[Result]]&lt;0.5,1,0),0)</f>
        <v>0</v>
      </c>
      <c r="AK157" s="2">
        <f>IF(AND(Games[[#This Row],[Type]]="P",Games[[#This Row],[Round]]=4),IF(Games[[#This Row],[Result]]&gt;0.5,1,0),0)</f>
        <v>0</v>
      </c>
      <c r="AL157" s="2">
        <f>IF(AND(Games[[#This Row],[Type]]="P",Games[[#This Row],[Round]]=4),IF(Games[[#This Row],[Result]]&lt;0.5,1,0),0)</f>
        <v>0</v>
      </c>
    </row>
    <row r="158" spans="1:38" x14ac:dyDescent="0.35">
      <c r="A158" s="10">
        <v>44369</v>
      </c>
      <c r="B158" s="2">
        <v>2021</v>
      </c>
      <c r="C158" s="2">
        <f>COUNTIFS(Games[Team],Games[[#This Row],[Team]],Games[Season],Games[[#This Row],[Season]],Games[Date],"&lt;=" &amp; Games[[#This Row],[Date]])</f>
        <v>14</v>
      </c>
      <c r="D158" s="2" t="s">
        <v>79</v>
      </c>
      <c r="E158" s="2" t="s">
        <v>80</v>
      </c>
      <c r="F158" s="1" t="s">
        <v>84</v>
      </c>
      <c r="G158" s="1" t="s">
        <v>74</v>
      </c>
      <c r="H158" s="1" t="s">
        <v>81</v>
      </c>
      <c r="I158" s="2" cm="1">
        <f t="array" ref="I15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8" s="2" cm="1">
        <f t="array" ref="J1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8" s="2">
        <f>Games[[#This Row],[DaysOff]]-Games[[#This Row],[OppDaysOff]]</f>
        <v>0</v>
      </c>
      <c r="L158" s="2">
        <f>Games[[#This Row],[OppDaysOff]]-Games[[#This Row],[DaysOff]]</f>
        <v>0</v>
      </c>
      <c r="M158" s="1">
        <f>MAX(-16, MIN(16, Games[[#This Row],[RestDiff]]*8))</f>
        <v>0</v>
      </c>
      <c r="N158" s="1">
        <f>MAX(-16, MIN(16, Games[[#This Row],[OppRestDiff]]*8))</f>
        <v>0</v>
      </c>
      <c r="O158" s="4" cm="1">
        <f t="array" ref="O1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1498.9137196203421</v>
      </c>
      <c r="P158" s="4" cm="1">
        <f t="array" ref="P1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1561.5882565688069</v>
      </c>
      <c r="Q158" s="4">
        <f>1/(1+10^(((Games[[#This Row],[OppPreGmRate]]+IF(Games[[#This Row],[HomeAway]]="A",HCA,0)+Games[[#This Row],[OppRestAdj]])-(Games[[#This Row],[PreGmRate]]+IF(Games[[#This Row],[HomeAway]]="H",HCA,0)+Games[[#This Row],[RestAdj]]))/400))</f>
        <v>0.3006243550508485</v>
      </c>
      <c r="R158" s="1">
        <v>70</v>
      </c>
      <c r="S158" s="1">
        <v>80</v>
      </c>
      <c r="T158" s="1">
        <v>0</v>
      </c>
      <c r="U158" s="1">
        <f>Games[[#This Row],[PointsFor]]-Games[[#This Row],[PointsAgainst]]</f>
        <v>-10</v>
      </c>
      <c r="V158" s="1">
        <f>IF(Games[[#This Row],[MOV]]&gt;0,1,IF(Games[[#This Row],[MOV]]=0,0.5,0))</f>
        <v>0</v>
      </c>
      <c r="W158" s="4">
        <f>((ABS(Games[[#This Row],[MOV]])+5)^0.6)/(12+0.01*(ABS(Games[[#This Row],[PreGmRate]]-Games[[#This Row],[OppPreGmRate]])))*IF(Games[[#This Row],[OT]]=1,0.9,1)</f>
        <v>0.40212709161447552</v>
      </c>
      <c r="X158" s="7" cm="1">
        <f t="array" ref="X1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8" s="9">
        <f>MAX(kmin, kmax - 0.15 * MIN(Games[[#This Row],[GamesPlayed]], 82))</f>
        <v>73.900000000000006</v>
      </c>
      <c r="Z158" s="4">
        <f>Games[[#This Row],[K]]*Games[[#This Row],[POMult]]</f>
        <v>73.900000000000006</v>
      </c>
      <c r="AA158" s="4">
        <f>(Games[[#This Row],[Keff]]*Games[[#This Row],[MOVMult]])*(Games[[#This Row],[Result]]-Games[[#This Row],[ExpectedWin%]])</f>
        <v>-8.9337117000590549</v>
      </c>
      <c r="AB158" s="4">
        <f>Games[[#This Row],[PreGmRate]]+Games[[#This Row],[RatingChange]]</f>
        <v>1489.980007920283</v>
      </c>
      <c r="AC158" s="2">
        <f>IF(Games[[#This Row],[Type]]="R",IF(Games[[#This Row],[Result]]&gt;0.5,1,0),0)</f>
        <v>0</v>
      </c>
      <c r="AD158" s="2">
        <f>IF(Games[[#This Row],[Type]]="R",IF(Games[[#This Row],[Result]]&lt;0.5,1,0),0)</f>
        <v>1</v>
      </c>
      <c r="AE158" s="2">
        <f>IF(AND(Games[[#This Row],[Type]]="P",Games[[#This Row],[Round]]=1),IF(Games[[#This Row],[Result]]&gt;0.5,1,0),0)</f>
        <v>0</v>
      </c>
      <c r="AF158" s="2">
        <f>IF(AND(Games[[#This Row],[Type]]="P",Games[[#This Row],[Round]]=1),IF(Games[[#This Row],[Result]]&lt;0.5,1,0),0)</f>
        <v>0</v>
      </c>
      <c r="AG158" s="2">
        <f>IF(AND(Games[[#This Row],[Type]]="P",Games[[#This Row],[Round]]=2),IF(Games[[#This Row],[Result]]&gt;0.5,1,0),0)</f>
        <v>0</v>
      </c>
      <c r="AH158" s="2">
        <f>IF(AND(Games[[#This Row],[Type]]="P",Games[[#This Row],[Round]]=2),IF(Games[[#This Row],[Result]]&lt;0.5,1,0),0)</f>
        <v>0</v>
      </c>
      <c r="AI158" s="2">
        <f>IF(AND(Games[[#This Row],[Type]]="P",Games[[#This Row],[Round]]=3),IF(Games[[#This Row],[Result]]&gt;0.5,1,0),0)</f>
        <v>0</v>
      </c>
      <c r="AJ158" s="2">
        <f>IF(AND(Games[[#This Row],[Type]]="P",Games[[#This Row],[Round]]=3),IF(Games[[#This Row],[Result]]&lt;0.5,1,0),0)</f>
        <v>0</v>
      </c>
      <c r="AK158" s="2">
        <f>IF(AND(Games[[#This Row],[Type]]="P",Games[[#This Row],[Round]]=4),IF(Games[[#This Row],[Result]]&gt;0.5,1,0),0)</f>
        <v>0</v>
      </c>
      <c r="AL158" s="2">
        <f>IF(AND(Games[[#This Row],[Type]]="P",Games[[#This Row],[Round]]=4),IF(Games[[#This Row],[Result]]&lt;0.5,1,0),0)</f>
        <v>0</v>
      </c>
    </row>
    <row r="159" spans="1:38" x14ac:dyDescent="0.35">
      <c r="A159" s="10">
        <v>44369</v>
      </c>
      <c r="B159" s="2">
        <v>2021</v>
      </c>
      <c r="C159" s="2">
        <f>COUNTIFS(Games[Team],Games[[#This Row],[Team]],Games[Season],Games[[#This Row],[Season]],Games[Date],"&lt;=" &amp; Games[[#This Row],[Date]])</f>
        <v>14</v>
      </c>
      <c r="D159" s="2" t="s">
        <v>79</v>
      </c>
      <c r="E159" s="2" t="s">
        <v>80</v>
      </c>
      <c r="F159" s="1" t="s">
        <v>74</v>
      </c>
      <c r="G159" s="1" t="s">
        <v>84</v>
      </c>
      <c r="H159" s="1" t="s">
        <v>82</v>
      </c>
      <c r="I159" s="2" cm="1">
        <f t="array" ref="I1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159" s="2" cm="1">
        <f t="array" ref="J15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59" s="2">
        <f>Games[[#This Row],[DaysOff]]-Games[[#This Row],[OppDaysOff]]</f>
        <v>0</v>
      </c>
      <c r="L159" s="2">
        <f>Games[[#This Row],[OppDaysOff]]-Games[[#This Row],[DaysOff]]</f>
        <v>0</v>
      </c>
      <c r="M159" s="1">
        <f>MAX(-16, MIN(16, Games[[#This Row],[RestDiff]]*8))</f>
        <v>0</v>
      </c>
      <c r="N159" s="1">
        <f>MAX(-16, MIN(16, Games[[#This Row],[OppRestDiff]]*8))</f>
        <v>0</v>
      </c>
      <c r="O159" s="4" cm="1">
        <f t="array" ref="O1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1561.5882565688069</v>
      </c>
      <c r="P159" s="4" cm="1">
        <f t="array" ref="P1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1498.9137196203421</v>
      </c>
      <c r="Q159" s="4">
        <f>1/(1+10^(((Games[[#This Row],[OppPreGmRate]]+IF(Games[[#This Row],[HomeAway]]="A",HCA,0)+Games[[#This Row],[OppRestAdj]])-(Games[[#This Row],[PreGmRate]]+IF(Games[[#This Row],[HomeAway]]="H",HCA,0)+Games[[#This Row],[RestAdj]]))/400))</f>
        <v>0.6993756449491515</v>
      </c>
      <c r="R159" s="1">
        <v>80</v>
      </c>
      <c r="S159" s="1">
        <v>70</v>
      </c>
      <c r="T159" s="1">
        <v>0</v>
      </c>
      <c r="U159" s="1">
        <f>Games[[#This Row],[PointsFor]]-Games[[#This Row],[PointsAgainst]]</f>
        <v>10</v>
      </c>
      <c r="V159" s="1">
        <f>IF(Games[[#This Row],[MOV]]&gt;0,1,IF(Games[[#This Row],[MOV]]=0,0.5,0))</f>
        <v>1</v>
      </c>
      <c r="W159" s="4">
        <f>((ABS(Games[[#This Row],[MOV]])+5)^0.6)/(12+0.01*(ABS(Games[[#This Row],[PreGmRate]]-Games[[#This Row],[OppPreGmRate]])))*IF(Games[[#This Row],[OT]]=1,0.9,1)</f>
        <v>0.40212709161447552</v>
      </c>
      <c r="X159" s="7" cm="1">
        <f t="array" ref="X1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59" s="9">
        <f>MAX(kmin, kmax - 0.15 * MIN(Games[[#This Row],[GamesPlayed]], 82))</f>
        <v>73.900000000000006</v>
      </c>
      <c r="Z159" s="4">
        <f>Games[[#This Row],[K]]*Games[[#This Row],[POMult]]</f>
        <v>73.900000000000006</v>
      </c>
      <c r="AA159" s="4">
        <f>(Games[[#This Row],[Keff]]*Games[[#This Row],[MOVMult]])*(Games[[#This Row],[Result]]-Games[[#This Row],[ExpectedWin%]])</f>
        <v>8.9337117000590549</v>
      </c>
      <c r="AB159" s="4">
        <f>Games[[#This Row],[PreGmRate]]+Games[[#This Row],[RatingChange]]</f>
        <v>1570.521968268866</v>
      </c>
      <c r="AC159" s="2">
        <f>IF(Games[[#This Row],[Type]]="R",IF(Games[[#This Row],[Result]]&gt;0.5,1,0),0)</f>
        <v>1</v>
      </c>
      <c r="AD159" s="2">
        <f>IF(Games[[#This Row],[Type]]="R",IF(Games[[#This Row],[Result]]&lt;0.5,1,0),0)</f>
        <v>0</v>
      </c>
      <c r="AE159" s="2">
        <f>IF(AND(Games[[#This Row],[Type]]="P",Games[[#This Row],[Round]]=1),IF(Games[[#This Row],[Result]]&gt;0.5,1,0),0)</f>
        <v>0</v>
      </c>
      <c r="AF159" s="2">
        <f>IF(AND(Games[[#This Row],[Type]]="P",Games[[#This Row],[Round]]=1),IF(Games[[#This Row],[Result]]&lt;0.5,1,0),0)</f>
        <v>0</v>
      </c>
      <c r="AG159" s="2">
        <f>IF(AND(Games[[#This Row],[Type]]="P",Games[[#This Row],[Round]]=2),IF(Games[[#This Row],[Result]]&gt;0.5,1,0),0)</f>
        <v>0</v>
      </c>
      <c r="AH159" s="2">
        <f>IF(AND(Games[[#This Row],[Type]]="P",Games[[#This Row],[Round]]=2),IF(Games[[#This Row],[Result]]&lt;0.5,1,0),0)</f>
        <v>0</v>
      </c>
      <c r="AI159" s="2">
        <f>IF(AND(Games[[#This Row],[Type]]="P",Games[[#This Row],[Round]]=3),IF(Games[[#This Row],[Result]]&gt;0.5,1,0),0)</f>
        <v>0</v>
      </c>
      <c r="AJ159" s="2">
        <f>IF(AND(Games[[#This Row],[Type]]="P",Games[[#This Row],[Round]]=3),IF(Games[[#This Row],[Result]]&lt;0.5,1,0),0)</f>
        <v>0</v>
      </c>
      <c r="AK159" s="2">
        <f>IF(AND(Games[[#This Row],[Type]]="P",Games[[#This Row],[Round]]=4),IF(Games[[#This Row],[Result]]&gt;0.5,1,0),0)</f>
        <v>0</v>
      </c>
      <c r="AL159" s="2">
        <f>IF(AND(Games[[#This Row],[Type]]="P",Games[[#This Row],[Round]]=4),IF(Games[[#This Row],[Result]]&lt;0.5,1,0),0)</f>
        <v>0</v>
      </c>
    </row>
    <row r="160" spans="1:38" x14ac:dyDescent="0.35">
      <c r="A160" s="10">
        <v>44369</v>
      </c>
      <c r="B160" s="2">
        <v>2021</v>
      </c>
      <c r="C160" s="2">
        <f>COUNTIFS(Games[Team],Games[[#This Row],[Team]],Games[Season],Games[[#This Row],[Season]],Games[Date],"&lt;=" &amp; Games[[#This Row],[Date]])</f>
        <v>15</v>
      </c>
      <c r="D160" s="2" t="s">
        <v>79</v>
      </c>
      <c r="E160" s="2" t="s">
        <v>80</v>
      </c>
      <c r="F160" s="1" t="s">
        <v>75</v>
      </c>
      <c r="G160" s="1" t="s">
        <v>60</v>
      </c>
      <c r="H160" s="1" t="s">
        <v>81</v>
      </c>
      <c r="I160" s="2" cm="1">
        <f t="array" ref="I16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0" s="2" cm="1">
        <f t="array" ref="J1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0" s="2">
        <f>Games[[#This Row],[DaysOff]]-Games[[#This Row],[OppDaysOff]]</f>
        <v>1</v>
      </c>
      <c r="L160" s="2">
        <f>Games[[#This Row],[OppDaysOff]]-Games[[#This Row],[DaysOff]]</f>
        <v>-1</v>
      </c>
      <c r="M160" s="1">
        <f>MAX(-16, MIN(16, Games[[#This Row],[RestDiff]]*8))</f>
        <v>8</v>
      </c>
      <c r="N160" s="1">
        <f>MAX(-16, MIN(16, Games[[#This Row],[OppRestDiff]]*8))</f>
        <v>-8</v>
      </c>
      <c r="O160" s="4" cm="1">
        <f t="array" ref="O1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1517.2800306255031</v>
      </c>
      <c r="P160" s="4" cm="1">
        <f t="array" ref="P1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1425.5258222477842</v>
      </c>
      <c r="Q160" s="4">
        <f>1/(1+10^(((Games[[#This Row],[OppPreGmRate]]+IF(Games[[#This Row],[HomeAway]]="A",HCA,0)+Games[[#This Row],[OppRestAdj]])-(Games[[#This Row],[PreGmRate]]+IF(Games[[#This Row],[HomeAway]]="H",HCA,0)+Games[[#This Row],[RestAdj]]))/400))</f>
        <v>0.53413188753606256</v>
      </c>
      <c r="R160" s="1">
        <v>92</v>
      </c>
      <c r="S160" s="1">
        <v>72</v>
      </c>
      <c r="T160" s="1">
        <v>0</v>
      </c>
      <c r="U160" s="1">
        <f>Games[[#This Row],[PointsFor]]-Games[[#This Row],[PointsAgainst]]</f>
        <v>20</v>
      </c>
      <c r="V160" s="1">
        <f>IF(Games[[#This Row],[MOV]]&gt;0,1,IF(Games[[#This Row],[MOV]]=0,0.5,0))</f>
        <v>1</v>
      </c>
      <c r="W160" s="4">
        <f>((ABS(Games[[#This Row],[MOV]])+5)^0.6)/(12+0.01*(ABS(Games[[#This Row],[PreGmRate]]-Games[[#This Row],[OppPreGmRate]])))*IF(Games[[#This Row],[OT]]=1,0.9,1)</f>
        <v>0.53405270620096601</v>
      </c>
      <c r="X160" s="7" cm="1">
        <f t="array" ref="X1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0" s="9">
        <f>MAX(kmin, kmax - 0.15 * MIN(Games[[#This Row],[GamesPlayed]], 82))</f>
        <v>73.75</v>
      </c>
      <c r="Z160" s="4">
        <f>Games[[#This Row],[K]]*Games[[#This Row],[POMult]]</f>
        <v>73.75</v>
      </c>
      <c r="AA160" s="4">
        <f>(Games[[#This Row],[Keff]]*Games[[#This Row],[MOVMult]])*(Games[[#This Row],[Result]]-Games[[#This Row],[ExpectedWin%]])</f>
        <v>18.348861806815005</v>
      </c>
      <c r="AB160" s="4">
        <f>Games[[#This Row],[PreGmRate]]+Games[[#This Row],[RatingChange]]</f>
        <v>1535.628892432318</v>
      </c>
      <c r="AC160" s="2">
        <f>IF(Games[[#This Row],[Type]]="R",IF(Games[[#This Row],[Result]]&gt;0.5,1,0),0)</f>
        <v>1</v>
      </c>
      <c r="AD160" s="2">
        <f>IF(Games[[#This Row],[Type]]="R",IF(Games[[#This Row],[Result]]&lt;0.5,1,0),0)</f>
        <v>0</v>
      </c>
      <c r="AE160" s="2">
        <f>IF(AND(Games[[#This Row],[Type]]="P",Games[[#This Row],[Round]]=1),IF(Games[[#This Row],[Result]]&gt;0.5,1,0),0)</f>
        <v>0</v>
      </c>
      <c r="AF160" s="2">
        <f>IF(AND(Games[[#This Row],[Type]]="P",Games[[#This Row],[Round]]=1),IF(Games[[#This Row],[Result]]&lt;0.5,1,0),0)</f>
        <v>0</v>
      </c>
      <c r="AG160" s="2">
        <f>IF(AND(Games[[#This Row],[Type]]="P",Games[[#This Row],[Round]]=2),IF(Games[[#This Row],[Result]]&gt;0.5,1,0),0)</f>
        <v>0</v>
      </c>
      <c r="AH160" s="2">
        <f>IF(AND(Games[[#This Row],[Type]]="P",Games[[#This Row],[Round]]=2),IF(Games[[#This Row],[Result]]&lt;0.5,1,0),0)</f>
        <v>0</v>
      </c>
      <c r="AI160" s="2">
        <f>IF(AND(Games[[#This Row],[Type]]="P",Games[[#This Row],[Round]]=3),IF(Games[[#This Row],[Result]]&gt;0.5,1,0),0)</f>
        <v>0</v>
      </c>
      <c r="AJ160" s="2">
        <f>IF(AND(Games[[#This Row],[Type]]="P",Games[[#This Row],[Round]]=3),IF(Games[[#This Row],[Result]]&lt;0.5,1,0),0)</f>
        <v>0</v>
      </c>
      <c r="AK160" s="2">
        <f>IF(AND(Games[[#This Row],[Type]]="P",Games[[#This Row],[Round]]=4),IF(Games[[#This Row],[Result]]&gt;0.5,1,0),0)</f>
        <v>0</v>
      </c>
      <c r="AL160" s="2">
        <f>IF(AND(Games[[#This Row],[Type]]="P",Games[[#This Row],[Round]]=4),IF(Games[[#This Row],[Result]]&lt;0.5,1,0),0)</f>
        <v>0</v>
      </c>
    </row>
    <row r="161" spans="1:38" x14ac:dyDescent="0.35">
      <c r="A161" s="10">
        <v>44369</v>
      </c>
      <c r="B161" s="2">
        <v>2021</v>
      </c>
      <c r="C161" s="2">
        <f>COUNTIFS(Games[Team],Games[[#This Row],[Team]],Games[Season],Games[[#This Row],[Season]],Games[Date],"&lt;=" &amp; Games[[#This Row],[Date]])</f>
        <v>14</v>
      </c>
      <c r="D161" s="2" t="s">
        <v>79</v>
      </c>
      <c r="E161" s="2" t="s">
        <v>80</v>
      </c>
      <c r="F161" s="1" t="s">
        <v>60</v>
      </c>
      <c r="G161" s="1" t="s">
        <v>75</v>
      </c>
      <c r="H161" s="1" t="s">
        <v>82</v>
      </c>
      <c r="I161" s="2" cm="1">
        <f t="array" ref="I1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1" s="2" cm="1">
        <f t="array" ref="J16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1" s="2">
        <f>Games[[#This Row],[DaysOff]]-Games[[#This Row],[OppDaysOff]]</f>
        <v>-1</v>
      </c>
      <c r="L161" s="2">
        <f>Games[[#This Row],[OppDaysOff]]-Games[[#This Row],[DaysOff]]</f>
        <v>1</v>
      </c>
      <c r="M161" s="1">
        <f>MAX(-16, MIN(16, Games[[#This Row],[RestDiff]]*8))</f>
        <v>-8</v>
      </c>
      <c r="N161" s="1">
        <f>MAX(-16, MIN(16, Games[[#This Row],[OppRestDiff]]*8))</f>
        <v>8</v>
      </c>
      <c r="O161" s="4" cm="1">
        <f t="array" ref="O1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1425.5258222477842</v>
      </c>
      <c r="P161" s="4" cm="1">
        <f t="array" ref="P1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1517.2800306255031</v>
      </c>
      <c r="Q161" s="4">
        <f>1/(1+10^(((Games[[#This Row],[OppPreGmRate]]+IF(Games[[#This Row],[HomeAway]]="A",HCA,0)+Games[[#This Row],[OppRestAdj]])-(Games[[#This Row],[PreGmRate]]+IF(Games[[#This Row],[HomeAway]]="H",HCA,0)+Games[[#This Row],[RestAdj]]))/400))</f>
        <v>0.46586811246393744</v>
      </c>
      <c r="R161" s="1">
        <v>72</v>
      </c>
      <c r="S161" s="1">
        <v>92</v>
      </c>
      <c r="T161" s="1">
        <v>0</v>
      </c>
      <c r="U161" s="1">
        <f>Games[[#This Row],[PointsFor]]-Games[[#This Row],[PointsAgainst]]</f>
        <v>-20</v>
      </c>
      <c r="V161" s="1">
        <f>IF(Games[[#This Row],[MOV]]&gt;0,1,IF(Games[[#This Row],[MOV]]=0,0.5,0))</f>
        <v>0</v>
      </c>
      <c r="W161" s="4">
        <f>((ABS(Games[[#This Row],[MOV]])+5)^0.6)/(12+0.01*(ABS(Games[[#This Row],[PreGmRate]]-Games[[#This Row],[OppPreGmRate]])))*IF(Games[[#This Row],[OT]]=1,0.9,1)</f>
        <v>0.53405270620096601</v>
      </c>
      <c r="X161" s="7" cm="1">
        <f t="array" ref="X1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1" s="9">
        <f>MAX(kmin, kmax - 0.15 * MIN(Games[[#This Row],[GamesPlayed]], 82))</f>
        <v>73.900000000000006</v>
      </c>
      <c r="Z161" s="4">
        <f>Games[[#This Row],[K]]*Games[[#This Row],[POMult]]</f>
        <v>73.900000000000006</v>
      </c>
      <c r="AA161" s="4">
        <f>(Games[[#This Row],[Keff]]*Games[[#This Row],[MOVMult]])*(Games[[#This Row],[Result]]-Games[[#This Row],[ExpectedWin%]])</f>
        <v>-18.386181525744121</v>
      </c>
      <c r="AB161" s="4">
        <f>Games[[#This Row],[PreGmRate]]+Games[[#This Row],[RatingChange]]</f>
        <v>1407.13964072204</v>
      </c>
      <c r="AC161" s="2">
        <f>IF(Games[[#This Row],[Type]]="R",IF(Games[[#This Row],[Result]]&gt;0.5,1,0),0)</f>
        <v>0</v>
      </c>
      <c r="AD161" s="2">
        <f>IF(Games[[#This Row],[Type]]="R",IF(Games[[#This Row],[Result]]&lt;0.5,1,0),0)</f>
        <v>1</v>
      </c>
      <c r="AE161" s="2">
        <f>IF(AND(Games[[#This Row],[Type]]="P",Games[[#This Row],[Round]]=1),IF(Games[[#This Row],[Result]]&gt;0.5,1,0),0)</f>
        <v>0</v>
      </c>
      <c r="AF161" s="2">
        <f>IF(AND(Games[[#This Row],[Type]]="P",Games[[#This Row],[Round]]=1),IF(Games[[#This Row],[Result]]&lt;0.5,1,0),0)</f>
        <v>0</v>
      </c>
      <c r="AG161" s="2">
        <f>IF(AND(Games[[#This Row],[Type]]="P",Games[[#This Row],[Round]]=2),IF(Games[[#This Row],[Result]]&gt;0.5,1,0),0)</f>
        <v>0</v>
      </c>
      <c r="AH161" s="2">
        <f>IF(AND(Games[[#This Row],[Type]]="P",Games[[#This Row],[Round]]=2),IF(Games[[#This Row],[Result]]&lt;0.5,1,0),0)</f>
        <v>0</v>
      </c>
      <c r="AI161" s="2">
        <f>IF(AND(Games[[#This Row],[Type]]="P",Games[[#This Row],[Round]]=3),IF(Games[[#This Row],[Result]]&gt;0.5,1,0),0)</f>
        <v>0</v>
      </c>
      <c r="AJ161" s="2">
        <f>IF(AND(Games[[#This Row],[Type]]="P",Games[[#This Row],[Round]]=3),IF(Games[[#This Row],[Result]]&lt;0.5,1,0),0)</f>
        <v>0</v>
      </c>
      <c r="AK161" s="2">
        <f>IF(AND(Games[[#This Row],[Type]]="P",Games[[#This Row],[Round]]=4),IF(Games[[#This Row],[Result]]&gt;0.5,1,0),0)</f>
        <v>0</v>
      </c>
      <c r="AL161" s="2">
        <f>IF(AND(Games[[#This Row],[Type]]="P",Games[[#This Row],[Round]]=4),IF(Games[[#This Row],[Result]]&lt;0.5,1,0),0)</f>
        <v>0</v>
      </c>
    </row>
    <row r="162" spans="1:38" x14ac:dyDescent="0.35">
      <c r="A162" s="10">
        <v>44369</v>
      </c>
      <c r="B162" s="2">
        <v>2021</v>
      </c>
      <c r="C162" s="2">
        <f>COUNTIFS(Games[Team],Games[[#This Row],[Team]],Games[Season],Games[[#This Row],[Season]],Games[Date],"&lt;=" &amp; Games[[#This Row],[Date]])</f>
        <v>13</v>
      </c>
      <c r="D162" s="2" t="s">
        <v>79</v>
      </c>
      <c r="E162" s="2" t="s">
        <v>80</v>
      </c>
      <c r="F162" s="1" t="s">
        <v>65</v>
      </c>
      <c r="G162" s="1" t="s">
        <v>71</v>
      </c>
      <c r="H162" s="1" t="s">
        <v>81</v>
      </c>
      <c r="I162" s="2" cm="1">
        <f t="array" ref="I16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62" s="2" cm="1">
        <f t="array" ref="J1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2" s="2">
        <f>Games[[#This Row],[DaysOff]]-Games[[#This Row],[OppDaysOff]]</f>
        <v>-2</v>
      </c>
      <c r="L162" s="2">
        <f>Games[[#This Row],[OppDaysOff]]-Games[[#This Row],[DaysOff]]</f>
        <v>2</v>
      </c>
      <c r="M162" s="1">
        <f>MAX(-16, MIN(16, Games[[#This Row],[RestDiff]]*8))</f>
        <v>-16</v>
      </c>
      <c r="N162" s="1">
        <f>MAX(-16, MIN(16, Games[[#This Row],[OppRestDiff]]*8))</f>
        <v>16</v>
      </c>
      <c r="O162" s="4" cm="1">
        <f t="array" ref="O1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1478.7963919112951</v>
      </c>
      <c r="P162" s="4" cm="1">
        <f t="array" ref="P1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1698.8213080980508</v>
      </c>
      <c r="Q162" s="4">
        <f>1/(1+10^(((Games[[#This Row],[OppPreGmRate]]+IF(Games[[#This Row],[HomeAway]]="A",HCA,0)+Games[[#This Row],[OppRestAdj]])-(Games[[#This Row],[PreGmRate]]+IF(Games[[#This Row],[HomeAway]]="H",HCA,0)+Games[[#This Row],[RestAdj]]))/400))</f>
        <v>0.12627375386147621</v>
      </c>
      <c r="R162" s="1">
        <v>87</v>
      </c>
      <c r="S162" s="1">
        <v>83</v>
      </c>
      <c r="T162" s="1">
        <v>0</v>
      </c>
      <c r="U162" s="1">
        <f>Games[[#This Row],[PointsFor]]-Games[[#This Row],[PointsAgainst]]</f>
        <v>4</v>
      </c>
      <c r="V162" s="1">
        <f>IF(Games[[#This Row],[MOV]]&gt;0,1,IF(Games[[#This Row],[MOV]]=0,0.5,0))</f>
        <v>1</v>
      </c>
      <c r="W162" s="4">
        <f>((ABS(Games[[#This Row],[MOV]])+5)^0.6)/(12+0.01*(ABS(Games[[#This Row],[PreGmRate]]-Games[[#This Row],[OppPreGmRate]])))*IF(Games[[#This Row],[OT]]=1,0.9,1)</f>
        <v>0.26317797499512696</v>
      </c>
      <c r="X162" s="7" cm="1">
        <f t="array" ref="X1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2" s="9">
        <f>MAX(kmin, kmax - 0.15 * MIN(Games[[#This Row],[GamesPlayed]], 82))</f>
        <v>74.05</v>
      </c>
      <c r="Z162" s="4">
        <f>Games[[#This Row],[K]]*Games[[#This Row],[POMult]]</f>
        <v>74.05</v>
      </c>
      <c r="AA162" s="4">
        <f>(Games[[#This Row],[Keff]]*Games[[#This Row],[MOVMult]])*(Games[[#This Row],[Result]]-Games[[#This Row],[ExpectedWin%]])</f>
        <v>17.027464582961404</v>
      </c>
      <c r="AB162" s="4">
        <f>Games[[#This Row],[PreGmRate]]+Games[[#This Row],[RatingChange]]</f>
        <v>1495.8238564942565</v>
      </c>
      <c r="AC162" s="2">
        <f>IF(Games[[#This Row],[Type]]="R",IF(Games[[#This Row],[Result]]&gt;0.5,1,0),0)</f>
        <v>1</v>
      </c>
      <c r="AD162" s="2">
        <f>IF(Games[[#This Row],[Type]]="R",IF(Games[[#This Row],[Result]]&lt;0.5,1,0),0)</f>
        <v>0</v>
      </c>
      <c r="AE162" s="2">
        <f>IF(AND(Games[[#This Row],[Type]]="P",Games[[#This Row],[Round]]=1),IF(Games[[#This Row],[Result]]&gt;0.5,1,0),0)</f>
        <v>0</v>
      </c>
      <c r="AF162" s="2">
        <f>IF(AND(Games[[#This Row],[Type]]="P",Games[[#This Row],[Round]]=1),IF(Games[[#This Row],[Result]]&lt;0.5,1,0),0)</f>
        <v>0</v>
      </c>
      <c r="AG162" s="2">
        <f>IF(AND(Games[[#This Row],[Type]]="P",Games[[#This Row],[Round]]=2),IF(Games[[#This Row],[Result]]&gt;0.5,1,0),0)</f>
        <v>0</v>
      </c>
      <c r="AH162" s="2">
        <f>IF(AND(Games[[#This Row],[Type]]="P",Games[[#This Row],[Round]]=2),IF(Games[[#This Row],[Result]]&lt;0.5,1,0),0)</f>
        <v>0</v>
      </c>
      <c r="AI162" s="2">
        <f>IF(AND(Games[[#This Row],[Type]]="P",Games[[#This Row],[Round]]=3),IF(Games[[#This Row],[Result]]&gt;0.5,1,0),0)</f>
        <v>0</v>
      </c>
      <c r="AJ162" s="2">
        <f>IF(AND(Games[[#This Row],[Type]]="P",Games[[#This Row],[Round]]=3),IF(Games[[#This Row],[Result]]&lt;0.5,1,0),0)</f>
        <v>0</v>
      </c>
      <c r="AK162" s="2">
        <f>IF(AND(Games[[#This Row],[Type]]="P",Games[[#This Row],[Round]]=4),IF(Games[[#This Row],[Result]]&gt;0.5,1,0),0)</f>
        <v>0</v>
      </c>
      <c r="AL162" s="2">
        <f>IF(AND(Games[[#This Row],[Type]]="P",Games[[#This Row],[Round]]=4),IF(Games[[#This Row],[Result]]&lt;0.5,1,0),0)</f>
        <v>0</v>
      </c>
    </row>
    <row r="163" spans="1:38" x14ac:dyDescent="0.35">
      <c r="A163" s="10">
        <v>44369</v>
      </c>
      <c r="B163" s="2">
        <v>2021</v>
      </c>
      <c r="C163" s="2">
        <f>COUNTIFS(Games[Team],Games[[#This Row],[Team]],Games[Season],Games[[#This Row],[Season]],Games[Date],"&lt;=" &amp; Games[[#This Row],[Date]])</f>
        <v>15</v>
      </c>
      <c r="D163" s="2" t="s">
        <v>79</v>
      </c>
      <c r="E163" s="2" t="s">
        <v>80</v>
      </c>
      <c r="F163" s="1" t="s">
        <v>71</v>
      </c>
      <c r="G163" s="1" t="s">
        <v>65</v>
      </c>
      <c r="H163" s="1" t="s">
        <v>82</v>
      </c>
      <c r="I163" s="2" cm="1">
        <f t="array" ref="I1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3" s="2" cm="1">
        <f t="array" ref="J16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63" s="2">
        <f>Games[[#This Row],[DaysOff]]-Games[[#This Row],[OppDaysOff]]</f>
        <v>2</v>
      </c>
      <c r="L163" s="2">
        <f>Games[[#This Row],[OppDaysOff]]-Games[[#This Row],[DaysOff]]</f>
        <v>-2</v>
      </c>
      <c r="M163" s="1">
        <f>MAX(-16, MIN(16, Games[[#This Row],[RestDiff]]*8))</f>
        <v>16</v>
      </c>
      <c r="N163" s="1">
        <f>MAX(-16, MIN(16, Games[[#This Row],[OppRestDiff]]*8))</f>
        <v>-16</v>
      </c>
      <c r="O163" s="4" cm="1">
        <f t="array" ref="O1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1698.8213080980508</v>
      </c>
      <c r="P163" s="4" cm="1">
        <f t="array" ref="P1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1478.7963919112951</v>
      </c>
      <c r="Q163" s="4">
        <f>1/(1+10^(((Games[[#This Row],[OppPreGmRate]]+IF(Games[[#This Row],[HomeAway]]="A",HCA,0)+Games[[#This Row],[OppRestAdj]])-(Games[[#This Row],[PreGmRate]]+IF(Games[[#This Row],[HomeAway]]="H",HCA,0)+Games[[#This Row],[RestAdj]]))/400))</f>
        <v>0.87372624613852379</v>
      </c>
      <c r="R163" s="1">
        <v>83</v>
      </c>
      <c r="S163" s="1">
        <v>87</v>
      </c>
      <c r="T163" s="1">
        <v>0</v>
      </c>
      <c r="U163" s="1">
        <f>Games[[#This Row],[PointsFor]]-Games[[#This Row],[PointsAgainst]]</f>
        <v>-4</v>
      </c>
      <c r="V163" s="1">
        <f>IF(Games[[#This Row],[MOV]]&gt;0,1,IF(Games[[#This Row],[MOV]]=0,0.5,0))</f>
        <v>0</v>
      </c>
      <c r="W163" s="4">
        <f>((ABS(Games[[#This Row],[MOV]])+5)^0.6)/(12+0.01*(ABS(Games[[#This Row],[PreGmRate]]-Games[[#This Row],[OppPreGmRate]])))*IF(Games[[#This Row],[OT]]=1,0.9,1)</f>
        <v>0.26317797499512696</v>
      </c>
      <c r="X163" s="7" cm="1">
        <f t="array" ref="X1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3" s="9">
        <f>MAX(kmin, kmax - 0.15 * MIN(Games[[#This Row],[GamesPlayed]], 82))</f>
        <v>73.75</v>
      </c>
      <c r="Z163" s="4">
        <f>Games[[#This Row],[K]]*Games[[#This Row],[POMult]]</f>
        <v>73.75</v>
      </c>
      <c r="AA163" s="4">
        <f>(Games[[#This Row],[Keff]]*Games[[#This Row],[MOVMult]])*(Games[[#This Row],[Result]]-Games[[#This Row],[ExpectedWin%]])</f>
        <v>-16.958480931713755</v>
      </c>
      <c r="AB163" s="4">
        <f>Games[[#This Row],[PreGmRate]]+Games[[#This Row],[RatingChange]]</f>
        <v>1681.8628271663372</v>
      </c>
      <c r="AC163" s="2">
        <f>IF(Games[[#This Row],[Type]]="R",IF(Games[[#This Row],[Result]]&gt;0.5,1,0),0)</f>
        <v>0</v>
      </c>
      <c r="AD163" s="2">
        <f>IF(Games[[#This Row],[Type]]="R",IF(Games[[#This Row],[Result]]&lt;0.5,1,0),0)</f>
        <v>1</v>
      </c>
      <c r="AE163" s="2">
        <f>IF(AND(Games[[#This Row],[Type]]="P",Games[[#This Row],[Round]]=1),IF(Games[[#This Row],[Result]]&gt;0.5,1,0),0)</f>
        <v>0</v>
      </c>
      <c r="AF163" s="2">
        <f>IF(AND(Games[[#This Row],[Type]]="P",Games[[#This Row],[Round]]=1),IF(Games[[#This Row],[Result]]&lt;0.5,1,0),0)</f>
        <v>0</v>
      </c>
      <c r="AG163" s="2">
        <f>IF(AND(Games[[#This Row],[Type]]="P",Games[[#This Row],[Round]]=2),IF(Games[[#This Row],[Result]]&gt;0.5,1,0),0)</f>
        <v>0</v>
      </c>
      <c r="AH163" s="2">
        <f>IF(AND(Games[[#This Row],[Type]]="P",Games[[#This Row],[Round]]=2),IF(Games[[#This Row],[Result]]&lt;0.5,1,0),0)</f>
        <v>0</v>
      </c>
      <c r="AI163" s="2">
        <f>IF(AND(Games[[#This Row],[Type]]="P",Games[[#This Row],[Round]]=3),IF(Games[[#This Row],[Result]]&gt;0.5,1,0),0)</f>
        <v>0</v>
      </c>
      <c r="AJ163" s="2">
        <f>IF(AND(Games[[#This Row],[Type]]="P",Games[[#This Row],[Round]]=3),IF(Games[[#This Row],[Result]]&lt;0.5,1,0),0)</f>
        <v>0</v>
      </c>
      <c r="AK163" s="2">
        <f>IF(AND(Games[[#This Row],[Type]]="P",Games[[#This Row],[Round]]=4),IF(Games[[#This Row],[Result]]&gt;0.5,1,0),0)</f>
        <v>0</v>
      </c>
      <c r="AL163" s="2">
        <f>IF(AND(Games[[#This Row],[Type]]="P",Games[[#This Row],[Round]]=4),IF(Games[[#This Row],[Result]]&lt;0.5,1,0),0)</f>
        <v>0</v>
      </c>
    </row>
    <row r="164" spans="1:38" x14ac:dyDescent="0.35">
      <c r="A164" s="10">
        <v>44370</v>
      </c>
      <c r="B164" s="2">
        <v>2021</v>
      </c>
      <c r="C164" s="2">
        <f>COUNTIFS(Games[Team],Games[[#This Row],[Team]],Games[Season],Games[[#This Row],[Season]],Games[Date],"&lt;=" &amp; Games[[#This Row],[Date]])</f>
        <v>13</v>
      </c>
      <c r="D164" s="2" t="s">
        <v>79</v>
      </c>
      <c r="E164" s="2" t="s">
        <v>80</v>
      </c>
      <c r="F164" s="1" t="s">
        <v>67</v>
      </c>
      <c r="G164" s="1" t="s">
        <v>77</v>
      </c>
      <c r="H164" s="1" t="s">
        <v>81</v>
      </c>
      <c r="I164" s="2" cm="1">
        <f t="array" ref="I164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4" s="2" cm="1">
        <f t="array" ref="J164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164" s="2">
        <f>Games[[#This Row],[DaysOff]]-Games[[#This Row],[OppDaysOff]]</f>
        <v>-2</v>
      </c>
      <c r="L164" s="2">
        <f>Games[[#This Row],[OppDaysOff]]-Games[[#This Row],[DaysOff]]</f>
        <v>2</v>
      </c>
      <c r="M164" s="1">
        <f>MAX(-16, MIN(16, Games[[#This Row],[RestDiff]]*8))</f>
        <v>-16</v>
      </c>
      <c r="N164" s="1">
        <f>MAX(-16, MIN(16, Games[[#This Row],[OppRestDiff]]*8))</f>
        <v>16</v>
      </c>
      <c r="O164" s="4" cm="1">
        <f t="array" ref="O1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1487.8791531264944</v>
      </c>
      <c r="P164" s="4" cm="1">
        <f t="array" ref="P1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1438.5662065488775</v>
      </c>
      <c r="Q164" s="4">
        <f>1/(1+10^(((Games[[#This Row],[OppPreGmRate]]+IF(Games[[#This Row],[HomeAway]]="A",HCA,0)+Games[[#This Row],[OppRestAdj]])-(Games[[#This Row],[PreGmRate]]+IF(Games[[#This Row],[HomeAway]]="H",HCA,0)+Games[[#This Row],[RestAdj]]))/400))</f>
        <v>0.40519105952223661</v>
      </c>
      <c r="R164" s="1">
        <v>87</v>
      </c>
      <c r="S164" s="1">
        <v>85</v>
      </c>
      <c r="T164" s="1">
        <v>0</v>
      </c>
      <c r="U164" s="1">
        <f>Games[[#This Row],[PointsFor]]-Games[[#This Row],[PointsAgainst]]</f>
        <v>2</v>
      </c>
      <c r="V164" s="1">
        <f>IF(Games[[#This Row],[MOV]]&gt;0,1,IF(Games[[#This Row],[MOV]]=0,0.5,0))</f>
        <v>1</v>
      </c>
      <c r="W164" s="4">
        <f>((ABS(Games[[#This Row],[MOV]])+5)^0.6)/(12+0.01*(ABS(Games[[#This Row],[PreGmRate]]-Games[[#This Row],[OppPreGmRate]])))*IF(Games[[#This Row],[OT]]=1,0.9,1)</f>
        <v>0.25726907405552563</v>
      </c>
      <c r="X164" s="7" cm="1">
        <f t="array" ref="X1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4" s="9">
        <f>MAX(kmin, kmax - 0.15 * MIN(Games[[#This Row],[GamesPlayed]], 82))</f>
        <v>74.05</v>
      </c>
      <c r="Z164" s="4">
        <f>Games[[#This Row],[K]]*Games[[#This Row],[POMult]]</f>
        <v>74.05</v>
      </c>
      <c r="AA164" s="4">
        <f>(Games[[#This Row],[Keff]]*Games[[#This Row],[MOVMult]])*(Games[[#This Row],[Result]]-Games[[#This Row],[ExpectedWin%]])</f>
        <v>11.331571253660854</v>
      </c>
      <c r="AB164" s="4">
        <f>Games[[#This Row],[PreGmRate]]+Games[[#This Row],[RatingChange]]</f>
        <v>1499.2107243801552</v>
      </c>
      <c r="AC164" s="2">
        <f>IF(Games[[#This Row],[Type]]="R",IF(Games[[#This Row],[Result]]&gt;0.5,1,0),0)</f>
        <v>1</v>
      </c>
      <c r="AD164" s="2">
        <f>IF(Games[[#This Row],[Type]]="R",IF(Games[[#This Row],[Result]]&lt;0.5,1,0),0)</f>
        <v>0</v>
      </c>
      <c r="AE164" s="2">
        <f>IF(AND(Games[[#This Row],[Type]]="P",Games[[#This Row],[Round]]=1),IF(Games[[#This Row],[Result]]&gt;0.5,1,0),0)</f>
        <v>0</v>
      </c>
      <c r="AF164" s="2">
        <f>IF(AND(Games[[#This Row],[Type]]="P",Games[[#This Row],[Round]]=1),IF(Games[[#This Row],[Result]]&lt;0.5,1,0),0)</f>
        <v>0</v>
      </c>
      <c r="AG164" s="2">
        <f>IF(AND(Games[[#This Row],[Type]]="P",Games[[#This Row],[Round]]=2),IF(Games[[#This Row],[Result]]&gt;0.5,1,0),0)</f>
        <v>0</v>
      </c>
      <c r="AH164" s="2">
        <f>IF(AND(Games[[#This Row],[Type]]="P",Games[[#This Row],[Round]]=2),IF(Games[[#This Row],[Result]]&lt;0.5,1,0),0)</f>
        <v>0</v>
      </c>
      <c r="AI164" s="2">
        <f>IF(AND(Games[[#This Row],[Type]]="P",Games[[#This Row],[Round]]=3),IF(Games[[#This Row],[Result]]&gt;0.5,1,0),0)</f>
        <v>0</v>
      </c>
      <c r="AJ164" s="2">
        <f>IF(AND(Games[[#This Row],[Type]]="P",Games[[#This Row],[Round]]=3),IF(Games[[#This Row],[Result]]&lt;0.5,1,0),0)</f>
        <v>0</v>
      </c>
      <c r="AK164" s="2">
        <f>IF(AND(Games[[#This Row],[Type]]="P",Games[[#This Row],[Round]]=4),IF(Games[[#This Row],[Result]]&gt;0.5,1,0),0)</f>
        <v>0</v>
      </c>
      <c r="AL164" s="2">
        <f>IF(AND(Games[[#This Row],[Type]]="P",Games[[#This Row],[Round]]=4),IF(Games[[#This Row],[Result]]&lt;0.5,1,0),0)</f>
        <v>0</v>
      </c>
    </row>
    <row r="165" spans="1:38" x14ac:dyDescent="0.35">
      <c r="A165" s="10">
        <v>44370</v>
      </c>
      <c r="B165" s="2">
        <v>2021</v>
      </c>
      <c r="C165" s="2">
        <f>COUNTIFS(Games[Team],Games[[#This Row],[Team]],Games[Season],Games[[#This Row],[Season]],Games[Date],"&lt;=" &amp; Games[[#This Row],[Date]])</f>
        <v>13</v>
      </c>
      <c r="D165" s="2" t="s">
        <v>79</v>
      </c>
      <c r="E165" s="2" t="s">
        <v>80</v>
      </c>
      <c r="F165" s="1" t="s">
        <v>77</v>
      </c>
      <c r="G165" s="1" t="s">
        <v>67</v>
      </c>
      <c r="H165" s="1" t="s">
        <v>82</v>
      </c>
      <c r="I165" s="2" cm="1">
        <f t="array" ref="I165">IFERROR(
    Games[[#This Row],[Date]]
    - LOOKUP(
        2,
        1/((Games[Team]=Games[[#This Row],[Team]]) * (Games[Date] &lt; Games[[#This Row],[Date]])),
        Games[Date]
    )
    - 1,
Games[[#This Row],[Date]]-$A$2)</f>
        <v>5</v>
      </c>
      <c r="J165" s="2" cm="1">
        <f t="array" ref="J16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5" s="2">
        <f>Games[[#This Row],[DaysOff]]-Games[[#This Row],[OppDaysOff]]</f>
        <v>2</v>
      </c>
      <c r="L165" s="2">
        <f>Games[[#This Row],[OppDaysOff]]-Games[[#This Row],[DaysOff]]</f>
        <v>-2</v>
      </c>
      <c r="M165" s="1">
        <f>MAX(-16, MIN(16, Games[[#This Row],[RestDiff]]*8))</f>
        <v>16</v>
      </c>
      <c r="N165" s="1">
        <f>MAX(-16, MIN(16, Games[[#This Row],[OppRestDiff]]*8))</f>
        <v>-16</v>
      </c>
      <c r="O165" s="4" cm="1">
        <f t="array" ref="O1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1438.5662065488775</v>
      </c>
      <c r="P165" s="4" cm="1">
        <f t="array" ref="P1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1487.8791531264944</v>
      </c>
      <c r="Q165" s="4">
        <f>1/(1+10^(((Games[[#This Row],[OppPreGmRate]]+IF(Games[[#This Row],[HomeAway]]="A",HCA,0)+Games[[#This Row],[OppRestAdj]])-(Games[[#This Row],[PreGmRate]]+IF(Games[[#This Row],[HomeAway]]="H",HCA,0)+Games[[#This Row],[RestAdj]]))/400))</f>
        <v>0.59480894047776345</v>
      </c>
      <c r="R165" s="1">
        <v>85</v>
      </c>
      <c r="S165" s="1">
        <v>87</v>
      </c>
      <c r="T165" s="1">
        <v>0</v>
      </c>
      <c r="U165" s="1">
        <f>Games[[#This Row],[PointsFor]]-Games[[#This Row],[PointsAgainst]]</f>
        <v>-2</v>
      </c>
      <c r="V165" s="1">
        <f>IF(Games[[#This Row],[MOV]]&gt;0,1,IF(Games[[#This Row],[MOV]]=0,0.5,0))</f>
        <v>0</v>
      </c>
      <c r="W165" s="4">
        <f>((ABS(Games[[#This Row],[MOV]])+5)^0.6)/(12+0.01*(ABS(Games[[#This Row],[PreGmRate]]-Games[[#This Row],[OppPreGmRate]])))*IF(Games[[#This Row],[OT]]=1,0.9,1)</f>
        <v>0.25726907405552563</v>
      </c>
      <c r="X165" s="7" cm="1">
        <f t="array" ref="X1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5" s="9">
        <f>MAX(kmin, kmax - 0.15 * MIN(Games[[#This Row],[GamesPlayed]], 82))</f>
        <v>74.05</v>
      </c>
      <c r="Z165" s="4">
        <f>Games[[#This Row],[K]]*Games[[#This Row],[POMult]]</f>
        <v>74.05</v>
      </c>
      <c r="AA165" s="4">
        <f>(Games[[#This Row],[Keff]]*Games[[#This Row],[MOVMult]])*(Games[[#This Row],[Result]]-Games[[#This Row],[ExpectedWin%]])</f>
        <v>-11.331571253660854</v>
      </c>
      <c r="AB165" s="4">
        <f>Games[[#This Row],[PreGmRate]]+Games[[#This Row],[RatingChange]]</f>
        <v>1427.2346352952168</v>
      </c>
      <c r="AC165" s="2">
        <f>IF(Games[[#This Row],[Type]]="R",IF(Games[[#This Row],[Result]]&gt;0.5,1,0),0)</f>
        <v>0</v>
      </c>
      <c r="AD165" s="2">
        <f>IF(Games[[#This Row],[Type]]="R",IF(Games[[#This Row],[Result]]&lt;0.5,1,0),0)</f>
        <v>1</v>
      </c>
      <c r="AE165" s="2">
        <f>IF(AND(Games[[#This Row],[Type]]="P",Games[[#This Row],[Round]]=1),IF(Games[[#This Row],[Result]]&gt;0.5,1,0),0)</f>
        <v>0</v>
      </c>
      <c r="AF165" s="2">
        <f>IF(AND(Games[[#This Row],[Type]]="P",Games[[#This Row],[Round]]=1),IF(Games[[#This Row],[Result]]&lt;0.5,1,0),0)</f>
        <v>0</v>
      </c>
      <c r="AG165" s="2">
        <f>IF(AND(Games[[#This Row],[Type]]="P",Games[[#This Row],[Round]]=2),IF(Games[[#This Row],[Result]]&gt;0.5,1,0),0)</f>
        <v>0</v>
      </c>
      <c r="AH165" s="2">
        <f>IF(AND(Games[[#This Row],[Type]]="P",Games[[#This Row],[Round]]=2),IF(Games[[#This Row],[Result]]&lt;0.5,1,0),0)</f>
        <v>0</v>
      </c>
      <c r="AI165" s="2">
        <f>IF(AND(Games[[#This Row],[Type]]="P",Games[[#This Row],[Round]]=3),IF(Games[[#This Row],[Result]]&gt;0.5,1,0),0)</f>
        <v>0</v>
      </c>
      <c r="AJ165" s="2">
        <f>IF(AND(Games[[#This Row],[Type]]="P",Games[[#This Row],[Round]]=3),IF(Games[[#This Row],[Result]]&lt;0.5,1,0),0)</f>
        <v>0</v>
      </c>
      <c r="AK165" s="2">
        <f>IF(AND(Games[[#This Row],[Type]]="P",Games[[#This Row],[Round]]=4),IF(Games[[#This Row],[Result]]&gt;0.5,1,0),0)</f>
        <v>0</v>
      </c>
      <c r="AL165" s="2">
        <f>IF(AND(Games[[#This Row],[Type]]="P",Games[[#This Row],[Round]]=4),IF(Games[[#This Row],[Result]]&lt;0.5,1,0),0)</f>
        <v>0</v>
      </c>
    </row>
    <row r="166" spans="1:38" x14ac:dyDescent="0.35">
      <c r="A166" s="10">
        <v>44371</v>
      </c>
      <c r="B166" s="2">
        <v>2021</v>
      </c>
      <c r="C166" s="2">
        <f>COUNTIFS(Games[Team],Games[[#This Row],[Team]],Games[Season],Games[[#This Row],[Season]],Games[Date],"&lt;=" &amp; Games[[#This Row],[Date]])</f>
        <v>15</v>
      </c>
      <c r="D166" s="2" t="s">
        <v>79</v>
      </c>
      <c r="E166" s="2" t="s">
        <v>80</v>
      </c>
      <c r="F166" s="1" t="s">
        <v>84</v>
      </c>
      <c r="G166" s="1" t="s">
        <v>69</v>
      </c>
      <c r="H166" s="1" t="s">
        <v>81</v>
      </c>
      <c r="I166" s="2" cm="1">
        <f t="array" ref="I1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6" s="2" cm="1">
        <f t="array" ref="J16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66" s="2">
        <f>Games[[#This Row],[DaysOff]]-Games[[#This Row],[OppDaysOff]]</f>
        <v>-3</v>
      </c>
      <c r="L166" s="2">
        <f>Games[[#This Row],[OppDaysOff]]-Games[[#This Row],[DaysOff]]</f>
        <v>3</v>
      </c>
      <c r="M166" s="1">
        <f>MAX(-16, MIN(16, Games[[#This Row],[RestDiff]]*8))</f>
        <v>-16</v>
      </c>
      <c r="N166" s="1">
        <f>MAX(-16, MIN(16, Games[[#This Row],[OppRestDiff]]*8))</f>
        <v>16</v>
      </c>
      <c r="O166" s="4" cm="1">
        <f t="array" ref="O1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1489.980007920283</v>
      </c>
      <c r="P166" s="4" cm="1">
        <f t="array" ref="P1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1316.7436038234707</v>
      </c>
      <c r="Q166" s="4">
        <f>1/(1+10^(((Games[[#This Row],[OppPreGmRate]]+IF(Games[[#This Row],[HomeAway]]="A",HCA,0)+Games[[#This Row],[OppRestAdj]])-(Games[[#This Row],[PreGmRate]]+IF(Games[[#This Row],[HomeAway]]="H",HCA,0)+Games[[#This Row],[RestAdj]]))/400))</f>
        <v>0.58163265938662889</v>
      </c>
      <c r="R166" s="1">
        <v>89</v>
      </c>
      <c r="S166" s="1">
        <v>64</v>
      </c>
      <c r="T166" s="1">
        <v>0</v>
      </c>
      <c r="U166" s="1">
        <f>Games[[#This Row],[PointsFor]]-Games[[#This Row],[PointsAgainst]]</f>
        <v>25</v>
      </c>
      <c r="V166" s="1">
        <f>IF(Games[[#This Row],[MOV]]&gt;0,1,IF(Games[[#This Row],[MOV]]=0,0.5,0))</f>
        <v>1</v>
      </c>
      <c r="W166" s="4">
        <f>((ABS(Games[[#This Row],[MOV]])+5)^0.6)/(12+0.01*(ABS(Games[[#This Row],[PreGmRate]]-Games[[#This Row],[OppPreGmRate]])))*IF(Games[[#This Row],[OT]]=1,0.9,1)</f>
        <v>0.56043783268241298</v>
      </c>
      <c r="X166" s="7" cm="1">
        <f t="array" ref="X1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6" s="9">
        <f>MAX(kmin, kmax - 0.15 * MIN(Games[[#This Row],[GamesPlayed]], 82))</f>
        <v>73.75</v>
      </c>
      <c r="Z166" s="4">
        <f>Games[[#This Row],[K]]*Games[[#This Row],[POMult]]</f>
        <v>73.75</v>
      </c>
      <c r="AA166" s="4">
        <f>(Games[[#This Row],[Keff]]*Games[[#This Row],[MOVMult]])*(Games[[#This Row],[Result]]-Games[[#This Row],[ExpectedWin%]])</f>
        <v>17.292080315836614</v>
      </c>
      <c r="AB166" s="4">
        <f>Games[[#This Row],[PreGmRate]]+Games[[#This Row],[RatingChange]]</f>
        <v>1507.2720882361195</v>
      </c>
      <c r="AC166" s="2">
        <f>IF(Games[[#This Row],[Type]]="R",IF(Games[[#This Row],[Result]]&gt;0.5,1,0),0)</f>
        <v>1</v>
      </c>
      <c r="AD166" s="2">
        <f>IF(Games[[#This Row],[Type]]="R",IF(Games[[#This Row],[Result]]&lt;0.5,1,0),0)</f>
        <v>0</v>
      </c>
      <c r="AE166" s="2">
        <f>IF(AND(Games[[#This Row],[Type]]="P",Games[[#This Row],[Round]]=1),IF(Games[[#This Row],[Result]]&gt;0.5,1,0),0)</f>
        <v>0</v>
      </c>
      <c r="AF166" s="2">
        <f>IF(AND(Games[[#This Row],[Type]]="P",Games[[#This Row],[Round]]=1),IF(Games[[#This Row],[Result]]&lt;0.5,1,0),0)</f>
        <v>0</v>
      </c>
      <c r="AG166" s="2">
        <f>IF(AND(Games[[#This Row],[Type]]="P",Games[[#This Row],[Round]]=2),IF(Games[[#This Row],[Result]]&gt;0.5,1,0),0)</f>
        <v>0</v>
      </c>
      <c r="AH166" s="2">
        <f>IF(AND(Games[[#This Row],[Type]]="P",Games[[#This Row],[Round]]=2),IF(Games[[#This Row],[Result]]&lt;0.5,1,0),0)</f>
        <v>0</v>
      </c>
      <c r="AI166" s="2">
        <f>IF(AND(Games[[#This Row],[Type]]="P",Games[[#This Row],[Round]]=3),IF(Games[[#This Row],[Result]]&gt;0.5,1,0),0)</f>
        <v>0</v>
      </c>
      <c r="AJ166" s="2">
        <f>IF(AND(Games[[#This Row],[Type]]="P",Games[[#This Row],[Round]]=3),IF(Games[[#This Row],[Result]]&lt;0.5,1,0),0)</f>
        <v>0</v>
      </c>
      <c r="AK166" s="2">
        <f>IF(AND(Games[[#This Row],[Type]]="P",Games[[#This Row],[Round]]=4),IF(Games[[#This Row],[Result]]&gt;0.5,1,0),0)</f>
        <v>0</v>
      </c>
      <c r="AL166" s="2">
        <f>IF(AND(Games[[#This Row],[Type]]="P",Games[[#This Row],[Round]]=4),IF(Games[[#This Row],[Result]]&lt;0.5,1,0),0)</f>
        <v>0</v>
      </c>
    </row>
    <row r="167" spans="1:38" x14ac:dyDescent="0.35">
      <c r="A167" s="10">
        <v>44371</v>
      </c>
      <c r="B167" s="2">
        <v>2021</v>
      </c>
      <c r="C167" s="2">
        <f>COUNTIFS(Games[Team],Games[[#This Row],[Team]],Games[Season],Games[[#This Row],[Season]],Games[Date],"&lt;=" &amp; Games[[#This Row],[Date]])</f>
        <v>16</v>
      </c>
      <c r="D167" s="2" t="s">
        <v>79</v>
      </c>
      <c r="E167" s="2" t="s">
        <v>80</v>
      </c>
      <c r="F167" s="1" t="s">
        <v>69</v>
      </c>
      <c r="G167" s="1" t="s">
        <v>84</v>
      </c>
      <c r="H167" s="1" t="s">
        <v>82</v>
      </c>
      <c r="I167" s="2" cm="1">
        <f t="array" ref="I167">IFERROR(
    Games[[#This Row],[Date]]
    - LOOKUP(
        2,
        1/((Games[Team]=Games[[#This Row],[Team]]) * (Games[Date] &lt; Games[[#This Row],[Date]])),
        Games[Date]
    )
    - 1,
Games[[#This Row],[Date]]-$A$2)</f>
        <v>4</v>
      </c>
      <c r="J167" s="2" cm="1">
        <f t="array" ref="J1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7" s="2">
        <f>Games[[#This Row],[DaysOff]]-Games[[#This Row],[OppDaysOff]]</f>
        <v>3</v>
      </c>
      <c r="L167" s="2">
        <f>Games[[#This Row],[OppDaysOff]]-Games[[#This Row],[DaysOff]]</f>
        <v>-3</v>
      </c>
      <c r="M167" s="1">
        <f>MAX(-16, MIN(16, Games[[#This Row],[RestDiff]]*8))</f>
        <v>16</v>
      </c>
      <c r="N167" s="1">
        <f>MAX(-16, MIN(16, Games[[#This Row],[OppRestDiff]]*8))</f>
        <v>-16</v>
      </c>
      <c r="O167" s="4" cm="1">
        <f t="array" ref="O1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1316.7436038234707</v>
      </c>
      <c r="P167" s="4" cm="1">
        <f t="array" ref="P1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1489.980007920283</v>
      </c>
      <c r="Q167" s="4">
        <f>1/(1+10^(((Games[[#This Row],[OppPreGmRate]]+IF(Games[[#This Row],[HomeAway]]="A",HCA,0)+Games[[#This Row],[OppRestAdj]])-(Games[[#This Row],[PreGmRate]]+IF(Games[[#This Row],[HomeAway]]="H",HCA,0)+Games[[#This Row],[RestAdj]]))/400))</f>
        <v>0.41836734061337105</v>
      </c>
      <c r="R167" s="1">
        <v>64</v>
      </c>
      <c r="S167" s="1">
        <v>89</v>
      </c>
      <c r="T167" s="1">
        <v>0</v>
      </c>
      <c r="U167" s="1">
        <f>Games[[#This Row],[PointsFor]]-Games[[#This Row],[PointsAgainst]]</f>
        <v>-25</v>
      </c>
      <c r="V167" s="1">
        <f>IF(Games[[#This Row],[MOV]]&gt;0,1,IF(Games[[#This Row],[MOV]]=0,0.5,0))</f>
        <v>0</v>
      </c>
      <c r="W167" s="4">
        <f>((ABS(Games[[#This Row],[MOV]])+5)^0.6)/(12+0.01*(ABS(Games[[#This Row],[PreGmRate]]-Games[[#This Row],[OppPreGmRate]])))*IF(Games[[#This Row],[OT]]=1,0.9,1)</f>
        <v>0.56043783268241298</v>
      </c>
      <c r="X167" s="7" cm="1">
        <f t="array" ref="X1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7" s="9">
        <f>MAX(kmin, kmax - 0.15 * MIN(Games[[#This Row],[GamesPlayed]], 82))</f>
        <v>73.599999999999994</v>
      </c>
      <c r="Z167" s="4">
        <f>Games[[#This Row],[K]]*Games[[#This Row],[POMult]]</f>
        <v>73.599999999999994</v>
      </c>
      <c r="AA167" s="4">
        <f>(Games[[#This Row],[Keff]]*Games[[#This Row],[MOVMult]])*(Games[[#This Row],[Result]]-Games[[#This Row],[ExpectedWin%]])</f>
        <v>-17.256909982990841</v>
      </c>
      <c r="AB167" s="4">
        <f>Games[[#This Row],[PreGmRate]]+Games[[#This Row],[RatingChange]]</f>
        <v>1299.4866938404798</v>
      </c>
      <c r="AC167" s="2">
        <f>IF(Games[[#This Row],[Type]]="R",IF(Games[[#This Row],[Result]]&gt;0.5,1,0),0)</f>
        <v>0</v>
      </c>
      <c r="AD167" s="2">
        <f>IF(Games[[#This Row],[Type]]="R",IF(Games[[#This Row],[Result]]&lt;0.5,1,0),0)</f>
        <v>1</v>
      </c>
      <c r="AE167" s="2">
        <f>IF(AND(Games[[#This Row],[Type]]="P",Games[[#This Row],[Round]]=1),IF(Games[[#This Row],[Result]]&gt;0.5,1,0),0)</f>
        <v>0</v>
      </c>
      <c r="AF167" s="2">
        <f>IF(AND(Games[[#This Row],[Type]]="P",Games[[#This Row],[Round]]=1),IF(Games[[#This Row],[Result]]&lt;0.5,1,0),0)</f>
        <v>0</v>
      </c>
      <c r="AG167" s="2">
        <f>IF(AND(Games[[#This Row],[Type]]="P",Games[[#This Row],[Round]]=2),IF(Games[[#This Row],[Result]]&gt;0.5,1,0),0)</f>
        <v>0</v>
      </c>
      <c r="AH167" s="2">
        <f>IF(AND(Games[[#This Row],[Type]]="P",Games[[#This Row],[Round]]=2),IF(Games[[#This Row],[Result]]&lt;0.5,1,0),0)</f>
        <v>0</v>
      </c>
      <c r="AI167" s="2">
        <f>IF(AND(Games[[#This Row],[Type]]="P",Games[[#This Row],[Round]]=3),IF(Games[[#This Row],[Result]]&gt;0.5,1,0),0)</f>
        <v>0</v>
      </c>
      <c r="AJ167" s="2">
        <f>IF(AND(Games[[#This Row],[Type]]="P",Games[[#This Row],[Round]]=3),IF(Games[[#This Row],[Result]]&lt;0.5,1,0),0)</f>
        <v>0</v>
      </c>
      <c r="AK167" s="2">
        <f>IF(AND(Games[[#This Row],[Type]]="P",Games[[#This Row],[Round]]=4),IF(Games[[#This Row],[Result]]&gt;0.5,1,0),0)</f>
        <v>0</v>
      </c>
      <c r="AL167" s="2">
        <f>IF(AND(Games[[#This Row],[Type]]="P",Games[[#This Row],[Round]]=4),IF(Games[[#This Row],[Result]]&lt;0.5,1,0),0)</f>
        <v>0</v>
      </c>
    </row>
    <row r="168" spans="1:38" x14ac:dyDescent="0.35">
      <c r="A168" s="10">
        <v>44371</v>
      </c>
      <c r="B168" s="2">
        <v>2021</v>
      </c>
      <c r="C168" s="2">
        <f>COUNTIFS(Games[Team],Games[[#This Row],[Team]],Games[Season],Games[[#This Row],[Season]],Games[Date],"&lt;=" &amp; Games[[#This Row],[Date]])</f>
        <v>14</v>
      </c>
      <c r="D168" s="2" t="s">
        <v>79</v>
      </c>
      <c r="E168" s="2" t="s">
        <v>80</v>
      </c>
      <c r="F168" s="1" t="s">
        <v>65</v>
      </c>
      <c r="G168" s="1" t="s">
        <v>63</v>
      </c>
      <c r="H168" s="1" t="s">
        <v>81</v>
      </c>
      <c r="I168" s="2" cm="1">
        <f t="array" ref="I1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68" s="2" cm="1">
        <f t="array" ref="J16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68" s="2">
        <f>Games[[#This Row],[DaysOff]]-Games[[#This Row],[OppDaysOff]]</f>
        <v>-2</v>
      </c>
      <c r="L168" s="2">
        <f>Games[[#This Row],[OppDaysOff]]-Games[[#This Row],[DaysOff]]</f>
        <v>2</v>
      </c>
      <c r="M168" s="1">
        <f>MAX(-16, MIN(16, Games[[#This Row],[RestDiff]]*8))</f>
        <v>-16</v>
      </c>
      <c r="N168" s="1">
        <f>MAX(-16, MIN(16, Games[[#This Row],[OppRestDiff]]*8))</f>
        <v>16</v>
      </c>
      <c r="O168" s="4" cm="1">
        <f t="array" ref="O1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1495.8238564942565</v>
      </c>
      <c r="P168" s="4" cm="1">
        <f t="array" ref="P1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1457.430696375081</v>
      </c>
      <c r="Q168" s="4">
        <f>1/(1+10^(((Games[[#This Row],[OppPreGmRate]]+IF(Games[[#This Row],[HomeAway]]="A",HCA,0)+Games[[#This Row],[OppRestAdj]])-(Games[[#This Row],[PreGmRate]]+IF(Games[[#This Row],[HomeAway]]="H",HCA,0)+Games[[#This Row],[RestAdj]]))/400))</f>
        <v>0.39013592948855108</v>
      </c>
      <c r="R168" s="1">
        <v>82</v>
      </c>
      <c r="S168" s="1">
        <v>89</v>
      </c>
      <c r="T168" s="1">
        <v>0</v>
      </c>
      <c r="U168" s="1">
        <f>Games[[#This Row],[PointsFor]]-Games[[#This Row],[PointsAgainst]]</f>
        <v>-7</v>
      </c>
      <c r="V168" s="1">
        <f>IF(Games[[#This Row],[MOV]]&gt;0,1,IF(Games[[#This Row],[MOV]]=0,0.5,0))</f>
        <v>0</v>
      </c>
      <c r="W168" s="4">
        <f>((ABS(Games[[#This Row],[MOV]])+5)^0.6)/(12+0.01*(ABS(Games[[#This Row],[PreGmRate]]-Games[[#This Row],[OppPreGmRate]])))*IF(Games[[#This Row],[OT]]=1,0.9,1)</f>
        <v>0.35863296187928217</v>
      </c>
      <c r="X168" s="7" cm="1">
        <f t="array" ref="X1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8" s="9">
        <f>MAX(kmin, kmax - 0.15 * MIN(Games[[#This Row],[GamesPlayed]], 82))</f>
        <v>73.900000000000006</v>
      </c>
      <c r="Z168" s="4">
        <f>Games[[#This Row],[K]]*Games[[#This Row],[POMult]]</f>
        <v>73.900000000000006</v>
      </c>
      <c r="AA168" s="4">
        <f>(Games[[#This Row],[Keff]]*Games[[#This Row],[MOVMult]])*(Games[[#This Row],[Result]]-Games[[#This Row],[ExpectedWin%]])</f>
        <v>-10.339763130279634</v>
      </c>
      <c r="AB168" s="4">
        <f>Games[[#This Row],[PreGmRate]]+Games[[#This Row],[RatingChange]]</f>
        <v>1485.4840933639769</v>
      </c>
      <c r="AC168" s="2">
        <f>IF(Games[[#This Row],[Type]]="R",IF(Games[[#This Row],[Result]]&gt;0.5,1,0),0)</f>
        <v>0</v>
      </c>
      <c r="AD168" s="2">
        <f>IF(Games[[#This Row],[Type]]="R",IF(Games[[#This Row],[Result]]&lt;0.5,1,0),0)</f>
        <v>1</v>
      </c>
      <c r="AE168" s="2">
        <f>IF(AND(Games[[#This Row],[Type]]="P",Games[[#This Row],[Round]]=1),IF(Games[[#This Row],[Result]]&gt;0.5,1,0),0)</f>
        <v>0</v>
      </c>
      <c r="AF168" s="2">
        <f>IF(AND(Games[[#This Row],[Type]]="P",Games[[#This Row],[Round]]=1),IF(Games[[#This Row],[Result]]&lt;0.5,1,0),0)</f>
        <v>0</v>
      </c>
      <c r="AG168" s="2">
        <f>IF(AND(Games[[#This Row],[Type]]="P",Games[[#This Row],[Round]]=2),IF(Games[[#This Row],[Result]]&gt;0.5,1,0),0)</f>
        <v>0</v>
      </c>
      <c r="AH168" s="2">
        <f>IF(AND(Games[[#This Row],[Type]]="P",Games[[#This Row],[Round]]=2),IF(Games[[#This Row],[Result]]&lt;0.5,1,0),0)</f>
        <v>0</v>
      </c>
      <c r="AI168" s="2">
        <f>IF(AND(Games[[#This Row],[Type]]="P",Games[[#This Row],[Round]]=3),IF(Games[[#This Row],[Result]]&gt;0.5,1,0),0)</f>
        <v>0</v>
      </c>
      <c r="AJ168" s="2">
        <f>IF(AND(Games[[#This Row],[Type]]="P",Games[[#This Row],[Round]]=3),IF(Games[[#This Row],[Result]]&lt;0.5,1,0),0)</f>
        <v>0</v>
      </c>
      <c r="AK168" s="2">
        <f>IF(AND(Games[[#This Row],[Type]]="P",Games[[#This Row],[Round]]=4),IF(Games[[#This Row],[Result]]&gt;0.5,1,0),0)</f>
        <v>0</v>
      </c>
      <c r="AL168" s="2">
        <f>IF(AND(Games[[#This Row],[Type]]="P",Games[[#This Row],[Round]]=4),IF(Games[[#This Row],[Result]]&lt;0.5,1,0),0)</f>
        <v>0</v>
      </c>
    </row>
    <row r="169" spans="1:38" x14ac:dyDescent="0.35">
      <c r="A169" s="10">
        <v>44371</v>
      </c>
      <c r="B169" s="2">
        <v>2021</v>
      </c>
      <c r="C169" s="2">
        <f>COUNTIFS(Games[Team],Games[[#This Row],[Team]],Games[Season],Games[[#This Row],[Season]],Games[Date],"&lt;=" &amp; Games[[#This Row],[Date]])</f>
        <v>13</v>
      </c>
      <c r="D169" s="2" t="s">
        <v>79</v>
      </c>
      <c r="E169" s="2" t="s">
        <v>80</v>
      </c>
      <c r="F169" s="1" t="s">
        <v>63</v>
      </c>
      <c r="G169" s="1" t="s">
        <v>65</v>
      </c>
      <c r="H169" s="1" t="s">
        <v>82</v>
      </c>
      <c r="I169" s="2" cm="1">
        <f t="array" ref="I16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69" s="2" cm="1">
        <f t="array" ref="J1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69" s="2">
        <f>Games[[#This Row],[DaysOff]]-Games[[#This Row],[OppDaysOff]]</f>
        <v>2</v>
      </c>
      <c r="L169" s="2">
        <f>Games[[#This Row],[OppDaysOff]]-Games[[#This Row],[DaysOff]]</f>
        <v>-2</v>
      </c>
      <c r="M169" s="1">
        <f>MAX(-16, MIN(16, Games[[#This Row],[RestDiff]]*8))</f>
        <v>16</v>
      </c>
      <c r="N169" s="1">
        <f>MAX(-16, MIN(16, Games[[#This Row],[OppRestDiff]]*8))</f>
        <v>-16</v>
      </c>
      <c r="O169" s="4" cm="1">
        <f t="array" ref="O1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1457.430696375081</v>
      </c>
      <c r="P169" s="4" cm="1">
        <f t="array" ref="P1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1495.8238564942565</v>
      </c>
      <c r="Q169" s="4">
        <f>1/(1+10^(((Games[[#This Row],[OppPreGmRate]]+IF(Games[[#This Row],[HomeAway]]="A",HCA,0)+Games[[#This Row],[OppRestAdj]])-(Games[[#This Row],[PreGmRate]]+IF(Games[[#This Row],[HomeAway]]="H",HCA,0)+Games[[#This Row],[RestAdj]]))/400))</f>
        <v>0.60986407051144897</v>
      </c>
      <c r="R169" s="1">
        <v>89</v>
      </c>
      <c r="S169" s="1">
        <v>82</v>
      </c>
      <c r="T169" s="1">
        <v>0</v>
      </c>
      <c r="U169" s="1">
        <f>Games[[#This Row],[PointsFor]]-Games[[#This Row],[PointsAgainst]]</f>
        <v>7</v>
      </c>
      <c r="V169" s="1">
        <f>IF(Games[[#This Row],[MOV]]&gt;0,1,IF(Games[[#This Row],[MOV]]=0,0.5,0))</f>
        <v>1</v>
      </c>
      <c r="W169" s="4">
        <f>((ABS(Games[[#This Row],[MOV]])+5)^0.6)/(12+0.01*(ABS(Games[[#This Row],[PreGmRate]]-Games[[#This Row],[OppPreGmRate]])))*IF(Games[[#This Row],[OT]]=1,0.9,1)</f>
        <v>0.35863296187928217</v>
      </c>
      <c r="X169" s="7" cm="1">
        <f t="array" ref="X1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69" s="9">
        <f>MAX(kmin, kmax - 0.15 * MIN(Games[[#This Row],[GamesPlayed]], 82))</f>
        <v>74.05</v>
      </c>
      <c r="Z169" s="4">
        <f>Games[[#This Row],[K]]*Games[[#This Row],[POMult]]</f>
        <v>74.05</v>
      </c>
      <c r="AA169" s="4">
        <f>(Games[[#This Row],[Keff]]*Games[[#This Row],[MOVMult]])*(Games[[#This Row],[Result]]-Games[[#This Row],[ExpectedWin%]])</f>
        <v>10.360750470868831</v>
      </c>
      <c r="AB169" s="4">
        <f>Games[[#This Row],[PreGmRate]]+Games[[#This Row],[RatingChange]]</f>
        <v>1467.7914468459498</v>
      </c>
      <c r="AC169" s="2">
        <f>IF(Games[[#This Row],[Type]]="R",IF(Games[[#This Row],[Result]]&gt;0.5,1,0),0)</f>
        <v>1</v>
      </c>
      <c r="AD169" s="2">
        <f>IF(Games[[#This Row],[Type]]="R",IF(Games[[#This Row],[Result]]&lt;0.5,1,0),0)</f>
        <v>0</v>
      </c>
      <c r="AE169" s="2">
        <f>IF(AND(Games[[#This Row],[Type]]="P",Games[[#This Row],[Round]]=1),IF(Games[[#This Row],[Result]]&gt;0.5,1,0),0)</f>
        <v>0</v>
      </c>
      <c r="AF169" s="2">
        <f>IF(AND(Games[[#This Row],[Type]]="P",Games[[#This Row],[Round]]=1),IF(Games[[#This Row],[Result]]&lt;0.5,1,0),0)</f>
        <v>0</v>
      </c>
      <c r="AG169" s="2">
        <f>IF(AND(Games[[#This Row],[Type]]="P",Games[[#This Row],[Round]]=2),IF(Games[[#This Row],[Result]]&gt;0.5,1,0),0)</f>
        <v>0</v>
      </c>
      <c r="AH169" s="2">
        <f>IF(AND(Games[[#This Row],[Type]]="P",Games[[#This Row],[Round]]=2),IF(Games[[#This Row],[Result]]&lt;0.5,1,0),0)</f>
        <v>0</v>
      </c>
      <c r="AI169" s="2">
        <f>IF(AND(Games[[#This Row],[Type]]="P",Games[[#This Row],[Round]]=3),IF(Games[[#This Row],[Result]]&gt;0.5,1,0),0)</f>
        <v>0</v>
      </c>
      <c r="AJ169" s="2">
        <f>IF(AND(Games[[#This Row],[Type]]="P",Games[[#This Row],[Round]]=3),IF(Games[[#This Row],[Result]]&lt;0.5,1,0),0)</f>
        <v>0</v>
      </c>
      <c r="AK169" s="2">
        <f>IF(AND(Games[[#This Row],[Type]]="P",Games[[#This Row],[Round]]=4),IF(Games[[#This Row],[Result]]&gt;0.5,1,0),0)</f>
        <v>0</v>
      </c>
      <c r="AL169" s="2">
        <f>IF(AND(Games[[#This Row],[Type]]="P",Games[[#This Row],[Round]]=4),IF(Games[[#This Row],[Result]]&lt;0.5,1,0),0)</f>
        <v>0</v>
      </c>
    </row>
    <row r="170" spans="1:38" x14ac:dyDescent="0.35">
      <c r="A170" s="10">
        <v>44371</v>
      </c>
      <c r="B170" s="2">
        <v>2021</v>
      </c>
      <c r="C170" s="2">
        <f>COUNTIFS(Games[Team],Games[[#This Row],[Team]],Games[Season],Games[[#This Row],[Season]],Games[Date],"&lt;=" &amp; Games[[#This Row],[Date]])</f>
        <v>16</v>
      </c>
      <c r="D170" s="2" t="s">
        <v>79</v>
      </c>
      <c r="E170" s="2" t="s">
        <v>80</v>
      </c>
      <c r="F170" s="1" t="s">
        <v>75</v>
      </c>
      <c r="G170" s="1" t="s">
        <v>60</v>
      </c>
      <c r="H170" s="1" t="s">
        <v>81</v>
      </c>
      <c r="I170" s="2" cm="1">
        <f t="array" ref="I1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0" s="2" cm="1">
        <f t="array" ref="J1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0" s="2">
        <f>Games[[#This Row],[DaysOff]]-Games[[#This Row],[OppDaysOff]]</f>
        <v>0</v>
      </c>
      <c r="L170" s="2">
        <f>Games[[#This Row],[OppDaysOff]]-Games[[#This Row],[DaysOff]]</f>
        <v>0</v>
      </c>
      <c r="M170" s="1">
        <f>MAX(-16, MIN(16, Games[[#This Row],[RestDiff]]*8))</f>
        <v>0</v>
      </c>
      <c r="N170" s="1">
        <f>MAX(-16, MIN(16, Games[[#This Row],[OppRestDiff]]*8))</f>
        <v>0</v>
      </c>
      <c r="O170" s="4" cm="1">
        <f t="array" ref="O1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1535.628892432318</v>
      </c>
      <c r="P170" s="4" cm="1">
        <f t="array" ref="P1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1407.13964072204</v>
      </c>
      <c r="Q170" s="4">
        <f>1/(1+10^(((Games[[#This Row],[OppPreGmRate]]+IF(Games[[#This Row],[HomeAway]]="A",HCA,0)+Games[[#This Row],[OppRestAdj]])-(Games[[#This Row],[PreGmRate]]+IF(Games[[#This Row],[HomeAway]]="H",HCA,0)+Games[[#This Row],[RestAdj]]))/400))</f>
        <v>0.56367752185082254</v>
      </c>
      <c r="R170" s="1">
        <v>91</v>
      </c>
      <c r="S170" s="1">
        <v>68</v>
      </c>
      <c r="T170" s="1">
        <v>0</v>
      </c>
      <c r="U170" s="1">
        <f>Games[[#This Row],[PointsFor]]-Games[[#This Row],[PointsAgainst]]</f>
        <v>23</v>
      </c>
      <c r="V170" s="1">
        <f>IF(Games[[#This Row],[MOV]]&gt;0,1,IF(Games[[#This Row],[MOV]]=0,0.5,0))</f>
        <v>1</v>
      </c>
      <c r="W170" s="4">
        <f>((ABS(Games[[#This Row],[MOV]])+5)^0.6)/(12+0.01*(ABS(Games[[#This Row],[PreGmRate]]-Games[[#This Row],[OppPreGmRate]])))*IF(Games[[#This Row],[OT]]=1,0.9,1)</f>
        <v>0.5558233324987083</v>
      </c>
      <c r="X170" s="7" cm="1">
        <f t="array" ref="X1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0" s="9">
        <f>MAX(kmin, kmax - 0.15 * MIN(Games[[#This Row],[GamesPlayed]], 82))</f>
        <v>73.599999999999994</v>
      </c>
      <c r="Z170" s="4">
        <f>Games[[#This Row],[K]]*Games[[#This Row],[POMult]]</f>
        <v>73.599999999999994</v>
      </c>
      <c r="AA170" s="4">
        <f>(Games[[#This Row],[Keff]]*Games[[#This Row],[MOVMult]])*(Games[[#This Row],[Result]]-Games[[#This Row],[ExpectedWin%]])</f>
        <v>17.849340539284238</v>
      </c>
      <c r="AB170" s="4">
        <f>Games[[#This Row],[PreGmRate]]+Games[[#This Row],[RatingChange]]</f>
        <v>1553.4782329716022</v>
      </c>
      <c r="AC170" s="2">
        <f>IF(Games[[#This Row],[Type]]="R",IF(Games[[#This Row],[Result]]&gt;0.5,1,0),0)</f>
        <v>1</v>
      </c>
      <c r="AD170" s="2">
        <f>IF(Games[[#This Row],[Type]]="R",IF(Games[[#This Row],[Result]]&lt;0.5,1,0),0)</f>
        <v>0</v>
      </c>
      <c r="AE170" s="2">
        <f>IF(AND(Games[[#This Row],[Type]]="P",Games[[#This Row],[Round]]=1),IF(Games[[#This Row],[Result]]&gt;0.5,1,0),0)</f>
        <v>0</v>
      </c>
      <c r="AF170" s="2">
        <f>IF(AND(Games[[#This Row],[Type]]="P",Games[[#This Row],[Round]]=1),IF(Games[[#This Row],[Result]]&lt;0.5,1,0),0)</f>
        <v>0</v>
      </c>
      <c r="AG170" s="2">
        <f>IF(AND(Games[[#This Row],[Type]]="P",Games[[#This Row],[Round]]=2),IF(Games[[#This Row],[Result]]&gt;0.5,1,0),0)</f>
        <v>0</v>
      </c>
      <c r="AH170" s="2">
        <f>IF(AND(Games[[#This Row],[Type]]="P",Games[[#This Row],[Round]]=2),IF(Games[[#This Row],[Result]]&lt;0.5,1,0),0)</f>
        <v>0</v>
      </c>
      <c r="AI170" s="2">
        <f>IF(AND(Games[[#This Row],[Type]]="P",Games[[#This Row],[Round]]=3),IF(Games[[#This Row],[Result]]&gt;0.5,1,0),0)</f>
        <v>0</v>
      </c>
      <c r="AJ170" s="2">
        <f>IF(AND(Games[[#This Row],[Type]]="P",Games[[#This Row],[Round]]=3),IF(Games[[#This Row],[Result]]&lt;0.5,1,0),0)</f>
        <v>0</v>
      </c>
      <c r="AK170" s="2">
        <f>IF(AND(Games[[#This Row],[Type]]="P",Games[[#This Row],[Round]]=4),IF(Games[[#This Row],[Result]]&gt;0.5,1,0),0)</f>
        <v>0</v>
      </c>
      <c r="AL170" s="2">
        <f>IF(AND(Games[[#This Row],[Type]]="P",Games[[#This Row],[Round]]=4),IF(Games[[#This Row],[Result]]&lt;0.5,1,0),0)</f>
        <v>0</v>
      </c>
    </row>
    <row r="171" spans="1:38" x14ac:dyDescent="0.35">
      <c r="A171" s="10">
        <v>44371</v>
      </c>
      <c r="B171" s="2">
        <v>2021</v>
      </c>
      <c r="C171" s="2">
        <f>COUNTIFS(Games[Team],Games[[#This Row],[Team]],Games[Season],Games[[#This Row],[Season]],Games[Date],"&lt;=" &amp; Games[[#This Row],[Date]])</f>
        <v>15</v>
      </c>
      <c r="D171" s="2" t="s">
        <v>79</v>
      </c>
      <c r="E171" s="2" t="s">
        <v>80</v>
      </c>
      <c r="F171" s="1" t="s">
        <v>60</v>
      </c>
      <c r="G171" s="1" t="s">
        <v>75</v>
      </c>
      <c r="H171" s="1" t="s">
        <v>82</v>
      </c>
      <c r="I171" s="2" cm="1">
        <f t="array" ref="I1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1" s="2" cm="1">
        <f t="array" ref="J1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1" s="2">
        <f>Games[[#This Row],[DaysOff]]-Games[[#This Row],[OppDaysOff]]</f>
        <v>0</v>
      </c>
      <c r="L171" s="2">
        <f>Games[[#This Row],[OppDaysOff]]-Games[[#This Row],[DaysOff]]</f>
        <v>0</v>
      </c>
      <c r="M171" s="1">
        <f>MAX(-16, MIN(16, Games[[#This Row],[RestDiff]]*8))</f>
        <v>0</v>
      </c>
      <c r="N171" s="1">
        <f>MAX(-16, MIN(16, Games[[#This Row],[OppRestDiff]]*8))</f>
        <v>0</v>
      </c>
      <c r="O171" s="4" cm="1">
        <f t="array" ref="O1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1407.13964072204</v>
      </c>
      <c r="P171" s="4" cm="1">
        <f t="array" ref="P1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1535.628892432318</v>
      </c>
      <c r="Q171" s="4">
        <f>1/(1+10^(((Games[[#This Row],[OppPreGmRate]]+IF(Games[[#This Row],[HomeAway]]="A",HCA,0)+Games[[#This Row],[OppRestAdj]])-(Games[[#This Row],[PreGmRate]]+IF(Games[[#This Row],[HomeAway]]="H",HCA,0)+Games[[#This Row],[RestAdj]]))/400))</f>
        <v>0.43632247814917746</v>
      </c>
      <c r="R171" s="1">
        <v>68</v>
      </c>
      <c r="S171" s="1">
        <v>91</v>
      </c>
      <c r="T171" s="1">
        <v>0</v>
      </c>
      <c r="U171" s="1">
        <f>Games[[#This Row],[PointsFor]]-Games[[#This Row],[PointsAgainst]]</f>
        <v>-23</v>
      </c>
      <c r="V171" s="1">
        <f>IF(Games[[#This Row],[MOV]]&gt;0,1,IF(Games[[#This Row],[MOV]]=0,0.5,0))</f>
        <v>0</v>
      </c>
      <c r="W171" s="4">
        <f>((ABS(Games[[#This Row],[MOV]])+5)^0.6)/(12+0.01*(ABS(Games[[#This Row],[PreGmRate]]-Games[[#This Row],[OppPreGmRate]])))*IF(Games[[#This Row],[OT]]=1,0.9,1)</f>
        <v>0.5558233324987083</v>
      </c>
      <c r="X171" s="7" cm="1">
        <f t="array" ref="X1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1" s="9">
        <f>MAX(kmin, kmax - 0.15 * MIN(Games[[#This Row],[GamesPlayed]], 82))</f>
        <v>73.75</v>
      </c>
      <c r="Z171" s="4">
        <f>Games[[#This Row],[K]]*Games[[#This Row],[POMult]]</f>
        <v>73.75</v>
      </c>
      <c r="AA171" s="4">
        <f>(Games[[#This Row],[Keff]]*Games[[#This Row],[MOVMult]])*(Games[[#This Row],[Result]]-Games[[#This Row],[ExpectedWin%]])</f>
        <v>-17.885718271361583</v>
      </c>
      <c r="AB171" s="4">
        <f>Games[[#This Row],[PreGmRate]]+Games[[#This Row],[RatingChange]]</f>
        <v>1389.2539224506784</v>
      </c>
      <c r="AC171" s="2">
        <f>IF(Games[[#This Row],[Type]]="R",IF(Games[[#This Row],[Result]]&gt;0.5,1,0),0)</f>
        <v>0</v>
      </c>
      <c r="AD171" s="2">
        <f>IF(Games[[#This Row],[Type]]="R",IF(Games[[#This Row],[Result]]&lt;0.5,1,0),0)</f>
        <v>1</v>
      </c>
      <c r="AE171" s="2">
        <f>IF(AND(Games[[#This Row],[Type]]="P",Games[[#This Row],[Round]]=1),IF(Games[[#This Row],[Result]]&gt;0.5,1,0),0)</f>
        <v>0</v>
      </c>
      <c r="AF171" s="2">
        <f>IF(AND(Games[[#This Row],[Type]]="P",Games[[#This Row],[Round]]=1),IF(Games[[#This Row],[Result]]&lt;0.5,1,0),0)</f>
        <v>0</v>
      </c>
      <c r="AG171" s="2">
        <f>IF(AND(Games[[#This Row],[Type]]="P",Games[[#This Row],[Round]]=2),IF(Games[[#This Row],[Result]]&gt;0.5,1,0),0)</f>
        <v>0</v>
      </c>
      <c r="AH171" s="2">
        <f>IF(AND(Games[[#This Row],[Type]]="P",Games[[#This Row],[Round]]=2),IF(Games[[#This Row],[Result]]&lt;0.5,1,0),0)</f>
        <v>0</v>
      </c>
      <c r="AI171" s="2">
        <f>IF(AND(Games[[#This Row],[Type]]="P",Games[[#This Row],[Round]]=3),IF(Games[[#This Row],[Result]]&gt;0.5,1,0),0)</f>
        <v>0</v>
      </c>
      <c r="AJ171" s="2">
        <f>IF(AND(Games[[#This Row],[Type]]="P",Games[[#This Row],[Round]]=3),IF(Games[[#This Row],[Result]]&lt;0.5,1,0),0)</f>
        <v>0</v>
      </c>
      <c r="AK171" s="2">
        <f>IF(AND(Games[[#This Row],[Type]]="P",Games[[#This Row],[Round]]=4),IF(Games[[#This Row],[Result]]&gt;0.5,1,0),0)</f>
        <v>0</v>
      </c>
      <c r="AL171" s="2">
        <f>IF(AND(Games[[#This Row],[Type]]="P",Games[[#This Row],[Round]]=4),IF(Games[[#This Row],[Result]]&lt;0.5,1,0),0)</f>
        <v>0</v>
      </c>
    </row>
    <row r="172" spans="1:38" x14ac:dyDescent="0.35">
      <c r="A172" s="10">
        <v>44372</v>
      </c>
      <c r="B172" s="2">
        <v>2021</v>
      </c>
      <c r="C172" s="2">
        <f>COUNTIFS(Games[Team],Games[[#This Row],[Team]],Games[Season],Games[[#This Row],[Season]],Games[Date],"&lt;=" &amp; Games[[#This Row],[Date]])</f>
        <v>14</v>
      </c>
      <c r="D172" s="2" t="s">
        <v>79</v>
      </c>
      <c r="E172" s="2" t="s">
        <v>80</v>
      </c>
      <c r="F172" s="1" t="s">
        <v>85</v>
      </c>
      <c r="G172" s="1" t="s">
        <v>67</v>
      </c>
      <c r="H172" s="1" t="s">
        <v>81</v>
      </c>
      <c r="I172" s="2" cm="1">
        <f t="array" ref="I172">IFERROR(
    Games[[#This Row],[Date]]
    - LOOKUP(
        2,
        1/((Games[Team]=Games[[#This Row],[Team]]) * (Games[Date] &lt; Games[[#This Row],[Date]])),
        Games[Date]
    )
    - 1,
Games[[#This Row],[Date]]-$A$2)</f>
        <v>7</v>
      </c>
      <c r="J172" s="2" cm="1">
        <f t="array" ref="J17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2" s="2">
        <f>Games[[#This Row],[DaysOff]]-Games[[#This Row],[OppDaysOff]]</f>
        <v>6</v>
      </c>
      <c r="L172" s="2">
        <f>Games[[#This Row],[OppDaysOff]]-Games[[#This Row],[DaysOff]]</f>
        <v>-6</v>
      </c>
      <c r="M172" s="1">
        <f>MAX(-16, MIN(16, Games[[#This Row],[RestDiff]]*8))</f>
        <v>16</v>
      </c>
      <c r="N172" s="1">
        <f>MAX(-16, MIN(16, Games[[#This Row],[OppRestDiff]]*8))</f>
        <v>-16</v>
      </c>
      <c r="O172" s="4" cm="1">
        <f t="array" ref="O1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1629.4117361876711</v>
      </c>
      <c r="P172" s="4" cm="1">
        <f t="array" ref="P1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1499.2107243801552</v>
      </c>
      <c r="Q172" s="4">
        <f>1/(1+10^(((Games[[#This Row],[OppPreGmRate]]+IF(Games[[#This Row],[HomeAway]]="A",HCA,0)+Games[[#This Row],[OppRestAdj]])-(Games[[#This Row],[PreGmRate]]+IF(Games[[#This Row],[HomeAway]]="H",HCA,0)+Games[[#This Row],[RestAdj]]))/400))</f>
        <v>0.61067756241420368</v>
      </c>
      <c r="R172" s="1">
        <v>89</v>
      </c>
      <c r="S172" s="1">
        <v>90</v>
      </c>
      <c r="T172" s="1">
        <v>1</v>
      </c>
      <c r="U172" s="1">
        <f>Games[[#This Row],[PointsFor]]-Games[[#This Row],[PointsAgainst]]</f>
        <v>-1</v>
      </c>
      <c r="V172" s="1">
        <f>IF(Games[[#This Row],[MOV]]&gt;0,1,IF(Games[[#This Row],[MOV]]=0,0.5,0))</f>
        <v>0</v>
      </c>
      <c r="W172" s="4">
        <f>((ABS(Games[[#This Row],[MOV]])+5)^0.6)/(12+0.01*(ABS(Games[[#This Row],[PreGmRate]]-Games[[#This Row],[OppPreGmRate]])))*IF(Games[[#This Row],[OT]]=1,0.9,1)</f>
        <v>0.19825127353058811</v>
      </c>
      <c r="X172" s="7" cm="1">
        <f t="array" ref="X1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2" s="9">
        <f>MAX(kmin, kmax - 0.15 * MIN(Games[[#This Row],[GamesPlayed]], 82))</f>
        <v>73.900000000000006</v>
      </c>
      <c r="Z172" s="4">
        <f>Games[[#This Row],[K]]*Games[[#This Row],[POMult]]</f>
        <v>73.900000000000006</v>
      </c>
      <c r="AA172" s="4">
        <f>(Games[[#This Row],[Keff]]*Games[[#This Row],[MOVMult]])*(Games[[#This Row],[Result]]-Games[[#This Row],[ExpectedWin%]])</f>
        <v>-8.9468959699761434</v>
      </c>
      <c r="AB172" s="4">
        <f>Games[[#This Row],[PreGmRate]]+Games[[#This Row],[RatingChange]]</f>
        <v>1620.4648402176949</v>
      </c>
      <c r="AC172" s="2">
        <f>IF(Games[[#This Row],[Type]]="R",IF(Games[[#This Row],[Result]]&gt;0.5,1,0),0)</f>
        <v>0</v>
      </c>
      <c r="AD172" s="2">
        <f>IF(Games[[#This Row],[Type]]="R",IF(Games[[#This Row],[Result]]&lt;0.5,1,0),0)</f>
        <v>1</v>
      </c>
      <c r="AE172" s="2">
        <f>IF(AND(Games[[#This Row],[Type]]="P",Games[[#This Row],[Round]]=1),IF(Games[[#This Row],[Result]]&gt;0.5,1,0),0)</f>
        <v>0</v>
      </c>
      <c r="AF172" s="2">
        <f>IF(AND(Games[[#This Row],[Type]]="P",Games[[#This Row],[Round]]=1),IF(Games[[#This Row],[Result]]&lt;0.5,1,0),0)</f>
        <v>0</v>
      </c>
      <c r="AG172" s="2">
        <f>IF(AND(Games[[#This Row],[Type]]="P",Games[[#This Row],[Round]]=2),IF(Games[[#This Row],[Result]]&gt;0.5,1,0),0)</f>
        <v>0</v>
      </c>
      <c r="AH172" s="2">
        <f>IF(AND(Games[[#This Row],[Type]]="P",Games[[#This Row],[Round]]=2),IF(Games[[#This Row],[Result]]&lt;0.5,1,0),0)</f>
        <v>0</v>
      </c>
      <c r="AI172" s="2">
        <f>IF(AND(Games[[#This Row],[Type]]="P",Games[[#This Row],[Round]]=3),IF(Games[[#This Row],[Result]]&gt;0.5,1,0),0)</f>
        <v>0</v>
      </c>
      <c r="AJ172" s="2">
        <f>IF(AND(Games[[#This Row],[Type]]="P",Games[[#This Row],[Round]]=3),IF(Games[[#This Row],[Result]]&lt;0.5,1,0),0)</f>
        <v>0</v>
      </c>
      <c r="AK172" s="2">
        <f>IF(AND(Games[[#This Row],[Type]]="P",Games[[#This Row],[Round]]=4),IF(Games[[#This Row],[Result]]&gt;0.5,1,0),0)</f>
        <v>0</v>
      </c>
      <c r="AL172" s="2">
        <f>IF(AND(Games[[#This Row],[Type]]="P",Games[[#This Row],[Round]]=4),IF(Games[[#This Row],[Result]]&lt;0.5,1,0),0)</f>
        <v>0</v>
      </c>
    </row>
    <row r="173" spans="1:38" x14ac:dyDescent="0.35">
      <c r="A173" s="10">
        <v>44372</v>
      </c>
      <c r="B173" s="2">
        <v>2021</v>
      </c>
      <c r="C173" s="2">
        <f>COUNTIFS(Games[Team],Games[[#This Row],[Team]],Games[Season],Games[[#This Row],[Season]],Games[Date],"&lt;=" &amp; Games[[#This Row],[Date]])</f>
        <v>14</v>
      </c>
      <c r="D173" s="2" t="s">
        <v>79</v>
      </c>
      <c r="E173" s="2" t="s">
        <v>80</v>
      </c>
      <c r="F173" s="1" t="s">
        <v>67</v>
      </c>
      <c r="G173" s="1" t="s">
        <v>85</v>
      </c>
      <c r="H173" s="1" t="s">
        <v>82</v>
      </c>
      <c r="I173" s="2" cm="1">
        <f t="array" ref="I173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3" s="2" cm="1">
        <f t="array" ref="J173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173" s="2">
        <f>Games[[#This Row],[DaysOff]]-Games[[#This Row],[OppDaysOff]]</f>
        <v>-6</v>
      </c>
      <c r="L173" s="2">
        <f>Games[[#This Row],[OppDaysOff]]-Games[[#This Row],[DaysOff]]</f>
        <v>6</v>
      </c>
      <c r="M173" s="1">
        <f>MAX(-16, MIN(16, Games[[#This Row],[RestDiff]]*8))</f>
        <v>-16</v>
      </c>
      <c r="N173" s="1">
        <f>MAX(-16, MIN(16, Games[[#This Row],[OppRestDiff]]*8))</f>
        <v>16</v>
      </c>
      <c r="O173" s="4" cm="1">
        <f t="array" ref="O1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1499.2107243801552</v>
      </c>
      <c r="P173" s="4" cm="1">
        <f t="array" ref="P1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1629.4117361876711</v>
      </c>
      <c r="Q173" s="4">
        <f>1/(1+10^(((Games[[#This Row],[OppPreGmRate]]+IF(Games[[#This Row],[HomeAway]]="A",HCA,0)+Games[[#This Row],[OppRestAdj]])-(Games[[#This Row],[PreGmRate]]+IF(Games[[#This Row],[HomeAway]]="H",HCA,0)+Games[[#This Row],[RestAdj]]))/400))</f>
        <v>0.38932243758579632</v>
      </c>
      <c r="R173" s="1">
        <v>90</v>
      </c>
      <c r="S173" s="1">
        <v>89</v>
      </c>
      <c r="T173" s="1">
        <v>1</v>
      </c>
      <c r="U173" s="1">
        <f>Games[[#This Row],[PointsFor]]-Games[[#This Row],[PointsAgainst]]</f>
        <v>1</v>
      </c>
      <c r="V173" s="1">
        <f>IF(Games[[#This Row],[MOV]]&gt;0,1,IF(Games[[#This Row],[MOV]]=0,0.5,0))</f>
        <v>1</v>
      </c>
      <c r="W173" s="4">
        <f>((ABS(Games[[#This Row],[MOV]])+5)^0.6)/(12+0.01*(ABS(Games[[#This Row],[PreGmRate]]-Games[[#This Row],[OppPreGmRate]])))*IF(Games[[#This Row],[OT]]=1,0.9,1)</f>
        <v>0.19825127353058811</v>
      </c>
      <c r="X173" s="7" cm="1">
        <f t="array" ref="X1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3" s="9">
        <f>MAX(kmin, kmax - 0.15 * MIN(Games[[#This Row],[GamesPlayed]], 82))</f>
        <v>73.900000000000006</v>
      </c>
      <c r="Z173" s="4">
        <f>Games[[#This Row],[K]]*Games[[#This Row],[POMult]]</f>
        <v>73.900000000000006</v>
      </c>
      <c r="AA173" s="4">
        <f>(Games[[#This Row],[Keff]]*Games[[#This Row],[MOVMult]])*(Games[[#This Row],[Result]]-Games[[#This Row],[ExpectedWin%]])</f>
        <v>8.9468959699761434</v>
      </c>
      <c r="AB173" s="4">
        <f>Games[[#This Row],[PreGmRate]]+Games[[#This Row],[RatingChange]]</f>
        <v>1508.1576203501313</v>
      </c>
      <c r="AC173" s="2">
        <f>IF(Games[[#This Row],[Type]]="R",IF(Games[[#This Row],[Result]]&gt;0.5,1,0),0)</f>
        <v>1</v>
      </c>
      <c r="AD173" s="2">
        <f>IF(Games[[#This Row],[Type]]="R",IF(Games[[#This Row],[Result]]&lt;0.5,1,0),0)</f>
        <v>0</v>
      </c>
      <c r="AE173" s="2">
        <f>IF(AND(Games[[#This Row],[Type]]="P",Games[[#This Row],[Round]]=1),IF(Games[[#This Row],[Result]]&gt;0.5,1,0),0)</f>
        <v>0</v>
      </c>
      <c r="AF173" s="2">
        <f>IF(AND(Games[[#This Row],[Type]]="P",Games[[#This Row],[Round]]=1),IF(Games[[#This Row],[Result]]&lt;0.5,1,0),0)</f>
        <v>0</v>
      </c>
      <c r="AG173" s="2">
        <f>IF(AND(Games[[#This Row],[Type]]="P",Games[[#This Row],[Round]]=2),IF(Games[[#This Row],[Result]]&gt;0.5,1,0),0)</f>
        <v>0</v>
      </c>
      <c r="AH173" s="2">
        <f>IF(AND(Games[[#This Row],[Type]]="P",Games[[#This Row],[Round]]=2),IF(Games[[#This Row],[Result]]&lt;0.5,1,0),0)</f>
        <v>0</v>
      </c>
      <c r="AI173" s="2">
        <f>IF(AND(Games[[#This Row],[Type]]="P",Games[[#This Row],[Round]]=3),IF(Games[[#This Row],[Result]]&gt;0.5,1,0),0)</f>
        <v>0</v>
      </c>
      <c r="AJ173" s="2">
        <f>IF(AND(Games[[#This Row],[Type]]="P",Games[[#This Row],[Round]]=3),IF(Games[[#This Row],[Result]]&lt;0.5,1,0),0)</f>
        <v>0</v>
      </c>
      <c r="AK173" s="2">
        <f>IF(AND(Games[[#This Row],[Type]]="P",Games[[#This Row],[Round]]=4),IF(Games[[#This Row],[Result]]&gt;0.5,1,0),0)</f>
        <v>0</v>
      </c>
      <c r="AL173" s="2">
        <f>IF(AND(Games[[#This Row],[Type]]="P",Games[[#This Row],[Round]]=4),IF(Games[[#This Row],[Result]]&lt;0.5,1,0),0)</f>
        <v>0</v>
      </c>
    </row>
    <row r="174" spans="1:38" x14ac:dyDescent="0.35">
      <c r="A174" s="10">
        <v>44373</v>
      </c>
      <c r="B174" s="2">
        <v>2021</v>
      </c>
      <c r="C174" s="2">
        <f>COUNTIFS(Games[Team],Games[[#This Row],[Team]],Games[Season],Games[[#This Row],[Season]],Games[Date],"&lt;=" &amp; Games[[#This Row],[Date]])</f>
        <v>16</v>
      </c>
      <c r="D174" s="2" t="s">
        <v>79</v>
      </c>
      <c r="E174" s="2" t="s">
        <v>80</v>
      </c>
      <c r="F174" s="1" t="s">
        <v>60</v>
      </c>
      <c r="G174" s="1" t="s">
        <v>77</v>
      </c>
      <c r="H174" s="1" t="s">
        <v>81</v>
      </c>
      <c r="I174" s="2" cm="1">
        <f t="array" ref="I1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4" s="2" cm="1">
        <f t="array" ref="J17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4" s="2">
        <f>Games[[#This Row],[DaysOff]]-Games[[#This Row],[OppDaysOff]]</f>
        <v>-1</v>
      </c>
      <c r="L174" s="2">
        <f>Games[[#This Row],[OppDaysOff]]-Games[[#This Row],[DaysOff]]</f>
        <v>1</v>
      </c>
      <c r="M174" s="1">
        <f>MAX(-16, MIN(16, Games[[#This Row],[RestDiff]]*8))</f>
        <v>-8</v>
      </c>
      <c r="N174" s="1">
        <f>MAX(-16, MIN(16, Games[[#This Row],[OppRestDiff]]*8))</f>
        <v>8</v>
      </c>
      <c r="O174" s="4" cm="1">
        <f t="array" ref="O1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1389.2539224506784</v>
      </c>
      <c r="P174" s="4" cm="1">
        <f t="array" ref="P1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1427.2346352952168</v>
      </c>
      <c r="Q174" s="4">
        <f>1/(1+10^(((Games[[#This Row],[OppPreGmRate]]+IF(Games[[#This Row],[HomeAway]]="A",HCA,0)+Games[[#This Row],[OppRestAdj]])-(Games[[#This Row],[PreGmRate]]+IF(Games[[#This Row],[HomeAway]]="H",HCA,0)+Games[[#This Row],[RestAdj]]))/400))</f>
        <v>0.31125023182281619</v>
      </c>
      <c r="R174" s="1">
        <v>101</v>
      </c>
      <c r="S174" s="1">
        <v>78</v>
      </c>
      <c r="T174" s="1">
        <v>0</v>
      </c>
      <c r="U174" s="1">
        <f>Games[[#This Row],[PointsFor]]-Games[[#This Row],[PointsAgainst]]</f>
        <v>23</v>
      </c>
      <c r="V174" s="1">
        <f>IF(Games[[#This Row],[MOV]]&gt;0,1,IF(Games[[#This Row],[MOV]]=0,0.5,0))</f>
        <v>1</v>
      </c>
      <c r="W174" s="4">
        <f>((ABS(Games[[#This Row],[MOV]])+5)^0.6)/(12+0.01*(ABS(Games[[#This Row],[PreGmRate]]-Games[[#This Row],[OppPreGmRate]])))*IF(Games[[#This Row],[OT]]=1,0.9,1)</f>
        <v>0.59645947260169363</v>
      </c>
      <c r="X174" s="7" cm="1">
        <f t="array" ref="X1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4" s="9">
        <f>MAX(kmin, kmax - 0.15 * MIN(Games[[#This Row],[GamesPlayed]], 82))</f>
        <v>73.599999999999994</v>
      </c>
      <c r="Z174" s="4">
        <f>Games[[#This Row],[K]]*Games[[#This Row],[POMult]]</f>
        <v>73.599999999999994</v>
      </c>
      <c r="AA174" s="4">
        <f>(Games[[#This Row],[Keff]]*Games[[#This Row],[MOVMult]])*(Games[[#This Row],[Result]]-Games[[#This Row],[ExpectedWin%]])</f>
        <v>30.235713408238531</v>
      </c>
      <c r="AB174" s="4">
        <f>Games[[#This Row],[PreGmRate]]+Games[[#This Row],[RatingChange]]</f>
        <v>1419.4896358589169</v>
      </c>
      <c r="AC174" s="2">
        <f>IF(Games[[#This Row],[Type]]="R",IF(Games[[#This Row],[Result]]&gt;0.5,1,0),0)</f>
        <v>1</v>
      </c>
      <c r="AD174" s="2">
        <f>IF(Games[[#This Row],[Type]]="R",IF(Games[[#This Row],[Result]]&lt;0.5,1,0),0)</f>
        <v>0</v>
      </c>
      <c r="AE174" s="2">
        <f>IF(AND(Games[[#This Row],[Type]]="P",Games[[#This Row],[Round]]=1),IF(Games[[#This Row],[Result]]&gt;0.5,1,0),0)</f>
        <v>0</v>
      </c>
      <c r="AF174" s="2">
        <f>IF(AND(Games[[#This Row],[Type]]="P",Games[[#This Row],[Round]]=1),IF(Games[[#This Row],[Result]]&lt;0.5,1,0),0)</f>
        <v>0</v>
      </c>
      <c r="AG174" s="2">
        <f>IF(AND(Games[[#This Row],[Type]]="P",Games[[#This Row],[Round]]=2),IF(Games[[#This Row],[Result]]&gt;0.5,1,0),0)</f>
        <v>0</v>
      </c>
      <c r="AH174" s="2">
        <f>IF(AND(Games[[#This Row],[Type]]="P",Games[[#This Row],[Round]]=2),IF(Games[[#This Row],[Result]]&lt;0.5,1,0),0)</f>
        <v>0</v>
      </c>
      <c r="AI174" s="2">
        <f>IF(AND(Games[[#This Row],[Type]]="P",Games[[#This Row],[Round]]=3),IF(Games[[#This Row],[Result]]&gt;0.5,1,0),0)</f>
        <v>0</v>
      </c>
      <c r="AJ174" s="2">
        <f>IF(AND(Games[[#This Row],[Type]]="P",Games[[#This Row],[Round]]=3),IF(Games[[#This Row],[Result]]&lt;0.5,1,0),0)</f>
        <v>0</v>
      </c>
      <c r="AK174" s="2">
        <f>IF(AND(Games[[#This Row],[Type]]="P",Games[[#This Row],[Round]]=4),IF(Games[[#This Row],[Result]]&gt;0.5,1,0),0)</f>
        <v>0</v>
      </c>
      <c r="AL174" s="2">
        <f>IF(AND(Games[[#This Row],[Type]]="P",Games[[#This Row],[Round]]=4),IF(Games[[#This Row],[Result]]&lt;0.5,1,0),0)</f>
        <v>0</v>
      </c>
    </row>
    <row r="175" spans="1:38" x14ac:dyDescent="0.35">
      <c r="A175" s="10">
        <v>44373</v>
      </c>
      <c r="B175" s="2">
        <v>2021</v>
      </c>
      <c r="C175" s="2">
        <f>COUNTIFS(Games[Team],Games[[#This Row],[Team]],Games[Season],Games[[#This Row],[Season]],Games[Date],"&lt;=" &amp; Games[[#This Row],[Date]])</f>
        <v>14</v>
      </c>
      <c r="D175" s="2" t="s">
        <v>79</v>
      </c>
      <c r="E175" s="2" t="s">
        <v>80</v>
      </c>
      <c r="F175" s="1" t="s">
        <v>77</v>
      </c>
      <c r="G175" s="1" t="s">
        <v>60</v>
      </c>
      <c r="H175" s="1" t="s">
        <v>82</v>
      </c>
      <c r="I175" s="2" cm="1">
        <f t="array" ref="I17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5" s="2" cm="1">
        <f t="array" ref="J1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5" s="2">
        <f>Games[[#This Row],[DaysOff]]-Games[[#This Row],[OppDaysOff]]</f>
        <v>1</v>
      </c>
      <c r="L175" s="2">
        <f>Games[[#This Row],[OppDaysOff]]-Games[[#This Row],[DaysOff]]</f>
        <v>-1</v>
      </c>
      <c r="M175" s="1">
        <f>MAX(-16, MIN(16, Games[[#This Row],[RestDiff]]*8))</f>
        <v>8</v>
      </c>
      <c r="N175" s="1">
        <f>MAX(-16, MIN(16, Games[[#This Row],[OppRestDiff]]*8))</f>
        <v>-8</v>
      </c>
      <c r="O175" s="4" cm="1">
        <f t="array" ref="O1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1427.2346352952168</v>
      </c>
      <c r="P175" s="4" cm="1">
        <f t="array" ref="P1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1389.2539224506784</v>
      </c>
      <c r="Q175" s="4">
        <f>1/(1+10^(((Games[[#This Row],[OppPreGmRate]]+IF(Games[[#This Row],[HomeAway]]="A",HCA,0)+Games[[#This Row],[OppRestAdj]])-(Games[[#This Row],[PreGmRate]]+IF(Games[[#This Row],[HomeAway]]="H",HCA,0)+Games[[#This Row],[RestAdj]]))/400))</f>
        <v>0.68874976817718381</v>
      </c>
      <c r="R175" s="1">
        <v>78</v>
      </c>
      <c r="S175" s="1">
        <v>101</v>
      </c>
      <c r="T175" s="1">
        <v>0</v>
      </c>
      <c r="U175" s="1">
        <f>Games[[#This Row],[PointsFor]]-Games[[#This Row],[PointsAgainst]]</f>
        <v>-23</v>
      </c>
      <c r="V175" s="1">
        <f>IF(Games[[#This Row],[MOV]]&gt;0,1,IF(Games[[#This Row],[MOV]]=0,0.5,0))</f>
        <v>0</v>
      </c>
      <c r="W175" s="4">
        <f>((ABS(Games[[#This Row],[MOV]])+5)^0.6)/(12+0.01*(ABS(Games[[#This Row],[PreGmRate]]-Games[[#This Row],[OppPreGmRate]])))*IF(Games[[#This Row],[OT]]=1,0.9,1)</f>
        <v>0.59645947260169363</v>
      </c>
      <c r="X175" s="7" cm="1">
        <f t="array" ref="X1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5" s="9">
        <f>MAX(kmin, kmax - 0.15 * MIN(Games[[#This Row],[GamesPlayed]], 82))</f>
        <v>73.900000000000006</v>
      </c>
      <c r="Z175" s="4">
        <f>Games[[#This Row],[K]]*Games[[#This Row],[POMult]]</f>
        <v>73.900000000000006</v>
      </c>
      <c r="AA175" s="4">
        <f>(Games[[#This Row],[Keff]]*Games[[#This Row],[MOVMult]])*(Games[[#This Row],[Result]]-Games[[#This Row],[ExpectedWin%]])</f>
        <v>-30.358956805282986</v>
      </c>
      <c r="AB175" s="4">
        <f>Games[[#This Row],[PreGmRate]]+Games[[#This Row],[RatingChange]]</f>
        <v>1396.8756784899338</v>
      </c>
      <c r="AC175" s="2">
        <f>IF(Games[[#This Row],[Type]]="R",IF(Games[[#This Row],[Result]]&gt;0.5,1,0),0)</f>
        <v>0</v>
      </c>
      <c r="AD175" s="2">
        <f>IF(Games[[#This Row],[Type]]="R",IF(Games[[#This Row],[Result]]&lt;0.5,1,0),0)</f>
        <v>1</v>
      </c>
      <c r="AE175" s="2">
        <f>IF(AND(Games[[#This Row],[Type]]="P",Games[[#This Row],[Round]]=1),IF(Games[[#This Row],[Result]]&gt;0.5,1,0),0)</f>
        <v>0</v>
      </c>
      <c r="AF175" s="2">
        <f>IF(AND(Games[[#This Row],[Type]]="P",Games[[#This Row],[Round]]=1),IF(Games[[#This Row],[Result]]&lt;0.5,1,0),0)</f>
        <v>0</v>
      </c>
      <c r="AG175" s="2">
        <f>IF(AND(Games[[#This Row],[Type]]="P",Games[[#This Row],[Round]]=2),IF(Games[[#This Row],[Result]]&gt;0.5,1,0),0)</f>
        <v>0</v>
      </c>
      <c r="AH175" s="2">
        <f>IF(AND(Games[[#This Row],[Type]]="P",Games[[#This Row],[Round]]=2),IF(Games[[#This Row],[Result]]&lt;0.5,1,0),0)</f>
        <v>0</v>
      </c>
      <c r="AI175" s="2">
        <f>IF(AND(Games[[#This Row],[Type]]="P",Games[[#This Row],[Round]]=3),IF(Games[[#This Row],[Result]]&gt;0.5,1,0),0)</f>
        <v>0</v>
      </c>
      <c r="AJ175" s="2">
        <f>IF(AND(Games[[#This Row],[Type]]="P",Games[[#This Row],[Round]]=3),IF(Games[[#This Row],[Result]]&lt;0.5,1,0),0)</f>
        <v>0</v>
      </c>
      <c r="AK175" s="2">
        <f>IF(AND(Games[[#This Row],[Type]]="P",Games[[#This Row],[Round]]=4),IF(Games[[#This Row],[Result]]&gt;0.5,1,0),0)</f>
        <v>0</v>
      </c>
      <c r="AL175" s="2">
        <f>IF(AND(Games[[#This Row],[Type]]="P",Games[[#This Row],[Round]]=4),IF(Games[[#This Row],[Result]]&lt;0.5,1,0),0)</f>
        <v>0</v>
      </c>
    </row>
    <row r="176" spans="1:38" x14ac:dyDescent="0.35">
      <c r="A176" s="10">
        <v>44373</v>
      </c>
      <c r="B176" s="2">
        <v>2021</v>
      </c>
      <c r="C176" s="2">
        <f>COUNTIFS(Games[Team],Games[[#This Row],[Team]],Games[Season],Games[[#This Row],[Season]],Games[Date],"&lt;=" &amp; Games[[#This Row],[Date]])</f>
        <v>15</v>
      </c>
      <c r="D176" s="2" t="s">
        <v>79</v>
      </c>
      <c r="E176" s="2" t="s">
        <v>80</v>
      </c>
      <c r="F176" s="1" t="s">
        <v>65</v>
      </c>
      <c r="G176" s="1" t="s">
        <v>84</v>
      </c>
      <c r="H176" s="1" t="s">
        <v>81</v>
      </c>
      <c r="I176" s="2" cm="1">
        <f t="array" ref="I1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6" s="2" cm="1">
        <f t="array" ref="J1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6" s="2">
        <f>Games[[#This Row],[DaysOff]]-Games[[#This Row],[OppDaysOff]]</f>
        <v>0</v>
      </c>
      <c r="L176" s="2">
        <f>Games[[#This Row],[OppDaysOff]]-Games[[#This Row],[DaysOff]]</f>
        <v>0</v>
      </c>
      <c r="M176" s="1">
        <f>MAX(-16, MIN(16, Games[[#This Row],[RestDiff]]*8))</f>
        <v>0</v>
      </c>
      <c r="N176" s="1">
        <f>MAX(-16, MIN(16, Games[[#This Row],[OppRestDiff]]*8))</f>
        <v>0</v>
      </c>
      <c r="O176" s="4" cm="1">
        <f t="array" ref="O1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1485.4840933639769</v>
      </c>
      <c r="P176" s="4" cm="1">
        <f t="array" ref="P1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1507.2720882361195</v>
      </c>
      <c r="Q176" s="4">
        <f>1/(1+10^(((Games[[#This Row],[OppPreGmRate]]+IF(Games[[#This Row],[HomeAway]]="A",HCA,0)+Games[[#This Row],[OppRestAdj]])-(Games[[#This Row],[PreGmRate]]+IF(Games[[#This Row],[HomeAway]]="H",HCA,0)+Games[[#This Row],[RestAdj]]))/400))</f>
        <v>0.35229541140527831</v>
      </c>
      <c r="R176" s="1">
        <v>74</v>
      </c>
      <c r="S176" s="1">
        <v>85</v>
      </c>
      <c r="T176" s="1">
        <v>0</v>
      </c>
      <c r="U176" s="1">
        <f>Games[[#This Row],[PointsFor]]-Games[[#This Row],[PointsAgainst]]</f>
        <v>-11</v>
      </c>
      <c r="V176" s="1">
        <f>IF(Games[[#This Row],[MOV]]&gt;0,1,IF(Games[[#This Row],[MOV]]=0,0.5,0))</f>
        <v>0</v>
      </c>
      <c r="W176" s="4">
        <f>((ABS(Games[[#This Row],[MOV]])+5)^0.6)/(12+0.01*(ABS(Games[[#This Row],[PreGmRate]]-Games[[#This Row],[OppPreGmRate]])))*IF(Games[[#This Row],[OT]]=1,0.9,1)</f>
        <v>0.4319924295576264</v>
      </c>
      <c r="X176" s="7" cm="1">
        <f t="array" ref="X1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6" s="9">
        <f>MAX(kmin, kmax - 0.15 * MIN(Games[[#This Row],[GamesPlayed]], 82))</f>
        <v>73.75</v>
      </c>
      <c r="Z176" s="4">
        <f>Games[[#This Row],[K]]*Games[[#This Row],[POMult]]</f>
        <v>73.75</v>
      </c>
      <c r="AA176" s="4">
        <f>(Games[[#This Row],[Keff]]*Games[[#This Row],[MOVMult]])*(Games[[#This Row],[Result]]-Games[[#This Row],[ExpectedWin%]])</f>
        <v>-11.223935113754015</v>
      </c>
      <c r="AB176" s="4">
        <f>Games[[#This Row],[PreGmRate]]+Games[[#This Row],[RatingChange]]</f>
        <v>1474.2601582502227</v>
      </c>
      <c r="AC176" s="2">
        <f>IF(Games[[#This Row],[Type]]="R",IF(Games[[#This Row],[Result]]&gt;0.5,1,0),0)</f>
        <v>0</v>
      </c>
      <c r="AD176" s="2">
        <f>IF(Games[[#This Row],[Type]]="R",IF(Games[[#This Row],[Result]]&lt;0.5,1,0),0)</f>
        <v>1</v>
      </c>
      <c r="AE176" s="2">
        <f>IF(AND(Games[[#This Row],[Type]]="P",Games[[#This Row],[Round]]=1),IF(Games[[#This Row],[Result]]&gt;0.5,1,0),0)</f>
        <v>0</v>
      </c>
      <c r="AF176" s="2">
        <f>IF(AND(Games[[#This Row],[Type]]="P",Games[[#This Row],[Round]]=1),IF(Games[[#This Row],[Result]]&lt;0.5,1,0),0)</f>
        <v>0</v>
      </c>
      <c r="AG176" s="2">
        <f>IF(AND(Games[[#This Row],[Type]]="P",Games[[#This Row],[Round]]=2),IF(Games[[#This Row],[Result]]&gt;0.5,1,0),0)</f>
        <v>0</v>
      </c>
      <c r="AH176" s="2">
        <f>IF(AND(Games[[#This Row],[Type]]="P",Games[[#This Row],[Round]]=2),IF(Games[[#This Row],[Result]]&lt;0.5,1,0),0)</f>
        <v>0</v>
      </c>
      <c r="AI176" s="2">
        <f>IF(AND(Games[[#This Row],[Type]]="P",Games[[#This Row],[Round]]=3),IF(Games[[#This Row],[Result]]&gt;0.5,1,0),0)</f>
        <v>0</v>
      </c>
      <c r="AJ176" s="2">
        <f>IF(AND(Games[[#This Row],[Type]]="P",Games[[#This Row],[Round]]=3),IF(Games[[#This Row],[Result]]&lt;0.5,1,0),0)</f>
        <v>0</v>
      </c>
      <c r="AK176" s="2">
        <f>IF(AND(Games[[#This Row],[Type]]="P",Games[[#This Row],[Round]]=4),IF(Games[[#This Row],[Result]]&gt;0.5,1,0),0)</f>
        <v>0</v>
      </c>
      <c r="AL176" s="2">
        <f>IF(AND(Games[[#This Row],[Type]]="P",Games[[#This Row],[Round]]=4),IF(Games[[#This Row],[Result]]&lt;0.5,1,0),0)</f>
        <v>0</v>
      </c>
    </row>
    <row r="177" spans="1:38" x14ac:dyDescent="0.35">
      <c r="A177" s="10">
        <v>44373</v>
      </c>
      <c r="B177" s="2">
        <v>2021</v>
      </c>
      <c r="C177" s="2">
        <f>COUNTIFS(Games[Team],Games[[#This Row],[Team]],Games[Season],Games[[#This Row],[Season]],Games[Date],"&lt;=" &amp; Games[[#This Row],[Date]])</f>
        <v>16</v>
      </c>
      <c r="D177" s="2" t="s">
        <v>79</v>
      </c>
      <c r="E177" s="2" t="s">
        <v>80</v>
      </c>
      <c r="F177" s="1" t="s">
        <v>84</v>
      </c>
      <c r="G177" s="1" t="s">
        <v>65</v>
      </c>
      <c r="H177" s="1" t="s">
        <v>82</v>
      </c>
      <c r="I177" s="2" cm="1">
        <f t="array" ref="I1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77" s="2" cm="1">
        <f t="array" ref="J1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77" s="2">
        <f>Games[[#This Row],[DaysOff]]-Games[[#This Row],[OppDaysOff]]</f>
        <v>0</v>
      </c>
      <c r="L177" s="2">
        <f>Games[[#This Row],[OppDaysOff]]-Games[[#This Row],[DaysOff]]</f>
        <v>0</v>
      </c>
      <c r="M177" s="1">
        <f>MAX(-16, MIN(16, Games[[#This Row],[RestDiff]]*8))</f>
        <v>0</v>
      </c>
      <c r="N177" s="1">
        <f>MAX(-16, MIN(16, Games[[#This Row],[OppRestDiff]]*8))</f>
        <v>0</v>
      </c>
      <c r="O177" s="4" cm="1">
        <f t="array" ref="O1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1507.2720882361195</v>
      </c>
      <c r="P177" s="4" cm="1">
        <f t="array" ref="P1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1485.4840933639769</v>
      </c>
      <c r="Q177" s="4">
        <f>1/(1+10^(((Games[[#This Row],[OppPreGmRate]]+IF(Games[[#This Row],[HomeAway]]="A",HCA,0)+Games[[#This Row],[OppRestAdj]])-(Games[[#This Row],[PreGmRate]]+IF(Games[[#This Row],[HomeAway]]="H",HCA,0)+Games[[#This Row],[RestAdj]]))/400))</f>
        <v>0.64770458859472169</v>
      </c>
      <c r="R177" s="1">
        <v>85</v>
      </c>
      <c r="S177" s="1">
        <v>74</v>
      </c>
      <c r="T177" s="1">
        <v>0</v>
      </c>
      <c r="U177" s="1">
        <f>Games[[#This Row],[PointsFor]]-Games[[#This Row],[PointsAgainst]]</f>
        <v>11</v>
      </c>
      <c r="V177" s="1">
        <f>IF(Games[[#This Row],[MOV]]&gt;0,1,IF(Games[[#This Row],[MOV]]=0,0.5,0))</f>
        <v>1</v>
      </c>
      <c r="W177" s="4">
        <f>((ABS(Games[[#This Row],[MOV]])+5)^0.6)/(12+0.01*(ABS(Games[[#This Row],[PreGmRate]]-Games[[#This Row],[OppPreGmRate]])))*IF(Games[[#This Row],[OT]]=1,0.9,1)</f>
        <v>0.4319924295576264</v>
      </c>
      <c r="X177" s="7" cm="1">
        <f t="array" ref="X1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7" s="9">
        <f>MAX(kmin, kmax - 0.15 * MIN(Games[[#This Row],[GamesPlayed]], 82))</f>
        <v>73.599999999999994</v>
      </c>
      <c r="Z177" s="4">
        <f>Games[[#This Row],[K]]*Games[[#This Row],[POMult]]</f>
        <v>73.599999999999994</v>
      </c>
      <c r="AA177" s="4">
        <f>(Games[[#This Row],[Keff]]*Games[[#This Row],[MOVMult]])*(Games[[#This Row],[Result]]-Games[[#This Row],[ExpectedWin%]])</f>
        <v>11.201106771149769</v>
      </c>
      <c r="AB177" s="4">
        <f>Games[[#This Row],[PreGmRate]]+Games[[#This Row],[RatingChange]]</f>
        <v>1518.4731950072694</v>
      </c>
      <c r="AC177" s="2">
        <f>IF(Games[[#This Row],[Type]]="R",IF(Games[[#This Row],[Result]]&gt;0.5,1,0),0)</f>
        <v>1</v>
      </c>
      <c r="AD177" s="2">
        <f>IF(Games[[#This Row],[Type]]="R",IF(Games[[#This Row],[Result]]&lt;0.5,1,0),0)</f>
        <v>0</v>
      </c>
      <c r="AE177" s="2">
        <f>IF(AND(Games[[#This Row],[Type]]="P",Games[[#This Row],[Round]]=1),IF(Games[[#This Row],[Result]]&gt;0.5,1,0),0)</f>
        <v>0</v>
      </c>
      <c r="AF177" s="2">
        <f>IF(AND(Games[[#This Row],[Type]]="P",Games[[#This Row],[Round]]=1),IF(Games[[#This Row],[Result]]&lt;0.5,1,0),0)</f>
        <v>0</v>
      </c>
      <c r="AG177" s="2">
        <f>IF(AND(Games[[#This Row],[Type]]="P",Games[[#This Row],[Round]]=2),IF(Games[[#This Row],[Result]]&gt;0.5,1,0),0)</f>
        <v>0</v>
      </c>
      <c r="AH177" s="2">
        <f>IF(AND(Games[[#This Row],[Type]]="P",Games[[#This Row],[Round]]=2),IF(Games[[#This Row],[Result]]&lt;0.5,1,0),0)</f>
        <v>0</v>
      </c>
      <c r="AI177" s="2">
        <f>IF(AND(Games[[#This Row],[Type]]="P",Games[[#This Row],[Round]]=3),IF(Games[[#This Row],[Result]]&gt;0.5,1,0),0)</f>
        <v>0</v>
      </c>
      <c r="AJ177" s="2">
        <f>IF(AND(Games[[#This Row],[Type]]="P",Games[[#This Row],[Round]]=3),IF(Games[[#This Row],[Result]]&lt;0.5,1,0),0)</f>
        <v>0</v>
      </c>
      <c r="AK177" s="2">
        <f>IF(AND(Games[[#This Row],[Type]]="P",Games[[#This Row],[Round]]=4),IF(Games[[#This Row],[Result]]&gt;0.5,1,0),0)</f>
        <v>0</v>
      </c>
      <c r="AL177" s="2">
        <f>IF(AND(Games[[#This Row],[Type]]="P",Games[[#This Row],[Round]]=4),IF(Games[[#This Row],[Result]]&lt;0.5,1,0),0)</f>
        <v>0</v>
      </c>
    </row>
    <row r="178" spans="1:38" x14ac:dyDescent="0.35">
      <c r="A178" s="10">
        <v>44374</v>
      </c>
      <c r="B178" s="2">
        <v>2021</v>
      </c>
      <c r="C178" s="2">
        <f>COUNTIFS(Games[Team],Games[[#This Row],[Team]],Games[Season],Games[[#This Row],[Season]],Games[Date],"&lt;=" &amp; Games[[#This Row],[Date]])</f>
        <v>17</v>
      </c>
      <c r="D178" s="2" t="s">
        <v>79</v>
      </c>
      <c r="E178" s="2" t="s">
        <v>80</v>
      </c>
      <c r="F178" s="1" t="s">
        <v>75</v>
      </c>
      <c r="G178" s="1" t="s">
        <v>74</v>
      </c>
      <c r="H178" s="1" t="s">
        <v>81</v>
      </c>
      <c r="I178" s="2" cm="1">
        <f t="array" ref="I17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78" s="2" cm="1">
        <f t="array" ref="J178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78" s="2">
        <f>Games[[#This Row],[DaysOff]]-Games[[#This Row],[OppDaysOff]]</f>
        <v>-2</v>
      </c>
      <c r="L178" s="2">
        <f>Games[[#This Row],[OppDaysOff]]-Games[[#This Row],[DaysOff]]</f>
        <v>2</v>
      </c>
      <c r="M178" s="1">
        <f>MAX(-16, MIN(16, Games[[#This Row],[RestDiff]]*8))</f>
        <v>-16</v>
      </c>
      <c r="N178" s="1">
        <f>MAX(-16, MIN(16, Games[[#This Row],[OppRestDiff]]*8))</f>
        <v>16</v>
      </c>
      <c r="O178" s="4" cm="1">
        <f t="array" ref="O1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1553.4782329716022</v>
      </c>
      <c r="P178" s="4" cm="1">
        <f t="array" ref="P1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1570.521968268866</v>
      </c>
      <c r="Q178" s="4">
        <f>1/(1+10^(((Games[[#This Row],[OppPreGmRate]]+IF(Games[[#This Row],[HomeAway]]="A",HCA,0)+Games[[#This Row],[OppRestAdj]])-(Games[[#This Row],[PreGmRate]]+IF(Games[[#This Row],[HomeAway]]="H",HCA,0)+Games[[#This Row],[RestAdj]]))/400))</f>
        <v>0.31737506855140052</v>
      </c>
      <c r="R178" s="1">
        <v>58</v>
      </c>
      <c r="S178" s="1">
        <v>74</v>
      </c>
      <c r="T178" s="1">
        <v>0</v>
      </c>
      <c r="U178" s="1">
        <f>Games[[#This Row],[PointsFor]]-Games[[#This Row],[PointsAgainst]]</f>
        <v>-16</v>
      </c>
      <c r="V178" s="1">
        <f>IF(Games[[#This Row],[MOV]]&gt;0,1,IF(Games[[#This Row],[MOV]]=0,0.5,0))</f>
        <v>0</v>
      </c>
      <c r="W178" s="4">
        <f>((ABS(Games[[#This Row],[MOV]])+5)^0.6)/(12+0.01*(ABS(Games[[#This Row],[PreGmRate]]-Games[[#This Row],[OppPreGmRate]])))*IF(Games[[#This Row],[OT]]=1,0.9,1)</f>
        <v>0.51053484826846485</v>
      </c>
      <c r="X178" s="7" cm="1">
        <f t="array" ref="X1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8" s="9">
        <f>MAX(kmin, kmax - 0.15 * MIN(Games[[#This Row],[GamesPlayed]], 82))</f>
        <v>73.45</v>
      </c>
      <c r="Z178" s="4">
        <f>Games[[#This Row],[K]]*Games[[#This Row],[POMult]]</f>
        <v>73.45</v>
      </c>
      <c r="AA178" s="4">
        <f>(Games[[#This Row],[Keff]]*Games[[#This Row],[MOVMult]])*(Games[[#This Row],[Result]]-Games[[#This Row],[ExpectedWin%]])</f>
        <v>-11.901179334707241</v>
      </c>
      <c r="AB178" s="4">
        <f>Games[[#This Row],[PreGmRate]]+Games[[#This Row],[RatingChange]]</f>
        <v>1541.577053636895</v>
      </c>
      <c r="AC178" s="2">
        <f>IF(Games[[#This Row],[Type]]="R",IF(Games[[#This Row],[Result]]&gt;0.5,1,0),0)</f>
        <v>0</v>
      </c>
      <c r="AD178" s="2">
        <f>IF(Games[[#This Row],[Type]]="R",IF(Games[[#This Row],[Result]]&lt;0.5,1,0),0)</f>
        <v>1</v>
      </c>
      <c r="AE178" s="2">
        <f>IF(AND(Games[[#This Row],[Type]]="P",Games[[#This Row],[Round]]=1),IF(Games[[#This Row],[Result]]&gt;0.5,1,0),0)</f>
        <v>0</v>
      </c>
      <c r="AF178" s="2">
        <f>IF(AND(Games[[#This Row],[Type]]="P",Games[[#This Row],[Round]]=1),IF(Games[[#This Row],[Result]]&lt;0.5,1,0),0)</f>
        <v>0</v>
      </c>
      <c r="AG178" s="2">
        <f>IF(AND(Games[[#This Row],[Type]]="P",Games[[#This Row],[Round]]=2),IF(Games[[#This Row],[Result]]&gt;0.5,1,0),0)</f>
        <v>0</v>
      </c>
      <c r="AH178" s="2">
        <f>IF(AND(Games[[#This Row],[Type]]="P",Games[[#This Row],[Round]]=2),IF(Games[[#This Row],[Result]]&lt;0.5,1,0),0)</f>
        <v>0</v>
      </c>
      <c r="AI178" s="2">
        <f>IF(AND(Games[[#This Row],[Type]]="P",Games[[#This Row],[Round]]=3),IF(Games[[#This Row],[Result]]&gt;0.5,1,0),0)</f>
        <v>0</v>
      </c>
      <c r="AJ178" s="2">
        <f>IF(AND(Games[[#This Row],[Type]]="P",Games[[#This Row],[Round]]=3),IF(Games[[#This Row],[Result]]&lt;0.5,1,0),0)</f>
        <v>0</v>
      </c>
      <c r="AK178" s="2">
        <f>IF(AND(Games[[#This Row],[Type]]="P",Games[[#This Row],[Round]]=4),IF(Games[[#This Row],[Result]]&gt;0.5,1,0),0)</f>
        <v>0</v>
      </c>
      <c r="AL178" s="2">
        <f>IF(AND(Games[[#This Row],[Type]]="P",Games[[#This Row],[Round]]=4),IF(Games[[#This Row],[Result]]&lt;0.5,1,0),0)</f>
        <v>0</v>
      </c>
    </row>
    <row r="179" spans="1:38" x14ac:dyDescent="0.35">
      <c r="A179" s="10">
        <v>44374</v>
      </c>
      <c r="B179" s="2">
        <v>2021</v>
      </c>
      <c r="C179" s="2">
        <f>COUNTIFS(Games[Team],Games[[#This Row],[Team]],Games[Season],Games[[#This Row],[Season]],Games[Date],"&lt;=" &amp; Games[[#This Row],[Date]])</f>
        <v>15</v>
      </c>
      <c r="D179" s="2" t="s">
        <v>79</v>
      </c>
      <c r="E179" s="2" t="s">
        <v>80</v>
      </c>
      <c r="F179" s="1" t="s">
        <v>74</v>
      </c>
      <c r="G179" s="1" t="s">
        <v>75</v>
      </c>
      <c r="H179" s="1" t="s">
        <v>82</v>
      </c>
      <c r="I179" s="2" cm="1">
        <f t="array" ref="I179">IFERROR(
    Games[[#This Row],[Date]]
    - LOOKUP(
        2,
        1/((Games[Team]=Games[[#This Row],[Team]]) * (Games[Date] &lt; Games[[#This Row],[Date]])),
        Games[Date]
    )
    - 1,
Games[[#This Row],[Date]]-$A$2)</f>
        <v>4</v>
      </c>
      <c r="J179" s="2" cm="1">
        <f t="array" ref="J17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79" s="2">
        <f>Games[[#This Row],[DaysOff]]-Games[[#This Row],[OppDaysOff]]</f>
        <v>2</v>
      </c>
      <c r="L179" s="2">
        <f>Games[[#This Row],[OppDaysOff]]-Games[[#This Row],[DaysOff]]</f>
        <v>-2</v>
      </c>
      <c r="M179" s="1">
        <f>MAX(-16, MIN(16, Games[[#This Row],[RestDiff]]*8))</f>
        <v>16</v>
      </c>
      <c r="N179" s="1">
        <f>MAX(-16, MIN(16, Games[[#This Row],[OppRestDiff]]*8))</f>
        <v>-16</v>
      </c>
      <c r="O179" s="4" cm="1">
        <f t="array" ref="O1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1570.521968268866</v>
      </c>
      <c r="P179" s="4" cm="1">
        <f t="array" ref="P1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1553.4782329716022</v>
      </c>
      <c r="Q179" s="4">
        <f>1/(1+10^(((Games[[#This Row],[OppPreGmRate]]+IF(Games[[#This Row],[HomeAway]]="A",HCA,0)+Games[[#This Row],[OppRestAdj]])-(Games[[#This Row],[PreGmRate]]+IF(Games[[#This Row],[HomeAway]]="H",HCA,0)+Games[[#This Row],[RestAdj]]))/400))</f>
        <v>0.68262493144859948</v>
      </c>
      <c r="R179" s="1">
        <v>74</v>
      </c>
      <c r="S179" s="1">
        <v>58</v>
      </c>
      <c r="T179" s="1">
        <v>0</v>
      </c>
      <c r="U179" s="1">
        <f>Games[[#This Row],[PointsFor]]-Games[[#This Row],[PointsAgainst]]</f>
        <v>16</v>
      </c>
      <c r="V179" s="1">
        <f>IF(Games[[#This Row],[MOV]]&gt;0,1,IF(Games[[#This Row],[MOV]]=0,0.5,0))</f>
        <v>1</v>
      </c>
      <c r="W179" s="4">
        <f>((ABS(Games[[#This Row],[MOV]])+5)^0.6)/(12+0.01*(ABS(Games[[#This Row],[PreGmRate]]-Games[[#This Row],[OppPreGmRate]])))*IF(Games[[#This Row],[OT]]=1,0.9,1)</f>
        <v>0.51053484826846485</v>
      </c>
      <c r="X179" s="7" cm="1">
        <f t="array" ref="X1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79" s="9">
        <f>MAX(kmin, kmax - 0.15 * MIN(Games[[#This Row],[GamesPlayed]], 82))</f>
        <v>73.75</v>
      </c>
      <c r="Z179" s="4">
        <f>Games[[#This Row],[K]]*Games[[#This Row],[POMult]]</f>
        <v>73.75</v>
      </c>
      <c r="AA179" s="4">
        <f>(Games[[#This Row],[Keff]]*Games[[#This Row],[MOVMult]])*(Games[[#This Row],[Result]]-Games[[#This Row],[ExpectedWin%]])</f>
        <v>11.949788644447363</v>
      </c>
      <c r="AB179" s="4">
        <f>Games[[#This Row],[PreGmRate]]+Games[[#This Row],[RatingChange]]</f>
        <v>1582.4717569133134</v>
      </c>
      <c r="AC179" s="2">
        <f>IF(Games[[#This Row],[Type]]="R",IF(Games[[#This Row],[Result]]&gt;0.5,1,0),0)</f>
        <v>1</v>
      </c>
      <c r="AD179" s="2">
        <f>IF(Games[[#This Row],[Type]]="R",IF(Games[[#This Row],[Result]]&lt;0.5,1,0),0)</f>
        <v>0</v>
      </c>
      <c r="AE179" s="2">
        <f>IF(AND(Games[[#This Row],[Type]]="P",Games[[#This Row],[Round]]=1),IF(Games[[#This Row],[Result]]&gt;0.5,1,0),0)</f>
        <v>0</v>
      </c>
      <c r="AF179" s="2">
        <f>IF(AND(Games[[#This Row],[Type]]="P",Games[[#This Row],[Round]]=1),IF(Games[[#This Row],[Result]]&lt;0.5,1,0),0)</f>
        <v>0</v>
      </c>
      <c r="AG179" s="2">
        <f>IF(AND(Games[[#This Row],[Type]]="P",Games[[#This Row],[Round]]=2),IF(Games[[#This Row],[Result]]&gt;0.5,1,0),0)</f>
        <v>0</v>
      </c>
      <c r="AH179" s="2">
        <f>IF(AND(Games[[#This Row],[Type]]="P",Games[[#This Row],[Round]]=2),IF(Games[[#This Row],[Result]]&lt;0.5,1,0),0)</f>
        <v>0</v>
      </c>
      <c r="AI179" s="2">
        <f>IF(AND(Games[[#This Row],[Type]]="P",Games[[#This Row],[Round]]=3),IF(Games[[#This Row],[Result]]&gt;0.5,1,0),0)</f>
        <v>0</v>
      </c>
      <c r="AJ179" s="2">
        <f>IF(AND(Games[[#This Row],[Type]]="P",Games[[#This Row],[Round]]=3),IF(Games[[#This Row],[Result]]&lt;0.5,1,0),0)</f>
        <v>0</v>
      </c>
      <c r="AK179" s="2">
        <f>IF(AND(Games[[#This Row],[Type]]="P",Games[[#This Row],[Round]]=4),IF(Games[[#This Row],[Result]]&gt;0.5,1,0),0)</f>
        <v>0</v>
      </c>
      <c r="AL179" s="2">
        <f>IF(AND(Games[[#This Row],[Type]]="P",Games[[#This Row],[Round]]=4),IF(Games[[#This Row],[Result]]&lt;0.5,1,0),0)</f>
        <v>0</v>
      </c>
    </row>
    <row r="180" spans="1:38" x14ac:dyDescent="0.35">
      <c r="A180" s="10">
        <v>44374</v>
      </c>
      <c r="B180" s="2">
        <v>2021</v>
      </c>
      <c r="C180" s="2">
        <f>COUNTIFS(Games[Team],Games[[#This Row],[Team]],Games[Season],Games[[#This Row],[Season]],Games[Date],"&lt;=" &amp; Games[[#This Row],[Date]])</f>
        <v>16</v>
      </c>
      <c r="D180" s="2" t="s">
        <v>79</v>
      </c>
      <c r="E180" s="2" t="s">
        <v>80</v>
      </c>
      <c r="F180" s="1" t="s">
        <v>71</v>
      </c>
      <c r="G180" s="1" t="s">
        <v>85</v>
      </c>
      <c r="H180" s="1" t="s">
        <v>81</v>
      </c>
      <c r="I180" s="2" cm="1">
        <f t="array" ref="I180">IFERROR(
    Games[[#This Row],[Date]]
    - LOOKUP(
        2,
        1/((Games[Team]=Games[[#This Row],[Team]]) * (Games[Date] &lt; Games[[#This Row],[Date]])),
        Games[Date]
    )
    - 1,
Games[[#This Row],[Date]]-$A$2)</f>
        <v>4</v>
      </c>
      <c r="J180" s="2" cm="1">
        <f t="array" ref="J1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0" s="2">
        <f>Games[[#This Row],[DaysOff]]-Games[[#This Row],[OppDaysOff]]</f>
        <v>3</v>
      </c>
      <c r="L180" s="2">
        <f>Games[[#This Row],[OppDaysOff]]-Games[[#This Row],[DaysOff]]</f>
        <v>-3</v>
      </c>
      <c r="M180" s="1">
        <f>MAX(-16, MIN(16, Games[[#This Row],[RestDiff]]*8))</f>
        <v>16</v>
      </c>
      <c r="N180" s="1">
        <f>MAX(-16, MIN(16, Games[[#This Row],[OppRestDiff]]*8))</f>
        <v>-16</v>
      </c>
      <c r="O180" s="4" cm="1">
        <f t="array" ref="O1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1681.8628271663372</v>
      </c>
      <c r="P180" s="4" cm="1">
        <f t="array" ref="P1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1620.4648402176949</v>
      </c>
      <c r="Q180" s="4">
        <f>1/(1+10^(((Games[[#This Row],[OppPreGmRate]]+IF(Games[[#This Row],[HomeAway]]="A",HCA,0)+Games[[#This Row],[OppRestAdj]])-(Games[[#This Row],[PreGmRate]]+IF(Games[[#This Row],[HomeAway]]="H",HCA,0)+Games[[#This Row],[RestAdj]]))/400))</f>
        <v>0.51352149276726966</v>
      </c>
      <c r="R180" s="1">
        <v>92</v>
      </c>
      <c r="S180" s="1">
        <v>95</v>
      </c>
      <c r="T180" s="1">
        <v>1</v>
      </c>
      <c r="U180" s="1">
        <f>Games[[#This Row],[PointsFor]]-Games[[#This Row],[PointsAgainst]]</f>
        <v>-3</v>
      </c>
      <c r="V180" s="1">
        <f>IF(Games[[#This Row],[MOV]]&gt;0,1,IF(Games[[#This Row],[MOV]]=0,0.5,0))</f>
        <v>0</v>
      </c>
      <c r="W180" s="4">
        <f>((ABS(Games[[#This Row],[MOV]])+5)^0.6)/(12+0.01*(ABS(Games[[#This Row],[PreGmRate]]-Games[[#This Row],[OppPreGmRate]])))*IF(Games[[#This Row],[OT]]=1,0.9,1)</f>
        <v>0.24845307034675385</v>
      </c>
      <c r="X180" s="7" cm="1">
        <f t="array" ref="X1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0" s="9">
        <f>MAX(kmin, kmax - 0.15 * MIN(Games[[#This Row],[GamesPlayed]], 82))</f>
        <v>73.599999999999994</v>
      </c>
      <c r="Z180" s="4">
        <f>Games[[#This Row],[K]]*Games[[#This Row],[POMult]]</f>
        <v>73.599999999999994</v>
      </c>
      <c r="AA180" s="4">
        <f>(Games[[#This Row],[Keff]]*Games[[#This Row],[MOVMult]])*(Games[[#This Row],[Result]]-Games[[#This Row],[ExpectedWin%]])</f>
        <v>-9.3903289793368288</v>
      </c>
      <c r="AB180" s="4">
        <f>Games[[#This Row],[PreGmRate]]+Games[[#This Row],[RatingChange]]</f>
        <v>1672.4724981870004</v>
      </c>
      <c r="AC180" s="2">
        <f>IF(Games[[#This Row],[Type]]="R",IF(Games[[#This Row],[Result]]&gt;0.5,1,0),0)</f>
        <v>0</v>
      </c>
      <c r="AD180" s="2">
        <f>IF(Games[[#This Row],[Type]]="R",IF(Games[[#This Row],[Result]]&lt;0.5,1,0),0)</f>
        <v>1</v>
      </c>
      <c r="AE180" s="2">
        <f>IF(AND(Games[[#This Row],[Type]]="P",Games[[#This Row],[Round]]=1),IF(Games[[#This Row],[Result]]&gt;0.5,1,0),0)</f>
        <v>0</v>
      </c>
      <c r="AF180" s="2">
        <f>IF(AND(Games[[#This Row],[Type]]="P",Games[[#This Row],[Round]]=1),IF(Games[[#This Row],[Result]]&lt;0.5,1,0),0)</f>
        <v>0</v>
      </c>
      <c r="AG180" s="2">
        <f>IF(AND(Games[[#This Row],[Type]]="P",Games[[#This Row],[Round]]=2),IF(Games[[#This Row],[Result]]&gt;0.5,1,0),0)</f>
        <v>0</v>
      </c>
      <c r="AH180" s="2">
        <f>IF(AND(Games[[#This Row],[Type]]="P",Games[[#This Row],[Round]]=2),IF(Games[[#This Row],[Result]]&lt;0.5,1,0),0)</f>
        <v>0</v>
      </c>
      <c r="AI180" s="2">
        <f>IF(AND(Games[[#This Row],[Type]]="P",Games[[#This Row],[Round]]=3),IF(Games[[#This Row],[Result]]&gt;0.5,1,0),0)</f>
        <v>0</v>
      </c>
      <c r="AJ180" s="2">
        <f>IF(AND(Games[[#This Row],[Type]]="P",Games[[#This Row],[Round]]=3),IF(Games[[#This Row],[Result]]&lt;0.5,1,0),0)</f>
        <v>0</v>
      </c>
      <c r="AK180" s="2">
        <f>IF(AND(Games[[#This Row],[Type]]="P",Games[[#This Row],[Round]]=4),IF(Games[[#This Row],[Result]]&gt;0.5,1,0),0)</f>
        <v>0</v>
      </c>
      <c r="AL180" s="2">
        <f>IF(AND(Games[[#This Row],[Type]]="P",Games[[#This Row],[Round]]=4),IF(Games[[#This Row],[Result]]&lt;0.5,1,0),0)</f>
        <v>0</v>
      </c>
    </row>
    <row r="181" spans="1:38" x14ac:dyDescent="0.35">
      <c r="A181" s="10">
        <v>44374</v>
      </c>
      <c r="B181" s="2">
        <v>2021</v>
      </c>
      <c r="C181" s="2">
        <f>COUNTIFS(Games[Team],Games[[#This Row],[Team]],Games[Season],Games[[#This Row],[Season]],Games[Date],"&lt;=" &amp; Games[[#This Row],[Date]])</f>
        <v>15</v>
      </c>
      <c r="D181" s="2" t="s">
        <v>79</v>
      </c>
      <c r="E181" s="2" t="s">
        <v>80</v>
      </c>
      <c r="F181" s="1" t="s">
        <v>85</v>
      </c>
      <c r="G181" s="1" t="s">
        <v>71</v>
      </c>
      <c r="H181" s="1" t="s">
        <v>82</v>
      </c>
      <c r="I181" s="2" cm="1">
        <f t="array" ref="I1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1" s="2" cm="1">
        <f t="array" ref="J18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81" s="2">
        <f>Games[[#This Row],[DaysOff]]-Games[[#This Row],[OppDaysOff]]</f>
        <v>-3</v>
      </c>
      <c r="L181" s="2">
        <f>Games[[#This Row],[OppDaysOff]]-Games[[#This Row],[DaysOff]]</f>
        <v>3</v>
      </c>
      <c r="M181" s="1">
        <f>MAX(-16, MIN(16, Games[[#This Row],[RestDiff]]*8))</f>
        <v>-16</v>
      </c>
      <c r="N181" s="1">
        <f>MAX(-16, MIN(16, Games[[#This Row],[OppRestDiff]]*8))</f>
        <v>16</v>
      </c>
      <c r="O181" s="4" cm="1">
        <f t="array" ref="O1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1620.4648402176949</v>
      </c>
      <c r="P181" s="4" cm="1">
        <f t="array" ref="P1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1681.8628271663372</v>
      </c>
      <c r="Q181" s="4">
        <f>1/(1+10^(((Games[[#This Row],[OppPreGmRate]]+IF(Games[[#This Row],[HomeAway]]="A",HCA,0)+Games[[#This Row],[OppRestAdj]])-(Games[[#This Row],[PreGmRate]]+IF(Games[[#This Row],[HomeAway]]="H",HCA,0)+Games[[#This Row],[RestAdj]]))/400))</f>
        <v>0.48647850723273034</v>
      </c>
      <c r="R181" s="1">
        <v>95</v>
      </c>
      <c r="S181" s="1">
        <v>92</v>
      </c>
      <c r="T181" s="1">
        <v>1</v>
      </c>
      <c r="U181" s="1">
        <f>Games[[#This Row],[PointsFor]]-Games[[#This Row],[PointsAgainst]]</f>
        <v>3</v>
      </c>
      <c r="V181" s="1">
        <f>IF(Games[[#This Row],[MOV]]&gt;0,1,IF(Games[[#This Row],[MOV]]=0,0.5,0))</f>
        <v>1</v>
      </c>
      <c r="W181" s="4">
        <f>((ABS(Games[[#This Row],[MOV]])+5)^0.6)/(12+0.01*(ABS(Games[[#This Row],[PreGmRate]]-Games[[#This Row],[OppPreGmRate]])))*IF(Games[[#This Row],[OT]]=1,0.9,1)</f>
        <v>0.24845307034675385</v>
      </c>
      <c r="X181" s="7" cm="1">
        <f t="array" ref="X1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1" s="9">
        <f>MAX(kmin, kmax - 0.15 * MIN(Games[[#This Row],[GamesPlayed]], 82))</f>
        <v>73.75</v>
      </c>
      <c r="Z181" s="4">
        <f>Games[[#This Row],[K]]*Games[[#This Row],[POMult]]</f>
        <v>73.75</v>
      </c>
      <c r="AA181" s="4">
        <f>(Games[[#This Row],[Keff]]*Games[[#This Row],[MOVMult]])*(Games[[#This Row],[Result]]-Games[[#This Row],[ExpectedWin%]])</f>
        <v>9.4094668780718909</v>
      </c>
      <c r="AB181" s="4">
        <f>Games[[#This Row],[PreGmRate]]+Games[[#This Row],[RatingChange]]</f>
        <v>1629.8743070957669</v>
      </c>
      <c r="AC181" s="2">
        <f>IF(Games[[#This Row],[Type]]="R",IF(Games[[#This Row],[Result]]&gt;0.5,1,0),0)</f>
        <v>1</v>
      </c>
      <c r="AD181" s="2">
        <f>IF(Games[[#This Row],[Type]]="R",IF(Games[[#This Row],[Result]]&lt;0.5,1,0),0)</f>
        <v>0</v>
      </c>
      <c r="AE181" s="2">
        <f>IF(AND(Games[[#This Row],[Type]]="P",Games[[#This Row],[Round]]=1),IF(Games[[#This Row],[Result]]&gt;0.5,1,0),0)</f>
        <v>0</v>
      </c>
      <c r="AF181" s="2">
        <f>IF(AND(Games[[#This Row],[Type]]="P",Games[[#This Row],[Round]]=1),IF(Games[[#This Row],[Result]]&lt;0.5,1,0),0)</f>
        <v>0</v>
      </c>
      <c r="AG181" s="2">
        <f>IF(AND(Games[[#This Row],[Type]]="P",Games[[#This Row],[Round]]=2),IF(Games[[#This Row],[Result]]&gt;0.5,1,0),0)</f>
        <v>0</v>
      </c>
      <c r="AH181" s="2">
        <f>IF(AND(Games[[#This Row],[Type]]="P",Games[[#This Row],[Round]]=2),IF(Games[[#This Row],[Result]]&lt;0.5,1,0),0)</f>
        <v>0</v>
      </c>
      <c r="AI181" s="2">
        <f>IF(AND(Games[[#This Row],[Type]]="P",Games[[#This Row],[Round]]=3),IF(Games[[#This Row],[Result]]&gt;0.5,1,0),0)</f>
        <v>0</v>
      </c>
      <c r="AJ181" s="2">
        <f>IF(AND(Games[[#This Row],[Type]]="P",Games[[#This Row],[Round]]=3),IF(Games[[#This Row],[Result]]&lt;0.5,1,0),0)</f>
        <v>0</v>
      </c>
      <c r="AK181" s="2">
        <f>IF(AND(Games[[#This Row],[Type]]="P",Games[[#This Row],[Round]]=4),IF(Games[[#This Row],[Result]]&gt;0.5,1,0),0)</f>
        <v>0</v>
      </c>
      <c r="AL181" s="2">
        <f>IF(AND(Games[[#This Row],[Type]]="P",Games[[#This Row],[Round]]=4),IF(Games[[#This Row],[Result]]&lt;0.5,1,0),0)</f>
        <v>0</v>
      </c>
    </row>
    <row r="182" spans="1:38" x14ac:dyDescent="0.35">
      <c r="A182" s="10">
        <v>44374</v>
      </c>
      <c r="B182" s="2">
        <v>2021</v>
      </c>
      <c r="C182" s="2">
        <f>COUNTIFS(Games[Team],Games[[#This Row],[Team]],Games[Season],Games[[#This Row],[Season]],Games[Date],"&lt;=" &amp; Games[[#This Row],[Date]])</f>
        <v>14</v>
      </c>
      <c r="D182" s="2" t="s">
        <v>79</v>
      </c>
      <c r="E182" s="2" t="s">
        <v>80</v>
      </c>
      <c r="F182" s="1" t="s">
        <v>63</v>
      </c>
      <c r="G182" s="1" t="s">
        <v>40</v>
      </c>
      <c r="H182" s="1" t="s">
        <v>81</v>
      </c>
      <c r="I182" s="2" cm="1">
        <f t="array" ref="I1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2" s="2" cm="1">
        <f t="array" ref="J182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182" s="2">
        <f>Games[[#This Row],[DaysOff]]-Games[[#This Row],[OppDaysOff]]</f>
        <v>-6</v>
      </c>
      <c r="L182" s="2">
        <f>Games[[#This Row],[OppDaysOff]]-Games[[#This Row],[DaysOff]]</f>
        <v>6</v>
      </c>
      <c r="M182" s="1">
        <f>MAX(-16, MIN(16, Games[[#This Row],[RestDiff]]*8))</f>
        <v>-16</v>
      </c>
      <c r="N182" s="1">
        <f>MAX(-16, MIN(16, Games[[#This Row],[OppRestDiff]]*8))</f>
        <v>16</v>
      </c>
      <c r="O182" s="4" cm="1">
        <f t="array" ref="O1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1467.7914468459498</v>
      </c>
      <c r="P182" s="4" cm="1">
        <f t="array" ref="P1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1488.9750786705956</v>
      </c>
      <c r="Q182" s="4">
        <f>1/(1+10^(((Games[[#This Row],[OppPreGmRate]]+IF(Games[[#This Row],[HomeAway]]="A",HCA,0)+Games[[#This Row],[OppRestAdj]])-(Games[[#This Row],[PreGmRate]]+IF(Games[[#This Row],[HomeAway]]="H",HCA,0)+Games[[#This Row],[RestAdj]]))/400))</f>
        <v>0.31223470715134877</v>
      </c>
      <c r="R182" s="1">
        <v>79</v>
      </c>
      <c r="S182" s="1">
        <v>88</v>
      </c>
      <c r="T182" s="1">
        <v>0</v>
      </c>
      <c r="U182" s="1">
        <f>Games[[#This Row],[PointsFor]]-Games[[#This Row],[PointsAgainst]]</f>
        <v>-9</v>
      </c>
      <c r="V182" s="1">
        <f>IF(Games[[#This Row],[MOV]]&gt;0,1,IF(Games[[#This Row],[MOV]]=0,0.5,0))</f>
        <v>0</v>
      </c>
      <c r="W182" s="4">
        <f>((ABS(Games[[#This Row],[MOV]])+5)^0.6)/(12+0.01*(ABS(Games[[#This Row],[PreGmRate]]-Games[[#This Row],[OppPreGmRate]])))*IF(Games[[#This Row],[OT]]=1,0.9,1)</f>
        <v>0.39892921906330081</v>
      </c>
      <c r="X182" s="7" cm="1">
        <f t="array" ref="X1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2" s="9">
        <f>MAX(kmin, kmax - 0.15 * MIN(Games[[#This Row],[GamesPlayed]], 82))</f>
        <v>73.900000000000006</v>
      </c>
      <c r="Z182" s="4">
        <f>Games[[#This Row],[K]]*Games[[#This Row],[POMult]]</f>
        <v>73.900000000000006</v>
      </c>
      <c r="AA182" s="4">
        <f>(Games[[#This Row],[Keff]]*Games[[#This Row],[MOVMult]])*(Games[[#This Row],[Result]]-Games[[#This Row],[ExpectedWin%]])</f>
        <v>-9.2049505889487691</v>
      </c>
      <c r="AB182" s="4">
        <f>Games[[#This Row],[PreGmRate]]+Games[[#This Row],[RatingChange]]</f>
        <v>1458.586496257001</v>
      </c>
      <c r="AC182" s="2">
        <f>IF(Games[[#This Row],[Type]]="R",IF(Games[[#This Row],[Result]]&gt;0.5,1,0),0)</f>
        <v>0</v>
      </c>
      <c r="AD182" s="2">
        <f>IF(Games[[#This Row],[Type]]="R",IF(Games[[#This Row],[Result]]&lt;0.5,1,0),0)</f>
        <v>1</v>
      </c>
      <c r="AE182" s="2">
        <f>IF(AND(Games[[#This Row],[Type]]="P",Games[[#This Row],[Round]]=1),IF(Games[[#This Row],[Result]]&gt;0.5,1,0),0)</f>
        <v>0</v>
      </c>
      <c r="AF182" s="2">
        <f>IF(AND(Games[[#This Row],[Type]]="P",Games[[#This Row],[Round]]=1),IF(Games[[#This Row],[Result]]&lt;0.5,1,0),0)</f>
        <v>0</v>
      </c>
      <c r="AG182" s="2">
        <f>IF(AND(Games[[#This Row],[Type]]="P",Games[[#This Row],[Round]]=2),IF(Games[[#This Row],[Result]]&gt;0.5,1,0),0)</f>
        <v>0</v>
      </c>
      <c r="AH182" s="2">
        <f>IF(AND(Games[[#This Row],[Type]]="P",Games[[#This Row],[Round]]=2),IF(Games[[#This Row],[Result]]&lt;0.5,1,0),0)</f>
        <v>0</v>
      </c>
      <c r="AI182" s="2">
        <f>IF(AND(Games[[#This Row],[Type]]="P",Games[[#This Row],[Round]]=3),IF(Games[[#This Row],[Result]]&gt;0.5,1,0),0)</f>
        <v>0</v>
      </c>
      <c r="AJ182" s="2">
        <f>IF(AND(Games[[#This Row],[Type]]="P",Games[[#This Row],[Round]]=3),IF(Games[[#This Row],[Result]]&lt;0.5,1,0),0)</f>
        <v>0</v>
      </c>
      <c r="AK182" s="2">
        <f>IF(AND(Games[[#This Row],[Type]]="P",Games[[#This Row],[Round]]=4),IF(Games[[#This Row],[Result]]&gt;0.5,1,0),0)</f>
        <v>0</v>
      </c>
      <c r="AL182" s="2">
        <f>IF(AND(Games[[#This Row],[Type]]="P",Games[[#This Row],[Round]]=4),IF(Games[[#This Row],[Result]]&lt;0.5,1,0),0)</f>
        <v>0</v>
      </c>
    </row>
    <row r="183" spans="1:38" x14ac:dyDescent="0.35">
      <c r="A183" s="10">
        <v>44374</v>
      </c>
      <c r="B183" s="2">
        <v>2021</v>
      </c>
      <c r="C183" s="2">
        <f>COUNTIFS(Games[Team],Games[[#This Row],[Team]],Games[Season],Games[[#This Row],[Season]],Games[Date],"&lt;=" &amp; Games[[#This Row],[Date]])</f>
        <v>14</v>
      </c>
      <c r="D183" s="2" t="s">
        <v>79</v>
      </c>
      <c r="E183" s="2" t="s">
        <v>80</v>
      </c>
      <c r="F183" s="1" t="s">
        <v>40</v>
      </c>
      <c r="G183" s="1" t="s">
        <v>63</v>
      </c>
      <c r="H183" s="1" t="s">
        <v>82</v>
      </c>
      <c r="I183" s="2" cm="1">
        <f t="array" ref="I183">IFERROR(
    Games[[#This Row],[Date]]
    - LOOKUP(
        2,
        1/((Games[Team]=Games[[#This Row],[Team]]) * (Games[Date] &lt; Games[[#This Row],[Date]])),
        Games[Date]
    )
    - 1,
Games[[#This Row],[Date]]-$A$2)</f>
        <v>8</v>
      </c>
      <c r="J183" s="2" cm="1">
        <f t="array" ref="J1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3" s="2">
        <f>Games[[#This Row],[DaysOff]]-Games[[#This Row],[OppDaysOff]]</f>
        <v>6</v>
      </c>
      <c r="L183" s="2">
        <f>Games[[#This Row],[OppDaysOff]]-Games[[#This Row],[DaysOff]]</f>
        <v>-6</v>
      </c>
      <c r="M183" s="1">
        <f>MAX(-16, MIN(16, Games[[#This Row],[RestDiff]]*8))</f>
        <v>16</v>
      </c>
      <c r="N183" s="1">
        <f>MAX(-16, MIN(16, Games[[#This Row],[OppRestDiff]]*8))</f>
        <v>-16</v>
      </c>
      <c r="O183" s="4" cm="1">
        <f t="array" ref="O1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1488.9750786705956</v>
      </c>
      <c r="P183" s="4" cm="1">
        <f t="array" ref="P1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1467.7914468459498</v>
      </c>
      <c r="Q183" s="4">
        <f>1/(1+10^(((Games[[#This Row],[OppPreGmRate]]+IF(Games[[#This Row],[HomeAway]]="A",HCA,0)+Games[[#This Row],[OppRestAdj]])-(Games[[#This Row],[PreGmRate]]+IF(Games[[#This Row],[HomeAway]]="H",HCA,0)+Games[[#This Row],[RestAdj]]))/400))</f>
        <v>0.68776529284865129</v>
      </c>
      <c r="R183" s="1">
        <v>88</v>
      </c>
      <c r="S183" s="1">
        <v>79</v>
      </c>
      <c r="T183" s="1">
        <v>0</v>
      </c>
      <c r="U183" s="1">
        <f>Games[[#This Row],[PointsFor]]-Games[[#This Row],[PointsAgainst]]</f>
        <v>9</v>
      </c>
      <c r="V183" s="1">
        <f>IF(Games[[#This Row],[MOV]]&gt;0,1,IF(Games[[#This Row],[MOV]]=0,0.5,0))</f>
        <v>1</v>
      </c>
      <c r="W183" s="4">
        <f>((ABS(Games[[#This Row],[MOV]])+5)^0.6)/(12+0.01*(ABS(Games[[#This Row],[PreGmRate]]-Games[[#This Row],[OppPreGmRate]])))*IF(Games[[#This Row],[OT]]=1,0.9,1)</f>
        <v>0.39892921906330081</v>
      </c>
      <c r="X183" s="7" cm="1">
        <f t="array" ref="X1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3" s="9">
        <f>MAX(kmin, kmax - 0.15 * MIN(Games[[#This Row],[GamesPlayed]], 82))</f>
        <v>73.900000000000006</v>
      </c>
      <c r="Z183" s="4">
        <f>Games[[#This Row],[K]]*Games[[#This Row],[POMult]]</f>
        <v>73.900000000000006</v>
      </c>
      <c r="AA183" s="4">
        <f>(Games[[#This Row],[Keff]]*Games[[#This Row],[MOVMult]])*(Games[[#This Row],[Result]]-Games[[#This Row],[ExpectedWin%]])</f>
        <v>9.2049505889487673</v>
      </c>
      <c r="AB183" s="4">
        <f>Games[[#This Row],[PreGmRate]]+Games[[#This Row],[RatingChange]]</f>
        <v>1498.1800292595444</v>
      </c>
      <c r="AC183" s="2">
        <f>IF(Games[[#This Row],[Type]]="R",IF(Games[[#This Row],[Result]]&gt;0.5,1,0),0)</f>
        <v>1</v>
      </c>
      <c r="AD183" s="2">
        <f>IF(Games[[#This Row],[Type]]="R",IF(Games[[#This Row],[Result]]&lt;0.5,1,0),0)</f>
        <v>0</v>
      </c>
      <c r="AE183" s="2">
        <f>IF(AND(Games[[#This Row],[Type]]="P",Games[[#This Row],[Round]]=1),IF(Games[[#This Row],[Result]]&gt;0.5,1,0),0)</f>
        <v>0</v>
      </c>
      <c r="AF183" s="2">
        <f>IF(AND(Games[[#This Row],[Type]]="P",Games[[#This Row],[Round]]=1),IF(Games[[#This Row],[Result]]&lt;0.5,1,0),0)</f>
        <v>0</v>
      </c>
      <c r="AG183" s="2">
        <f>IF(AND(Games[[#This Row],[Type]]="P",Games[[#This Row],[Round]]=2),IF(Games[[#This Row],[Result]]&gt;0.5,1,0),0)</f>
        <v>0</v>
      </c>
      <c r="AH183" s="2">
        <f>IF(AND(Games[[#This Row],[Type]]="P",Games[[#This Row],[Round]]=2),IF(Games[[#This Row],[Result]]&lt;0.5,1,0),0)</f>
        <v>0</v>
      </c>
      <c r="AI183" s="2">
        <f>IF(AND(Games[[#This Row],[Type]]="P",Games[[#This Row],[Round]]=3),IF(Games[[#This Row],[Result]]&gt;0.5,1,0),0)</f>
        <v>0</v>
      </c>
      <c r="AJ183" s="2">
        <f>IF(AND(Games[[#This Row],[Type]]="P",Games[[#This Row],[Round]]=3),IF(Games[[#This Row],[Result]]&lt;0.5,1,0),0)</f>
        <v>0</v>
      </c>
      <c r="AK183" s="2">
        <f>IF(AND(Games[[#This Row],[Type]]="P",Games[[#This Row],[Round]]=4),IF(Games[[#This Row],[Result]]&gt;0.5,1,0),0)</f>
        <v>0</v>
      </c>
      <c r="AL183" s="2">
        <f>IF(AND(Games[[#This Row],[Type]]="P",Games[[#This Row],[Round]]=4),IF(Games[[#This Row],[Result]]&lt;0.5,1,0),0)</f>
        <v>0</v>
      </c>
    </row>
    <row r="184" spans="1:38" x14ac:dyDescent="0.35">
      <c r="A184" s="10">
        <v>44376</v>
      </c>
      <c r="B184" s="2">
        <v>2021</v>
      </c>
      <c r="C184" s="2">
        <f>COUNTIFS(Games[Team],Games[[#This Row],[Team]],Games[Season],Games[[#This Row],[Season]],Games[Date],"&lt;=" &amp; Games[[#This Row],[Date]])</f>
        <v>17</v>
      </c>
      <c r="D184" s="2" t="s">
        <v>79</v>
      </c>
      <c r="E184" s="2" t="s">
        <v>80</v>
      </c>
      <c r="F184" s="1" t="s">
        <v>60</v>
      </c>
      <c r="G184" s="1" t="s">
        <v>77</v>
      </c>
      <c r="H184" s="1" t="s">
        <v>81</v>
      </c>
      <c r="I184" s="2" cm="1">
        <f t="array" ref="I1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4" s="2" cm="1">
        <f t="array" ref="J1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4" s="2">
        <f>Games[[#This Row],[DaysOff]]-Games[[#This Row],[OppDaysOff]]</f>
        <v>0</v>
      </c>
      <c r="L184" s="2">
        <f>Games[[#This Row],[OppDaysOff]]-Games[[#This Row],[DaysOff]]</f>
        <v>0</v>
      </c>
      <c r="M184" s="1">
        <f>MAX(-16, MIN(16, Games[[#This Row],[RestDiff]]*8))</f>
        <v>0</v>
      </c>
      <c r="N184" s="1">
        <f>MAX(-16, MIN(16, Games[[#This Row],[OppRestDiff]]*8))</f>
        <v>0</v>
      </c>
      <c r="O184" s="4" cm="1">
        <f t="array" ref="O1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1419.4896358589169</v>
      </c>
      <c r="P184" s="4" cm="1">
        <f t="array" ref="P1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1396.8756784899338</v>
      </c>
      <c r="Q184" s="4">
        <f>1/(1+10^(((Games[[#This Row],[OppPreGmRate]]+IF(Games[[#This Row],[HomeAway]]="A",HCA,0)+Games[[#This Row],[OppRestAdj]])-(Games[[#This Row],[PreGmRate]]+IF(Games[[#This Row],[HomeAway]]="H",HCA,0)+Games[[#This Row],[RestAdj]]))/400))</f>
        <v>0.41256630042507048</v>
      </c>
      <c r="R184" s="1">
        <v>69</v>
      </c>
      <c r="S184" s="1">
        <v>73</v>
      </c>
      <c r="T184" s="1">
        <v>0</v>
      </c>
      <c r="U184" s="1">
        <f>Games[[#This Row],[PointsFor]]-Games[[#This Row],[PointsAgainst]]</f>
        <v>-4</v>
      </c>
      <c r="V184" s="1">
        <f>IF(Games[[#This Row],[MOV]]&gt;0,1,IF(Games[[#This Row],[MOV]]=0,0.5,0))</f>
        <v>0</v>
      </c>
      <c r="W184" s="4">
        <f>((ABS(Games[[#This Row],[MOV]])+5)^0.6)/(12+0.01*(ABS(Games[[#This Row],[PreGmRate]]-Games[[#This Row],[OppPreGmRate]])))*IF(Games[[#This Row],[OT]]=1,0.9,1)</f>
        <v>0.30567235032134293</v>
      </c>
      <c r="X184" s="7" cm="1">
        <f t="array" ref="X1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4" s="9">
        <f>MAX(kmin, kmax - 0.15 * MIN(Games[[#This Row],[GamesPlayed]], 82))</f>
        <v>73.45</v>
      </c>
      <c r="Z184" s="4">
        <f>Games[[#This Row],[K]]*Games[[#This Row],[POMult]]</f>
        <v>73.45</v>
      </c>
      <c r="AA184" s="4">
        <f>(Games[[#This Row],[Keff]]*Games[[#This Row],[MOVMult]])*(Games[[#This Row],[Result]]-Games[[#This Row],[ExpectedWin%]])</f>
        <v>-9.2627876319662583</v>
      </c>
      <c r="AB184" s="4">
        <f>Games[[#This Row],[PreGmRate]]+Games[[#This Row],[RatingChange]]</f>
        <v>1410.2268482269508</v>
      </c>
      <c r="AC184" s="2">
        <f>IF(Games[[#This Row],[Type]]="R",IF(Games[[#This Row],[Result]]&gt;0.5,1,0),0)</f>
        <v>0</v>
      </c>
      <c r="AD184" s="2">
        <f>IF(Games[[#This Row],[Type]]="R",IF(Games[[#This Row],[Result]]&lt;0.5,1,0),0)</f>
        <v>1</v>
      </c>
      <c r="AE184" s="2">
        <f>IF(AND(Games[[#This Row],[Type]]="P",Games[[#This Row],[Round]]=1),IF(Games[[#This Row],[Result]]&gt;0.5,1,0),0)</f>
        <v>0</v>
      </c>
      <c r="AF184" s="2">
        <f>IF(AND(Games[[#This Row],[Type]]="P",Games[[#This Row],[Round]]=1),IF(Games[[#This Row],[Result]]&lt;0.5,1,0),0)</f>
        <v>0</v>
      </c>
      <c r="AG184" s="2">
        <f>IF(AND(Games[[#This Row],[Type]]="P",Games[[#This Row],[Round]]=2),IF(Games[[#This Row],[Result]]&gt;0.5,1,0),0)</f>
        <v>0</v>
      </c>
      <c r="AH184" s="2">
        <f>IF(AND(Games[[#This Row],[Type]]="P",Games[[#This Row],[Round]]=2),IF(Games[[#This Row],[Result]]&lt;0.5,1,0),0)</f>
        <v>0</v>
      </c>
      <c r="AI184" s="2">
        <f>IF(AND(Games[[#This Row],[Type]]="P",Games[[#This Row],[Round]]=3),IF(Games[[#This Row],[Result]]&gt;0.5,1,0),0)</f>
        <v>0</v>
      </c>
      <c r="AJ184" s="2">
        <f>IF(AND(Games[[#This Row],[Type]]="P",Games[[#This Row],[Round]]=3),IF(Games[[#This Row],[Result]]&lt;0.5,1,0),0)</f>
        <v>0</v>
      </c>
      <c r="AK184" s="2">
        <f>IF(AND(Games[[#This Row],[Type]]="P",Games[[#This Row],[Round]]=4),IF(Games[[#This Row],[Result]]&gt;0.5,1,0),0)</f>
        <v>0</v>
      </c>
      <c r="AL184" s="2">
        <f>IF(AND(Games[[#This Row],[Type]]="P",Games[[#This Row],[Round]]=4),IF(Games[[#This Row],[Result]]&lt;0.5,1,0),0)</f>
        <v>0</v>
      </c>
    </row>
    <row r="185" spans="1:38" x14ac:dyDescent="0.35">
      <c r="A185" s="10">
        <v>44376</v>
      </c>
      <c r="B185" s="2">
        <v>2021</v>
      </c>
      <c r="C185" s="2">
        <f>COUNTIFS(Games[Team],Games[[#This Row],[Team]],Games[Season],Games[[#This Row],[Season]],Games[Date],"&lt;=" &amp; Games[[#This Row],[Date]])</f>
        <v>15</v>
      </c>
      <c r="D185" s="2" t="s">
        <v>79</v>
      </c>
      <c r="E185" s="2" t="s">
        <v>80</v>
      </c>
      <c r="F185" s="1" t="s">
        <v>77</v>
      </c>
      <c r="G185" s="1" t="s">
        <v>60</v>
      </c>
      <c r="H185" s="1" t="s">
        <v>82</v>
      </c>
      <c r="I185" s="2" cm="1">
        <f t="array" ref="I1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5" s="2" cm="1">
        <f t="array" ref="J1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5" s="2">
        <f>Games[[#This Row],[DaysOff]]-Games[[#This Row],[OppDaysOff]]</f>
        <v>0</v>
      </c>
      <c r="L185" s="2">
        <f>Games[[#This Row],[OppDaysOff]]-Games[[#This Row],[DaysOff]]</f>
        <v>0</v>
      </c>
      <c r="M185" s="1">
        <f>MAX(-16, MIN(16, Games[[#This Row],[RestDiff]]*8))</f>
        <v>0</v>
      </c>
      <c r="N185" s="1">
        <f>MAX(-16, MIN(16, Games[[#This Row],[OppRestDiff]]*8))</f>
        <v>0</v>
      </c>
      <c r="O185" s="4" cm="1">
        <f t="array" ref="O1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1396.8756784899338</v>
      </c>
      <c r="P185" s="4" cm="1">
        <f t="array" ref="P1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1419.4896358589169</v>
      </c>
      <c r="Q185" s="4">
        <f>1/(1+10^(((Games[[#This Row],[OppPreGmRate]]+IF(Games[[#This Row],[HomeAway]]="A",HCA,0)+Games[[#This Row],[OppRestAdj]])-(Games[[#This Row],[PreGmRate]]+IF(Games[[#This Row],[HomeAway]]="H",HCA,0)+Games[[#This Row],[RestAdj]]))/400))</f>
        <v>0.58743369957492952</v>
      </c>
      <c r="R185" s="1">
        <v>73</v>
      </c>
      <c r="S185" s="1">
        <v>69</v>
      </c>
      <c r="T185" s="1">
        <v>0</v>
      </c>
      <c r="U185" s="1">
        <f>Games[[#This Row],[PointsFor]]-Games[[#This Row],[PointsAgainst]]</f>
        <v>4</v>
      </c>
      <c r="V185" s="1">
        <f>IF(Games[[#This Row],[MOV]]&gt;0,1,IF(Games[[#This Row],[MOV]]=0,0.5,0))</f>
        <v>1</v>
      </c>
      <c r="W185" s="4">
        <f>((ABS(Games[[#This Row],[MOV]])+5)^0.6)/(12+0.01*(ABS(Games[[#This Row],[PreGmRate]]-Games[[#This Row],[OppPreGmRate]])))*IF(Games[[#This Row],[OT]]=1,0.9,1)</f>
        <v>0.30567235032134293</v>
      </c>
      <c r="X185" s="7" cm="1">
        <f t="array" ref="X1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5" s="9">
        <f>MAX(kmin, kmax - 0.15 * MIN(Games[[#This Row],[GamesPlayed]], 82))</f>
        <v>73.75</v>
      </c>
      <c r="Z185" s="4">
        <f>Games[[#This Row],[K]]*Games[[#This Row],[POMult]]</f>
        <v>73.75</v>
      </c>
      <c r="AA185" s="4">
        <f>(Games[[#This Row],[Keff]]*Games[[#This Row],[MOVMult]])*(Games[[#This Row],[Result]]-Games[[#This Row],[ExpectedWin%]])</f>
        <v>9.300620665180551</v>
      </c>
      <c r="AB185" s="4">
        <f>Games[[#This Row],[PreGmRate]]+Games[[#This Row],[RatingChange]]</f>
        <v>1406.1762991551143</v>
      </c>
      <c r="AC185" s="2">
        <f>IF(Games[[#This Row],[Type]]="R",IF(Games[[#This Row],[Result]]&gt;0.5,1,0),0)</f>
        <v>1</v>
      </c>
      <c r="AD185" s="2">
        <f>IF(Games[[#This Row],[Type]]="R",IF(Games[[#This Row],[Result]]&lt;0.5,1,0),0)</f>
        <v>0</v>
      </c>
      <c r="AE185" s="2">
        <f>IF(AND(Games[[#This Row],[Type]]="P",Games[[#This Row],[Round]]=1),IF(Games[[#This Row],[Result]]&gt;0.5,1,0),0)</f>
        <v>0</v>
      </c>
      <c r="AF185" s="2">
        <f>IF(AND(Games[[#This Row],[Type]]="P",Games[[#This Row],[Round]]=1),IF(Games[[#This Row],[Result]]&lt;0.5,1,0),0)</f>
        <v>0</v>
      </c>
      <c r="AG185" s="2">
        <f>IF(AND(Games[[#This Row],[Type]]="P",Games[[#This Row],[Round]]=2),IF(Games[[#This Row],[Result]]&gt;0.5,1,0),0)</f>
        <v>0</v>
      </c>
      <c r="AH185" s="2">
        <f>IF(AND(Games[[#This Row],[Type]]="P",Games[[#This Row],[Round]]=2),IF(Games[[#This Row],[Result]]&lt;0.5,1,0),0)</f>
        <v>0</v>
      </c>
      <c r="AI185" s="2">
        <f>IF(AND(Games[[#This Row],[Type]]="P",Games[[#This Row],[Round]]=3),IF(Games[[#This Row],[Result]]&gt;0.5,1,0),0)</f>
        <v>0</v>
      </c>
      <c r="AJ185" s="2">
        <f>IF(AND(Games[[#This Row],[Type]]="P",Games[[#This Row],[Round]]=3),IF(Games[[#This Row],[Result]]&lt;0.5,1,0),0)</f>
        <v>0</v>
      </c>
      <c r="AK185" s="2">
        <f>IF(AND(Games[[#This Row],[Type]]="P",Games[[#This Row],[Round]]=4),IF(Games[[#This Row],[Result]]&gt;0.5,1,0),0)</f>
        <v>0</v>
      </c>
      <c r="AL185" s="2">
        <f>IF(AND(Games[[#This Row],[Type]]="P",Games[[#This Row],[Round]]=4),IF(Games[[#This Row],[Result]]&lt;0.5,1,0),0)</f>
        <v>0</v>
      </c>
    </row>
    <row r="186" spans="1:38" x14ac:dyDescent="0.35">
      <c r="A186" s="10">
        <v>44376</v>
      </c>
      <c r="B186" s="2">
        <v>2021</v>
      </c>
      <c r="C186" s="2">
        <f>COUNTIFS(Games[Team],Games[[#This Row],[Team]],Games[Season],Games[[#This Row],[Season]],Games[Date],"&lt;=" &amp; Games[[#This Row],[Date]])</f>
        <v>16</v>
      </c>
      <c r="D186" s="2" t="s">
        <v>79</v>
      </c>
      <c r="E186" s="2" t="s">
        <v>80</v>
      </c>
      <c r="F186" s="1" t="s">
        <v>74</v>
      </c>
      <c r="G186" s="1" t="s">
        <v>65</v>
      </c>
      <c r="H186" s="1" t="s">
        <v>81</v>
      </c>
      <c r="I186" s="2" cm="1">
        <f t="array" ref="I1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86" s="2" cm="1">
        <f t="array" ref="J18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6" s="2">
        <f>Games[[#This Row],[DaysOff]]-Games[[#This Row],[OppDaysOff]]</f>
        <v>-1</v>
      </c>
      <c r="L186" s="2">
        <f>Games[[#This Row],[OppDaysOff]]-Games[[#This Row],[DaysOff]]</f>
        <v>1</v>
      </c>
      <c r="M186" s="1">
        <f>MAX(-16, MIN(16, Games[[#This Row],[RestDiff]]*8))</f>
        <v>-8</v>
      </c>
      <c r="N186" s="1">
        <f>MAX(-16, MIN(16, Games[[#This Row],[OppRestDiff]]*8))</f>
        <v>8</v>
      </c>
      <c r="O186" s="4" cm="1">
        <f t="array" ref="O1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1582.4717569133134</v>
      </c>
      <c r="P186" s="4" cm="1">
        <f t="array" ref="P1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1474.2601582502227</v>
      </c>
      <c r="Q186" s="4">
        <f>1/(1+10^(((Games[[#This Row],[OppPreGmRate]]+IF(Games[[#This Row],[HomeAway]]="A",HCA,0)+Games[[#This Row],[OppRestAdj]])-(Games[[#This Row],[PreGmRate]]+IF(Games[[#This Row],[HomeAway]]="H",HCA,0)+Games[[#This Row],[RestAdj]]))/400))</f>
        <v>0.51181524047379945</v>
      </c>
      <c r="R186" s="1">
        <v>90</v>
      </c>
      <c r="S186" s="1">
        <v>71</v>
      </c>
      <c r="T186" s="1">
        <v>0</v>
      </c>
      <c r="U186" s="1">
        <f>Games[[#This Row],[PointsFor]]-Games[[#This Row],[PointsAgainst]]</f>
        <v>19</v>
      </c>
      <c r="V186" s="1">
        <f>IF(Games[[#This Row],[MOV]]&gt;0,1,IF(Games[[#This Row],[MOV]]=0,0.5,0))</f>
        <v>1</v>
      </c>
      <c r="W186" s="4">
        <f>((ABS(Games[[#This Row],[MOV]])+5)^0.6)/(12+0.01*(ABS(Games[[#This Row],[PreGmRate]]-Games[[#This Row],[OppPreGmRate]])))*IF(Games[[#This Row],[OT]]=1,0.9,1)</f>
        <v>0.51457507941044089</v>
      </c>
      <c r="X186" s="7" cm="1">
        <f t="array" ref="X1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6" s="9">
        <f>MAX(kmin, kmax - 0.15 * MIN(Games[[#This Row],[GamesPlayed]], 82))</f>
        <v>73.599999999999994</v>
      </c>
      <c r="Z186" s="4">
        <f>Games[[#This Row],[K]]*Games[[#This Row],[POMult]]</f>
        <v>73.599999999999994</v>
      </c>
      <c r="AA186" s="4">
        <f>(Games[[#This Row],[Keff]]*Games[[#This Row],[MOVMult]])*(Games[[#This Row],[Result]]-Games[[#This Row],[ExpectedWin%]])</f>
        <v>18.488887559051896</v>
      </c>
      <c r="AB186" s="4">
        <f>Games[[#This Row],[PreGmRate]]+Games[[#This Row],[RatingChange]]</f>
        <v>1600.9606444723652</v>
      </c>
      <c r="AC186" s="2">
        <f>IF(Games[[#This Row],[Type]]="R",IF(Games[[#This Row],[Result]]&gt;0.5,1,0),0)</f>
        <v>1</v>
      </c>
      <c r="AD186" s="2">
        <f>IF(Games[[#This Row],[Type]]="R",IF(Games[[#This Row],[Result]]&lt;0.5,1,0),0)</f>
        <v>0</v>
      </c>
      <c r="AE186" s="2">
        <f>IF(AND(Games[[#This Row],[Type]]="P",Games[[#This Row],[Round]]=1),IF(Games[[#This Row],[Result]]&gt;0.5,1,0),0)</f>
        <v>0</v>
      </c>
      <c r="AF186" s="2">
        <f>IF(AND(Games[[#This Row],[Type]]="P",Games[[#This Row],[Round]]=1),IF(Games[[#This Row],[Result]]&lt;0.5,1,0),0)</f>
        <v>0</v>
      </c>
      <c r="AG186" s="2">
        <f>IF(AND(Games[[#This Row],[Type]]="P",Games[[#This Row],[Round]]=2),IF(Games[[#This Row],[Result]]&gt;0.5,1,0),0)</f>
        <v>0</v>
      </c>
      <c r="AH186" s="2">
        <f>IF(AND(Games[[#This Row],[Type]]="P",Games[[#This Row],[Round]]=2),IF(Games[[#This Row],[Result]]&lt;0.5,1,0),0)</f>
        <v>0</v>
      </c>
      <c r="AI186" s="2">
        <f>IF(AND(Games[[#This Row],[Type]]="P",Games[[#This Row],[Round]]=3),IF(Games[[#This Row],[Result]]&gt;0.5,1,0),0)</f>
        <v>0</v>
      </c>
      <c r="AJ186" s="2">
        <f>IF(AND(Games[[#This Row],[Type]]="P",Games[[#This Row],[Round]]=3),IF(Games[[#This Row],[Result]]&lt;0.5,1,0),0)</f>
        <v>0</v>
      </c>
      <c r="AK186" s="2">
        <f>IF(AND(Games[[#This Row],[Type]]="P",Games[[#This Row],[Round]]=4),IF(Games[[#This Row],[Result]]&gt;0.5,1,0),0)</f>
        <v>0</v>
      </c>
      <c r="AL186" s="2">
        <f>IF(AND(Games[[#This Row],[Type]]="P",Games[[#This Row],[Round]]=4),IF(Games[[#This Row],[Result]]&lt;0.5,1,0),0)</f>
        <v>0</v>
      </c>
    </row>
    <row r="187" spans="1:38" x14ac:dyDescent="0.35">
      <c r="A187" s="10">
        <v>44376</v>
      </c>
      <c r="B187" s="2">
        <v>2021</v>
      </c>
      <c r="C187" s="2">
        <f>COUNTIFS(Games[Team],Games[[#This Row],[Team]],Games[Season],Games[[#This Row],[Season]],Games[Date],"&lt;=" &amp; Games[[#This Row],[Date]])</f>
        <v>16</v>
      </c>
      <c r="D187" s="2" t="s">
        <v>79</v>
      </c>
      <c r="E187" s="2" t="s">
        <v>80</v>
      </c>
      <c r="F187" s="1" t="s">
        <v>65</v>
      </c>
      <c r="G187" s="1" t="s">
        <v>74</v>
      </c>
      <c r="H187" s="1" t="s">
        <v>82</v>
      </c>
      <c r="I187" s="2" cm="1">
        <f t="array" ref="I187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7" s="2" cm="1">
        <f t="array" ref="J1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87" s="2">
        <f>Games[[#This Row],[DaysOff]]-Games[[#This Row],[OppDaysOff]]</f>
        <v>1</v>
      </c>
      <c r="L187" s="2">
        <f>Games[[#This Row],[OppDaysOff]]-Games[[#This Row],[DaysOff]]</f>
        <v>-1</v>
      </c>
      <c r="M187" s="1">
        <f>MAX(-16, MIN(16, Games[[#This Row],[RestDiff]]*8))</f>
        <v>8</v>
      </c>
      <c r="N187" s="1">
        <f>MAX(-16, MIN(16, Games[[#This Row],[OppRestDiff]]*8))</f>
        <v>-8</v>
      </c>
      <c r="O187" s="4" cm="1">
        <f t="array" ref="O1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1474.2601582502227</v>
      </c>
      <c r="P187" s="4" cm="1">
        <f t="array" ref="P1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1582.4717569133134</v>
      </c>
      <c r="Q187" s="4">
        <f>1/(1+10^(((Games[[#This Row],[OppPreGmRate]]+IF(Games[[#This Row],[HomeAway]]="A",HCA,0)+Games[[#This Row],[OppRestAdj]])-(Games[[#This Row],[PreGmRate]]+IF(Games[[#This Row],[HomeAway]]="H",HCA,0)+Games[[#This Row],[RestAdj]]))/400))</f>
        <v>0.4881847595262005</v>
      </c>
      <c r="R187" s="1">
        <v>71</v>
      </c>
      <c r="S187" s="1">
        <v>90</v>
      </c>
      <c r="T187" s="1">
        <v>0</v>
      </c>
      <c r="U187" s="1">
        <f>Games[[#This Row],[PointsFor]]-Games[[#This Row],[PointsAgainst]]</f>
        <v>-19</v>
      </c>
      <c r="V187" s="1">
        <f>IF(Games[[#This Row],[MOV]]&gt;0,1,IF(Games[[#This Row],[MOV]]=0,0.5,0))</f>
        <v>0</v>
      </c>
      <c r="W187" s="4">
        <f>((ABS(Games[[#This Row],[MOV]])+5)^0.6)/(12+0.01*(ABS(Games[[#This Row],[PreGmRate]]-Games[[#This Row],[OppPreGmRate]])))*IF(Games[[#This Row],[OT]]=1,0.9,1)</f>
        <v>0.51457507941044089</v>
      </c>
      <c r="X187" s="7" cm="1">
        <f t="array" ref="X1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7" s="9">
        <f>MAX(kmin, kmax - 0.15 * MIN(Games[[#This Row],[GamesPlayed]], 82))</f>
        <v>73.599999999999994</v>
      </c>
      <c r="Z187" s="4">
        <f>Games[[#This Row],[K]]*Games[[#This Row],[POMult]]</f>
        <v>73.599999999999994</v>
      </c>
      <c r="AA187" s="4">
        <f>(Games[[#This Row],[Keff]]*Games[[#This Row],[MOVMult]])*(Games[[#This Row],[Result]]-Games[[#This Row],[ExpectedWin%]])</f>
        <v>-18.488887559051893</v>
      </c>
      <c r="AB187" s="4">
        <f>Games[[#This Row],[PreGmRate]]+Games[[#This Row],[RatingChange]]</f>
        <v>1455.7712706911709</v>
      </c>
      <c r="AC187" s="2">
        <f>IF(Games[[#This Row],[Type]]="R",IF(Games[[#This Row],[Result]]&gt;0.5,1,0),0)</f>
        <v>0</v>
      </c>
      <c r="AD187" s="2">
        <f>IF(Games[[#This Row],[Type]]="R",IF(Games[[#This Row],[Result]]&lt;0.5,1,0),0)</f>
        <v>1</v>
      </c>
      <c r="AE187" s="2">
        <f>IF(AND(Games[[#This Row],[Type]]="P",Games[[#This Row],[Round]]=1),IF(Games[[#This Row],[Result]]&gt;0.5,1,0),0)</f>
        <v>0</v>
      </c>
      <c r="AF187" s="2">
        <f>IF(AND(Games[[#This Row],[Type]]="P",Games[[#This Row],[Round]]=1),IF(Games[[#This Row],[Result]]&lt;0.5,1,0),0)</f>
        <v>0</v>
      </c>
      <c r="AG187" s="2">
        <f>IF(AND(Games[[#This Row],[Type]]="P",Games[[#This Row],[Round]]=2),IF(Games[[#This Row],[Result]]&gt;0.5,1,0),0)</f>
        <v>0</v>
      </c>
      <c r="AH187" s="2">
        <f>IF(AND(Games[[#This Row],[Type]]="P",Games[[#This Row],[Round]]=2),IF(Games[[#This Row],[Result]]&lt;0.5,1,0),0)</f>
        <v>0</v>
      </c>
      <c r="AI187" s="2">
        <f>IF(AND(Games[[#This Row],[Type]]="P",Games[[#This Row],[Round]]=3),IF(Games[[#This Row],[Result]]&gt;0.5,1,0),0)</f>
        <v>0</v>
      </c>
      <c r="AJ187" s="2">
        <f>IF(AND(Games[[#This Row],[Type]]="P",Games[[#This Row],[Round]]=3),IF(Games[[#This Row],[Result]]&lt;0.5,1,0),0)</f>
        <v>0</v>
      </c>
      <c r="AK187" s="2">
        <f>IF(AND(Games[[#This Row],[Type]]="P",Games[[#This Row],[Round]]=4),IF(Games[[#This Row],[Result]]&gt;0.5,1,0),0)</f>
        <v>0</v>
      </c>
      <c r="AL187" s="2">
        <f>IF(AND(Games[[#This Row],[Type]]="P",Games[[#This Row],[Round]]=4),IF(Games[[#This Row],[Result]]&lt;0.5,1,0),0)</f>
        <v>0</v>
      </c>
    </row>
    <row r="188" spans="1:38" x14ac:dyDescent="0.35">
      <c r="A188" s="10">
        <v>44377</v>
      </c>
      <c r="B188" s="2">
        <v>2021</v>
      </c>
      <c r="C188" s="2">
        <f>COUNTIFS(Games[Team],Games[[#This Row],[Team]],Games[Season],Games[[#This Row],[Season]],Games[Date],"&lt;=" &amp; Games[[#This Row],[Date]])</f>
        <v>18</v>
      </c>
      <c r="D188" s="2" t="s">
        <v>79</v>
      </c>
      <c r="E188" s="2" t="s">
        <v>80</v>
      </c>
      <c r="F188" s="1" t="s">
        <v>75</v>
      </c>
      <c r="G188" s="1" t="s">
        <v>84</v>
      </c>
      <c r="H188" s="1" t="s">
        <v>81</v>
      </c>
      <c r="I188" s="2" cm="1">
        <f t="array" ref="I188">IFERROR(
    Games[[#This Row],[Date]]
    - LOOKUP(
        2,
        1/((Games[Team]=Games[[#This Row],[Team]]) * (Games[Date] &lt; Games[[#This Row],[Date]])),
        Games[Date]
    )
    - 1,
Games[[#This Row],[Date]]-$A$2)</f>
        <v>2</v>
      </c>
      <c r="J188" s="2" cm="1">
        <f t="array" ref="J1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188" s="2">
        <f>Games[[#This Row],[DaysOff]]-Games[[#This Row],[OppDaysOff]]</f>
        <v>-1</v>
      </c>
      <c r="L188" s="2">
        <f>Games[[#This Row],[OppDaysOff]]-Games[[#This Row],[DaysOff]]</f>
        <v>1</v>
      </c>
      <c r="M188" s="1">
        <f>MAX(-16, MIN(16, Games[[#This Row],[RestDiff]]*8))</f>
        <v>-8</v>
      </c>
      <c r="N188" s="1">
        <f>MAX(-16, MIN(16, Games[[#This Row],[OppRestDiff]]*8))</f>
        <v>8</v>
      </c>
      <c r="O188" s="4" cm="1">
        <f t="array" ref="O1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1541.577053636895</v>
      </c>
      <c r="P188" s="4" cm="1">
        <f t="array" ref="P1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1518.4731950072694</v>
      </c>
      <c r="Q188" s="4">
        <f>1/(1+10^(((Games[[#This Row],[OppPreGmRate]]+IF(Games[[#This Row],[HomeAway]]="A",HCA,0)+Games[[#This Row],[OppRestAdj]])-(Games[[#This Row],[PreGmRate]]+IF(Games[[#This Row],[HomeAway]]="H",HCA,0)+Games[[#This Row],[RestAdj]]))/400))</f>
        <v>0.3911097630497804</v>
      </c>
      <c r="R188" s="1">
        <v>91</v>
      </c>
      <c r="S188" s="1">
        <v>81</v>
      </c>
      <c r="T188" s="1">
        <v>0</v>
      </c>
      <c r="U188" s="1">
        <f>Games[[#This Row],[PointsFor]]-Games[[#This Row],[PointsAgainst]]</f>
        <v>10</v>
      </c>
      <c r="V188" s="1">
        <f>IF(Games[[#This Row],[MOV]]&gt;0,1,IF(Games[[#This Row],[MOV]]=0,0.5,0))</f>
        <v>1</v>
      </c>
      <c r="W188" s="4">
        <f>((ABS(Games[[#This Row],[MOV]])+5)^0.6)/(12+0.01*(ABS(Games[[#This Row],[PreGmRate]]-Games[[#This Row],[OppPreGmRate]])))*IF(Games[[#This Row],[OT]]=1,0.9,1)</f>
        <v>0.41513697762971152</v>
      </c>
      <c r="X188" s="7" cm="1">
        <f t="array" ref="X1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8" s="9">
        <f>MAX(kmin, kmax - 0.15 * MIN(Games[[#This Row],[GamesPlayed]], 82))</f>
        <v>73.3</v>
      </c>
      <c r="Z188" s="4">
        <f>Games[[#This Row],[K]]*Games[[#This Row],[POMult]]</f>
        <v>73.3</v>
      </c>
      <c r="AA188" s="4">
        <f>(Games[[#This Row],[Keff]]*Games[[#This Row],[MOVMult]])*(Games[[#This Row],[Result]]-Games[[#This Row],[ExpectedWin%]])</f>
        <v>18.528250101132699</v>
      </c>
      <c r="AB188" s="4">
        <f>Games[[#This Row],[PreGmRate]]+Games[[#This Row],[RatingChange]]</f>
        <v>1560.1053037380277</v>
      </c>
      <c r="AC188" s="2">
        <f>IF(Games[[#This Row],[Type]]="R",IF(Games[[#This Row],[Result]]&gt;0.5,1,0),0)</f>
        <v>1</v>
      </c>
      <c r="AD188" s="2">
        <f>IF(Games[[#This Row],[Type]]="R",IF(Games[[#This Row],[Result]]&lt;0.5,1,0),0)</f>
        <v>0</v>
      </c>
      <c r="AE188" s="2">
        <f>IF(AND(Games[[#This Row],[Type]]="P",Games[[#This Row],[Round]]=1),IF(Games[[#This Row],[Result]]&gt;0.5,1,0),0)</f>
        <v>0</v>
      </c>
      <c r="AF188" s="2">
        <f>IF(AND(Games[[#This Row],[Type]]="P",Games[[#This Row],[Round]]=1),IF(Games[[#This Row],[Result]]&lt;0.5,1,0),0)</f>
        <v>0</v>
      </c>
      <c r="AG188" s="2">
        <f>IF(AND(Games[[#This Row],[Type]]="P",Games[[#This Row],[Round]]=2),IF(Games[[#This Row],[Result]]&gt;0.5,1,0),0)</f>
        <v>0</v>
      </c>
      <c r="AH188" s="2">
        <f>IF(AND(Games[[#This Row],[Type]]="P",Games[[#This Row],[Round]]=2),IF(Games[[#This Row],[Result]]&lt;0.5,1,0),0)</f>
        <v>0</v>
      </c>
      <c r="AI188" s="2">
        <f>IF(AND(Games[[#This Row],[Type]]="P",Games[[#This Row],[Round]]=3),IF(Games[[#This Row],[Result]]&gt;0.5,1,0),0)</f>
        <v>0</v>
      </c>
      <c r="AJ188" s="2">
        <f>IF(AND(Games[[#This Row],[Type]]="P",Games[[#This Row],[Round]]=3),IF(Games[[#This Row],[Result]]&lt;0.5,1,0),0)</f>
        <v>0</v>
      </c>
      <c r="AK188" s="2">
        <f>IF(AND(Games[[#This Row],[Type]]="P",Games[[#This Row],[Round]]=4),IF(Games[[#This Row],[Result]]&gt;0.5,1,0),0)</f>
        <v>0</v>
      </c>
      <c r="AL188" s="2">
        <f>IF(AND(Games[[#This Row],[Type]]="P",Games[[#This Row],[Round]]=4),IF(Games[[#This Row],[Result]]&lt;0.5,1,0),0)</f>
        <v>0</v>
      </c>
    </row>
    <row r="189" spans="1:38" x14ac:dyDescent="0.35">
      <c r="A189" s="10">
        <v>44377</v>
      </c>
      <c r="B189" s="2">
        <v>2021</v>
      </c>
      <c r="C189" s="2">
        <f>COUNTIFS(Games[Team],Games[[#This Row],[Team]],Games[Season],Games[[#This Row],[Season]],Games[Date],"&lt;=" &amp; Games[[#This Row],[Date]])</f>
        <v>17</v>
      </c>
      <c r="D189" s="2" t="s">
        <v>79</v>
      </c>
      <c r="E189" s="2" t="s">
        <v>80</v>
      </c>
      <c r="F189" s="1" t="s">
        <v>84</v>
      </c>
      <c r="G189" s="1" t="s">
        <v>75</v>
      </c>
      <c r="H189" s="1" t="s">
        <v>82</v>
      </c>
      <c r="I189" s="2" cm="1">
        <f t="array" ref="I1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189" s="2" cm="1">
        <f t="array" ref="J18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89" s="2">
        <f>Games[[#This Row],[DaysOff]]-Games[[#This Row],[OppDaysOff]]</f>
        <v>1</v>
      </c>
      <c r="L189" s="2">
        <f>Games[[#This Row],[OppDaysOff]]-Games[[#This Row],[DaysOff]]</f>
        <v>-1</v>
      </c>
      <c r="M189" s="1">
        <f>MAX(-16, MIN(16, Games[[#This Row],[RestDiff]]*8))</f>
        <v>8</v>
      </c>
      <c r="N189" s="1">
        <f>MAX(-16, MIN(16, Games[[#This Row],[OppRestDiff]]*8))</f>
        <v>-8</v>
      </c>
      <c r="O189" s="4" cm="1">
        <f t="array" ref="O1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1518.4731950072694</v>
      </c>
      <c r="P189" s="4" cm="1">
        <f t="array" ref="P1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1541.577053636895</v>
      </c>
      <c r="Q189" s="4">
        <f>1/(1+10^(((Games[[#This Row],[OppPreGmRate]]+IF(Games[[#This Row],[HomeAway]]="A",HCA,0)+Games[[#This Row],[OppRestAdj]])-(Games[[#This Row],[PreGmRate]]+IF(Games[[#This Row],[HomeAway]]="H",HCA,0)+Games[[#This Row],[RestAdj]]))/400))</f>
        <v>0.60889023695021971</v>
      </c>
      <c r="R189" s="1">
        <v>81</v>
      </c>
      <c r="S189" s="1">
        <v>91</v>
      </c>
      <c r="T189" s="1">
        <v>0</v>
      </c>
      <c r="U189" s="1">
        <f>Games[[#This Row],[PointsFor]]-Games[[#This Row],[PointsAgainst]]</f>
        <v>-10</v>
      </c>
      <c r="V189" s="1">
        <f>IF(Games[[#This Row],[MOV]]&gt;0,1,IF(Games[[#This Row],[MOV]]=0,0.5,0))</f>
        <v>0</v>
      </c>
      <c r="W189" s="4">
        <f>((ABS(Games[[#This Row],[MOV]])+5)^0.6)/(12+0.01*(ABS(Games[[#This Row],[PreGmRate]]-Games[[#This Row],[OppPreGmRate]])))*IF(Games[[#This Row],[OT]]=1,0.9,1)</f>
        <v>0.41513697762971152</v>
      </c>
      <c r="X189" s="7" cm="1">
        <f t="array" ref="X1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89" s="9">
        <f>MAX(kmin, kmax - 0.15 * MIN(Games[[#This Row],[GamesPlayed]], 82))</f>
        <v>73.45</v>
      </c>
      <c r="Z189" s="4">
        <f>Games[[#This Row],[K]]*Games[[#This Row],[POMult]]</f>
        <v>73.45</v>
      </c>
      <c r="AA189" s="4">
        <f>(Games[[#This Row],[Keff]]*Games[[#This Row],[MOVMult]])*(Games[[#This Row],[Result]]-Games[[#This Row],[ExpectedWin%]])</f>
        <v>-18.566166029034068</v>
      </c>
      <c r="AB189" s="4">
        <f>Games[[#This Row],[PreGmRate]]+Games[[#This Row],[RatingChange]]</f>
        <v>1499.9070289782353</v>
      </c>
      <c r="AC189" s="2">
        <f>IF(Games[[#This Row],[Type]]="R",IF(Games[[#This Row],[Result]]&gt;0.5,1,0),0)</f>
        <v>0</v>
      </c>
      <c r="AD189" s="2">
        <f>IF(Games[[#This Row],[Type]]="R",IF(Games[[#This Row],[Result]]&lt;0.5,1,0),0)</f>
        <v>1</v>
      </c>
      <c r="AE189" s="2">
        <f>IF(AND(Games[[#This Row],[Type]]="P",Games[[#This Row],[Round]]=1),IF(Games[[#This Row],[Result]]&gt;0.5,1,0),0)</f>
        <v>0</v>
      </c>
      <c r="AF189" s="2">
        <f>IF(AND(Games[[#This Row],[Type]]="P",Games[[#This Row],[Round]]=1),IF(Games[[#This Row],[Result]]&lt;0.5,1,0),0)</f>
        <v>0</v>
      </c>
      <c r="AG189" s="2">
        <f>IF(AND(Games[[#This Row],[Type]]="P",Games[[#This Row],[Round]]=2),IF(Games[[#This Row],[Result]]&gt;0.5,1,0),0)</f>
        <v>0</v>
      </c>
      <c r="AH189" s="2">
        <f>IF(AND(Games[[#This Row],[Type]]="P",Games[[#This Row],[Round]]=2),IF(Games[[#This Row],[Result]]&lt;0.5,1,0),0)</f>
        <v>0</v>
      </c>
      <c r="AI189" s="2">
        <f>IF(AND(Games[[#This Row],[Type]]="P",Games[[#This Row],[Round]]=3),IF(Games[[#This Row],[Result]]&gt;0.5,1,0),0)</f>
        <v>0</v>
      </c>
      <c r="AJ189" s="2">
        <f>IF(AND(Games[[#This Row],[Type]]="P",Games[[#This Row],[Round]]=3),IF(Games[[#This Row],[Result]]&lt;0.5,1,0),0)</f>
        <v>0</v>
      </c>
      <c r="AK189" s="2">
        <f>IF(AND(Games[[#This Row],[Type]]="P",Games[[#This Row],[Round]]=4),IF(Games[[#This Row],[Result]]&gt;0.5,1,0),0)</f>
        <v>0</v>
      </c>
      <c r="AL189" s="2">
        <f>IF(AND(Games[[#This Row],[Type]]="P",Games[[#This Row],[Round]]=4),IF(Games[[#This Row],[Result]]&lt;0.5,1,0),0)</f>
        <v>0</v>
      </c>
    </row>
    <row r="190" spans="1:38" x14ac:dyDescent="0.35">
      <c r="A190" s="10">
        <v>44377</v>
      </c>
      <c r="B190" s="2">
        <v>2021</v>
      </c>
      <c r="C190" s="2">
        <f>COUNTIFS(Games[Team],Games[[#This Row],[Team]],Games[Season],Games[[#This Row],[Season]],Games[Date],"&lt;=" &amp; Games[[#This Row],[Date]])</f>
        <v>16</v>
      </c>
      <c r="D190" s="2" t="s">
        <v>79</v>
      </c>
      <c r="E190" s="2" t="s">
        <v>80</v>
      </c>
      <c r="F190" s="1" t="s">
        <v>85</v>
      </c>
      <c r="G190" s="1" t="s">
        <v>63</v>
      </c>
      <c r="H190" s="1" t="s">
        <v>81</v>
      </c>
      <c r="I190" s="2" cm="1">
        <f t="array" ref="I190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0" s="2" cm="1">
        <f t="array" ref="J19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0" s="2">
        <f>Games[[#This Row],[DaysOff]]-Games[[#This Row],[OppDaysOff]]</f>
        <v>0</v>
      </c>
      <c r="L190" s="2">
        <f>Games[[#This Row],[OppDaysOff]]-Games[[#This Row],[DaysOff]]</f>
        <v>0</v>
      </c>
      <c r="M190" s="1">
        <f>MAX(-16, MIN(16, Games[[#This Row],[RestDiff]]*8))</f>
        <v>0</v>
      </c>
      <c r="N190" s="1">
        <f>MAX(-16, MIN(16, Games[[#This Row],[OppRestDiff]]*8))</f>
        <v>0</v>
      </c>
      <c r="O190" s="4" cm="1">
        <f t="array" ref="O1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1629.8743070957669</v>
      </c>
      <c r="P190" s="4" cm="1">
        <f t="array" ref="P1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1458.586496257001</v>
      </c>
      <c r="Q190" s="4">
        <f>1/(1+10^(((Games[[#This Row],[OppPreGmRate]]+IF(Games[[#This Row],[HomeAway]]="A",HCA,0)+Games[[#This Row],[OppRestAdj]])-(Games[[#This Row],[PreGmRate]]+IF(Games[[#This Row],[HomeAway]]="H",HCA,0)+Games[[#This Row],[RestAdj]]))/400))</f>
        <v>0.62303938676155868</v>
      </c>
      <c r="R190" s="1">
        <v>99</v>
      </c>
      <c r="S190" s="1">
        <v>75</v>
      </c>
      <c r="T190" s="1">
        <v>0</v>
      </c>
      <c r="U190" s="1">
        <f>Games[[#This Row],[PointsFor]]-Games[[#This Row],[PointsAgainst]]</f>
        <v>24</v>
      </c>
      <c r="V190" s="1">
        <f>IF(Games[[#This Row],[MOV]]&gt;0,1,IF(Games[[#This Row],[MOV]]=0,0.5,0))</f>
        <v>1</v>
      </c>
      <c r="W190" s="4">
        <f>((ABS(Games[[#This Row],[MOV]])+5)^0.6)/(12+0.01*(ABS(Games[[#This Row],[PreGmRate]]-Games[[#This Row],[OppPreGmRate]])))*IF(Games[[#This Row],[OT]]=1,0.9,1)</f>
        <v>0.54993350876246661</v>
      </c>
      <c r="X190" s="7" cm="1">
        <f t="array" ref="X1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0" s="9">
        <f>MAX(kmin, kmax - 0.15 * MIN(Games[[#This Row],[GamesPlayed]], 82))</f>
        <v>73.599999999999994</v>
      </c>
      <c r="Z190" s="4">
        <f>Games[[#This Row],[K]]*Games[[#This Row],[POMult]]</f>
        <v>73.599999999999994</v>
      </c>
      <c r="AA190" s="4">
        <f>(Games[[#This Row],[Keff]]*Games[[#This Row],[MOVMult]])*(Games[[#This Row],[Result]]-Games[[#This Row],[ExpectedWin%]])</f>
        <v>15.257520870975181</v>
      </c>
      <c r="AB190" s="4">
        <f>Games[[#This Row],[PreGmRate]]+Games[[#This Row],[RatingChange]]</f>
        <v>1645.1318279667421</v>
      </c>
      <c r="AC190" s="2">
        <f>IF(Games[[#This Row],[Type]]="R",IF(Games[[#This Row],[Result]]&gt;0.5,1,0),0)</f>
        <v>1</v>
      </c>
      <c r="AD190" s="2">
        <f>IF(Games[[#This Row],[Type]]="R",IF(Games[[#This Row],[Result]]&lt;0.5,1,0),0)</f>
        <v>0</v>
      </c>
      <c r="AE190" s="2">
        <f>IF(AND(Games[[#This Row],[Type]]="P",Games[[#This Row],[Round]]=1),IF(Games[[#This Row],[Result]]&gt;0.5,1,0),0)</f>
        <v>0</v>
      </c>
      <c r="AF190" s="2">
        <f>IF(AND(Games[[#This Row],[Type]]="P",Games[[#This Row],[Round]]=1),IF(Games[[#This Row],[Result]]&lt;0.5,1,0),0)</f>
        <v>0</v>
      </c>
      <c r="AG190" s="2">
        <f>IF(AND(Games[[#This Row],[Type]]="P",Games[[#This Row],[Round]]=2),IF(Games[[#This Row],[Result]]&gt;0.5,1,0),0)</f>
        <v>0</v>
      </c>
      <c r="AH190" s="2">
        <f>IF(AND(Games[[#This Row],[Type]]="P",Games[[#This Row],[Round]]=2),IF(Games[[#This Row],[Result]]&lt;0.5,1,0),0)</f>
        <v>0</v>
      </c>
      <c r="AI190" s="2">
        <f>IF(AND(Games[[#This Row],[Type]]="P",Games[[#This Row],[Round]]=3),IF(Games[[#This Row],[Result]]&gt;0.5,1,0),0)</f>
        <v>0</v>
      </c>
      <c r="AJ190" s="2">
        <f>IF(AND(Games[[#This Row],[Type]]="P",Games[[#This Row],[Round]]=3),IF(Games[[#This Row],[Result]]&lt;0.5,1,0),0)</f>
        <v>0</v>
      </c>
      <c r="AK190" s="2">
        <f>IF(AND(Games[[#This Row],[Type]]="P",Games[[#This Row],[Round]]=4),IF(Games[[#This Row],[Result]]&gt;0.5,1,0),0)</f>
        <v>0</v>
      </c>
      <c r="AL190" s="2">
        <f>IF(AND(Games[[#This Row],[Type]]="P",Games[[#This Row],[Round]]=4),IF(Games[[#This Row],[Result]]&lt;0.5,1,0),0)</f>
        <v>0</v>
      </c>
    </row>
    <row r="191" spans="1:38" x14ac:dyDescent="0.35">
      <c r="A191" s="10">
        <v>44377</v>
      </c>
      <c r="B191" s="2">
        <v>2021</v>
      </c>
      <c r="C191" s="2">
        <f>COUNTIFS(Games[Team],Games[[#This Row],[Team]],Games[Season],Games[[#This Row],[Season]],Games[Date],"&lt;=" &amp; Games[[#This Row],[Date]])</f>
        <v>15</v>
      </c>
      <c r="D191" s="2" t="s">
        <v>79</v>
      </c>
      <c r="E191" s="2" t="s">
        <v>80</v>
      </c>
      <c r="F191" s="1" t="s">
        <v>63</v>
      </c>
      <c r="G191" s="1" t="s">
        <v>85</v>
      </c>
      <c r="H191" s="1" t="s">
        <v>82</v>
      </c>
      <c r="I191" s="2" cm="1">
        <f t="array" ref="I191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1" s="2" cm="1">
        <f t="array" ref="J19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1" s="2">
        <f>Games[[#This Row],[DaysOff]]-Games[[#This Row],[OppDaysOff]]</f>
        <v>0</v>
      </c>
      <c r="L191" s="2">
        <f>Games[[#This Row],[OppDaysOff]]-Games[[#This Row],[DaysOff]]</f>
        <v>0</v>
      </c>
      <c r="M191" s="1">
        <f>MAX(-16, MIN(16, Games[[#This Row],[RestDiff]]*8))</f>
        <v>0</v>
      </c>
      <c r="N191" s="1">
        <f>MAX(-16, MIN(16, Games[[#This Row],[OppRestDiff]]*8))</f>
        <v>0</v>
      </c>
      <c r="O191" s="4" cm="1">
        <f t="array" ref="O1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1458.586496257001</v>
      </c>
      <c r="P191" s="4" cm="1">
        <f t="array" ref="P1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1629.8743070957669</v>
      </c>
      <c r="Q191" s="4">
        <f>1/(1+10^(((Games[[#This Row],[OppPreGmRate]]+IF(Games[[#This Row],[HomeAway]]="A",HCA,0)+Games[[#This Row],[OppRestAdj]])-(Games[[#This Row],[PreGmRate]]+IF(Games[[#This Row],[HomeAway]]="H",HCA,0)+Games[[#This Row],[RestAdj]]))/400))</f>
        <v>0.37696061323844121</v>
      </c>
      <c r="R191" s="1">
        <v>75</v>
      </c>
      <c r="S191" s="1">
        <v>99</v>
      </c>
      <c r="T191" s="1">
        <v>0</v>
      </c>
      <c r="U191" s="1">
        <f>Games[[#This Row],[PointsFor]]-Games[[#This Row],[PointsAgainst]]</f>
        <v>-24</v>
      </c>
      <c r="V191" s="1">
        <f>IF(Games[[#This Row],[MOV]]&gt;0,1,IF(Games[[#This Row],[MOV]]=0,0.5,0))</f>
        <v>0</v>
      </c>
      <c r="W191" s="4">
        <f>((ABS(Games[[#This Row],[MOV]])+5)^0.6)/(12+0.01*(ABS(Games[[#This Row],[PreGmRate]]-Games[[#This Row],[OppPreGmRate]])))*IF(Games[[#This Row],[OT]]=1,0.9,1)</f>
        <v>0.54993350876246661</v>
      </c>
      <c r="X191" s="7" cm="1">
        <f t="array" ref="X1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1" s="9">
        <f>MAX(kmin, kmax - 0.15 * MIN(Games[[#This Row],[GamesPlayed]], 82))</f>
        <v>73.75</v>
      </c>
      <c r="Z191" s="4">
        <f>Games[[#This Row],[K]]*Games[[#This Row],[POMult]]</f>
        <v>73.75</v>
      </c>
      <c r="AA191" s="4">
        <f>(Games[[#This Row],[Keff]]*Games[[#This Row],[MOVMult]])*(Games[[#This Row],[Result]]-Games[[#This Row],[ExpectedWin%]])</f>
        <v>-15.288616361880699</v>
      </c>
      <c r="AB191" s="4">
        <f>Games[[#This Row],[PreGmRate]]+Games[[#This Row],[RatingChange]]</f>
        <v>1443.2978798951203</v>
      </c>
      <c r="AC191" s="2">
        <f>IF(Games[[#This Row],[Type]]="R",IF(Games[[#This Row],[Result]]&gt;0.5,1,0),0)</f>
        <v>0</v>
      </c>
      <c r="AD191" s="2">
        <f>IF(Games[[#This Row],[Type]]="R",IF(Games[[#This Row],[Result]]&lt;0.5,1,0),0)</f>
        <v>1</v>
      </c>
      <c r="AE191" s="2">
        <f>IF(AND(Games[[#This Row],[Type]]="P",Games[[#This Row],[Round]]=1),IF(Games[[#This Row],[Result]]&gt;0.5,1,0),0)</f>
        <v>0</v>
      </c>
      <c r="AF191" s="2">
        <f>IF(AND(Games[[#This Row],[Type]]="P",Games[[#This Row],[Round]]=1),IF(Games[[#This Row],[Result]]&lt;0.5,1,0),0)</f>
        <v>0</v>
      </c>
      <c r="AG191" s="2">
        <f>IF(AND(Games[[#This Row],[Type]]="P",Games[[#This Row],[Round]]=2),IF(Games[[#This Row],[Result]]&gt;0.5,1,0),0)</f>
        <v>0</v>
      </c>
      <c r="AH191" s="2">
        <f>IF(AND(Games[[#This Row],[Type]]="P",Games[[#This Row],[Round]]=2),IF(Games[[#This Row],[Result]]&lt;0.5,1,0),0)</f>
        <v>0</v>
      </c>
      <c r="AI191" s="2">
        <f>IF(AND(Games[[#This Row],[Type]]="P",Games[[#This Row],[Round]]=3),IF(Games[[#This Row],[Result]]&gt;0.5,1,0),0)</f>
        <v>0</v>
      </c>
      <c r="AJ191" s="2">
        <f>IF(AND(Games[[#This Row],[Type]]="P",Games[[#This Row],[Round]]=3),IF(Games[[#This Row],[Result]]&lt;0.5,1,0),0)</f>
        <v>0</v>
      </c>
      <c r="AK191" s="2">
        <f>IF(AND(Games[[#This Row],[Type]]="P",Games[[#This Row],[Round]]=4),IF(Games[[#This Row],[Result]]&gt;0.5,1,0),0)</f>
        <v>0</v>
      </c>
      <c r="AL191" s="2">
        <f>IF(AND(Games[[#This Row],[Type]]="P",Games[[#This Row],[Round]]=4),IF(Games[[#This Row],[Result]]&lt;0.5,1,0),0)</f>
        <v>0</v>
      </c>
    </row>
    <row r="192" spans="1:38" x14ac:dyDescent="0.35">
      <c r="A192" s="10">
        <v>44377</v>
      </c>
      <c r="B192" s="2">
        <v>2021</v>
      </c>
      <c r="C192" s="2">
        <f>COUNTIFS(Games[Team],Games[[#This Row],[Team]],Games[Season],Games[[#This Row],[Season]],Games[Date],"&lt;=" &amp; Games[[#This Row],[Date]])</f>
        <v>15</v>
      </c>
      <c r="D192" s="2" t="s">
        <v>79</v>
      </c>
      <c r="E192" s="2" t="s">
        <v>80</v>
      </c>
      <c r="F192" s="1" t="s">
        <v>67</v>
      </c>
      <c r="G192" s="1" t="s">
        <v>40</v>
      </c>
      <c r="H192" s="1" t="s">
        <v>81</v>
      </c>
      <c r="I192" s="2" cm="1">
        <f t="array" ref="I192">IFERROR(
    Games[[#This Row],[Date]]
    - LOOKUP(
        2,
        1/((Games[Team]=Games[[#This Row],[Team]]) * (Games[Date] &lt; Games[[#This Row],[Date]])),
        Games[Date]
    )
    - 1,
Games[[#This Row],[Date]]-$A$2)</f>
        <v>4</v>
      </c>
      <c r="J192" s="2" cm="1">
        <f t="array" ref="J1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192" s="2">
        <f>Games[[#This Row],[DaysOff]]-Games[[#This Row],[OppDaysOff]]</f>
        <v>2</v>
      </c>
      <c r="L192" s="2">
        <f>Games[[#This Row],[OppDaysOff]]-Games[[#This Row],[DaysOff]]</f>
        <v>-2</v>
      </c>
      <c r="M192" s="1">
        <f>MAX(-16, MIN(16, Games[[#This Row],[RestDiff]]*8))</f>
        <v>16</v>
      </c>
      <c r="N192" s="1">
        <f>MAX(-16, MIN(16, Games[[#This Row],[OppRestDiff]]*8))</f>
        <v>-16</v>
      </c>
      <c r="O192" s="4" cm="1">
        <f t="array" ref="O1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1508.1576203501313</v>
      </c>
      <c r="P192" s="4" cm="1">
        <f t="array" ref="P1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1498.1800292595444</v>
      </c>
      <c r="Q192" s="4">
        <f>1/(1+10^(((Games[[#This Row],[OppPreGmRate]]+IF(Games[[#This Row],[HomeAway]]="A",HCA,0)+Games[[#This Row],[OppRestAdj]])-(Games[[#This Row],[PreGmRate]]+IF(Games[[#This Row],[HomeAway]]="H",HCA,0)+Games[[#This Row],[RestAdj]]))/400))</f>
        <v>0.43981807271463624</v>
      </c>
      <c r="R192" s="1">
        <v>82</v>
      </c>
      <c r="S192" s="1">
        <v>76</v>
      </c>
      <c r="T192" s="1">
        <v>0</v>
      </c>
      <c r="U192" s="1">
        <f>Games[[#This Row],[PointsFor]]-Games[[#This Row],[PointsAgainst]]</f>
        <v>6</v>
      </c>
      <c r="V192" s="1">
        <f>IF(Games[[#This Row],[MOV]]&gt;0,1,IF(Games[[#This Row],[MOV]]=0,0.5,0))</f>
        <v>1</v>
      </c>
      <c r="W192" s="4">
        <f>((ABS(Games[[#This Row],[MOV]])+5)^0.6)/(12+0.01*(ABS(Games[[#This Row],[PreGmRate]]-Games[[#This Row],[OppPreGmRate]])))*IF(Games[[#This Row],[OT]]=1,0.9,1)</f>
        <v>0.34838406629435748</v>
      </c>
      <c r="X192" s="7" cm="1">
        <f t="array" ref="X1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2" s="9">
        <f>MAX(kmin, kmax - 0.15 * MIN(Games[[#This Row],[GamesPlayed]], 82))</f>
        <v>73.75</v>
      </c>
      <c r="Z192" s="4">
        <f>Games[[#This Row],[K]]*Games[[#This Row],[POMult]]</f>
        <v>73.75</v>
      </c>
      <c r="AA192" s="4">
        <f>(Games[[#This Row],[Keff]]*Games[[#This Row],[MOVMult]])*(Games[[#This Row],[Result]]-Games[[#This Row],[ExpectedWin%]])</f>
        <v>14.392936254806026</v>
      </c>
      <c r="AB192" s="4">
        <f>Games[[#This Row],[PreGmRate]]+Games[[#This Row],[RatingChange]]</f>
        <v>1522.5505566049374</v>
      </c>
      <c r="AC192" s="2">
        <f>IF(Games[[#This Row],[Type]]="R",IF(Games[[#This Row],[Result]]&gt;0.5,1,0),0)</f>
        <v>1</v>
      </c>
      <c r="AD192" s="2">
        <f>IF(Games[[#This Row],[Type]]="R",IF(Games[[#This Row],[Result]]&lt;0.5,1,0),0)</f>
        <v>0</v>
      </c>
      <c r="AE192" s="2">
        <f>IF(AND(Games[[#This Row],[Type]]="P",Games[[#This Row],[Round]]=1),IF(Games[[#This Row],[Result]]&gt;0.5,1,0),0)</f>
        <v>0</v>
      </c>
      <c r="AF192" s="2">
        <f>IF(AND(Games[[#This Row],[Type]]="P",Games[[#This Row],[Round]]=1),IF(Games[[#This Row],[Result]]&lt;0.5,1,0),0)</f>
        <v>0</v>
      </c>
      <c r="AG192" s="2">
        <f>IF(AND(Games[[#This Row],[Type]]="P",Games[[#This Row],[Round]]=2),IF(Games[[#This Row],[Result]]&gt;0.5,1,0),0)</f>
        <v>0</v>
      </c>
      <c r="AH192" s="2">
        <f>IF(AND(Games[[#This Row],[Type]]="P",Games[[#This Row],[Round]]=2),IF(Games[[#This Row],[Result]]&lt;0.5,1,0),0)</f>
        <v>0</v>
      </c>
      <c r="AI192" s="2">
        <f>IF(AND(Games[[#This Row],[Type]]="P",Games[[#This Row],[Round]]=3),IF(Games[[#This Row],[Result]]&gt;0.5,1,0),0)</f>
        <v>0</v>
      </c>
      <c r="AJ192" s="2">
        <f>IF(AND(Games[[#This Row],[Type]]="P",Games[[#This Row],[Round]]=3),IF(Games[[#This Row],[Result]]&lt;0.5,1,0),0)</f>
        <v>0</v>
      </c>
      <c r="AK192" s="2">
        <f>IF(AND(Games[[#This Row],[Type]]="P",Games[[#This Row],[Round]]=4),IF(Games[[#This Row],[Result]]&gt;0.5,1,0),0)</f>
        <v>0</v>
      </c>
      <c r="AL192" s="2">
        <f>IF(AND(Games[[#This Row],[Type]]="P",Games[[#This Row],[Round]]=4),IF(Games[[#This Row],[Result]]&lt;0.5,1,0),0)</f>
        <v>0</v>
      </c>
    </row>
    <row r="193" spans="1:38" x14ac:dyDescent="0.35">
      <c r="A193" s="10">
        <v>44377</v>
      </c>
      <c r="B193" s="2">
        <v>2021</v>
      </c>
      <c r="C193" s="2">
        <f>COUNTIFS(Games[Team],Games[[#This Row],[Team]],Games[Season],Games[[#This Row],[Season]],Games[Date],"&lt;=" &amp; Games[[#This Row],[Date]])</f>
        <v>15</v>
      </c>
      <c r="D193" s="2" t="s">
        <v>79</v>
      </c>
      <c r="E193" s="2" t="s">
        <v>80</v>
      </c>
      <c r="F193" s="1" t="s">
        <v>40</v>
      </c>
      <c r="G193" s="1" t="s">
        <v>67</v>
      </c>
      <c r="H193" s="1" t="s">
        <v>82</v>
      </c>
      <c r="I193" s="2" cm="1">
        <f t="array" ref="I1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193" s="2" cm="1">
        <f t="array" ref="J19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193" s="2">
        <f>Games[[#This Row],[DaysOff]]-Games[[#This Row],[OppDaysOff]]</f>
        <v>-2</v>
      </c>
      <c r="L193" s="2">
        <f>Games[[#This Row],[OppDaysOff]]-Games[[#This Row],[DaysOff]]</f>
        <v>2</v>
      </c>
      <c r="M193" s="1">
        <f>MAX(-16, MIN(16, Games[[#This Row],[RestDiff]]*8))</f>
        <v>-16</v>
      </c>
      <c r="N193" s="1">
        <f>MAX(-16, MIN(16, Games[[#This Row],[OppRestDiff]]*8))</f>
        <v>16</v>
      </c>
      <c r="O193" s="4" cm="1">
        <f t="array" ref="O1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1498.1800292595444</v>
      </c>
      <c r="P193" s="4" cm="1">
        <f t="array" ref="P1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1508.1576203501313</v>
      </c>
      <c r="Q193" s="4">
        <f>1/(1+10^(((Games[[#This Row],[OppPreGmRate]]+IF(Games[[#This Row],[HomeAway]]="A",HCA,0)+Games[[#This Row],[OppRestAdj]])-(Games[[#This Row],[PreGmRate]]+IF(Games[[#This Row],[HomeAway]]="H",HCA,0)+Games[[#This Row],[RestAdj]]))/400))</f>
        <v>0.56018192728536376</v>
      </c>
      <c r="R193" s="1">
        <v>76</v>
      </c>
      <c r="S193" s="1">
        <v>82</v>
      </c>
      <c r="T193" s="1">
        <v>0</v>
      </c>
      <c r="U193" s="1">
        <f>Games[[#This Row],[PointsFor]]-Games[[#This Row],[PointsAgainst]]</f>
        <v>-6</v>
      </c>
      <c r="V193" s="1">
        <f>IF(Games[[#This Row],[MOV]]&gt;0,1,IF(Games[[#This Row],[MOV]]=0,0.5,0))</f>
        <v>0</v>
      </c>
      <c r="W193" s="4">
        <f>((ABS(Games[[#This Row],[MOV]])+5)^0.6)/(12+0.01*(ABS(Games[[#This Row],[PreGmRate]]-Games[[#This Row],[OppPreGmRate]])))*IF(Games[[#This Row],[OT]]=1,0.9,1)</f>
        <v>0.34838406629435748</v>
      </c>
      <c r="X193" s="7" cm="1">
        <f t="array" ref="X1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3" s="9">
        <f>MAX(kmin, kmax - 0.15 * MIN(Games[[#This Row],[GamesPlayed]], 82))</f>
        <v>73.75</v>
      </c>
      <c r="Z193" s="4">
        <f>Games[[#This Row],[K]]*Games[[#This Row],[POMult]]</f>
        <v>73.75</v>
      </c>
      <c r="AA193" s="4">
        <f>(Games[[#This Row],[Keff]]*Games[[#This Row],[MOVMult]])*(Games[[#This Row],[Result]]-Games[[#This Row],[ExpectedWin%]])</f>
        <v>-14.392936254806026</v>
      </c>
      <c r="AB193" s="4">
        <f>Games[[#This Row],[PreGmRate]]+Games[[#This Row],[RatingChange]]</f>
        <v>1483.7870930047384</v>
      </c>
      <c r="AC193" s="2">
        <f>IF(Games[[#This Row],[Type]]="R",IF(Games[[#This Row],[Result]]&gt;0.5,1,0),0)</f>
        <v>0</v>
      </c>
      <c r="AD193" s="2">
        <f>IF(Games[[#This Row],[Type]]="R",IF(Games[[#This Row],[Result]]&lt;0.5,1,0),0)</f>
        <v>1</v>
      </c>
      <c r="AE193" s="2">
        <f>IF(AND(Games[[#This Row],[Type]]="P",Games[[#This Row],[Round]]=1),IF(Games[[#This Row],[Result]]&gt;0.5,1,0),0)</f>
        <v>0</v>
      </c>
      <c r="AF193" s="2">
        <f>IF(AND(Games[[#This Row],[Type]]="P",Games[[#This Row],[Round]]=1),IF(Games[[#This Row],[Result]]&lt;0.5,1,0),0)</f>
        <v>0</v>
      </c>
      <c r="AG193" s="2">
        <f>IF(AND(Games[[#This Row],[Type]]="P",Games[[#This Row],[Round]]=2),IF(Games[[#This Row],[Result]]&gt;0.5,1,0),0)</f>
        <v>0</v>
      </c>
      <c r="AH193" s="2">
        <f>IF(AND(Games[[#This Row],[Type]]="P",Games[[#This Row],[Round]]=2),IF(Games[[#This Row],[Result]]&lt;0.5,1,0),0)</f>
        <v>0</v>
      </c>
      <c r="AI193" s="2">
        <f>IF(AND(Games[[#This Row],[Type]]="P",Games[[#This Row],[Round]]=3),IF(Games[[#This Row],[Result]]&gt;0.5,1,0),0)</f>
        <v>0</v>
      </c>
      <c r="AJ193" s="2">
        <f>IF(AND(Games[[#This Row],[Type]]="P",Games[[#This Row],[Round]]=3),IF(Games[[#This Row],[Result]]&lt;0.5,1,0),0)</f>
        <v>0</v>
      </c>
      <c r="AK193" s="2">
        <f>IF(AND(Games[[#This Row],[Type]]="P",Games[[#This Row],[Round]]=4),IF(Games[[#This Row],[Result]]&gt;0.5,1,0),0)</f>
        <v>0</v>
      </c>
      <c r="AL193" s="2">
        <f>IF(AND(Games[[#This Row],[Type]]="P",Games[[#This Row],[Round]]=4),IF(Games[[#This Row],[Result]]&lt;0.5,1,0),0)</f>
        <v>0</v>
      </c>
    </row>
    <row r="194" spans="1:38" x14ac:dyDescent="0.35">
      <c r="A194" s="10">
        <v>44378</v>
      </c>
      <c r="B194" s="2">
        <v>2021</v>
      </c>
      <c r="C194" s="2">
        <f>COUNTIFS(Games[Team],Games[[#This Row],[Team]],Games[Season],Games[[#This Row],[Season]],Games[Date],"&lt;=" &amp; Games[[#This Row],[Date]])</f>
        <v>17</v>
      </c>
      <c r="D194" s="2" t="s">
        <v>79</v>
      </c>
      <c r="E194" s="2" t="s">
        <v>80</v>
      </c>
      <c r="F194" s="1" t="s">
        <v>74</v>
      </c>
      <c r="G194" s="1" t="s">
        <v>69</v>
      </c>
      <c r="H194" s="1" t="s">
        <v>81</v>
      </c>
      <c r="I194" s="2" cm="1">
        <f t="array" ref="I1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4" s="2" cm="1">
        <f t="array" ref="J19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194" s="2">
        <f>Games[[#This Row],[DaysOff]]-Games[[#This Row],[OppDaysOff]]</f>
        <v>-5</v>
      </c>
      <c r="L194" s="2">
        <f>Games[[#This Row],[OppDaysOff]]-Games[[#This Row],[DaysOff]]</f>
        <v>5</v>
      </c>
      <c r="M194" s="1">
        <f>MAX(-16, MIN(16, Games[[#This Row],[RestDiff]]*8))</f>
        <v>-16</v>
      </c>
      <c r="N194" s="1">
        <f>MAX(-16, MIN(16, Games[[#This Row],[OppRestDiff]]*8))</f>
        <v>16</v>
      </c>
      <c r="O194" s="4" cm="1">
        <f t="array" ref="O1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1600.9606444723652</v>
      </c>
      <c r="P194" s="4" cm="1">
        <f t="array" ref="P1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1299.4866938404798</v>
      </c>
      <c r="Q194" s="4">
        <f>1/(1+10^(((Games[[#This Row],[OppPreGmRate]]+IF(Games[[#This Row],[HomeAway]]="A",HCA,0)+Games[[#This Row],[OppRestAdj]])-(Games[[#This Row],[PreGmRate]]+IF(Games[[#This Row],[HomeAway]]="H",HCA,0)+Games[[#This Row],[RestAdj]]))/400))</f>
        <v>0.74415430137899374</v>
      </c>
      <c r="R194" s="1">
        <v>86</v>
      </c>
      <c r="S194" s="1">
        <v>80</v>
      </c>
      <c r="T194" s="1">
        <v>0</v>
      </c>
      <c r="U194" s="1">
        <f>Games[[#This Row],[PointsFor]]-Games[[#This Row],[PointsAgainst]]</f>
        <v>6</v>
      </c>
      <c r="V194" s="1">
        <f>IF(Games[[#This Row],[MOV]]&gt;0,1,IF(Games[[#This Row],[MOV]]=0,0.5,0))</f>
        <v>1</v>
      </c>
      <c r="W194" s="4">
        <f>((ABS(Games[[#This Row],[MOV]])+5)^0.6)/(12+0.01*(ABS(Games[[#This Row],[PreGmRate]]-Games[[#This Row],[OppPreGmRate]])))*IF(Games[[#This Row],[OT]]=1,0.9,1)</f>
        <v>0.28074873568854725</v>
      </c>
      <c r="X194" s="7" cm="1">
        <f t="array" ref="X1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4" s="9">
        <f>MAX(kmin, kmax - 0.15 * MIN(Games[[#This Row],[GamesPlayed]], 82))</f>
        <v>73.45</v>
      </c>
      <c r="Z194" s="4">
        <f>Games[[#This Row],[K]]*Games[[#This Row],[POMult]]</f>
        <v>73.45</v>
      </c>
      <c r="AA194" s="4">
        <f>(Games[[#This Row],[Keff]]*Games[[#This Row],[MOVMult]])*(Games[[#This Row],[Result]]-Games[[#This Row],[ExpectedWin%]])</f>
        <v>5.2757927789902848</v>
      </c>
      <c r="AB194" s="4">
        <f>Games[[#This Row],[PreGmRate]]+Games[[#This Row],[RatingChange]]</f>
        <v>1606.2364372513555</v>
      </c>
      <c r="AC194" s="2">
        <f>IF(Games[[#This Row],[Type]]="R",IF(Games[[#This Row],[Result]]&gt;0.5,1,0),0)</f>
        <v>1</v>
      </c>
      <c r="AD194" s="2">
        <f>IF(Games[[#This Row],[Type]]="R",IF(Games[[#This Row],[Result]]&lt;0.5,1,0),0)</f>
        <v>0</v>
      </c>
      <c r="AE194" s="2">
        <f>IF(AND(Games[[#This Row],[Type]]="P",Games[[#This Row],[Round]]=1),IF(Games[[#This Row],[Result]]&gt;0.5,1,0),0)</f>
        <v>0</v>
      </c>
      <c r="AF194" s="2">
        <f>IF(AND(Games[[#This Row],[Type]]="P",Games[[#This Row],[Round]]=1),IF(Games[[#This Row],[Result]]&lt;0.5,1,0),0)</f>
        <v>0</v>
      </c>
      <c r="AG194" s="2">
        <f>IF(AND(Games[[#This Row],[Type]]="P",Games[[#This Row],[Round]]=2),IF(Games[[#This Row],[Result]]&gt;0.5,1,0),0)</f>
        <v>0</v>
      </c>
      <c r="AH194" s="2">
        <f>IF(AND(Games[[#This Row],[Type]]="P",Games[[#This Row],[Round]]=2),IF(Games[[#This Row],[Result]]&lt;0.5,1,0),0)</f>
        <v>0</v>
      </c>
      <c r="AI194" s="2">
        <f>IF(AND(Games[[#This Row],[Type]]="P",Games[[#This Row],[Round]]=3),IF(Games[[#This Row],[Result]]&gt;0.5,1,0),0)</f>
        <v>0</v>
      </c>
      <c r="AJ194" s="2">
        <f>IF(AND(Games[[#This Row],[Type]]="P",Games[[#This Row],[Round]]=3),IF(Games[[#This Row],[Result]]&lt;0.5,1,0),0)</f>
        <v>0</v>
      </c>
      <c r="AK194" s="2">
        <f>IF(AND(Games[[#This Row],[Type]]="P",Games[[#This Row],[Round]]=4),IF(Games[[#This Row],[Result]]&gt;0.5,1,0),0)</f>
        <v>0</v>
      </c>
      <c r="AL194" s="2">
        <f>IF(AND(Games[[#This Row],[Type]]="P",Games[[#This Row],[Round]]=4),IF(Games[[#This Row],[Result]]&lt;0.5,1,0),0)</f>
        <v>0</v>
      </c>
    </row>
    <row r="195" spans="1:38" x14ac:dyDescent="0.35">
      <c r="A195" s="10">
        <v>44378</v>
      </c>
      <c r="B195" s="2">
        <v>2021</v>
      </c>
      <c r="C195" s="2">
        <f>COUNTIFS(Games[Team],Games[[#This Row],[Team]],Games[Season],Games[[#This Row],[Season]],Games[Date],"&lt;=" &amp; Games[[#This Row],[Date]])</f>
        <v>17</v>
      </c>
      <c r="D195" s="2" t="s">
        <v>79</v>
      </c>
      <c r="E195" s="2" t="s">
        <v>80</v>
      </c>
      <c r="F195" s="1" t="s">
        <v>69</v>
      </c>
      <c r="G195" s="1" t="s">
        <v>74</v>
      </c>
      <c r="H195" s="1" t="s">
        <v>82</v>
      </c>
      <c r="I195" s="2" cm="1">
        <f t="array" ref="I195">IFERROR(
    Games[[#This Row],[Date]]
    - LOOKUP(
        2,
        1/((Games[Team]=Games[[#This Row],[Team]]) * (Games[Date] &lt; Games[[#This Row],[Date]])),
        Games[Date]
    )
    - 1,
Games[[#This Row],[Date]]-$A$2)</f>
        <v>6</v>
      </c>
      <c r="J195" s="2" cm="1">
        <f t="array" ref="J1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5" s="2">
        <f>Games[[#This Row],[DaysOff]]-Games[[#This Row],[OppDaysOff]]</f>
        <v>5</v>
      </c>
      <c r="L195" s="2">
        <f>Games[[#This Row],[OppDaysOff]]-Games[[#This Row],[DaysOff]]</f>
        <v>-5</v>
      </c>
      <c r="M195" s="1">
        <f>MAX(-16, MIN(16, Games[[#This Row],[RestDiff]]*8))</f>
        <v>16</v>
      </c>
      <c r="N195" s="1">
        <f>MAX(-16, MIN(16, Games[[#This Row],[OppRestDiff]]*8))</f>
        <v>-16</v>
      </c>
      <c r="O195" s="4" cm="1">
        <f t="array" ref="O1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1299.4866938404798</v>
      </c>
      <c r="P195" s="4" cm="1">
        <f t="array" ref="P1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1600.9606444723652</v>
      </c>
      <c r="Q195" s="4">
        <f>1/(1+10^(((Games[[#This Row],[OppPreGmRate]]+IF(Games[[#This Row],[HomeAway]]="A",HCA,0)+Games[[#This Row],[OppRestAdj]])-(Games[[#This Row],[PreGmRate]]+IF(Games[[#This Row],[HomeAway]]="H",HCA,0)+Games[[#This Row],[RestAdj]]))/400))</f>
        <v>0.2558456986210062</v>
      </c>
      <c r="R195" s="1">
        <v>80</v>
      </c>
      <c r="S195" s="1">
        <v>86</v>
      </c>
      <c r="T195" s="1">
        <v>0</v>
      </c>
      <c r="U195" s="1">
        <f>Games[[#This Row],[PointsFor]]-Games[[#This Row],[PointsAgainst]]</f>
        <v>-6</v>
      </c>
      <c r="V195" s="1">
        <f>IF(Games[[#This Row],[MOV]]&gt;0,1,IF(Games[[#This Row],[MOV]]=0,0.5,0))</f>
        <v>0</v>
      </c>
      <c r="W195" s="4">
        <f>((ABS(Games[[#This Row],[MOV]])+5)^0.6)/(12+0.01*(ABS(Games[[#This Row],[PreGmRate]]-Games[[#This Row],[OppPreGmRate]])))*IF(Games[[#This Row],[OT]]=1,0.9,1)</f>
        <v>0.28074873568854725</v>
      </c>
      <c r="X195" s="7" cm="1">
        <f t="array" ref="X1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5" s="9">
        <f>MAX(kmin, kmax - 0.15 * MIN(Games[[#This Row],[GamesPlayed]], 82))</f>
        <v>73.45</v>
      </c>
      <c r="Z195" s="4">
        <f>Games[[#This Row],[K]]*Games[[#This Row],[POMult]]</f>
        <v>73.45</v>
      </c>
      <c r="AA195" s="4">
        <f>(Games[[#This Row],[Keff]]*Games[[#This Row],[MOVMult]])*(Games[[#This Row],[Result]]-Games[[#This Row],[ExpectedWin%]])</f>
        <v>-5.2757927789902839</v>
      </c>
      <c r="AB195" s="4">
        <f>Games[[#This Row],[PreGmRate]]+Games[[#This Row],[RatingChange]]</f>
        <v>1294.2109010614895</v>
      </c>
      <c r="AC195" s="2">
        <f>IF(Games[[#This Row],[Type]]="R",IF(Games[[#This Row],[Result]]&gt;0.5,1,0),0)</f>
        <v>0</v>
      </c>
      <c r="AD195" s="2">
        <f>IF(Games[[#This Row],[Type]]="R",IF(Games[[#This Row],[Result]]&lt;0.5,1,0),0)</f>
        <v>1</v>
      </c>
      <c r="AE195" s="2">
        <f>IF(AND(Games[[#This Row],[Type]]="P",Games[[#This Row],[Round]]=1),IF(Games[[#This Row],[Result]]&gt;0.5,1,0),0)</f>
        <v>0</v>
      </c>
      <c r="AF195" s="2">
        <f>IF(AND(Games[[#This Row],[Type]]="P",Games[[#This Row],[Round]]=1),IF(Games[[#This Row],[Result]]&lt;0.5,1,0),0)</f>
        <v>0</v>
      </c>
      <c r="AG195" s="2">
        <f>IF(AND(Games[[#This Row],[Type]]="P",Games[[#This Row],[Round]]=2),IF(Games[[#This Row],[Result]]&gt;0.5,1,0),0)</f>
        <v>0</v>
      </c>
      <c r="AH195" s="2">
        <f>IF(AND(Games[[#This Row],[Type]]="P",Games[[#This Row],[Round]]=2),IF(Games[[#This Row],[Result]]&lt;0.5,1,0),0)</f>
        <v>0</v>
      </c>
      <c r="AI195" s="2">
        <f>IF(AND(Games[[#This Row],[Type]]="P",Games[[#This Row],[Round]]=3),IF(Games[[#This Row],[Result]]&gt;0.5,1,0),0)</f>
        <v>0</v>
      </c>
      <c r="AJ195" s="2">
        <f>IF(AND(Games[[#This Row],[Type]]="P",Games[[#This Row],[Round]]=3),IF(Games[[#This Row],[Result]]&lt;0.5,1,0),0)</f>
        <v>0</v>
      </c>
      <c r="AK195" s="2">
        <f>IF(AND(Games[[#This Row],[Type]]="P",Games[[#This Row],[Round]]=4),IF(Games[[#This Row],[Result]]&gt;0.5,1,0),0)</f>
        <v>0</v>
      </c>
      <c r="AL195" s="2">
        <f>IF(AND(Games[[#This Row],[Type]]="P",Games[[#This Row],[Round]]=4),IF(Games[[#This Row],[Result]]&lt;0.5,1,0),0)</f>
        <v>0</v>
      </c>
    </row>
    <row r="196" spans="1:38" x14ac:dyDescent="0.35">
      <c r="A196" s="10">
        <v>44379</v>
      </c>
      <c r="B196" s="2">
        <v>2021</v>
      </c>
      <c r="C196" s="2">
        <f>COUNTIFS(Games[Team],Games[[#This Row],[Team]],Games[Season],Games[[#This Row],[Season]],Games[Date],"&lt;=" &amp; Games[[#This Row],[Date]])</f>
        <v>19</v>
      </c>
      <c r="D196" s="2" t="s">
        <v>79</v>
      </c>
      <c r="E196" s="2" t="s">
        <v>80</v>
      </c>
      <c r="F196" s="1" t="s">
        <v>75</v>
      </c>
      <c r="G196" s="1" t="s">
        <v>84</v>
      </c>
      <c r="H196" s="1" t="s">
        <v>81</v>
      </c>
      <c r="I196" s="2" cm="1">
        <f t="array" ref="I1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6" s="2" cm="1">
        <f t="array" ref="J1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6" s="2">
        <f>Games[[#This Row],[DaysOff]]-Games[[#This Row],[OppDaysOff]]</f>
        <v>0</v>
      </c>
      <c r="L196" s="2">
        <f>Games[[#This Row],[OppDaysOff]]-Games[[#This Row],[DaysOff]]</f>
        <v>0</v>
      </c>
      <c r="M196" s="1">
        <f>MAX(-16, MIN(16, Games[[#This Row],[RestDiff]]*8))</f>
        <v>0</v>
      </c>
      <c r="N196" s="1">
        <f>MAX(-16, MIN(16, Games[[#This Row],[OppRestDiff]]*8))</f>
        <v>0</v>
      </c>
      <c r="O196" s="4" cm="1">
        <f t="array" ref="O1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1560.1053037380277</v>
      </c>
      <c r="P196" s="4" cm="1">
        <f t="array" ref="P1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1499.9070289782353</v>
      </c>
      <c r="Q196" s="4">
        <f>1/(1+10^(((Games[[#This Row],[OppPreGmRate]]+IF(Games[[#This Row],[HomeAway]]="A",HCA,0)+Games[[#This Row],[OppRestAdj]])-(Games[[#This Row],[PreGmRate]]+IF(Games[[#This Row],[HomeAway]]="H",HCA,0)+Games[[#This Row],[RestAdj]]))/400))</f>
        <v>0.46580004949522413</v>
      </c>
      <c r="R196" s="1">
        <v>91</v>
      </c>
      <c r="S196" s="1">
        <v>100</v>
      </c>
      <c r="T196" s="1">
        <v>0</v>
      </c>
      <c r="U196" s="1">
        <f>Games[[#This Row],[PointsFor]]-Games[[#This Row],[PointsAgainst]]</f>
        <v>-9</v>
      </c>
      <c r="V196" s="1">
        <f>IF(Games[[#This Row],[MOV]]&gt;0,1,IF(Games[[#This Row],[MOV]]=0,0.5,0))</f>
        <v>0</v>
      </c>
      <c r="W196" s="4">
        <f>((ABS(Games[[#This Row],[MOV]])+5)^0.6)/(12+0.01*(ABS(Games[[#This Row],[PreGmRate]]-Games[[#This Row],[OppPreGmRate]])))*IF(Games[[#This Row],[OT]]=1,0.9,1)</f>
        <v>0.3865787172812552</v>
      </c>
      <c r="X196" s="7" cm="1">
        <f t="array" ref="X1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6" s="9">
        <f>MAX(kmin, kmax - 0.15 * MIN(Games[[#This Row],[GamesPlayed]], 82))</f>
        <v>73.150000000000006</v>
      </c>
      <c r="Z196" s="4">
        <f>Games[[#This Row],[K]]*Games[[#This Row],[POMult]]</f>
        <v>73.150000000000006</v>
      </c>
      <c r="AA196" s="4">
        <f>(Games[[#This Row],[Keff]]*Games[[#This Row],[MOVMult]])*(Games[[#This Row],[Result]]-Games[[#This Row],[ExpectedWin%]])</f>
        <v>-13.172002409815363</v>
      </c>
      <c r="AB196" s="4">
        <f>Games[[#This Row],[PreGmRate]]+Games[[#This Row],[RatingChange]]</f>
        <v>1546.9333013282123</v>
      </c>
      <c r="AC196" s="2">
        <f>IF(Games[[#This Row],[Type]]="R",IF(Games[[#This Row],[Result]]&gt;0.5,1,0),0)</f>
        <v>0</v>
      </c>
      <c r="AD196" s="2">
        <f>IF(Games[[#This Row],[Type]]="R",IF(Games[[#This Row],[Result]]&lt;0.5,1,0),0)</f>
        <v>1</v>
      </c>
      <c r="AE196" s="2">
        <f>IF(AND(Games[[#This Row],[Type]]="P",Games[[#This Row],[Round]]=1),IF(Games[[#This Row],[Result]]&gt;0.5,1,0),0)</f>
        <v>0</v>
      </c>
      <c r="AF196" s="2">
        <f>IF(AND(Games[[#This Row],[Type]]="P",Games[[#This Row],[Round]]=1),IF(Games[[#This Row],[Result]]&lt;0.5,1,0),0)</f>
        <v>0</v>
      </c>
      <c r="AG196" s="2">
        <f>IF(AND(Games[[#This Row],[Type]]="P",Games[[#This Row],[Round]]=2),IF(Games[[#This Row],[Result]]&gt;0.5,1,0),0)</f>
        <v>0</v>
      </c>
      <c r="AH196" s="2">
        <f>IF(AND(Games[[#This Row],[Type]]="P",Games[[#This Row],[Round]]=2),IF(Games[[#This Row],[Result]]&lt;0.5,1,0),0)</f>
        <v>0</v>
      </c>
      <c r="AI196" s="2">
        <f>IF(AND(Games[[#This Row],[Type]]="P",Games[[#This Row],[Round]]=3),IF(Games[[#This Row],[Result]]&gt;0.5,1,0),0)</f>
        <v>0</v>
      </c>
      <c r="AJ196" s="2">
        <f>IF(AND(Games[[#This Row],[Type]]="P",Games[[#This Row],[Round]]=3),IF(Games[[#This Row],[Result]]&lt;0.5,1,0),0)</f>
        <v>0</v>
      </c>
      <c r="AK196" s="2">
        <f>IF(AND(Games[[#This Row],[Type]]="P",Games[[#This Row],[Round]]=4),IF(Games[[#This Row],[Result]]&gt;0.5,1,0),0)</f>
        <v>0</v>
      </c>
      <c r="AL196" s="2">
        <f>IF(AND(Games[[#This Row],[Type]]="P",Games[[#This Row],[Round]]=4),IF(Games[[#This Row],[Result]]&lt;0.5,1,0),0)</f>
        <v>0</v>
      </c>
    </row>
    <row r="197" spans="1:38" x14ac:dyDescent="0.35">
      <c r="A197" s="10">
        <v>44379</v>
      </c>
      <c r="B197" s="2">
        <v>2021</v>
      </c>
      <c r="C197" s="2">
        <f>COUNTIFS(Games[Team],Games[[#This Row],[Team]],Games[Season],Games[[#This Row],[Season]],Games[Date],"&lt;=" &amp; Games[[#This Row],[Date]])</f>
        <v>18</v>
      </c>
      <c r="D197" s="2" t="s">
        <v>79</v>
      </c>
      <c r="E197" s="2" t="s">
        <v>80</v>
      </c>
      <c r="F197" s="1" t="s">
        <v>84</v>
      </c>
      <c r="G197" s="1" t="s">
        <v>75</v>
      </c>
      <c r="H197" s="1" t="s">
        <v>82</v>
      </c>
      <c r="I197" s="2" cm="1">
        <f t="array" ref="I1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7" s="2" cm="1">
        <f t="array" ref="J1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7" s="2">
        <f>Games[[#This Row],[DaysOff]]-Games[[#This Row],[OppDaysOff]]</f>
        <v>0</v>
      </c>
      <c r="L197" s="2">
        <f>Games[[#This Row],[OppDaysOff]]-Games[[#This Row],[DaysOff]]</f>
        <v>0</v>
      </c>
      <c r="M197" s="1">
        <f>MAX(-16, MIN(16, Games[[#This Row],[RestDiff]]*8))</f>
        <v>0</v>
      </c>
      <c r="N197" s="1">
        <f>MAX(-16, MIN(16, Games[[#This Row],[OppRestDiff]]*8))</f>
        <v>0</v>
      </c>
      <c r="O197" s="4" cm="1">
        <f t="array" ref="O1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1499.9070289782353</v>
      </c>
      <c r="P197" s="4" cm="1">
        <f t="array" ref="P1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1560.1053037380277</v>
      </c>
      <c r="Q197" s="4">
        <f>1/(1+10^(((Games[[#This Row],[OppPreGmRate]]+IF(Games[[#This Row],[HomeAway]]="A",HCA,0)+Games[[#This Row],[OppRestAdj]])-(Games[[#This Row],[PreGmRate]]+IF(Games[[#This Row],[HomeAway]]="H",HCA,0)+Games[[#This Row],[RestAdj]]))/400))</f>
        <v>0.53419995050477587</v>
      </c>
      <c r="R197" s="1">
        <v>100</v>
      </c>
      <c r="S197" s="1">
        <v>91</v>
      </c>
      <c r="T197" s="1">
        <v>0</v>
      </c>
      <c r="U197" s="1">
        <f>Games[[#This Row],[PointsFor]]-Games[[#This Row],[PointsAgainst]]</f>
        <v>9</v>
      </c>
      <c r="V197" s="1">
        <f>IF(Games[[#This Row],[MOV]]&gt;0,1,IF(Games[[#This Row],[MOV]]=0,0.5,0))</f>
        <v>1</v>
      </c>
      <c r="W197" s="4">
        <f>((ABS(Games[[#This Row],[MOV]])+5)^0.6)/(12+0.01*(ABS(Games[[#This Row],[PreGmRate]]-Games[[#This Row],[OppPreGmRate]])))*IF(Games[[#This Row],[OT]]=1,0.9,1)</f>
        <v>0.3865787172812552</v>
      </c>
      <c r="X197" s="7" cm="1">
        <f t="array" ref="X1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7" s="9">
        <f>MAX(kmin, kmax - 0.15 * MIN(Games[[#This Row],[GamesPlayed]], 82))</f>
        <v>73.3</v>
      </c>
      <c r="Z197" s="4">
        <f>Games[[#This Row],[K]]*Games[[#This Row],[POMult]]</f>
        <v>73.3</v>
      </c>
      <c r="AA197" s="4">
        <f>(Games[[#This Row],[Keff]]*Games[[#This Row],[MOVMult]])*(Games[[#This Row],[Result]]-Games[[#This Row],[ExpectedWin%]])</f>
        <v>13.199012667661874</v>
      </c>
      <c r="AB197" s="4">
        <f>Games[[#This Row],[PreGmRate]]+Games[[#This Row],[RatingChange]]</f>
        <v>1513.1060416458972</v>
      </c>
      <c r="AC197" s="2">
        <f>IF(Games[[#This Row],[Type]]="R",IF(Games[[#This Row],[Result]]&gt;0.5,1,0),0)</f>
        <v>1</v>
      </c>
      <c r="AD197" s="2">
        <f>IF(Games[[#This Row],[Type]]="R",IF(Games[[#This Row],[Result]]&lt;0.5,1,0),0)</f>
        <v>0</v>
      </c>
      <c r="AE197" s="2">
        <f>IF(AND(Games[[#This Row],[Type]]="P",Games[[#This Row],[Round]]=1),IF(Games[[#This Row],[Result]]&gt;0.5,1,0),0)</f>
        <v>0</v>
      </c>
      <c r="AF197" s="2">
        <f>IF(AND(Games[[#This Row],[Type]]="P",Games[[#This Row],[Round]]=1),IF(Games[[#This Row],[Result]]&lt;0.5,1,0),0)</f>
        <v>0</v>
      </c>
      <c r="AG197" s="2">
        <f>IF(AND(Games[[#This Row],[Type]]="P",Games[[#This Row],[Round]]=2),IF(Games[[#This Row],[Result]]&gt;0.5,1,0),0)</f>
        <v>0</v>
      </c>
      <c r="AH197" s="2">
        <f>IF(AND(Games[[#This Row],[Type]]="P",Games[[#This Row],[Round]]=2),IF(Games[[#This Row],[Result]]&lt;0.5,1,0),0)</f>
        <v>0</v>
      </c>
      <c r="AI197" s="2">
        <f>IF(AND(Games[[#This Row],[Type]]="P",Games[[#This Row],[Round]]=3),IF(Games[[#This Row],[Result]]&gt;0.5,1,0),0)</f>
        <v>0</v>
      </c>
      <c r="AJ197" s="2">
        <f>IF(AND(Games[[#This Row],[Type]]="P",Games[[#This Row],[Round]]=3),IF(Games[[#This Row],[Result]]&lt;0.5,1,0),0)</f>
        <v>0</v>
      </c>
      <c r="AK197" s="2">
        <f>IF(AND(Games[[#This Row],[Type]]="P",Games[[#This Row],[Round]]=4),IF(Games[[#This Row],[Result]]&gt;0.5,1,0),0)</f>
        <v>0</v>
      </c>
      <c r="AL197" s="2">
        <f>IF(AND(Games[[#This Row],[Type]]="P",Games[[#This Row],[Round]]=4),IF(Games[[#This Row],[Result]]&lt;0.5,1,0),0)</f>
        <v>0</v>
      </c>
    </row>
    <row r="198" spans="1:38" x14ac:dyDescent="0.35">
      <c r="A198" s="10">
        <v>44379</v>
      </c>
      <c r="B198" s="2">
        <v>2021</v>
      </c>
      <c r="C198" s="2">
        <f>COUNTIFS(Games[Team],Games[[#This Row],[Team]],Games[Season],Games[[#This Row],[Season]],Games[Date],"&lt;=" &amp; Games[[#This Row],[Date]])</f>
        <v>17</v>
      </c>
      <c r="D198" s="2" t="s">
        <v>79</v>
      </c>
      <c r="E198" s="2" t="s">
        <v>80</v>
      </c>
      <c r="F198" s="1" t="s">
        <v>85</v>
      </c>
      <c r="G198" s="1" t="s">
        <v>63</v>
      </c>
      <c r="H198" s="1" t="s">
        <v>81</v>
      </c>
      <c r="I198" s="2" cm="1">
        <f t="array" ref="I1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8" s="2" cm="1">
        <f t="array" ref="J1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8" s="2">
        <f>Games[[#This Row],[DaysOff]]-Games[[#This Row],[OppDaysOff]]</f>
        <v>0</v>
      </c>
      <c r="L198" s="2">
        <f>Games[[#This Row],[OppDaysOff]]-Games[[#This Row],[DaysOff]]</f>
        <v>0</v>
      </c>
      <c r="M198" s="1">
        <f>MAX(-16, MIN(16, Games[[#This Row],[RestDiff]]*8))</f>
        <v>0</v>
      </c>
      <c r="N198" s="1">
        <f>MAX(-16, MIN(16, Games[[#This Row],[OppRestDiff]]*8))</f>
        <v>0</v>
      </c>
      <c r="O198" s="4" cm="1">
        <f t="array" ref="O1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1645.1318279667421</v>
      </c>
      <c r="P198" s="4" cm="1">
        <f t="array" ref="P1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1443.2978798951203</v>
      </c>
      <c r="Q198" s="4">
        <f>1/(1+10^(((Games[[#This Row],[OppPreGmRate]]+IF(Games[[#This Row],[HomeAway]]="A",HCA,0)+Games[[#This Row],[OppRestAdj]])-(Games[[#This Row],[PreGmRate]]+IF(Games[[#This Row],[HomeAway]]="H",HCA,0)+Games[[#This Row],[RestAdj]]))/400))</f>
        <v>0.66336067252120257</v>
      </c>
      <c r="R198" s="1">
        <v>66</v>
      </c>
      <c r="S198" s="1">
        <v>58</v>
      </c>
      <c r="T198" s="1">
        <v>0</v>
      </c>
      <c r="U198" s="1">
        <f>Games[[#This Row],[PointsFor]]-Games[[#This Row],[PointsAgainst]]</f>
        <v>8</v>
      </c>
      <c r="V198" s="1">
        <f>IF(Games[[#This Row],[MOV]]&gt;0,1,IF(Games[[#This Row],[MOV]]=0,0.5,0))</f>
        <v>1</v>
      </c>
      <c r="W198" s="4">
        <f>((ABS(Games[[#This Row],[MOV]])+5)^0.6)/(12+0.01*(ABS(Games[[#This Row],[PreGmRate]]-Games[[#This Row],[OppPreGmRate]])))*IF(Games[[#This Row],[OT]]=1,0.9,1)</f>
        <v>0.33240644702934463</v>
      </c>
      <c r="X198" s="7" cm="1">
        <f t="array" ref="X1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8" s="9">
        <f>MAX(kmin, kmax - 0.15 * MIN(Games[[#This Row],[GamesPlayed]], 82))</f>
        <v>73.45</v>
      </c>
      <c r="Z198" s="4">
        <f>Games[[#This Row],[K]]*Games[[#This Row],[POMult]]</f>
        <v>73.45</v>
      </c>
      <c r="AA198" s="4">
        <f>(Games[[#This Row],[Keff]]*Games[[#This Row],[MOVMult]])*(Games[[#This Row],[Result]]-Games[[#This Row],[ExpectedWin%]])</f>
        <v>8.2191345300128908</v>
      </c>
      <c r="AB198" s="4">
        <f>Games[[#This Row],[PreGmRate]]+Games[[#This Row],[RatingChange]]</f>
        <v>1653.3509624967551</v>
      </c>
      <c r="AC198" s="2">
        <f>IF(Games[[#This Row],[Type]]="R",IF(Games[[#This Row],[Result]]&gt;0.5,1,0),0)</f>
        <v>1</v>
      </c>
      <c r="AD198" s="2">
        <f>IF(Games[[#This Row],[Type]]="R",IF(Games[[#This Row],[Result]]&lt;0.5,1,0),0)</f>
        <v>0</v>
      </c>
      <c r="AE198" s="2">
        <f>IF(AND(Games[[#This Row],[Type]]="P",Games[[#This Row],[Round]]=1),IF(Games[[#This Row],[Result]]&gt;0.5,1,0),0)</f>
        <v>0</v>
      </c>
      <c r="AF198" s="2">
        <f>IF(AND(Games[[#This Row],[Type]]="P",Games[[#This Row],[Round]]=1),IF(Games[[#This Row],[Result]]&lt;0.5,1,0),0)</f>
        <v>0</v>
      </c>
      <c r="AG198" s="2">
        <f>IF(AND(Games[[#This Row],[Type]]="P",Games[[#This Row],[Round]]=2),IF(Games[[#This Row],[Result]]&gt;0.5,1,0),0)</f>
        <v>0</v>
      </c>
      <c r="AH198" s="2">
        <f>IF(AND(Games[[#This Row],[Type]]="P",Games[[#This Row],[Round]]=2),IF(Games[[#This Row],[Result]]&lt;0.5,1,0),0)</f>
        <v>0</v>
      </c>
      <c r="AI198" s="2">
        <f>IF(AND(Games[[#This Row],[Type]]="P",Games[[#This Row],[Round]]=3),IF(Games[[#This Row],[Result]]&gt;0.5,1,0),0)</f>
        <v>0</v>
      </c>
      <c r="AJ198" s="2">
        <f>IF(AND(Games[[#This Row],[Type]]="P",Games[[#This Row],[Round]]=3),IF(Games[[#This Row],[Result]]&lt;0.5,1,0),0)</f>
        <v>0</v>
      </c>
      <c r="AK198" s="2">
        <f>IF(AND(Games[[#This Row],[Type]]="P",Games[[#This Row],[Round]]=4),IF(Games[[#This Row],[Result]]&gt;0.5,1,0),0)</f>
        <v>0</v>
      </c>
      <c r="AL198" s="2">
        <f>IF(AND(Games[[#This Row],[Type]]="P",Games[[#This Row],[Round]]=4),IF(Games[[#This Row],[Result]]&lt;0.5,1,0),0)</f>
        <v>0</v>
      </c>
    </row>
    <row r="199" spans="1:38" x14ac:dyDescent="0.35">
      <c r="A199" s="10">
        <v>44379</v>
      </c>
      <c r="B199" s="2">
        <v>2021</v>
      </c>
      <c r="C199" s="2">
        <f>COUNTIFS(Games[Team],Games[[#This Row],[Team]],Games[Season],Games[[#This Row],[Season]],Games[Date],"&lt;=" &amp; Games[[#This Row],[Date]])</f>
        <v>16</v>
      </c>
      <c r="D199" s="2" t="s">
        <v>79</v>
      </c>
      <c r="E199" s="2" t="s">
        <v>80</v>
      </c>
      <c r="F199" s="1" t="s">
        <v>63</v>
      </c>
      <c r="G199" s="1" t="s">
        <v>85</v>
      </c>
      <c r="H199" s="1" t="s">
        <v>82</v>
      </c>
      <c r="I199" s="2" cm="1">
        <f t="array" ref="I1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199" s="2" cm="1">
        <f t="array" ref="J1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199" s="2">
        <f>Games[[#This Row],[DaysOff]]-Games[[#This Row],[OppDaysOff]]</f>
        <v>0</v>
      </c>
      <c r="L199" s="2">
        <f>Games[[#This Row],[OppDaysOff]]-Games[[#This Row],[DaysOff]]</f>
        <v>0</v>
      </c>
      <c r="M199" s="1">
        <f>MAX(-16, MIN(16, Games[[#This Row],[RestDiff]]*8))</f>
        <v>0</v>
      </c>
      <c r="N199" s="1">
        <f>MAX(-16, MIN(16, Games[[#This Row],[OppRestDiff]]*8))</f>
        <v>0</v>
      </c>
      <c r="O199" s="4" cm="1">
        <f t="array" ref="O1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1443.2978798951203</v>
      </c>
      <c r="P199" s="4" cm="1">
        <f t="array" ref="P1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1645.1318279667421</v>
      </c>
      <c r="Q199" s="4">
        <f>1/(1+10^(((Games[[#This Row],[OppPreGmRate]]+IF(Games[[#This Row],[HomeAway]]="A",HCA,0)+Games[[#This Row],[OppRestAdj]])-(Games[[#This Row],[PreGmRate]]+IF(Games[[#This Row],[HomeAway]]="H",HCA,0)+Games[[#This Row],[RestAdj]]))/400))</f>
        <v>0.33663932747879738</v>
      </c>
      <c r="R199" s="1">
        <v>58</v>
      </c>
      <c r="S199" s="1">
        <v>66</v>
      </c>
      <c r="T199" s="1">
        <v>0</v>
      </c>
      <c r="U199" s="1">
        <f>Games[[#This Row],[PointsFor]]-Games[[#This Row],[PointsAgainst]]</f>
        <v>-8</v>
      </c>
      <c r="V199" s="1">
        <f>IF(Games[[#This Row],[MOV]]&gt;0,1,IF(Games[[#This Row],[MOV]]=0,0.5,0))</f>
        <v>0</v>
      </c>
      <c r="W199" s="4">
        <f>((ABS(Games[[#This Row],[MOV]])+5)^0.6)/(12+0.01*(ABS(Games[[#This Row],[PreGmRate]]-Games[[#This Row],[OppPreGmRate]])))*IF(Games[[#This Row],[OT]]=1,0.9,1)</f>
        <v>0.33240644702934463</v>
      </c>
      <c r="X199" s="7" cm="1">
        <f t="array" ref="X1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199" s="9">
        <f>MAX(kmin, kmax - 0.15 * MIN(Games[[#This Row],[GamesPlayed]], 82))</f>
        <v>73.599999999999994</v>
      </c>
      <c r="Z199" s="4">
        <f>Games[[#This Row],[K]]*Games[[#This Row],[POMult]]</f>
        <v>73.599999999999994</v>
      </c>
      <c r="AA199" s="4">
        <f>(Games[[#This Row],[Keff]]*Games[[#This Row],[MOVMult]])*(Games[[#This Row],[Result]]-Games[[#This Row],[ExpectedWin%]])</f>
        <v>-8.2359196924295244</v>
      </c>
      <c r="AB199" s="4">
        <f>Games[[#This Row],[PreGmRate]]+Games[[#This Row],[RatingChange]]</f>
        <v>1435.0619602026909</v>
      </c>
      <c r="AC199" s="2">
        <f>IF(Games[[#This Row],[Type]]="R",IF(Games[[#This Row],[Result]]&gt;0.5,1,0),0)</f>
        <v>0</v>
      </c>
      <c r="AD199" s="2">
        <f>IF(Games[[#This Row],[Type]]="R",IF(Games[[#This Row],[Result]]&lt;0.5,1,0),0)</f>
        <v>1</v>
      </c>
      <c r="AE199" s="2">
        <f>IF(AND(Games[[#This Row],[Type]]="P",Games[[#This Row],[Round]]=1),IF(Games[[#This Row],[Result]]&gt;0.5,1,0),0)</f>
        <v>0</v>
      </c>
      <c r="AF199" s="2">
        <f>IF(AND(Games[[#This Row],[Type]]="P",Games[[#This Row],[Round]]=1),IF(Games[[#This Row],[Result]]&lt;0.5,1,0),0)</f>
        <v>0</v>
      </c>
      <c r="AG199" s="2">
        <f>IF(AND(Games[[#This Row],[Type]]="P",Games[[#This Row],[Round]]=2),IF(Games[[#This Row],[Result]]&gt;0.5,1,0),0)</f>
        <v>0</v>
      </c>
      <c r="AH199" s="2">
        <f>IF(AND(Games[[#This Row],[Type]]="P",Games[[#This Row],[Round]]=2),IF(Games[[#This Row],[Result]]&lt;0.5,1,0),0)</f>
        <v>0</v>
      </c>
      <c r="AI199" s="2">
        <f>IF(AND(Games[[#This Row],[Type]]="P",Games[[#This Row],[Round]]=3),IF(Games[[#This Row],[Result]]&gt;0.5,1,0),0)</f>
        <v>0</v>
      </c>
      <c r="AJ199" s="2">
        <f>IF(AND(Games[[#This Row],[Type]]="P",Games[[#This Row],[Round]]=3),IF(Games[[#This Row],[Result]]&lt;0.5,1,0),0)</f>
        <v>0</v>
      </c>
      <c r="AK199" s="2">
        <f>IF(AND(Games[[#This Row],[Type]]="P",Games[[#This Row],[Round]]=4),IF(Games[[#This Row],[Result]]&gt;0.5,1,0),0)</f>
        <v>0</v>
      </c>
      <c r="AL199" s="2">
        <f>IF(AND(Games[[#This Row],[Type]]="P",Games[[#This Row],[Round]]=4),IF(Games[[#This Row],[Result]]&lt;0.5,1,0),0)</f>
        <v>0</v>
      </c>
    </row>
    <row r="200" spans="1:38" x14ac:dyDescent="0.35">
      <c r="A200" s="10">
        <v>44379</v>
      </c>
      <c r="B200" s="2">
        <v>2021</v>
      </c>
      <c r="C200" s="2">
        <f>COUNTIFS(Games[Team],Games[[#This Row],[Team]],Games[Season],Games[[#This Row],[Season]],Games[Date],"&lt;=" &amp; Games[[#This Row],[Date]])</f>
        <v>16</v>
      </c>
      <c r="D200" s="2" t="s">
        <v>79</v>
      </c>
      <c r="E200" s="2" t="s">
        <v>80</v>
      </c>
      <c r="F200" s="1" t="s">
        <v>77</v>
      </c>
      <c r="G200" s="1" t="s">
        <v>71</v>
      </c>
      <c r="H200" s="1" t="s">
        <v>81</v>
      </c>
      <c r="I200" s="2" cm="1">
        <f t="array" ref="I20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0" s="2" cm="1">
        <f t="array" ref="J20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00" s="2">
        <f>Games[[#This Row],[DaysOff]]-Games[[#This Row],[OppDaysOff]]</f>
        <v>-2</v>
      </c>
      <c r="L200" s="2">
        <f>Games[[#This Row],[OppDaysOff]]-Games[[#This Row],[DaysOff]]</f>
        <v>2</v>
      </c>
      <c r="M200" s="1">
        <f>MAX(-16, MIN(16, Games[[#This Row],[RestDiff]]*8))</f>
        <v>-16</v>
      </c>
      <c r="N200" s="1">
        <f>MAX(-16, MIN(16, Games[[#This Row],[OppRestDiff]]*8))</f>
        <v>16</v>
      </c>
      <c r="O200" s="4" cm="1">
        <f t="array" ref="O2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1406.1762991551143</v>
      </c>
      <c r="P200" s="4" cm="1">
        <f t="array" ref="P2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1672.4724981870004</v>
      </c>
      <c r="Q200" s="4">
        <f>1/(1+10^(((Games[[#This Row],[OppPreGmRate]]+IF(Games[[#This Row],[HomeAway]]="A",HCA,0)+Games[[#This Row],[OppRestAdj]])-(Games[[#This Row],[PreGmRate]]+IF(Games[[#This Row],[HomeAway]]="H",HCA,0)+Games[[#This Row],[RestAdj]]))/400))</f>
        <v>9.9689995954792832E-2</v>
      </c>
      <c r="R200" s="1">
        <v>88</v>
      </c>
      <c r="S200" s="1">
        <v>91</v>
      </c>
      <c r="T200" s="1">
        <v>0</v>
      </c>
      <c r="U200" s="1">
        <f>Games[[#This Row],[PointsFor]]-Games[[#This Row],[PointsAgainst]]</f>
        <v>-3</v>
      </c>
      <c r="V200" s="1">
        <f>IF(Games[[#This Row],[MOV]]&gt;0,1,IF(Games[[#This Row],[MOV]]=0,0.5,0))</f>
        <v>0</v>
      </c>
      <c r="W200" s="4">
        <f>((ABS(Games[[#This Row],[MOV]])+5)^0.6)/(12+0.01*(ABS(Games[[#This Row],[PreGmRate]]-Games[[#This Row],[OppPreGmRate]])))*IF(Games[[#This Row],[OT]]=1,0.9,1)</f>
        <v>0.23748286706898655</v>
      </c>
      <c r="X200" s="7" cm="1">
        <f t="array" ref="X2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0" s="9">
        <f>MAX(kmin, kmax - 0.15 * MIN(Games[[#This Row],[GamesPlayed]], 82))</f>
        <v>73.599999999999994</v>
      </c>
      <c r="Z200" s="4">
        <f>Games[[#This Row],[K]]*Games[[#This Row],[POMult]]</f>
        <v>73.599999999999994</v>
      </c>
      <c r="AA200" s="4">
        <f>(Games[[#This Row],[Keff]]*Games[[#This Row],[MOVMult]])*(Games[[#This Row],[Result]]-Games[[#This Row],[ExpectedWin%]])</f>
        <v>-1.7424554218275745</v>
      </c>
      <c r="AB200" s="4">
        <f>Games[[#This Row],[PreGmRate]]+Games[[#This Row],[RatingChange]]</f>
        <v>1404.4338437332867</v>
      </c>
      <c r="AC200" s="2">
        <f>IF(Games[[#This Row],[Type]]="R",IF(Games[[#This Row],[Result]]&gt;0.5,1,0),0)</f>
        <v>0</v>
      </c>
      <c r="AD200" s="2">
        <f>IF(Games[[#This Row],[Type]]="R",IF(Games[[#This Row],[Result]]&lt;0.5,1,0),0)</f>
        <v>1</v>
      </c>
      <c r="AE200" s="2">
        <f>IF(AND(Games[[#This Row],[Type]]="P",Games[[#This Row],[Round]]=1),IF(Games[[#This Row],[Result]]&gt;0.5,1,0),0)</f>
        <v>0</v>
      </c>
      <c r="AF200" s="2">
        <f>IF(AND(Games[[#This Row],[Type]]="P",Games[[#This Row],[Round]]=1),IF(Games[[#This Row],[Result]]&lt;0.5,1,0),0)</f>
        <v>0</v>
      </c>
      <c r="AG200" s="2">
        <f>IF(AND(Games[[#This Row],[Type]]="P",Games[[#This Row],[Round]]=2),IF(Games[[#This Row],[Result]]&gt;0.5,1,0),0)</f>
        <v>0</v>
      </c>
      <c r="AH200" s="2">
        <f>IF(AND(Games[[#This Row],[Type]]="P",Games[[#This Row],[Round]]=2),IF(Games[[#This Row],[Result]]&lt;0.5,1,0),0)</f>
        <v>0</v>
      </c>
      <c r="AI200" s="2">
        <f>IF(AND(Games[[#This Row],[Type]]="P",Games[[#This Row],[Round]]=3),IF(Games[[#This Row],[Result]]&gt;0.5,1,0),0)</f>
        <v>0</v>
      </c>
      <c r="AJ200" s="2">
        <f>IF(AND(Games[[#This Row],[Type]]="P",Games[[#This Row],[Round]]=3),IF(Games[[#This Row],[Result]]&lt;0.5,1,0),0)</f>
        <v>0</v>
      </c>
      <c r="AK200" s="2">
        <f>IF(AND(Games[[#This Row],[Type]]="P",Games[[#This Row],[Round]]=4),IF(Games[[#This Row],[Result]]&gt;0.5,1,0),0)</f>
        <v>0</v>
      </c>
      <c r="AL200" s="2">
        <f>IF(AND(Games[[#This Row],[Type]]="P",Games[[#This Row],[Round]]=4),IF(Games[[#This Row],[Result]]&lt;0.5,1,0),0)</f>
        <v>0</v>
      </c>
    </row>
    <row r="201" spans="1:38" x14ac:dyDescent="0.35">
      <c r="A201" s="10">
        <v>44379</v>
      </c>
      <c r="B201" s="2">
        <v>2021</v>
      </c>
      <c r="C201" s="2">
        <f>COUNTIFS(Games[Team],Games[[#This Row],[Team]],Games[Season],Games[[#This Row],[Season]],Games[Date],"&lt;=" &amp; Games[[#This Row],[Date]])</f>
        <v>17</v>
      </c>
      <c r="D201" s="2" t="s">
        <v>79</v>
      </c>
      <c r="E201" s="2" t="s">
        <v>80</v>
      </c>
      <c r="F201" s="1" t="s">
        <v>71</v>
      </c>
      <c r="G201" s="1" t="s">
        <v>77</v>
      </c>
      <c r="H201" s="1" t="s">
        <v>82</v>
      </c>
      <c r="I201" s="2" cm="1">
        <f t="array" ref="I201">IFERROR(
    Games[[#This Row],[Date]]
    - LOOKUP(
        2,
        1/((Games[Team]=Games[[#This Row],[Team]]) * (Games[Date] &lt; Games[[#This Row],[Date]])),
        Games[Date]
    )
    - 1,
Games[[#This Row],[Date]]-$A$2)</f>
        <v>4</v>
      </c>
      <c r="J201" s="2" cm="1">
        <f t="array" ref="J20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1" s="2">
        <f>Games[[#This Row],[DaysOff]]-Games[[#This Row],[OppDaysOff]]</f>
        <v>2</v>
      </c>
      <c r="L201" s="2">
        <f>Games[[#This Row],[OppDaysOff]]-Games[[#This Row],[DaysOff]]</f>
        <v>-2</v>
      </c>
      <c r="M201" s="1">
        <f>MAX(-16, MIN(16, Games[[#This Row],[RestDiff]]*8))</f>
        <v>16</v>
      </c>
      <c r="N201" s="1">
        <f>MAX(-16, MIN(16, Games[[#This Row],[OppRestDiff]]*8))</f>
        <v>-16</v>
      </c>
      <c r="O201" s="4" cm="1">
        <f t="array" ref="O2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1672.4724981870004</v>
      </c>
      <c r="P201" s="4" cm="1">
        <f t="array" ref="P2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1406.1762991551143</v>
      </c>
      <c r="Q201" s="4">
        <f>1/(1+10^(((Games[[#This Row],[OppPreGmRate]]+IF(Games[[#This Row],[HomeAway]]="A",HCA,0)+Games[[#This Row],[OppRestAdj]])-(Games[[#This Row],[PreGmRate]]+IF(Games[[#This Row],[HomeAway]]="H",HCA,0)+Games[[#This Row],[RestAdj]]))/400))</f>
        <v>0.90031000404520711</v>
      </c>
      <c r="R201" s="1">
        <v>91</v>
      </c>
      <c r="S201" s="1">
        <v>88</v>
      </c>
      <c r="T201" s="1">
        <v>0</v>
      </c>
      <c r="U201" s="1">
        <f>Games[[#This Row],[PointsFor]]-Games[[#This Row],[PointsAgainst]]</f>
        <v>3</v>
      </c>
      <c r="V201" s="1">
        <f>IF(Games[[#This Row],[MOV]]&gt;0,1,IF(Games[[#This Row],[MOV]]=0,0.5,0))</f>
        <v>1</v>
      </c>
      <c r="W201" s="4">
        <f>((ABS(Games[[#This Row],[MOV]])+5)^0.6)/(12+0.01*(ABS(Games[[#This Row],[PreGmRate]]-Games[[#This Row],[OppPreGmRate]])))*IF(Games[[#This Row],[OT]]=1,0.9,1)</f>
        <v>0.23748286706898655</v>
      </c>
      <c r="X201" s="7" cm="1">
        <f t="array" ref="X2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1" s="9">
        <f>MAX(kmin, kmax - 0.15 * MIN(Games[[#This Row],[GamesPlayed]], 82))</f>
        <v>73.45</v>
      </c>
      <c r="Z201" s="4">
        <f>Games[[#This Row],[K]]*Games[[#This Row],[POMult]]</f>
        <v>73.45</v>
      </c>
      <c r="AA201" s="4">
        <f>(Games[[#This Row],[Keff]]*Games[[#This Row],[MOVMult]])*(Games[[#This Row],[Result]]-Games[[#This Row],[ExpectedWin%]])</f>
        <v>1.7389042219189597</v>
      </c>
      <c r="AB201" s="4">
        <f>Games[[#This Row],[PreGmRate]]+Games[[#This Row],[RatingChange]]</f>
        <v>1674.2114024089194</v>
      </c>
      <c r="AC201" s="2">
        <f>IF(Games[[#This Row],[Type]]="R",IF(Games[[#This Row],[Result]]&gt;0.5,1,0),0)</f>
        <v>1</v>
      </c>
      <c r="AD201" s="2">
        <f>IF(Games[[#This Row],[Type]]="R",IF(Games[[#This Row],[Result]]&lt;0.5,1,0),0)</f>
        <v>0</v>
      </c>
      <c r="AE201" s="2">
        <f>IF(AND(Games[[#This Row],[Type]]="P",Games[[#This Row],[Round]]=1),IF(Games[[#This Row],[Result]]&gt;0.5,1,0),0)</f>
        <v>0</v>
      </c>
      <c r="AF201" s="2">
        <f>IF(AND(Games[[#This Row],[Type]]="P",Games[[#This Row],[Round]]=1),IF(Games[[#This Row],[Result]]&lt;0.5,1,0),0)</f>
        <v>0</v>
      </c>
      <c r="AG201" s="2">
        <f>IF(AND(Games[[#This Row],[Type]]="P",Games[[#This Row],[Round]]=2),IF(Games[[#This Row],[Result]]&gt;0.5,1,0),0)</f>
        <v>0</v>
      </c>
      <c r="AH201" s="2">
        <f>IF(AND(Games[[#This Row],[Type]]="P",Games[[#This Row],[Round]]=2),IF(Games[[#This Row],[Result]]&lt;0.5,1,0),0)</f>
        <v>0</v>
      </c>
      <c r="AI201" s="2">
        <f>IF(AND(Games[[#This Row],[Type]]="P",Games[[#This Row],[Round]]=3),IF(Games[[#This Row],[Result]]&gt;0.5,1,0),0)</f>
        <v>0</v>
      </c>
      <c r="AJ201" s="2">
        <f>IF(AND(Games[[#This Row],[Type]]="P",Games[[#This Row],[Round]]=3),IF(Games[[#This Row],[Result]]&lt;0.5,1,0),0)</f>
        <v>0</v>
      </c>
      <c r="AK201" s="2">
        <f>IF(AND(Games[[#This Row],[Type]]="P",Games[[#This Row],[Round]]=4),IF(Games[[#This Row],[Result]]&gt;0.5,1,0),0)</f>
        <v>0</v>
      </c>
      <c r="AL201" s="2">
        <f>IF(AND(Games[[#This Row],[Type]]="P",Games[[#This Row],[Round]]=4),IF(Games[[#This Row],[Result]]&lt;0.5,1,0),0)</f>
        <v>0</v>
      </c>
    </row>
    <row r="202" spans="1:38" x14ac:dyDescent="0.35">
      <c r="A202" s="10">
        <v>44380</v>
      </c>
      <c r="B202" s="2">
        <v>2021</v>
      </c>
      <c r="C202" s="2">
        <f>COUNTIFS(Games[Team],Games[[#This Row],[Team]],Games[Season],Games[[#This Row],[Season]],Games[Date],"&lt;=" &amp; Games[[#This Row],[Date]])</f>
        <v>18</v>
      </c>
      <c r="D202" s="2" t="s">
        <v>79</v>
      </c>
      <c r="E202" s="2" t="s">
        <v>80</v>
      </c>
      <c r="F202" s="1" t="s">
        <v>74</v>
      </c>
      <c r="G202" s="1" t="s">
        <v>69</v>
      </c>
      <c r="H202" s="1" t="s">
        <v>81</v>
      </c>
      <c r="I202" s="2" cm="1">
        <f t="array" ref="I2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2" s="2" cm="1">
        <f t="array" ref="J2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2" s="2">
        <f>Games[[#This Row],[DaysOff]]-Games[[#This Row],[OppDaysOff]]</f>
        <v>0</v>
      </c>
      <c r="L202" s="2">
        <f>Games[[#This Row],[OppDaysOff]]-Games[[#This Row],[DaysOff]]</f>
        <v>0</v>
      </c>
      <c r="M202" s="1">
        <f>MAX(-16, MIN(16, Games[[#This Row],[RestDiff]]*8))</f>
        <v>0</v>
      </c>
      <c r="N202" s="1">
        <f>MAX(-16, MIN(16, Games[[#This Row],[OppRestDiff]]*8))</f>
        <v>0</v>
      </c>
      <c r="O202" s="4" cm="1">
        <f t="array" ref="O2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1606.2364372513555</v>
      </c>
      <c r="P202" s="4" cm="1">
        <f t="array" ref="P2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1294.2109010614895</v>
      </c>
      <c r="Q202" s="4">
        <f>1/(1+10^(((Games[[#This Row],[OppPreGmRate]]+IF(Games[[#This Row],[HomeAway]]="A",HCA,0)+Games[[#This Row],[OppRestAdj]])-(Games[[#This Row],[PreGmRate]]+IF(Games[[#This Row],[HomeAway]]="H",HCA,0)+Games[[#This Row],[RestAdj]]))/400))</f>
        <v>0.78795133015642027</v>
      </c>
      <c r="R202" s="1">
        <v>67</v>
      </c>
      <c r="S202" s="1">
        <v>73</v>
      </c>
      <c r="T202" s="1">
        <v>0</v>
      </c>
      <c r="U202" s="1">
        <f>Games[[#This Row],[PointsFor]]-Games[[#This Row],[PointsAgainst]]</f>
        <v>-6</v>
      </c>
      <c r="V202" s="1">
        <f>IF(Games[[#This Row],[MOV]]&gt;0,1,IF(Games[[#This Row],[MOV]]=0,0.5,0))</f>
        <v>0</v>
      </c>
      <c r="W202" s="4">
        <f>((ABS(Games[[#This Row],[MOV]])+5)^0.6)/(12+0.01*(ABS(Games[[#This Row],[PreGmRate]]-Games[[#This Row],[OppPreGmRate]])))*IF(Games[[#This Row],[OT]]=1,0.9,1)</f>
        <v>0.27878954635344022</v>
      </c>
      <c r="X202" s="7" cm="1">
        <f t="array" ref="X2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2" s="9">
        <f>MAX(kmin, kmax - 0.15 * MIN(Games[[#This Row],[GamesPlayed]], 82))</f>
        <v>73.3</v>
      </c>
      <c r="Z202" s="4">
        <f>Games[[#This Row],[K]]*Games[[#This Row],[POMult]]</f>
        <v>73.3</v>
      </c>
      <c r="AA202" s="4">
        <f>(Games[[#This Row],[Keff]]*Games[[#This Row],[MOVMult]])*(Games[[#This Row],[Result]]-Games[[#This Row],[ExpectedWin%]])</f>
        <v>-16.10200113161644</v>
      </c>
      <c r="AB202" s="4">
        <f>Games[[#This Row],[PreGmRate]]+Games[[#This Row],[RatingChange]]</f>
        <v>1590.1344361197391</v>
      </c>
      <c r="AC202" s="2">
        <f>IF(Games[[#This Row],[Type]]="R",IF(Games[[#This Row],[Result]]&gt;0.5,1,0),0)</f>
        <v>0</v>
      </c>
      <c r="AD202" s="2">
        <f>IF(Games[[#This Row],[Type]]="R",IF(Games[[#This Row],[Result]]&lt;0.5,1,0),0)</f>
        <v>1</v>
      </c>
      <c r="AE202" s="2">
        <f>IF(AND(Games[[#This Row],[Type]]="P",Games[[#This Row],[Round]]=1),IF(Games[[#This Row],[Result]]&gt;0.5,1,0),0)</f>
        <v>0</v>
      </c>
      <c r="AF202" s="2">
        <f>IF(AND(Games[[#This Row],[Type]]="P",Games[[#This Row],[Round]]=1),IF(Games[[#This Row],[Result]]&lt;0.5,1,0),0)</f>
        <v>0</v>
      </c>
      <c r="AG202" s="2">
        <f>IF(AND(Games[[#This Row],[Type]]="P",Games[[#This Row],[Round]]=2),IF(Games[[#This Row],[Result]]&gt;0.5,1,0),0)</f>
        <v>0</v>
      </c>
      <c r="AH202" s="2">
        <f>IF(AND(Games[[#This Row],[Type]]="P",Games[[#This Row],[Round]]=2),IF(Games[[#This Row],[Result]]&lt;0.5,1,0),0)</f>
        <v>0</v>
      </c>
      <c r="AI202" s="2">
        <f>IF(AND(Games[[#This Row],[Type]]="P",Games[[#This Row],[Round]]=3),IF(Games[[#This Row],[Result]]&gt;0.5,1,0),0)</f>
        <v>0</v>
      </c>
      <c r="AJ202" s="2">
        <f>IF(AND(Games[[#This Row],[Type]]="P",Games[[#This Row],[Round]]=3),IF(Games[[#This Row],[Result]]&lt;0.5,1,0),0)</f>
        <v>0</v>
      </c>
      <c r="AK202" s="2">
        <f>IF(AND(Games[[#This Row],[Type]]="P",Games[[#This Row],[Round]]=4),IF(Games[[#This Row],[Result]]&gt;0.5,1,0),0)</f>
        <v>0</v>
      </c>
      <c r="AL202" s="2">
        <f>IF(AND(Games[[#This Row],[Type]]="P",Games[[#This Row],[Round]]=4),IF(Games[[#This Row],[Result]]&lt;0.5,1,0),0)</f>
        <v>0</v>
      </c>
    </row>
    <row r="203" spans="1:38" x14ac:dyDescent="0.35">
      <c r="A203" s="10">
        <v>44380</v>
      </c>
      <c r="B203" s="2">
        <v>2021</v>
      </c>
      <c r="C203" s="2">
        <f>COUNTIFS(Games[Team],Games[[#This Row],[Team]],Games[Season],Games[[#This Row],[Season]],Games[Date],"&lt;=" &amp; Games[[#This Row],[Date]])</f>
        <v>18</v>
      </c>
      <c r="D203" s="2" t="s">
        <v>79</v>
      </c>
      <c r="E203" s="2" t="s">
        <v>80</v>
      </c>
      <c r="F203" s="1" t="s">
        <v>69</v>
      </c>
      <c r="G203" s="1" t="s">
        <v>74</v>
      </c>
      <c r="H203" s="1" t="s">
        <v>82</v>
      </c>
      <c r="I203" s="2" cm="1">
        <f t="array" ref="I2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3" s="2" cm="1">
        <f t="array" ref="J2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3" s="2">
        <f>Games[[#This Row],[DaysOff]]-Games[[#This Row],[OppDaysOff]]</f>
        <v>0</v>
      </c>
      <c r="L203" s="2">
        <f>Games[[#This Row],[OppDaysOff]]-Games[[#This Row],[DaysOff]]</f>
        <v>0</v>
      </c>
      <c r="M203" s="1">
        <f>MAX(-16, MIN(16, Games[[#This Row],[RestDiff]]*8))</f>
        <v>0</v>
      </c>
      <c r="N203" s="1">
        <f>MAX(-16, MIN(16, Games[[#This Row],[OppRestDiff]]*8))</f>
        <v>0</v>
      </c>
      <c r="O203" s="4" cm="1">
        <f t="array" ref="O2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1294.2109010614895</v>
      </c>
      <c r="P203" s="4" cm="1">
        <f t="array" ref="P2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1606.2364372513555</v>
      </c>
      <c r="Q203" s="4">
        <f>1/(1+10^(((Games[[#This Row],[OppPreGmRate]]+IF(Games[[#This Row],[HomeAway]]="A",HCA,0)+Games[[#This Row],[OppRestAdj]])-(Games[[#This Row],[PreGmRate]]+IF(Games[[#This Row],[HomeAway]]="H",HCA,0)+Games[[#This Row],[RestAdj]]))/400))</f>
        <v>0.21204866984357967</v>
      </c>
      <c r="R203" s="1">
        <v>73</v>
      </c>
      <c r="S203" s="1">
        <v>67</v>
      </c>
      <c r="T203" s="1">
        <v>0</v>
      </c>
      <c r="U203" s="1">
        <f>Games[[#This Row],[PointsFor]]-Games[[#This Row],[PointsAgainst]]</f>
        <v>6</v>
      </c>
      <c r="V203" s="1">
        <f>IF(Games[[#This Row],[MOV]]&gt;0,1,IF(Games[[#This Row],[MOV]]=0,0.5,0))</f>
        <v>1</v>
      </c>
      <c r="W203" s="4">
        <f>((ABS(Games[[#This Row],[MOV]])+5)^0.6)/(12+0.01*(ABS(Games[[#This Row],[PreGmRate]]-Games[[#This Row],[OppPreGmRate]])))*IF(Games[[#This Row],[OT]]=1,0.9,1)</f>
        <v>0.27878954635344022</v>
      </c>
      <c r="X203" s="7" cm="1">
        <f t="array" ref="X2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3" s="9">
        <f>MAX(kmin, kmax - 0.15 * MIN(Games[[#This Row],[GamesPlayed]], 82))</f>
        <v>73.3</v>
      </c>
      <c r="Z203" s="4">
        <f>Games[[#This Row],[K]]*Games[[#This Row],[POMult]]</f>
        <v>73.3</v>
      </c>
      <c r="AA203" s="4">
        <f>(Games[[#This Row],[Keff]]*Games[[#This Row],[MOVMult]])*(Games[[#This Row],[Result]]-Games[[#This Row],[ExpectedWin%]])</f>
        <v>16.10200113161644</v>
      </c>
      <c r="AB203" s="4">
        <f>Games[[#This Row],[PreGmRate]]+Games[[#This Row],[RatingChange]]</f>
        <v>1310.3129021931059</v>
      </c>
      <c r="AC203" s="2">
        <f>IF(Games[[#This Row],[Type]]="R",IF(Games[[#This Row],[Result]]&gt;0.5,1,0),0)</f>
        <v>1</v>
      </c>
      <c r="AD203" s="2">
        <f>IF(Games[[#This Row],[Type]]="R",IF(Games[[#This Row],[Result]]&lt;0.5,1,0),0)</f>
        <v>0</v>
      </c>
      <c r="AE203" s="2">
        <f>IF(AND(Games[[#This Row],[Type]]="P",Games[[#This Row],[Round]]=1),IF(Games[[#This Row],[Result]]&gt;0.5,1,0),0)</f>
        <v>0</v>
      </c>
      <c r="AF203" s="2">
        <f>IF(AND(Games[[#This Row],[Type]]="P",Games[[#This Row],[Round]]=1),IF(Games[[#This Row],[Result]]&lt;0.5,1,0),0)</f>
        <v>0</v>
      </c>
      <c r="AG203" s="2">
        <f>IF(AND(Games[[#This Row],[Type]]="P",Games[[#This Row],[Round]]=2),IF(Games[[#This Row],[Result]]&gt;0.5,1,0),0)</f>
        <v>0</v>
      </c>
      <c r="AH203" s="2">
        <f>IF(AND(Games[[#This Row],[Type]]="P",Games[[#This Row],[Round]]=2),IF(Games[[#This Row],[Result]]&lt;0.5,1,0),0)</f>
        <v>0</v>
      </c>
      <c r="AI203" s="2">
        <f>IF(AND(Games[[#This Row],[Type]]="P",Games[[#This Row],[Round]]=3),IF(Games[[#This Row],[Result]]&gt;0.5,1,0),0)</f>
        <v>0</v>
      </c>
      <c r="AJ203" s="2">
        <f>IF(AND(Games[[#This Row],[Type]]="P",Games[[#This Row],[Round]]=3),IF(Games[[#This Row],[Result]]&lt;0.5,1,0),0)</f>
        <v>0</v>
      </c>
      <c r="AK203" s="2">
        <f>IF(AND(Games[[#This Row],[Type]]="P",Games[[#This Row],[Round]]=4),IF(Games[[#This Row],[Result]]&gt;0.5,1,0),0)</f>
        <v>0</v>
      </c>
      <c r="AL203" s="2">
        <f>IF(AND(Games[[#This Row],[Type]]="P",Games[[#This Row],[Round]]=4),IF(Games[[#This Row],[Result]]&lt;0.5,1,0),0)</f>
        <v>0</v>
      </c>
    </row>
    <row r="204" spans="1:38" x14ac:dyDescent="0.35">
      <c r="A204" s="10">
        <v>44380</v>
      </c>
      <c r="B204" s="2">
        <v>2021</v>
      </c>
      <c r="C204" s="2">
        <f>COUNTIFS(Games[Team],Games[[#This Row],[Team]],Games[Season],Games[[#This Row],[Season]],Games[Date],"&lt;=" &amp; Games[[#This Row],[Date]])</f>
        <v>17</v>
      </c>
      <c r="D204" s="2" t="s">
        <v>79</v>
      </c>
      <c r="E204" s="2" t="s">
        <v>80</v>
      </c>
      <c r="F204" s="1" t="s">
        <v>65</v>
      </c>
      <c r="G204" s="1" t="s">
        <v>60</v>
      </c>
      <c r="H204" s="1" t="s">
        <v>81</v>
      </c>
      <c r="I204" s="2" cm="1">
        <f t="array" ref="I20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4" s="2" cm="1">
        <f t="array" ref="J20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4" s="2">
        <f>Games[[#This Row],[DaysOff]]-Games[[#This Row],[OppDaysOff]]</f>
        <v>0</v>
      </c>
      <c r="L204" s="2">
        <f>Games[[#This Row],[OppDaysOff]]-Games[[#This Row],[DaysOff]]</f>
        <v>0</v>
      </c>
      <c r="M204" s="1">
        <f>MAX(-16, MIN(16, Games[[#This Row],[RestDiff]]*8))</f>
        <v>0</v>
      </c>
      <c r="N204" s="1">
        <f>MAX(-16, MIN(16, Games[[#This Row],[OppRestDiff]]*8))</f>
        <v>0</v>
      </c>
      <c r="O204" s="4" cm="1">
        <f t="array" ref="O2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1455.7712706911709</v>
      </c>
      <c r="P204" s="4" cm="1">
        <f t="array" ref="P2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1410.2268482269508</v>
      </c>
      <c r="Q204" s="4">
        <f>1/(1+10^(((Games[[#This Row],[OppPreGmRate]]+IF(Games[[#This Row],[HomeAway]]="A",HCA,0)+Games[[#This Row],[OppRestAdj]])-(Games[[#This Row],[PreGmRate]]+IF(Games[[#This Row],[HomeAway]]="H",HCA,0)+Games[[#This Row],[RestAdj]]))/400))</f>
        <v>0.44488287087606171</v>
      </c>
      <c r="R204" s="1">
        <v>79</v>
      </c>
      <c r="S204" s="1">
        <v>82</v>
      </c>
      <c r="T204" s="1">
        <v>0</v>
      </c>
      <c r="U204" s="1">
        <f>Games[[#This Row],[PointsFor]]-Games[[#This Row],[PointsAgainst]]</f>
        <v>-3</v>
      </c>
      <c r="V204" s="1">
        <f>IF(Games[[#This Row],[MOV]]&gt;0,1,IF(Games[[#This Row],[MOV]]=0,0.5,0))</f>
        <v>0</v>
      </c>
      <c r="W204" s="4">
        <f>((ABS(Games[[#This Row],[MOV]])+5)^0.6)/(12+0.01*(ABS(Games[[#This Row],[PreGmRate]]-Games[[#This Row],[OppPreGmRate]])))*IF(Games[[#This Row],[OT]]=1,0.9,1)</f>
        <v>0.27957270655150213</v>
      </c>
      <c r="X204" s="7" cm="1">
        <f t="array" ref="X2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4" s="9">
        <f>MAX(kmin, kmax - 0.15 * MIN(Games[[#This Row],[GamesPlayed]], 82))</f>
        <v>73.45</v>
      </c>
      <c r="Z204" s="4">
        <f>Games[[#This Row],[K]]*Games[[#This Row],[POMult]]</f>
        <v>73.45</v>
      </c>
      <c r="AA204" s="4">
        <f>(Games[[#This Row],[Keff]]*Games[[#This Row],[MOVMult]])*(Games[[#This Row],[Result]]-Games[[#This Row],[ExpectedWin%]])</f>
        <v>-9.1354986053124314</v>
      </c>
      <c r="AB204" s="4">
        <f>Games[[#This Row],[PreGmRate]]+Games[[#This Row],[RatingChange]]</f>
        <v>1446.6357720858584</v>
      </c>
      <c r="AC204" s="2">
        <f>IF(Games[[#This Row],[Type]]="R",IF(Games[[#This Row],[Result]]&gt;0.5,1,0),0)</f>
        <v>0</v>
      </c>
      <c r="AD204" s="2">
        <f>IF(Games[[#This Row],[Type]]="R",IF(Games[[#This Row],[Result]]&lt;0.5,1,0),0)</f>
        <v>1</v>
      </c>
      <c r="AE204" s="2">
        <f>IF(AND(Games[[#This Row],[Type]]="P",Games[[#This Row],[Round]]=1),IF(Games[[#This Row],[Result]]&gt;0.5,1,0),0)</f>
        <v>0</v>
      </c>
      <c r="AF204" s="2">
        <f>IF(AND(Games[[#This Row],[Type]]="P",Games[[#This Row],[Round]]=1),IF(Games[[#This Row],[Result]]&lt;0.5,1,0),0)</f>
        <v>0</v>
      </c>
      <c r="AG204" s="2">
        <f>IF(AND(Games[[#This Row],[Type]]="P",Games[[#This Row],[Round]]=2),IF(Games[[#This Row],[Result]]&gt;0.5,1,0),0)</f>
        <v>0</v>
      </c>
      <c r="AH204" s="2">
        <f>IF(AND(Games[[#This Row],[Type]]="P",Games[[#This Row],[Round]]=2),IF(Games[[#This Row],[Result]]&lt;0.5,1,0),0)</f>
        <v>0</v>
      </c>
      <c r="AI204" s="2">
        <f>IF(AND(Games[[#This Row],[Type]]="P",Games[[#This Row],[Round]]=3),IF(Games[[#This Row],[Result]]&gt;0.5,1,0),0)</f>
        <v>0</v>
      </c>
      <c r="AJ204" s="2">
        <f>IF(AND(Games[[#This Row],[Type]]="P",Games[[#This Row],[Round]]=3),IF(Games[[#This Row],[Result]]&lt;0.5,1,0),0)</f>
        <v>0</v>
      </c>
      <c r="AK204" s="2">
        <f>IF(AND(Games[[#This Row],[Type]]="P",Games[[#This Row],[Round]]=4),IF(Games[[#This Row],[Result]]&gt;0.5,1,0),0)</f>
        <v>0</v>
      </c>
      <c r="AL204" s="2">
        <f>IF(AND(Games[[#This Row],[Type]]="P",Games[[#This Row],[Round]]=4),IF(Games[[#This Row],[Result]]&lt;0.5,1,0),0)</f>
        <v>0</v>
      </c>
    </row>
    <row r="205" spans="1:38" x14ac:dyDescent="0.35">
      <c r="A205" s="10">
        <v>44380</v>
      </c>
      <c r="B205" s="2">
        <v>2021</v>
      </c>
      <c r="C205" s="2">
        <f>COUNTIFS(Games[Team],Games[[#This Row],[Team]],Games[Season],Games[[#This Row],[Season]],Games[Date],"&lt;=" &amp; Games[[#This Row],[Date]])</f>
        <v>18</v>
      </c>
      <c r="D205" s="2" t="s">
        <v>79</v>
      </c>
      <c r="E205" s="2" t="s">
        <v>80</v>
      </c>
      <c r="F205" s="1" t="s">
        <v>60</v>
      </c>
      <c r="G205" s="1" t="s">
        <v>65</v>
      </c>
      <c r="H205" s="1" t="s">
        <v>82</v>
      </c>
      <c r="I205" s="2" cm="1">
        <f t="array" ref="I20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05" s="2" cm="1">
        <f t="array" ref="J20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05" s="2">
        <f>Games[[#This Row],[DaysOff]]-Games[[#This Row],[OppDaysOff]]</f>
        <v>0</v>
      </c>
      <c r="L205" s="2">
        <f>Games[[#This Row],[OppDaysOff]]-Games[[#This Row],[DaysOff]]</f>
        <v>0</v>
      </c>
      <c r="M205" s="1">
        <f>MAX(-16, MIN(16, Games[[#This Row],[RestDiff]]*8))</f>
        <v>0</v>
      </c>
      <c r="N205" s="1">
        <f>MAX(-16, MIN(16, Games[[#This Row],[OppRestDiff]]*8))</f>
        <v>0</v>
      </c>
      <c r="O205" s="4" cm="1">
        <f t="array" ref="O2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1410.2268482269508</v>
      </c>
      <c r="P205" s="4" cm="1">
        <f t="array" ref="P2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1455.7712706911709</v>
      </c>
      <c r="Q205" s="4">
        <f>1/(1+10^(((Games[[#This Row],[OppPreGmRate]]+IF(Games[[#This Row],[HomeAway]]="A",HCA,0)+Games[[#This Row],[OppRestAdj]])-(Games[[#This Row],[PreGmRate]]+IF(Games[[#This Row],[HomeAway]]="H",HCA,0)+Games[[#This Row],[RestAdj]]))/400))</f>
        <v>0.55511712912393829</v>
      </c>
      <c r="R205" s="1">
        <v>82</v>
      </c>
      <c r="S205" s="1">
        <v>79</v>
      </c>
      <c r="T205" s="1">
        <v>0</v>
      </c>
      <c r="U205" s="1">
        <f>Games[[#This Row],[PointsFor]]-Games[[#This Row],[PointsAgainst]]</f>
        <v>3</v>
      </c>
      <c r="V205" s="1">
        <f>IF(Games[[#This Row],[MOV]]&gt;0,1,IF(Games[[#This Row],[MOV]]=0,0.5,0))</f>
        <v>1</v>
      </c>
      <c r="W205" s="4">
        <f>((ABS(Games[[#This Row],[MOV]])+5)^0.6)/(12+0.01*(ABS(Games[[#This Row],[PreGmRate]]-Games[[#This Row],[OppPreGmRate]])))*IF(Games[[#This Row],[OT]]=1,0.9,1)</f>
        <v>0.27957270655150213</v>
      </c>
      <c r="X205" s="7" cm="1">
        <f t="array" ref="X2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5" s="9">
        <f>MAX(kmin, kmax - 0.15 * MIN(Games[[#This Row],[GamesPlayed]], 82))</f>
        <v>73.3</v>
      </c>
      <c r="Z205" s="4">
        <f>Games[[#This Row],[K]]*Games[[#This Row],[POMult]]</f>
        <v>73.3</v>
      </c>
      <c r="AA205" s="4">
        <f>(Games[[#This Row],[Keff]]*Games[[#This Row],[MOVMult]])*(Games[[#This Row],[Result]]-Games[[#This Row],[ExpectedWin%]])</f>
        <v>9.1168420390660465</v>
      </c>
      <c r="AB205" s="4">
        <f>Games[[#This Row],[PreGmRate]]+Games[[#This Row],[RatingChange]]</f>
        <v>1419.3436902660169</v>
      </c>
      <c r="AC205" s="2">
        <f>IF(Games[[#This Row],[Type]]="R",IF(Games[[#This Row],[Result]]&gt;0.5,1,0),0)</f>
        <v>1</v>
      </c>
      <c r="AD205" s="2">
        <f>IF(Games[[#This Row],[Type]]="R",IF(Games[[#This Row],[Result]]&lt;0.5,1,0),0)</f>
        <v>0</v>
      </c>
      <c r="AE205" s="2">
        <f>IF(AND(Games[[#This Row],[Type]]="P",Games[[#This Row],[Round]]=1),IF(Games[[#This Row],[Result]]&gt;0.5,1,0),0)</f>
        <v>0</v>
      </c>
      <c r="AF205" s="2">
        <f>IF(AND(Games[[#This Row],[Type]]="P",Games[[#This Row],[Round]]=1),IF(Games[[#This Row],[Result]]&lt;0.5,1,0),0)</f>
        <v>0</v>
      </c>
      <c r="AG205" s="2">
        <f>IF(AND(Games[[#This Row],[Type]]="P",Games[[#This Row],[Round]]=2),IF(Games[[#This Row],[Result]]&gt;0.5,1,0),0)</f>
        <v>0</v>
      </c>
      <c r="AH205" s="2">
        <f>IF(AND(Games[[#This Row],[Type]]="P",Games[[#This Row],[Round]]=2),IF(Games[[#This Row],[Result]]&lt;0.5,1,0),0)</f>
        <v>0</v>
      </c>
      <c r="AI205" s="2">
        <f>IF(AND(Games[[#This Row],[Type]]="P",Games[[#This Row],[Round]]=3),IF(Games[[#This Row],[Result]]&gt;0.5,1,0),0)</f>
        <v>0</v>
      </c>
      <c r="AJ205" s="2">
        <f>IF(AND(Games[[#This Row],[Type]]="P",Games[[#This Row],[Round]]=3),IF(Games[[#This Row],[Result]]&lt;0.5,1,0),0)</f>
        <v>0</v>
      </c>
      <c r="AK205" s="2">
        <f>IF(AND(Games[[#This Row],[Type]]="P",Games[[#This Row],[Round]]=4),IF(Games[[#This Row],[Result]]&gt;0.5,1,0),0)</f>
        <v>0</v>
      </c>
      <c r="AL205" s="2">
        <f>IF(AND(Games[[#This Row],[Type]]="P",Games[[#This Row],[Round]]=4),IF(Games[[#This Row],[Result]]&lt;0.5,1,0),0)</f>
        <v>0</v>
      </c>
    </row>
    <row r="206" spans="1:38" x14ac:dyDescent="0.35">
      <c r="A206" s="10">
        <v>44380</v>
      </c>
      <c r="B206" s="2">
        <v>2021</v>
      </c>
      <c r="C206" s="2">
        <f>COUNTIFS(Games[Team],Games[[#This Row],[Team]],Games[Season],Games[[#This Row],[Season]],Games[Date],"&lt;=" &amp; Games[[#This Row],[Date]])</f>
        <v>16</v>
      </c>
      <c r="D206" s="2" t="s">
        <v>79</v>
      </c>
      <c r="E206" s="2" t="s">
        <v>80</v>
      </c>
      <c r="F206" s="1" t="s">
        <v>67</v>
      </c>
      <c r="G206" s="1" t="s">
        <v>40</v>
      </c>
      <c r="H206" s="1" t="s">
        <v>81</v>
      </c>
      <c r="I206" s="2" cm="1">
        <f t="array" ref="I2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6" s="2" cm="1">
        <f t="array" ref="J2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6" s="2">
        <f>Games[[#This Row],[DaysOff]]-Games[[#This Row],[OppDaysOff]]</f>
        <v>0</v>
      </c>
      <c r="L206" s="2">
        <f>Games[[#This Row],[OppDaysOff]]-Games[[#This Row],[DaysOff]]</f>
        <v>0</v>
      </c>
      <c r="M206" s="1">
        <f>MAX(-16, MIN(16, Games[[#This Row],[RestDiff]]*8))</f>
        <v>0</v>
      </c>
      <c r="N206" s="1">
        <f>MAX(-16, MIN(16, Games[[#This Row],[OppRestDiff]]*8))</f>
        <v>0</v>
      </c>
      <c r="O206" s="4" cm="1">
        <f t="array" ref="O2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1522.5505566049374</v>
      </c>
      <c r="P206" s="4" cm="1">
        <f t="array" ref="P2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1483.7870930047384</v>
      </c>
      <c r="Q206" s="4">
        <f>1/(1+10^(((Games[[#This Row],[OppPreGmRate]]+IF(Games[[#This Row],[HomeAway]]="A",HCA,0)+Games[[#This Row],[OppRestAdj]])-(Games[[#This Row],[PreGmRate]]+IF(Games[[#This Row],[HomeAway]]="H",HCA,0)+Games[[#This Row],[RestAdj]]))/400))</f>
        <v>0.43526478310554878</v>
      </c>
      <c r="R206" s="1">
        <v>99</v>
      </c>
      <c r="S206" s="1">
        <v>68</v>
      </c>
      <c r="T206" s="1">
        <v>0</v>
      </c>
      <c r="U206" s="1">
        <f>Games[[#This Row],[PointsFor]]-Games[[#This Row],[PointsAgainst]]</f>
        <v>31</v>
      </c>
      <c r="V206" s="1">
        <f>IF(Games[[#This Row],[MOV]]&gt;0,1,IF(Games[[#This Row],[MOV]]=0,0.5,0))</f>
        <v>1</v>
      </c>
      <c r="W206" s="4">
        <f>((ABS(Games[[#This Row],[MOV]])+5)^0.6)/(12+0.01*(ABS(Games[[#This Row],[PreGmRate]]-Games[[#This Row],[OppPreGmRate]])))*IF(Games[[#This Row],[OT]]=1,0.9,1)</f>
        <v>0.69309555366435427</v>
      </c>
      <c r="X206" s="7" cm="1">
        <f t="array" ref="X2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6" s="9">
        <f>MAX(kmin, kmax - 0.15 * MIN(Games[[#This Row],[GamesPlayed]], 82))</f>
        <v>73.599999999999994</v>
      </c>
      <c r="Z206" s="4">
        <f>Games[[#This Row],[K]]*Games[[#This Row],[POMult]]</f>
        <v>73.599999999999994</v>
      </c>
      <c r="AA206" s="4">
        <f>(Games[[#This Row],[Keff]]*Games[[#This Row],[MOVMult]])*(Games[[#This Row],[Result]]-Games[[#This Row],[ExpectedWin%]])</f>
        <v>28.808178432083306</v>
      </c>
      <c r="AB206" s="4">
        <f>Games[[#This Row],[PreGmRate]]+Games[[#This Row],[RatingChange]]</f>
        <v>1551.3587350370206</v>
      </c>
      <c r="AC206" s="2">
        <f>IF(Games[[#This Row],[Type]]="R",IF(Games[[#This Row],[Result]]&gt;0.5,1,0),0)</f>
        <v>1</v>
      </c>
      <c r="AD206" s="2">
        <f>IF(Games[[#This Row],[Type]]="R",IF(Games[[#This Row],[Result]]&lt;0.5,1,0),0)</f>
        <v>0</v>
      </c>
      <c r="AE206" s="2">
        <f>IF(AND(Games[[#This Row],[Type]]="P",Games[[#This Row],[Round]]=1),IF(Games[[#This Row],[Result]]&gt;0.5,1,0),0)</f>
        <v>0</v>
      </c>
      <c r="AF206" s="2">
        <f>IF(AND(Games[[#This Row],[Type]]="P",Games[[#This Row],[Round]]=1),IF(Games[[#This Row],[Result]]&lt;0.5,1,0),0)</f>
        <v>0</v>
      </c>
      <c r="AG206" s="2">
        <f>IF(AND(Games[[#This Row],[Type]]="P",Games[[#This Row],[Round]]=2),IF(Games[[#This Row],[Result]]&gt;0.5,1,0),0)</f>
        <v>0</v>
      </c>
      <c r="AH206" s="2">
        <f>IF(AND(Games[[#This Row],[Type]]="P",Games[[#This Row],[Round]]=2),IF(Games[[#This Row],[Result]]&lt;0.5,1,0),0)</f>
        <v>0</v>
      </c>
      <c r="AI206" s="2">
        <f>IF(AND(Games[[#This Row],[Type]]="P",Games[[#This Row],[Round]]=3),IF(Games[[#This Row],[Result]]&gt;0.5,1,0),0)</f>
        <v>0</v>
      </c>
      <c r="AJ206" s="2">
        <f>IF(AND(Games[[#This Row],[Type]]="P",Games[[#This Row],[Round]]=3),IF(Games[[#This Row],[Result]]&lt;0.5,1,0),0)</f>
        <v>0</v>
      </c>
      <c r="AK206" s="2">
        <f>IF(AND(Games[[#This Row],[Type]]="P",Games[[#This Row],[Round]]=4),IF(Games[[#This Row],[Result]]&gt;0.5,1,0),0)</f>
        <v>0</v>
      </c>
      <c r="AL206" s="2">
        <f>IF(AND(Games[[#This Row],[Type]]="P",Games[[#This Row],[Round]]=4),IF(Games[[#This Row],[Result]]&lt;0.5,1,0),0)</f>
        <v>0</v>
      </c>
    </row>
    <row r="207" spans="1:38" x14ac:dyDescent="0.35">
      <c r="A207" s="10">
        <v>44380</v>
      </c>
      <c r="B207" s="2">
        <v>2021</v>
      </c>
      <c r="C207" s="2">
        <f>COUNTIFS(Games[Team],Games[[#This Row],[Team]],Games[Season],Games[[#This Row],[Season]],Games[Date],"&lt;=" &amp; Games[[#This Row],[Date]])</f>
        <v>16</v>
      </c>
      <c r="D207" s="2" t="s">
        <v>79</v>
      </c>
      <c r="E207" s="2" t="s">
        <v>80</v>
      </c>
      <c r="F207" s="1" t="s">
        <v>40</v>
      </c>
      <c r="G207" s="1" t="s">
        <v>67</v>
      </c>
      <c r="H207" s="1" t="s">
        <v>82</v>
      </c>
      <c r="I207" s="2" cm="1">
        <f t="array" ref="I2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207" s="2" cm="1">
        <f t="array" ref="J2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07" s="2">
        <f>Games[[#This Row],[DaysOff]]-Games[[#This Row],[OppDaysOff]]</f>
        <v>0</v>
      </c>
      <c r="L207" s="2">
        <f>Games[[#This Row],[OppDaysOff]]-Games[[#This Row],[DaysOff]]</f>
        <v>0</v>
      </c>
      <c r="M207" s="1">
        <f>MAX(-16, MIN(16, Games[[#This Row],[RestDiff]]*8))</f>
        <v>0</v>
      </c>
      <c r="N207" s="1">
        <f>MAX(-16, MIN(16, Games[[#This Row],[OppRestDiff]]*8))</f>
        <v>0</v>
      </c>
      <c r="O207" s="4" cm="1">
        <f t="array" ref="O2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1483.7870930047384</v>
      </c>
      <c r="P207" s="4" cm="1">
        <f t="array" ref="P2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1522.5505566049374</v>
      </c>
      <c r="Q207" s="4">
        <f>1/(1+10^(((Games[[#This Row],[OppPreGmRate]]+IF(Games[[#This Row],[HomeAway]]="A",HCA,0)+Games[[#This Row],[OppRestAdj]])-(Games[[#This Row],[PreGmRate]]+IF(Games[[#This Row],[HomeAway]]="H",HCA,0)+Games[[#This Row],[RestAdj]]))/400))</f>
        <v>0.56473521689445116</v>
      </c>
      <c r="R207" s="1">
        <v>68</v>
      </c>
      <c r="S207" s="1">
        <v>99</v>
      </c>
      <c r="T207" s="1">
        <v>0</v>
      </c>
      <c r="U207" s="1">
        <f>Games[[#This Row],[PointsFor]]-Games[[#This Row],[PointsAgainst]]</f>
        <v>-31</v>
      </c>
      <c r="V207" s="1">
        <f>IF(Games[[#This Row],[MOV]]&gt;0,1,IF(Games[[#This Row],[MOV]]=0,0.5,0))</f>
        <v>0</v>
      </c>
      <c r="W207" s="4">
        <f>((ABS(Games[[#This Row],[MOV]])+5)^0.6)/(12+0.01*(ABS(Games[[#This Row],[PreGmRate]]-Games[[#This Row],[OppPreGmRate]])))*IF(Games[[#This Row],[OT]]=1,0.9,1)</f>
        <v>0.69309555366435427</v>
      </c>
      <c r="X207" s="7" cm="1">
        <f t="array" ref="X2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7" s="9">
        <f>MAX(kmin, kmax - 0.15 * MIN(Games[[#This Row],[GamesPlayed]], 82))</f>
        <v>73.599999999999994</v>
      </c>
      <c r="Z207" s="4">
        <f>Games[[#This Row],[K]]*Games[[#This Row],[POMult]]</f>
        <v>73.599999999999994</v>
      </c>
      <c r="AA207" s="4">
        <f>(Games[[#This Row],[Keff]]*Games[[#This Row],[MOVMult]])*(Games[[#This Row],[Result]]-Games[[#This Row],[ExpectedWin%]])</f>
        <v>-28.808178432083302</v>
      </c>
      <c r="AB207" s="4">
        <f>Games[[#This Row],[PreGmRate]]+Games[[#This Row],[RatingChange]]</f>
        <v>1454.9789145726552</v>
      </c>
      <c r="AC207" s="2">
        <f>IF(Games[[#This Row],[Type]]="R",IF(Games[[#This Row],[Result]]&gt;0.5,1,0),0)</f>
        <v>0</v>
      </c>
      <c r="AD207" s="2">
        <f>IF(Games[[#This Row],[Type]]="R",IF(Games[[#This Row],[Result]]&lt;0.5,1,0),0)</f>
        <v>1</v>
      </c>
      <c r="AE207" s="2">
        <f>IF(AND(Games[[#This Row],[Type]]="P",Games[[#This Row],[Round]]=1),IF(Games[[#This Row],[Result]]&gt;0.5,1,0),0)</f>
        <v>0</v>
      </c>
      <c r="AF207" s="2">
        <f>IF(AND(Games[[#This Row],[Type]]="P",Games[[#This Row],[Round]]=1),IF(Games[[#This Row],[Result]]&lt;0.5,1,0),0)</f>
        <v>0</v>
      </c>
      <c r="AG207" s="2">
        <f>IF(AND(Games[[#This Row],[Type]]="P",Games[[#This Row],[Round]]=2),IF(Games[[#This Row],[Result]]&gt;0.5,1,0),0)</f>
        <v>0</v>
      </c>
      <c r="AH207" s="2">
        <f>IF(AND(Games[[#This Row],[Type]]="P",Games[[#This Row],[Round]]=2),IF(Games[[#This Row],[Result]]&lt;0.5,1,0),0)</f>
        <v>0</v>
      </c>
      <c r="AI207" s="2">
        <f>IF(AND(Games[[#This Row],[Type]]="P",Games[[#This Row],[Round]]=3),IF(Games[[#This Row],[Result]]&gt;0.5,1,0),0)</f>
        <v>0</v>
      </c>
      <c r="AJ207" s="2">
        <f>IF(AND(Games[[#This Row],[Type]]="P",Games[[#This Row],[Round]]=3),IF(Games[[#This Row],[Result]]&lt;0.5,1,0),0)</f>
        <v>0</v>
      </c>
      <c r="AK207" s="2">
        <f>IF(AND(Games[[#This Row],[Type]]="P",Games[[#This Row],[Round]]=4),IF(Games[[#This Row],[Result]]&gt;0.5,1,0),0)</f>
        <v>0</v>
      </c>
      <c r="AL207" s="2">
        <f>IF(AND(Games[[#This Row],[Type]]="P",Games[[#This Row],[Round]]=4),IF(Games[[#This Row],[Result]]&lt;0.5,1,0),0)</f>
        <v>0</v>
      </c>
    </row>
    <row r="208" spans="1:38" x14ac:dyDescent="0.35">
      <c r="A208" s="10">
        <v>44381</v>
      </c>
      <c r="B208" s="2">
        <v>2021</v>
      </c>
      <c r="C208" s="2">
        <f>COUNTIFS(Games[Team],Games[[#This Row],[Team]],Games[Season],Games[[#This Row],[Season]],Games[Date],"&lt;=" &amp; Games[[#This Row],[Date]])</f>
        <v>18</v>
      </c>
      <c r="D208" s="2" t="s">
        <v>79</v>
      </c>
      <c r="E208" s="2" t="s">
        <v>80</v>
      </c>
      <c r="F208" s="1" t="s">
        <v>71</v>
      </c>
      <c r="G208" s="1" t="s">
        <v>63</v>
      </c>
      <c r="H208" s="1" t="s">
        <v>81</v>
      </c>
      <c r="I208" s="2" cm="1">
        <f t="array" ref="I2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8" s="2" cm="1">
        <f t="array" ref="J2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8" s="2">
        <f>Games[[#This Row],[DaysOff]]-Games[[#This Row],[OppDaysOff]]</f>
        <v>0</v>
      </c>
      <c r="L208" s="2">
        <f>Games[[#This Row],[OppDaysOff]]-Games[[#This Row],[DaysOff]]</f>
        <v>0</v>
      </c>
      <c r="M208" s="1">
        <f>MAX(-16, MIN(16, Games[[#This Row],[RestDiff]]*8))</f>
        <v>0</v>
      </c>
      <c r="N208" s="1">
        <f>MAX(-16, MIN(16, Games[[#This Row],[OppRestDiff]]*8))</f>
        <v>0</v>
      </c>
      <c r="O208" s="4" cm="1">
        <f t="array" ref="O2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1674.2114024089194</v>
      </c>
      <c r="P208" s="4" cm="1">
        <f t="array" ref="P2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1435.0619602026909</v>
      </c>
      <c r="Q208" s="4">
        <f>1/(1+10^(((Games[[#This Row],[OppPreGmRate]]+IF(Games[[#This Row],[HomeAway]]="A",HCA,0)+Games[[#This Row],[OppRestAdj]])-(Games[[#This Row],[PreGmRate]]+IF(Games[[#This Row],[HomeAway]]="H",HCA,0)+Games[[#This Row],[RestAdj]]))/400))</f>
        <v>0.70953195869365004</v>
      </c>
      <c r="R208" s="1">
        <v>84</v>
      </c>
      <c r="S208" s="1">
        <v>74</v>
      </c>
      <c r="T208" s="1">
        <v>0</v>
      </c>
      <c r="U208" s="1">
        <f>Games[[#This Row],[PointsFor]]-Games[[#This Row],[PointsAgainst]]</f>
        <v>10</v>
      </c>
      <c r="V208" s="1">
        <f>IF(Games[[#This Row],[MOV]]&gt;0,1,IF(Games[[#This Row],[MOV]]=0,0.5,0))</f>
        <v>1</v>
      </c>
      <c r="W208" s="4">
        <f>((ABS(Games[[#This Row],[MOV]])+5)^0.6)/(12+0.01*(ABS(Games[[#This Row],[PreGmRate]]-Games[[#This Row],[OppPreGmRate]])))*IF(Games[[#This Row],[OT]]=1,0.9,1)</f>
        <v>0.35281647917004849</v>
      </c>
      <c r="X208" s="7" cm="1">
        <f t="array" ref="X2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8" s="9">
        <f>MAX(kmin, kmax - 0.15 * MIN(Games[[#This Row],[GamesPlayed]], 82))</f>
        <v>73.3</v>
      </c>
      <c r="Z208" s="4">
        <f>Games[[#This Row],[K]]*Games[[#This Row],[POMult]]</f>
        <v>73.3</v>
      </c>
      <c r="AA208" s="4">
        <f>(Games[[#This Row],[Keff]]*Games[[#This Row],[MOVMult]])*(Games[[#This Row],[Result]]-Games[[#This Row],[ExpectedWin%]])</f>
        <v>7.5119241235877805</v>
      </c>
      <c r="AB208" s="4">
        <f>Games[[#This Row],[PreGmRate]]+Games[[#This Row],[RatingChange]]</f>
        <v>1681.7233265325071</v>
      </c>
      <c r="AC208" s="2">
        <f>IF(Games[[#This Row],[Type]]="R",IF(Games[[#This Row],[Result]]&gt;0.5,1,0),0)</f>
        <v>1</v>
      </c>
      <c r="AD208" s="2">
        <f>IF(Games[[#This Row],[Type]]="R",IF(Games[[#This Row],[Result]]&lt;0.5,1,0),0)</f>
        <v>0</v>
      </c>
      <c r="AE208" s="2">
        <f>IF(AND(Games[[#This Row],[Type]]="P",Games[[#This Row],[Round]]=1),IF(Games[[#This Row],[Result]]&gt;0.5,1,0),0)</f>
        <v>0</v>
      </c>
      <c r="AF208" s="2">
        <f>IF(AND(Games[[#This Row],[Type]]="P",Games[[#This Row],[Round]]=1),IF(Games[[#This Row],[Result]]&lt;0.5,1,0),0)</f>
        <v>0</v>
      </c>
      <c r="AG208" s="2">
        <f>IF(AND(Games[[#This Row],[Type]]="P",Games[[#This Row],[Round]]=2),IF(Games[[#This Row],[Result]]&gt;0.5,1,0),0)</f>
        <v>0</v>
      </c>
      <c r="AH208" s="2">
        <f>IF(AND(Games[[#This Row],[Type]]="P",Games[[#This Row],[Round]]=2),IF(Games[[#This Row],[Result]]&lt;0.5,1,0),0)</f>
        <v>0</v>
      </c>
      <c r="AI208" s="2">
        <f>IF(AND(Games[[#This Row],[Type]]="P",Games[[#This Row],[Round]]=3),IF(Games[[#This Row],[Result]]&gt;0.5,1,0),0)</f>
        <v>0</v>
      </c>
      <c r="AJ208" s="2">
        <f>IF(AND(Games[[#This Row],[Type]]="P",Games[[#This Row],[Round]]=3),IF(Games[[#This Row],[Result]]&lt;0.5,1,0),0)</f>
        <v>0</v>
      </c>
      <c r="AK208" s="2">
        <f>IF(AND(Games[[#This Row],[Type]]="P",Games[[#This Row],[Round]]=4),IF(Games[[#This Row],[Result]]&gt;0.5,1,0),0)</f>
        <v>0</v>
      </c>
      <c r="AL208" s="2">
        <f>IF(AND(Games[[#This Row],[Type]]="P",Games[[#This Row],[Round]]=4),IF(Games[[#This Row],[Result]]&lt;0.5,1,0),0)</f>
        <v>0</v>
      </c>
    </row>
    <row r="209" spans="1:38" x14ac:dyDescent="0.35">
      <c r="A209" s="10">
        <v>44381</v>
      </c>
      <c r="B209" s="2">
        <v>2021</v>
      </c>
      <c r="C209" s="2">
        <f>COUNTIFS(Games[Team],Games[[#This Row],[Team]],Games[Season],Games[[#This Row],[Season]],Games[Date],"&lt;=" &amp; Games[[#This Row],[Date]])</f>
        <v>17</v>
      </c>
      <c r="D209" s="2" t="s">
        <v>79</v>
      </c>
      <c r="E209" s="2" t="s">
        <v>80</v>
      </c>
      <c r="F209" s="1" t="s">
        <v>63</v>
      </c>
      <c r="G209" s="1" t="s">
        <v>71</v>
      </c>
      <c r="H209" s="1" t="s">
        <v>82</v>
      </c>
      <c r="I209" s="2" cm="1">
        <f t="array" ref="I2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09" s="2" cm="1">
        <f t="array" ref="J2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09" s="2">
        <f>Games[[#This Row],[DaysOff]]-Games[[#This Row],[OppDaysOff]]</f>
        <v>0</v>
      </c>
      <c r="L209" s="2">
        <f>Games[[#This Row],[OppDaysOff]]-Games[[#This Row],[DaysOff]]</f>
        <v>0</v>
      </c>
      <c r="M209" s="1">
        <f>MAX(-16, MIN(16, Games[[#This Row],[RestDiff]]*8))</f>
        <v>0</v>
      </c>
      <c r="N209" s="1">
        <f>MAX(-16, MIN(16, Games[[#This Row],[OppRestDiff]]*8))</f>
        <v>0</v>
      </c>
      <c r="O209" s="4" cm="1">
        <f t="array" ref="O2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1435.0619602026909</v>
      </c>
      <c r="P209" s="4" cm="1">
        <f t="array" ref="P2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1674.2114024089194</v>
      </c>
      <c r="Q209" s="4">
        <f>1/(1+10^(((Games[[#This Row],[OppPreGmRate]]+IF(Games[[#This Row],[HomeAway]]="A",HCA,0)+Games[[#This Row],[OppRestAdj]])-(Games[[#This Row],[PreGmRate]]+IF(Games[[#This Row],[HomeAway]]="H",HCA,0)+Games[[#This Row],[RestAdj]]))/400))</f>
        <v>0.29046804130634996</v>
      </c>
      <c r="R209" s="1">
        <v>74</v>
      </c>
      <c r="S209" s="1">
        <v>84</v>
      </c>
      <c r="T209" s="1">
        <v>0</v>
      </c>
      <c r="U209" s="1">
        <f>Games[[#This Row],[PointsFor]]-Games[[#This Row],[PointsAgainst]]</f>
        <v>-10</v>
      </c>
      <c r="V209" s="1">
        <f>IF(Games[[#This Row],[MOV]]&gt;0,1,IF(Games[[#This Row],[MOV]]=0,0.5,0))</f>
        <v>0</v>
      </c>
      <c r="W209" s="4">
        <f>((ABS(Games[[#This Row],[MOV]])+5)^0.6)/(12+0.01*(ABS(Games[[#This Row],[PreGmRate]]-Games[[#This Row],[OppPreGmRate]])))*IF(Games[[#This Row],[OT]]=1,0.9,1)</f>
        <v>0.35281647917004849</v>
      </c>
      <c r="X209" s="7" cm="1">
        <f t="array" ref="X2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09" s="9">
        <f>MAX(kmin, kmax - 0.15 * MIN(Games[[#This Row],[GamesPlayed]], 82))</f>
        <v>73.45</v>
      </c>
      <c r="Z209" s="4">
        <f>Games[[#This Row],[K]]*Games[[#This Row],[POMult]]</f>
        <v>73.45</v>
      </c>
      <c r="AA209" s="4">
        <f>(Games[[#This Row],[Keff]]*Games[[#This Row],[MOVMult]])*(Games[[#This Row],[Result]]-Games[[#This Row],[ExpectedWin%]])</f>
        <v>-7.5272964103345492</v>
      </c>
      <c r="AB209" s="4">
        <f>Games[[#This Row],[PreGmRate]]+Games[[#This Row],[RatingChange]]</f>
        <v>1427.5346637923562</v>
      </c>
      <c r="AC209" s="2">
        <f>IF(Games[[#This Row],[Type]]="R",IF(Games[[#This Row],[Result]]&gt;0.5,1,0),0)</f>
        <v>0</v>
      </c>
      <c r="AD209" s="2">
        <f>IF(Games[[#This Row],[Type]]="R",IF(Games[[#This Row],[Result]]&lt;0.5,1,0),0)</f>
        <v>1</v>
      </c>
      <c r="AE209" s="2">
        <f>IF(AND(Games[[#This Row],[Type]]="P",Games[[#This Row],[Round]]=1),IF(Games[[#This Row],[Result]]&gt;0.5,1,0),0)</f>
        <v>0</v>
      </c>
      <c r="AF209" s="2">
        <f>IF(AND(Games[[#This Row],[Type]]="P",Games[[#This Row],[Round]]=1),IF(Games[[#This Row],[Result]]&lt;0.5,1,0),0)</f>
        <v>0</v>
      </c>
      <c r="AG209" s="2">
        <f>IF(AND(Games[[#This Row],[Type]]="P",Games[[#This Row],[Round]]=2),IF(Games[[#This Row],[Result]]&gt;0.5,1,0),0)</f>
        <v>0</v>
      </c>
      <c r="AH209" s="2">
        <f>IF(AND(Games[[#This Row],[Type]]="P",Games[[#This Row],[Round]]=2),IF(Games[[#This Row],[Result]]&lt;0.5,1,0),0)</f>
        <v>0</v>
      </c>
      <c r="AI209" s="2">
        <f>IF(AND(Games[[#This Row],[Type]]="P",Games[[#This Row],[Round]]=3),IF(Games[[#This Row],[Result]]&gt;0.5,1,0),0)</f>
        <v>0</v>
      </c>
      <c r="AJ209" s="2">
        <f>IF(AND(Games[[#This Row],[Type]]="P",Games[[#This Row],[Round]]=3),IF(Games[[#This Row],[Result]]&lt;0.5,1,0),0)</f>
        <v>0</v>
      </c>
      <c r="AK209" s="2">
        <f>IF(AND(Games[[#This Row],[Type]]="P",Games[[#This Row],[Round]]=4),IF(Games[[#This Row],[Result]]&gt;0.5,1,0),0)</f>
        <v>0</v>
      </c>
      <c r="AL209" s="2">
        <f>IF(AND(Games[[#This Row],[Type]]="P",Games[[#This Row],[Round]]=4),IF(Games[[#This Row],[Result]]&lt;0.5,1,0),0)</f>
        <v>0</v>
      </c>
    </row>
    <row r="210" spans="1:38" x14ac:dyDescent="0.35">
      <c r="A210" s="10">
        <v>44381</v>
      </c>
      <c r="B210" s="2">
        <v>2021</v>
      </c>
      <c r="C210" s="2">
        <f>COUNTIFS(Games[Team],Games[[#This Row],[Team]],Games[Season],Games[[#This Row],[Season]],Games[Date],"&lt;=" &amp; Games[[#This Row],[Date]])</f>
        <v>17</v>
      </c>
      <c r="D210" s="2" t="s">
        <v>79</v>
      </c>
      <c r="E210" s="2" t="s">
        <v>80</v>
      </c>
      <c r="F210" s="1" t="s">
        <v>77</v>
      </c>
      <c r="G210" s="1" t="s">
        <v>85</v>
      </c>
      <c r="H210" s="1" t="s">
        <v>81</v>
      </c>
      <c r="I210" s="2" cm="1">
        <f t="array" ref="I2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0" s="2" cm="1">
        <f t="array" ref="J2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0" s="2">
        <f>Games[[#This Row],[DaysOff]]-Games[[#This Row],[OppDaysOff]]</f>
        <v>0</v>
      </c>
      <c r="L210" s="2">
        <f>Games[[#This Row],[OppDaysOff]]-Games[[#This Row],[DaysOff]]</f>
        <v>0</v>
      </c>
      <c r="M210" s="1">
        <f>MAX(-16, MIN(16, Games[[#This Row],[RestDiff]]*8))</f>
        <v>0</v>
      </c>
      <c r="N210" s="1">
        <f>MAX(-16, MIN(16, Games[[#This Row],[OppRestDiff]]*8))</f>
        <v>0</v>
      </c>
      <c r="O210" s="4" cm="1">
        <f t="array" ref="O2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1404.4338437332867</v>
      </c>
      <c r="P210" s="4" cm="1">
        <f t="array" ref="P2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1653.3509624967551</v>
      </c>
      <c r="Q210" s="4">
        <f>1/(1+10^(((Games[[#This Row],[OppPreGmRate]]+IF(Games[[#This Row],[HomeAway]]="A",HCA,0)+Games[[#This Row],[OppRestAdj]])-(Games[[#This Row],[PreGmRate]]+IF(Games[[#This Row],[HomeAway]]="H",HCA,0)+Games[[#This Row],[RestAdj]]))/400))</f>
        <v>0.12826075733400991</v>
      </c>
      <c r="R210" s="1">
        <v>95</v>
      </c>
      <c r="S210" s="1">
        <v>118</v>
      </c>
      <c r="T210" s="1">
        <v>0</v>
      </c>
      <c r="U210" s="1">
        <f>Games[[#This Row],[PointsFor]]-Games[[#This Row],[PointsAgainst]]</f>
        <v>-23</v>
      </c>
      <c r="V210" s="1">
        <f>IF(Games[[#This Row],[MOV]]&gt;0,1,IF(Games[[#This Row],[MOV]]=0,0.5,0))</f>
        <v>0</v>
      </c>
      <c r="W210" s="4">
        <f>((ABS(Games[[#This Row],[MOV]])+5)^0.6)/(12+0.01*(ABS(Games[[#This Row],[PreGmRate]]-Games[[#This Row],[OppPreGmRate]])))*IF(Games[[#This Row],[OT]]=1,0.9,1)</f>
        <v>0.50962564629265361</v>
      </c>
      <c r="X210" s="7" cm="1">
        <f t="array" ref="X2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0" s="9">
        <f>MAX(kmin, kmax - 0.15 * MIN(Games[[#This Row],[GamesPlayed]], 82))</f>
        <v>73.45</v>
      </c>
      <c r="Z210" s="4">
        <f>Games[[#This Row],[K]]*Games[[#This Row],[POMult]]</f>
        <v>73.45</v>
      </c>
      <c r="AA210" s="4">
        <f>(Games[[#This Row],[Keff]]*Games[[#This Row],[MOVMult]])*(Games[[#This Row],[Result]]-Games[[#This Row],[ExpectedWin%]])</f>
        <v>-4.8010571456817397</v>
      </c>
      <c r="AB210" s="4">
        <f>Games[[#This Row],[PreGmRate]]+Games[[#This Row],[RatingChange]]</f>
        <v>1399.6327865876049</v>
      </c>
      <c r="AC210" s="2">
        <f>IF(Games[[#This Row],[Type]]="R",IF(Games[[#This Row],[Result]]&gt;0.5,1,0),0)</f>
        <v>0</v>
      </c>
      <c r="AD210" s="2">
        <f>IF(Games[[#This Row],[Type]]="R",IF(Games[[#This Row],[Result]]&lt;0.5,1,0),0)</f>
        <v>1</v>
      </c>
      <c r="AE210" s="2">
        <f>IF(AND(Games[[#This Row],[Type]]="P",Games[[#This Row],[Round]]=1),IF(Games[[#This Row],[Result]]&gt;0.5,1,0),0)</f>
        <v>0</v>
      </c>
      <c r="AF210" s="2">
        <f>IF(AND(Games[[#This Row],[Type]]="P",Games[[#This Row],[Round]]=1),IF(Games[[#This Row],[Result]]&lt;0.5,1,0),0)</f>
        <v>0</v>
      </c>
      <c r="AG210" s="2">
        <f>IF(AND(Games[[#This Row],[Type]]="P",Games[[#This Row],[Round]]=2),IF(Games[[#This Row],[Result]]&gt;0.5,1,0),0)</f>
        <v>0</v>
      </c>
      <c r="AH210" s="2">
        <f>IF(AND(Games[[#This Row],[Type]]="P",Games[[#This Row],[Round]]=2),IF(Games[[#This Row],[Result]]&lt;0.5,1,0),0)</f>
        <v>0</v>
      </c>
      <c r="AI210" s="2">
        <f>IF(AND(Games[[#This Row],[Type]]="P",Games[[#This Row],[Round]]=3),IF(Games[[#This Row],[Result]]&gt;0.5,1,0),0)</f>
        <v>0</v>
      </c>
      <c r="AJ210" s="2">
        <f>IF(AND(Games[[#This Row],[Type]]="P",Games[[#This Row],[Round]]=3),IF(Games[[#This Row],[Result]]&lt;0.5,1,0),0)</f>
        <v>0</v>
      </c>
      <c r="AK210" s="2">
        <f>IF(AND(Games[[#This Row],[Type]]="P",Games[[#This Row],[Round]]=4),IF(Games[[#This Row],[Result]]&gt;0.5,1,0),0)</f>
        <v>0</v>
      </c>
      <c r="AL210" s="2">
        <f>IF(AND(Games[[#This Row],[Type]]="P",Games[[#This Row],[Round]]=4),IF(Games[[#This Row],[Result]]&lt;0.5,1,0),0)</f>
        <v>0</v>
      </c>
    </row>
    <row r="211" spans="1:38" x14ac:dyDescent="0.35">
      <c r="A211" s="10">
        <v>44381</v>
      </c>
      <c r="B211" s="2">
        <v>2021</v>
      </c>
      <c r="C211" s="2">
        <f>COUNTIFS(Games[Team],Games[[#This Row],[Team]],Games[Season],Games[[#This Row],[Season]],Games[Date],"&lt;=" &amp; Games[[#This Row],[Date]])</f>
        <v>18</v>
      </c>
      <c r="D211" s="2" t="s">
        <v>79</v>
      </c>
      <c r="E211" s="2" t="s">
        <v>80</v>
      </c>
      <c r="F211" s="1" t="s">
        <v>85</v>
      </c>
      <c r="G211" s="1" t="s">
        <v>77</v>
      </c>
      <c r="H211" s="1" t="s">
        <v>82</v>
      </c>
      <c r="I211" s="2" cm="1">
        <f t="array" ref="I2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1" s="2" cm="1">
        <f t="array" ref="J2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1" s="2">
        <f>Games[[#This Row],[DaysOff]]-Games[[#This Row],[OppDaysOff]]</f>
        <v>0</v>
      </c>
      <c r="L211" s="2">
        <f>Games[[#This Row],[OppDaysOff]]-Games[[#This Row],[DaysOff]]</f>
        <v>0</v>
      </c>
      <c r="M211" s="1">
        <f>MAX(-16, MIN(16, Games[[#This Row],[RestDiff]]*8))</f>
        <v>0</v>
      </c>
      <c r="N211" s="1">
        <f>MAX(-16, MIN(16, Games[[#This Row],[OppRestDiff]]*8))</f>
        <v>0</v>
      </c>
      <c r="O211" s="4" cm="1">
        <f t="array" ref="O2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1653.3509624967551</v>
      </c>
      <c r="P211" s="4" cm="1">
        <f t="array" ref="P2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1404.4338437332867</v>
      </c>
      <c r="Q211" s="4">
        <f>1/(1+10^(((Games[[#This Row],[OppPreGmRate]]+IF(Games[[#This Row],[HomeAway]]="A",HCA,0)+Games[[#This Row],[OppRestAdj]])-(Games[[#This Row],[PreGmRate]]+IF(Games[[#This Row],[HomeAway]]="H",HCA,0)+Games[[#This Row],[RestAdj]]))/400))</f>
        <v>0.87173924266599012</v>
      </c>
      <c r="R211" s="1">
        <v>118</v>
      </c>
      <c r="S211" s="1">
        <v>95</v>
      </c>
      <c r="T211" s="1">
        <v>0</v>
      </c>
      <c r="U211" s="1">
        <f>Games[[#This Row],[PointsFor]]-Games[[#This Row],[PointsAgainst]]</f>
        <v>23</v>
      </c>
      <c r="V211" s="1">
        <f>IF(Games[[#This Row],[MOV]]&gt;0,1,IF(Games[[#This Row],[MOV]]=0,0.5,0))</f>
        <v>1</v>
      </c>
      <c r="W211" s="4">
        <f>((ABS(Games[[#This Row],[MOV]])+5)^0.6)/(12+0.01*(ABS(Games[[#This Row],[PreGmRate]]-Games[[#This Row],[OppPreGmRate]])))*IF(Games[[#This Row],[OT]]=1,0.9,1)</f>
        <v>0.50962564629265361</v>
      </c>
      <c r="X211" s="7" cm="1">
        <f t="array" ref="X2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1" s="9">
        <f>MAX(kmin, kmax - 0.15 * MIN(Games[[#This Row],[GamesPlayed]], 82))</f>
        <v>73.3</v>
      </c>
      <c r="Z211" s="4">
        <f>Games[[#This Row],[K]]*Games[[#This Row],[POMult]]</f>
        <v>73.3</v>
      </c>
      <c r="AA211" s="4">
        <f>(Games[[#This Row],[Keff]]*Games[[#This Row],[MOVMult]])*(Games[[#This Row],[Result]]-Games[[#This Row],[ExpectedWin%]])</f>
        <v>4.7912523999791885</v>
      </c>
      <c r="AB211" s="4">
        <f>Games[[#This Row],[PreGmRate]]+Games[[#This Row],[RatingChange]]</f>
        <v>1658.1422148967342</v>
      </c>
      <c r="AC211" s="2">
        <f>IF(Games[[#This Row],[Type]]="R",IF(Games[[#This Row],[Result]]&gt;0.5,1,0),0)</f>
        <v>1</v>
      </c>
      <c r="AD211" s="2">
        <f>IF(Games[[#This Row],[Type]]="R",IF(Games[[#This Row],[Result]]&lt;0.5,1,0),0)</f>
        <v>0</v>
      </c>
      <c r="AE211" s="2">
        <f>IF(AND(Games[[#This Row],[Type]]="P",Games[[#This Row],[Round]]=1),IF(Games[[#This Row],[Result]]&gt;0.5,1,0),0)</f>
        <v>0</v>
      </c>
      <c r="AF211" s="2">
        <f>IF(AND(Games[[#This Row],[Type]]="P",Games[[#This Row],[Round]]=1),IF(Games[[#This Row],[Result]]&lt;0.5,1,0),0)</f>
        <v>0</v>
      </c>
      <c r="AG211" s="2">
        <f>IF(AND(Games[[#This Row],[Type]]="P",Games[[#This Row],[Round]]=2),IF(Games[[#This Row],[Result]]&gt;0.5,1,0),0)</f>
        <v>0</v>
      </c>
      <c r="AH211" s="2">
        <f>IF(AND(Games[[#This Row],[Type]]="P",Games[[#This Row],[Round]]=2),IF(Games[[#This Row],[Result]]&lt;0.5,1,0),0)</f>
        <v>0</v>
      </c>
      <c r="AI211" s="2">
        <f>IF(AND(Games[[#This Row],[Type]]="P",Games[[#This Row],[Round]]=3),IF(Games[[#This Row],[Result]]&gt;0.5,1,0),0)</f>
        <v>0</v>
      </c>
      <c r="AJ211" s="2">
        <f>IF(AND(Games[[#This Row],[Type]]="P",Games[[#This Row],[Round]]=3),IF(Games[[#This Row],[Result]]&lt;0.5,1,0),0)</f>
        <v>0</v>
      </c>
      <c r="AK211" s="2">
        <f>IF(AND(Games[[#This Row],[Type]]="P",Games[[#This Row],[Round]]=4),IF(Games[[#This Row],[Result]]&gt;0.5,1,0),0)</f>
        <v>0</v>
      </c>
      <c r="AL211" s="2">
        <f>IF(AND(Games[[#This Row],[Type]]="P",Games[[#This Row],[Round]]=4),IF(Games[[#This Row],[Result]]&lt;0.5,1,0),0)</f>
        <v>0</v>
      </c>
    </row>
    <row r="212" spans="1:38" x14ac:dyDescent="0.35">
      <c r="A212" s="10">
        <v>44382</v>
      </c>
      <c r="B212" s="2">
        <v>2021</v>
      </c>
      <c r="C212" s="2">
        <f>COUNTIFS(Games[Team],Games[[#This Row],[Team]],Games[Season],Games[[#This Row],[Season]],Games[Date],"&lt;=" &amp; Games[[#This Row],[Date]])</f>
        <v>19</v>
      </c>
      <c r="D212" s="2" t="s">
        <v>79</v>
      </c>
      <c r="E212" s="2" t="s">
        <v>80</v>
      </c>
      <c r="F212" s="1" t="s">
        <v>84</v>
      </c>
      <c r="G212" s="1" t="s">
        <v>60</v>
      </c>
      <c r="H212" s="1" t="s">
        <v>81</v>
      </c>
      <c r="I212" s="2" cm="1">
        <f t="array" ref="I2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2" s="2" cm="1">
        <f t="array" ref="J2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2" s="2">
        <f>Games[[#This Row],[DaysOff]]-Games[[#This Row],[OppDaysOff]]</f>
        <v>1</v>
      </c>
      <c r="L212" s="2">
        <f>Games[[#This Row],[OppDaysOff]]-Games[[#This Row],[DaysOff]]</f>
        <v>-1</v>
      </c>
      <c r="M212" s="1">
        <f>MAX(-16, MIN(16, Games[[#This Row],[RestDiff]]*8))</f>
        <v>8</v>
      </c>
      <c r="N212" s="1">
        <f>MAX(-16, MIN(16, Games[[#This Row],[OppRestDiff]]*8))</f>
        <v>-8</v>
      </c>
      <c r="O212" s="4" cm="1">
        <f t="array" ref="O2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1513.1060416458972</v>
      </c>
      <c r="P212" s="4" cm="1">
        <f t="array" ref="P2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1419.3436902660169</v>
      </c>
      <c r="Q212" s="4">
        <f>1/(1+10^(((Games[[#This Row],[OppPreGmRate]]+IF(Games[[#This Row],[HomeAway]]="A",HCA,0)+Games[[#This Row],[OppRestAdj]])-(Games[[#This Row],[PreGmRate]]+IF(Games[[#This Row],[HomeAway]]="H",HCA,0)+Games[[#This Row],[RestAdj]]))/400))</f>
        <v>0.53700720412444092</v>
      </c>
      <c r="R212" s="1">
        <v>96</v>
      </c>
      <c r="S212" s="1">
        <v>99</v>
      </c>
      <c r="T212" s="1">
        <v>0</v>
      </c>
      <c r="U212" s="1">
        <f>Games[[#This Row],[PointsFor]]-Games[[#This Row],[PointsAgainst]]</f>
        <v>-3</v>
      </c>
      <c r="V212" s="1">
        <f>IF(Games[[#This Row],[MOV]]&gt;0,1,IF(Games[[#This Row],[MOV]]=0,0.5,0))</f>
        <v>0</v>
      </c>
      <c r="W212" s="4">
        <f>((ABS(Games[[#This Row],[MOV]])+5)^0.6)/(12+0.01*(ABS(Games[[#This Row],[PreGmRate]]-Games[[#This Row],[OppPreGmRate]])))*IF(Games[[#This Row],[OT]]=1,0.9,1)</f>
        <v>0.26915316012021101</v>
      </c>
      <c r="X212" s="7" cm="1">
        <f t="array" ref="X2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2" s="9">
        <f>MAX(kmin, kmax - 0.15 * MIN(Games[[#This Row],[GamesPlayed]], 82))</f>
        <v>73.150000000000006</v>
      </c>
      <c r="Z212" s="4">
        <f>Games[[#This Row],[K]]*Games[[#This Row],[POMult]]</f>
        <v>73.150000000000006</v>
      </c>
      <c r="AA212" s="4">
        <f>(Games[[#This Row],[Keff]]*Games[[#This Row],[MOVMult]])*(Games[[#This Row],[Result]]-Games[[#This Row],[ExpectedWin%]])</f>
        <v>-10.572895155710725</v>
      </c>
      <c r="AB212" s="4">
        <f>Games[[#This Row],[PreGmRate]]+Games[[#This Row],[RatingChange]]</f>
        <v>1502.5331464901865</v>
      </c>
      <c r="AC212" s="2">
        <f>IF(Games[[#This Row],[Type]]="R",IF(Games[[#This Row],[Result]]&gt;0.5,1,0),0)</f>
        <v>0</v>
      </c>
      <c r="AD212" s="2">
        <f>IF(Games[[#This Row],[Type]]="R",IF(Games[[#This Row],[Result]]&lt;0.5,1,0),0)</f>
        <v>1</v>
      </c>
      <c r="AE212" s="2">
        <f>IF(AND(Games[[#This Row],[Type]]="P",Games[[#This Row],[Round]]=1),IF(Games[[#This Row],[Result]]&gt;0.5,1,0),0)</f>
        <v>0</v>
      </c>
      <c r="AF212" s="2">
        <f>IF(AND(Games[[#This Row],[Type]]="P",Games[[#This Row],[Round]]=1),IF(Games[[#This Row],[Result]]&lt;0.5,1,0),0)</f>
        <v>0</v>
      </c>
      <c r="AG212" s="2">
        <f>IF(AND(Games[[#This Row],[Type]]="P",Games[[#This Row],[Round]]=2),IF(Games[[#This Row],[Result]]&gt;0.5,1,0),0)</f>
        <v>0</v>
      </c>
      <c r="AH212" s="2">
        <f>IF(AND(Games[[#This Row],[Type]]="P",Games[[#This Row],[Round]]=2),IF(Games[[#This Row],[Result]]&lt;0.5,1,0),0)</f>
        <v>0</v>
      </c>
      <c r="AI212" s="2">
        <f>IF(AND(Games[[#This Row],[Type]]="P",Games[[#This Row],[Round]]=3),IF(Games[[#This Row],[Result]]&gt;0.5,1,0),0)</f>
        <v>0</v>
      </c>
      <c r="AJ212" s="2">
        <f>IF(AND(Games[[#This Row],[Type]]="P",Games[[#This Row],[Round]]=3),IF(Games[[#This Row],[Result]]&lt;0.5,1,0),0)</f>
        <v>0</v>
      </c>
      <c r="AK212" s="2">
        <f>IF(AND(Games[[#This Row],[Type]]="P",Games[[#This Row],[Round]]=4),IF(Games[[#This Row],[Result]]&gt;0.5,1,0),0)</f>
        <v>0</v>
      </c>
      <c r="AL212" s="2">
        <f>IF(AND(Games[[#This Row],[Type]]="P",Games[[#This Row],[Round]]=4),IF(Games[[#This Row],[Result]]&lt;0.5,1,0),0)</f>
        <v>0</v>
      </c>
    </row>
    <row r="213" spans="1:38" x14ac:dyDescent="0.35">
      <c r="A213" s="10">
        <v>44382</v>
      </c>
      <c r="B213" s="2">
        <v>2021</v>
      </c>
      <c r="C213" s="2">
        <f>COUNTIFS(Games[Team],Games[[#This Row],[Team]],Games[Season],Games[[#This Row],[Season]],Games[Date],"&lt;=" &amp; Games[[#This Row],[Date]])</f>
        <v>19</v>
      </c>
      <c r="D213" s="2" t="s">
        <v>79</v>
      </c>
      <c r="E213" s="2" t="s">
        <v>80</v>
      </c>
      <c r="F213" s="1" t="s">
        <v>60</v>
      </c>
      <c r="G213" s="1" t="s">
        <v>84</v>
      </c>
      <c r="H213" s="1" t="s">
        <v>82</v>
      </c>
      <c r="I213" s="2" cm="1">
        <f t="array" ref="I2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3" s="2" cm="1">
        <f t="array" ref="J2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3" s="2">
        <f>Games[[#This Row],[DaysOff]]-Games[[#This Row],[OppDaysOff]]</f>
        <v>-1</v>
      </c>
      <c r="L213" s="2">
        <f>Games[[#This Row],[OppDaysOff]]-Games[[#This Row],[DaysOff]]</f>
        <v>1</v>
      </c>
      <c r="M213" s="1">
        <f>MAX(-16, MIN(16, Games[[#This Row],[RestDiff]]*8))</f>
        <v>-8</v>
      </c>
      <c r="N213" s="1">
        <f>MAX(-16, MIN(16, Games[[#This Row],[OppRestDiff]]*8))</f>
        <v>8</v>
      </c>
      <c r="O213" s="4" cm="1">
        <f t="array" ref="O2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1419.3436902660169</v>
      </c>
      <c r="P213" s="4" cm="1">
        <f t="array" ref="P2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1513.1060416458972</v>
      </c>
      <c r="Q213" s="4">
        <f>1/(1+10^(((Games[[#This Row],[OppPreGmRate]]+IF(Games[[#This Row],[HomeAway]]="A",HCA,0)+Games[[#This Row],[OppRestAdj]])-(Games[[#This Row],[PreGmRate]]+IF(Games[[#This Row],[HomeAway]]="H",HCA,0)+Games[[#This Row],[RestAdj]]))/400))</f>
        <v>0.46299279587555919</v>
      </c>
      <c r="R213" s="1">
        <v>99</v>
      </c>
      <c r="S213" s="1">
        <v>96</v>
      </c>
      <c r="T213" s="1">
        <v>0</v>
      </c>
      <c r="U213" s="1">
        <f>Games[[#This Row],[PointsFor]]-Games[[#This Row],[PointsAgainst]]</f>
        <v>3</v>
      </c>
      <c r="V213" s="1">
        <f>IF(Games[[#This Row],[MOV]]&gt;0,1,IF(Games[[#This Row],[MOV]]=0,0.5,0))</f>
        <v>1</v>
      </c>
      <c r="W213" s="4">
        <f>((ABS(Games[[#This Row],[MOV]])+5)^0.6)/(12+0.01*(ABS(Games[[#This Row],[PreGmRate]]-Games[[#This Row],[OppPreGmRate]])))*IF(Games[[#This Row],[OT]]=1,0.9,1)</f>
        <v>0.26915316012021101</v>
      </c>
      <c r="X213" s="7" cm="1">
        <f t="array" ref="X2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3" s="9">
        <f>MAX(kmin, kmax - 0.15 * MIN(Games[[#This Row],[GamesPlayed]], 82))</f>
        <v>73.150000000000006</v>
      </c>
      <c r="Z213" s="4">
        <f>Games[[#This Row],[K]]*Games[[#This Row],[POMult]]</f>
        <v>73.150000000000006</v>
      </c>
      <c r="AA213" s="4">
        <f>(Games[[#This Row],[Keff]]*Games[[#This Row],[MOVMult]])*(Games[[#This Row],[Result]]-Games[[#This Row],[ExpectedWin%]])</f>
        <v>10.572895155710723</v>
      </c>
      <c r="AB213" s="4">
        <f>Games[[#This Row],[PreGmRate]]+Games[[#This Row],[RatingChange]]</f>
        <v>1429.9165854217276</v>
      </c>
      <c r="AC213" s="2">
        <f>IF(Games[[#This Row],[Type]]="R",IF(Games[[#This Row],[Result]]&gt;0.5,1,0),0)</f>
        <v>1</v>
      </c>
      <c r="AD213" s="2">
        <f>IF(Games[[#This Row],[Type]]="R",IF(Games[[#This Row],[Result]]&lt;0.5,1,0),0)</f>
        <v>0</v>
      </c>
      <c r="AE213" s="2">
        <f>IF(AND(Games[[#This Row],[Type]]="P",Games[[#This Row],[Round]]=1),IF(Games[[#This Row],[Result]]&gt;0.5,1,0),0)</f>
        <v>0</v>
      </c>
      <c r="AF213" s="2">
        <f>IF(AND(Games[[#This Row],[Type]]="P",Games[[#This Row],[Round]]=1),IF(Games[[#This Row],[Result]]&lt;0.5,1,0),0)</f>
        <v>0</v>
      </c>
      <c r="AG213" s="2">
        <f>IF(AND(Games[[#This Row],[Type]]="P",Games[[#This Row],[Round]]=2),IF(Games[[#This Row],[Result]]&gt;0.5,1,0),0)</f>
        <v>0</v>
      </c>
      <c r="AH213" s="2">
        <f>IF(AND(Games[[#This Row],[Type]]="P",Games[[#This Row],[Round]]=2),IF(Games[[#This Row],[Result]]&lt;0.5,1,0),0)</f>
        <v>0</v>
      </c>
      <c r="AI213" s="2">
        <f>IF(AND(Games[[#This Row],[Type]]="P",Games[[#This Row],[Round]]=3),IF(Games[[#This Row],[Result]]&gt;0.5,1,0),0)</f>
        <v>0</v>
      </c>
      <c r="AJ213" s="2">
        <f>IF(AND(Games[[#This Row],[Type]]="P",Games[[#This Row],[Round]]=3),IF(Games[[#This Row],[Result]]&lt;0.5,1,0),0)</f>
        <v>0</v>
      </c>
      <c r="AK213" s="2">
        <f>IF(AND(Games[[#This Row],[Type]]="P",Games[[#This Row],[Round]]=4),IF(Games[[#This Row],[Result]]&gt;0.5,1,0),0)</f>
        <v>0</v>
      </c>
      <c r="AL213" s="2">
        <f>IF(AND(Games[[#This Row],[Type]]="P",Games[[#This Row],[Round]]=4),IF(Games[[#This Row],[Result]]&lt;0.5,1,0),0)</f>
        <v>0</v>
      </c>
    </row>
    <row r="214" spans="1:38" x14ac:dyDescent="0.35">
      <c r="A214" s="10">
        <v>44384</v>
      </c>
      <c r="B214" s="2">
        <v>2021</v>
      </c>
      <c r="C214" s="2">
        <f>COUNTIFS(Games[Team],Games[[#This Row],[Team]],Games[Season],Games[[#This Row],[Season]],Games[Date],"&lt;=" &amp; Games[[#This Row],[Date]])</f>
        <v>17</v>
      </c>
      <c r="D214" s="2" t="s">
        <v>79</v>
      </c>
      <c r="E214" s="2" t="s">
        <v>80</v>
      </c>
      <c r="F214" s="1" t="s">
        <v>40</v>
      </c>
      <c r="G214" s="1" t="s">
        <v>85</v>
      </c>
      <c r="H214" s="1" t="s">
        <v>81</v>
      </c>
      <c r="I214" s="2" cm="1">
        <f t="array" ref="I2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4" s="2" cm="1">
        <f t="array" ref="J21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4" s="2">
        <f>Games[[#This Row],[DaysOff]]-Games[[#This Row],[OppDaysOff]]</f>
        <v>1</v>
      </c>
      <c r="L214" s="2">
        <f>Games[[#This Row],[OppDaysOff]]-Games[[#This Row],[DaysOff]]</f>
        <v>-1</v>
      </c>
      <c r="M214" s="1">
        <f>MAX(-16, MIN(16, Games[[#This Row],[RestDiff]]*8))</f>
        <v>8</v>
      </c>
      <c r="N214" s="1">
        <f>MAX(-16, MIN(16, Games[[#This Row],[OppRestDiff]]*8))</f>
        <v>-8</v>
      </c>
      <c r="O214" s="4" cm="1">
        <f t="array" ref="O2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1454.9789145726552</v>
      </c>
      <c r="P214" s="4" cm="1">
        <f t="array" ref="P2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1658.1422148967342</v>
      </c>
      <c r="Q214" s="4">
        <f>1/(1+10^(((Games[[#This Row],[OppPreGmRate]]+IF(Games[[#This Row],[HomeAway]]="A",HCA,0)+Games[[#This Row],[OppRestAdj]])-(Games[[#This Row],[PreGmRate]]+IF(Games[[#This Row],[HomeAway]]="H",HCA,0)+Games[[#This Row],[RestAdj]]))/400))</f>
        <v>0.17351159905353161</v>
      </c>
      <c r="R214" s="1">
        <v>99</v>
      </c>
      <c r="S214" s="1">
        <v>90</v>
      </c>
      <c r="T214" s="1">
        <v>1</v>
      </c>
      <c r="U214" s="1">
        <f>Games[[#This Row],[PointsFor]]-Games[[#This Row],[PointsAgainst]]</f>
        <v>9</v>
      </c>
      <c r="V214" s="1">
        <f>IF(Games[[#This Row],[MOV]]&gt;0,1,IF(Games[[#This Row],[MOV]]=0,0.5,0))</f>
        <v>1</v>
      </c>
      <c r="W214" s="4">
        <f>((ABS(Games[[#This Row],[MOV]])+5)^0.6)/(12+0.01*(ABS(Games[[#This Row],[PreGmRate]]-Games[[#This Row],[OppPreGmRate]])))*IF(Games[[#This Row],[OT]]=1,0.9,1)</f>
        <v>0.31247200466100888</v>
      </c>
      <c r="X214" s="7" cm="1">
        <f t="array" ref="X2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4" s="9">
        <f>MAX(kmin, kmax - 0.15 * MIN(Games[[#This Row],[GamesPlayed]], 82))</f>
        <v>73.45</v>
      </c>
      <c r="Z214" s="4">
        <f>Games[[#This Row],[K]]*Games[[#This Row],[POMult]]</f>
        <v>73.45</v>
      </c>
      <c r="AA214" s="4">
        <f>(Games[[#This Row],[Keff]]*Games[[#This Row],[MOVMult]])*(Games[[#This Row],[Result]]-Games[[#This Row],[ExpectedWin%]])</f>
        <v>18.968792104878236</v>
      </c>
      <c r="AB214" s="4">
        <f>Games[[#This Row],[PreGmRate]]+Games[[#This Row],[RatingChange]]</f>
        <v>1473.9477066775335</v>
      </c>
      <c r="AC214" s="2">
        <f>IF(Games[[#This Row],[Type]]="R",IF(Games[[#This Row],[Result]]&gt;0.5,1,0),0)</f>
        <v>1</v>
      </c>
      <c r="AD214" s="2">
        <f>IF(Games[[#This Row],[Type]]="R",IF(Games[[#This Row],[Result]]&lt;0.5,1,0),0)</f>
        <v>0</v>
      </c>
      <c r="AE214" s="2">
        <f>IF(AND(Games[[#This Row],[Type]]="P",Games[[#This Row],[Round]]=1),IF(Games[[#This Row],[Result]]&gt;0.5,1,0),0)</f>
        <v>0</v>
      </c>
      <c r="AF214" s="2">
        <f>IF(AND(Games[[#This Row],[Type]]="P",Games[[#This Row],[Round]]=1),IF(Games[[#This Row],[Result]]&lt;0.5,1,0),0)</f>
        <v>0</v>
      </c>
      <c r="AG214" s="2">
        <f>IF(AND(Games[[#This Row],[Type]]="P",Games[[#This Row],[Round]]=2),IF(Games[[#This Row],[Result]]&gt;0.5,1,0),0)</f>
        <v>0</v>
      </c>
      <c r="AH214" s="2">
        <f>IF(AND(Games[[#This Row],[Type]]="P",Games[[#This Row],[Round]]=2),IF(Games[[#This Row],[Result]]&lt;0.5,1,0),0)</f>
        <v>0</v>
      </c>
      <c r="AI214" s="2">
        <f>IF(AND(Games[[#This Row],[Type]]="P",Games[[#This Row],[Round]]=3),IF(Games[[#This Row],[Result]]&gt;0.5,1,0),0)</f>
        <v>0</v>
      </c>
      <c r="AJ214" s="2">
        <f>IF(AND(Games[[#This Row],[Type]]="P",Games[[#This Row],[Round]]=3),IF(Games[[#This Row],[Result]]&lt;0.5,1,0),0)</f>
        <v>0</v>
      </c>
      <c r="AK214" s="2">
        <f>IF(AND(Games[[#This Row],[Type]]="P",Games[[#This Row],[Round]]=4),IF(Games[[#This Row],[Result]]&gt;0.5,1,0),0)</f>
        <v>0</v>
      </c>
      <c r="AL214" s="2">
        <f>IF(AND(Games[[#This Row],[Type]]="P",Games[[#This Row],[Round]]=4),IF(Games[[#This Row],[Result]]&lt;0.5,1,0),0)</f>
        <v>0</v>
      </c>
    </row>
    <row r="215" spans="1:38" x14ac:dyDescent="0.35">
      <c r="A215" s="10">
        <v>44384</v>
      </c>
      <c r="B215" s="2">
        <v>2021</v>
      </c>
      <c r="C215" s="2">
        <f>COUNTIFS(Games[Team],Games[[#This Row],[Team]],Games[Season],Games[[#This Row],[Season]],Games[Date],"&lt;=" &amp; Games[[#This Row],[Date]])</f>
        <v>19</v>
      </c>
      <c r="D215" s="2" t="s">
        <v>79</v>
      </c>
      <c r="E215" s="2" t="s">
        <v>80</v>
      </c>
      <c r="F215" s="1" t="s">
        <v>85</v>
      </c>
      <c r="G215" s="1" t="s">
        <v>40</v>
      </c>
      <c r="H215" s="1" t="s">
        <v>82</v>
      </c>
      <c r="I215" s="2" cm="1">
        <f t="array" ref="I21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5" s="2" cm="1">
        <f t="array" ref="J2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5" s="2">
        <f>Games[[#This Row],[DaysOff]]-Games[[#This Row],[OppDaysOff]]</f>
        <v>-1</v>
      </c>
      <c r="L215" s="2">
        <f>Games[[#This Row],[OppDaysOff]]-Games[[#This Row],[DaysOff]]</f>
        <v>1</v>
      </c>
      <c r="M215" s="1">
        <f>MAX(-16, MIN(16, Games[[#This Row],[RestDiff]]*8))</f>
        <v>-8</v>
      </c>
      <c r="N215" s="1">
        <f>MAX(-16, MIN(16, Games[[#This Row],[OppRestDiff]]*8))</f>
        <v>8</v>
      </c>
      <c r="O215" s="4" cm="1">
        <f t="array" ref="O2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1658.1422148967342</v>
      </c>
      <c r="P215" s="4" cm="1">
        <f t="array" ref="P2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1454.9789145726552</v>
      </c>
      <c r="Q215" s="4">
        <f>1/(1+10^(((Games[[#This Row],[OppPreGmRate]]+IF(Games[[#This Row],[HomeAway]]="A",HCA,0)+Games[[#This Row],[OppRestAdj]])-(Games[[#This Row],[PreGmRate]]+IF(Games[[#This Row],[HomeAway]]="H",HCA,0)+Games[[#This Row],[RestAdj]]))/400))</f>
        <v>0.82648840094646836</v>
      </c>
      <c r="R215" s="1">
        <v>90</v>
      </c>
      <c r="S215" s="1">
        <v>99</v>
      </c>
      <c r="T215" s="1">
        <v>1</v>
      </c>
      <c r="U215" s="1">
        <f>Games[[#This Row],[PointsFor]]-Games[[#This Row],[PointsAgainst]]</f>
        <v>-9</v>
      </c>
      <c r="V215" s="1">
        <f>IF(Games[[#This Row],[MOV]]&gt;0,1,IF(Games[[#This Row],[MOV]]=0,0.5,0))</f>
        <v>0</v>
      </c>
      <c r="W215" s="4">
        <f>((ABS(Games[[#This Row],[MOV]])+5)^0.6)/(12+0.01*(ABS(Games[[#This Row],[PreGmRate]]-Games[[#This Row],[OppPreGmRate]])))*IF(Games[[#This Row],[OT]]=1,0.9,1)</f>
        <v>0.31247200466100888</v>
      </c>
      <c r="X215" s="7" cm="1">
        <f t="array" ref="X2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5" s="9">
        <f>MAX(kmin, kmax - 0.15 * MIN(Games[[#This Row],[GamesPlayed]], 82))</f>
        <v>73.150000000000006</v>
      </c>
      <c r="Z215" s="4">
        <f>Games[[#This Row],[K]]*Games[[#This Row],[POMult]]</f>
        <v>73.150000000000006</v>
      </c>
      <c r="AA215" s="4">
        <f>(Games[[#This Row],[Keff]]*Games[[#This Row],[MOVMult]])*(Games[[#This Row],[Result]]-Games[[#This Row],[ExpectedWin%]])</f>
        <v>-18.891315758636392</v>
      </c>
      <c r="AB215" s="4">
        <f>Games[[#This Row],[PreGmRate]]+Games[[#This Row],[RatingChange]]</f>
        <v>1639.2508991380978</v>
      </c>
      <c r="AC215" s="2">
        <f>IF(Games[[#This Row],[Type]]="R",IF(Games[[#This Row],[Result]]&gt;0.5,1,0),0)</f>
        <v>0</v>
      </c>
      <c r="AD215" s="2">
        <f>IF(Games[[#This Row],[Type]]="R",IF(Games[[#This Row],[Result]]&lt;0.5,1,0),0)</f>
        <v>1</v>
      </c>
      <c r="AE215" s="2">
        <f>IF(AND(Games[[#This Row],[Type]]="P",Games[[#This Row],[Round]]=1),IF(Games[[#This Row],[Result]]&gt;0.5,1,0),0)</f>
        <v>0</v>
      </c>
      <c r="AF215" s="2">
        <f>IF(AND(Games[[#This Row],[Type]]="P",Games[[#This Row],[Round]]=1),IF(Games[[#This Row],[Result]]&lt;0.5,1,0),0)</f>
        <v>0</v>
      </c>
      <c r="AG215" s="2">
        <f>IF(AND(Games[[#This Row],[Type]]="P",Games[[#This Row],[Round]]=2),IF(Games[[#This Row],[Result]]&gt;0.5,1,0),0)</f>
        <v>0</v>
      </c>
      <c r="AH215" s="2">
        <f>IF(AND(Games[[#This Row],[Type]]="P",Games[[#This Row],[Round]]=2),IF(Games[[#This Row],[Result]]&lt;0.5,1,0),0)</f>
        <v>0</v>
      </c>
      <c r="AI215" s="2">
        <f>IF(AND(Games[[#This Row],[Type]]="P",Games[[#This Row],[Round]]=3),IF(Games[[#This Row],[Result]]&gt;0.5,1,0),0)</f>
        <v>0</v>
      </c>
      <c r="AJ215" s="2">
        <f>IF(AND(Games[[#This Row],[Type]]="P",Games[[#This Row],[Round]]=3),IF(Games[[#This Row],[Result]]&lt;0.5,1,0),0)</f>
        <v>0</v>
      </c>
      <c r="AK215" s="2">
        <f>IF(AND(Games[[#This Row],[Type]]="P",Games[[#This Row],[Round]]=4),IF(Games[[#This Row],[Result]]&gt;0.5,1,0),0)</f>
        <v>0</v>
      </c>
      <c r="AL215" s="2">
        <f>IF(AND(Games[[#This Row],[Type]]="P",Games[[#This Row],[Round]]=4),IF(Games[[#This Row],[Result]]&lt;0.5,1,0),0)</f>
        <v>0</v>
      </c>
    </row>
    <row r="216" spans="1:38" x14ac:dyDescent="0.35">
      <c r="A216" s="10">
        <v>44384</v>
      </c>
      <c r="B216" s="2">
        <v>2021</v>
      </c>
      <c r="C216" s="2">
        <f>COUNTIFS(Games[Team],Games[[#This Row],[Team]],Games[Season],Games[[#This Row],[Season]],Games[Date],"&lt;=" &amp; Games[[#This Row],[Date]])</f>
        <v>20</v>
      </c>
      <c r="D216" s="2" t="s">
        <v>79</v>
      </c>
      <c r="E216" s="2" t="s">
        <v>80</v>
      </c>
      <c r="F216" s="1" t="s">
        <v>84</v>
      </c>
      <c r="G216" s="1" t="s">
        <v>67</v>
      </c>
      <c r="H216" s="1" t="s">
        <v>81</v>
      </c>
      <c r="I216" s="2" cm="1">
        <f t="array" ref="I2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16" s="2" cm="1">
        <f t="array" ref="J2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16" s="2">
        <f>Games[[#This Row],[DaysOff]]-Games[[#This Row],[OppDaysOff]]</f>
        <v>-2</v>
      </c>
      <c r="L216" s="2">
        <f>Games[[#This Row],[OppDaysOff]]-Games[[#This Row],[DaysOff]]</f>
        <v>2</v>
      </c>
      <c r="M216" s="1">
        <f>MAX(-16, MIN(16, Games[[#This Row],[RestDiff]]*8))</f>
        <v>-16</v>
      </c>
      <c r="N216" s="1">
        <f>MAX(-16, MIN(16, Games[[#This Row],[OppRestDiff]]*8))</f>
        <v>16</v>
      </c>
      <c r="O216" s="4" cm="1">
        <f t="array" ref="O2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1502.5331464901865</v>
      </c>
      <c r="P216" s="4" cm="1">
        <f t="array" ref="P2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1551.3587350370206</v>
      </c>
      <c r="Q216" s="4">
        <f>1/(1+10^(((Games[[#This Row],[OppPreGmRate]]+IF(Games[[#This Row],[HomeAway]]="A",HCA,0)+Games[[#This Row],[OppRestAdj]])-(Games[[#This Row],[PreGmRate]]+IF(Games[[#This Row],[HomeAway]]="H",HCA,0)+Games[[#This Row],[RestAdj]]))/400))</f>
        <v>0.27912372912169825</v>
      </c>
      <c r="R216" s="1">
        <v>79</v>
      </c>
      <c r="S216" s="1">
        <v>85</v>
      </c>
      <c r="T216" s="1">
        <v>0</v>
      </c>
      <c r="U216" s="1">
        <f>Games[[#This Row],[PointsFor]]-Games[[#This Row],[PointsAgainst]]</f>
        <v>-6</v>
      </c>
      <c r="V216" s="1">
        <f>IF(Games[[#This Row],[MOV]]&gt;0,1,IF(Games[[#This Row],[MOV]]=0,0.5,0))</f>
        <v>0</v>
      </c>
      <c r="W216" s="4">
        <f>((ABS(Games[[#This Row],[MOV]])+5)^0.6)/(12+0.01*(ABS(Games[[#This Row],[PreGmRate]]-Games[[#This Row],[OppPreGmRate]])))*IF(Games[[#This Row],[OT]]=1,0.9,1)</f>
        <v>0.33754666558338325</v>
      </c>
      <c r="X216" s="7" cm="1">
        <f t="array" ref="X2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6" s="9">
        <f>MAX(kmin, kmax - 0.15 * MIN(Games[[#This Row],[GamesPlayed]], 82))</f>
        <v>73</v>
      </c>
      <c r="Z216" s="4">
        <f>Games[[#This Row],[K]]*Games[[#This Row],[POMult]]</f>
        <v>73</v>
      </c>
      <c r="AA216" s="4">
        <f>(Games[[#This Row],[Keff]]*Games[[#This Row],[MOVMult]])*(Games[[#This Row],[Result]]-Games[[#This Row],[ExpectedWin%]])</f>
        <v>-6.8778617356666976</v>
      </c>
      <c r="AB216" s="4">
        <f>Games[[#This Row],[PreGmRate]]+Games[[#This Row],[RatingChange]]</f>
        <v>1495.6552847545197</v>
      </c>
      <c r="AC216" s="2">
        <f>IF(Games[[#This Row],[Type]]="R",IF(Games[[#This Row],[Result]]&gt;0.5,1,0),0)</f>
        <v>0</v>
      </c>
      <c r="AD216" s="2">
        <f>IF(Games[[#This Row],[Type]]="R",IF(Games[[#This Row],[Result]]&lt;0.5,1,0),0)</f>
        <v>1</v>
      </c>
      <c r="AE216" s="2">
        <f>IF(AND(Games[[#This Row],[Type]]="P",Games[[#This Row],[Round]]=1),IF(Games[[#This Row],[Result]]&gt;0.5,1,0),0)</f>
        <v>0</v>
      </c>
      <c r="AF216" s="2">
        <f>IF(AND(Games[[#This Row],[Type]]="P",Games[[#This Row],[Round]]=1),IF(Games[[#This Row],[Result]]&lt;0.5,1,0),0)</f>
        <v>0</v>
      </c>
      <c r="AG216" s="2">
        <f>IF(AND(Games[[#This Row],[Type]]="P",Games[[#This Row],[Round]]=2),IF(Games[[#This Row],[Result]]&gt;0.5,1,0),0)</f>
        <v>0</v>
      </c>
      <c r="AH216" s="2">
        <f>IF(AND(Games[[#This Row],[Type]]="P",Games[[#This Row],[Round]]=2),IF(Games[[#This Row],[Result]]&lt;0.5,1,0),0)</f>
        <v>0</v>
      </c>
      <c r="AI216" s="2">
        <f>IF(AND(Games[[#This Row],[Type]]="P",Games[[#This Row],[Round]]=3),IF(Games[[#This Row],[Result]]&gt;0.5,1,0),0)</f>
        <v>0</v>
      </c>
      <c r="AJ216" s="2">
        <f>IF(AND(Games[[#This Row],[Type]]="P",Games[[#This Row],[Round]]=3),IF(Games[[#This Row],[Result]]&lt;0.5,1,0),0)</f>
        <v>0</v>
      </c>
      <c r="AK216" s="2">
        <f>IF(AND(Games[[#This Row],[Type]]="P",Games[[#This Row],[Round]]=4),IF(Games[[#This Row],[Result]]&gt;0.5,1,0),0)</f>
        <v>0</v>
      </c>
      <c r="AL216" s="2">
        <f>IF(AND(Games[[#This Row],[Type]]="P",Games[[#This Row],[Round]]=4),IF(Games[[#This Row],[Result]]&lt;0.5,1,0),0)</f>
        <v>0</v>
      </c>
    </row>
    <row r="217" spans="1:38" x14ac:dyDescent="0.35">
      <c r="A217" s="10">
        <v>44384</v>
      </c>
      <c r="B217" s="2">
        <v>2021</v>
      </c>
      <c r="C217" s="2">
        <f>COUNTIFS(Games[Team],Games[[#This Row],[Team]],Games[Season],Games[[#This Row],[Season]],Games[Date],"&lt;=" &amp; Games[[#This Row],[Date]])</f>
        <v>17</v>
      </c>
      <c r="D217" s="2" t="s">
        <v>79</v>
      </c>
      <c r="E217" s="2" t="s">
        <v>80</v>
      </c>
      <c r="F217" s="1" t="s">
        <v>67</v>
      </c>
      <c r="G217" s="1" t="s">
        <v>84</v>
      </c>
      <c r="H217" s="1" t="s">
        <v>82</v>
      </c>
      <c r="I217" s="2" cm="1">
        <f t="array" ref="I2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217" s="2" cm="1">
        <f t="array" ref="J2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17" s="2">
        <f>Games[[#This Row],[DaysOff]]-Games[[#This Row],[OppDaysOff]]</f>
        <v>2</v>
      </c>
      <c r="L217" s="2">
        <f>Games[[#This Row],[OppDaysOff]]-Games[[#This Row],[DaysOff]]</f>
        <v>-2</v>
      </c>
      <c r="M217" s="1">
        <f>MAX(-16, MIN(16, Games[[#This Row],[RestDiff]]*8))</f>
        <v>16</v>
      </c>
      <c r="N217" s="1">
        <f>MAX(-16, MIN(16, Games[[#This Row],[OppRestDiff]]*8))</f>
        <v>-16</v>
      </c>
      <c r="O217" s="4" cm="1">
        <f t="array" ref="O2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1551.3587350370206</v>
      </c>
      <c r="P217" s="4" cm="1">
        <f t="array" ref="P2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1502.5331464901865</v>
      </c>
      <c r="Q217" s="4">
        <f>1/(1+10^(((Games[[#This Row],[OppPreGmRate]]+IF(Games[[#This Row],[HomeAway]]="A",HCA,0)+Games[[#This Row],[OppRestAdj]])-(Games[[#This Row],[PreGmRate]]+IF(Games[[#This Row],[HomeAway]]="H",HCA,0)+Games[[#This Row],[RestAdj]]))/400))</f>
        <v>0.72087627087830175</v>
      </c>
      <c r="R217" s="1">
        <v>85</v>
      </c>
      <c r="S217" s="1">
        <v>79</v>
      </c>
      <c r="T217" s="1">
        <v>0</v>
      </c>
      <c r="U217" s="1">
        <f>Games[[#This Row],[PointsFor]]-Games[[#This Row],[PointsAgainst]]</f>
        <v>6</v>
      </c>
      <c r="V217" s="1">
        <f>IF(Games[[#This Row],[MOV]]&gt;0,1,IF(Games[[#This Row],[MOV]]=0,0.5,0))</f>
        <v>1</v>
      </c>
      <c r="W217" s="4">
        <f>((ABS(Games[[#This Row],[MOV]])+5)^0.6)/(12+0.01*(ABS(Games[[#This Row],[PreGmRate]]-Games[[#This Row],[OppPreGmRate]])))*IF(Games[[#This Row],[OT]]=1,0.9,1)</f>
        <v>0.33754666558338325</v>
      </c>
      <c r="X217" s="7" cm="1">
        <f t="array" ref="X2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7" s="9">
        <f>MAX(kmin, kmax - 0.15 * MIN(Games[[#This Row],[GamesPlayed]], 82))</f>
        <v>73.45</v>
      </c>
      <c r="Z217" s="4">
        <f>Games[[#This Row],[K]]*Games[[#This Row],[POMult]]</f>
        <v>73.45</v>
      </c>
      <c r="AA217" s="4">
        <f>(Games[[#This Row],[Keff]]*Games[[#This Row],[MOVMult]])*(Games[[#This Row],[Result]]-Games[[#This Row],[ExpectedWin%]])</f>
        <v>6.9202595134893006</v>
      </c>
      <c r="AB217" s="4">
        <f>Games[[#This Row],[PreGmRate]]+Games[[#This Row],[RatingChange]]</f>
        <v>1558.2789945505099</v>
      </c>
      <c r="AC217" s="2">
        <f>IF(Games[[#This Row],[Type]]="R",IF(Games[[#This Row],[Result]]&gt;0.5,1,0),0)</f>
        <v>1</v>
      </c>
      <c r="AD217" s="2">
        <f>IF(Games[[#This Row],[Type]]="R",IF(Games[[#This Row],[Result]]&lt;0.5,1,0),0)</f>
        <v>0</v>
      </c>
      <c r="AE217" s="2">
        <f>IF(AND(Games[[#This Row],[Type]]="P",Games[[#This Row],[Round]]=1),IF(Games[[#This Row],[Result]]&gt;0.5,1,0),0)</f>
        <v>0</v>
      </c>
      <c r="AF217" s="2">
        <f>IF(AND(Games[[#This Row],[Type]]="P",Games[[#This Row],[Round]]=1),IF(Games[[#This Row],[Result]]&lt;0.5,1,0),0)</f>
        <v>0</v>
      </c>
      <c r="AG217" s="2">
        <f>IF(AND(Games[[#This Row],[Type]]="P",Games[[#This Row],[Round]]=2),IF(Games[[#This Row],[Result]]&gt;0.5,1,0),0)</f>
        <v>0</v>
      </c>
      <c r="AH217" s="2">
        <f>IF(AND(Games[[#This Row],[Type]]="P",Games[[#This Row],[Round]]=2),IF(Games[[#This Row],[Result]]&lt;0.5,1,0),0)</f>
        <v>0</v>
      </c>
      <c r="AI217" s="2">
        <f>IF(AND(Games[[#This Row],[Type]]="P",Games[[#This Row],[Round]]=3),IF(Games[[#This Row],[Result]]&gt;0.5,1,0),0)</f>
        <v>0</v>
      </c>
      <c r="AJ217" s="2">
        <f>IF(AND(Games[[#This Row],[Type]]="P",Games[[#This Row],[Round]]=3),IF(Games[[#This Row],[Result]]&lt;0.5,1,0),0)</f>
        <v>0</v>
      </c>
      <c r="AK217" s="2">
        <f>IF(AND(Games[[#This Row],[Type]]="P",Games[[#This Row],[Round]]=4),IF(Games[[#This Row],[Result]]&gt;0.5,1,0),0)</f>
        <v>0</v>
      </c>
      <c r="AL217" s="2">
        <f>IF(AND(Games[[#This Row],[Type]]="P",Games[[#This Row],[Round]]=4),IF(Games[[#This Row],[Result]]&lt;0.5,1,0),0)</f>
        <v>0</v>
      </c>
    </row>
    <row r="218" spans="1:38" x14ac:dyDescent="0.35">
      <c r="A218" s="10">
        <v>44384</v>
      </c>
      <c r="B218" s="2">
        <v>2021</v>
      </c>
      <c r="C218" s="2">
        <f>COUNTIFS(Games[Team],Games[[#This Row],[Team]],Games[Season],Games[[#This Row],[Season]],Games[Date],"&lt;=" &amp; Games[[#This Row],[Date]])</f>
        <v>18</v>
      </c>
      <c r="D218" s="2" t="s">
        <v>79</v>
      </c>
      <c r="E218" s="2" t="s">
        <v>80</v>
      </c>
      <c r="F218" s="1" t="s">
        <v>63</v>
      </c>
      <c r="G218" s="1" t="s">
        <v>71</v>
      </c>
      <c r="H218" s="1" t="s">
        <v>81</v>
      </c>
      <c r="I218" s="2" cm="1">
        <f t="array" ref="I2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8" s="2" cm="1">
        <f t="array" ref="J2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8" s="2">
        <f>Games[[#This Row],[DaysOff]]-Games[[#This Row],[OppDaysOff]]</f>
        <v>0</v>
      </c>
      <c r="L218" s="2">
        <f>Games[[#This Row],[OppDaysOff]]-Games[[#This Row],[DaysOff]]</f>
        <v>0</v>
      </c>
      <c r="M218" s="1">
        <f>MAX(-16, MIN(16, Games[[#This Row],[RestDiff]]*8))</f>
        <v>0</v>
      </c>
      <c r="N218" s="1">
        <f>MAX(-16, MIN(16, Games[[#This Row],[OppRestDiff]]*8))</f>
        <v>0</v>
      </c>
      <c r="O218" s="4" cm="1">
        <f t="array" ref="O2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1427.5346637923562</v>
      </c>
      <c r="P218" s="4" cm="1">
        <f t="array" ref="P2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1681.7233265325071</v>
      </c>
      <c r="Q218" s="4">
        <f>1/(1+10^(((Games[[#This Row],[OppPreGmRate]]+IF(Games[[#This Row],[HomeAway]]="A",HCA,0)+Games[[#This Row],[OppRestAdj]])-(Games[[#This Row],[PreGmRate]]+IF(Games[[#This Row],[HomeAway]]="H",HCA,0)+Games[[#This Row],[RestAdj]]))/400))</f>
        <v>0.12490593672778459</v>
      </c>
      <c r="R218" s="1">
        <v>62</v>
      </c>
      <c r="S218" s="1">
        <v>71</v>
      </c>
      <c r="T218" s="1">
        <v>0</v>
      </c>
      <c r="U218" s="1">
        <f>Games[[#This Row],[PointsFor]]-Games[[#This Row],[PointsAgainst]]</f>
        <v>-9</v>
      </c>
      <c r="V218" s="1">
        <f>IF(Games[[#This Row],[MOV]]&gt;0,1,IF(Games[[#This Row],[MOV]]=0,0.5,0))</f>
        <v>0</v>
      </c>
      <c r="W218" s="4">
        <f>((ABS(Games[[#This Row],[MOV]])+5)^0.6)/(12+0.01*(ABS(Games[[#This Row],[PreGmRate]]-Games[[#This Row],[OppPreGmRate]])))*IF(Games[[#This Row],[OT]]=1,0.9,1)</f>
        <v>0.33500868563967279</v>
      </c>
      <c r="X218" s="7" cm="1">
        <f t="array" ref="X2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8" s="9">
        <f>MAX(kmin, kmax - 0.15 * MIN(Games[[#This Row],[GamesPlayed]], 82))</f>
        <v>73.3</v>
      </c>
      <c r="Z218" s="4">
        <f>Games[[#This Row],[K]]*Games[[#This Row],[POMult]]</f>
        <v>73.3</v>
      </c>
      <c r="AA218" s="4">
        <f>(Games[[#This Row],[Keff]]*Games[[#This Row],[MOVMult]])*(Games[[#This Row],[Result]]-Games[[#This Row],[ExpectedWin%]])</f>
        <v>-3.067207251606539</v>
      </c>
      <c r="AB218" s="4">
        <f>Games[[#This Row],[PreGmRate]]+Games[[#This Row],[RatingChange]]</f>
        <v>1424.4674565407497</v>
      </c>
      <c r="AC218" s="2">
        <f>IF(Games[[#This Row],[Type]]="R",IF(Games[[#This Row],[Result]]&gt;0.5,1,0),0)</f>
        <v>0</v>
      </c>
      <c r="AD218" s="2">
        <f>IF(Games[[#This Row],[Type]]="R",IF(Games[[#This Row],[Result]]&lt;0.5,1,0),0)</f>
        <v>1</v>
      </c>
      <c r="AE218" s="2">
        <f>IF(AND(Games[[#This Row],[Type]]="P",Games[[#This Row],[Round]]=1),IF(Games[[#This Row],[Result]]&gt;0.5,1,0),0)</f>
        <v>0</v>
      </c>
      <c r="AF218" s="2">
        <f>IF(AND(Games[[#This Row],[Type]]="P",Games[[#This Row],[Round]]=1),IF(Games[[#This Row],[Result]]&lt;0.5,1,0),0)</f>
        <v>0</v>
      </c>
      <c r="AG218" s="2">
        <f>IF(AND(Games[[#This Row],[Type]]="P",Games[[#This Row],[Round]]=2),IF(Games[[#This Row],[Result]]&gt;0.5,1,0),0)</f>
        <v>0</v>
      </c>
      <c r="AH218" s="2">
        <f>IF(AND(Games[[#This Row],[Type]]="P",Games[[#This Row],[Round]]=2),IF(Games[[#This Row],[Result]]&lt;0.5,1,0),0)</f>
        <v>0</v>
      </c>
      <c r="AI218" s="2">
        <f>IF(AND(Games[[#This Row],[Type]]="P",Games[[#This Row],[Round]]=3),IF(Games[[#This Row],[Result]]&gt;0.5,1,0),0)</f>
        <v>0</v>
      </c>
      <c r="AJ218" s="2">
        <f>IF(AND(Games[[#This Row],[Type]]="P",Games[[#This Row],[Round]]=3),IF(Games[[#This Row],[Result]]&lt;0.5,1,0),0)</f>
        <v>0</v>
      </c>
      <c r="AK218" s="2">
        <f>IF(AND(Games[[#This Row],[Type]]="P",Games[[#This Row],[Round]]=4),IF(Games[[#This Row],[Result]]&gt;0.5,1,0),0)</f>
        <v>0</v>
      </c>
      <c r="AL218" s="2">
        <f>IF(AND(Games[[#This Row],[Type]]="P",Games[[#This Row],[Round]]=4),IF(Games[[#This Row],[Result]]&lt;0.5,1,0),0)</f>
        <v>0</v>
      </c>
    </row>
    <row r="219" spans="1:38" x14ac:dyDescent="0.35">
      <c r="A219" s="10">
        <v>44384</v>
      </c>
      <c r="B219" s="2">
        <v>2021</v>
      </c>
      <c r="C219" s="2">
        <f>COUNTIFS(Games[Team],Games[[#This Row],[Team]],Games[Season],Games[[#This Row],[Season]],Games[Date],"&lt;=" &amp; Games[[#This Row],[Date]])</f>
        <v>19</v>
      </c>
      <c r="D219" s="2" t="s">
        <v>79</v>
      </c>
      <c r="E219" s="2" t="s">
        <v>80</v>
      </c>
      <c r="F219" s="1" t="s">
        <v>71</v>
      </c>
      <c r="G219" s="1" t="s">
        <v>63</v>
      </c>
      <c r="H219" s="1" t="s">
        <v>82</v>
      </c>
      <c r="I219" s="2" cm="1">
        <f t="array" ref="I2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19" s="2" cm="1">
        <f t="array" ref="J2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19" s="2">
        <f>Games[[#This Row],[DaysOff]]-Games[[#This Row],[OppDaysOff]]</f>
        <v>0</v>
      </c>
      <c r="L219" s="2">
        <f>Games[[#This Row],[OppDaysOff]]-Games[[#This Row],[DaysOff]]</f>
        <v>0</v>
      </c>
      <c r="M219" s="1">
        <f>MAX(-16, MIN(16, Games[[#This Row],[RestDiff]]*8))</f>
        <v>0</v>
      </c>
      <c r="N219" s="1">
        <f>MAX(-16, MIN(16, Games[[#This Row],[OppRestDiff]]*8))</f>
        <v>0</v>
      </c>
      <c r="O219" s="4" cm="1">
        <f t="array" ref="O2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1681.7233265325071</v>
      </c>
      <c r="P219" s="4" cm="1">
        <f t="array" ref="P2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1427.5346637923562</v>
      </c>
      <c r="Q219" s="4">
        <f>1/(1+10^(((Games[[#This Row],[OppPreGmRate]]+IF(Games[[#This Row],[HomeAway]]="A",HCA,0)+Games[[#This Row],[OppRestAdj]])-(Games[[#This Row],[PreGmRate]]+IF(Games[[#This Row],[HomeAway]]="H",HCA,0)+Games[[#This Row],[RestAdj]]))/400))</f>
        <v>0.87509406327221539</v>
      </c>
      <c r="R219" s="1">
        <v>71</v>
      </c>
      <c r="S219" s="1">
        <v>62</v>
      </c>
      <c r="T219" s="1">
        <v>0</v>
      </c>
      <c r="U219" s="1">
        <f>Games[[#This Row],[PointsFor]]-Games[[#This Row],[PointsAgainst]]</f>
        <v>9</v>
      </c>
      <c r="V219" s="1">
        <f>IF(Games[[#This Row],[MOV]]&gt;0,1,IF(Games[[#This Row],[MOV]]=0,0.5,0))</f>
        <v>1</v>
      </c>
      <c r="W219" s="4">
        <f>((ABS(Games[[#This Row],[MOV]])+5)^0.6)/(12+0.01*(ABS(Games[[#This Row],[PreGmRate]]-Games[[#This Row],[OppPreGmRate]])))*IF(Games[[#This Row],[OT]]=1,0.9,1)</f>
        <v>0.33500868563967279</v>
      </c>
      <c r="X219" s="7" cm="1">
        <f t="array" ref="X2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19" s="9">
        <f>MAX(kmin, kmax - 0.15 * MIN(Games[[#This Row],[GamesPlayed]], 82))</f>
        <v>73.150000000000006</v>
      </c>
      <c r="Z219" s="4">
        <f>Games[[#This Row],[K]]*Games[[#This Row],[POMult]]</f>
        <v>73.150000000000006</v>
      </c>
      <c r="AA219" s="4">
        <f>(Games[[#This Row],[Keff]]*Games[[#This Row],[MOVMult]])*(Games[[#This Row],[Result]]-Games[[#This Row],[ExpectedWin%]])</f>
        <v>3.0609305655527748</v>
      </c>
      <c r="AB219" s="4">
        <f>Games[[#This Row],[PreGmRate]]+Games[[#This Row],[RatingChange]]</f>
        <v>1684.7842570980599</v>
      </c>
      <c r="AC219" s="2">
        <f>IF(Games[[#This Row],[Type]]="R",IF(Games[[#This Row],[Result]]&gt;0.5,1,0),0)</f>
        <v>1</v>
      </c>
      <c r="AD219" s="2">
        <f>IF(Games[[#This Row],[Type]]="R",IF(Games[[#This Row],[Result]]&lt;0.5,1,0),0)</f>
        <v>0</v>
      </c>
      <c r="AE219" s="2">
        <f>IF(AND(Games[[#This Row],[Type]]="P",Games[[#This Row],[Round]]=1),IF(Games[[#This Row],[Result]]&gt;0.5,1,0),0)</f>
        <v>0</v>
      </c>
      <c r="AF219" s="2">
        <f>IF(AND(Games[[#This Row],[Type]]="P",Games[[#This Row],[Round]]=1),IF(Games[[#This Row],[Result]]&lt;0.5,1,0),0)</f>
        <v>0</v>
      </c>
      <c r="AG219" s="2">
        <f>IF(AND(Games[[#This Row],[Type]]="P",Games[[#This Row],[Round]]=2),IF(Games[[#This Row],[Result]]&gt;0.5,1,0),0)</f>
        <v>0</v>
      </c>
      <c r="AH219" s="2">
        <f>IF(AND(Games[[#This Row],[Type]]="P",Games[[#This Row],[Round]]=2),IF(Games[[#This Row],[Result]]&lt;0.5,1,0),0)</f>
        <v>0</v>
      </c>
      <c r="AI219" s="2">
        <f>IF(AND(Games[[#This Row],[Type]]="P",Games[[#This Row],[Round]]=3),IF(Games[[#This Row],[Result]]&gt;0.5,1,0),0)</f>
        <v>0</v>
      </c>
      <c r="AJ219" s="2">
        <f>IF(AND(Games[[#This Row],[Type]]="P",Games[[#This Row],[Round]]=3),IF(Games[[#This Row],[Result]]&lt;0.5,1,0),0)</f>
        <v>0</v>
      </c>
      <c r="AK219" s="2">
        <f>IF(AND(Games[[#This Row],[Type]]="P",Games[[#This Row],[Round]]=4),IF(Games[[#This Row],[Result]]&gt;0.5,1,0),0)</f>
        <v>0</v>
      </c>
      <c r="AL219" s="2">
        <f>IF(AND(Games[[#This Row],[Type]]="P",Games[[#This Row],[Round]]=4),IF(Games[[#This Row],[Result]]&lt;0.5,1,0),0)</f>
        <v>0</v>
      </c>
    </row>
    <row r="220" spans="1:38" x14ac:dyDescent="0.35">
      <c r="A220" s="10">
        <v>44386</v>
      </c>
      <c r="B220" s="2">
        <v>2021</v>
      </c>
      <c r="C220" s="2">
        <f>COUNTIFS(Games[Team],Games[[#This Row],[Team]],Games[Season],Games[[#This Row],[Season]],Games[Date],"&lt;=" &amp; Games[[#This Row],[Date]])</f>
        <v>18</v>
      </c>
      <c r="D220" s="2" t="s">
        <v>79</v>
      </c>
      <c r="E220" s="2" t="s">
        <v>80</v>
      </c>
      <c r="F220" s="1" t="s">
        <v>77</v>
      </c>
      <c r="G220" s="1" t="s">
        <v>74</v>
      </c>
      <c r="H220" s="1" t="s">
        <v>81</v>
      </c>
      <c r="I220" s="2" cm="1">
        <f t="array" ref="I220">IFERROR(
    Games[[#This Row],[Date]]
    - LOOKUP(
        2,
        1/((Games[Team]=Games[[#This Row],[Team]]) * (Games[Date] &lt; Games[[#This Row],[Date]])),
        Games[Date]
    )
    - 1,
Games[[#This Row],[Date]]-$A$2)</f>
        <v>4</v>
      </c>
      <c r="J220" s="2" cm="1">
        <f t="array" ref="J220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0" s="2">
        <f>Games[[#This Row],[DaysOff]]-Games[[#This Row],[OppDaysOff]]</f>
        <v>-1</v>
      </c>
      <c r="L220" s="2">
        <f>Games[[#This Row],[OppDaysOff]]-Games[[#This Row],[DaysOff]]</f>
        <v>1</v>
      </c>
      <c r="M220" s="1">
        <f>MAX(-16, MIN(16, Games[[#This Row],[RestDiff]]*8))</f>
        <v>-8</v>
      </c>
      <c r="N220" s="1">
        <f>MAX(-16, MIN(16, Games[[#This Row],[OppRestDiff]]*8))</f>
        <v>8</v>
      </c>
      <c r="O220" s="4" cm="1">
        <f t="array" ref="O2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1399.6327865876049</v>
      </c>
      <c r="P220" s="4" cm="1">
        <f t="array" ref="P2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1590.1344361197391</v>
      </c>
      <c r="Q220" s="4">
        <f>1/(1+10^(((Games[[#This Row],[OppPreGmRate]]+IF(Games[[#This Row],[HomeAway]]="A",HCA,0)+Games[[#This Row],[OppRestAdj]])-(Games[[#This Row],[PreGmRate]]+IF(Games[[#This Row],[HomeAway]]="H",HCA,0)+Games[[#This Row],[RestAdj]]))/400))</f>
        <v>0.15812283924072074</v>
      </c>
      <c r="R220" s="1">
        <v>72</v>
      </c>
      <c r="S220" s="1">
        <v>84</v>
      </c>
      <c r="T220" s="1">
        <v>0</v>
      </c>
      <c r="U220" s="1">
        <f>Games[[#This Row],[PointsFor]]-Games[[#This Row],[PointsAgainst]]</f>
        <v>-12</v>
      </c>
      <c r="V220" s="1">
        <f>IF(Games[[#This Row],[MOV]]&gt;0,1,IF(Games[[#This Row],[MOV]]=0,0.5,0))</f>
        <v>0</v>
      </c>
      <c r="W220" s="4">
        <f>((ABS(Games[[#This Row],[MOV]])+5)^0.6)/(12+0.01*(ABS(Games[[#This Row],[PreGmRate]]-Games[[#This Row],[OppPreGmRate]])))*IF(Games[[#This Row],[OT]]=1,0.9,1)</f>
        <v>0.39363875035748352</v>
      </c>
      <c r="X220" s="7" cm="1">
        <f t="array" ref="X2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0" s="9">
        <f>MAX(kmin, kmax - 0.15 * MIN(Games[[#This Row],[GamesPlayed]], 82))</f>
        <v>73.3</v>
      </c>
      <c r="Z220" s="4">
        <f>Games[[#This Row],[K]]*Games[[#This Row],[POMult]]</f>
        <v>73.3</v>
      </c>
      <c r="AA220" s="4">
        <f>(Games[[#This Row],[Keff]]*Games[[#This Row],[MOVMult]])*(Games[[#This Row],[Result]]-Games[[#This Row],[ExpectedWin%]])</f>
        <v>-4.5624321924962121</v>
      </c>
      <c r="AB220" s="4">
        <f>Games[[#This Row],[PreGmRate]]+Games[[#This Row],[RatingChange]]</f>
        <v>1395.0703543951086</v>
      </c>
      <c r="AC220" s="2">
        <f>IF(Games[[#This Row],[Type]]="R",IF(Games[[#This Row],[Result]]&gt;0.5,1,0),0)</f>
        <v>0</v>
      </c>
      <c r="AD220" s="2">
        <f>IF(Games[[#This Row],[Type]]="R",IF(Games[[#This Row],[Result]]&lt;0.5,1,0),0)</f>
        <v>1</v>
      </c>
      <c r="AE220" s="2">
        <f>IF(AND(Games[[#This Row],[Type]]="P",Games[[#This Row],[Round]]=1),IF(Games[[#This Row],[Result]]&gt;0.5,1,0),0)</f>
        <v>0</v>
      </c>
      <c r="AF220" s="2">
        <f>IF(AND(Games[[#This Row],[Type]]="P",Games[[#This Row],[Round]]=1),IF(Games[[#This Row],[Result]]&lt;0.5,1,0),0)</f>
        <v>0</v>
      </c>
      <c r="AG220" s="2">
        <f>IF(AND(Games[[#This Row],[Type]]="P",Games[[#This Row],[Round]]=2),IF(Games[[#This Row],[Result]]&gt;0.5,1,0),0)</f>
        <v>0</v>
      </c>
      <c r="AH220" s="2">
        <f>IF(AND(Games[[#This Row],[Type]]="P",Games[[#This Row],[Round]]=2),IF(Games[[#This Row],[Result]]&lt;0.5,1,0),0)</f>
        <v>0</v>
      </c>
      <c r="AI220" s="2">
        <f>IF(AND(Games[[#This Row],[Type]]="P",Games[[#This Row],[Round]]=3),IF(Games[[#This Row],[Result]]&gt;0.5,1,0),0)</f>
        <v>0</v>
      </c>
      <c r="AJ220" s="2">
        <f>IF(AND(Games[[#This Row],[Type]]="P",Games[[#This Row],[Round]]=3),IF(Games[[#This Row],[Result]]&lt;0.5,1,0),0)</f>
        <v>0</v>
      </c>
      <c r="AK220" s="2">
        <f>IF(AND(Games[[#This Row],[Type]]="P",Games[[#This Row],[Round]]=4),IF(Games[[#This Row],[Result]]&gt;0.5,1,0),0)</f>
        <v>0</v>
      </c>
      <c r="AL220" s="2">
        <f>IF(AND(Games[[#This Row],[Type]]="P",Games[[#This Row],[Round]]=4),IF(Games[[#This Row],[Result]]&lt;0.5,1,0),0)</f>
        <v>0</v>
      </c>
    </row>
    <row r="221" spans="1:38" x14ac:dyDescent="0.35">
      <c r="A221" s="10">
        <v>44386</v>
      </c>
      <c r="B221" s="2">
        <v>2021</v>
      </c>
      <c r="C221" s="2">
        <f>COUNTIFS(Games[Team],Games[[#This Row],[Team]],Games[Season],Games[[#This Row],[Season]],Games[Date],"&lt;=" &amp; Games[[#This Row],[Date]])</f>
        <v>19</v>
      </c>
      <c r="D221" s="2" t="s">
        <v>79</v>
      </c>
      <c r="E221" s="2" t="s">
        <v>80</v>
      </c>
      <c r="F221" s="1" t="s">
        <v>74</v>
      </c>
      <c r="G221" s="1" t="s">
        <v>77</v>
      </c>
      <c r="H221" s="1" t="s">
        <v>82</v>
      </c>
      <c r="I221" s="2" cm="1">
        <f t="array" ref="I221">IFERROR(
    Games[[#This Row],[Date]]
    - LOOKUP(
        2,
        1/((Games[Team]=Games[[#This Row],[Team]]) * (Games[Date] &lt; Games[[#This Row],[Date]])),
        Games[Date]
    )
    - 1,
Games[[#This Row],[Date]]-$A$2)</f>
        <v>5</v>
      </c>
      <c r="J221" s="2" cm="1">
        <f t="array" ref="J221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21" s="2">
        <f>Games[[#This Row],[DaysOff]]-Games[[#This Row],[OppDaysOff]]</f>
        <v>1</v>
      </c>
      <c r="L221" s="2">
        <f>Games[[#This Row],[OppDaysOff]]-Games[[#This Row],[DaysOff]]</f>
        <v>-1</v>
      </c>
      <c r="M221" s="1">
        <f>MAX(-16, MIN(16, Games[[#This Row],[RestDiff]]*8))</f>
        <v>8</v>
      </c>
      <c r="N221" s="1">
        <f>MAX(-16, MIN(16, Games[[#This Row],[OppRestDiff]]*8))</f>
        <v>-8</v>
      </c>
      <c r="O221" s="4" cm="1">
        <f t="array" ref="O2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1590.1344361197391</v>
      </c>
      <c r="P221" s="4" cm="1">
        <f t="array" ref="P2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1399.6327865876049</v>
      </c>
      <c r="Q221" s="4">
        <f>1/(1+10^(((Games[[#This Row],[OppPreGmRate]]+IF(Games[[#This Row],[HomeAway]]="A",HCA,0)+Games[[#This Row],[OppRestAdj]])-(Games[[#This Row],[PreGmRate]]+IF(Games[[#This Row],[HomeAway]]="H",HCA,0)+Games[[#This Row],[RestAdj]]))/400))</f>
        <v>0.84187716075927921</v>
      </c>
      <c r="R221" s="1">
        <v>84</v>
      </c>
      <c r="S221" s="1">
        <v>72</v>
      </c>
      <c r="T221" s="1">
        <v>0</v>
      </c>
      <c r="U221" s="1">
        <f>Games[[#This Row],[PointsFor]]-Games[[#This Row],[PointsAgainst]]</f>
        <v>12</v>
      </c>
      <c r="V221" s="1">
        <f>IF(Games[[#This Row],[MOV]]&gt;0,1,IF(Games[[#This Row],[MOV]]=0,0.5,0))</f>
        <v>1</v>
      </c>
      <c r="W221" s="4">
        <f>((ABS(Games[[#This Row],[MOV]])+5)^0.6)/(12+0.01*(ABS(Games[[#This Row],[PreGmRate]]-Games[[#This Row],[OppPreGmRate]])))*IF(Games[[#This Row],[OT]]=1,0.9,1)</f>
        <v>0.39363875035748352</v>
      </c>
      <c r="X221" s="7" cm="1">
        <f t="array" ref="X2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1" s="9">
        <f>MAX(kmin, kmax - 0.15 * MIN(Games[[#This Row],[GamesPlayed]], 82))</f>
        <v>73.150000000000006</v>
      </c>
      <c r="Z221" s="4">
        <f>Games[[#This Row],[K]]*Games[[#This Row],[POMult]]</f>
        <v>73.150000000000006</v>
      </c>
      <c r="AA221" s="4">
        <f>(Games[[#This Row],[Keff]]*Games[[#This Row],[MOVMult]])*(Games[[#This Row],[Result]]-Games[[#This Row],[ExpectedWin%]])</f>
        <v>4.5530957009699593</v>
      </c>
      <c r="AB221" s="4">
        <f>Games[[#This Row],[PreGmRate]]+Games[[#This Row],[RatingChange]]</f>
        <v>1594.6875318207092</v>
      </c>
      <c r="AC221" s="2">
        <f>IF(Games[[#This Row],[Type]]="R",IF(Games[[#This Row],[Result]]&gt;0.5,1,0),0)</f>
        <v>1</v>
      </c>
      <c r="AD221" s="2">
        <f>IF(Games[[#This Row],[Type]]="R",IF(Games[[#This Row],[Result]]&lt;0.5,1,0),0)</f>
        <v>0</v>
      </c>
      <c r="AE221" s="2">
        <f>IF(AND(Games[[#This Row],[Type]]="P",Games[[#This Row],[Round]]=1),IF(Games[[#This Row],[Result]]&gt;0.5,1,0),0)</f>
        <v>0</v>
      </c>
      <c r="AF221" s="2">
        <f>IF(AND(Games[[#This Row],[Type]]="P",Games[[#This Row],[Round]]=1),IF(Games[[#This Row],[Result]]&lt;0.5,1,0),0)</f>
        <v>0</v>
      </c>
      <c r="AG221" s="2">
        <f>IF(AND(Games[[#This Row],[Type]]="P",Games[[#This Row],[Round]]=2),IF(Games[[#This Row],[Result]]&gt;0.5,1,0),0)</f>
        <v>0</v>
      </c>
      <c r="AH221" s="2">
        <f>IF(AND(Games[[#This Row],[Type]]="P",Games[[#This Row],[Round]]=2),IF(Games[[#This Row],[Result]]&lt;0.5,1,0),0)</f>
        <v>0</v>
      </c>
      <c r="AI221" s="2">
        <f>IF(AND(Games[[#This Row],[Type]]="P",Games[[#This Row],[Round]]=3),IF(Games[[#This Row],[Result]]&gt;0.5,1,0),0)</f>
        <v>0</v>
      </c>
      <c r="AJ221" s="2">
        <f>IF(AND(Games[[#This Row],[Type]]="P",Games[[#This Row],[Round]]=3),IF(Games[[#This Row],[Result]]&lt;0.5,1,0),0)</f>
        <v>0</v>
      </c>
      <c r="AK221" s="2">
        <f>IF(AND(Games[[#This Row],[Type]]="P",Games[[#This Row],[Round]]=4),IF(Games[[#This Row],[Result]]&gt;0.5,1,0),0)</f>
        <v>0</v>
      </c>
      <c r="AL221" s="2">
        <f>IF(AND(Games[[#This Row],[Type]]="P",Games[[#This Row],[Round]]=4),IF(Games[[#This Row],[Result]]&lt;0.5,1,0),0)</f>
        <v>0</v>
      </c>
    </row>
    <row r="222" spans="1:38" x14ac:dyDescent="0.35">
      <c r="A222" s="10">
        <v>44386</v>
      </c>
      <c r="B222" s="2">
        <v>2021</v>
      </c>
      <c r="C222" s="2">
        <f>COUNTIFS(Games[Team],Games[[#This Row],[Team]],Games[Season],Games[[#This Row],[Season]],Games[Date],"&lt;=" &amp; Games[[#This Row],[Date]])</f>
        <v>20</v>
      </c>
      <c r="D222" s="2" t="s">
        <v>79</v>
      </c>
      <c r="E222" s="2" t="s">
        <v>80</v>
      </c>
      <c r="F222" s="1" t="s">
        <v>60</v>
      </c>
      <c r="G222" s="1" t="s">
        <v>69</v>
      </c>
      <c r="H222" s="1" t="s">
        <v>81</v>
      </c>
      <c r="I222" s="2" cm="1">
        <f t="array" ref="I22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22" s="2" cm="1">
        <f t="array" ref="J22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22" s="2">
        <f>Games[[#This Row],[DaysOff]]-Games[[#This Row],[OppDaysOff]]</f>
        <v>-2</v>
      </c>
      <c r="L222" s="2">
        <f>Games[[#This Row],[OppDaysOff]]-Games[[#This Row],[DaysOff]]</f>
        <v>2</v>
      </c>
      <c r="M222" s="1">
        <f>MAX(-16, MIN(16, Games[[#This Row],[RestDiff]]*8))</f>
        <v>-16</v>
      </c>
      <c r="N222" s="1">
        <f>MAX(-16, MIN(16, Games[[#This Row],[OppRestDiff]]*8))</f>
        <v>16</v>
      </c>
      <c r="O222" s="4" cm="1">
        <f t="array" ref="O2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1429.9165854217276</v>
      </c>
      <c r="P222" s="4" cm="1">
        <f t="array" ref="P2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1310.3129021931059</v>
      </c>
      <c r="Q222" s="4">
        <f>1/(1+10^(((Games[[#This Row],[OppPreGmRate]]+IF(Games[[#This Row],[HomeAway]]="A",HCA,0)+Games[[#This Row],[OppRestAdj]])-(Games[[#This Row],[PreGmRate]]+IF(Games[[#This Row],[HomeAway]]="H",HCA,0)+Games[[#This Row],[RestAdj]]))/400))</f>
        <v>0.50518593107955478</v>
      </c>
      <c r="R222" s="1">
        <v>69</v>
      </c>
      <c r="S222" s="1">
        <v>82</v>
      </c>
      <c r="T222" s="1">
        <v>0</v>
      </c>
      <c r="U222" s="1">
        <f>Games[[#This Row],[PointsFor]]-Games[[#This Row],[PointsAgainst]]</f>
        <v>-13</v>
      </c>
      <c r="V222" s="1">
        <f>IF(Games[[#This Row],[MOV]]&gt;0,1,IF(Games[[#This Row],[MOV]]=0,0.5,0))</f>
        <v>0</v>
      </c>
      <c r="W222" s="4">
        <f>((ABS(Games[[#This Row],[MOV]])+5)^0.6)/(12+0.01*(ABS(Games[[#This Row],[PreGmRate]]-Games[[#This Row],[OppPreGmRate]])))*IF(Games[[#This Row],[OT]]=1,0.9,1)</f>
        <v>0.42925956783556735</v>
      </c>
      <c r="X222" s="7" cm="1">
        <f t="array" ref="X2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2" s="9">
        <f>MAX(kmin, kmax - 0.15 * MIN(Games[[#This Row],[GamesPlayed]], 82))</f>
        <v>73</v>
      </c>
      <c r="Z222" s="4">
        <f>Games[[#This Row],[K]]*Games[[#This Row],[POMult]]</f>
        <v>73</v>
      </c>
      <c r="AA222" s="4">
        <f>(Games[[#This Row],[Keff]]*Games[[#This Row],[MOVMult]])*(Games[[#This Row],[Result]]-Games[[#This Row],[ExpectedWin%]])</f>
        <v>-15.830480294982742</v>
      </c>
      <c r="AB222" s="4">
        <f>Games[[#This Row],[PreGmRate]]+Games[[#This Row],[RatingChange]]</f>
        <v>1414.086105126745</v>
      </c>
      <c r="AC222" s="2">
        <f>IF(Games[[#This Row],[Type]]="R",IF(Games[[#This Row],[Result]]&gt;0.5,1,0),0)</f>
        <v>0</v>
      </c>
      <c r="AD222" s="2">
        <f>IF(Games[[#This Row],[Type]]="R",IF(Games[[#This Row],[Result]]&lt;0.5,1,0),0)</f>
        <v>1</v>
      </c>
      <c r="AE222" s="2">
        <f>IF(AND(Games[[#This Row],[Type]]="P",Games[[#This Row],[Round]]=1),IF(Games[[#This Row],[Result]]&gt;0.5,1,0),0)</f>
        <v>0</v>
      </c>
      <c r="AF222" s="2">
        <f>IF(AND(Games[[#This Row],[Type]]="P",Games[[#This Row],[Round]]=1),IF(Games[[#This Row],[Result]]&lt;0.5,1,0),0)</f>
        <v>0</v>
      </c>
      <c r="AG222" s="2">
        <f>IF(AND(Games[[#This Row],[Type]]="P",Games[[#This Row],[Round]]=2),IF(Games[[#This Row],[Result]]&gt;0.5,1,0),0)</f>
        <v>0</v>
      </c>
      <c r="AH222" s="2">
        <f>IF(AND(Games[[#This Row],[Type]]="P",Games[[#This Row],[Round]]=2),IF(Games[[#This Row],[Result]]&lt;0.5,1,0),0)</f>
        <v>0</v>
      </c>
      <c r="AI222" s="2">
        <f>IF(AND(Games[[#This Row],[Type]]="P",Games[[#This Row],[Round]]=3),IF(Games[[#This Row],[Result]]&gt;0.5,1,0),0)</f>
        <v>0</v>
      </c>
      <c r="AJ222" s="2">
        <f>IF(AND(Games[[#This Row],[Type]]="P",Games[[#This Row],[Round]]=3),IF(Games[[#This Row],[Result]]&lt;0.5,1,0),0)</f>
        <v>0</v>
      </c>
      <c r="AK222" s="2">
        <f>IF(AND(Games[[#This Row],[Type]]="P",Games[[#This Row],[Round]]=4),IF(Games[[#This Row],[Result]]&gt;0.5,1,0),0)</f>
        <v>0</v>
      </c>
      <c r="AL222" s="2">
        <f>IF(AND(Games[[#This Row],[Type]]="P",Games[[#This Row],[Round]]=4),IF(Games[[#This Row],[Result]]&lt;0.5,1,0),0)</f>
        <v>0</v>
      </c>
    </row>
    <row r="223" spans="1:38" x14ac:dyDescent="0.35">
      <c r="A223" s="10">
        <v>44386</v>
      </c>
      <c r="B223" s="2">
        <v>2021</v>
      </c>
      <c r="C223" s="2">
        <f>COUNTIFS(Games[Team],Games[[#This Row],[Team]],Games[Season],Games[[#This Row],[Season]],Games[Date],"&lt;=" &amp; Games[[#This Row],[Date]])</f>
        <v>19</v>
      </c>
      <c r="D223" s="2" t="s">
        <v>79</v>
      </c>
      <c r="E223" s="2" t="s">
        <v>80</v>
      </c>
      <c r="F223" s="1" t="s">
        <v>69</v>
      </c>
      <c r="G223" s="1" t="s">
        <v>60</v>
      </c>
      <c r="H223" s="1" t="s">
        <v>82</v>
      </c>
      <c r="I223" s="2" cm="1">
        <f t="array" ref="I223">IFERROR(
    Games[[#This Row],[Date]]
    - LOOKUP(
        2,
        1/((Games[Team]=Games[[#This Row],[Team]]) * (Games[Date] &lt; Games[[#This Row],[Date]])),
        Games[Date]
    )
    - 1,
Games[[#This Row],[Date]]-$A$2)</f>
        <v>5</v>
      </c>
      <c r="J223" s="2" cm="1">
        <f t="array" ref="J22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23" s="2">
        <f>Games[[#This Row],[DaysOff]]-Games[[#This Row],[OppDaysOff]]</f>
        <v>2</v>
      </c>
      <c r="L223" s="2">
        <f>Games[[#This Row],[OppDaysOff]]-Games[[#This Row],[DaysOff]]</f>
        <v>-2</v>
      </c>
      <c r="M223" s="1">
        <f>MAX(-16, MIN(16, Games[[#This Row],[RestDiff]]*8))</f>
        <v>16</v>
      </c>
      <c r="N223" s="1">
        <f>MAX(-16, MIN(16, Games[[#This Row],[OppRestDiff]]*8))</f>
        <v>-16</v>
      </c>
      <c r="O223" s="4" cm="1">
        <f t="array" ref="O2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1310.3129021931059</v>
      </c>
      <c r="P223" s="4" cm="1">
        <f t="array" ref="P2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1429.9165854217276</v>
      </c>
      <c r="Q223" s="4">
        <f>1/(1+10^(((Games[[#This Row],[OppPreGmRate]]+IF(Games[[#This Row],[HomeAway]]="A",HCA,0)+Games[[#This Row],[OppRestAdj]])-(Games[[#This Row],[PreGmRate]]+IF(Games[[#This Row],[HomeAway]]="H",HCA,0)+Games[[#This Row],[RestAdj]]))/400))</f>
        <v>0.49481406892044522</v>
      </c>
      <c r="R223" s="1">
        <v>82</v>
      </c>
      <c r="S223" s="1">
        <v>69</v>
      </c>
      <c r="T223" s="1">
        <v>0</v>
      </c>
      <c r="U223" s="1">
        <f>Games[[#This Row],[PointsFor]]-Games[[#This Row],[PointsAgainst]]</f>
        <v>13</v>
      </c>
      <c r="V223" s="1">
        <f>IF(Games[[#This Row],[MOV]]&gt;0,1,IF(Games[[#This Row],[MOV]]=0,0.5,0))</f>
        <v>1</v>
      </c>
      <c r="W223" s="4">
        <f>((ABS(Games[[#This Row],[MOV]])+5)^0.6)/(12+0.01*(ABS(Games[[#This Row],[PreGmRate]]-Games[[#This Row],[OppPreGmRate]])))*IF(Games[[#This Row],[OT]]=1,0.9,1)</f>
        <v>0.42925956783556735</v>
      </c>
      <c r="X223" s="7" cm="1">
        <f t="array" ref="X2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3" s="9">
        <f>MAX(kmin, kmax - 0.15 * MIN(Games[[#This Row],[GamesPlayed]], 82))</f>
        <v>73.150000000000006</v>
      </c>
      <c r="Z223" s="4">
        <f>Games[[#This Row],[K]]*Games[[#This Row],[POMult]]</f>
        <v>73.150000000000006</v>
      </c>
      <c r="AA223" s="4">
        <f>(Games[[#This Row],[Keff]]*Games[[#This Row],[MOVMult]])*(Games[[#This Row],[Result]]-Games[[#This Row],[ExpectedWin%]])</f>
        <v>15.863008679150516</v>
      </c>
      <c r="AB223" s="4">
        <f>Games[[#This Row],[PreGmRate]]+Games[[#This Row],[RatingChange]]</f>
        <v>1326.1759108722563</v>
      </c>
      <c r="AC223" s="2">
        <f>IF(Games[[#This Row],[Type]]="R",IF(Games[[#This Row],[Result]]&gt;0.5,1,0),0)</f>
        <v>1</v>
      </c>
      <c r="AD223" s="2">
        <f>IF(Games[[#This Row],[Type]]="R",IF(Games[[#This Row],[Result]]&lt;0.5,1,0),0)</f>
        <v>0</v>
      </c>
      <c r="AE223" s="2">
        <f>IF(AND(Games[[#This Row],[Type]]="P",Games[[#This Row],[Round]]=1),IF(Games[[#This Row],[Result]]&gt;0.5,1,0),0)</f>
        <v>0</v>
      </c>
      <c r="AF223" s="2">
        <f>IF(AND(Games[[#This Row],[Type]]="P",Games[[#This Row],[Round]]=1),IF(Games[[#This Row],[Result]]&lt;0.5,1,0),0)</f>
        <v>0</v>
      </c>
      <c r="AG223" s="2">
        <f>IF(AND(Games[[#This Row],[Type]]="P",Games[[#This Row],[Round]]=2),IF(Games[[#This Row],[Result]]&gt;0.5,1,0),0)</f>
        <v>0</v>
      </c>
      <c r="AH223" s="2">
        <f>IF(AND(Games[[#This Row],[Type]]="P",Games[[#This Row],[Round]]=2),IF(Games[[#This Row],[Result]]&lt;0.5,1,0),0)</f>
        <v>0</v>
      </c>
      <c r="AI223" s="2">
        <f>IF(AND(Games[[#This Row],[Type]]="P",Games[[#This Row],[Round]]=3),IF(Games[[#This Row],[Result]]&gt;0.5,1,0),0)</f>
        <v>0</v>
      </c>
      <c r="AJ223" s="2">
        <f>IF(AND(Games[[#This Row],[Type]]="P",Games[[#This Row],[Round]]=3),IF(Games[[#This Row],[Result]]&lt;0.5,1,0),0)</f>
        <v>0</v>
      </c>
      <c r="AK223" s="2">
        <f>IF(AND(Games[[#This Row],[Type]]="P",Games[[#This Row],[Round]]=4),IF(Games[[#This Row],[Result]]&gt;0.5,1,0),0)</f>
        <v>0</v>
      </c>
      <c r="AL223" s="2">
        <f>IF(AND(Games[[#This Row],[Type]]="P",Games[[#This Row],[Round]]=4),IF(Games[[#This Row],[Result]]&lt;0.5,1,0),0)</f>
        <v>0</v>
      </c>
    </row>
    <row r="224" spans="1:38" x14ac:dyDescent="0.35">
      <c r="A224" s="10">
        <v>44386</v>
      </c>
      <c r="B224" s="2">
        <v>2021</v>
      </c>
      <c r="C224" s="2">
        <f>COUNTIFS(Games[Team],Games[[#This Row],[Team]],Games[Season],Games[[#This Row],[Season]],Games[Date],"&lt;=" &amp; Games[[#This Row],[Date]])</f>
        <v>18</v>
      </c>
      <c r="D224" s="2" t="s">
        <v>79</v>
      </c>
      <c r="E224" s="2" t="s">
        <v>80</v>
      </c>
      <c r="F224" s="1" t="s">
        <v>67</v>
      </c>
      <c r="G224" s="1" t="s">
        <v>85</v>
      </c>
      <c r="H224" s="1" t="s">
        <v>81</v>
      </c>
      <c r="I224" s="2" cm="1">
        <f t="array" ref="I2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4" s="2" cm="1">
        <f t="array" ref="J2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4" s="2">
        <f>Games[[#This Row],[DaysOff]]-Games[[#This Row],[OppDaysOff]]</f>
        <v>0</v>
      </c>
      <c r="L224" s="2">
        <f>Games[[#This Row],[OppDaysOff]]-Games[[#This Row],[DaysOff]]</f>
        <v>0</v>
      </c>
      <c r="M224" s="1">
        <f>MAX(-16, MIN(16, Games[[#This Row],[RestDiff]]*8))</f>
        <v>0</v>
      </c>
      <c r="N224" s="1">
        <f>MAX(-16, MIN(16, Games[[#This Row],[OppRestDiff]]*8))</f>
        <v>0</v>
      </c>
      <c r="O224" s="4" cm="1">
        <f t="array" ref="O2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1558.2789945505099</v>
      </c>
      <c r="P224" s="4" cm="1">
        <f t="array" ref="P2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1639.2508991380978</v>
      </c>
      <c r="Q224" s="4">
        <f>1/(1+10^(((Games[[#This Row],[OppPreGmRate]]+IF(Games[[#This Row],[HomeAway]]="A",HCA,0)+Games[[#This Row],[OppRestAdj]])-(Games[[#This Row],[PreGmRate]]+IF(Games[[#This Row],[HomeAway]]="H",HCA,0)+Games[[#This Row],[RestAdj]]))/400))</f>
        <v>0.27895428585545712</v>
      </c>
      <c r="R224" s="1">
        <v>77</v>
      </c>
      <c r="S224" s="1">
        <v>67</v>
      </c>
      <c r="T224" s="1">
        <v>0</v>
      </c>
      <c r="U224" s="1">
        <f>Games[[#This Row],[PointsFor]]-Games[[#This Row],[PointsAgainst]]</f>
        <v>10</v>
      </c>
      <c r="V224" s="1">
        <f>IF(Games[[#This Row],[MOV]]&gt;0,1,IF(Games[[#This Row],[MOV]]=0,0.5,0))</f>
        <v>1</v>
      </c>
      <c r="W224" s="4">
        <f>((ABS(Games[[#This Row],[MOV]])+5)^0.6)/(12+0.01*(ABS(Games[[#This Row],[PreGmRate]]-Games[[#This Row],[OppPreGmRate]])))*IF(Games[[#This Row],[OT]]=1,0.9,1)</f>
        <v>0.39638311923961672</v>
      </c>
      <c r="X224" s="7" cm="1">
        <f t="array" ref="X2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4" s="9">
        <f>MAX(kmin, kmax - 0.15 * MIN(Games[[#This Row],[GamesPlayed]], 82))</f>
        <v>73.3</v>
      </c>
      <c r="Z224" s="4">
        <f>Games[[#This Row],[K]]*Games[[#This Row],[POMult]]</f>
        <v>73.3</v>
      </c>
      <c r="AA224" s="4">
        <f>(Games[[#This Row],[Keff]]*Games[[#This Row],[MOVMult]])*(Games[[#This Row],[Result]]-Games[[#This Row],[ExpectedWin%]])</f>
        <v>20.949898602734969</v>
      </c>
      <c r="AB224" s="4">
        <f>Games[[#This Row],[PreGmRate]]+Games[[#This Row],[RatingChange]]</f>
        <v>1579.2288931532448</v>
      </c>
      <c r="AC224" s="2">
        <f>IF(Games[[#This Row],[Type]]="R",IF(Games[[#This Row],[Result]]&gt;0.5,1,0),0)</f>
        <v>1</v>
      </c>
      <c r="AD224" s="2">
        <f>IF(Games[[#This Row],[Type]]="R",IF(Games[[#This Row],[Result]]&lt;0.5,1,0),0)</f>
        <v>0</v>
      </c>
      <c r="AE224" s="2">
        <f>IF(AND(Games[[#This Row],[Type]]="P",Games[[#This Row],[Round]]=1),IF(Games[[#This Row],[Result]]&gt;0.5,1,0),0)</f>
        <v>0</v>
      </c>
      <c r="AF224" s="2">
        <f>IF(AND(Games[[#This Row],[Type]]="P",Games[[#This Row],[Round]]=1),IF(Games[[#This Row],[Result]]&lt;0.5,1,0),0)</f>
        <v>0</v>
      </c>
      <c r="AG224" s="2">
        <f>IF(AND(Games[[#This Row],[Type]]="P",Games[[#This Row],[Round]]=2),IF(Games[[#This Row],[Result]]&gt;0.5,1,0),0)</f>
        <v>0</v>
      </c>
      <c r="AH224" s="2">
        <f>IF(AND(Games[[#This Row],[Type]]="P",Games[[#This Row],[Round]]=2),IF(Games[[#This Row],[Result]]&lt;0.5,1,0),0)</f>
        <v>0</v>
      </c>
      <c r="AI224" s="2">
        <f>IF(AND(Games[[#This Row],[Type]]="P",Games[[#This Row],[Round]]=3),IF(Games[[#This Row],[Result]]&gt;0.5,1,0),0)</f>
        <v>0</v>
      </c>
      <c r="AJ224" s="2">
        <f>IF(AND(Games[[#This Row],[Type]]="P",Games[[#This Row],[Round]]=3),IF(Games[[#This Row],[Result]]&lt;0.5,1,0),0)</f>
        <v>0</v>
      </c>
      <c r="AK224" s="2">
        <f>IF(AND(Games[[#This Row],[Type]]="P",Games[[#This Row],[Round]]=4),IF(Games[[#This Row],[Result]]&gt;0.5,1,0),0)</f>
        <v>0</v>
      </c>
      <c r="AL224" s="2">
        <f>IF(AND(Games[[#This Row],[Type]]="P",Games[[#This Row],[Round]]=4),IF(Games[[#This Row],[Result]]&lt;0.5,1,0),0)</f>
        <v>0</v>
      </c>
    </row>
    <row r="225" spans="1:38" x14ac:dyDescent="0.35">
      <c r="A225" s="10">
        <v>44386</v>
      </c>
      <c r="B225" s="2">
        <v>2021</v>
      </c>
      <c r="C225" s="2">
        <f>COUNTIFS(Games[Team],Games[[#This Row],[Team]],Games[Season],Games[[#This Row],[Season]],Games[Date],"&lt;=" &amp; Games[[#This Row],[Date]])</f>
        <v>20</v>
      </c>
      <c r="D225" s="2" t="s">
        <v>79</v>
      </c>
      <c r="E225" s="2" t="s">
        <v>80</v>
      </c>
      <c r="F225" s="1" t="s">
        <v>85</v>
      </c>
      <c r="G225" s="1" t="s">
        <v>67</v>
      </c>
      <c r="H225" s="1" t="s">
        <v>82</v>
      </c>
      <c r="I225" s="2" cm="1">
        <f t="array" ref="I2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5" s="2" cm="1">
        <f t="array" ref="J2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5" s="2">
        <f>Games[[#This Row],[DaysOff]]-Games[[#This Row],[OppDaysOff]]</f>
        <v>0</v>
      </c>
      <c r="L225" s="2">
        <f>Games[[#This Row],[OppDaysOff]]-Games[[#This Row],[DaysOff]]</f>
        <v>0</v>
      </c>
      <c r="M225" s="1">
        <f>MAX(-16, MIN(16, Games[[#This Row],[RestDiff]]*8))</f>
        <v>0</v>
      </c>
      <c r="N225" s="1">
        <f>MAX(-16, MIN(16, Games[[#This Row],[OppRestDiff]]*8))</f>
        <v>0</v>
      </c>
      <c r="O225" s="4" cm="1">
        <f t="array" ref="O2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1639.2508991380978</v>
      </c>
      <c r="P225" s="4" cm="1">
        <f t="array" ref="P2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1558.2789945505099</v>
      </c>
      <c r="Q225" s="4">
        <f>1/(1+10^(((Games[[#This Row],[OppPreGmRate]]+IF(Games[[#This Row],[HomeAway]]="A",HCA,0)+Games[[#This Row],[OppRestAdj]])-(Games[[#This Row],[PreGmRate]]+IF(Games[[#This Row],[HomeAway]]="H",HCA,0)+Games[[#This Row],[RestAdj]]))/400))</f>
        <v>0.72104571414454288</v>
      </c>
      <c r="R225" s="1">
        <v>67</v>
      </c>
      <c r="S225" s="1">
        <v>77</v>
      </c>
      <c r="T225" s="1">
        <v>0</v>
      </c>
      <c r="U225" s="1">
        <f>Games[[#This Row],[PointsFor]]-Games[[#This Row],[PointsAgainst]]</f>
        <v>-10</v>
      </c>
      <c r="V225" s="1">
        <f>IF(Games[[#This Row],[MOV]]&gt;0,1,IF(Games[[#This Row],[MOV]]=0,0.5,0))</f>
        <v>0</v>
      </c>
      <c r="W225" s="4">
        <f>((ABS(Games[[#This Row],[MOV]])+5)^0.6)/(12+0.01*(ABS(Games[[#This Row],[PreGmRate]]-Games[[#This Row],[OppPreGmRate]])))*IF(Games[[#This Row],[OT]]=1,0.9,1)</f>
        <v>0.39638311923961672</v>
      </c>
      <c r="X225" s="7" cm="1">
        <f t="array" ref="X2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5" s="9">
        <f>MAX(kmin, kmax - 0.15 * MIN(Games[[#This Row],[GamesPlayed]], 82))</f>
        <v>73</v>
      </c>
      <c r="Z225" s="4">
        <f>Games[[#This Row],[K]]*Games[[#This Row],[POMult]]</f>
        <v>73</v>
      </c>
      <c r="AA225" s="4">
        <f>(Games[[#This Row],[Keff]]*Games[[#This Row],[MOVMult]])*(Games[[#This Row],[Result]]-Games[[#This Row],[ExpectedWin%]])</f>
        <v>-20.864155497948879</v>
      </c>
      <c r="AB225" s="4">
        <f>Games[[#This Row],[PreGmRate]]+Games[[#This Row],[RatingChange]]</f>
        <v>1618.386743640149</v>
      </c>
      <c r="AC225" s="2">
        <f>IF(Games[[#This Row],[Type]]="R",IF(Games[[#This Row],[Result]]&gt;0.5,1,0),0)</f>
        <v>0</v>
      </c>
      <c r="AD225" s="2">
        <f>IF(Games[[#This Row],[Type]]="R",IF(Games[[#This Row],[Result]]&lt;0.5,1,0),0)</f>
        <v>1</v>
      </c>
      <c r="AE225" s="2">
        <f>IF(AND(Games[[#This Row],[Type]]="P",Games[[#This Row],[Round]]=1),IF(Games[[#This Row],[Result]]&gt;0.5,1,0),0)</f>
        <v>0</v>
      </c>
      <c r="AF225" s="2">
        <f>IF(AND(Games[[#This Row],[Type]]="P",Games[[#This Row],[Round]]=1),IF(Games[[#This Row],[Result]]&lt;0.5,1,0),0)</f>
        <v>0</v>
      </c>
      <c r="AG225" s="2">
        <f>IF(AND(Games[[#This Row],[Type]]="P",Games[[#This Row],[Round]]=2),IF(Games[[#This Row],[Result]]&gt;0.5,1,0),0)</f>
        <v>0</v>
      </c>
      <c r="AH225" s="2">
        <f>IF(AND(Games[[#This Row],[Type]]="P",Games[[#This Row],[Round]]=2),IF(Games[[#This Row],[Result]]&lt;0.5,1,0),0)</f>
        <v>0</v>
      </c>
      <c r="AI225" s="2">
        <f>IF(AND(Games[[#This Row],[Type]]="P",Games[[#This Row],[Round]]=3),IF(Games[[#This Row],[Result]]&gt;0.5,1,0),0)</f>
        <v>0</v>
      </c>
      <c r="AJ225" s="2">
        <f>IF(AND(Games[[#This Row],[Type]]="P",Games[[#This Row],[Round]]=3),IF(Games[[#This Row],[Result]]&lt;0.5,1,0),0)</f>
        <v>0</v>
      </c>
      <c r="AK225" s="2">
        <f>IF(AND(Games[[#This Row],[Type]]="P",Games[[#This Row],[Round]]=4),IF(Games[[#This Row],[Result]]&gt;0.5,1,0),0)</f>
        <v>0</v>
      </c>
      <c r="AL225" s="2">
        <f>IF(AND(Games[[#This Row],[Type]]="P",Games[[#This Row],[Round]]=4),IF(Games[[#This Row],[Result]]&lt;0.5,1,0),0)</f>
        <v>0</v>
      </c>
    </row>
    <row r="226" spans="1:38" x14ac:dyDescent="0.35">
      <c r="A226" s="10">
        <v>44386</v>
      </c>
      <c r="B226" s="2">
        <v>2021</v>
      </c>
      <c r="C226" s="2">
        <f>COUNTIFS(Games[Team],Games[[#This Row],[Team]],Games[Season],Games[[#This Row],[Season]],Games[Date],"&lt;=" &amp; Games[[#This Row],[Date]])</f>
        <v>20</v>
      </c>
      <c r="D226" s="2" t="s">
        <v>79</v>
      </c>
      <c r="E226" s="2" t="s">
        <v>80</v>
      </c>
      <c r="F226" s="1" t="s">
        <v>71</v>
      </c>
      <c r="G226" s="1" t="s">
        <v>40</v>
      </c>
      <c r="H226" s="1" t="s">
        <v>81</v>
      </c>
      <c r="I226" s="2" cm="1">
        <f t="array" ref="I2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6" s="2" cm="1">
        <f t="array" ref="J22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6" s="2">
        <f>Games[[#This Row],[DaysOff]]-Games[[#This Row],[OppDaysOff]]</f>
        <v>0</v>
      </c>
      <c r="L226" s="2">
        <f>Games[[#This Row],[OppDaysOff]]-Games[[#This Row],[DaysOff]]</f>
        <v>0</v>
      </c>
      <c r="M226" s="1">
        <f>MAX(-16, MIN(16, Games[[#This Row],[RestDiff]]*8))</f>
        <v>0</v>
      </c>
      <c r="N226" s="1">
        <f>MAX(-16, MIN(16, Games[[#This Row],[OppRestDiff]]*8))</f>
        <v>0</v>
      </c>
      <c r="O226" s="4" cm="1">
        <f t="array" ref="O2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1684.7842570980599</v>
      </c>
      <c r="P226" s="4" cm="1">
        <f t="array" ref="P2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1473.9477066775335</v>
      </c>
      <c r="Q226" s="4">
        <f>1/(1+10^(((Games[[#This Row],[OppPreGmRate]]+IF(Games[[#This Row],[HomeAway]]="A",HCA,0)+Games[[#This Row],[OppRestAdj]])-(Games[[#This Row],[PreGmRate]]+IF(Games[[#This Row],[HomeAway]]="H",HCA,0)+Games[[#This Row],[RestAdj]]))/400))</f>
        <v>0.67483377224448504</v>
      </c>
      <c r="R226" s="1">
        <v>77</v>
      </c>
      <c r="S226" s="1">
        <v>85</v>
      </c>
      <c r="T226" s="1">
        <v>0</v>
      </c>
      <c r="U226" s="1">
        <f>Games[[#This Row],[PointsFor]]-Games[[#This Row],[PointsAgainst]]</f>
        <v>-8</v>
      </c>
      <c r="V226" s="1">
        <f>IF(Games[[#This Row],[MOV]]&gt;0,1,IF(Games[[#This Row],[MOV]]=0,0.5,0))</f>
        <v>0</v>
      </c>
      <c r="W226" s="4">
        <f>((ABS(Games[[#This Row],[MOV]])+5)^0.6)/(12+0.01*(ABS(Games[[#This Row],[PreGmRate]]-Games[[#This Row],[OppPreGmRate]])))*IF(Games[[#This Row],[OT]]=1,0.9,1)</f>
        <v>0.33028534869238596</v>
      </c>
      <c r="X226" s="7" cm="1">
        <f t="array" ref="X2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6" s="9">
        <f>MAX(kmin, kmax - 0.15 * MIN(Games[[#This Row],[GamesPlayed]], 82))</f>
        <v>73</v>
      </c>
      <c r="Z226" s="4">
        <f>Games[[#This Row],[K]]*Games[[#This Row],[POMult]]</f>
        <v>73</v>
      </c>
      <c r="AA226" s="4">
        <f>(Games[[#This Row],[Keff]]*Games[[#This Row],[MOVMult]])*(Games[[#This Row],[Result]]-Games[[#This Row],[ExpectedWin%]])</f>
        <v>-16.270802667587258</v>
      </c>
      <c r="AB226" s="4">
        <f>Games[[#This Row],[PreGmRate]]+Games[[#This Row],[RatingChange]]</f>
        <v>1668.5134544304726</v>
      </c>
      <c r="AC226" s="2">
        <f>IF(Games[[#This Row],[Type]]="R",IF(Games[[#This Row],[Result]]&gt;0.5,1,0),0)</f>
        <v>0</v>
      </c>
      <c r="AD226" s="2">
        <f>IF(Games[[#This Row],[Type]]="R",IF(Games[[#This Row],[Result]]&lt;0.5,1,0),0)</f>
        <v>1</v>
      </c>
      <c r="AE226" s="2">
        <f>IF(AND(Games[[#This Row],[Type]]="P",Games[[#This Row],[Round]]=1),IF(Games[[#This Row],[Result]]&gt;0.5,1,0),0)</f>
        <v>0</v>
      </c>
      <c r="AF226" s="2">
        <f>IF(AND(Games[[#This Row],[Type]]="P",Games[[#This Row],[Round]]=1),IF(Games[[#This Row],[Result]]&lt;0.5,1,0),0)</f>
        <v>0</v>
      </c>
      <c r="AG226" s="2">
        <f>IF(AND(Games[[#This Row],[Type]]="P",Games[[#This Row],[Round]]=2),IF(Games[[#This Row],[Result]]&gt;0.5,1,0),0)</f>
        <v>0</v>
      </c>
      <c r="AH226" s="2">
        <f>IF(AND(Games[[#This Row],[Type]]="P",Games[[#This Row],[Round]]=2),IF(Games[[#This Row],[Result]]&lt;0.5,1,0),0)</f>
        <v>0</v>
      </c>
      <c r="AI226" s="2">
        <f>IF(AND(Games[[#This Row],[Type]]="P",Games[[#This Row],[Round]]=3),IF(Games[[#This Row],[Result]]&gt;0.5,1,0),0)</f>
        <v>0</v>
      </c>
      <c r="AJ226" s="2">
        <f>IF(AND(Games[[#This Row],[Type]]="P",Games[[#This Row],[Round]]=3),IF(Games[[#This Row],[Result]]&lt;0.5,1,0),0)</f>
        <v>0</v>
      </c>
      <c r="AK226" s="2">
        <f>IF(AND(Games[[#This Row],[Type]]="P",Games[[#This Row],[Round]]=4),IF(Games[[#This Row],[Result]]&gt;0.5,1,0),0)</f>
        <v>0</v>
      </c>
      <c r="AL226" s="2">
        <f>IF(AND(Games[[#This Row],[Type]]="P",Games[[#This Row],[Round]]=4),IF(Games[[#This Row],[Result]]&lt;0.5,1,0),0)</f>
        <v>0</v>
      </c>
    </row>
    <row r="227" spans="1:38" x14ac:dyDescent="0.35">
      <c r="A227" s="10">
        <v>44386</v>
      </c>
      <c r="B227" s="2">
        <v>2021</v>
      </c>
      <c r="C227" s="2">
        <f>COUNTIFS(Games[Team],Games[[#This Row],[Team]],Games[Season],Games[[#This Row],[Season]],Games[Date],"&lt;=" &amp; Games[[#This Row],[Date]])</f>
        <v>18</v>
      </c>
      <c r="D227" s="2" t="s">
        <v>79</v>
      </c>
      <c r="E227" s="2" t="s">
        <v>80</v>
      </c>
      <c r="F227" s="1" t="s">
        <v>40</v>
      </c>
      <c r="G227" s="1" t="s">
        <v>71</v>
      </c>
      <c r="H227" s="1" t="s">
        <v>82</v>
      </c>
      <c r="I227" s="2" cm="1">
        <f t="array" ref="I22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27" s="2" cm="1">
        <f t="array" ref="J2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27" s="2">
        <f>Games[[#This Row],[DaysOff]]-Games[[#This Row],[OppDaysOff]]</f>
        <v>0</v>
      </c>
      <c r="L227" s="2">
        <f>Games[[#This Row],[OppDaysOff]]-Games[[#This Row],[DaysOff]]</f>
        <v>0</v>
      </c>
      <c r="M227" s="1">
        <f>MAX(-16, MIN(16, Games[[#This Row],[RestDiff]]*8))</f>
        <v>0</v>
      </c>
      <c r="N227" s="1">
        <f>MAX(-16, MIN(16, Games[[#This Row],[OppRestDiff]]*8))</f>
        <v>0</v>
      </c>
      <c r="O227" s="4" cm="1">
        <f t="array" ref="O2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1473.9477066775335</v>
      </c>
      <c r="P227" s="4" cm="1">
        <f t="array" ref="P2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1684.7842570980599</v>
      </c>
      <c r="Q227" s="4">
        <f>1/(1+10^(((Games[[#This Row],[OppPreGmRate]]+IF(Games[[#This Row],[HomeAway]]="A",HCA,0)+Games[[#This Row],[OppRestAdj]])-(Games[[#This Row],[PreGmRate]]+IF(Games[[#This Row],[HomeAway]]="H",HCA,0)+Games[[#This Row],[RestAdj]]))/400))</f>
        <v>0.32516622775551485</v>
      </c>
      <c r="R227" s="1">
        <v>85</v>
      </c>
      <c r="S227" s="1">
        <v>77</v>
      </c>
      <c r="T227" s="1">
        <v>0</v>
      </c>
      <c r="U227" s="1">
        <f>Games[[#This Row],[PointsFor]]-Games[[#This Row],[PointsAgainst]]</f>
        <v>8</v>
      </c>
      <c r="V227" s="1">
        <f>IF(Games[[#This Row],[MOV]]&gt;0,1,IF(Games[[#This Row],[MOV]]=0,0.5,0))</f>
        <v>1</v>
      </c>
      <c r="W227" s="4">
        <f>((ABS(Games[[#This Row],[MOV]])+5)^0.6)/(12+0.01*(ABS(Games[[#This Row],[PreGmRate]]-Games[[#This Row],[OppPreGmRate]])))*IF(Games[[#This Row],[OT]]=1,0.9,1)</f>
        <v>0.33028534869238596</v>
      </c>
      <c r="X227" s="7" cm="1">
        <f t="array" ref="X2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7" s="9">
        <f>MAX(kmin, kmax - 0.15 * MIN(Games[[#This Row],[GamesPlayed]], 82))</f>
        <v>73.3</v>
      </c>
      <c r="Z227" s="4">
        <f>Games[[#This Row],[K]]*Games[[#This Row],[POMult]]</f>
        <v>73.3</v>
      </c>
      <c r="AA227" s="4">
        <f>(Games[[#This Row],[Keff]]*Games[[#This Row],[MOVMult]])*(Games[[#This Row],[Result]]-Games[[#This Row],[ExpectedWin%]])</f>
        <v>16.337668979919812</v>
      </c>
      <c r="AB227" s="4">
        <f>Games[[#This Row],[PreGmRate]]+Games[[#This Row],[RatingChange]]</f>
        <v>1490.2853756574532</v>
      </c>
      <c r="AC227" s="2">
        <f>IF(Games[[#This Row],[Type]]="R",IF(Games[[#This Row],[Result]]&gt;0.5,1,0),0)</f>
        <v>1</v>
      </c>
      <c r="AD227" s="2">
        <f>IF(Games[[#This Row],[Type]]="R",IF(Games[[#This Row],[Result]]&lt;0.5,1,0),0)</f>
        <v>0</v>
      </c>
      <c r="AE227" s="2">
        <f>IF(AND(Games[[#This Row],[Type]]="P",Games[[#This Row],[Round]]=1),IF(Games[[#This Row],[Result]]&gt;0.5,1,0),0)</f>
        <v>0</v>
      </c>
      <c r="AF227" s="2">
        <f>IF(AND(Games[[#This Row],[Type]]="P",Games[[#This Row],[Round]]=1),IF(Games[[#This Row],[Result]]&lt;0.5,1,0),0)</f>
        <v>0</v>
      </c>
      <c r="AG227" s="2">
        <f>IF(AND(Games[[#This Row],[Type]]="P",Games[[#This Row],[Round]]=2),IF(Games[[#This Row],[Result]]&gt;0.5,1,0),0)</f>
        <v>0</v>
      </c>
      <c r="AH227" s="2">
        <f>IF(AND(Games[[#This Row],[Type]]="P",Games[[#This Row],[Round]]=2),IF(Games[[#This Row],[Result]]&lt;0.5,1,0),0)</f>
        <v>0</v>
      </c>
      <c r="AI227" s="2">
        <f>IF(AND(Games[[#This Row],[Type]]="P",Games[[#This Row],[Round]]=3),IF(Games[[#This Row],[Result]]&gt;0.5,1,0),0)</f>
        <v>0</v>
      </c>
      <c r="AJ227" s="2">
        <f>IF(AND(Games[[#This Row],[Type]]="P",Games[[#This Row],[Round]]=3),IF(Games[[#This Row],[Result]]&lt;0.5,1,0),0)</f>
        <v>0</v>
      </c>
      <c r="AK227" s="2">
        <f>IF(AND(Games[[#This Row],[Type]]="P",Games[[#This Row],[Round]]=4),IF(Games[[#This Row],[Result]]&gt;0.5,1,0),0)</f>
        <v>0</v>
      </c>
      <c r="AL227" s="2">
        <f>IF(AND(Games[[#This Row],[Type]]="P",Games[[#This Row],[Round]]=4),IF(Games[[#This Row],[Result]]&lt;0.5,1,0),0)</f>
        <v>0</v>
      </c>
    </row>
    <row r="228" spans="1:38" x14ac:dyDescent="0.35">
      <c r="A228" s="10">
        <v>44387</v>
      </c>
      <c r="B228" s="2">
        <v>2021</v>
      </c>
      <c r="C228" s="2">
        <f>COUNTIFS(Games[Team],Games[[#This Row],[Team]],Games[Season],Games[[#This Row],[Season]],Games[Date],"&lt;=" &amp; Games[[#This Row],[Date]])</f>
        <v>18</v>
      </c>
      <c r="D228" s="2" t="s">
        <v>79</v>
      </c>
      <c r="E228" s="2" t="s">
        <v>80</v>
      </c>
      <c r="F228" s="1" t="s">
        <v>65</v>
      </c>
      <c r="G228" s="1" t="s">
        <v>75</v>
      </c>
      <c r="H228" s="1" t="s">
        <v>81</v>
      </c>
      <c r="I228" s="2" cm="1">
        <f t="array" ref="I228">IFERROR(
    Games[[#This Row],[Date]]
    - LOOKUP(
        2,
        1/((Games[Team]=Games[[#This Row],[Team]]) * (Games[Date] &lt; Games[[#This Row],[Date]])),
        Games[Date]
    )
    - 1,
Games[[#This Row],[Date]]-$A$2)</f>
        <v>6</v>
      </c>
      <c r="J228" s="2" cm="1">
        <f t="array" ref="J228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228" s="2">
        <f>Games[[#This Row],[DaysOff]]-Games[[#This Row],[OppDaysOff]]</f>
        <v>-1</v>
      </c>
      <c r="L228" s="2">
        <f>Games[[#This Row],[OppDaysOff]]-Games[[#This Row],[DaysOff]]</f>
        <v>1</v>
      </c>
      <c r="M228" s="1">
        <f>MAX(-16, MIN(16, Games[[#This Row],[RestDiff]]*8))</f>
        <v>-8</v>
      </c>
      <c r="N228" s="1">
        <f>MAX(-16, MIN(16, Games[[#This Row],[OppRestDiff]]*8))</f>
        <v>8</v>
      </c>
      <c r="O228" s="4" cm="1">
        <f t="array" ref="O2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1446.6357720858584</v>
      </c>
      <c r="P228" s="4" cm="1">
        <f t="array" ref="P2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1546.9333013282123</v>
      </c>
      <c r="Q228" s="4">
        <f>1/(1+10^(((Games[[#This Row],[OppPreGmRate]]+IF(Games[[#This Row],[HomeAway]]="A",HCA,0)+Games[[#This Row],[OppRestAdj]])-(Games[[#This Row],[PreGmRate]]+IF(Games[[#This Row],[HomeAway]]="H",HCA,0)+Games[[#This Row],[RestAdj]]))/400))</f>
        <v>0.23994058776662117</v>
      </c>
      <c r="R228" s="1">
        <v>89</v>
      </c>
      <c r="S228" s="1">
        <v>85</v>
      </c>
      <c r="T228" s="1">
        <v>1</v>
      </c>
      <c r="U228" s="1">
        <f>Games[[#This Row],[PointsFor]]-Games[[#This Row],[PointsAgainst]]</f>
        <v>4</v>
      </c>
      <c r="V228" s="1">
        <f>IF(Games[[#This Row],[MOV]]&gt;0,1,IF(Games[[#This Row],[MOV]]=0,0.5,0))</f>
        <v>1</v>
      </c>
      <c r="W228" s="4">
        <f>((ABS(Games[[#This Row],[MOV]])+5)^0.6)/(12+0.01*(ABS(Games[[#This Row],[PreGmRate]]-Games[[#This Row],[OppPreGmRate]])))*IF(Games[[#This Row],[OT]]=1,0.9,1)</f>
        <v>0.25866953226633421</v>
      </c>
      <c r="X228" s="7" cm="1">
        <f t="array" ref="X2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8" s="9">
        <f>MAX(kmin, kmax - 0.15 * MIN(Games[[#This Row],[GamesPlayed]], 82))</f>
        <v>73.3</v>
      </c>
      <c r="Z228" s="4">
        <f>Games[[#This Row],[K]]*Games[[#This Row],[POMult]]</f>
        <v>73.3</v>
      </c>
      <c r="AA228" s="4">
        <f>(Games[[#This Row],[Keff]]*Games[[#This Row],[MOVMult]])*(Games[[#This Row],[Result]]-Games[[#This Row],[ExpectedWin%]])</f>
        <v>14.411088787760518</v>
      </c>
      <c r="AB228" s="4">
        <f>Games[[#This Row],[PreGmRate]]+Games[[#This Row],[RatingChange]]</f>
        <v>1461.0468608736189</v>
      </c>
      <c r="AC228" s="2">
        <f>IF(Games[[#This Row],[Type]]="R",IF(Games[[#This Row],[Result]]&gt;0.5,1,0),0)</f>
        <v>1</v>
      </c>
      <c r="AD228" s="2">
        <f>IF(Games[[#This Row],[Type]]="R",IF(Games[[#This Row],[Result]]&lt;0.5,1,0),0)</f>
        <v>0</v>
      </c>
      <c r="AE228" s="2">
        <f>IF(AND(Games[[#This Row],[Type]]="P",Games[[#This Row],[Round]]=1),IF(Games[[#This Row],[Result]]&gt;0.5,1,0),0)</f>
        <v>0</v>
      </c>
      <c r="AF228" s="2">
        <f>IF(AND(Games[[#This Row],[Type]]="P",Games[[#This Row],[Round]]=1),IF(Games[[#This Row],[Result]]&lt;0.5,1,0),0)</f>
        <v>0</v>
      </c>
      <c r="AG228" s="2">
        <f>IF(AND(Games[[#This Row],[Type]]="P",Games[[#This Row],[Round]]=2),IF(Games[[#This Row],[Result]]&gt;0.5,1,0),0)</f>
        <v>0</v>
      </c>
      <c r="AH228" s="2">
        <f>IF(AND(Games[[#This Row],[Type]]="P",Games[[#This Row],[Round]]=2),IF(Games[[#This Row],[Result]]&lt;0.5,1,0),0)</f>
        <v>0</v>
      </c>
      <c r="AI228" s="2">
        <f>IF(AND(Games[[#This Row],[Type]]="P",Games[[#This Row],[Round]]=3),IF(Games[[#This Row],[Result]]&gt;0.5,1,0),0)</f>
        <v>0</v>
      </c>
      <c r="AJ228" s="2">
        <f>IF(AND(Games[[#This Row],[Type]]="P",Games[[#This Row],[Round]]=3),IF(Games[[#This Row],[Result]]&lt;0.5,1,0),0)</f>
        <v>0</v>
      </c>
      <c r="AK228" s="2">
        <f>IF(AND(Games[[#This Row],[Type]]="P",Games[[#This Row],[Round]]=4),IF(Games[[#This Row],[Result]]&gt;0.5,1,0),0)</f>
        <v>0</v>
      </c>
      <c r="AL228" s="2">
        <f>IF(AND(Games[[#This Row],[Type]]="P",Games[[#This Row],[Round]]=4),IF(Games[[#This Row],[Result]]&lt;0.5,1,0),0)</f>
        <v>0</v>
      </c>
    </row>
    <row r="229" spans="1:38" x14ac:dyDescent="0.35">
      <c r="A229" s="10">
        <v>44387</v>
      </c>
      <c r="B229" s="2">
        <v>2021</v>
      </c>
      <c r="C229" s="2">
        <f>COUNTIFS(Games[Team],Games[[#This Row],[Team]],Games[Season],Games[[#This Row],[Season]],Games[Date],"&lt;=" &amp; Games[[#This Row],[Date]])</f>
        <v>20</v>
      </c>
      <c r="D229" s="2" t="s">
        <v>79</v>
      </c>
      <c r="E229" s="2" t="s">
        <v>80</v>
      </c>
      <c r="F229" s="1" t="s">
        <v>75</v>
      </c>
      <c r="G229" s="1" t="s">
        <v>65</v>
      </c>
      <c r="H229" s="1" t="s">
        <v>82</v>
      </c>
      <c r="I229" s="2" cm="1">
        <f t="array" ref="I229">IFERROR(
    Games[[#This Row],[Date]]
    - LOOKUP(
        2,
        1/((Games[Team]=Games[[#This Row],[Team]]) * (Games[Date] &lt; Games[[#This Row],[Date]])),
        Games[Date]
    )
    - 1,
Games[[#This Row],[Date]]-$A$2)</f>
        <v>7</v>
      </c>
      <c r="J229" s="2" cm="1">
        <f t="array" ref="J22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29" s="2">
        <f>Games[[#This Row],[DaysOff]]-Games[[#This Row],[OppDaysOff]]</f>
        <v>1</v>
      </c>
      <c r="L229" s="2">
        <f>Games[[#This Row],[OppDaysOff]]-Games[[#This Row],[DaysOff]]</f>
        <v>-1</v>
      </c>
      <c r="M229" s="1">
        <f>MAX(-16, MIN(16, Games[[#This Row],[RestDiff]]*8))</f>
        <v>8</v>
      </c>
      <c r="N229" s="1">
        <f>MAX(-16, MIN(16, Games[[#This Row],[OppRestDiff]]*8))</f>
        <v>-8</v>
      </c>
      <c r="O229" s="4" cm="1">
        <f t="array" ref="O2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1546.9333013282123</v>
      </c>
      <c r="P229" s="4" cm="1">
        <f t="array" ref="P2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1446.6357720858584</v>
      </c>
      <c r="Q229" s="4">
        <f>1/(1+10^(((Games[[#This Row],[OppPreGmRate]]+IF(Games[[#This Row],[HomeAway]]="A",HCA,0)+Games[[#This Row],[OppRestAdj]])-(Games[[#This Row],[PreGmRate]]+IF(Games[[#This Row],[HomeAway]]="H",HCA,0)+Games[[#This Row],[RestAdj]]))/400))</f>
        <v>0.76005941223337881</v>
      </c>
      <c r="R229" s="1">
        <v>85</v>
      </c>
      <c r="S229" s="1">
        <v>89</v>
      </c>
      <c r="T229" s="1">
        <v>1</v>
      </c>
      <c r="U229" s="1">
        <f>Games[[#This Row],[PointsFor]]-Games[[#This Row],[PointsAgainst]]</f>
        <v>-4</v>
      </c>
      <c r="V229" s="1">
        <f>IF(Games[[#This Row],[MOV]]&gt;0,1,IF(Games[[#This Row],[MOV]]=0,0.5,0))</f>
        <v>0</v>
      </c>
      <c r="W229" s="4">
        <f>((ABS(Games[[#This Row],[MOV]])+5)^0.6)/(12+0.01*(ABS(Games[[#This Row],[PreGmRate]]-Games[[#This Row],[OppPreGmRate]])))*IF(Games[[#This Row],[OT]]=1,0.9,1)</f>
        <v>0.25866953226633421</v>
      </c>
      <c r="X229" s="7" cm="1">
        <f t="array" ref="X2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29" s="9">
        <f>MAX(kmin, kmax - 0.15 * MIN(Games[[#This Row],[GamesPlayed]], 82))</f>
        <v>73</v>
      </c>
      <c r="Z229" s="4">
        <f>Games[[#This Row],[K]]*Games[[#This Row],[POMult]]</f>
        <v>73</v>
      </c>
      <c r="AA229" s="4">
        <f>(Games[[#This Row],[Keff]]*Games[[#This Row],[MOVMult]])*(Games[[#This Row],[Result]]-Games[[#This Row],[ExpectedWin%]])</f>
        <v>-14.352107523963408</v>
      </c>
      <c r="AB229" s="4">
        <f>Games[[#This Row],[PreGmRate]]+Games[[#This Row],[RatingChange]]</f>
        <v>1532.5811938042489</v>
      </c>
      <c r="AC229" s="2">
        <f>IF(Games[[#This Row],[Type]]="R",IF(Games[[#This Row],[Result]]&gt;0.5,1,0),0)</f>
        <v>0</v>
      </c>
      <c r="AD229" s="2">
        <f>IF(Games[[#This Row],[Type]]="R",IF(Games[[#This Row],[Result]]&lt;0.5,1,0),0)</f>
        <v>1</v>
      </c>
      <c r="AE229" s="2">
        <f>IF(AND(Games[[#This Row],[Type]]="P",Games[[#This Row],[Round]]=1),IF(Games[[#This Row],[Result]]&gt;0.5,1,0),0)</f>
        <v>0</v>
      </c>
      <c r="AF229" s="2">
        <f>IF(AND(Games[[#This Row],[Type]]="P",Games[[#This Row],[Round]]=1),IF(Games[[#This Row],[Result]]&lt;0.5,1,0),0)</f>
        <v>0</v>
      </c>
      <c r="AG229" s="2">
        <f>IF(AND(Games[[#This Row],[Type]]="P",Games[[#This Row],[Round]]=2),IF(Games[[#This Row],[Result]]&gt;0.5,1,0),0)</f>
        <v>0</v>
      </c>
      <c r="AH229" s="2">
        <f>IF(AND(Games[[#This Row],[Type]]="P",Games[[#This Row],[Round]]=2),IF(Games[[#This Row],[Result]]&lt;0.5,1,0),0)</f>
        <v>0</v>
      </c>
      <c r="AI229" s="2">
        <f>IF(AND(Games[[#This Row],[Type]]="P",Games[[#This Row],[Round]]=3),IF(Games[[#This Row],[Result]]&gt;0.5,1,0),0)</f>
        <v>0</v>
      </c>
      <c r="AJ229" s="2">
        <f>IF(AND(Games[[#This Row],[Type]]="P",Games[[#This Row],[Round]]=3),IF(Games[[#This Row],[Result]]&lt;0.5,1,0),0)</f>
        <v>0</v>
      </c>
      <c r="AK229" s="2">
        <f>IF(AND(Games[[#This Row],[Type]]="P",Games[[#This Row],[Round]]=4),IF(Games[[#This Row],[Result]]&gt;0.5,1,0),0)</f>
        <v>0</v>
      </c>
      <c r="AL229" s="2">
        <f>IF(AND(Games[[#This Row],[Type]]="P",Games[[#This Row],[Round]]=4),IF(Games[[#This Row],[Result]]&lt;0.5,1,0),0)</f>
        <v>0</v>
      </c>
    </row>
    <row r="230" spans="1:38" x14ac:dyDescent="0.35">
      <c r="A230" s="10">
        <v>44388</v>
      </c>
      <c r="B230" s="2">
        <v>2021</v>
      </c>
      <c r="C230" s="2">
        <f>COUNTIFS(Games[Team],Games[[#This Row],[Team]],Games[Season],Games[[#This Row],[Season]],Games[Date],"&lt;=" &amp; Games[[#This Row],[Date]])</f>
        <v>20</v>
      </c>
      <c r="D230" s="2" t="s">
        <v>79</v>
      </c>
      <c r="E230" s="2" t="s">
        <v>80</v>
      </c>
      <c r="F230" s="1" t="s">
        <v>69</v>
      </c>
      <c r="G230" s="1" t="s">
        <v>77</v>
      </c>
      <c r="H230" s="1" t="s">
        <v>81</v>
      </c>
      <c r="I230" s="2" cm="1">
        <f t="array" ref="I23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0" s="2" cm="1">
        <f t="array" ref="J2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0" s="2">
        <f>Games[[#This Row],[DaysOff]]-Games[[#This Row],[OppDaysOff]]</f>
        <v>0</v>
      </c>
      <c r="L230" s="2">
        <f>Games[[#This Row],[OppDaysOff]]-Games[[#This Row],[DaysOff]]</f>
        <v>0</v>
      </c>
      <c r="M230" s="1">
        <f>MAX(-16, MIN(16, Games[[#This Row],[RestDiff]]*8))</f>
        <v>0</v>
      </c>
      <c r="N230" s="1">
        <f>MAX(-16, MIN(16, Games[[#This Row],[OppRestDiff]]*8))</f>
        <v>0</v>
      </c>
      <c r="O230" s="4" cm="1">
        <f t="array" ref="O2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1326.1759108722563</v>
      </c>
      <c r="P230" s="4" cm="1">
        <f t="array" ref="P2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1395.0703543951086</v>
      </c>
      <c r="Q230" s="4">
        <f>1/(1+10^(((Games[[#This Row],[OppPreGmRate]]+IF(Games[[#This Row],[HomeAway]]="A",HCA,0)+Games[[#This Row],[OppRestAdj]])-(Games[[#This Row],[PreGmRate]]+IF(Games[[#This Row],[HomeAway]]="H",HCA,0)+Games[[#This Row],[RestAdj]]))/400))</f>
        <v>0.29315059879631061</v>
      </c>
      <c r="R230" s="1">
        <v>79</v>
      </c>
      <c r="S230" s="1">
        <v>68</v>
      </c>
      <c r="T230" s="1">
        <v>0</v>
      </c>
      <c r="U230" s="1">
        <f>Games[[#This Row],[PointsFor]]-Games[[#This Row],[PointsAgainst]]</f>
        <v>11</v>
      </c>
      <c r="V230" s="1">
        <f>IF(Games[[#This Row],[MOV]]&gt;0,1,IF(Games[[#This Row],[MOV]]=0,0.5,0))</f>
        <v>1</v>
      </c>
      <c r="W230" s="4">
        <f>((ABS(Games[[#This Row],[MOV]])+5)^0.6)/(12+0.01*(ABS(Games[[#This Row],[PreGmRate]]-Games[[#This Row],[OppPreGmRate]])))*IF(Games[[#This Row],[OT]]=1,0.9,1)</f>
        <v>0.41595513874566997</v>
      </c>
      <c r="X230" s="7" cm="1">
        <f t="array" ref="X2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0" s="9">
        <f>MAX(kmin, kmax - 0.15 * MIN(Games[[#This Row],[GamesPlayed]], 82))</f>
        <v>73</v>
      </c>
      <c r="Z230" s="4">
        <f>Games[[#This Row],[K]]*Games[[#This Row],[POMult]]</f>
        <v>73</v>
      </c>
      <c r="AA230" s="4">
        <f>(Games[[#This Row],[Keff]]*Games[[#This Row],[MOVMult]])*(Games[[#This Row],[Result]]-Games[[#This Row],[ExpectedWin%]])</f>
        <v>21.463287774748128</v>
      </c>
      <c r="AB230" s="4">
        <f>Games[[#This Row],[PreGmRate]]+Games[[#This Row],[RatingChange]]</f>
        <v>1347.6391986470044</v>
      </c>
      <c r="AC230" s="2">
        <f>IF(Games[[#This Row],[Type]]="R",IF(Games[[#This Row],[Result]]&gt;0.5,1,0),0)</f>
        <v>1</v>
      </c>
      <c r="AD230" s="2">
        <f>IF(Games[[#This Row],[Type]]="R",IF(Games[[#This Row],[Result]]&lt;0.5,1,0),0)</f>
        <v>0</v>
      </c>
      <c r="AE230" s="2">
        <f>IF(AND(Games[[#This Row],[Type]]="P",Games[[#This Row],[Round]]=1),IF(Games[[#This Row],[Result]]&gt;0.5,1,0),0)</f>
        <v>0</v>
      </c>
      <c r="AF230" s="2">
        <f>IF(AND(Games[[#This Row],[Type]]="P",Games[[#This Row],[Round]]=1),IF(Games[[#This Row],[Result]]&lt;0.5,1,0),0)</f>
        <v>0</v>
      </c>
      <c r="AG230" s="2">
        <f>IF(AND(Games[[#This Row],[Type]]="P",Games[[#This Row],[Round]]=2),IF(Games[[#This Row],[Result]]&gt;0.5,1,0),0)</f>
        <v>0</v>
      </c>
      <c r="AH230" s="2">
        <f>IF(AND(Games[[#This Row],[Type]]="P",Games[[#This Row],[Round]]=2),IF(Games[[#This Row],[Result]]&lt;0.5,1,0),0)</f>
        <v>0</v>
      </c>
      <c r="AI230" s="2">
        <f>IF(AND(Games[[#This Row],[Type]]="P",Games[[#This Row],[Round]]=3),IF(Games[[#This Row],[Result]]&gt;0.5,1,0),0)</f>
        <v>0</v>
      </c>
      <c r="AJ230" s="2">
        <f>IF(AND(Games[[#This Row],[Type]]="P",Games[[#This Row],[Round]]=3),IF(Games[[#This Row],[Result]]&lt;0.5,1,0),0)</f>
        <v>0</v>
      </c>
      <c r="AK230" s="2">
        <f>IF(AND(Games[[#This Row],[Type]]="P",Games[[#This Row],[Round]]=4),IF(Games[[#This Row],[Result]]&gt;0.5,1,0),0)</f>
        <v>0</v>
      </c>
      <c r="AL230" s="2">
        <f>IF(AND(Games[[#This Row],[Type]]="P",Games[[#This Row],[Round]]=4),IF(Games[[#This Row],[Result]]&lt;0.5,1,0),0)</f>
        <v>0</v>
      </c>
    </row>
    <row r="231" spans="1:38" x14ac:dyDescent="0.35">
      <c r="A231" s="10">
        <v>44388</v>
      </c>
      <c r="B231" s="2">
        <v>2021</v>
      </c>
      <c r="C231" s="2">
        <f>COUNTIFS(Games[Team],Games[[#This Row],[Team]],Games[Season],Games[[#This Row],[Season]],Games[Date],"&lt;=" &amp; Games[[#This Row],[Date]])</f>
        <v>19</v>
      </c>
      <c r="D231" s="2" t="s">
        <v>79</v>
      </c>
      <c r="E231" s="2" t="s">
        <v>80</v>
      </c>
      <c r="F231" s="1" t="s">
        <v>77</v>
      </c>
      <c r="G231" s="1" t="s">
        <v>69</v>
      </c>
      <c r="H231" s="1" t="s">
        <v>82</v>
      </c>
      <c r="I231" s="2" cm="1">
        <f t="array" ref="I2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1" s="2" cm="1">
        <f t="array" ref="J23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1" s="2">
        <f>Games[[#This Row],[DaysOff]]-Games[[#This Row],[OppDaysOff]]</f>
        <v>0</v>
      </c>
      <c r="L231" s="2">
        <f>Games[[#This Row],[OppDaysOff]]-Games[[#This Row],[DaysOff]]</f>
        <v>0</v>
      </c>
      <c r="M231" s="1">
        <f>MAX(-16, MIN(16, Games[[#This Row],[RestDiff]]*8))</f>
        <v>0</v>
      </c>
      <c r="N231" s="1">
        <f>MAX(-16, MIN(16, Games[[#This Row],[OppRestDiff]]*8))</f>
        <v>0</v>
      </c>
      <c r="O231" s="4" cm="1">
        <f t="array" ref="O2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1395.0703543951086</v>
      </c>
      <c r="P231" s="4" cm="1">
        <f t="array" ref="P2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1326.1759108722563</v>
      </c>
      <c r="Q231" s="4">
        <f>1/(1+10^(((Games[[#This Row],[OppPreGmRate]]+IF(Games[[#This Row],[HomeAway]]="A",HCA,0)+Games[[#This Row],[OppRestAdj]])-(Games[[#This Row],[PreGmRate]]+IF(Games[[#This Row],[HomeAway]]="H",HCA,0)+Games[[#This Row],[RestAdj]]))/400))</f>
        <v>0.70684940120368944</v>
      </c>
      <c r="R231" s="1">
        <v>68</v>
      </c>
      <c r="S231" s="1">
        <v>79</v>
      </c>
      <c r="T231" s="1">
        <v>0</v>
      </c>
      <c r="U231" s="1">
        <f>Games[[#This Row],[PointsFor]]-Games[[#This Row],[PointsAgainst]]</f>
        <v>-11</v>
      </c>
      <c r="V231" s="1">
        <f>IF(Games[[#This Row],[MOV]]&gt;0,1,IF(Games[[#This Row],[MOV]]=0,0.5,0))</f>
        <v>0</v>
      </c>
      <c r="W231" s="4">
        <f>((ABS(Games[[#This Row],[MOV]])+5)^0.6)/(12+0.01*(ABS(Games[[#This Row],[PreGmRate]]-Games[[#This Row],[OppPreGmRate]])))*IF(Games[[#This Row],[OT]]=1,0.9,1)</f>
        <v>0.41595513874566997</v>
      </c>
      <c r="X231" s="7" cm="1">
        <f t="array" ref="X2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1" s="9">
        <f>MAX(kmin, kmax - 0.15 * MIN(Games[[#This Row],[GamesPlayed]], 82))</f>
        <v>73.150000000000006</v>
      </c>
      <c r="Z231" s="4">
        <f>Games[[#This Row],[K]]*Games[[#This Row],[POMult]]</f>
        <v>73.150000000000006</v>
      </c>
      <c r="AA231" s="4">
        <f>(Games[[#This Row],[Keff]]*Games[[#This Row],[MOVMult]])*(Games[[#This Row],[Result]]-Games[[#This Row],[ExpectedWin%]])</f>
        <v>-21.507390420860627</v>
      </c>
      <c r="AB231" s="4">
        <f>Games[[#This Row],[PreGmRate]]+Games[[#This Row],[RatingChange]]</f>
        <v>1373.5629639742479</v>
      </c>
      <c r="AC231" s="2">
        <f>IF(Games[[#This Row],[Type]]="R",IF(Games[[#This Row],[Result]]&gt;0.5,1,0),0)</f>
        <v>0</v>
      </c>
      <c r="AD231" s="2">
        <f>IF(Games[[#This Row],[Type]]="R",IF(Games[[#This Row],[Result]]&lt;0.5,1,0),0)</f>
        <v>1</v>
      </c>
      <c r="AE231" s="2">
        <f>IF(AND(Games[[#This Row],[Type]]="P",Games[[#This Row],[Round]]=1),IF(Games[[#This Row],[Result]]&gt;0.5,1,0),0)</f>
        <v>0</v>
      </c>
      <c r="AF231" s="2">
        <f>IF(AND(Games[[#This Row],[Type]]="P",Games[[#This Row],[Round]]=1),IF(Games[[#This Row],[Result]]&lt;0.5,1,0),0)</f>
        <v>0</v>
      </c>
      <c r="AG231" s="2">
        <f>IF(AND(Games[[#This Row],[Type]]="P",Games[[#This Row],[Round]]=2),IF(Games[[#This Row],[Result]]&gt;0.5,1,0),0)</f>
        <v>0</v>
      </c>
      <c r="AH231" s="2">
        <f>IF(AND(Games[[#This Row],[Type]]="P",Games[[#This Row],[Round]]=2),IF(Games[[#This Row],[Result]]&lt;0.5,1,0),0)</f>
        <v>0</v>
      </c>
      <c r="AI231" s="2">
        <f>IF(AND(Games[[#This Row],[Type]]="P",Games[[#This Row],[Round]]=3),IF(Games[[#This Row],[Result]]&gt;0.5,1,0),0)</f>
        <v>0</v>
      </c>
      <c r="AJ231" s="2">
        <f>IF(AND(Games[[#This Row],[Type]]="P",Games[[#This Row],[Round]]=3),IF(Games[[#This Row],[Result]]&lt;0.5,1,0),0)</f>
        <v>0</v>
      </c>
      <c r="AK231" s="2">
        <f>IF(AND(Games[[#This Row],[Type]]="P",Games[[#This Row],[Round]]=4),IF(Games[[#This Row],[Result]]&gt;0.5,1,0),0)</f>
        <v>0</v>
      </c>
      <c r="AL231" s="2">
        <f>IF(AND(Games[[#This Row],[Type]]="P",Games[[#This Row],[Round]]=4),IF(Games[[#This Row],[Result]]&lt;0.5,1,0),0)</f>
        <v>0</v>
      </c>
    </row>
    <row r="232" spans="1:38" x14ac:dyDescent="0.35">
      <c r="A232" s="10">
        <v>44388</v>
      </c>
      <c r="B232" s="2">
        <v>2021</v>
      </c>
      <c r="C232" s="2">
        <f>COUNTIFS(Games[Team],Games[[#This Row],[Team]],Games[Season],Games[[#This Row],[Season]],Games[Date],"&lt;=" &amp; Games[[#This Row],[Date]])</f>
        <v>21</v>
      </c>
      <c r="D232" s="2" t="s">
        <v>79</v>
      </c>
      <c r="E232" s="2" t="s">
        <v>80</v>
      </c>
      <c r="F232" s="1" t="s">
        <v>85</v>
      </c>
      <c r="G232" s="1" t="s">
        <v>84</v>
      </c>
      <c r="H232" s="1" t="s">
        <v>81</v>
      </c>
      <c r="I232" s="2" cm="1">
        <f t="array" ref="I23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2" s="2" cm="1">
        <f t="array" ref="J23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2" s="2">
        <f>Games[[#This Row],[DaysOff]]-Games[[#This Row],[OppDaysOff]]</f>
        <v>-2</v>
      </c>
      <c r="L232" s="2">
        <f>Games[[#This Row],[OppDaysOff]]-Games[[#This Row],[DaysOff]]</f>
        <v>2</v>
      </c>
      <c r="M232" s="1">
        <f>MAX(-16, MIN(16, Games[[#This Row],[RestDiff]]*8))</f>
        <v>-16</v>
      </c>
      <c r="N232" s="1">
        <f>MAX(-16, MIN(16, Games[[#This Row],[OppRestDiff]]*8))</f>
        <v>16</v>
      </c>
      <c r="O232" s="4" cm="1">
        <f t="array" ref="O2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1618.386743640149</v>
      </c>
      <c r="P232" s="4" cm="1">
        <f t="array" ref="P2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1495.6552847545197</v>
      </c>
      <c r="Q232" s="4">
        <f>1/(1+10^(((Games[[#This Row],[OppPreGmRate]]+IF(Games[[#This Row],[HomeAway]]="A",HCA,0)+Games[[#This Row],[OppRestAdj]])-(Games[[#This Row],[PreGmRate]]+IF(Games[[#This Row],[HomeAway]]="H",HCA,0)+Games[[#This Row],[RestAdj]]))/400))</f>
        <v>0.50968613609271807</v>
      </c>
      <c r="R232" s="1">
        <v>95</v>
      </c>
      <c r="S232" s="1">
        <v>79</v>
      </c>
      <c r="T232" s="1">
        <v>0</v>
      </c>
      <c r="U232" s="1">
        <f>Games[[#This Row],[PointsFor]]-Games[[#This Row],[PointsAgainst]]</f>
        <v>16</v>
      </c>
      <c r="V232" s="1">
        <f>IF(Games[[#This Row],[MOV]]&gt;0,1,IF(Games[[#This Row],[MOV]]=0,0.5,0))</f>
        <v>1</v>
      </c>
      <c r="W232" s="4">
        <f>((ABS(Games[[#This Row],[MOV]])+5)^0.6)/(12+0.01*(ABS(Games[[#This Row],[PreGmRate]]-Games[[#This Row],[OppPreGmRate]])))*IF(Games[[#This Row],[OT]]=1,0.9,1)</f>
        <v>0.46974254264697202</v>
      </c>
      <c r="X232" s="7" cm="1">
        <f t="array" ref="X2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2" s="9">
        <f>MAX(kmin, kmax - 0.15 * MIN(Games[[#This Row],[GamesPlayed]], 82))</f>
        <v>72.849999999999994</v>
      </c>
      <c r="Z232" s="4">
        <f>Games[[#This Row],[K]]*Games[[#This Row],[POMult]]</f>
        <v>72.849999999999994</v>
      </c>
      <c r="AA232" s="4">
        <f>(Games[[#This Row],[Keff]]*Games[[#This Row],[MOVMult]])*(Games[[#This Row],[Result]]-Games[[#This Row],[ExpectedWin%]])</f>
        <v>16.778905330092332</v>
      </c>
      <c r="AB232" s="4">
        <f>Games[[#This Row],[PreGmRate]]+Games[[#This Row],[RatingChange]]</f>
        <v>1635.1656489702414</v>
      </c>
      <c r="AC232" s="2">
        <f>IF(Games[[#This Row],[Type]]="R",IF(Games[[#This Row],[Result]]&gt;0.5,1,0),0)</f>
        <v>1</v>
      </c>
      <c r="AD232" s="2">
        <f>IF(Games[[#This Row],[Type]]="R",IF(Games[[#This Row],[Result]]&lt;0.5,1,0),0)</f>
        <v>0</v>
      </c>
      <c r="AE232" s="2">
        <f>IF(AND(Games[[#This Row],[Type]]="P",Games[[#This Row],[Round]]=1),IF(Games[[#This Row],[Result]]&gt;0.5,1,0),0)</f>
        <v>0</v>
      </c>
      <c r="AF232" s="2">
        <f>IF(AND(Games[[#This Row],[Type]]="P",Games[[#This Row],[Round]]=1),IF(Games[[#This Row],[Result]]&lt;0.5,1,0),0)</f>
        <v>0</v>
      </c>
      <c r="AG232" s="2">
        <f>IF(AND(Games[[#This Row],[Type]]="P",Games[[#This Row],[Round]]=2),IF(Games[[#This Row],[Result]]&gt;0.5,1,0),0)</f>
        <v>0</v>
      </c>
      <c r="AH232" s="2">
        <f>IF(AND(Games[[#This Row],[Type]]="P",Games[[#This Row],[Round]]=2),IF(Games[[#This Row],[Result]]&lt;0.5,1,0),0)</f>
        <v>0</v>
      </c>
      <c r="AI232" s="2">
        <f>IF(AND(Games[[#This Row],[Type]]="P",Games[[#This Row],[Round]]=3),IF(Games[[#This Row],[Result]]&gt;0.5,1,0),0)</f>
        <v>0</v>
      </c>
      <c r="AJ232" s="2">
        <f>IF(AND(Games[[#This Row],[Type]]="P",Games[[#This Row],[Round]]=3),IF(Games[[#This Row],[Result]]&lt;0.5,1,0),0)</f>
        <v>0</v>
      </c>
      <c r="AK232" s="2">
        <f>IF(AND(Games[[#This Row],[Type]]="P",Games[[#This Row],[Round]]=4),IF(Games[[#This Row],[Result]]&gt;0.5,1,0),0)</f>
        <v>0</v>
      </c>
      <c r="AL232" s="2">
        <f>IF(AND(Games[[#This Row],[Type]]="P",Games[[#This Row],[Round]]=4),IF(Games[[#This Row],[Result]]&lt;0.5,1,0),0)</f>
        <v>0</v>
      </c>
    </row>
    <row r="233" spans="1:38" x14ac:dyDescent="0.35">
      <c r="A233" s="10">
        <v>44388</v>
      </c>
      <c r="B233" s="2">
        <v>2021</v>
      </c>
      <c r="C233" s="2">
        <f>COUNTIFS(Games[Team],Games[[#This Row],[Team]],Games[Season],Games[[#This Row],[Season]],Games[Date],"&lt;=" &amp; Games[[#This Row],[Date]])</f>
        <v>21</v>
      </c>
      <c r="D233" s="2" t="s">
        <v>79</v>
      </c>
      <c r="E233" s="2" t="s">
        <v>80</v>
      </c>
      <c r="F233" s="1" t="s">
        <v>84</v>
      </c>
      <c r="G233" s="1" t="s">
        <v>85</v>
      </c>
      <c r="H233" s="1" t="s">
        <v>82</v>
      </c>
      <c r="I233" s="2" cm="1">
        <f t="array" ref="I233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3" s="2" cm="1">
        <f t="array" ref="J23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3" s="2">
        <f>Games[[#This Row],[DaysOff]]-Games[[#This Row],[OppDaysOff]]</f>
        <v>2</v>
      </c>
      <c r="L233" s="2">
        <f>Games[[#This Row],[OppDaysOff]]-Games[[#This Row],[DaysOff]]</f>
        <v>-2</v>
      </c>
      <c r="M233" s="1">
        <f>MAX(-16, MIN(16, Games[[#This Row],[RestDiff]]*8))</f>
        <v>16</v>
      </c>
      <c r="N233" s="1">
        <f>MAX(-16, MIN(16, Games[[#This Row],[OppRestDiff]]*8))</f>
        <v>-16</v>
      </c>
      <c r="O233" s="4" cm="1">
        <f t="array" ref="O2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1495.6552847545197</v>
      </c>
      <c r="P233" s="4" cm="1">
        <f t="array" ref="P2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1618.386743640149</v>
      </c>
      <c r="Q233" s="4">
        <f>1/(1+10^(((Games[[#This Row],[OppPreGmRate]]+IF(Games[[#This Row],[HomeAway]]="A",HCA,0)+Games[[#This Row],[OppRestAdj]])-(Games[[#This Row],[PreGmRate]]+IF(Games[[#This Row],[HomeAway]]="H",HCA,0)+Games[[#This Row],[RestAdj]]))/400))</f>
        <v>0.49031386390728199</v>
      </c>
      <c r="R233" s="1">
        <v>79</v>
      </c>
      <c r="S233" s="1">
        <v>95</v>
      </c>
      <c r="T233" s="1">
        <v>0</v>
      </c>
      <c r="U233" s="1">
        <f>Games[[#This Row],[PointsFor]]-Games[[#This Row],[PointsAgainst]]</f>
        <v>-16</v>
      </c>
      <c r="V233" s="1">
        <f>IF(Games[[#This Row],[MOV]]&gt;0,1,IF(Games[[#This Row],[MOV]]=0,0.5,0))</f>
        <v>0</v>
      </c>
      <c r="W233" s="4">
        <f>((ABS(Games[[#This Row],[MOV]])+5)^0.6)/(12+0.01*(ABS(Games[[#This Row],[PreGmRate]]-Games[[#This Row],[OppPreGmRate]])))*IF(Games[[#This Row],[OT]]=1,0.9,1)</f>
        <v>0.46974254264697202</v>
      </c>
      <c r="X233" s="7" cm="1">
        <f t="array" ref="X2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3" s="9">
        <f>MAX(kmin, kmax - 0.15 * MIN(Games[[#This Row],[GamesPlayed]], 82))</f>
        <v>72.849999999999994</v>
      </c>
      <c r="Z233" s="4">
        <f>Games[[#This Row],[K]]*Games[[#This Row],[POMult]]</f>
        <v>72.849999999999994</v>
      </c>
      <c r="AA233" s="4">
        <f>(Games[[#This Row],[Keff]]*Games[[#This Row],[MOVMult]])*(Games[[#This Row],[Result]]-Games[[#This Row],[ExpectedWin%]])</f>
        <v>-16.778905330092336</v>
      </c>
      <c r="AB233" s="4">
        <f>Games[[#This Row],[PreGmRate]]+Games[[#This Row],[RatingChange]]</f>
        <v>1478.8763794244273</v>
      </c>
      <c r="AC233" s="2">
        <f>IF(Games[[#This Row],[Type]]="R",IF(Games[[#This Row],[Result]]&gt;0.5,1,0),0)</f>
        <v>0</v>
      </c>
      <c r="AD233" s="2">
        <f>IF(Games[[#This Row],[Type]]="R",IF(Games[[#This Row],[Result]]&lt;0.5,1,0),0)</f>
        <v>1</v>
      </c>
      <c r="AE233" s="2">
        <f>IF(AND(Games[[#This Row],[Type]]="P",Games[[#This Row],[Round]]=1),IF(Games[[#This Row],[Result]]&gt;0.5,1,0),0)</f>
        <v>0</v>
      </c>
      <c r="AF233" s="2">
        <f>IF(AND(Games[[#This Row],[Type]]="P",Games[[#This Row],[Round]]=1),IF(Games[[#This Row],[Result]]&lt;0.5,1,0),0)</f>
        <v>0</v>
      </c>
      <c r="AG233" s="2">
        <f>IF(AND(Games[[#This Row],[Type]]="P",Games[[#This Row],[Round]]=2),IF(Games[[#This Row],[Result]]&gt;0.5,1,0),0)</f>
        <v>0</v>
      </c>
      <c r="AH233" s="2">
        <f>IF(AND(Games[[#This Row],[Type]]="P",Games[[#This Row],[Round]]=2),IF(Games[[#This Row],[Result]]&lt;0.5,1,0),0)</f>
        <v>0</v>
      </c>
      <c r="AI233" s="2">
        <f>IF(AND(Games[[#This Row],[Type]]="P",Games[[#This Row],[Round]]=3),IF(Games[[#This Row],[Result]]&gt;0.5,1,0),0)</f>
        <v>0</v>
      </c>
      <c r="AJ233" s="2">
        <f>IF(AND(Games[[#This Row],[Type]]="P",Games[[#This Row],[Round]]=3),IF(Games[[#This Row],[Result]]&lt;0.5,1,0),0)</f>
        <v>0</v>
      </c>
      <c r="AK233" s="2">
        <f>IF(AND(Games[[#This Row],[Type]]="P",Games[[#This Row],[Round]]=4),IF(Games[[#This Row],[Result]]&gt;0.5,1,0),0)</f>
        <v>0</v>
      </c>
      <c r="AL233" s="2">
        <f>IF(AND(Games[[#This Row],[Type]]="P",Games[[#This Row],[Round]]=4),IF(Games[[#This Row],[Result]]&lt;0.5,1,0),0)</f>
        <v>0</v>
      </c>
    </row>
    <row r="234" spans="1:38" x14ac:dyDescent="0.35">
      <c r="A234" s="10">
        <v>44388</v>
      </c>
      <c r="B234" s="2">
        <v>2021</v>
      </c>
      <c r="C234" s="2">
        <f>COUNTIFS(Games[Team],Games[[#This Row],[Team]],Games[Season],Games[[#This Row],[Season]],Games[Date],"&lt;=" &amp; Games[[#This Row],[Date]])</f>
        <v>19</v>
      </c>
      <c r="D234" s="2" t="s">
        <v>79</v>
      </c>
      <c r="E234" s="2" t="s">
        <v>80</v>
      </c>
      <c r="F234" s="1" t="s">
        <v>67</v>
      </c>
      <c r="G234" s="1" t="s">
        <v>63</v>
      </c>
      <c r="H234" s="1" t="s">
        <v>81</v>
      </c>
      <c r="I234" s="2" cm="1">
        <f t="array" ref="I23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4" s="2" cm="1">
        <f t="array" ref="J23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34" s="2">
        <f>Games[[#This Row],[DaysOff]]-Games[[#This Row],[OppDaysOff]]</f>
        <v>-2</v>
      </c>
      <c r="L234" s="2">
        <f>Games[[#This Row],[OppDaysOff]]-Games[[#This Row],[DaysOff]]</f>
        <v>2</v>
      </c>
      <c r="M234" s="1">
        <f>MAX(-16, MIN(16, Games[[#This Row],[RestDiff]]*8))</f>
        <v>-16</v>
      </c>
      <c r="N234" s="1">
        <f>MAX(-16, MIN(16, Games[[#This Row],[OppRestDiff]]*8))</f>
        <v>16</v>
      </c>
      <c r="O234" s="4" cm="1">
        <f t="array" ref="O2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1579.2288931532448</v>
      </c>
      <c r="P234" s="4" cm="1">
        <f t="array" ref="P2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1424.4674565407497</v>
      </c>
      <c r="Q234" s="4">
        <f>1/(1+10^(((Games[[#This Row],[OppPreGmRate]]+IF(Games[[#This Row],[HomeAway]]="A",HCA,0)+Games[[#This Row],[OppRestAdj]])-(Games[[#This Row],[PreGmRate]]+IF(Games[[#This Row],[HomeAway]]="H",HCA,0)+Games[[#This Row],[RestAdj]]))/400))</f>
        <v>0.55555190468914983</v>
      </c>
      <c r="R234" s="1">
        <v>86</v>
      </c>
      <c r="S234" s="1">
        <v>61</v>
      </c>
      <c r="T234" s="1">
        <v>0</v>
      </c>
      <c r="U234" s="1">
        <f>Games[[#This Row],[PointsFor]]-Games[[#This Row],[PointsAgainst]]</f>
        <v>25</v>
      </c>
      <c r="V234" s="1">
        <f>IF(Games[[#This Row],[MOV]]&gt;0,1,IF(Games[[#This Row],[MOV]]=0,0.5,0))</f>
        <v>1</v>
      </c>
      <c r="W234" s="4">
        <f>((ABS(Games[[#This Row],[MOV]])+5)^0.6)/(12+0.01*(ABS(Games[[#This Row],[PreGmRate]]-Games[[#This Row],[OppPreGmRate]])))*IF(Games[[#This Row],[OT]]=1,0.9,1)</f>
        <v>0.56808055888938169</v>
      </c>
      <c r="X234" s="7" cm="1">
        <f t="array" ref="X2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4" s="9">
        <f>MAX(kmin, kmax - 0.15 * MIN(Games[[#This Row],[GamesPlayed]], 82))</f>
        <v>73.150000000000006</v>
      </c>
      <c r="Z234" s="4">
        <f>Games[[#This Row],[K]]*Games[[#This Row],[POMult]]</f>
        <v>73.150000000000006</v>
      </c>
      <c r="AA234" s="4">
        <f>(Games[[#This Row],[Keff]]*Games[[#This Row],[MOVMult]])*(Games[[#This Row],[Result]]-Games[[#This Row],[ExpectedWin%]])</f>
        <v>18.46908188220738</v>
      </c>
      <c r="AB234" s="4">
        <f>Games[[#This Row],[PreGmRate]]+Games[[#This Row],[RatingChange]]</f>
        <v>1597.6979750354521</v>
      </c>
      <c r="AC234" s="2">
        <f>IF(Games[[#This Row],[Type]]="R",IF(Games[[#This Row],[Result]]&gt;0.5,1,0),0)</f>
        <v>1</v>
      </c>
      <c r="AD234" s="2">
        <f>IF(Games[[#This Row],[Type]]="R",IF(Games[[#This Row],[Result]]&lt;0.5,1,0),0)</f>
        <v>0</v>
      </c>
      <c r="AE234" s="2">
        <f>IF(AND(Games[[#This Row],[Type]]="P",Games[[#This Row],[Round]]=1),IF(Games[[#This Row],[Result]]&gt;0.5,1,0),0)</f>
        <v>0</v>
      </c>
      <c r="AF234" s="2">
        <f>IF(AND(Games[[#This Row],[Type]]="P",Games[[#This Row],[Round]]=1),IF(Games[[#This Row],[Result]]&lt;0.5,1,0),0)</f>
        <v>0</v>
      </c>
      <c r="AG234" s="2">
        <f>IF(AND(Games[[#This Row],[Type]]="P",Games[[#This Row],[Round]]=2),IF(Games[[#This Row],[Result]]&gt;0.5,1,0),0)</f>
        <v>0</v>
      </c>
      <c r="AH234" s="2">
        <f>IF(AND(Games[[#This Row],[Type]]="P",Games[[#This Row],[Round]]=2),IF(Games[[#This Row],[Result]]&lt;0.5,1,0),0)</f>
        <v>0</v>
      </c>
      <c r="AI234" s="2">
        <f>IF(AND(Games[[#This Row],[Type]]="P",Games[[#This Row],[Round]]=3),IF(Games[[#This Row],[Result]]&gt;0.5,1,0),0)</f>
        <v>0</v>
      </c>
      <c r="AJ234" s="2">
        <f>IF(AND(Games[[#This Row],[Type]]="P",Games[[#This Row],[Round]]=3),IF(Games[[#This Row],[Result]]&lt;0.5,1,0),0)</f>
        <v>0</v>
      </c>
      <c r="AK234" s="2">
        <f>IF(AND(Games[[#This Row],[Type]]="P",Games[[#This Row],[Round]]=4),IF(Games[[#This Row],[Result]]&gt;0.5,1,0),0)</f>
        <v>0</v>
      </c>
      <c r="AL234" s="2">
        <f>IF(AND(Games[[#This Row],[Type]]="P",Games[[#This Row],[Round]]=4),IF(Games[[#This Row],[Result]]&lt;0.5,1,0),0)</f>
        <v>0</v>
      </c>
    </row>
    <row r="235" spans="1:38" x14ac:dyDescent="0.35">
      <c r="A235" s="10">
        <v>44388</v>
      </c>
      <c r="B235" s="2">
        <v>2021</v>
      </c>
      <c r="C235" s="2">
        <f>COUNTIFS(Games[Team],Games[[#This Row],[Team]],Games[Season],Games[[#This Row],[Season]],Games[Date],"&lt;=" &amp; Games[[#This Row],[Date]])</f>
        <v>19</v>
      </c>
      <c r="D235" s="2" t="s">
        <v>79</v>
      </c>
      <c r="E235" s="2" t="s">
        <v>80</v>
      </c>
      <c r="F235" s="1" t="s">
        <v>63</v>
      </c>
      <c r="G235" s="1" t="s">
        <v>67</v>
      </c>
      <c r="H235" s="1" t="s">
        <v>82</v>
      </c>
      <c r="I235" s="2" cm="1">
        <f t="array" ref="I235">IFERROR(
    Games[[#This Row],[Date]]
    - LOOKUP(
        2,
        1/((Games[Team]=Games[[#This Row],[Team]]) * (Games[Date] &lt; Games[[#This Row],[Date]])),
        Games[Date]
    )
    - 1,
Games[[#This Row],[Date]]-$A$2)</f>
        <v>3</v>
      </c>
      <c r="J235" s="2" cm="1">
        <f t="array" ref="J23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5" s="2">
        <f>Games[[#This Row],[DaysOff]]-Games[[#This Row],[OppDaysOff]]</f>
        <v>2</v>
      </c>
      <c r="L235" s="2">
        <f>Games[[#This Row],[OppDaysOff]]-Games[[#This Row],[DaysOff]]</f>
        <v>-2</v>
      </c>
      <c r="M235" s="1">
        <f>MAX(-16, MIN(16, Games[[#This Row],[RestDiff]]*8))</f>
        <v>16</v>
      </c>
      <c r="N235" s="1">
        <f>MAX(-16, MIN(16, Games[[#This Row],[OppRestDiff]]*8))</f>
        <v>-16</v>
      </c>
      <c r="O235" s="4" cm="1">
        <f t="array" ref="O2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1424.4674565407497</v>
      </c>
      <c r="P235" s="4" cm="1">
        <f t="array" ref="P2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1579.2288931532448</v>
      </c>
      <c r="Q235" s="4">
        <f>1/(1+10^(((Games[[#This Row],[OppPreGmRate]]+IF(Games[[#This Row],[HomeAway]]="A",HCA,0)+Games[[#This Row],[OppRestAdj]])-(Games[[#This Row],[PreGmRate]]+IF(Games[[#This Row],[HomeAway]]="H",HCA,0)+Games[[#This Row],[RestAdj]]))/400))</f>
        <v>0.44444809531085022</v>
      </c>
      <c r="R235" s="1">
        <v>61</v>
      </c>
      <c r="S235" s="1">
        <v>86</v>
      </c>
      <c r="T235" s="1">
        <v>0</v>
      </c>
      <c r="U235" s="1">
        <f>Games[[#This Row],[PointsFor]]-Games[[#This Row],[PointsAgainst]]</f>
        <v>-25</v>
      </c>
      <c r="V235" s="1">
        <f>IF(Games[[#This Row],[MOV]]&gt;0,1,IF(Games[[#This Row],[MOV]]=0,0.5,0))</f>
        <v>0</v>
      </c>
      <c r="W235" s="4">
        <f>((ABS(Games[[#This Row],[MOV]])+5)^0.6)/(12+0.01*(ABS(Games[[#This Row],[PreGmRate]]-Games[[#This Row],[OppPreGmRate]])))*IF(Games[[#This Row],[OT]]=1,0.9,1)</f>
        <v>0.56808055888938169</v>
      </c>
      <c r="X235" s="7" cm="1">
        <f t="array" ref="X2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5" s="9">
        <f>MAX(kmin, kmax - 0.15 * MIN(Games[[#This Row],[GamesPlayed]], 82))</f>
        <v>73.150000000000006</v>
      </c>
      <c r="Z235" s="4">
        <f>Games[[#This Row],[K]]*Games[[#This Row],[POMult]]</f>
        <v>73.150000000000006</v>
      </c>
      <c r="AA235" s="4">
        <f>(Games[[#This Row],[Keff]]*Games[[#This Row],[MOVMult]])*(Games[[#This Row],[Result]]-Games[[#This Row],[ExpectedWin%]])</f>
        <v>-18.469081882207384</v>
      </c>
      <c r="AB235" s="4">
        <f>Games[[#This Row],[PreGmRate]]+Games[[#This Row],[RatingChange]]</f>
        <v>1405.9983746585424</v>
      </c>
      <c r="AC235" s="2">
        <f>IF(Games[[#This Row],[Type]]="R",IF(Games[[#This Row],[Result]]&gt;0.5,1,0),0)</f>
        <v>0</v>
      </c>
      <c r="AD235" s="2">
        <f>IF(Games[[#This Row],[Type]]="R",IF(Games[[#This Row],[Result]]&lt;0.5,1,0),0)</f>
        <v>1</v>
      </c>
      <c r="AE235" s="2">
        <f>IF(AND(Games[[#This Row],[Type]]="P",Games[[#This Row],[Round]]=1),IF(Games[[#This Row],[Result]]&gt;0.5,1,0),0)</f>
        <v>0</v>
      </c>
      <c r="AF235" s="2">
        <f>IF(AND(Games[[#This Row],[Type]]="P",Games[[#This Row],[Round]]=1),IF(Games[[#This Row],[Result]]&lt;0.5,1,0),0)</f>
        <v>0</v>
      </c>
      <c r="AG235" s="2">
        <f>IF(AND(Games[[#This Row],[Type]]="P",Games[[#This Row],[Round]]=2),IF(Games[[#This Row],[Result]]&gt;0.5,1,0),0)</f>
        <v>0</v>
      </c>
      <c r="AH235" s="2">
        <f>IF(AND(Games[[#This Row],[Type]]="P",Games[[#This Row],[Round]]=2),IF(Games[[#This Row],[Result]]&lt;0.5,1,0),0)</f>
        <v>0</v>
      </c>
      <c r="AI235" s="2">
        <f>IF(AND(Games[[#This Row],[Type]]="P",Games[[#This Row],[Round]]=3),IF(Games[[#This Row],[Result]]&gt;0.5,1,0),0)</f>
        <v>0</v>
      </c>
      <c r="AJ235" s="2">
        <f>IF(AND(Games[[#This Row],[Type]]="P",Games[[#This Row],[Round]]=3),IF(Games[[#This Row],[Result]]&lt;0.5,1,0),0)</f>
        <v>0</v>
      </c>
      <c r="AK235" s="2">
        <f>IF(AND(Games[[#This Row],[Type]]="P",Games[[#This Row],[Round]]=4),IF(Games[[#This Row],[Result]]&gt;0.5,1,0),0)</f>
        <v>0</v>
      </c>
      <c r="AL235" s="2">
        <f>IF(AND(Games[[#This Row],[Type]]="P",Games[[#This Row],[Round]]=4),IF(Games[[#This Row],[Result]]&lt;0.5,1,0),0)</f>
        <v>0</v>
      </c>
    </row>
    <row r="236" spans="1:38" x14ac:dyDescent="0.35">
      <c r="A236" s="10">
        <v>44388</v>
      </c>
      <c r="B236" s="2">
        <v>2021</v>
      </c>
      <c r="C236" s="2">
        <f>COUNTIFS(Games[Team],Games[[#This Row],[Team]],Games[Season],Games[[#This Row],[Season]],Games[Date],"&lt;=" &amp; Games[[#This Row],[Date]])</f>
        <v>20</v>
      </c>
      <c r="D236" s="2" t="s">
        <v>79</v>
      </c>
      <c r="E236" s="2" t="s">
        <v>80</v>
      </c>
      <c r="F236" s="1" t="s">
        <v>74</v>
      </c>
      <c r="G236" s="1" t="s">
        <v>60</v>
      </c>
      <c r="H236" s="1" t="s">
        <v>81</v>
      </c>
      <c r="I236" s="2" cm="1">
        <f t="array" ref="I2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6" s="2" cm="1">
        <f t="array" ref="J2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6" s="2">
        <f>Games[[#This Row],[DaysOff]]-Games[[#This Row],[OppDaysOff]]</f>
        <v>0</v>
      </c>
      <c r="L236" s="2">
        <f>Games[[#This Row],[OppDaysOff]]-Games[[#This Row],[DaysOff]]</f>
        <v>0</v>
      </c>
      <c r="M236" s="1">
        <f>MAX(-16, MIN(16, Games[[#This Row],[RestDiff]]*8))</f>
        <v>0</v>
      </c>
      <c r="N236" s="1">
        <f>MAX(-16, MIN(16, Games[[#This Row],[OppRestDiff]]*8))</f>
        <v>0</v>
      </c>
      <c r="O236" s="4" cm="1">
        <f t="array" ref="O2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1594.6875318207092</v>
      </c>
      <c r="P236" s="4" cm="1">
        <f t="array" ref="P2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1414.086105126745</v>
      </c>
      <c r="Q236" s="4">
        <f>1/(1+10^(((Games[[#This Row],[OppPreGmRate]]+IF(Games[[#This Row],[HomeAway]]="A",HCA,0)+Games[[#This Row],[OppRestAdj]])-(Games[[#This Row],[PreGmRate]]+IF(Games[[#This Row],[HomeAway]]="H",HCA,0)+Games[[#This Row],[RestAdj]]))/400))</f>
        <v>0.63554562567160167</v>
      </c>
      <c r="R236" s="1">
        <v>71</v>
      </c>
      <c r="S236" s="1">
        <v>54</v>
      </c>
      <c r="T236" s="1">
        <v>0</v>
      </c>
      <c r="U236" s="1">
        <f>Games[[#This Row],[PointsFor]]-Games[[#This Row],[PointsAgainst]]</f>
        <v>17</v>
      </c>
      <c r="V236" s="1">
        <f>IF(Games[[#This Row],[MOV]]&gt;0,1,IF(Games[[#This Row],[MOV]]=0,0.5,0))</f>
        <v>1</v>
      </c>
      <c r="W236" s="4">
        <f>((ABS(Games[[#This Row],[MOV]])+5)^0.6)/(12+0.01*(ABS(Games[[#This Row],[PreGmRate]]-Games[[#This Row],[OppPreGmRate]])))*IF(Games[[#This Row],[OT]]=1,0.9,1)</f>
        <v>0.46279141144189728</v>
      </c>
      <c r="X236" s="7" cm="1">
        <f t="array" ref="X2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6" s="9">
        <f>MAX(kmin, kmax - 0.15 * MIN(Games[[#This Row],[GamesPlayed]], 82))</f>
        <v>73</v>
      </c>
      <c r="Z236" s="4">
        <f>Games[[#This Row],[K]]*Games[[#This Row],[POMult]]</f>
        <v>73</v>
      </c>
      <c r="AA236" s="4">
        <f>(Games[[#This Row],[Keff]]*Games[[#This Row],[MOVMult]])*(Games[[#This Row],[Result]]-Games[[#This Row],[ExpectedWin%]])</f>
        <v>12.312643864017751</v>
      </c>
      <c r="AB236" s="4">
        <f>Games[[#This Row],[PreGmRate]]+Games[[#This Row],[RatingChange]]</f>
        <v>1607.0001756847269</v>
      </c>
      <c r="AC236" s="2">
        <f>IF(Games[[#This Row],[Type]]="R",IF(Games[[#This Row],[Result]]&gt;0.5,1,0),0)</f>
        <v>1</v>
      </c>
      <c r="AD236" s="2">
        <f>IF(Games[[#This Row],[Type]]="R",IF(Games[[#This Row],[Result]]&lt;0.5,1,0),0)</f>
        <v>0</v>
      </c>
      <c r="AE236" s="2">
        <f>IF(AND(Games[[#This Row],[Type]]="P",Games[[#This Row],[Round]]=1),IF(Games[[#This Row],[Result]]&gt;0.5,1,0),0)</f>
        <v>0</v>
      </c>
      <c r="AF236" s="2">
        <f>IF(AND(Games[[#This Row],[Type]]="P",Games[[#This Row],[Round]]=1),IF(Games[[#This Row],[Result]]&lt;0.5,1,0),0)</f>
        <v>0</v>
      </c>
      <c r="AG236" s="2">
        <f>IF(AND(Games[[#This Row],[Type]]="P",Games[[#This Row],[Round]]=2),IF(Games[[#This Row],[Result]]&gt;0.5,1,0),0)</f>
        <v>0</v>
      </c>
      <c r="AH236" s="2">
        <f>IF(AND(Games[[#This Row],[Type]]="P",Games[[#This Row],[Round]]=2),IF(Games[[#This Row],[Result]]&lt;0.5,1,0),0)</f>
        <v>0</v>
      </c>
      <c r="AI236" s="2">
        <f>IF(AND(Games[[#This Row],[Type]]="P",Games[[#This Row],[Round]]=3),IF(Games[[#This Row],[Result]]&gt;0.5,1,0),0)</f>
        <v>0</v>
      </c>
      <c r="AJ236" s="2">
        <f>IF(AND(Games[[#This Row],[Type]]="P",Games[[#This Row],[Round]]=3),IF(Games[[#This Row],[Result]]&lt;0.5,1,0),0)</f>
        <v>0</v>
      </c>
      <c r="AK236" s="2">
        <f>IF(AND(Games[[#This Row],[Type]]="P",Games[[#This Row],[Round]]=4),IF(Games[[#This Row],[Result]]&gt;0.5,1,0),0)</f>
        <v>0</v>
      </c>
      <c r="AL236" s="2">
        <f>IF(AND(Games[[#This Row],[Type]]="P",Games[[#This Row],[Round]]=4),IF(Games[[#This Row],[Result]]&lt;0.5,1,0),0)</f>
        <v>0</v>
      </c>
    </row>
    <row r="237" spans="1:38" x14ac:dyDescent="0.35">
      <c r="A237" s="10">
        <v>44388</v>
      </c>
      <c r="B237" s="2">
        <v>2021</v>
      </c>
      <c r="C237" s="2">
        <f>COUNTIFS(Games[Team],Games[[#This Row],[Team]],Games[Season],Games[[#This Row],[Season]],Games[Date],"&lt;=" &amp; Games[[#This Row],[Date]])</f>
        <v>21</v>
      </c>
      <c r="D237" s="2" t="s">
        <v>79</v>
      </c>
      <c r="E237" s="2" t="s">
        <v>80</v>
      </c>
      <c r="F237" s="1" t="s">
        <v>60</v>
      </c>
      <c r="G237" s="1" t="s">
        <v>74</v>
      </c>
      <c r="H237" s="1" t="s">
        <v>82</v>
      </c>
      <c r="I237" s="2" cm="1">
        <f t="array" ref="I2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7" s="2" cm="1">
        <f t="array" ref="J2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7" s="2">
        <f>Games[[#This Row],[DaysOff]]-Games[[#This Row],[OppDaysOff]]</f>
        <v>0</v>
      </c>
      <c r="L237" s="2">
        <f>Games[[#This Row],[OppDaysOff]]-Games[[#This Row],[DaysOff]]</f>
        <v>0</v>
      </c>
      <c r="M237" s="1">
        <f>MAX(-16, MIN(16, Games[[#This Row],[RestDiff]]*8))</f>
        <v>0</v>
      </c>
      <c r="N237" s="1">
        <f>MAX(-16, MIN(16, Games[[#This Row],[OppRestDiff]]*8))</f>
        <v>0</v>
      </c>
      <c r="O237" s="4" cm="1">
        <f t="array" ref="O2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1414.086105126745</v>
      </c>
      <c r="P237" s="4" cm="1">
        <f t="array" ref="P2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1594.6875318207092</v>
      </c>
      <c r="Q237" s="4">
        <f>1/(1+10^(((Games[[#This Row],[OppPreGmRate]]+IF(Games[[#This Row],[HomeAway]]="A",HCA,0)+Games[[#This Row],[OppRestAdj]])-(Games[[#This Row],[PreGmRate]]+IF(Games[[#This Row],[HomeAway]]="H",HCA,0)+Games[[#This Row],[RestAdj]]))/400))</f>
        <v>0.36445437432839833</v>
      </c>
      <c r="R237" s="1">
        <v>54</v>
      </c>
      <c r="S237" s="1">
        <v>71</v>
      </c>
      <c r="T237" s="1">
        <v>0</v>
      </c>
      <c r="U237" s="1">
        <f>Games[[#This Row],[PointsFor]]-Games[[#This Row],[PointsAgainst]]</f>
        <v>-17</v>
      </c>
      <c r="V237" s="1">
        <f>IF(Games[[#This Row],[MOV]]&gt;0,1,IF(Games[[#This Row],[MOV]]=0,0.5,0))</f>
        <v>0</v>
      </c>
      <c r="W237" s="4">
        <f>((ABS(Games[[#This Row],[MOV]])+5)^0.6)/(12+0.01*(ABS(Games[[#This Row],[PreGmRate]]-Games[[#This Row],[OppPreGmRate]])))*IF(Games[[#This Row],[OT]]=1,0.9,1)</f>
        <v>0.46279141144189728</v>
      </c>
      <c r="X237" s="7" cm="1">
        <f t="array" ref="X2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7" s="9">
        <f>MAX(kmin, kmax - 0.15 * MIN(Games[[#This Row],[GamesPlayed]], 82))</f>
        <v>72.849999999999994</v>
      </c>
      <c r="Z237" s="4">
        <f>Games[[#This Row],[K]]*Games[[#This Row],[POMult]]</f>
        <v>72.849999999999994</v>
      </c>
      <c r="AA237" s="4">
        <f>(Games[[#This Row],[Keff]]*Games[[#This Row],[MOVMult]])*(Games[[#This Row],[Result]]-Games[[#This Row],[ExpectedWin%]])</f>
        <v>-12.28734391087251</v>
      </c>
      <c r="AB237" s="4">
        <f>Games[[#This Row],[PreGmRate]]+Games[[#This Row],[RatingChange]]</f>
        <v>1401.7987612158724</v>
      </c>
      <c r="AC237" s="2">
        <f>IF(Games[[#This Row],[Type]]="R",IF(Games[[#This Row],[Result]]&gt;0.5,1,0),0)</f>
        <v>0</v>
      </c>
      <c r="AD237" s="2">
        <f>IF(Games[[#This Row],[Type]]="R",IF(Games[[#This Row],[Result]]&lt;0.5,1,0),0)</f>
        <v>1</v>
      </c>
      <c r="AE237" s="2">
        <f>IF(AND(Games[[#This Row],[Type]]="P",Games[[#This Row],[Round]]=1),IF(Games[[#This Row],[Result]]&gt;0.5,1,0),0)</f>
        <v>0</v>
      </c>
      <c r="AF237" s="2">
        <f>IF(AND(Games[[#This Row],[Type]]="P",Games[[#This Row],[Round]]=1),IF(Games[[#This Row],[Result]]&lt;0.5,1,0),0)</f>
        <v>0</v>
      </c>
      <c r="AG237" s="2">
        <f>IF(AND(Games[[#This Row],[Type]]="P",Games[[#This Row],[Round]]=2),IF(Games[[#This Row],[Result]]&gt;0.5,1,0),0)</f>
        <v>0</v>
      </c>
      <c r="AH237" s="2">
        <f>IF(AND(Games[[#This Row],[Type]]="P",Games[[#This Row],[Round]]=2),IF(Games[[#This Row],[Result]]&lt;0.5,1,0),0)</f>
        <v>0</v>
      </c>
      <c r="AI237" s="2">
        <f>IF(AND(Games[[#This Row],[Type]]="P",Games[[#This Row],[Round]]=3),IF(Games[[#This Row],[Result]]&gt;0.5,1,0),0)</f>
        <v>0</v>
      </c>
      <c r="AJ237" s="2">
        <f>IF(AND(Games[[#This Row],[Type]]="P",Games[[#This Row],[Round]]=3),IF(Games[[#This Row],[Result]]&lt;0.5,1,0),0)</f>
        <v>0</v>
      </c>
      <c r="AK237" s="2">
        <f>IF(AND(Games[[#This Row],[Type]]="P",Games[[#This Row],[Round]]=4),IF(Games[[#This Row],[Result]]&gt;0.5,1,0),0)</f>
        <v>0</v>
      </c>
      <c r="AL237" s="2">
        <f>IF(AND(Games[[#This Row],[Type]]="P",Games[[#This Row],[Round]]=4),IF(Games[[#This Row],[Result]]&lt;0.5,1,0),0)</f>
        <v>0</v>
      </c>
    </row>
    <row r="238" spans="1:38" x14ac:dyDescent="0.35">
      <c r="A238" s="10">
        <v>44388</v>
      </c>
      <c r="B238" s="2">
        <v>2021</v>
      </c>
      <c r="C238" s="2">
        <f>COUNTIFS(Games[Team],Games[[#This Row],[Team]],Games[Season],Games[[#This Row],[Season]],Games[Date],"&lt;=" &amp; Games[[#This Row],[Date]])</f>
        <v>19</v>
      </c>
      <c r="D238" s="2" t="s">
        <v>79</v>
      </c>
      <c r="E238" s="2" t="s">
        <v>80</v>
      </c>
      <c r="F238" s="1" t="s">
        <v>40</v>
      </c>
      <c r="G238" s="1" t="s">
        <v>71</v>
      </c>
      <c r="H238" s="1" t="s">
        <v>81</v>
      </c>
      <c r="I238" s="2" cm="1">
        <f t="array" ref="I23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8" s="2" cm="1">
        <f t="array" ref="J2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8" s="2">
        <f>Games[[#This Row],[DaysOff]]-Games[[#This Row],[OppDaysOff]]</f>
        <v>0</v>
      </c>
      <c r="L238" s="2">
        <f>Games[[#This Row],[OppDaysOff]]-Games[[#This Row],[DaysOff]]</f>
        <v>0</v>
      </c>
      <c r="M238" s="1">
        <f>MAX(-16, MIN(16, Games[[#This Row],[RestDiff]]*8))</f>
        <v>0</v>
      </c>
      <c r="N238" s="1">
        <f>MAX(-16, MIN(16, Games[[#This Row],[OppRestDiff]]*8))</f>
        <v>0</v>
      </c>
      <c r="O238" s="4" cm="1">
        <f t="array" ref="O2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1490.2853756574532</v>
      </c>
      <c r="P238" s="4" cm="1">
        <f t="array" ref="P2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1668.5134544304726</v>
      </c>
      <c r="Q238" s="4">
        <f>1/(1+10^(((Games[[#This Row],[OppPreGmRate]]+IF(Games[[#This Row],[HomeAway]]="A",HCA,0)+Games[[#This Row],[OppRestAdj]])-(Games[[#This Row],[PreGmRate]]+IF(Games[[#This Row],[HomeAway]]="H",HCA,0)+Games[[#This Row],[RestAdj]]))/400))</f>
        <v>0.18101199132049783</v>
      </c>
      <c r="R238" s="1">
        <v>75</v>
      </c>
      <c r="S238" s="1">
        <v>82</v>
      </c>
      <c r="T238" s="1">
        <v>0</v>
      </c>
      <c r="U238" s="1">
        <f>Games[[#This Row],[PointsFor]]-Games[[#This Row],[PointsAgainst]]</f>
        <v>-7</v>
      </c>
      <c r="V238" s="1">
        <f>IF(Games[[#This Row],[MOV]]&gt;0,1,IF(Games[[#This Row],[MOV]]=0,0.5,0))</f>
        <v>0</v>
      </c>
      <c r="W238" s="4">
        <f>((ABS(Games[[#This Row],[MOV]])+5)^0.6)/(12+0.01*(ABS(Games[[#This Row],[PreGmRate]]-Games[[#This Row],[OppPreGmRate]])))*IF(Games[[#This Row],[OT]]=1,0.9,1)</f>
        <v>0.32224608816559136</v>
      </c>
      <c r="X238" s="7" cm="1">
        <f t="array" ref="X2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8" s="9">
        <f>MAX(kmin, kmax - 0.15 * MIN(Games[[#This Row],[GamesPlayed]], 82))</f>
        <v>73.150000000000006</v>
      </c>
      <c r="Z238" s="4">
        <f>Games[[#This Row],[K]]*Games[[#This Row],[POMult]]</f>
        <v>73.150000000000006</v>
      </c>
      <c r="AA238" s="4">
        <f>(Games[[#This Row],[Keff]]*Games[[#This Row],[MOVMult]])*(Games[[#This Row],[Result]]-Games[[#This Row],[ExpectedWin%]])</f>
        <v>-4.2668692072460059</v>
      </c>
      <c r="AB238" s="4">
        <f>Games[[#This Row],[PreGmRate]]+Games[[#This Row],[RatingChange]]</f>
        <v>1486.0185064502073</v>
      </c>
      <c r="AC238" s="2">
        <f>IF(Games[[#This Row],[Type]]="R",IF(Games[[#This Row],[Result]]&gt;0.5,1,0),0)</f>
        <v>0</v>
      </c>
      <c r="AD238" s="2">
        <f>IF(Games[[#This Row],[Type]]="R",IF(Games[[#This Row],[Result]]&lt;0.5,1,0),0)</f>
        <v>1</v>
      </c>
      <c r="AE238" s="2">
        <f>IF(AND(Games[[#This Row],[Type]]="P",Games[[#This Row],[Round]]=1),IF(Games[[#This Row],[Result]]&gt;0.5,1,0),0)</f>
        <v>0</v>
      </c>
      <c r="AF238" s="2">
        <f>IF(AND(Games[[#This Row],[Type]]="P",Games[[#This Row],[Round]]=1),IF(Games[[#This Row],[Result]]&lt;0.5,1,0),0)</f>
        <v>0</v>
      </c>
      <c r="AG238" s="2">
        <f>IF(AND(Games[[#This Row],[Type]]="P",Games[[#This Row],[Round]]=2),IF(Games[[#This Row],[Result]]&gt;0.5,1,0),0)</f>
        <v>0</v>
      </c>
      <c r="AH238" s="2">
        <f>IF(AND(Games[[#This Row],[Type]]="P",Games[[#This Row],[Round]]=2),IF(Games[[#This Row],[Result]]&lt;0.5,1,0),0)</f>
        <v>0</v>
      </c>
      <c r="AI238" s="2">
        <f>IF(AND(Games[[#This Row],[Type]]="P",Games[[#This Row],[Round]]=3),IF(Games[[#This Row],[Result]]&gt;0.5,1,0),0)</f>
        <v>0</v>
      </c>
      <c r="AJ238" s="2">
        <f>IF(AND(Games[[#This Row],[Type]]="P",Games[[#This Row],[Round]]=3),IF(Games[[#This Row],[Result]]&lt;0.5,1,0),0)</f>
        <v>0</v>
      </c>
      <c r="AK238" s="2">
        <f>IF(AND(Games[[#This Row],[Type]]="P",Games[[#This Row],[Round]]=4),IF(Games[[#This Row],[Result]]&gt;0.5,1,0),0)</f>
        <v>0</v>
      </c>
      <c r="AL238" s="2">
        <f>IF(AND(Games[[#This Row],[Type]]="P",Games[[#This Row],[Round]]=4),IF(Games[[#This Row],[Result]]&lt;0.5,1,0),0)</f>
        <v>0</v>
      </c>
    </row>
    <row r="239" spans="1:38" x14ac:dyDescent="0.35">
      <c r="A239" s="10">
        <v>44388</v>
      </c>
      <c r="B239" s="2">
        <v>2021</v>
      </c>
      <c r="C239" s="2">
        <f>COUNTIFS(Games[Team],Games[[#This Row],[Team]],Games[Season],Games[[#This Row],[Season]],Games[Date],"&lt;=" &amp; Games[[#This Row],[Date]])</f>
        <v>21</v>
      </c>
      <c r="D239" s="2" t="s">
        <v>79</v>
      </c>
      <c r="E239" s="2" t="s">
        <v>80</v>
      </c>
      <c r="F239" s="1" t="s">
        <v>71</v>
      </c>
      <c r="G239" s="1" t="s">
        <v>40</v>
      </c>
      <c r="H239" s="1" t="s">
        <v>82</v>
      </c>
      <c r="I239" s="2" cm="1">
        <f t="array" ref="I2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39" s="2" cm="1">
        <f t="array" ref="J23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39" s="2">
        <f>Games[[#This Row],[DaysOff]]-Games[[#This Row],[OppDaysOff]]</f>
        <v>0</v>
      </c>
      <c r="L239" s="2">
        <f>Games[[#This Row],[OppDaysOff]]-Games[[#This Row],[DaysOff]]</f>
        <v>0</v>
      </c>
      <c r="M239" s="1">
        <f>MAX(-16, MIN(16, Games[[#This Row],[RestDiff]]*8))</f>
        <v>0</v>
      </c>
      <c r="N239" s="1">
        <f>MAX(-16, MIN(16, Games[[#This Row],[OppRestDiff]]*8))</f>
        <v>0</v>
      </c>
      <c r="O239" s="4" cm="1">
        <f t="array" ref="O2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1668.5134544304726</v>
      </c>
      <c r="P239" s="4" cm="1">
        <f t="array" ref="P2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1490.2853756574532</v>
      </c>
      <c r="Q239" s="4">
        <f>1/(1+10^(((Games[[#This Row],[OppPreGmRate]]+IF(Games[[#This Row],[HomeAway]]="A",HCA,0)+Games[[#This Row],[OppRestAdj]])-(Games[[#This Row],[PreGmRate]]+IF(Games[[#This Row],[HomeAway]]="H",HCA,0)+Games[[#This Row],[RestAdj]]))/400))</f>
        <v>0.81898800867950217</v>
      </c>
      <c r="R239" s="1">
        <v>82</v>
      </c>
      <c r="S239" s="1">
        <v>75</v>
      </c>
      <c r="T239" s="1">
        <v>0</v>
      </c>
      <c r="U239" s="1">
        <f>Games[[#This Row],[PointsFor]]-Games[[#This Row],[PointsAgainst]]</f>
        <v>7</v>
      </c>
      <c r="V239" s="1">
        <f>IF(Games[[#This Row],[MOV]]&gt;0,1,IF(Games[[#This Row],[MOV]]=0,0.5,0))</f>
        <v>1</v>
      </c>
      <c r="W239" s="4">
        <f>((ABS(Games[[#This Row],[MOV]])+5)^0.6)/(12+0.01*(ABS(Games[[#This Row],[PreGmRate]]-Games[[#This Row],[OppPreGmRate]])))*IF(Games[[#This Row],[OT]]=1,0.9,1)</f>
        <v>0.32224608816559136</v>
      </c>
      <c r="X239" s="7" cm="1">
        <f t="array" ref="X2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39" s="9">
        <f>MAX(kmin, kmax - 0.15 * MIN(Games[[#This Row],[GamesPlayed]], 82))</f>
        <v>72.849999999999994</v>
      </c>
      <c r="Z239" s="4">
        <f>Games[[#This Row],[K]]*Games[[#This Row],[POMult]]</f>
        <v>72.849999999999994</v>
      </c>
      <c r="AA239" s="4">
        <f>(Games[[#This Row],[Keff]]*Games[[#This Row],[MOVMult]])*(Games[[#This Row],[Result]]-Games[[#This Row],[ExpectedWin%]])</f>
        <v>4.2493700854117762</v>
      </c>
      <c r="AB239" s="4">
        <f>Games[[#This Row],[PreGmRate]]+Games[[#This Row],[RatingChange]]</f>
        <v>1672.7628245158844</v>
      </c>
      <c r="AC239" s="2">
        <f>IF(Games[[#This Row],[Type]]="R",IF(Games[[#This Row],[Result]]&gt;0.5,1,0),0)</f>
        <v>1</v>
      </c>
      <c r="AD239" s="2">
        <f>IF(Games[[#This Row],[Type]]="R",IF(Games[[#This Row],[Result]]&lt;0.5,1,0),0)</f>
        <v>0</v>
      </c>
      <c r="AE239" s="2">
        <f>IF(AND(Games[[#This Row],[Type]]="P",Games[[#This Row],[Round]]=1),IF(Games[[#This Row],[Result]]&gt;0.5,1,0),0)</f>
        <v>0</v>
      </c>
      <c r="AF239" s="2">
        <f>IF(AND(Games[[#This Row],[Type]]="P",Games[[#This Row],[Round]]=1),IF(Games[[#This Row],[Result]]&lt;0.5,1,0),0)</f>
        <v>0</v>
      </c>
      <c r="AG239" s="2">
        <f>IF(AND(Games[[#This Row],[Type]]="P",Games[[#This Row],[Round]]=2),IF(Games[[#This Row],[Result]]&gt;0.5,1,0),0)</f>
        <v>0</v>
      </c>
      <c r="AH239" s="2">
        <f>IF(AND(Games[[#This Row],[Type]]="P",Games[[#This Row],[Round]]=2),IF(Games[[#This Row],[Result]]&lt;0.5,1,0),0)</f>
        <v>0</v>
      </c>
      <c r="AI239" s="2">
        <f>IF(AND(Games[[#This Row],[Type]]="P",Games[[#This Row],[Round]]=3),IF(Games[[#This Row],[Result]]&gt;0.5,1,0),0)</f>
        <v>0</v>
      </c>
      <c r="AJ239" s="2">
        <f>IF(AND(Games[[#This Row],[Type]]="P",Games[[#This Row],[Round]]=3),IF(Games[[#This Row],[Result]]&lt;0.5,1,0),0)</f>
        <v>0</v>
      </c>
      <c r="AK239" s="2">
        <f>IF(AND(Games[[#This Row],[Type]]="P",Games[[#This Row],[Round]]=4),IF(Games[[#This Row],[Result]]&gt;0.5,1,0),0)</f>
        <v>0</v>
      </c>
      <c r="AL239" s="2">
        <f>IF(AND(Games[[#This Row],[Type]]="P",Games[[#This Row],[Round]]=4),IF(Games[[#This Row],[Result]]&lt;0.5,1,0),0)</f>
        <v>0</v>
      </c>
    </row>
    <row r="240" spans="1:38" x14ac:dyDescent="0.35">
      <c r="A240" s="10">
        <v>44420</v>
      </c>
      <c r="B240" s="2">
        <v>2021</v>
      </c>
      <c r="C240" s="2">
        <f>COUNTIFS(Games[Team],Games[[#This Row],[Team]],Games[Season],Games[[#This Row],[Season]],Games[Date],"&lt;=" &amp; Games[[#This Row],[Date]])</f>
        <v>22</v>
      </c>
      <c r="D240" s="2" t="s">
        <v>87</v>
      </c>
      <c r="E240" s="7">
        <v>0.1</v>
      </c>
      <c r="F240" s="1" t="s">
        <v>71</v>
      </c>
      <c r="G240" s="1" t="s">
        <v>74</v>
      </c>
      <c r="H240" s="1" t="s">
        <v>88</v>
      </c>
      <c r="I240" s="2" cm="1">
        <f t="array" ref="I240">IFERROR(
    Games[[#This Row],[Date]]
    - LOOKUP(
        2,
        1/((Games[Team]=Games[[#This Row],[Team]]) * (Games[Date] &lt; Games[[#This Row],[Date]])),
        Games[Date]
    )
    - 1,
Games[[#This Row],[Date]]-$A$2)</f>
        <v>31</v>
      </c>
      <c r="J240" s="2" cm="1">
        <f t="array" ref="J240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240" s="2">
        <f>Games[[#This Row],[DaysOff]]-Games[[#This Row],[OppDaysOff]]</f>
        <v>0</v>
      </c>
      <c r="L240" s="2">
        <f>Games[[#This Row],[OppDaysOff]]-Games[[#This Row],[DaysOff]]</f>
        <v>0</v>
      </c>
      <c r="M240" s="1">
        <f>MAX(-16, MIN(16, Games[[#This Row],[RestDiff]]*8))</f>
        <v>0</v>
      </c>
      <c r="N240" s="1">
        <f>MAX(-16, MIN(16, Games[[#This Row],[OppRestDiff]]*8))</f>
        <v>0</v>
      </c>
      <c r="O240" s="4" cm="1">
        <f t="array" ref="O2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1672.7628245158844</v>
      </c>
      <c r="P240" s="4" cm="1">
        <f t="array" ref="P2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1607.0001756847269</v>
      </c>
      <c r="Q240" s="4">
        <f>1/(1+10^(((Games[[#This Row],[OppPreGmRate]]+IF(Games[[#This Row],[HomeAway]]="A",HCA,0)+Games[[#This Row],[OppRestAdj]])-(Games[[#This Row],[PreGmRate]]+IF(Games[[#This Row],[HomeAway]]="H",HCA,0)+Games[[#This Row],[RestAdj]]))/400))</f>
        <v>0.59352580277079092</v>
      </c>
      <c r="R240" s="1">
        <v>79</v>
      </c>
      <c r="S240" s="1">
        <v>57</v>
      </c>
      <c r="T240" s="1">
        <v>0</v>
      </c>
      <c r="U240" s="1">
        <f>Games[[#This Row],[PointsFor]]-Games[[#This Row],[PointsAgainst]]</f>
        <v>22</v>
      </c>
      <c r="V240" s="1">
        <f>IF(Games[[#This Row],[MOV]]&gt;0,1,IF(Games[[#This Row],[MOV]]=0,0.5,0))</f>
        <v>1</v>
      </c>
      <c r="W240" s="4">
        <f>((ABS(Games[[#This Row],[MOV]])+5)^0.6)/(12+0.01*(ABS(Games[[#This Row],[PreGmRate]]-Games[[#This Row],[OppPreGmRate]])))*IF(Games[[#This Row],[OT]]=1,0.9,1)</f>
        <v>0.57077636652602703</v>
      </c>
      <c r="X240" s="7" cm="1">
        <f t="array" ref="X2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240" s="9">
        <f>MAX(kmin, kmax - 0.15 * MIN(Games[[#This Row],[GamesPlayed]], 82))</f>
        <v>72.7</v>
      </c>
      <c r="Z240" s="4">
        <f>Games[[#This Row],[K]]*Games[[#This Row],[POMult]]</f>
        <v>74.154000000000011</v>
      </c>
      <c r="AA240" s="4">
        <f>(Games[[#This Row],[Keff]]*Games[[#This Row],[MOVMult]])*(Games[[#This Row],[Result]]-Games[[#This Row],[ExpectedWin%]])</f>
        <v>17.204162941467988</v>
      </c>
      <c r="AB240" s="4">
        <f>Games[[#This Row],[PreGmRate]]+Games[[#This Row],[RatingChange]]</f>
        <v>1689.9669874573524</v>
      </c>
      <c r="AC240" s="2">
        <f>IF(Games[[#This Row],[Type]]="R",IF(Games[[#This Row],[Result]]&gt;0.5,1,0),0)</f>
        <v>0</v>
      </c>
      <c r="AD240" s="2">
        <f>IF(Games[[#This Row],[Type]]="R",IF(Games[[#This Row],[Result]]&lt;0.5,1,0),0)</f>
        <v>0</v>
      </c>
      <c r="AE240" s="2">
        <f>IF(AND(Games[[#This Row],[Type]]="P",Games[[#This Row],[Round]]=1),IF(Games[[#This Row],[Result]]&gt;0.5,1,0),0)</f>
        <v>0</v>
      </c>
      <c r="AF240" s="2">
        <f>IF(AND(Games[[#This Row],[Type]]="P",Games[[#This Row],[Round]]=1),IF(Games[[#This Row],[Result]]&lt;0.5,1,0),0)</f>
        <v>0</v>
      </c>
      <c r="AG240" s="2">
        <f>IF(AND(Games[[#This Row],[Type]]="P",Games[[#This Row],[Round]]=2),IF(Games[[#This Row],[Result]]&gt;0.5,1,0),0)</f>
        <v>0</v>
      </c>
      <c r="AH240" s="2">
        <f>IF(AND(Games[[#This Row],[Type]]="P",Games[[#This Row],[Round]]=2),IF(Games[[#This Row],[Result]]&lt;0.5,1,0),0)</f>
        <v>0</v>
      </c>
      <c r="AI240" s="2">
        <f>IF(AND(Games[[#This Row],[Type]]="P",Games[[#This Row],[Round]]=3),IF(Games[[#This Row],[Result]]&gt;0.5,1,0),0)</f>
        <v>0</v>
      </c>
      <c r="AJ240" s="2">
        <f>IF(AND(Games[[#This Row],[Type]]="P",Games[[#This Row],[Round]]=3),IF(Games[[#This Row],[Result]]&lt;0.5,1,0),0)</f>
        <v>0</v>
      </c>
      <c r="AK240" s="2">
        <f>IF(AND(Games[[#This Row],[Type]]="P",Games[[#This Row],[Round]]=4),IF(Games[[#This Row],[Result]]&gt;0.5,1,0),0)</f>
        <v>0</v>
      </c>
      <c r="AL240" s="2">
        <f>IF(AND(Games[[#This Row],[Type]]="P",Games[[#This Row],[Round]]=4),IF(Games[[#This Row],[Result]]&lt;0.5,1,0),0)</f>
        <v>0</v>
      </c>
    </row>
    <row r="241" spans="1:38" x14ac:dyDescent="0.35">
      <c r="A241" s="10">
        <v>44420</v>
      </c>
      <c r="B241" s="2">
        <v>2021</v>
      </c>
      <c r="C241" s="2">
        <f>COUNTIFS(Games[Team],Games[[#This Row],[Team]],Games[Season],Games[[#This Row],[Season]],Games[Date],"&lt;=" &amp; Games[[#This Row],[Date]])</f>
        <v>21</v>
      </c>
      <c r="D241" s="2" t="s">
        <v>87</v>
      </c>
      <c r="E241" s="7">
        <v>0.1</v>
      </c>
      <c r="F241" s="1" t="s">
        <v>74</v>
      </c>
      <c r="G241" s="1" t="s">
        <v>71</v>
      </c>
      <c r="H241" s="1" t="s">
        <v>88</v>
      </c>
      <c r="I241" s="2" cm="1">
        <f t="array" ref="I241">IFERROR(
    Games[[#This Row],[Date]]
    - LOOKUP(
        2,
        1/((Games[Team]=Games[[#This Row],[Team]]) * (Games[Date] &lt; Games[[#This Row],[Date]])),
        Games[Date]
    )
    - 1,
Games[[#This Row],[Date]]-$A$2)</f>
        <v>31</v>
      </c>
      <c r="J241" s="2" cm="1">
        <f t="array" ref="J241">IFERROR(
    Games[[#This Row],[Date]]
    - LOOKUP(
        2,
        1/((Games[Opponent]=Games[[#This Row],[Opponent]]) * (Games[Date] &lt; Games[[#This Row],[Date]])),
        Games[Date]
    )
    - 1,
Games[[#This Row],[Date]]-$A$2)</f>
        <v>31</v>
      </c>
      <c r="K241" s="2">
        <f>Games[[#This Row],[DaysOff]]-Games[[#This Row],[OppDaysOff]]</f>
        <v>0</v>
      </c>
      <c r="L241" s="2">
        <f>Games[[#This Row],[OppDaysOff]]-Games[[#This Row],[DaysOff]]</f>
        <v>0</v>
      </c>
      <c r="M241" s="1">
        <f>MAX(-16, MIN(16, Games[[#This Row],[RestDiff]]*8))</f>
        <v>0</v>
      </c>
      <c r="N241" s="1">
        <f>MAX(-16, MIN(16, Games[[#This Row],[OppRestDiff]]*8))</f>
        <v>0</v>
      </c>
      <c r="O241" s="4" cm="1">
        <f t="array" ref="O2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1607.0001756847269</v>
      </c>
      <c r="P241" s="4" cm="1">
        <f t="array" ref="P2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1672.7628245158844</v>
      </c>
      <c r="Q241" s="4">
        <f>1/(1+10^(((Games[[#This Row],[OppPreGmRate]]+IF(Games[[#This Row],[HomeAway]]="A",HCA,0)+Games[[#This Row],[OppRestAdj]])-(Games[[#This Row],[PreGmRate]]+IF(Games[[#This Row],[HomeAway]]="H",HCA,0)+Games[[#This Row],[RestAdj]]))/400))</f>
        <v>0.40647419722920913</v>
      </c>
      <c r="R241" s="1">
        <v>57</v>
      </c>
      <c r="S241" s="1">
        <v>79</v>
      </c>
      <c r="T241" s="1">
        <v>0</v>
      </c>
      <c r="U241" s="1">
        <f>Games[[#This Row],[PointsFor]]-Games[[#This Row],[PointsAgainst]]</f>
        <v>-22</v>
      </c>
      <c r="V241" s="1">
        <f>IF(Games[[#This Row],[MOV]]&gt;0,1,IF(Games[[#This Row],[MOV]]=0,0.5,0))</f>
        <v>0</v>
      </c>
      <c r="W241" s="4">
        <f>((ABS(Games[[#This Row],[MOV]])+5)^0.6)/(12+0.01*(ABS(Games[[#This Row],[PreGmRate]]-Games[[#This Row],[OppPreGmRate]])))*IF(Games[[#This Row],[OT]]=1,0.9,1)</f>
        <v>0.57077636652602703</v>
      </c>
      <c r="X241" s="7" cm="1">
        <f t="array" ref="X2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1.02</v>
      </c>
      <c r="Y241" s="9">
        <f>MAX(kmin, kmax - 0.15 * MIN(Games[[#This Row],[GamesPlayed]], 82))</f>
        <v>72.849999999999994</v>
      </c>
      <c r="Z241" s="4">
        <f>Games[[#This Row],[K]]*Games[[#This Row],[POMult]]</f>
        <v>74.307000000000002</v>
      </c>
      <c r="AA241" s="4">
        <f>(Games[[#This Row],[Keff]]*Games[[#This Row],[MOVMult]])*(Games[[#This Row],[Result]]-Games[[#This Row],[ExpectedWin%]])</f>
        <v>-17.239659838871294</v>
      </c>
      <c r="AB241" s="4">
        <f>Games[[#This Row],[PreGmRate]]+Games[[#This Row],[RatingChange]]</f>
        <v>1589.7605158458555</v>
      </c>
      <c r="AC241" s="2">
        <f>IF(Games[[#This Row],[Type]]="R",IF(Games[[#This Row],[Result]]&gt;0.5,1,0),0)</f>
        <v>0</v>
      </c>
      <c r="AD241" s="2">
        <f>IF(Games[[#This Row],[Type]]="R",IF(Games[[#This Row],[Result]]&lt;0.5,1,0),0)</f>
        <v>0</v>
      </c>
      <c r="AE241" s="2">
        <f>IF(AND(Games[[#This Row],[Type]]="P",Games[[#This Row],[Round]]=1),IF(Games[[#This Row],[Result]]&gt;0.5,1,0),0)</f>
        <v>0</v>
      </c>
      <c r="AF241" s="2">
        <f>IF(AND(Games[[#This Row],[Type]]="P",Games[[#This Row],[Round]]=1),IF(Games[[#This Row],[Result]]&lt;0.5,1,0),0)</f>
        <v>0</v>
      </c>
      <c r="AG241" s="2">
        <f>IF(AND(Games[[#This Row],[Type]]="P",Games[[#This Row],[Round]]=2),IF(Games[[#This Row],[Result]]&gt;0.5,1,0),0)</f>
        <v>0</v>
      </c>
      <c r="AH241" s="2">
        <f>IF(AND(Games[[#This Row],[Type]]="P",Games[[#This Row],[Round]]=2),IF(Games[[#This Row],[Result]]&lt;0.5,1,0),0)</f>
        <v>0</v>
      </c>
      <c r="AI241" s="2">
        <f>IF(AND(Games[[#This Row],[Type]]="P",Games[[#This Row],[Round]]=3),IF(Games[[#This Row],[Result]]&gt;0.5,1,0),0)</f>
        <v>0</v>
      </c>
      <c r="AJ241" s="2">
        <f>IF(AND(Games[[#This Row],[Type]]="P",Games[[#This Row],[Round]]=3),IF(Games[[#This Row],[Result]]&lt;0.5,1,0),0)</f>
        <v>0</v>
      </c>
      <c r="AK241" s="2">
        <f>IF(AND(Games[[#This Row],[Type]]="P",Games[[#This Row],[Round]]=4),IF(Games[[#This Row],[Result]]&gt;0.5,1,0),0)</f>
        <v>0</v>
      </c>
      <c r="AL241" s="2">
        <f>IF(AND(Games[[#This Row],[Type]]="P",Games[[#This Row],[Round]]=4),IF(Games[[#This Row],[Result]]&lt;0.5,1,0),0)</f>
        <v>0</v>
      </c>
    </row>
    <row r="242" spans="1:38" x14ac:dyDescent="0.35">
      <c r="A242" s="10">
        <v>44423</v>
      </c>
      <c r="B242" s="2">
        <v>2021</v>
      </c>
      <c r="C242" s="2">
        <f>COUNTIFS(Games[Team],Games[[#This Row],[Team]],Games[Season],Games[[#This Row],[Season]],Games[Date],"&lt;=" &amp; Games[[#This Row],[Date]])</f>
        <v>23</v>
      </c>
      <c r="D242" s="2" t="s">
        <v>79</v>
      </c>
      <c r="E242" s="2" t="s">
        <v>80</v>
      </c>
      <c r="F242" s="1" t="s">
        <v>71</v>
      </c>
      <c r="G242" s="1" t="s">
        <v>75</v>
      </c>
      <c r="H242" s="1" t="s">
        <v>81</v>
      </c>
      <c r="I242" s="2" cm="1">
        <f t="array" ref="I24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2" s="2" cm="1">
        <f t="array" ref="J242">IFERROR(
    Games[[#This Row],[Date]]
    - LOOKUP(
        2,
        1/((Games[Opponent]=Games[[#This Row],[Opponent]]) * (Games[Date] &lt; Games[[#This Row],[Date]])),
        Games[Date]
    )
    - 1,
Games[[#This Row],[Date]]-$A$2)</f>
        <v>35</v>
      </c>
      <c r="K242" s="2">
        <f>Games[[#This Row],[DaysOff]]-Games[[#This Row],[OppDaysOff]]</f>
        <v>-33</v>
      </c>
      <c r="L242" s="2">
        <f>Games[[#This Row],[OppDaysOff]]-Games[[#This Row],[DaysOff]]</f>
        <v>33</v>
      </c>
      <c r="M242" s="1">
        <f>MAX(-16, MIN(16, Games[[#This Row],[RestDiff]]*8))</f>
        <v>-16</v>
      </c>
      <c r="N242" s="1">
        <f>MAX(-16, MIN(16, Games[[#This Row],[OppRestDiff]]*8))</f>
        <v>16</v>
      </c>
      <c r="O242" s="4" cm="1">
        <f t="array" ref="O2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1689.9669874573524</v>
      </c>
      <c r="P242" s="4" cm="1">
        <f t="array" ref="P2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1532.5811938042489</v>
      </c>
      <c r="Q242" s="4">
        <f>1/(1+10^(((Games[[#This Row],[OppPreGmRate]]+IF(Games[[#This Row],[HomeAway]]="A",HCA,0)+Games[[#This Row],[OppRestAdj]])-(Games[[#This Row],[PreGmRate]]+IF(Games[[#This Row],[HomeAway]]="H",HCA,0)+Games[[#This Row],[RestAdj]]))/400))</f>
        <v>0.55927883899673481</v>
      </c>
      <c r="R242" s="1">
        <v>85</v>
      </c>
      <c r="S242" s="1">
        <v>87</v>
      </c>
      <c r="T242" s="1">
        <v>1</v>
      </c>
      <c r="U242" s="1">
        <f>Games[[#This Row],[PointsFor]]-Games[[#This Row],[PointsAgainst]]</f>
        <v>-2</v>
      </c>
      <c r="V242" s="1">
        <f>IF(Games[[#This Row],[MOV]]&gt;0,1,IF(Games[[#This Row],[MOV]]=0,0.5,0))</f>
        <v>0</v>
      </c>
      <c r="W242" s="4">
        <f>((ABS(Games[[#This Row],[MOV]])+5)^0.6)/(12+0.01*(ABS(Games[[#This Row],[PreGmRate]]-Games[[#This Row],[OppPreGmRate]])))*IF(Games[[#This Row],[OT]]=1,0.9,1)</f>
        <v>0.21310715629043159</v>
      </c>
      <c r="X242" s="7" cm="1">
        <f t="array" ref="X2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2" s="9">
        <f>MAX(kmin, kmax - 0.15 * MIN(Games[[#This Row],[GamesPlayed]], 82))</f>
        <v>72.55</v>
      </c>
      <c r="Z242" s="4">
        <f>Games[[#This Row],[K]]*Games[[#This Row],[POMult]]</f>
        <v>72.55</v>
      </c>
      <c r="AA242" s="4">
        <f>(Games[[#This Row],[Keff]]*Games[[#This Row],[MOVMult]])*(Games[[#This Row],[Result]]-Games[[#This Row],[ExpectedWin%]])</f>
        <v>-8.6469677301682015</v>
      </c>
      <c r="AB242" s="4">
        <f>Games[[#This Row],[PreGmRate]]+Games[[#This Row],[RatingChange]]</f>
        <v>1681.3200197271842</v>
      </c>
      <c r="AC242" s="2">
        <f>IF(Games[[#This Row],[Type]]="R",IF(Games[[#This Row],[Result]]&gt;0.5,1,0),0)</f>
        <v>0</v>
      </c>
      <c r="AD242" s="2">
        <f>IF(Games[[#This Row],[Type]]="R",IF(Games[[#This Row],[Result]]&lt;0.5,1,0),0)</f>
        <v>1</v>
      </c>
      <c r="AE242" s="2">
        <f>IF(AND(Games[[#This Row],[Type]]="P",Games[[#This Row],[Round]]=1),IF(Games[[#This Row],[Result]]&gt;0.5,1,0),0)</f>
        <v>0</v>
      </c>
      <c r="AF242" s="2">
        <f>IF(AND(Games[[#This Row],[Type]]="P",Games[[#This Row],[Round]]=1),IF(Games[[#This Row],[Result]]&lt;0.5,1,0),0)</f>
        <v>0</v>
      </c>
      <c r="AG242" s="2">
        <f>IF(AND(Games[[#This Row],[Type]]="P",Games[[#This Row],[Round]]=2),IF(Games[[#This Row],[Result]]&gt;0.5,1,0),0)</f>
        <v>0</v>
      </c>
      <c r="AH242" s="2">
        <f>IF(AND(Games[[#This Row],[Type]]="P",Games[[#This Row],[Round]]=2),IF(Games[[#This Row],[Result]]&lt;0.5,1,0),0)</f>
        <v>0</v>
      </c>
      <c r="AI242" s="2">
        <f>IF(AND(Games[[#This Row],[Type]]="P",Games[[#This Row],[Round]]=3),IF(Games[[#This Row],[Result]]&gt;0.5,1,0),0)</f>
        <v>0</v>
      </c>
      <c r="AJ242" s="2">
        <f>IF(AND(Games[[#This Row],[Type]]="P",Games[[#This Row],[Round]]=3),IF(Games[[#This Row],[Result]]&lt;0.5,1,0),0)</f>
        <v>0</v>
      </c>
      <c r="AK242" s="2">
        <f>IF(AND(Games[[#This Row],[Type]]="P",Games[[#This Row],[Round]]=4),IF(Games[[#This Row],[Result]]&gt;0.5,1,0),0)</f>
        <v>0</v>
      </c>
      <c r="AL242" s="2">
        <f>IF(AND(Games[[#This Row],[Type]]="P",Games[[#This Row],[Round]]=4),IF(Games[[#This Row],[Result]]&lt;0.5,1,0),0)</f>
        <v>0</v>
      </c>
    </row>
    <row r="243" spans="1:38" x14ac:dyDescent="0.35">
      <c r="A243" s="10">
        <v>44423</v>
      </c>
      <c r="B243" s="2">
        <v>2021</v>
      </c>
      <c r="C243" s="2">
        <f>COUNTIFS(Games[Team],Games[[#This Row],[Team]],Games[Season],Games[[#This Row],[Season]],Games[Date],"&lt;=" &amp; Games[[#This Row],[Date]])</f>
        <v>21</v>
      </c>
      <c r="D243" s="2" t="s">
        <v>79</v>
      </c>
      <c r="E243" s="2" t="s">
        <v>80</v>
      </c>
      <c r="F243" s="1" t="s">
        <v>75</v>
      </c>
      <c r="G243" s="1" t="s">
        <v>71</v>
      </c>
      <c r="H243" s="1" t="s">
        <v>82</v>
      </c>
      <c r="I243" s="2" cm="1">
        <f t="array" ref="I243">IFERROR(
    Games[[#This Row],[Date]]
    - LOOKUP(
        2,
        1/((Games[Team]=Games[[#This Row],[Team]]) * (Games[Date] &lt; Games[[#This Row],[Date]])),
        Games[Date]
    )
    - 1,
Games[[#This Row],[Date]]-$A$2)</f>
        <v>35</v>
      </c>
      <c r="J243" s="2" cm="1">
        <f t="array" ref="J24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3" s="2">
        <f>Games[[#This Row],[DaysOff]]-Games[[#This Row],[OppDaysOff]]</f>
        <v>33</v>
      </c>
      <c r="L243" s="2">
        <f>Games[[#This Row],[OppDaysOff]]-Games[[#This Row],[DaysOff]]</f>
        <v>-33</v>
      </c>
      <c r="M243" s="1">
        <f>MAX(-16, MIN(16, Games[[#This Row],[RestDiff]]*8))</f>
        <v>16</v>
      </c>
      <c r="N243" s="1">
        <f>MAX(-16, MIN(16, Games[[#This Row],[OppRestDiff]]*8))</f>
        <v>-16</v>
      </c>
      <c r="O243" s="4" cm="1">
        <f t="array" ref="O2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1532.5811938042489</v>
      </c>
      <c r="P243" s="4" cm="1">
        <f t="array" ref="P2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1689.9669874573524</v>
      </c>
      <c r="Q243" s="4">
        <f>1/(1+10^(((Games[[#This Row],[OppPreGmRate]]+IF(Games[[#This Row],[HomeAway]]="A",HCA,0)+Games[[#This Row],[OppRestAdj]])-(Games[[#This Row],[PreGmRate]]+IF(Games[[#This Row],[HomeAway]]="H",HCA,0)+Games[[#This Row],[RestAdj]]))/400))</f>
        <v>0.44072116100326514</v>
      </c>
      <c r="R243" s="1">
        <v>87</v>
      </c>
      <c r="S243" s="1">
        <v>85</v>
      </c>
      <c r="T243" s="1">
        <v>1</v>
      </c>
      <c r="U243" s="1">
        <f>Games[[#This Row],[PointsFor]]-Games[[#This Row],[PointsAgainst]]</f>
        <v>2</v>
      </c>
      <c r="V243" s="1">
        <f>IF(Games[[#This Row],[MOV]]&gt;0,1,IF(Games[[#This Row],[MOV]]=0,0.5,0))</f>
        <v>1</v>
      </c>
      <c r="W243" s="4">
        <f>((ABS(Games[[#This Row],[MOV]])+5)^0.6)/(12+0.01*(ABS(Games[[#This Row],[PreGmRate]]-Games[[#This Row],[OppPreGmRate]])))*IF(Games[[#This Row],[OT]]=1,0.9,1)</f>
        <v>0.21310715629043159</v>
      </c>
      <c r="X243" s="7" cm="1">
        <f t="array" ref="X2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3" s="9">
        <f>MAX(kmin, kmax - 0.15 * MIN(Games[[#This Row],[GamesPlayed]], 82))</f>
        <v>72.849999999999994</v>
      </c>
      <c r="Z243" s="4">
        <f>Games[[#This Row],[K]]*Games[[#This Row],[POMult]]</f>
        <v>72.849999999999994</v>
      </c>
      <c r="AA243" s="4">
        <f>(Games[[#This Row],[Keff]]*Games[[#This Row],[MOVMult]])*(Games[[#This Row],[Result]]-Games[[#This Row],[ExpectedWin%]])</f>
        <v>8.6827236270538055</v>
      </c>
      <c r="AB243" s="4">
        <f>Games[[#This Row],[PreGmRate]]+Games[[#This Row],[RatingChange]]</f>
        <v>1541.2639174313026</v>
      </c>
      <c r="AC243" s="2">
        <f>IF(Games[[#This Row],[Type]]="R",IF(Games[[#This Row],[Result]]&gt;0.5,1,0),0)</f>
        <v>1</v>
      </c>
      <c r="AD243" s="2">
        <f>IF(Games[[#This Row],[Type]]="R",IF(Games[[#This Row],[Result]]&lt;0.5,1,0),0)</f>
        <v>0</v>
      </c>
      <c r="AE243" s="2">
        <f>IF(AND(Games[[#This Row],[Type]]="P",Games[[#This Row],[Round]]=1),IF(Games[[#This Row],[Result]]&gt;0.5,1,0),0)</f>
        <v>0</v>
      </c>
      <c r="AF243" s="2">
        <f>IF(AND(Games[[#This Row],[Type]]="P",Games[[#This Row],[Round]]=1),IF(Games[[#This Row],[Result]]&lt;0.5,1,0),0)</f>
        <v>0</v>
      </c>
      <c r="AG243" s="2">
        <f>IF(AND(Games[[#This Row],[Type]]="P",Games[[#This Row],[Round]]=2),IF(Games[[#This Row],[Result]]&gt;0.5,1,0),0)</f>
        <v>0</v>
      </c>
      <c r="AH243" s="2">
        <f>IF(AND(Games[[#This Row],[Type]]="P",Games[[#This Row],[Round]]=2),IF(Games[[#This Row],[Result]]&lt;0.5,1,0),0)</f>
        <v>0</v>
      </c>
      <c r="AI243" s="2">
        <f>IF(AND(Games[[#This Row],[Type]]="P",Games[[#This Row],[Round]]=3),IF(Games[[#This Row],[Result]]&gt;0.5,1,0),0)</f>
        <v>0</v>
      </c>
      <c r="AJ243" s="2">
        <f>IF(AND(Games[[#This Row],[Type]]="P",Games[[#This Row],[Round]]=3),IF(Games[[#This Row],[Result]]&lt;0.5,1,0),0)</f>
        <v>0</v>
      </c>
      <c r="AK243" s="2">
        <f>IF(AND(Games[[#This Row],[Type]]="P",Games[[#This Row],[Round]]=4),IF(Games[[#This Row],[Result]]&gt;0.5,1,0),0)</f>
        <v>0</v>
      </c>
      <c r="AL243" s="2">
        <f>IF(AND(Games[[#This Row],[Type]]="P",Games[[#This Row],[Round]]=4),IF(Games[[#This Row],[Result]]&lt;0.5,1,0),0)</f>
        <v>0</v>
      </c>
    </row>
    <row r="244" spans="1:38" x14ac:dyDescent="0.35">
      <c r="A244" s="10">
        <v>44423</v>
      </c>
      <c r="B244" s="2">
        <v>2021</v>
      </c>
      <c r="C244" s="2">
        <f>COUNTIFS(Games[Team],Games[[#This Row],[Team]],Games[Season],Games[[#This Row],[Season]],Games[Date],"&lt;=" &amp; Games[[#This Row],[Date]])</f>
        <v>22</v>
      </c>
      <c r="D244" s="2" t="s">
        <v>79</v>
      </c>
      <c r="E244" s="2" t="s">
        <v>80</v>
      </c>
      <c r="F244" s="1" t="s">
        <v>74</v>
      </c>
      <c r="G244" s="1" t="s">
        <v>84</v>
      </c>
      <c r="H244" s="1" t="s">
        <v>81</v>
      </c>
      <c r="I244" s="2" cm="1">
        <f t="array" ref="I24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44" s="2" cm="1">
        <f t="array" ref="J244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44" s="2">
        <f>Games[[#This Row],[DaysOff]]-Games[[#This Row],[OppDaysOff]]</f>
        <v>-32</v>
      </c>
      <c r="L244" s="2">
        <f>Games[[#This Row],[OppDaysOff]]-Games[[#This Row],[DaysOff]]</f>
        <v>32</v>
      </c>
      <c r="M244" s="1">
        <f>MAX(-16, MIN(16, Games[[#This Row],[RestDiff]]*8))</f>
        <v>-16</v>
      </c>
      <c r="N244" s="1">
        <f>MAX(-16, MIN(16, Games[[#This Row],[OppRestDiff]]*8))</f>
        <v>16</v>
      </c>
      <c r="O244" s="4" cm="1">
        <f t="array" ref="O2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1589.7605158458555</v>
      </c>
      <c r="P244" s="4" cm="1">
        <f t="array" ref="P2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1478.8763794244273</v>
      </c>
      <c r="Q244" s="4">
        <f>1/(1+10^(((Games[[#This Row],[OppPreGmRate]]+IF(Games[[#This Row],[HomeAway]]="A",HCA,0)+Games[[#This Row],[OppRestAdj]])-(Games[[#This Row],[PreGmRate]]+IF(Games[[#This Row],[HomeAway]]="H",HCA,0)+Games[[#This Row],[RestAdj]]))/400))</f>
        <v>0.49263821253231366</v>
      </c>
      <c r="R244" s="1">
        <v>80</v>
      </c>
      <c r="S244" s="1">
        <v>59</v>
      </c>
      <c r="T244" s="1">
        <v>0</v>
      </c>
      <c r="U244" s="1">
        <f>Games[[#This Row],[PointsFor]]-Games[[#This Row],[PointsAgainst]]</f>
        <v>21</v>
      </c>
      <c r="V244" s="1">
        <f>IF(Games[[#This Row],[MOV]]&gt;0,1,IF(Games[[#This Row],[MOV]]=0,0.5,0))</f>
        <v>1</v>
      </c>
      <c r="W244" s="4">
        <f>((ABS(Games[[#This Row],[MOV]])+5)^0.6)/(12+0.01*(ABS(Games[[#This Row],[PreGmRate]]-Games[[#This Row],[OppPreGmRate]])))*IF(Games[[#This Row],[OT]]=1,0.9,1)</f>
        <v>0.53879021623755707</v>
      </c>
      <c r="X244" s="7" cm="1">
        <f t="array" ref="X2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4" s="9">
        <f>MAX(kmin, kmax - 0.15 * MIN(Games[[#This Row],[GamesPlayed]], 82))</f>
        <v>72.7</v>
      </c>
      <c r="Z244" s="4">
        <f>Games[[#This Row],[K]]*Games[[#This Row],[POMult]]</f>
        <v>72.7</v>
      </c>
      <c r="AA244" s="4">
        <f>(Games[[#This Row],[Keff]]*Games[[#This Row],[MOVMult]])*(Games[[#This Row],[Result]]-Games[[#This Row],[ExpectedWin%]])</f>
        <v>19.87338593401422</v>
      </c>
      <c r="AB244" s="4">
        <f>Games[[#This Row],[PreGmRate]]+Games[[#This Row],[RatingChange]]</f>
        <v>1609.6339017798698</v>
      </c>
      <c r="AC244" s="2">
        <f>IF(Games[[#This Row],[Type]]="R",IF(Games[[#This Row],[Result]]&gt;0.5,1,0),0)</f>
        <v>1</v>
      </c>
      <c r="AD244" s="2">
        <f>IF(Games[[#This Row],[Type]]="R",IF(Games[[#This Row],[Result]]&lt;0.5,1,0),0)</f>
        <v>0</v>
      </c>
      <c r="AE244" s="2">
        <f>IF(AND(Games[[#This Row],[Type]]="P",Games[[#This Row],[Round]]=1),IF(Games[[#This Row],[Result]]&gt;0.5,1,0),0)</f>
        <v>0</v>
      </c>
      <c r="AF244" s="2">
        <f>IF(AND(Games[[#This Row],[Type]]="P",Games[[#This Row],[Round]]=1),IF(Games[[#This Row],[Result]]&lt;0.5,1,0),0)</f>
        <v>0</v>
      </c>
      <c r="AG244" s="2">
        <f>IF(AND(Games[[#This Row],[Type]]="P",Games[[#This Row],[Round]]=2),IF(Games[[#This Row],[Result]]&gt;0.5,1,0),0)</f>
        <v>0</v>
      </c>
      <c r="AH244" s="2">
        <f>IF(AND(Games[[#This Row],[Type]]="P",Games[[#This Row],[Round]]=2),IF(Games[[#This Row],[Result]]&lt;0.5,1,0),0)</f>
        <v>0</v>
      </c>
      <c r="AI244" s="2">
        <f>IF(AND(Games[[#This Row],[Type]]="P",Games[[#This Row],[Round]]=3),IF(Games[[#This Row],[Result]]&gt;0.5,1,0),0)</f>
        <v>0</v>
      </c>
      <c r="AJ244" s="2">
        <f>IF(AND(Games[[#This Row],[Type]]="P",Games[[#This Row],[Round]]=3),IF(Games[[#This Row],[Result]]&lt;0.5,1,0),0)</f>
        <v>0</v>
      </c>
      <c r="AK244" s="2">
        <f>IF(AND(Games[[#This Row],[Type]]="P",Games[[#This Row],[Round]]=4),IF(Games[[#This Row],[Result]]&gt;0.5,1,0),0)</f>
        <v>0</v>
      </c>
      <c r="AL244" s="2">
        <f>IF(AND(Games[[#This Row],[Type]]="P",Games[[#This Row],[Round]]=4),IF(Games[[#This Row],[Result]]&lt;0.5,1,0),0)</f>
        <v>0</v>
      </c>
    </row>
    <row r="245" spans="1:38" x14ac:dyDescent="0.35">
      <c r="A245" s="10">
        <v>44423</v>
      </c>
      <c r="B245" s="2">
        <v>2021</v>
      </c>
      <c r="C245" s="2">
        <f>COUNTIFS(Games[Team],Games[[#This Row],[Team]],Games[Season],Games[[#This Row],[Season]],Games[Date],"&lt;=" &amp; Games[[#This Row],[Date]])</f>
        <v>22</v>
      </c>
      <c r="D245" s="2" t="s">
        <v>79</v>
      </c>
      <c r="E245" s="2" t="s">
        <v>80</v>
      </c>
      <c r="F245" s="1" t="s">
        <v>84</v>
      </c>
      <c r="G245" s="1" t="s">
        <v>74</v>
      </c>
      <c r="H245" s="1" t="s">
        <v>82</v>
      </c>
      <c r="I245" s="2" cm="1">
        <f t="array" ref="I245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45" s="2" cm="1">
        <f t="array" ref="J24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45" s="2">
        <f>Games[[#This Row],[DaysOff]]-Games[[#This Row],[OppDaysOff]]</f>
        <v>32</v>
      </c>
      <c r="L245" s="2">
        <f>Games[[#This Row],[OppDaysOff]]-Games[[#This Row],[DaysOff]]</f>
        <v>-32</v>
      </c>
      <c r="M245" s="1">
        <f>MAX(-16, MIN(16, Games[[#This Row],[RestDiff]]*8))</f>
        <v>16</v>
      </c>
      <c r="N245" s="1">
        <f>MAX(-16, MIN(16, Games[[#This Row],[OppRestDiff]]*8))</f>
        <v>-16</v>
      </c>
      <c r="O245" s="4" cm="1">
        <f t="array" ref="O2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1478.8763794244273</v>
      </c>
      <c r="P245" s="4" cm="1">
        <f t="array" ref="P2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1589.7605158458555</v>
      </c>
      <c r="Q245" s="4">
        <f>1/(1+10^(((Games[[#This Row],[OppPreGmRate]]+IF(Games[[#This Row],[HomeAway]]="A",HCA,0)+Games[[#This Row],[OppRestAdj]])-(Games[[#This Row],[PreGmRate]]+IF(Games[[#This Row],[HomeAway]]="H",HCA,0)+Games[[#This Row],[RestAdj]]))/400))</f>
        <v>0.50736178746768634</v>
      </c>
      <c r="R245" s="1">
        <v>59</v>
      </c>
      <c r="S245" s="1">
        <v>80</v>
      </c>
      <c r="T245" s="1">
        <v>0</v>
      </c>
      <c r="U245" s="1">
        <f>Games[[#This Row],[PointsFor]]-Games[[#This Row],[PointsAgainst]]</f>
        <v>-21</v>
      </c>
      <c r="V245" s="1">
        <f>IF(Games[[#This Row],[MOV]]&gt;0,1,IF(Games[[#This Row],[MOV]]=0,0.5,0))</f>
        <v>0</v>
      </c>
      <c r="W245" s="4">
        <f>((ABS(Games[[#This Row],[MOV]])+5)^0.6)/(12+0.01*(ABS(Games[[#This Row],[PreGmRate]]-Games[[#This Row],[OppPreGmRate]])))*IF(Games[[#This Row],[OT]]=1,0.9,1)</f>
        <v>0.53879021623755707</v>
      </c>
      <c r="X245" s="7" cm="1">
        <f t="array" ref="X2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5" s="9">
        <f>MAX(kmin, kmax - 0.15 * MIN(Games[[#This Row],[GamesPlayed]], 82))</f>
        <v>72.7</v>
      </c>
      <c r="Z245" s="4">
        <f>Games[[#This Row],[K]]*Games[[#This Row],[POMult]]</f>
        <v>72.7</v>
      </c>
      <c r="AA245" s="4">
        <f>(Games[[#This Row],[Keff]]*Games[[#This Row],[MOVMult]])*(Games[[#This Row],[Result]]-Games[[#This Row],[ExpectedWin%]])</f>
        <v>-19.87338593401422</v>
      </c>
      <c r="AB245" s="4">
        <f>Games[[#This Row],[PreGmRate]]+Games[[#This Row],[RatingChange]]</f>
        <v>1459.002993490413</v>
      </c>
      <c r="AC245" s="2">
        <f>IF(Games[[#This Row],[Type]]="R",IF(Games[[#This Row],[Result]]&gt;0.5,1,0),0)</f>
        <v>0</v>
      </c>
      <c r="AD245" s="2">
        <f>IF(Games[[#This Row],[Type]]="R",IF(Games[[#This Row],[Result]]&lt;0.5,1,0),0)</f>
        <v>1</v>
      </c>
      <c r="AE245" s="2">
        <f>IF(AND(Games[[#This Row],[Type]]="P",Games[[#This Row],[Round]]=1),IF(Games[[#This Row],[Result]]&gt;0.5,1,0),0)</f>
        <v>0</v>
      </c>
      <c r="AF245" s="2">
        <f>IF(AND(Games[[#This Row],[Type]]="P",Games[[#This Row],[Round]]=1),IF(Games[[#This Row],[Result]]&lt;0.5,1,0),0)</f>
        <v>0</v>
      </c>
      <c r="AG245" s="2">
        <f>IF(AND(Games[[#This Row],[Type]]="P",Games[[#This Row],[Round]]=2),IF(Games[[#This Row],[Result]]&gt;0.5,1,0),0)</f>
        <v>0</v>
      </c>
      <c r="AH245" s="2">
        <f>IF(AND(Games[[#This Row],[Type]]="P",Games[[#This Row],[Round]]=2),IF(Games[[#This Row],[Result]]&lt;0.5,1,0),0)</f>
        <v>0</v>
      </c>
      <c r="AI245" s="2">
        <f>IF(AND(Games[[#This Row],[Type]]="P",Games[[#This Row],[Round]]=3),IF(Games[[#This Row],[Result]]&gt;0.5,1,0),0)</f>
        <v>0</v>
      </c>
      <c r="AJ245" s="2">
        <f>IF(AND(Games[[#This Row],[Type]]="P",Games[[#This Row],[Round]]=3),IF(Games[[#This Row],[Result]]&lt;0.5,1,0),0)</f>
        <v>0</v>
      </c>
      <c r="AK245" s="2">
        <f>IF(AND(Games[[#This Row],[Type]]="P",Games[[#This Row],[Round]]=4),IF(Games[[#This Row],[Result]]&gt;0.5,1,0),0)</f>
        <v>0</v>
      </c>
      <c r="AL245" s="2">
        <f>IF(AND(Games[[#This Row],[Type]]="P",Games[[#This Row],[Round]]=4),IF(Games[[#This Row],[Result]]&lt;0.5,1,0),0)</f>
        <v>0</v>
      </c>
    </row>
    <row r="246" spans="1:38" x14ac:dyDescent="0.35">
      <c r="A246" s="10">
        <v>44423</v>
      </c>
      <c r="B246" s="2">
        <v>2021</v>
      </c>
      <c r="C246" s="2">
        <f>COUNTIFS(Games[Team],Games[[#This Row],[Team]],Games[Season],Games[[#This Row],[Season]],Games[Date],"&lt;=" &amp; Games[[#This Row],[Date]])</f>
        <v>21</v>
      </c>
      <c r="D246" s="2" t="s">
        <v>79</v>
      </c>
      <c r="E246" s="2" t="s">
        <v>80</v>
      </c>
      <c r="F246" s="1" t="s">
        <v>69</v>
      </c>
      <c r="G246" s="1" t="s">
        <v>63</v>
      </c>
      <c r="H246" s="1" t="s">
        <v>81</v>
      </c>
      <c r="I246" s="2" cm="1">
        <f t="array" ref="I246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46" s="2" cm="1">
        <f t="array" ref="J246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46" s="2">
        <f>Games[[#This Row],[DaysOff]]-Games[[#This Row],[OppDaysOff]]</f>
        <v>0</v>
      </c>
      <c r="L246" s="2">
        <f>Games[[#This Row],[OppDaysOff]]-Games[[#This Row],[DaysOff]]</f>
        <v>0</v>
      </c>
      <c r="M246" s="1">
        <f>MAX(-16, MIN(16, Games[[#This Row],[RestDiff]]*8))</f>
        <v>0</v>
      </c>
      <c r="N246" s="1">
        <f>MAX(-16, MIN(16, Games[[#This Row],[OppRestDiff]]*8))</f>
        <v>0</v>
      </c>
      <c r="O246" s="4" cm="1">
        <f t="array" ref="O2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1347.6391986470044</v>
      </c>
      <c r="P246" s="4" cm="1">
        <f t="array" ref="P2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1405.9983746585424</v>
      </c>
      <c r="Q246" s="4">
        <f>1/(1+10^(((Games[[#This Row],[OppPreGmRate]]+IF(Games[[#This Row],[HomeAway]]="A",HCA,0)+Games[[#This Row],[OppRestAdj]])-(Games[[#This Row],[PreGmRate]]+IF(Games[[#This Row],[HomeAway]]="H",HCA,0)+Games[[#This Row],[RestAdj]]))/400))</f>
        <v>0.30587292917661224</v>
      </c>
      <c r="R246" s="1">
        <v>70</v>
      </c>
      <c r="S246" s="1">
        <v>75</v>
      </c>
      <c r="T246" s="1">
        <v>0</v>
      </c>
      <c r="U246" s="1">
        <f>Games[[#This Row],[PointsFor]]-Games[[#This Row],[PointsAgainst]]</f>
        <v>-5</v>
      </c>
      <c r="V246" s="1">
        <f>IF(Games[[#This Row],[MOV]]&gt;0,1,IF(Games[[#This Row],[MOV]]=0,0.5,0))</f>
        <v>0</v>
      </c>
      <c r="W246" s="4">
        <f>((ABS(Games[[#This Row],[MOV]])+5)^0.6)/(12+0.01*(ABS(Games[[#This Row],[PreGmRate]]-Games[[#This Row],[OppPreGmRate]])))*IF(Games[[#This Row],[OT]]=1,0.9,1)</f>
        <v>0.31637006201625772</v>
      </c>
      <c r="X246" s="7" cm="1">
        <f t="array" ref="X2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6" s="9">
        <f>MAX(kmin, kmax - 0.15 * MIN(Games[[#This Row],[GamesPlayed]], 82))</f>
        <v>72.849999999999994</v>
      </c>
      <c r="Z246" s="4">
        <f>Games[[#This Row],[K]]*Games[[#This Row],[POMult]]</f>
        <v>72.849999999999994</v>
      </c>
      <c r="AA246" s="4">
        <f>(Games[[#This Row],[Keff]]*Games[[#This Row],[MOVMult]])*(Games[[#This Row],[Result]]-Games[[#This Row],[ExpectedWin%]])</f>
        <v>-7.0496243871711384</v>
      </c>
      <c r="AB246" s="4">
        <f>Games[[#This Row],[PreGmRate]]+Games[[#This Row],[RatingChange]]</f>
        <v>1340.5895742598332</v>
      </c>
      <c r="AC246" s="2">
        <f>IF(Games[[#This Row],[Type]]="R",IF(Games[[#This Row],[Result]]&gt;0.5,1,0),0)</f>
        <v>0</v>
      </c>
      <c r="AD246" s="2">
        <f>IF(Games[[#This Row],[Type]]="R",IF(Games[[#This Row],[Result]]&lt;0.5,1,0),0)</f>
        <v>1</v>
      </c>
      <c r="AE246" s="2">
        <f>IF(AND(Games[[#This Row],[Type]]="P",Games[[#This Row],[Round]]=1),IF(Games[[#This Row],[Result]]&gt;0.5,1,0),0)</f>
        <v>0</v>
      </c>
      <c r="AF246" s="2">
        <f>IF(AND(Games[[#This Row],[Type]]="P",Games[[#This Row],[Round]]=1),IF(Games[[#This Row],[Result]]&lt;0.5,1,0),0)</f>
        <v>0</v>
      </c>
      <c r="AG246" s="2">
        <f>IF(AND(Games[[#This Row],[Type]]="P",Games[[#This Row],[Round]]=2),IF(Games[[#This Row],[Result]]&gt;0.5,1,0),0)</f>
        <v>0</v>
      </c>
      <c r="AH246" s="2">
        <f>IF(AND(Games[[#This Row],[Type]]="P",Games[[#This Row],[Round]]=2),IF(Games[[#This Row],[Result]]&lt;0.5,1,0),0)</f>
        <v>0</v>
      </c>
      <c r="AI246" s="2">
        <f>IF(AND(Games[[#This Row],[Type]]="P",Games[[#This Row],[Round]]=3),IF(Games[[#This Row],[Result]]&gt;0.5,1,0),0)</f>
        <v>0</v>
      </c>
      <c r="AJ246" s="2">
        <f>IF(AND(Games[[#This Row],[Type]]="P",Games[[#This Row],[Round]]=3),IF(Games[[#This Row],[Result]]&lt;0.5,1,0),0)</f>
        <v>0</v>
      </c>
      <c r="AK246" s="2">
        <f>IF(AND(Games[[#This Row],[Type]]="P",Games[[#This Row],[Round]]=4),IF(Games[[#This Row],[Result]]&gt;0.5,1,0),0)</f>
        <v>0</v>
      </c>
      <c r="AL246" s="2">
        <f>IF(AND(Games[[#This Row],[Type]]="P",Games[[#This Row],[Round]]=4),IF(Games[[#This Row],[Result]]&lt;0.5,1,0),0)</f>
        <v>0</v>
      </c>
    </row>
    <row r="247" spans="1:38" x14ac:dyDescent="0.35">
      <c r="A247" s="10">
        <v>44423</v>
      </c>
      <c r="B247" s="2">
        <v>2021</v>
      </c>
      <c r="C247" s="2">
        <f>COUNTIFS(Games[Team],Games[[#This Row],[Team]],Games[Season],Games[[#This Row],[Season]],Games[Date],"&lt;=" &amp; Games[[#This Row],[Date]])</f>
        <v>20</v>
      </c>
      <c r="D247" s="2" t="s">
        <v>79</v>
      </c>
      <c r="E247" s="2" t="s">
        <v>80</v>
      </c>
      <c r="F247" s="1" t="s">
        <v>63</v>
      </c>
      <c r="G247" s="1" t="s">
        <v>69</v>
      </c>
      <c r="H247" s="1" t="s">
        <v>82</v>
      </c>
      <c r="I247" s="2" cm="1">
        <f t="array" ref="I247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47" s="2" cm="1">
        <f t="array" ref="J247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47" s="2">
        <f>Games[[#This Row],[DaysOff]]-Games[[#This Row],[OppDaysOff]]</f>
        <v>0</v>
      </c>
      <c r="L247" s="2">
        <f>Games[[#This Row],[OppDaysOff]]-Games[[#This Row],[DaysOff]]</f>
        <v>0</v>
      </c>
      <c r="M247" s="1">
        <f>MAX(-16, MIN(16, Games[[#This Row],[RestDiff]]*8))</f>
        <v>0</v>
      </c>
      <c r="N247" s="1">
        <f>MAX(-16, MIN(16, Games[[#This Row],[OppRestDiff]]*8))</f>
        <v>0</v>
      </c>
      <c r="O247" s="4" cm="1">
        <f t="array" ref="O2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1405.9983746585424</v>
      </c>
      <c r="P247" s="4" cm="1">
        <f t="array" ref="P2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1347.6391986470044</v>
      </c>
      <c r="Q247" s="4">
        <f>1/(1+10^(((Games[[#This Row],[OppPreGmRate]]+IF(Games[[#This Row],[HomeAway]]="A",HCA,0)+Games[[#This Row],[OppRestAdj]])-(Games[[#This Row],[PreGmRate]]+IF(Games[[#This Row],[HomeAway]]="H",HCA,0)+Games[[#This Row],[RestAdj]]))/400))</f>
        <v>0.69412707082338776</v>
      </c>
      <c r="R247" s="1">
        <v>75</v>
      </c>
      <c r="S247" s="1">
        <v>70</v>
      </c>
      <c r="T247" s="1">
        <v>0</v>
      </c>
      <c r="U247" s="1">
        <f>Games[[#This Row],[PointsFor]]-Games[[#This Row],[PointsAgainst]]</f>
        <v>5</v>
      </c>
      <c r="V247" s="1">
        <f>IF(Games[[#This Row],[MOV]]&gt;0,1,IF(Games[[#This Row],[MOV]]=0,0.5,0))</f>
        <v>1</v>
      </c>
      <c r="W247" s="4">
        <f>((ABS(Games[[#This Row],[MOV]])+5)^0.6)/(12+0.01*(ABS(Games[[#This Row],[PreGmRate]]-Games[[#This Row],[OppPreGmRate]])))*IF(Games[[#This Row],[OT]]=1,0.9,1)</f>
        <v>0.31637006201625772</v>
      </c>
      <c r="X247" s="7" cm="1">
        <f t="array" ref="X2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7" s="9">
        <f>MAX(kmin, kmax - 0.15 * MIN(Games[[#This Row],[GamesPlayed]], 82))</f>
        <v>73</v>
      </c>
      <c r="Z247" s="4">
        <f>Games[[#This Row],[K]]*Games[[#This Row],[POMult]]</f>
        <v>73</v>
      </c>
      <c r="AA247" s="4">
        <f>(Games[[#This Row],[Keff]]*Games[[#This Row],[MOVMult]])*(Games[[#This Row],[Result]]-Games[[#This Row],[ExpectedWin%]])</f>
        <v>7.0641397428070425</v>
      </c>
      <c r="AB247" s="4">
        <f>Games[[#This Row],[PreGmRate]]+Games[[#This Row],[RatingChange]]</f>
        <v>1413.0625144013495</v>
      </c>
      <c r="AC247" s="2">
        <f>IF(Games[[#This Row],[Type]]="R",IF(Games[[#This Row],[Result]]&gt;0.5,1,0),0)</f>
        <v>1</v>
      </c>
      <c r="AD247" s="2">
        <f>IF(Games[[#This Row],[Type]]="R",IF(Games[[#This Row],[Result]]&lt;0.5,1,0),0)</f>
        <v>0</v>
      </c>
      <c r="AE247" s="2">
        <f>IF(AND(Games[[#This Row],[Type]]="P",Games[[#This Row],[Round]]=1),IF(Games[[#This Row],[Result]]&gt;0.5,1,0),0)</f>
        <v>0</v>
      </c>
      <c r="AF247" s="2">
        <f>IF(AND(Games[[#This Row],[Type]]="P",Games[[#This Row],[Round]]=1),IF(Games[[#This Row],[Result]]&lt;0.5,1,0),0)</f>
        <v>0</v>
      </c>
      <c r="AG247" s="2">
        <f>IF(AND(Games[[#This Row],[Type]]="P",Games[[#This Row],[Round]]=2),IF(Games[[#This Row],[Result]]&gt;0.5,1,0),0)</f>
        <v>0</v>
      </c>
      <c r="AH247" s="2">
        <f>IF(AND(Games[[#This Row],[Type]]="P",Games[[#This Row],[Round]]=2),IF(Games[[#This Row],[Result]]&lt;0.5,1,0),0)</f>
        <v>0</v>
      </c>
      <c r="AI247" s="2">
        <f>IF(AND(Games[[#This Row],[Type]]="P",Games[[#This Row],[Round]]=3),IF(Games[[#This Row],[Result]]&gt;0.5,1,0),0)</f>
        <v>0</v>
      </c>
      <c r="AJ247" s="2">
        <f>IF(AND(Games[[#This Row],[Type]]="P",Games[[#This Row],[Round]]=3),IF(Games[[#This Row],[Result]]&lt;0.5,1,0),0)</f>
        <v>0</v>
      </c>
      <c r="AK247" s="2">
        <f>IF(AND(Games[[#This Row],[Type]]="P",Games[[#This Row],[Round]]=4),IF(Games[[#This Row],[Result]]&gt;0.5,1,0),0)</f>
        <v>0</v>
      </c>
      <c r="AL247" s="2">
        <f>IF(AND(Games[[#This Row],[Type]]="P",Games[[#This Row],[Round]]=4),IF(Games[[#This Row],[Result]]&lt;0.5,1,0),0)</f>
        <v>0</v>
      </c>
    </row>
    <row r="248" spans="1:38" x14ac:dyDescent="0.35">
      <c r="A248" s="10">
        <v>44423</v>
      </c>
      <c r="B248" s="2">
        <v>2021</v>
      </c>
      <c r="C248" s="2">
        <f>COUNTIFS(Games[Team],Games[[#This Row],[Team]],Games[Season],Games[[#This Row],[Season]],Games[Date],"&lt;=" &amp; Games[[#This Row],[Date]])</f>
        <v>19</v>
      </c>
      <c r="D248" s="2" t="s">
        <v>79</v>
      </c>
      <c r="E248" s="2" t="s">
        <v>80</v>
      </c>
      <c r="F248" s="1" t="s">
        <v>65</v>
      </c>
      <c r="G248" s="1" t="s">
        <v>85</v>
      </c>
      <c r="H248" s="1" t="s">
        <v>81</v>
      </c>
      <c r="I248" s="2" cm="1">
        <f t="array" ref="I248">IFERROR(
    Games[[#This Row],[Date]]
    - LOOKUP(
        2,
        1/((Games[Team]=Games[[#This Row],[Team]]) * (Games[Date] &lt; Games[[#This Row],[Date]])),
        Games[Date]
    )
    - 1,
Games[[#This Row],[Date]]-$A$2)</f>
        <v>35</v>
      </c>
      <c r="J248" s="2" cm="1">
        <f t="array" ref="J248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48" s="2">
        <f>Games[[#This Row],[DaysOff]]-Games[[#This Row],[OppDaysOff]]</f>
        <v>1</v>
      </c>
      <c r="L248" s="2">
        <f>Games[[#This Row],[OppDaysOff]]-Games[[#This Row],[DaysOff]]</f>
        <v>-1</v>
      </c>
      <c r="M248" s="1">
        <f>MAX(-16, MIN(16, Games[[#This Row],[RestDiff]]*8))</f>
        <v>8</v>
      </c>
      <c r="N248" s="1">
        <f>MAX(-16, MIN(16, Games[[#This Row],[OppRestDiff]]*8))</f>
        <v>-8</v>
      </c>
      <c r="O248" s="4" cm="1">
        <f t="array" ref="O2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1461.0468608736189</v>
      </c>
      <c r="P248" s="4" cm="1">
        <f t="array" ref="P2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1635.1656489702414</v>
      </c>
      <c r="Q248" s="4">
        <f>1/(1+10^(((Games[[#This Row],[OppPreGmRate]]+IF(Games[[#This Row],[HomeAway]]="A",HCA,0)+Games[[#This Row],[OppRestAdj]])-(Games[[#This Row],[PreGmRate]]+IF(Games[[#This Row],[HomeAway]]="H",HCA,0)+Games[[#This Row],[RestAdj]]))/400))</f>
        <v>0.19881011901026438</v>
      </c>
      <c r="R248" s="1">
        <v>83</v>
      </c>
      <c r="S248" s="1">
        <v>84</v>
      </c>
      <c r="T248" s="1">
        <v>0</v>
      </c>
      <c r="U248" s="1">
        <f>Games[[#This Row],[PointsFor]]-Games[[#This Row],[PointsAgainst]]</f>
        <v>-1</v>
      </c>
      <c r="V248" s="1">
        <f>IF(Games[[#This Row],[MOV]]&gt;0,1,IF(Games[[#This Row],[MOV]]=0,0.5,0))</f>
        <v>0</v>
      </c>
      <c r="W248" s="4">
        <f>((ABS(Games[[#This Row],[MOV]])+5)^0.6)/(12+0.01*(ABS(Games[[#This Row],[PreGmRate]]-Games[[#This Row],[OppPreGmRate]])))*IF(Games[[#This Row],[OT]]=1,0.9,1)</f>
        <v>0.21323891915066986</v>
      </c>
      <c r="X248" s="7" cm="1">
        <f t="array" ref="X2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8" s="9">
        <f>MAX(kmin, kmax - 0.15 * MIN(Games[[#This Row],[GamesPlayed]], 82))</f>
        <v>73.150000000000006</v>
      </c>
      <c r="Z248" s="4">
        <f>Games[[#This Row],[K]]*Games[[#This Row],[POMult]]</f>
        <v>73.150000000000006</v>
      </c>
      <c r="AA248" s="4">
        <f>(Games[[#This Row],[Keff]]*Games[[#This Row],[MOVMult]])*(Games[[#This Row],[Result]]-Games[[#This Row],[ExpectedWin%]])</f>
        <v>-3.1011251154935269</v>
      </c>
      <c r="AB248" s="4">
        <f>Games[[#This Row],[PreGmRate]]+Games[[#This Row],[RatingChange]]</f>
        <v>1457.9457357581255</v>
      </c>
      <c r="AC248" s="2">
        <f>IF(Games[[#This Row],[Type]]="R",IF(Games[[#This Row],[Result]]&gt;0.5,1,0),0)</f>
        <v>0</v>
      </c>
      <c r="AD248" s="2">
        <f>IF(Games[[#This Row],[Type]]="R",IF(Games[[#This Row],[Result]]&lt;0.5,1,0),0)</f>
        <v>1</v>
      </c>
      <c r="AE248" s="2">
        <f>IF(AND(Games[[#This Row],[Type]]="P",Games[[#This Row],[Round]]=1),IF(Games[[#This Row],[Result]]&gt;0.5,1,0),0)</f>
        <v>0</v>
      </c>
      <c r="AF248" s="2">
        <f>IF(AND(Games[[#This Row],[Type]]="P",Games[[#This Row],[Round]]=1),IF(Games[[#This Row],[Result]]&lt;0.5,1,0),0)</f>
        <v>0</v>
      </c>
      <c r="AG248" s="2">
        <f>IF(AND(Games[[#This Row],[Type]]="P",Games[[#This Row],[Round]]=2),IF(Games[[#This Row],[Result]]&gt;0.5,1,0),0)</f>
        <v>0</v>
      </c>
      <c r="AH248" s="2">
        <f>IF(AND(Games[[#This Row],[Type]]="P",Games[[#This Row],[Round]]=2),IF(Games[[#This Row],[Result]]&lt;0.5,1,0),0)</f>
        <v>0</v>
      </c>
      <c r="AI248" s="2">
        <f>IF(AND(Games[[#This Row],[Type]]="P",Games[[#This Row],[Round]]=3),IF(Games[[#This Row],[Result]]&gt;0.5,1,0),0)</f>
        <v>0</v>
      </c>
      <c r="AJ248" s="2">
        <f>IF(AND(Games[[#This Row],[Type]]="P",Games[[#This Row],[Round]]=3),IF(Games[[#This Row],[Result]]&lt;0.5,1,0),0)</f>
        <v>0</v>
      </c>
      <c r="AK248" s="2">
        <f>IF(AND(Games[[#This Row],[Type]]="P",Games[[#This Row],[Round]]=4),IF(Games[[#This Row],[Result]]&gt;0.5,1,0),0)</f>
        <v>0</v>
      </c>
      <c r="AL248" s="2">
        <f>IF(AND(Games[[#This Row],[Type]]="P",Games[[#This Row],[Round]]=4),IF(Games[[#This Row],[Result]]&lt;0.5,1,0),0)</f>
        <v>0</v>
      </c>
    </row>
    <row r="249" spans="1:38" x14ac:dyDescent="0.35">
      <c r="A249" s="10">
        <v>44423</v>
      </c>
      <c r="B249" s="2">
        <v>2021</v>
      </c>
      <c r="C249" s="2">
        <f>COUNTIFS(Games[Team],Games[[#This Row],[Team]],Games[Season],Games[[#This Row],[Season]],Games[Date],"&lt;=" &amp; Games[[#This Row],[Date]])</f>
        <v>22</v>
      </c>
      <c r="D249" s="2" t="s">
        <v>79</v>
      </c>
      <c r="E249" s="2" t="s">
        <v>80</v>
      </c>
      <c r="F249" s="1" t="s">
        <v>85</v>
      </c>
      <c r="G249" s="1" t="s">
        <v>65</v>
      </c>
      <c r="H249" s="1" t="s">
        <v>82</v>
      </c>
      <c r="I249" s="2" cm="1">
        <f t="array" ref="I249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49" s="2" cm="1">
        <f t="array" ref="J249">IFERROR(
    Games[[#This Row],[Date]]
    - LOOKUP(
        2,
        1/((Games[Opponent]=Games[[#This Row],[Opponent]]) * (Games[Date] &lt; Games[[#This Row],[Date]])),
        Games[Date]
    )
    - 1,
Games[[#This Row],[Date]]-$A$2)</f>
        <v>35</v>
      </c>
      <c r="K249" s="2">
        <f>Games[[#This Row],[DaysOff]]-Games[[#This Row],[OppDaysOff]]</f>
        <v>-1</v>
      </c>
      <c r="L249" s="2">
        <f>Games[[#This Row],[OppDaysOff]]-Games[[#This Row],[DaysOff]]</f>
        <v>1</v>
      </c>
      <c r="M249" s="1">
        <f>MAX(-16, MIN(16, Games[[#This Row],[RestDiff]]*8))</f>
        <v>-8</v>
      </c>
      <c r="N249" s="1">
        <f>MAX(-16, MIN(16, Games[[#This Row],[OppRestDiff]]*8))</f>
        <v>8</v>
      </c>
      <c r="O249" s="4" cm="1">
        <f t="array" ref="O2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1635.1656489702414</v>
      </c>
      <c r="P249" s="4" cm="1">
        <f t="array" ref="P2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1461.0468608736189</v>
      </c>
      <c r="Q249" s="4">
        <f>1/(1+10^(((Games[[#This Row],[OppPreGmRate]]+IF(Games[[#This Row],[HomeAway]]="A",HCA,0)+Games[[#This Row],[OppRestAdj]])-(Games[[#This Row],[PreGmRate]]+IF(Games[[#This Row],[HomeAway]]="H",HCA,0)+Games[[#This Row],[RestAdj]]))/400))</f>
        <v>0.80118988098973565</v>
      </c>
      <c r="R249" s="1">
        <v>84</v>
      </c>
      <c r="S249" s="1">
        <v>83</v>
      </c>
      <c r="T249" s="1">
        <v>0</v>
      </c>
      <c r="U249" s="1">
        <f>Games[[#This Row],[PointsFor]]-Games[[#This Row],[PointsAgainst]]</f>
        <v>1</v>
      </c>
      <c r="V249" s="1">
        <f>IF(Games[[#This Row],[MOV]]&gt;0,1,IF(Games[[#This Row],[MOV]]=0,0.5,0))</f>
        <v>1</v>
      </c>
      <c r="W249" s="4">
        <f>((ABS(Games[[#This Row],[MOV]])+5)^0.6)/(12+0.01*(ABS(Games[[#This Row],[PreGmRate]]-Games[[#This Row],[OppPreGmRate]])))*IF(Games[[#This Row],[OT]]=1,0.9,1)</f>
        <v>0.21323891915066986</v>
      </c>
      <c r="X249" s="7" cm="1">
        <f t="array" ref="X2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49" s="9">
        <f>MAX(kmin, kmax - 0.15 * MIN(Games[[#This Row],[GamesPlayed]], 82))</f>
        <v>72.7</v>
      </c>
      <c r="Z249" s="4">
        <f>Games[[#This Row],[K]]*Games[[#This Row],[POMult]]</f>
        <v>72.7</v>
      </c>
      <c r="AA249" s="4">
        <f>(Games[[#This Row],[Keff]]*Games[[#This Row],[MOVMult]])*(Games[[#This Row],[Result]]-Games[[#This Row],[ExpectedWin%]])</f>
        <v>3.082047790791242</v>
      </c>
      <c r="AB249" s="4">
        <f>Games[[#This Row],[PreGmRate]]+Games[[#This Row],[RatingChange]]</f>
        <v>1638.2476967610326</v>
      </c>
      <c r="AC249" s="2">
        <f>IF(Games[[#This Row],[Type]]="R",IF(Games[[#This Row],[Result]]&gt;0.5,1,0),0)</f>
        <v>1</v>
      </c>
      <c r="AD249" s="2">
        <f>IF(Games[[#This Row],[Type]]="R",IF(Games[[#This Row],[Result]]&lt;0.5,1,0),0)</f>
        <v>0</v>
      </c>
      <c r="AE249" s="2">
        <f>IF(AND(Games[[#This Row],[Type]]="P",Games[[#This Row],[Round]]=1),IF(Games[[#This Row],[Result]]&gt;0.5,1,0),0)</f>
        <v>0</v>
      </c>
      <c r="AF249" s="2">
        <f>IF(AND(Games[[#This Row],[Type]]="P",Games[[#This Row],[Round]]=1),IF(Games[[#This Row],[Result]]&lt;0.5,1,0),0)</f>
        <v>0</v>
      </c>
      <c r="AG249" s="2">
        <f>IF(AND(Games[[#This Row],[Type]]="P",Games[[#This Row],[Round]]=2),IF(Games[[#This Row],[Result]]&gt;0.5,1,0),0)</f>
        <v>0</v>
      </c>
      <c r="AH249" s="2">
        <f>IF(AND(Games[[#This Row],[Type]]="P",Games[[#This Row],[Round]]=2),IF(Games[[#This Row],[Result]]&lt;0.5,1,0),0)</f>
        <v>0</v>
      </c>
      <c r="AI249" s="2">
        <f>IF(AND(Games[[#This Row],[Type]]="P",Games[[#This Row],[Round]]=3),IF(Games[[#This Row],[Result]]&gt;0.5,1,0),0)</f>
        <v>0</v>
      </c>
      <c r="AJ249" s="2">
        <f>IF(AND(Games[[#This Row],[Type]]="P",Games[[#This Row],[Round]]=3),IF(Games[[#This Row],[Result]]&lt;0.5,1,0),0)</f>
        <v>0</v>
      </c>
      <c r="AK249" s="2">
        <f>IF(AND(Games[[#This Row],[Type]]="P",Games[[#This Row],[Round]]=4),IF(Games[[#This Row],[Result]]&gt;0.5,1,0),0)</f>
        <v>0</v>
      </c>
      <c r="AL249" s="2">
        <f>IF(AND(Games[[#This Row],[Type]]="P",Games[[#This Row],[Round]]=4),IF(Games[[#This Row],[Result]]&lt;0.5,1,0),0)</f>
        <v>0</v>
      </c>
    </row>
    <row r="250" spans="1:38" x14ac:dyDescent="0.35">
      <c r="A250" s="10">
        <v>44423</v>
      </c>
      <c r="B250" s="2">
        <v>2021</v>
      </c>
      <c r="C250" s="2">
        <f>COUNTIFS(Games[Team],Games[[#This Row],[Team]],Games[Season],Games[[#This Row],[Season]],Games[Date],"&lt;=" &amp; Games[[#This Row],[Date]])</f>
        <v>22</v>
      </c>
      <c r="D250" s="2" t="s">
        <v>79</v>
      </c>
      <c r="E250" s="2" t="s">
        <v>80</v>
      </c>
      <c r="F250" s="1" t="s">
        <v>60</v>
      </c>
      <c r="G250" s="1" t="s">
        <v>67</v>
      </c>
      <c r="H250" s="1" t="s">
        <v>81</v>
      </c>
      <c r="I250" s="2" cm="1">
        <f t="array" ref="I250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50" s="2" cm="1">
        <f t="array" ref="J250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50" s="2">
        <f>Games[[#This Row],[DaysOff]]-Games[[#This Row],[OppDaysOff]]</f>
        <v>0</v>
      </c>
      <c r="L250" s="2">
        <f>Games[[#This Row],[OppDaysOff]]-Games[[#This Row],[DaysOff]]</f>
        <v>0</v>
      </c>
      <c r="M250" s="1">
        <f>MAX(-16, MIN(16, Games[[#This Row],[RestDiff]]*8))</f>
        <v>0</v>
      </c>
      <c r="N250" s="1">
        <f>MAX(-16, MIN(16, Games[[#This Row],[OppRestDiff]]*8))</f>
        <v>0</v>
      </c>
      <c r="O250" s="4" cm="1">
        <f t="array" ref="O2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1401.7987612158724</v>
      </c>
      <c r="P250" s="4" cm="1">
        <f t="array" ref="P2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1597.6979750354521</v>
      </c>
      <c r="Q250" s="4">
        <f>1/(1+10^(((Games[[#This Row],[OppPreGmRate]]+IF(Games[[#This Row],[HomeAway]]="A",HCA,0)+Games[[#This Row],[OppRestAdj]])-(Games[[#This Row],[PreGmRate]]+IF(Games[[#This Row],[HomeAway]]="H",HCA,0)+Games[[#This Row],[RestAdj]]))/400))</f>
        <v>0.16641799845430869</v>
      </c>
      <c r="R250" s="1">
        <v>78</v>
      </c>
      <c r="S250" s="1">
        <v>88</v>
      </c>
      <c r="T250" s="1">
        <v>0</v>
      </c>
      <c r="U250" s="1">
        <f>Games[[#This Row],[PointsFor]]-Games[[#This Row],[PointsAgainst]]</f>
        <v>-10</v>
      </c>
      <c r="V250" s="1">
        <f>IF(Games[[#This Row],[MOV]]&gt;0,1,IF(Games[[#This Row],[MOV]]=0,0.5,0))</f>
        <v>0</v>
      </c>
      <c r="W250" s="4">
        <f>((ABS(Games[[#This Row],[MOV]])+5)^0.6)/(12+0.01*(ABS(Games[[#This Row],[PreGmRate]]-Games[[#This Row],[OppPreGmRate]])))*IF(Games[[#This Row],[OT]]=1,0.9,1)</f>
        <v>0.36374806588605779</v>
      </c>
      <c r="X250" s="7" cm="1">
        <f t="array" ref="X2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0" s="9">
        <f>MAX(kmin, kmax - 0.15 * MIN(Games[[#This Row],[GamesPlayed]], 82))</f>
        <v>72.7</v>
      </c>
      <c r="Z250" s="4">
        <f>Games[[#This Row],[K]]*Games[[#This Row],[POMult]]</f>
        <v>72.7</v>
      </c>
      <c r="AA250" s="4">
        <f>(Games[[#This Row],[Keff]]*Games[[#This Row],[MOVMult]])*(Games[[#This Row],[Result]]-Games[[#This Row],[ExpectedWin%]])</f>
        <v>-4.4008381623260986</v>
      </c>
      <c r="AB250" s="4">
        <f>Games[[#This Row],[PreGmRate]]+Games[[#This Row],[RatingChange]]</f>
        <v>1397.3979230535463</v>
      </c>
      <c r="AC250" s="2">
        <f>IF(Games[[#This Row],[Type]]="R",IF(Games[[#This Row],[Result]]&gt;0.5,1,0),0)</f>
        <v>0</v>
      </c>
      <c r="AD250" s="2">
        <f>IF(Games[[#This Row],[Type]]="R",IF(Games[[#This Row],[Result]]&lt;0.5,1,0),0)</f>
        <v>1</v>
      </c>
      <c r="AE250" s="2">
        <f>IF(AND(Games[[#This Row],[Type]]="P",Games[[#This Row],[Round]]=1),IF(Games[[#This Row],[Result]]&gt;0.5,1,0),0)</f>
        <v>0</v>
      </c>
      <c r="AF250" s="2">
        <f>IF(AND(Games[[#This Row],[Type]]="P",Games[[#This Row],[Round]]=1),IF(Games[[#This Row],[Result]]&lt;0.5,1,0),0)</f>
        <v>0</v>
      </c>
      <c r="AG250" s="2">
        <f>IF(AND(Games[[#This Row],[Type]]="P",Games[[#This Row],[Round]]=2),IF(Games[[#This Row],[Result]]&gt;0.5,1,0),0)</f>
        <v>0</v>
      </c>
      <c r="AH250" s="2">
        <f>IF(AND(Games[[#This Row],[Type]]="P",Games[[#This Row],[Round]]=2),IF(Games[[#This Row],[Result]]&lt;0.5,1,0),0)</f>
        <v>0</v>
      </c>
      <c r="AI250" s="2">
        <f>IF(AND(Games[[#This Row],[Type]]="P",Games[[#This Row],[Round]]=3),IF(Games[[#This Row],[Result]]&gt;0.5,1,0),0)</f>
        <v>0</v>
      </c>
      <c r="AJ250" s="2">
        <f>IF(AND(Games[[#This Row],[Type]]="P",Games[[#This Row],[Round]]=3),IF(Games[[#This Row],[Result]]&lt;0.5,1,0),0)</f>
        <v>0</v>
      </c>
      <c r="AK250" s="2">
        <f>IF(AND(Games[[#This Row],[Type]]="P",Games[[#This Row],[Round]]=4),IF(Games[[#This Row],[Result]]&gt;0.5,1,0),0)</f>
        <v>0</v>
      </c>
      <c r="AL250" s="2">
        <f>IF(AND(Games[[#This Row],[Type]]="P",Games[[#This Row],[Round]]=4),IF(Games[[#This Row],[Result]]&lt;0.5,1,0),0)</f>
        <v>0</v>
      </c>
    </row>
    <row r="251" spans="1:38" x14ac:dyDescent="0.35">
      <c r="A251" s="10">
        <v>44423</v>
      </c>
      <c r="B251" s="2">
        <v>2021</v>
      </c>
      <c r="C251" s="2">
        <f>COUNTIFS(Games[Team],Games[[#This Row],[Team]],Games[Season],Games[[#This Row],[Season]],Games[Date],"&lt;=" &amp; Games[[#This Row],[Date]])</f>
        <v>20</v>
      </c>
      <c r="D251" s="2" t="s">
        <v>79</v>
      </c>
      <c r="E251" s="2" t="s">
        <v>80</v>
      </c>
      <c r="F251" s="1" t="s">
        <v>67</v>
      </c>
      <c r="G251" s="1" t="s">
        <v>60</v>
      </c>
      <c r="H251" s="1" t="s">
        <v>82</v>
      </c>
      <c r="I251" s="2" cm="1">
        <f t="array" ref="I251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51" s="2" cm="1">
        <f t="array" ref="J251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51" s="2">
        <f>Games[[#This Row],[DaysOff]]-Games[[#This Row],[OppDaysOff]]</f>
        <v>0</v>
      </c>
      <c r="L251" s="2">
        <f>Games[[#This Row],[OppDaysOff]]-Games[[#This Row],[DaysOff]]</f>
        <v>0</v>
      </c>
      <c r="M251" s="1">
        <f>MAX(-16, MIN(16, Games[[#This Row],[RestDiff]]*8))</f>
        <v>0</v>
      </c>
      <c r="N251" s="1">
        <f>MAX(-16, MIN(16, Games[[#This Row],[OppRestDiff]]*8))</f>
        <v>0</v>
      </c>
      <c r="O251" s="4" cm="1">
        <f t="array" ref="O2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1597.6979750354521</v>
      </c>
      <c r="P251" s="4" cm="1">
        <f t="array" ref="P2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1401.7987612158724</v>
      </c>
      <c r="Q251" s="4">
        <f>1/(1+10^(((Games[[#This Row],[OppPreGmRate]]+IF(Games[[#This Row],[HomeAway]]="A",HCA,0)+Games[[#This Row],[OppRestAdj]])-(Games[[#This Row],[PreGmRate]]+IF(Games[[#This Row],[HomeAway]]="H",HCA,0)+Games[[#This Row],[RestAdj]]))/400))</f>
        <v>0.83358200154569129</v>
      </c>
      <c r="R251" s="1">
        <v>88</v>
      </c>
      <c r="S251" s="1">
        <v>78</v>
      </c>
      <c r="T251" s="1">
        <v>0</v>
      </c>
      <c r="U251" s="1">
        <f>Games[[#This Row],[PointsFor]]-Games[[#This Row],[PointsAgainst]]</f>
        <v>10</v>
      </c>
      <c r="V251" s="1">
        <f>IF(Games[[#This Row],[MOV]]&gt;0,1,IF(Games[[#This Row],[MOV]]=0,0.5,0))</f>
        <v>1</v>
      </c>
      <c r="W251" s="4">
        <f>((ABS(Games[[#This Row],[MOV]])+5)^0.6)/(12+0.01*(ABS(Games[[#This Row],[PreGmRate]]-Games[[#This Row],[OppPreGmRate]])))*IF(Games[[#This Row],[OT]]=1,0.9,1)</f>
        <v>0.36374806588605779</v>
      </c>
      <c r="X251" s="7" cm="1">
        <f t="array" ref="X2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1" s="9">
        <f>MAX(kmin, kmax - 0.15 * MIN(Games[[#This Row],[GamesPlayed]], 82))</f>
        <v>73</v>
      </c>
      <c r="Z251" s="4">
        <f>Games[[#This Row],[K]]*Games[[#This Row],[POMult]]</f>
        <v>73</v>
      </c>
      <c r="AA251" s="4">
        <f>(Games[[#This Row],[Keff]]*Games[[#This Row],[MOVMult]])*(Games[[#This Row],[Result]]-Games[[#This Row],[ExpectedWin%]])</f>
        <v>4.4189984298460141</v>
      </c>
      <c r="AB251" s="4">
        <f>Games[[#This Row],[PreGmRate]]+Games[[#This Row],[RatingChange]]</f>
        <v>1602.1169734652981</v>
      </c>
      <c r="AC251" s="2">
        <f>IF(Games[[#This Row],[Type]]="R",IF(Games[[#This Row],[Result]]&gt;0.5,1,0),0)</f>
        <v>1</v>
      </c>
      <c r="AD251" s="2">
        <f>IF(Games[[#This Row],[Type]]="R",IF(Games[[#This Row],[Result]]&lt;0.5,1,0),0)</f>
        <v>0</v>
      </c>
      <c r="AE251" s="2">
        <f>IF(AND(Games[[#This Row],[Type]]="P",Games[[#This Row],[Round]]=1),IF(Games[[#This Row],[Result]]&gt;0.5,1,0),0)</f>
        <v>0</v>
      </c>
      <c r="AF251" s="2">
        <f>IF(AND(Games[[#This Row],[Type]]="P",Games[[#This Row],[Round]]=1),IF(Games[[#This Row],[Result]]&lt;0.5,1,0),0)</f>
        <v>0</v>
      </c>
      <c r="AG251" s="2">
        <f>IF(AND(Games[[#This Row],[Type]]="P",Games[[#This Row],[Round]]=2),IF(Games[[#This Row],[Result]]&gt;0.5,1,0),0)</f>
        <v>0</v>
      </c>
      <c r="AH251" s="2">
        <f>IF(AND(Games[[#This Row],[Type]]="P",Games[[#This Row],[Round]]=2),IF(Games[[#This Row],[Result]]&lt;0.5,1,0),0)</f>
        <v>0</v>
      </c>
      <c r="AI251" s="2">
        <f>IF(AND(Games[[#This Row],[Type]]="P",Games[[#This Row],[Round]]=3),IF(Games[[#This Row],[Result]]&gt;0.5,1,0),0)</f>
        <v>0</v>
      </c>
      <c r="AJ251" s="2">
        <f>IF(AND(Games[[#This Row],[Type]]="P",Games[[#This Row],[Round]]=3),IF(Games[[#This Row],[Result]]&lt;0.5,1,0),0)</f>
        <v>0</v>
      </c>
      <c r="AK251" s="2">
        <f>IF(AND(Games[[#This Row],[Type]]="P",Games[[#This Row],[Round]]=4),IF(Games[[#This Row],[Result]]&gt;0.5,1,0),0)</f>
        <v>0</v>
      </c>
      <c r="AL251" s="2">
        <f>IF(AND(Games[[#This Row],[Type]]="P",Games[[#This Row],[Round]]=4),IF(Games[[#This Row],[Result]]&lt;0.5,1,0),0)</f>
        <v>0</v>
      </c>
    </row>
    <row r="252" spans="1:38" x14ac:dyDescent="0.35">
      <c r="A252" s="10">
        <v>44423</v>
      </c>
      <c r="B252" s="2">
        <v>2021</v>
      </c>
      <c r="C252" s="2">
        <f>COUNTIFS(Games[Team],Games[[#This Row],[Team]],Games[Season],Games[[#This Row],[Season]],Games[Date],"&lt;=" &amp; Games[[#This Row],[Date]])</f>
        <v>20</v>
      </c>
      <c r="D252" s="2" t="s">
        <v>79</v>
      </c>
      <c r="E252" s="2" t="s">
        <v>80</v>
      </c>
      <c r="F252" s="1" t="s">
        <v>77</v>
      </c>
      <c r="G252" s="1" t="s">
        <v>40</v>
      </c>
      <c r="H252" s="1" t="s">
        <v>81</v>
      </c>
      <c r="I252" s="2" cm="1">
        <f t="array" ref="I252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52" s="2" cm="1">
        <f t="array" ref="J252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52" s="2">
        <f>Games[[#This Row],[DaysOff]]-Games[[#This Row],[OppDaysOff]]</f>
        <v>0</v>
      </c>
      <c r="L252" s="2">
        <f>Games[[#This Row],[OppDaysOff]]-Games[[#This Row],[DaysOff]]</f>
        <v>0</v>
      </c>
      <c r="M252" s="1">
        <f>MAX(-16, MIN(16, Games[[#This Row],[RestDiff]]*8))</f>
        <v>0</v>
      </c>
      <c r="N252" s="1">
        <f>MAX(-16, MIN(16, Games[[#This Row],[OppRestDiff]]*8))</f>
        <v>0</v>
      </c>
      <c r="O252" s="4" cm="1">
        <f t="array" ref="O2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1373.5629639742479</v>
      </c>
      <c r="P252" s="4" cm="1">
        <f t="array" ref="P2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1486.0185064502073</v>
      </c>
      <c r="Q252" s="4">
        <f>1/(1+10^(((Games[[#This Row],[OppPreGmRate]]+IF(Games[[#This Row],[HomeAway]]="A",HCA,0)+Games[[#This Row],[OppRestAdj]])-(Games[[#This Row],[PreGmRate]]+IF(Games[[#This Row],[HomeAway]]="H",HCA,0)+Games[[#This Row],[RestAdj]]))/400))</f>
        <v>0.24399707478791052</v>
      </c>
      <c r="R252" s="1">
        <v>81</v>
      </c>
      <c r="S252" s="1">
        <v>92</v>
      </c>
      <c r="T252" s="1">
        <v>0</v>
      </c>
      <c r="U252" s="1">
        <f>Games[[#This Row],[PointsFor]]-Games[[#This Row],[PointsAgainst]]</f>
        <v>-11</v>
      </c>
      <c r="V252" s="1">
        <f>IF(Games[[#This Row],[MOV]]&gt;0,1,IF(Games[[#This Row],[MOV]]=0,0.5,0))</f>
        <v>0</v>
      </c>
      <c r="W252" s="4">
        <f>((ABS(Games[[#This Row],[MOV]])+5)^0.6)/(12+0.01*(ABS(Games[[#This Row],[PreGmRate]]-Games[[#This Row],[OppPreGmRate]])))*IF(Games[[#This Row],[OT]]=1,0.9,1)</f>
        <v>0.40214936599943962</v>
      </c>
      <c r="X252" s="7" cm="1">
        <f t="array" ref="X2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2" s="9">
        <f>MAX(kmin, kmax - 0.15 * MIN(Games[[#This Row],[GamesPlayed]], 82))</f>
        <v>73</v>
      </c>
      <c r="Z252" s="4">
        <f>Games[[#This Row],[K]]*Games[[#This Row],[POMult]]</f>
        <v>73</v>
      </c>
      <c r="AA252" s="4">
        <f>(Games[[#This Row],[Keff]]*Games[[#This Row],[MOVMult]])*(Games[[#This Row],[Result]]-Games[[#This Row],[ExpectedWin%]])</f>
        <v>-7.1629986320123527</v>
      </c>
      <c r="AB252" s="4">
        <f>Games[[#This Row],[PreGmRate]]+Games[[#This Row],[RatingChange]]</f>
        <v>1366.3999653422354</v>
      </c>
      <c r="AC252" s="2">
        <f>IF(Games[[#This Row],[Type]]="R",IF(Games[[#This Row],[Result]]&gt;0.5,1,0),0)</f>
        <v>0</v>
      </c>
      <c r="AD252" s="2">
        <f>IF(Games[[#This Row],[Type]]="R",IF(Games[[#This Row],[Result]]&lt;0.5,1,0),0)</f>
        <v>1</v>
      </c>
      <c r="AE252" s="2">
        <f>IF(AND(Games[[#This Row],[Type]]="P",Games[[#This Row],[Round]]=1),IF(Games[[#This Row],[Result]]&gt;0.5,1,0),0)</f>
        <v>0</v>
      </c>
      <c r="AF252" s="2">
        <f>IF(AND(Games[[#This Row],[Type]]="P",Games[[#This Row],[Round]]=1),IF(Games[[#This Row],[Result]]&lt;0.5,1,0),0)</f>
        <v>0</v>
      </c>
      <c r="AG252" s="2">
        <f>IF(AND(Games[[#This Row],[Type]]="P",Games[[#This Row],[Round]]=2),IF(Games[[#This Row],[Result]]&gt;0.5,1,0),0)</f>
        <v>0</v>
      </c>
      <c r="AH252" s="2">
        <f>IF(AND(Games[[#This Row],[Type]]="P",Games[[#This Row],[Round]]=2),IF(Games[[#This Row],[Result]]&lt;0.5,1,0),0)</f>
        <v>0</v>
      </c>
      <c r="AI252" s="2">
        <f>IF(AND(Games[[#This Row],[Type]]="P",Games[[#This Row],[Round]]=3),IF(Games[[#This Row],[Result]]&gt;0.5,1,0),0)</f>
        <v>0</v>
      </c>
      <c r="AJ252" s="2">
        <f>IF(AND(Games[[#This Row],[Type]]="P",Games[[#This Row],[Round]]=3),IF(Games[[#This Row],[Result]]&lt;0.5,1,0),0)</f>
        <v>0</v>
      </c>
      <c r="AK252" s="2">
        <f>IF(AND(Games[[#This Row],[Type]]="P",Games[[#This Row],[Round]]=4),IF(Games[[#This Row],[Result]]&gt;0.5,1,0),0)</f>
        <v>0</v>
      </c>
      <c r="AL252" s="2">
        <f>IF(AND(Games[[#This Row],[Type]]="P",Games[[#This Row],[Round]]=4),IF(Games[[#This Row],[Result]]&lt;0.5,1,0),0)</f>
        <v>0</v>
      </c>
    </row>
    <row r="253" spans="1:38" x14ac:dyDescent="0.35">
      <c r="A253" s="10">
        <v>44423</v>
      </c>
      <c r="B253" s="2">
        <v>2021</v>
      </c>
      <c r="C253" s="2">
        <f>COUNTIFS(Games[Team],Games[[#This Row],[Team]],Games[Season],Games[[#This Row],[Season]],Games[Date],"&lt;=" &amp; Games[[#This Row],[Date]])</f>
        <v>20</v>
      </c>
      <c r="D253" s="2" t="s">
        <v>79</v>
      </c>
      <c r="E253" s="2" t="s">
        <v>80</v>
      </c>
      <c r="F253" s="1" t="s">
        <v>40</v>
      </c>
      <c r="G253" s="1" t="s">
        <v>77</v>
      </c>
      <c r="H253" s="1" t="s">
        <v>82</v>
      </c>
      <c r="I253" s="2" cm="1">
        <f t="array" ref="I253">IFERROR(
    Games[[#This Row],[Date]]
    - LOOKUP(
        2,
        1/((Games[Team]=Games[[#This Row],[Team]]) * (Games[Date] &lt; Games[[#This Row],[Date]])),
        Games[Date]
    )
    - 1,
Games[[#This Row],[Date]]-$A$2)</f>
        <v>34</v>
      </c>
      <c r="J253" s="2" cm="1">
        <f t="array" ref="J253">IFERROR(
    Games[[#This Row],[Date]]
    - LOOKUP(
        2,
        1/((Games[Opponent]=Games[[#This Row],[Opponent]]) * (Games[Date] &lt; Games[[#This Row],[Date]])),
        Games[Date]
    )
    - 1,
Games[[#This Row],[Date]]-$A$2)</f>
        <v>34</v>
      </c>
      <c r="K253" s="2">
        <f>Games[[#This Row],[DaysOff]]-Games[[#This Row],[OppDaysOff]]</f>
        <v>0</v>
      </c>
      <c r="L253" s="2">
        <f>Games[[#This Row],[OppDaysOff]]-Games[[#This Row],[DaysOff]]</f>
        <v>0</v>
      </c>
      <c r="M253" s="1">
        <f>MAX(-16, MIN(16, Games[[#This Row],[RestDiff]]*8))</f>
        <v>0</v>
      </c>
      <c r="N253" s="1">
        <f>MAX(-16, MIN(16, Games[[#This Row],[OppRestDiff]]*8))</f>
        <v>0</v>
      </c>
      <c r="O253" s="4" cm="1">
        <f t="array" ref="O2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1486.0185064502073</v>
      </c>
      <c r="P253" s="4" cm="1">
        <f t="array" ref="P2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1373.5629639742479</v>
      </c>
      <c r="Q253" s="4">
        <f>1/(1+10^(((Games[[#This Row],[OppPreGmRate]]+IF(Games[[#This Row],[HomeAway]]="A",HCA,0)+Games[[#This Row],[OppRestAdj]])-(Games[[#This Row],[PreGmRate]]+IF(Games[[#This Row],[HomeAway]]="H",HCA,0)+Games[[#This Row],[RestAdj]]))/400))</f>
        <v>0.75600292521208945</v>
      </c>
      <c r="R253" s="1">
        <v>92</v>
      </c>
      <c r="S253" s="1">
        <v>81</v>
      </c>
      <c r="T253" s="1">
        <v>0</v>
      </c>
      <c r="U253" s="1">
        <f>Games[[#This Row],[PointsFor]]-Games[[#This Row],[PointsAgainst]]</f>
        <v>11</v>
      </c>
      <c r="V253" s="1">
        <f>IF(Games[[#This Row],[MOV]]&gt;0,1,IF(Games[[#This Row],[MOV]]=0,0.5,0))</f>
        <v>1</v>
      </c>
      <c r="W253" s="4">
        <f>((ABS(Games[[#This Row],[MOV]])+5)^0.6)/(12+0.01*(ABS(Games[[#This Row],[PreGmRate]]-Games[[#This Row],[OppPreGmRate]])))*IF(Games[[#This Row],[OT]]=1,0.9,1)</f>
        <v>0.40214936599943962</v>
      </c>
      <c r="X253" s="7" cm="1">
        <f t="array" ref="X2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3" s="9">
        <f>MAX(kmin, kmax - 0.15 * MIN(Games[[#This Row],[GamesPlayed]], 82))</f>
        <v>73</v>
      </c>
      <c r="Z253" s="4">
        <f>Games[[#This Row],[K]]*Games[[#This Row],[POMult]]</f>
        <v>73</v>
      </c>
      <c r="AA253" s="4">
        <f>(Games[[#This Row],[Keff]]*Games[[#This Row],[MOVMult]])*(Games[[#This Row],[Result]]-Games[[#This Row],[ExpectedWin%]])</f>
        <v>7.1629986320123535</v>
      </c>
      <c r="AB253" s="4">
        <f>Games[[#This Row],[PreGmRate]]+Games[[#This Row],[RatingChange]]</f>
        <v>1493.1815050822197</v>
      </c>
      <c r="AC253" s="2">
        <f>IF(Games[[#This Row],[Type]]="R",IF(Games[[#This Row],[Result]]&gt;0.5,1,0),0)</f>
        <v>1</v>
      </c>
      <c r="AD253" s="2">
        <f>IF(Games[[#This Row],[Type]]="R",IF(Games[[#This Row],[Result]]&lt;0.5,1,0),0)</f>
        <v>0</v>
      </c>
      <c r="AE253" s="2">
        <f>IF(AND(Games[[#This Row],[Type]]="P",Games[[#This Row],[Round]]=1),IF(Games[[#This Row],[Result]]&gt;0.5,1,0),0)</f>
        <v>0</v>
      </c>
      <c r="AF253" s="2">
        <f>IF(AND(Games[[#This Row],[Type]]="P",Games[[#This Row],[Round]]=1),IF(Games[[#This Row],[Result]]&lt;0.5,1,0),0)</f>
        <v>0</v>
      </c>
      <c r="AG253" s="2">
        <f>IF(AND(Games[[#This Row],[Type]]="P",Games[[#This Row],[Round]]=2),IF(Games[[#This Row],[Result]]&gt;0.5,1,0),0)</f>
        <v>0</v>
      </c>
      <c r="AH253" s="2">
        <f>IF(AND(Games[[#This Row],[Type]]="P",Games[[#This Row],[Round]]=2),IF(Games[[#This Row],[Result]]&lt;0.5,1,0),0)</f>
        <v>0</v>
      </c>
      <c r="AI253" s="2">
        <f>IF(AND(Games[[#This Row],[Type]]="P",Games[[#This Row],[Round]]=3),IF(Games[[#This Row],[Result]]&gt;0.5,1,0),0)</f>
        <v>0</v>
      </c>
      <c r="AJ253" s="2">
        <f>IF(AND(Games[[#This Row],[Type]]="P",Games[[#This Row],[Round]]=3),IF(Games[[#This Row],[Result]]&lt;0.5,1,0),0)</f>
        <v>0</v>
      </c>
      <c r="AK253" s="2">
        <f>IF(AND(Games[[#This Row],[Type]]="P",Games[[#This Row],[Round]]=4),IF(Games[[#This Row],[Result]]&gt;0.5,1,0),0)</f>
        <v>0</v>
      </c>
      <c r="AL253" s="2">
        <f>IF(AND(Games[[#This Row],[Type]]="P",Games[[#This Row],[Round]]=4),IF(Games[[#This Row],[Result]]&lt;0.5,1,0),0)</f>
        <v>0</v>
      </c>
    </row>
    <row r="254" spans="1:38" x14ac:dyDescent="0.35">
      <c r="A254" s="10">
        <v>44425</v>
      </c>
      <c r="B254" s="2">
        <v>2021</v>
      </c>
      <c r="C254" s="2">
        <f>COUNTIFS(Games[Team],Games[[#This Row],[Team]],Games[Season],Games[[#This Row],[Season]],Games[Date],"&lt;=" &amp; Games[[#This Row],[Date]])</f>
        <v>23</v>
      </c>
      <c r="D254" s="2" t="s">
        <v>79</v>
      </c>
      <c r="E254" s="2" t="s">
        <v>80</v>
      </c>
      <c r="F254" s="1" t="s">
        <v>84</v>
      </c>
      <c r="G254" s="1" t="s">
        <v>75</v>
      </c>
      <c r="H254" s="1" t="s">
        <v>81</v>
      </c>
      <c r="I254" s="2" cm="1">
        <f t="array" ref="I2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4" s="2" cm="1">
        <f t="array" ref="J25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4" s="2">
        <f>Games[[#This Row],[DaysOff]]-Games[[#This Row],[OppDaysOff]]</f>
        <v>0</v>
      </c>
      <c r="L254" s="2">
        <f>Games[[#This Row],[OppDaysOff]]-Games[[#This Row],[DaysOff]]</f>
        <v>0</v>
      </c>
      <c r="M254" s="1">
        <f>MAX(-16, MIN(16, Games[[#This Row],[RestDiff]]*8))</f>
        <v>0</v>
      </c>
      <c r="N254" s="1">
        <f>MAX(-16, MIN(16, Games[[#This Row],[OppRestDiff]]*8))</f>
        <v>0</v>
      </c>
      <c r="O254" s="4" cm="1">
        <f t="array" ref="O2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1459.002993490413</v>
      </c>
      <c r="P254" s="4" cm="1">
        <f t="array" ref="P2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1541.2639174313026</v>
      </c>
      <c r="Q254" s="4">
        <f>1/(1+10^(((Games[[#This Row],[OppPreGmRate]]+IF(Games[[#This Row],[HomeAway]]="A",HCA,0)+Games[[#This Row],[OppRestAdj]])-(Games[[#This Row],[PreGmRate]]+IF(Games[[#This Row],[HomeAway]]="H",HCA,0)+Games[[#This Row],[RestAdj]]))/400))</f>
        <v>0.27746424822346871</v>
      </c>
      <c r="R254" s="1">
        <v>80</v>
      </c>
      <c r="S254" s="1">
        <v>76</v>
      </c>
      <c r="T254" s="1">
        <v>0</v>
      </c>
      <c r="U254" s="1">
        <f>Games[[#This Row],[PointsFor]]-Games[[#This Row],[PointsAgainst]]</f>
        <v>4</v>
      </c>
      <c r="V254" s="1">
        <f>IF(Games[[#This Row],[MOV]]&gt;0,1,IF(Games[[#This Row],[MOV]]=0,0.5,0))</f>
        <v>1</v>
      </c>
      <c r="W254" s="4">
        <f>((ABS(Games[[#This Row],[MOV]])+5)^0.6)/(12+0.01*(ABS(Games[[#This Row],[PreGmRate]]-Games[[#This Row],[OppPreGmRate]])))*IF(Games[[#This Row],[OT]]=1,0.9,1)</f>
        <v>0.29145338121672587</v>
      </c>
      <c r="X254" s="7" cm="1">
        <f t="array" ref="X2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4" s="9">
        <f>MAX(kmin, kmax - 0.15 * MIN(Games[[#This Row],[GamesPlayed]], 82))</f>
        <v>72.55</v>
      </c>
      <c r="Z254" s="4">
        <f>Games[[#This Row],[K]]*Games[[#This Row],[POMult]]</f>
        <v>72.55</v>
      </c>
      <c r="AA254" s="4">
        <f>(Games[[#This Row],[Keff]]*Games[[#This Row],[MOVMult]])*(Games[[#This Row],[Result]]-Games[[#This Row],[ExpectedWin%]])</f>
        <v>15.277977147525089</v>
      </c>
      <c r="AB254" s="4">
        <f>Games[[#This Row],[PreGmRate]]+Games[[#This Row],[RatingChange]]</f>
        <v>1474.280970637938</v>
      </c>
      <c r="AC254" s="2">
        <f>IF(Games[[#This Row],[Type]]="R",IF(Games[[#This Row],[Result]]&gt;0.5,1,0),0)</f>
        <v>1</v>
      </c>
      <c r="AD254" s="2">
        <f>IF(Games[[#This Row],[Type]]="R",IF(Games[[#This Row],[Result]]&lt;0.5,1,0),0)</f>
        <v>0</v>
      </c>
      <c r="AE254" s="2">
        <f>IF(AND(Games[[#This Row],[Type]]="P",Games[[#This Row],[Round]]=1),IF(Games[[#This Row],[Result]]&gt;0.5,1,0),0)</f>
        <v>0</v>
      </c>
      <c r="AF254" s="2">
        <f>IF(AND(Games[[#This Row],[Type]]="P",Games[[#This Row],[Round]]=1),IF(Games[[#This Row],[Result]]&lt;0.5,1,0),0)</f>
        <v>0</v>
      </c>
      <c r="AG254" s="2">
        <f>IF(AND(Games[[#This Row],[Type]]="P",Games[[#This Row],[Round]]=2),IF(Games[[#This Row],[Result]]&gt;0.5,1,0),0)</f>
        <v>0</v>
      </c>
      <c r="AH254" s="2">
        <f>IF(AND(Games[[#This Row],[Type]]="P",Games[[#This Row],[Round]]=2),IF(Games[[#This Row],[Result]]&lt;0.5,1,0),0)</f>
        <v>0</v>
      </c>
      <c r="AI254" s="2">
        <f>IF(AND(Games[[#This Row],[Type]]="P",Games[[#This Row],[Round]]=3),IF(Games[[#This Row],[Result]]&gt;0.5,1,0),0)</f>
        <v>0</v>
      </c>
      <c r="AJ254" s="2">
        <f>IF(AND(Games[[#This Row],[Type]]="P",Games[[#This Row],[Round]]=3),IF(Games[[#This Row],[Result]]&lt;0.5,1,0),0)</f>
        <v>0</v>
      </c>
      <c r="AK254" s="2">
        <f>IF(AND(Games[[#This Row],[Type]]="P",Games[[#This Row],[Round]]=4),IF(Games[[#This Row],[Result]]&gt;0.5,1,0),0)</f>
        <v>0</v>
      </c>
      <c r="AL254" s="2">
        <f>IF(AND(Games[[#This Row],[Type]]="P",Games[[#This Row],[Round]]=4),IF(Games[[#This Row],[Result]]&lt;0.5,1,0),0)</f>
        <v>0</v>
      </c>
    </row>
    <row r="255" spans="1:38" x14ac:dyDescent="0.35">
      <c r="A255" s="10">
        <v>44425</v>
      </c>
      <c r="B255" s="2">
        <v>2021</v>
      </c>
      <c r="C255" s="2">
        <f>COUNTIFS(Games[Team],Games[[#This Row],[Team]],Games[Season],Games[[#This Row],[Season]],Games[Date],"&lt;=" &amp; Games[[#This Row],[Date]])</f>
        <v>22</v>
      </c>
      <c r="D255" s="2" t="s">
        <v>79</v>
      </c>
      <c r="E255" s="2" t="s">
        <v>80</v>
      </c>
      <c r="F255" s="1" t="s">
        <v>75</v>
      </c>
      <c r="G255" s="1" t="s">
        <v>84</v>
      </c>
      <c r="H255" s="1" t="s">
        <v>82</v>
      </c>
      <c r="I255" s="2" cm="1">
        <f t="array" ref="I25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5" s="2" cm="1">
        <f t="array" ref="J2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5" s="2">
        <f>Games[[#This Row],[DaysOff]]-Games[[#This Row],[OppDaysOff]]</f>
        <v>0</v>
      </c>
      <c r="L255" s="2">
        <f>Games[[#This Row],[OppDaysOff]]-Games[[#This Row],[DaysOff]]</f>
        <v>0</v>
      </c>
      <c r="M255" s="1">
        <f>MAX(-16, MIN(16, Games[[#This Row],[RestDiff]]*8))</f>
        <v>0</v>
      </c>
      <c r="N255" s="1">
        <f>MAX(-16, MIN(16, Games[[#This Row],[OppRestDiff]]*8))</f>
        <v>0</v>
      </c>
      <c r="O255" s="4" cm="1">
        <f t="array" ref="O2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1541.2639174313026</v>
      </c>
      <c r="P255" s="4" cm="1">
        <f t="array" ref="P2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1459.002993490413</v>
      </c>
      <c r="Q255" s="4">
        <f>1/(1+10^(((Games[[#This Row],[OppPreGmRate]]+IF(Games[[#This Row],[HomeAway]]="A",HCA,0)+Games[[#This Row],[OppRestAdj]])-(Games[[#This Row],[PreGmRate]]+IF(Games[[#This Row],[HomeAway]]="H",HCA,0)+Games[[#This Row],[RestAdj]]))/400))</f>
        <v>0.72253575177653129</v>
      </c>
      <c r="R255" s="1">
        <v>76</v>
      </c>
      <c r="S255" s="1">
        <v>80</v>
      </c>
      <c r="T255" s="1">
        <v>0</v>
      </c>
      <c r="U255" s="1">
        <f>Games[[#This Row],[PointsFor]]-Games[[#This Row],[PointsAgainst]]</f>
        <v>-4</v>
      </c>
      <c r="V255" s="1">
        <f>IF(Games[[#This Row],[MOV]]&gt;0,1,IF(Games[[#This Row],[MOV]]=0,0.5,0))</f>
        <v>0</v>
      </c>
      <c r="W255" s="4">
        <f>((ABS(Games[[#This Row],[MOV]])+5)^0.6)/(12+0.01*(ABS(Games[[#This Row],[PreGmRate]]-Games[[#This Row],[OppPreGmRate]])))*IF(Games[[#This Row],[OT]]=1,0.9,1)</f>
        <v>0.29145338121672587</v>
      </c>
      <c r="X255" s="7" cm="1">
        <f t="array" ref="X2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5" s="9">
        <f>MAX(kmin, kmax - 0.15 * MIN(Games[[#This Row],[GamesPlayed]], 82))</f>
        <v>72.7</v>
      </c>
      <c r="Z255" s="4">
        <f>Games[[#This Row],[K]]*Games[[#This Row],[POMult]]</f>
        <v>72.7</v>
      </c>
      <c r="AA255" s="4">
        <f>(Games[[#This Row],[Keff]]*Games[[#This Row],[MOVMult]])*(Games[[#This Row],[Result]]-Games[[#This Row],[ExpectedWin%]])</f>
        <v>-15.309564970710875</v>
      </c>
      <c r="AB255" s="4">
        <f>Games[[#This Row],[PreGmRate]]+Games[[#This Row],[RatingChange]]</f>
        <v>1525.9543524605917</v>
      </c>
      <c r="AC255" s="2">
        <f>IF(Games[[#This Row],[Type]]="R",IF(Games[[#This Row],[Result]]&gt;0.5,1,0),0)</f>
        <v>0</v>
      </c>
      <c r="AD255" s="2">
        <f>IF(Games[[#This Row],[Type]]="R",IF(Games[[#This Row],[Result]]&lt;0.5,1,0),0)</f>
        <v>1</v>
      </c>
      <c r="AE255" s="2">
        <f>IF(AND(Games[[#This Row],[Type]]="P",Games[[#This Row],[Round]]=1),IF(Games[[#This Row],[Result]]&gt;0.5,1,0),0)</f>
        <v>0</v>
      </c>
      <c r="AF255" s="2">
        <f>IF(AND(Games[[#This Row],[Type]]="P",Games[[#This Row],[Round]]=1),IF(Games[[#This Row],[Result]]&lt;0.5,1,0),0)</f>
        <v>0</v>
      </c>
      <c r="AG255" s="2">
        <f>IF(AND(Games[[#This Row],[Type]]="P",Games[[#This Row],[Round]]=2),IF(Games[[#This Row],[Result]]&gt;0.5,1,0),0)</f>
        <v>0</v>
      </c>
      <c r="AH255" s="2">
        <f>IF(AND(Games[[#This Row],[Type]]="P",Games[[#This Row],[Round]]=2),IF(Games[[#This Row],[Result]]&lt;0.5,1,0),0)</f>
        <v>0</v>
      </c>
      <c r="AI255" s="2">
        <f>IF(AND(Games[[#This Row],[Type]]="P",Games[[#This Row],[Round]]=3),IF(Games[[#This Row],[Result]]&gt;0.5,1,0),0)</f>
        <v>0</v>
      </c>
      <c r="AJ255" s="2">
        <f>IF(AND(Games[[#This Row],[Type]]="P",Games[[#This Row],[Round]]=3),IF(Games[[#This Row],[Result]]&lt;0.5,1,0),0)</f>
        <v>0</v>
      </c>
      <c r="AK255" s="2">
        <f>IF(AND(Games[[#This Row],[Type]]="P",Games[[#This Row],[Round]]=4),IF(Games[[#This Row],[Result]]&gt;0.5,1,0),0)</f>
        <v>0</v>
      </c>
      <c r="AL255" s="2">
        <f>IF(AND(Games[[#This Row],[Type]]="P",Games[[#This Row],[Round]]=4),IF(Games[[#This Row],[Result]]&lt;0.5,1,0),0)</f>
        <v>0</v>
      </c>
    </row>
    <row r="256" spans="1:38" x14ac:dyDescent="0.35">
      <c r="A256" s="10">
        <v>44425</v>
      </c>
      <c r="B256" s="2">
        <v>2021</v>
      </c>
      <c r="C256" s="2">
        <f>COUNTIFS(Games[Team],Games[[#This Row],[Team]],Games[Season],Games[[#This Row],[Season]],Games[Date],"&lt;=" &amp; Games[[#This Row],[Date]])</f>
        <v>21</v>
      </c>
      <c r="D256" s="2" t="s">
        <v>79</v>
      </c>
      <c r="E256" s="2" t="s">
        <v>80</v>
      </c>
      <c r="F256" s="1" t="s">
        <v>67</v>
      </c>
      <c r="G256" s="1" t="s">
        <v>74</v>
      </c>
      <c r="H256" s="1" t="s">
        <v>81</v>
      </c>
      <c r="I256" s="2" cm="1">
        <f t="array" ref="I2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6" s="2" cm="1">
        <f t="array" ref="J25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6" s="2">
        <f>Games[[#This Row],[DaysOff]]-Games[[#This Row],[OppDaysOff]]</f>
        <v>0</v>
      </c>
      <c r="L256" s="2">
        <f>Games[[#This Row],[OppDaysOff]]-Games[[#This Row],[DaysOff]]</f>
        <v>0</v>
      </c>
      <c r="M256" s="1">
        <f>MAX(-16, MIN(16, Games[[#This Row],[RestDiff]]*8))</f>
        <v>0</v>
      </c>
      <c r="N256" s="1">
        <f>MAX(-16, MIN(16, Games[[#This Row],[OppRestDiff]]*8))</f>
        <v>0</v>
      </c>
      <c r="O256" s="4" cm="1">
        <f t="array" ref="O2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1602.1169734652981</v>
      </c>
      <c r="P256" s="4" cm="1">
        <f t="array" ref="P2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1609.6339017798698</v>
      </c>
      <c r="Q256" s="4">
        <f>1/(1+10^(((Games[[#This Row],[OppPreGmRate]]+IF(Games[[#This Row],[HomeAway]]="A",HCA,0)+Games[[#This Row],[OppRestAdj]])-(Games[[#This Row],[PreGmRate]]+IF(Games[[#This Row],[HomeAway]]="H",HCA,0)+Games[[#This Row],[RestAdj]]))/400))</f>
        <v>0.37126032766003247</v>
      </c>
      <c r="R256" s="1">
        <v>60</v>
      </c>
      <c r="S256" s="1">
        <v>72</v>
      </c>
      <c r="T256" s="1">
        <v>0</v>
      </c>
      <c r="U256" s="1">
        <f>Games[[#This Row],[PointsFor]]-Games[[#This Row],[PointsAgainst]]</f>
        <v>-12</v>
      </c>
      <c r="V256" s="1">
        <f>IF(Games[[#This Row],[MOV]]&gt;0,1,IF(Games[[#This Row],[MOV]]=0,0.5,0))</f>
        <v>0</v>
      </c>
      <c r="W256" s="4">
        <f>((ABS(Games[[#This Row],[MOV]])+5)^0.6)/(12+0.01*(ABS(Games[[#This Row],[PreGmRate]]-Games[[#This Row],[OppPreGmRate]])))*IF(Games[[#This Row],[OT]]=1,0.9,1)</f>
        <v>0.45328998613364091</v>
      </c>
      <c r="X256" s="7" cm="1">
        <f t="array" ref="X2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6" s="9">
        <f>MAX(kmin, kmax - 0.15 * MIN(Games[[#This Row],[GamesPlayed]], 82))</f>
        <v>72.849999999999994</v>
      </c>
      <c r="Z256" s="4">
        <f>Games[[#This Row],[K]]*Games[[#This Row],[POMult]]</f>
        <v>72.849999999999994</v>
      </c>
      <c r="AA256" s="4">
        <f>(Games[[#This Row],[Keff]]*Games[[#This Row],[MOVMult]])*(Games[[#This Row],[Result]]-Games[[#This Row],[ExpectedWin%]])</f>
        <v>-12.25982369240351</v>
      </c>
      <c r="AB256" s="4">
        <f>Games[[#This Row],[PreGmRate]]+Games[[#This Row],[RatingChange]]</f>
        <v>1589.8571497728947</v>
      </c>
      <c r="AC256" s="2">
        <f>IF(Games[[#This Row],[Type]]="R",IF(Games[[#This Row],[Result]]&gt;0.5,1,0),0)</f>
        <v>0</v>
      </c>
      <c r="AD256" s="2">
        <f>IF(Games[[#This Row],[Type]]="R",IF(Games[[#This Row],[Result]]&lt;0.5,1,0),0)</f>
        <v>1</v>
      </c>
      <c r="AE256" s="2">
        <f>IF(AND(Games[[#This Row],[Type]]="P",Games[[#This Row],[Round]]=1),IF(Games[[#This Row],[Result]]&gt;0.5,1,0),0)</f>
        <v>0</v>
      </c>
      <c r="AF256" s="2">
        <f>IF(AND(Games[[#This Row],[Type]]="P",Games[[#This Row],[Round]]=1),IF(Games[[#This Row],[Result]]&lt;0.5,1,0),0)</f>
        <v>0</v>
      </c>
      <c r="AG256" s="2">
        <f>IF(AND(Games[[#This Row],[Type]]="P",Games[[#This Row],[Round]]=2),IF(Games[[#This Row],[Result]]&gt;0.5,1,0),0)</f>
        <v>0</v>
      </c>
      <c r="AH256" s="2">
        <f>IF(AND(Games[[#This Row],[Type]]="P",Games[[#This Row],[Round]]=2),IF(Games[[#This Row],[Result]]&lt;0.5,1,0),0)</f>
        <v>0</v>
      </c>
      <c r="AI256" s="2">
        <f>IF(AND(Games[[#This Row],[Type]]="P",Games[[#This Row],[Round]]=3),IF(Games[[#This Row],[Result]]&gt;0.5,1,0),0)</f>
        <v>0</v>
      </c>
      <c r="AJ256" s="2">
        <f>IF(AND(Games[[#This Row],[Type]]="P",Games[[#This Row],[Round]]=3),IF(Games[[#This Row],[Result]]&lt;0.5,1,0),0)</f>
        <v>0</v>
      </c>
      <c r="AK256" s="2">
        <f>IF(AND(Games[[#This Row],[Type]]="P",Games[[#This Row],[Round]]=4),IF(Games[[#This Row],[Result]]&gt;0.5,1,0),0)</f>
        <v>0</v>
      </c>
      <c r="AL256" s="2">
        <f>IF(AND(Games[[#This Row],[Type]]="P",Games[[#This Row],[Round]]=4),IF(Games[[#This Row],[Result]]&lt;0.5,1,0),0)</f>
        <v>0</v>
      </c>
    </row>
    <row r="257" spans="1:38" x14ac:dyDescent="0.35">
      <c r="A257" s="10">
        <v>44425</v>
      </c>
      <c r="B257" s="2">
        <v>2021</v>
      </c>
      <c r="C257" s="2">
        <f>COUNTIFS(Games[Team],Games[[#This Row],[Team]],Games[Season],Games[[#This Row],[Season]],Games[Date],"&lt;=" &amp; Games[[#This Row],[Date]])</f>
        <v>23</v>
      </c>
      <c r="D257" s="2" t="s">
        <v>79</v>
      </c>
      <c r="E257" s="2" t="s">
        <v>80</v>
      </c>
      <c r="F257" s="1" t="s">
        <v>74</v>
      </c>
      <c r="G257" s="1" t="s">
        <v>67</v>
      </c>
      <c r="H257" s="1" t="s">
        <v>82</v>
      </c>
      <c r="I257" s="2" cm="1">
        <f t="array" ref="I25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7" s="2" cm="1">
        <f t="array" ref="J2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7" s="2">
        <f>Games[[#This Row],[DaysOff]]-Games[[#This Row],[OppDaysOff]]</f>
        <v>0</v>
      </c>
      <c r="L257" s="2">
        <f>Games[[#This Row],[OppDaysOff]]-Games[[#This Row],[DaysOff]]</f>
        <v>0</v>
      </c>
      <c r="M257" s="1">
        <f>MAX(-16, MIN(16, Games[[#This Row],[RestDiff]]*8))</f>
        <v>0</v>
      </c>
      <c r="N257" s="1">
        <f>MAX(-16, MIN(16, Games[[#This Row],[OppRestDiff]]*8))</f>
        <v>0</v>
      </c>
      <c r="O257" s="4" cm="1">
        <f t="array" ref="O2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1609.6339017798698</v>
      </c>
      <c r="P257" s="4" cm="1">
        <f t="array" ref="P2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1602.1169734652981</v>
      </c>
      <c r="Q257" s="4">
        <f>1/(1+10^(((Games[[#This Row],[OppPreGmRate]]+IF(Games[[#This Row],[HomeAway]]="A",HCA,0)+Games[[#This Row],[OppRestAdj]])-(Games[[#This Row],[PreGmRate]]+IF(Games[[#This Row],[HomeAway]]="H",HCA,0)+Games[[#This Row],[RestAdj]]))/400))</f>
        <v>0.62873967233996764</v>
      </c>
      <c r="R257" s="1">
        <v>72</v>
      </c>
      <c r="S257" s="1">
        <v>60</v>
      </c>
      <c r="T257" s="1">
        <v>0</v>
      </c>
      <c r="U257" s="1">
        <f>Games[[#This Row],[PointsFor]]-Games[[#This Row],[PointsAgainst]]</f>
        <v>12</v>
      </c>
      <c r="V257" s="1">
        <f>IF(Games[[#This Row],[MOV]]&gt;0,1,IF(Games[[#This Row],[MOV]]=0,0.5,0))</f>
        <v>1</v>
      </c>
      <c r="W257" s="4">
        <f>((ABS(Games[[#This Row],[MOV]])+5)^0.6)/(12+0.01*(ABS(Games[[#This Row],[PreGmRate]]-Games[[#This Row],[OppPreGmRate]])))*IF(Games[[#This Row],[OT]]=1,0.9,1)</f>
        <v>0.45328998613364091</v>
      </c>
      <c r="X257" s="7" cm="1">
        <f t="array" ref="X2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7" s="9">
        <f>MAX(kmin, kmax - 0.15 * MIN(Games[[#This Row],[GamesPlayed]], 82))</f>
        <v>72.55</v>
      </c>
      <c r="Z257" s="4">
        <f>Games[[#This Row],[K]]*Games[[#This Row],[POMult]]</f>
        <v>72.55</v>
      </c>
      <c r="AA257" s="4">
        <f>(Games[[#This Row],[Keff]]*Games[[#This Row],[MOVMult]])*(Games[[#This Row],[Result]]-Games[[#This Row],[ExpectedWin%]])</f>
        <v>12.20933711577041</v>
      </c>
      <c r="AB257" s="4">
        <f>Games[[#This Row],[PreGmRate]]+Games[[#This Row],[RatingChange]]</f>
        <v>1621.8432388956403</v>
      </c>
      <c r="AC257" s="2">
        <f>IF(Games[[#This Row],[Type]]="R",IF(Games[[#This Row],[Result]]&gt;0.5,1,0),0)</f>
        <v>1</v>
      </c>
      <c r="AD257" s="2">
        <f>IF(Games[[#This Row],[Type]]="R",IF(Games[[#This Row],[Result]]&lt;0.5,1,0),0)</f>
        <v>0</v>
      </c>
      <c r="AE257" s="2">
        <f>IF(AND(Games[[#This Row],[Type]]="P",Games[[#This Row],[Round]]=1),IF(Games[[#This Row],[Result]]&gt;0.5,1,0),0)</f>
        <v>0</v>
      </c>
      <c r="AF257" s="2">
        <f>IF(AND(Games[[#This Row],[Type]]="P",Games[[#This Row],[Round]]=1),IF(Games[[#This Row],[Result]]&lt;0.5,1,0),0)</f>
        <v>0</v>
      </c>
      <c r="AG257" s="2">
        <f>IF(AND(Games[[#This Row],[Type]]="P",Games[[#This Row],[Round]]=2),IF(Games[[#This Row],[Result]]&gt;0.5,1,0),0)</f>
        <v>0</v>
      </c>
      <c r="AH257" s="2">
        <f>IF(AND(Games[[#This Row],[Type]]="P",Games[[#This Row],[Round]]=2),IF(Games[[#This Row],[Result]]&lt;0.5,1,0),0)</f>
        <v>0</v>
      </c>
      <c r="AI257" s="2">
        <f>IF(AND(Games[[#This Row],[Type]]="P",Games[[#This Row],[Round]]=3),IF(Games[[#This Row],[Result]]&gt;0.5,1,0),0)</f>
        <v>0</v>
      </c>
      <c r="AJ257" s="2">
        <f>IF(AND(Games[[#This Row],[Type]]="P",Games[[#This Row],[Round]]=3),IF(Games[[#This Row],[Result]]&lt;0.5,1,0),0)</f>
        <v>0</v>
      </c>
      <c r="AK257" s="2">
        <f>IF(AND(Games[[#This Row],[Type]]="P",Games[[#This Row],[Round]]=4),IF(Games[[#This Row],[Result]]&gt;0.5,1,0),0)</f>
        <v>0</v>
      </c>
      <c r="AL257" s="2">
        <f>IF(AND(Games[[#This Row],[Type]]="P",Games[[#This Row],[Round]]=4),IF(Games[[#This Row],[Result]]&lt;0.5,1,0),0)</f>
        <v>0</v>
      </c>
    </row>
    <row r="258" spans="1:38" x14ac:dyDescent="0.35">
      <c r="A258" s="10">
        <v>44425</v>
      </c>
      <c r="B258" s="2">
        <v>2021</v>
      </c>
      <c r="C258" s="2">
        <f>COUNTIFS(Games[Team],Games[[#This Row],[Team]],Games[Season],Games[[#This Row],[Season]],Games[Date],"&lt;=" &amp; Games[[#This Row],[Date]])</f>
        <v>21</v>
      </c>
      <c r="D258" s="2" t="s">
        <v>79</v>
      </c>
      <c r="E258" s="2" t="s">
        <v>80</v>
      </c>
      <c r="F258" s="1" t="s">
        <v>77</v>
      </c>
      <c r="G258" s="1" t="s">
        <v>63</v>
      </c>
      <c r="H258" s="1" t="s">
        <v>81</v>
      </c>
      <c r="I258" s="2" cm="1">
        <f t="array" ref="I25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8" s="2" cm="1">
        <f t="array" ref="J25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8" s="2">
        <f>Games[[#This Row],[DaysOff]]-Games[[#This Row],[OppDaysOff]]</f>
        <v>0</v>
      </c>
      <c r="L258" s="2">
        <f>Games[[#This Row],[OppDaysOff]]-Games[[#This Row],[DaysOff]]</f>
        <v>0</v>
      </c>
      <c r="M258" s="1">
        <f>MAX(-16, MIN(16, Games[[#This Row],[RestDiff]]*8))</f>
        <v>0</v>
      </c>
      <c r="N258" s="1">
        <f>MAX(-16, MIN(16, Games[[#This Row],[OppRestDiff]]*8))</f>
        <v>0</v>
      </c>
      <c r="O258" s="4" cm="1">
        <f t="array" ref="O2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1366.3999653422354</v>
      </c>
      <c r="P258" s="4" cm="1">
        <f t="array" ref="P2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1413.0625144013495</v>
      </c>
      <c r="Q258" s="4">
        <f>1/(1+10^(((Games[[#This Row],[OppPreGmRate]]+IF(Games[[#This Row],[HomeAway]]="A",HCA,0)+Games[[#This Row],[OppRestAdj]])-(Games[[#This Row],[PreGmRate]]+IF(Games[[#This Row],[HomeAway]]="H",HCA,0)+Games[[#This Row],[RestAdj]]))/400))</f>
        <v>0.32035211575619887</v>
      </c>
      <c r="R258" s="1">
        <v>80</v>
      </c>
      <c r="S258" s="1">
        <v>85</v>
      </c>
      <c r="T258" s="1">
        <v>1</v>
      </c>
      <c r="U258" s="1">
        <f>Games[[#This Row],[PointsFor]]-Games[[#This Row],[PointsAgainst]]</f>
        <v>-5</v>
      </c>
      <c r="V258" s="1">
        <f>IF(Games[[#This Row],[MOV]]&gt;0,1,IF(Games[[#This Row],[MOV]]=0,0.5,0))</f>
        <v>0</v>
      </c>
      <c r="W258" s="4">
        <f>((ABS(Games[[#This Row],[MOV]])+5)^0.6)/(12+0.01*(ABS(Games[[#This Row],[PreGmRate]]-Games[[#This Row],[OppPreGmRate]])))*IF(Games[[#This Row],[OT]]=1,0.9,1)</f>
        <v>0.28740452159131791</v>
      </c>
      <c r="X258" s="7" cm="1">
        <f t="array" ref="X2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8" s="9">
        <f>MAX(kmin, kmax - 0.15 * MIN(Games[[#This Row],[GamesPlayed]], 82))</f>
        <v>72.849999999999994</v>
      </c>
      <c r="Z258" s="4">
        <f>Games[[#This Row],[K]]*Games[[#This Row],[POMult]]</f>
        <v>72.849999999999994</v>
      </c>
      <c r="AA258" s="4">
        <f>(Games[[#This Row],[Keff]]*Games[[#This Row],[MOVMult]])*(Games[[#This Row],[Result]]-Games[[#This Row],[ExpectedWin%]])</f>
        <v>-6.7073466026009561</v>
      </c>
      <c r="AB258" s="4">
        <f>Games[[#This Row],[PreGmRate]]+Games[[#This Row],[RatingChange]]</f>
        <v>1359.6926187396346</v>
      </c>
      <c r="AC258" s="2">
        <f>IF(Games[[#This Row],[Type]]="R",IF(Games[[#This Row],[Result]]&gt;0.5,1,0),0)</f>
        <v>0</v>
      </c>
      <c r="AD258" s="2">
        <f>IF(Games[[#This Row],[Type]]="R",IF(Games[[#This Row],[Result]]&lt;0.5,1,0),0)</f>
        <v>1</v>
      </c>
      <c r="AE258" s="2">
        <f>IF(AND(Games[[#This Row],[Type]]="P",Games[[#This Row],[Round]]=1),IF(Games[[#This Row],[Result]]&gt;0.5,1,0),0)</f>
        <v>0</v>
      </c>
      <c r="AF258" s="2">
        <f>IF(AND(Games[[#This Row],[Type]]="P",Games[[#This Row],[Round]]=1),IF(Games[[#This Row],[Result]]&lt;0.5,1,0),0)</f>
        <v>0</v>
      </c>
      <c r="AG258" s="2">
        <f>IF(AND(Games[[#This Row],[Type]]="P",Games[[#This Row],[Round]]=2),IF(Games[[#This Row],[Result]]&gt;0.5,1,0),0)</f>
        <v>0</v>
      </c>
      <c r="AH258" s="2">
        <f>IF(AND(Games[[#This Row],[Type]]="P",Games[[#This Row],[Round]]=2),IF(Games[[#This Row],[Result]]&lt;0.5,1,0),0)</f>
        <v>0</v>
      </c>
      <c r="AI258" s="2">
        <f>IF(AND(Games[[#This Row],[Type]]="P",Games[[#This Row],[Round]]=3),IF(Games[[#This Row],[Result]]&gt;0.5,1,0),0)</f>
        <v>0</v>
      </c>
      <c r="AJ258" s="2">
        <f>IF(AND(Games[[#This Row],[Type]]="P",Games[[#This Row],[Round]]=3),IF(Games[[#This Row],[Result]]&lt;0.5,1,0),0)</f>
        <v>0</v>
      </c>
      <c r="AK258" s="2">
        <f>IF(AND(Games[[#This Row],[Type]]="P",Games[[#This Row],[Round]]=4),IF(Games[[#This Row],[Result]]&gt;0.5,1,0),0)</f>
        <v>0</v>
      </c>
      <c r="AL258" s="2">
        <f>IF(AND(Games[[#This Row],[Type]]="P",Games[[#This Row],[Round]]=4),IF(Games[[#This Row],[Result]]&lt;0.5,1,0),0)</f>
        <v>0</v>
      </c>
    </row>
    <row r="259" spans="1:38" x14ac:dyDescent="0.35">
      <c r="A259" s="10">
        <v>44425</v>
      </c>
      <c r="B259" s="2">
        <v>2021</v>
      </c>
      <c r="C259" s="2">
        <f>COUNTIFS(Games[Team],Games[[#This Row],[Team]],Games[Season],Games[[#This Row],[Season]],Games[Date],"&lt;=" &amp; Games[[#This Row],[Date]])</f>
        <v>21</v>
      </c>
      <c r="D259" s="2" t="s">
        <v>79</v>
      </c>
      <c r="E259" s="2" t="s">
        <v>80</v>
      </c>
      <c r="F259" s="1" t="s">
        <v>63</v>
      </c>
      <c r="G259" s="1" t="s">
        <v>77</v>
      </c>
      <c r="H259" s="1" t="s">
        <v>82</v>
      </c>
      <c r="I259" s="2" cm="1">
        <f t="array" ref="I25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59" s="2" cm="1">
        <f t="array" ref="J25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59" s="2">
        <f>Games[[#This Row],[DaysOff]]-Games[[#This Row],[OppDaysOff]]</f>
        <v>0</v>
      </c>
      <c r="L259" s="2">
        <f>Games[[#This Row],[OppDaysOff]]-Games[[#This Row],[DaysOff]]</f>
        <v>0</v>
      </c>
      <c r="M259" s="1">
        <f>MAX(-16, MIN(16, Games[[#This Row],[RestDiff]]*8))</f>
        <v>0</v>
      </c>
      <c r="N259" s="1">
        <f>MAX(-16, MIN(16, Games[[#This Row],[OppRestDiff]]*8))</f>
        <v>0</v>
      </c>
      <c r="O259" s="4" cm="1">
        <f t="array" ref="O2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1413.0625144013495</v>
      </c>
      <c r="P259" s="4" cm="1">
        <f t="array" ref="P2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1366.3999653422354</v>
      </c>
      <c r="Q259" s="4">
        <f>1/(1+10^(((Games[[#This Row],[OppPreGmRate]]+IF(Games[[#This Row],[HomeAway]]="A",HCA,0)+Games[[#This Row],[OppRestAdj]])-(Games[[#This Row],[PreGmRate]]+IF(Games[[#This Row],[HomeAway]]="H",HCA,0)+Games[[#This Row],[RestAdj]]))/400))</f>
        <v>0.67964788424380107</v>
      </c>
      <c r="R259" s="1">
        <v>85</v>
      </c>
      <c r="S259" s="1">
        <v>80</v>
      </c>
      <c r="T259" s="1">
        <v>1</v>
      </c>
      <c r="U259" s="1">
        <f>Games[[#This Row],[PointsFor]]-Games[[#This Row],[PointsAgainst]]</f>
        <v>5</v>
      </c>
      <c r="V259" s="1">
        <f>IF(Games[[#This Row],[MOV]]&gt;0,1,IF(Games[[#This Row],[MOV]]=0,0.5,0))</f>
        <v>1</v>
      </c>
      <c r="W259" s="4">
        <f>((ABS(Games[[#This Row],[MOV]])+5)^0.6)/(12+0.01*(ABS(Games[[#This Row],[PreGmRate]]-Games[[#This Row],[OppPreGmRate]])))*IF(Games[[#This Row],[OT]]=1,0.9,1)</f>
        <v>0.28740452159131791</v>
      </c>
      <c r="X259" s="7" cm="1">
        <f t="array" ref="X2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59" s="9">
        <f>MAX(kmin, kmax - 0.15 * MIN(Games[[#This Row],[GamesPlayed]], 82))</f>
        <v>72.849999999999994</v>
      </c>
      <c r="Z259" s="4">
        <f>Games[[#This Row],[K]]*Games[[#This Row],[POMult]]</f>
        <v>72.849999999999994</v>
      </c>
      <c r="AA259" s="4">
        <f>(Games[[#This Row],[Keff]]*Games[[#This Row],[MOVMult]])*(Games[[#This Row],[Result]]-Games[[#This Row],[ExpectedWin%]])</f>
        <v>6.7073466026009578</v>
      </c>
      <c r="AB259" s="4">
        <f>Games[[#This Row],[PreGmRate]]+Games[[#This Row],[RatingChange]]</f>
        <v>1419.7698610039504</v>
      </c>
      <c r="AC259" s="2">
        <f>IF(Games[[#This Row],[Type]]="R",IF(Games[[#This Row],[Result]]&gt;0.5,1,0),0)</f>
        <v>1</v>
      </c>
      <c r="AD259" s="2">
        <f>IF(Games[[#This Row],[Type]]="R",IF(Games[[#This Row],[Result]]&lt;0.5,1,0),0)</f>
        <v>0</v>
      </c>
      <c r="AE259" s="2">
        <f>IF(AND(Games[[#This Row],[Type]]="P",Games[[#This Row],[Round]]=1),IF(Games[[#This Row],[Result]]&gt;0.5,1,0),0)</f>
        <v>0</v>
      </c>
      <c r="AF259" s="2">
        <f>IF(AND(Games[[#This Row],[Type]]="P",Games[[#This Row],[Round]]=1),IF(Games[[#This Row],[Result]]&lt;0.5,1,0),0)</f>
        <v>0</v>
      </c>
      <c r="AG259" s="2">
        <f>IF(AND(Games[[#This Row],[Type]]="P",Games[[#This Row],[Round]]=2),IF(Games[[#This Row],[Result]]&gt;0.5,1,0),0)</f>
        <v>0</v>
      </c>
      <c r="AH259" s="2">
        <f>IF(AND(Games[[#This Row],[Type]]="P",Games[[#This Row],[Round]]=2),IF(Games[[#This Row],[Result]]&lt;0.5,1,0),0)</f>
        <v>0</v>
      </c>
      <c r="AI259" s="2">
        <f>IF(AND(Games[[#This Row],[Type]]="P",Games[[#This Row],[Round]]=3),IF(Games[[#This Row],[Result]]&gt;0.5,1,0),0)</f>
        <v>0</v>
      </c>
      <c r="AJ259" s="2">
        <f>IF(AND(Games[[#This Row],[Type]]="P",Games[[#This Row],[Round]]=3),IF(Games[[#This Row],[Result]]&lt;0.5,1,0),0)</f>
        <v>0</v>
      </c>
      <c r="AK259" s="2">
        <f>IF(AND(Games[[#This Row],[Type]]="P",Games[[#This Row],[Round]]=4),IF(Games[[#This Row],[Result]]&gt;0.5,1,0),0)</f>
        <v>0</v>
      </c>
      <c r="AL259" s="2">
        <f>IF(AND(Games[[#This Row],[Type]]="P",Games[[#This Row],[Round]]=4),IF(Games[[#This Row],[Result]]&lt;0.5,1,0),0)</f>
        <v>0</v>
      </c>
    </row>
    <row r="260" spans="1:38" x14ac:dyDescent="0.35">
      <c r="A260" s="10">
        <v>44425</v>
      </c>
      <c r="B260" s="2">
        <v>2021</v>
      </c>
      <c r="C260" s="2">
        <f>COUNTIFS(Games[Team],Games[[#This Row],[Team]],Games[Season],Games[[#This Row],[Season]],Games[Date],"&lt;=" &amp; Games[[#This Row],[Date]])</f>
        <v>20</v>
      </c>
      <c r="D260" s="2" t="s">
        <v>79</v>
      </c>
      <c r="E260" s="2" t="s">
        <v>80</v>
      </c>
      <c r="F260" s="1" t="s">
        <v>65</v>
      </c>
      <c r="G260" s="1" t="s">
        <v>85</v>
      </c>
      <c r="H260" s="1" t="s">
        <v>81</v>
      </c>
      <c r="I260" s="2" cm="1">
        <f t="array" ref="I2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0" s="2" cm="1">
        <f t="array" ref="J2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0" s="2">
        <f>Games[[#This Row],[DaysOff]]-Games[[#This Row],[OppDaysOff]]</f>
        <v>0</v>
      </c>
      <c r="L260" s="2">
        <f>Games[[#This Row],[OppDaysOff]]-Games[[#This Row],[DaysOff]]</f>
        <v>0</v>
      </c>
      <c r="M260" s="1">
        <f>MAX(-16, MIN(16, Games[[#This Row],[RestDiff]]*8))</f>
        <v>0</v>
      </c>
      <c r="N260" s="1">
        <f>MAX(-16, MIN(16, Games[[#This Row],[OppRestDiff]]*8))</f>
        <v>0</v>
      </c>
      <c r="O260" s="4" cm="1">
        <f t="array" ref="O2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1457.9457357581255</v>
      </c>
      <c r="P260" s="4" cm="1">
        <f t="array" ref="P2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1638.2476967610326</v>
      </c>
      <c r="Q260" s="4">
        <f>1/(1+10^(((Games[[#This Row],[OppPreGmRate]]+IF(Games[[#This Row],[HomeAway]]="A",HCA,0)+Games[[#This Row],[OppRestAdj]])-(Games[[#This Row],[PreGmRate]]+IF(Games[[#This Row],[HomeAway]]="H",HCA,0)+Games[[#This Row],[RestAdj]]))/400))</f>
        <v>0.17924892430433001</v>
      </c>
      <c r="R260" s="1">
        <v>83</v>
      </c>
      <c r="S260" s="1">
        <v>93</v>
      </c>
      <c r="T260" s="1">
        <v>0</v>
      </c>
      <c r="U260" s="1">
        <f>Games[[#This Row],[PointsFor]]-Games[[#This Row],[PointsAgainst]]</f>
        <v>-10</v>
      </c>
      <c r="V260" s="1">
        <f>IF(Games[[#This Row],[MOV]]&gt;0,1,IF(Games[[#This Row],[MOV]]=0,0.5,0))</f>
        <v>0</v>
      </c>
      <c r="W260" s="4">
        <f>((ABS(Games[[#This Row],[MOV]])+5)^0.6)/(12+0.01*(ABS(Games[[#This Row],[PreGmRate]]-Games[[#This Row],[OppPreGmRate]])))*IF(Games[[#This Row],[OT]]=1,0.9,1)</f>
        <v>0.36785837703933488</v>
      </c>
      <c r="X260" s="7" cm="1">
        <f t="array" ref="X2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0" s="9">
        <f>MAX(kmin, kmax - 0.15 * MIN(Games[[#This Row],[GamesPlayed]], 82))</f>
        <v>73</v>
      </c>
      <c r="Z260" s="4">
        <f>Games[[#This Row],[K]]*Games[[#This Row],[POMult]]</f>
        <v>73</v>
      </c>
      <c r="AA260" s="4">
        <f>(Games[[#This Row],[Keff]]*Games[[#This Row],[MOVMult]])*(Games[[#This Row],[Result]]-Games[[#This Row],[ExpectedWin%]])</f>
        <v>-4.813489941786532</v>
      </c>
      <c r="AB260" s="4">
        <f>Games[[#This Row],[PreGmRate]]+Games[[#This Row],[RatingChange]]</f>
        <v>1453.132245816339</v>
      </c>
      <c r="AC260" s="2">
        <f>IF(Games[[#This Row],[Type]]="R",IF(Games[[#This Row],[Result]]&gt;0.5,1,0),0)</f>
        <v>0</v>
      </c>
      <c r="AD260" s="2">
        <f>IF(Games[[#This Row],[Type]]="R",IF(Games[[#This Row],[Result]]&lt;0.5,1,0),0)</f>
        <v>1</v>
      </c>
      <c r="AE260" s="2">
        <f>IF(AND(Games[[#This Row],[Type]]="P",Games[[#This Row],[Round]]=1),IF(Games[[#This Row],[Result]]&gt;0.5,1,0),0)</f>
        <v>0</v>
      </c>
      <c r="AF260" s="2">
        <f>IF(AND(Games[[#This Row],[Type]]="P",Games[[#This Row],[Round]]=1),IF(Games[[#This Row],[Result]]&lt;0.5,1,0),0)</f>
        <v>0</v>
      </c>
      <c r="AG260" s="2">
        <f>IF(AND(Games[[#This Row],[Type]]="P",Games[[#This Row],[Round]]=2),IF(Games[[#This Row],[Result]]&gt;0.5,1,0),0)</f>
        <v>0</v>
      </c>
      <c r="AH260" s="2">
        <f>IF(AND(Games[[#This Row],[Type]]="P",Games[[#This Row],[Round]]=2),IF(Games[[#This Row],[Result]]&lt;0.5,1,0),0)</f>
        <v>0</v>
      </c>
      <c r="AI260" s="2">
        <f>IF(AND(Games[[#This Row],[Type]]="P",Games[[#This Row],[Round]]=3),IF(Games[[#This Row],[Result]]&gt;0.5,1,0),0)</f>
        <v>0</v>
      </c>
      <c r="AJ260" s="2">
        <f>IF(AND(Games[[#This Row],[Type]]="P",Games[[#This Row],[Round]]=3),IF(Games[[#This Row],[Result]]&lt;0.5,1,0),0)</f>
        <v>0</v>
      </c>
      <c r="AK260" s="2">
        <f>IF(AND(Games[[#This Row],[Type]]="P",Games[[#This Row],[Round]]=4),IF(Games[[#This Row],[Result]]&gt;0.5,1,0),0)</f>
        <v>0</v>
      </c>
      <c r="AL260" s="2">
        <f>IF(AND(Games[[#This Row],[Type]]="P",Games[[#This Row],[Round]]=4),IF(Games[[#This Row],[Result]]&lt;0.5,1,0),0)</f>
        <v>0</v>
      </c>
    </row>
    <row r="261" spans="1:38" x14ac:dyDescent="0.35">
      <c r="A261" s="10">
        <v>44425</v>
      </c>
      <c r="B261" s="2">
        <v>2021</v>
      </c>
      <c r="C261" s="2">
        <f>COUNTIFS(Games[Team],Games[[#This Row],[Team]],Games[Season],Games[[#This Row],[Season]],Games[Date],"&lt;=" &amp; Games[[#This Row],[Date]])</f>
        <v>23</v>
      </c>
      <c r="D261" s="2" t="s">
        <v>79</v>
      </c>
      <c r="E261" s="2" t="s">
        <v>80</v>
      </c>
      <c r="F261" s="1" t="s">
        <v>85</v>
      </c>
      <c r="G261" s="1" t="s">
        <v>65</v>
      </c>
      <c r="H261" s="1" t="s">
        <v>82</v>
      </c>
      <c r="I261" s="2" cm="1">
        <f t="array" ref="I2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1" s="2" cm="1">
        <f t="array" ref="J2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1" s="2">
        <f>Games[[#This Row],[DaysOff]]-Games[[#This Row],[OppDaysOff]]</f>
        <v>0</v>
      </c>
      <c r="L261" s="2">
        <f>Games[[#This Row],[OppDaysOff]]-Games[[#This Row],[DaysOff]]</f>
        <v>0</v>
      </c>
      <c r="M261" s="1">
        <f>MAX(-16, MIN(16, Games[[#This Row],[RestDiff]]*8))</f>
        <v>0</v>
      </c>
      <c r="N261" s="1">
        <f>MAX(-16, MIN(16, Games[[#This Row],[OppRestDiff]]*8))</f>
        <v>0</v>
      </c>
      <c r="O261" s="4" cm="1">
        <f t="array" ref="O2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1638.2476967610326</v>
      </c>
      <c r="P261" s="4" cm="1">
        <f t="array" ref="P2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1457.9457357581255</v>
      </c>
      <c r="Q261" s="4">
        <f>1/(1+10^(((Games[[#This Row],[OppPreGmRate]]+IF(Games[[#This Row],[HomeAway]]="A",HCA,0)+Games[[#This Row],[OppRestAdj]])-(Games[[#This Row],[PreGmRate]]+IF(Games[[#This Row],[HomeAway]]="H",HCA,0)+Games[[#This Row],[RestAdj]]))/400))</f>
        <v>0.82075107569567007</v>
      </c>
      <c r="R261" s="1">
        <v>93</v>
      </c>
      <c r="S261" s="1">
        <v>83</v>
      </c>
      <c r="T261" s="1">
        <v>0</v>
      </c>
      <c r="U261" s="1">
        <f>Games[[#This Row],[PointsFor]]-Games[[#This Row],[PointsAgainst]]</f>
        <v>10</v>
      </c>
      <c r="V261" s="1">
        <f>IF(Games[[#This Row],[MOV]]&gt;0,1,IF(Games[[#This Row],[MOV]]=0,0.5,0))</f>
        <v>1</v>
      </c>
      <c r="W261" s="4">
        <f>((ABS(Games[[#This Row],[MOV]])+5)^0.6)/(12+0.01*(ABS(Games[[#This Row],[PreGmRate]]-Games[[#This Row],[OppPreGmRate]])))*IF(Games[[#This Row],[OT]]=1,0.9,1)</f>
        <v>0.36785837703933488</v>
      </c>
      <c r="X261" s="7" cm="1">
        <f t="array" ref="X2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1" s="9">
        <f>MAX(kmin, kmax - 0.15 * MIN(Games[[#This Row],[GamesPlayed]], 82))</f>
        <v>72.55</v>
      </c>
      <c r="Z261" s="4">
        <f>Games[[#This Row],[K]]*Games[[#This Row],[POMult]]</f>
        <v>72.55</v>
      </c>
      <c r="AA261" s="4">
        <f>(Games[[#This Row],[Keff]]*Games[[#This Row],[MOVMult]])*(Games[[#This Row],[Result]]-Games[[#This Row],[ExpectedWin%]])</f>
        <v>4.7838177435152431</v>
      </c>
      <c r="AB261" s="4">
        <f>Games[[#This Row],[PreGmRate]]+Games[[#This Row],[RatingChange]]</f>
        <v>1643.0315145045479</v>
      </c>
      <c r="AC261" s="2">
        <f>IF(Games[[#This Row],[Type]]="R",IF(Games[[#This Row],[Result]]&gt;0.5,1,0),0)</f>
        <v>1</v>
      </c>
      <c r="AD261" s="2">
        <f>IF(Games[[#This Row],[Type]]="R",IF(Games[[#This Row],[Result]]&lt;0.5,1,0),0)</f>
        <v>0</v>
      </c>
      <c r="AE261" s="2">
        <f>IF(AND(Games[[#This Row],[Type]]="P",Games[[#This Row],[Round]]=1),IF(Games[[#This Row],[Result]]&gt;0.5,1,0),0)</f>
        <v>0</v>
      </c>
      <c r="AF261" s="2">
        <f>IF(AND(Games[[#This Row],[Type]]="P",Games[[#This Row],[Round]]=1),IF(Games[[#This Row],[Result]]&lt;0.5,1,0),0)</f>
        <v>0</v>
      </c>
      <c r="AG261" s="2">
        <f>IF(AND(Games[[#This Row],[Type]]="P",Games[[#This Row],[Round]]=2),IF(Games[[#This Row],[Result]]&gt;0.5,1,0),0)</f>
        <v>0</v>
      </c>
      <c r="AH261" s="2">
        <f>IF(AND(Games[[#This Row],[Type]]="P",Games[[#This Row],[Round]]=2),IF(Games[[#This Row],[Result]]&lt;0.5,1,0),0)</f>
        <v>0</v>
      </c>
      <c r="AI261" s="2">
        <f>IF(AND(Games[[#This Row],[Type]]="P",Games[[#This Row],[Round]]=3),IF(Games[[#This Row],[Result]]&gt;0.5,1,0),0)</f>
        <v>0</v>
      </c>
      <c r="AJ261" s="2">
        <f>IF(AND(Games[[#This Row],[Type]]="P",Games[[#This Row],[Round]]=3),IF(Games[[#This Row],[Result]]&lt;0.5,1,0),0)</f>
        <v>0</v>
      </c>
      <c r="AK261" s="2">
        <f>IF(AND(Games[[#This Row],[Type]]="P",Games[[#This Row],[Round]]=4),IF(Games[[#This Row],[Result]]&gt;0.5,1,0),0)</f>
        <v>0</v>
      </c>
      <c r="AL261" s="2">
        <f>IF(AND(Games[[#This Row],[Type]]="P",Games[[#This Row],[Round]]=4),IF(Games[[#This Row],[Result]]&lt;0.5,1,0),0)</f>
        <v>0</v>
      </c>
    </row>
    <row r="262" spans="1:38" x14ac:dyDescent="0.35">
      <c r="A262" s="10">
        <v>44425</v>
      </c>
      <c r="B262" s="2">
        <v>2021</v>
      </c>
      <c r="C262" s="2">
        <f>COUNTIFS(Games[Team],Games[[#This Row],[Team]],Games[Season],Games[[#This Row],[Season]],Games[Date],"&lt;=" &amp; Games[[#This Row],[Date]])</f>
        <v>22</v>
      </c>
      <c r="D262" s="2" t="s">
        <v>79</v>
      </c>
      <c r="E262" s="2" t="s">
        <v>80</v>
      </c>
      <c r="F262" s="1" t="s">
        <v>69</v>
      </c>
      <c r="G262" s="1" t="s">
        <v>40</v>
      </c>
      <c r="H262" s="1" t="s">
        <v>81</v>
      </c>
      <c r="I262" s="2" cm="1">
        <f t="array" ref="I2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2" s="2" cm="1">
        <f t="array" ref="J26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2" s="2">
        <f>Games[[#This Row],[DaysOff]]-Games[[#This Row],[OppDaysOff]]</f>
        <v>0</v>
      </c>
      <c r="L262" s="2">
        <f>Games[[#This Row],[OppDaysOff]]-Games[[#This Row],[DaysOff]]</f>
        <v>0</v>
      </c>
      <c r="M262" s="1">
        <f>MAX(-16, MIN(16, Games[[#This Row],[RestDiff]]*8))</f>
        <v>0</v>
      </c>
      <c r="N262" s="1">
        <f>MAX(-16, MIN(16, Games[[#This Row],[OppRestDiff]]*8))</f>
        <v>0</v>
      </c>
      <c r="O262" s="4" cm="1">
        <f t="array" ref="O2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1340.5895742598332</v>
      </c>
      <c r="P262" s="4" cm="1">
        <f t="array" ref="P2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1493.1815050822197</v>
      </c>
      <c r="Q262" s="4">
        <f>1/(1+10^(((Games[[#This Row],[OppPreGmRate]]+IF(Games[[#This Row],[HomeAway]]="A",HCA,0)+Games[[#This Row],[OppRestAdj]])-(Games[[#This Row],[PreGmRate]]+IF(Games[[#This Row],[HomeAway]]="H",HCA,0)+Games[[#This Row],[RestAdj]]))/400))</f>
        <v>0.20392637838658584</v>
      </c>
      <c r="R262" s="1">
        <v>80</v>
      </c>
      <c r="S262" s="1">
        <v>84</v>
      </c>
      <c r="T262" s="1">
        <v>0</v>
      </c>
      <c r="U262" s="1">
        <f>Games[[#This Row],[PointsFor]]-Games[[#This Row],[PointsAgainst]]</f>
        <v>-4</v>
      </c>
      <c r="V262" s="1">
        <f>IF(Games[[#This Row],[MOV]]&gt;0,1,IF(Games[[#This Row],[MOV]]=0,0.5,0))</f>
        <v>0</v>
      </c>
      <c r="W262" s="4">
        <f>((ABS(Games[[#This Row],[MOV]])+5)^0.6)/(12+0.01*(ABS(Games[[#This Row],[PreGmRate]]-Games[[#This Row],[OppPreGmRate]])))*IF(Games[[#This Row],[OT]]=1,0.9,1)</f>
        <v>0.27629861850309201</v>
      </c>
      <c r="X262" s="7" cm="1">
        <f t="array" ref="X2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2" s="9">
        <f>MAX(kmin, kmax - 0.15 * MIN(Games[[#This Row],[GamesPlayed]], 82))</f>
        <v>72.7</v>
      </c>
      <c r="Z262" s="4">
        <f>Games[[#This Row],[K]]*Games[[#This Row],[POMult]]</f>
        <v>72.7</v>
      </c>
      <c r="AA262" s="4">
        <f>(Games[[#This Row],[Keff]]*Games[[#This Row],[MOVMult]])*(Games[[#This Row],[Result]]-Games[[#This Row],[ExpectedWin%]])</f>
        <v>-4.0962507206049645</v>
      </c>
      <c r="AB262" s="4">
        <f>Games[[#This Row],[PreGmRate]]+Games[[#This Row],[RatingChange]]</f>
        <v>1336.4933235392282</v>
      </c>
      <c r="AC262" s="2">
        <f>IF(Games[[#This Row],[Type]]="R",IF(Games[[#This Row],[Result]]&gt;0.5,1,0),0)</f>
        <v>0</v>
      </c>
      <c r="AD262" s="2">
        <f>IF(Games[[#This Row],[Type]]="R",IF(Games[[#This Row],[Result]]&lt;0.5,1,0),0)</f>
        <v>1</v>
      </c>
      <c r="AE262" s="2">
        <f>IF(AND(Games[[#This Row],[Type]]="P",Games[[#This Row],[Round]]=1),IF(Games[[#This Row],[Result]]&gt;0.5,1,0),0)</f>
        <v>0</v>
      </c>
      <c r="AF262" s="2">
        <f>IF(AND(Games[[#This Row],[Type]]="P",Games[[#This Row],[Round]]=1),IF(Games[[#This Row],[Result]]&lt;0.5,1,0),0)</f>
        <v>0</v>
      </c>
      <c r="AG262" s="2">
        <f>IF(AND(Games[[#This Row],[Type]]="P",Games[[#This Row],[Round]]=2),IF(Games[[#This Row],[Result]]&gt;0.5,1,0),0)</f>
        <v>0</v>
      </c>
      <c r="AH262" s="2">
        <f>IF(AND(Games[[#This Row],[Type]]="P",Games[[#This Row],[Round]]=2),IF(Games[[#This Row],[Result]]&lt;0.5,1,0),0)</f>
        <v>0</v>
      </c>
      <c r="AI262" s="2">
        <f>IF(AND(Games[[#This Row],[Type]]="P",Games[[#This Row],[Round]]=3),IF(Games[[#This Row],[Result]]&gt;0.5,1,0),0)</f>
        <v>0</v>
      </c>
      <c r="AJ262" s="2">
        <f>IF(AND(Games[[#This Row],[Type]]="P",Games[[#This Row],[Round]]=3),IF(Games[[#This Row],[Result]]&lt;0.5,1,0),0)</f>
        <v>0</v>
      </c>
      <c r="AK262" s="2">
        <f>IF(AND(Games[[#This Row],[Type]]="P",Games[[#This Row],[Round]]=4),IF(Games[[#This Row],[Result]]&gt;0.5,1,0),0)</f>
        <v>0</v>
      </c>
      <c r="AL262" s="2">
        <f>IF(AND(Games[[#This Row],[Type]]="P",Games[[#This Row],[Round]]=4),IF(Games[[#This Row],[Result]]&lt;0.5,1,0),0)</f>
        <v>0</v>
      </c>
    </row>
    <row r="263" spans="1:38" x14ac:dyDescent="0.35">
      <c r="A263" s="10">
        <v>44425</v>
      </c>
      <c r="B263" s="2">
        <v>2021</v>
      </c>
      <c r="C263" s="2">
        <f>COUNTIFS(Games[Team],Games[[#This Row],[Team]],Games[Season],Games[[#This Row],[Season]],Games[Date],"&lt;=" &amp; Games[[#This Row],[Date]])</f>
        <v>21</v>
      </c>
      <c r="D263" s="2" t="s">
        <v>79</v>
      </c>
      <c r="E263" s="2" t="s">
        <v>80</v>
      </c>
      <c r="F263" s="1" t="s">
        <v>40</v>
      </c>
      <c r="G263" s="1" t="s">
        <v>69</v>
      </c>
      <c r="H263" s="1" t="s">
        <v>82</v>
      </c>
      <c r="I263" s="2" cm="1">
        <f t="array" ref="I263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3" s="2" cm="1">
        <f t="array" ref="J2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3" s="2">
        <f>Games[[#This Row],[DaysOff]]-Games[[#This Row],[OppDaysOff]]</f>
        <v>0</v>
      </c>
      <c r="L263" s="2">
        <f>Games[[#This Row],[OppDaysOff]]-Games[[#This Row],[DaysOff]]</f>
        <v>0</v>
      </c>
      <c r="M263" s="1">
        <f>MAX(-16, MIN(16, Games[[#This Row],[RestDiff]]*8))</f>
        <v>0</v>
      </c>
      <c r="N263" s="1">
        <f>MAX(-16, MIN(16, Games[[#This Row],[OppRestDiff]]*8))</f>
        <v>0</v>
      </c>
      <c r="O263" s="4" cm="1">
        <f t="array" ref="O2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1493.1815050822197</v>
      </c>
      <c r="P263" s="4" cm="1">
        <f t="array" ref="P2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1340.5895742598332</v>
      </c>
      <c r="Q263" s="4">
        <f>1/(1+10^(((Games[[#This Row],[OppPreGmRate]]+IF(Games[[#This Row],[HomeAway]]="A",HCA,0)+Games[[#This Row],[OppRestAdj]])-(Games[[#This Row],[PreGmRate]]+IF(Games[[#This Row],[HomeAway]]="H",HCA,0)+Games[[#This Row],[RestAdj]]))/400))</f>
        <v>0.79607362161341411</v>
      </c>
      <c r="R263" s="1">
        <v>84</v>
      </c>
      <c r="S263" s="1">
        <v>80</v>
      </c>
      <c r="T263" s="1">
        <v>0</v>
      </c>
      <c r="U263" s="1">
        <f>Games[[#This Row],[PointsFor]]-Games[[#This Row],[PointsAgainst]]</f>
        <v>4</v>
      </c>
      <c r="V263" s="1">
        <f>IF(Games[[#This Row],[MOV]]&gt;0,1,IF(Games[[#This Row],[MOV]]=0,0.5,0))</f>
        <v>1</v>
      </c>
      <c r="W263" s="4">
        <f>((ABS(Games[[#This Row],[MOV]])+5)^0.6)/(12+0.01*(ABS(Games[[#This Row],[PreGmRate]]-Games[[#This Row],[OppPreGmRate]])))*IF(Games[[#This Row],[OT]]=1,0.9,1)</f>
        <v>0.27629861850309201</v>
      </c>
      <c r="X263" s="7" cm="1">
        <f t="array" ref="X2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3" s="9">
        <f>MAX(kmin, kmax - 0.15 * MIN(Games[[#This Row],[GamesPlayed]], 82))</f>
        <v>72.849999999999994</v>
      </c>
      <c r="Z263" s="4">
        <f>Games[[#This Row],[K]]*Games[[#This Row],[POMult]]</f>
        <v>72.849999999999994</v>
      </c>
      <c r="AA263" s="4">
        <f>(Games[[#This Row],[Keff]]*Games[[#This Row],[MOVMult]])*(Games[[#This Row],[Result]]-Games[[#This Row],[ExpectedWin%]])</f>
        <v>4.1047024070986478</v>
      </c>
      <c r="AB263" s="4">
        <f>Games[[#This Row],[PreGmRate]]+Games[[#This Row],[RatingChange]]</f>
        <v>1497.2862074893183</v>
      </c>
      <c r="AC263" s="2">
        <f>IF(Games[[#This Row],[Type]]="R",IF(Games[[#This Row],[Result]]&gt;0.5,1,0),0)</f>
        <v>1</v>
      </c>
      <c r="AD263" s="2">
        <f>IF(Games[[#This Row],[Type]]="R",IF(Games[[#This Row],[Result]]&lt;0.5,1,0),0)</f>
        <v>0</v>
      </c>
      <c r="AE263" s="2">
        <f>IF(AND(Games[[#This Row],[Type]]="P",Games[[#This Row],[Round]]=1),IF(Games[[#This Row],[Result]]&gt;0.5,1,0),0)</f>
        <v>0</v>
      </c>
      <c r="AF263" s="2">
        <f>IF(AND(Games[[#This Row],[Type]]="P",Games[[#This Row],[Round]]=1),IF(Games[[#This Row],[Result]]&lt;0.5,1,0),0)</f>
        <v>0</v>
      </c>
      <c r="AG263" s="2">
        <f>IF(AND(Games[[#This Row],[Type]]="P",Games[[#This Row],[Round]]=2),IF(Games[[#This Row],[Result]]&gt;0.5,1,0),0)</f>
        <v>0</v>
      </c>
      <c r="AH263" s="2">
        <f>IF(AND(Games[[#This Row],[Type]]="P",Games[[#This Row],[Round]]=2),IF(Games[[#This Row],[Result]]&lt;0.5,1,0),0)</f>
        <v>0</v>
      </c>
      <c r="AI263" s="2">
        <f>IF(AND(Games[[#This Row],[Type]]="P",Games[[#This Row],[Round]]=3),IF(Games[[#This Row],[Result]]&gt;0.5,1,0),0)</f>
        <v>0</v>
      </c>
      <c r="AJ263" s="2">
        <f>IF(AND(Games[[#This Row],[Type]]="P",Games[[#This Row],[Round]]=3),IF(Games[[#This Row],[Result]]&lt;0.5,1,0),0)</f>
        <v>0</v>
      </c>
      <c r="AK263" s="2">
        <f>IF(AND(Games[[#This Row],[Type]]="P",Games[[#This Row],[Round]]=4),IF(Games[[#This Row],[Result]]&gt;0.5,1,0),0)</f>
        <v>0</v>
      </c>
      <c r="AL263" s="2">
        <f>IF(AND(Games[[#This Row],[Type]]="P",Games[[#This Row],[Round]]=4),IF(Games[[#This Row],[Result]]&lt;0.5,1,0),0)</f>
        <v>0</v>
      </c>
    </row>
    <row r="264" spans="1:38" x14ac:dyDescent="0.35">
      <c r="A264" s="10">
        <v>44426</v>
      </c>
      <c r="B264" s="2">
        <v>2021</v>
      </c>
      <c r="C264" s="2">
        <f>COUNTIFS(Games[Team],Games[[#This Row],[Team]],Games[Season],Games[[#This Row],[Season]],Games[Date],"&lt;=" &amp; Games[[#This Row],[Date]])</f>
        <v>24</v>
      </c>
      <c r="D264" s="2" t="s">
        <v>79</v>
      </c>
      <c r="E264" s="2" t="s">
        <v>80</v>
      </c>
      <c r="F264" s="1" t="s">
        <v>71</v>
      </c>
      <c r="G264" s="1" t="s">
        <v>60</v>
      </c>
      <c r="H264" s="1" t="s">
        <v>81</v>
      </c>
      <c r="I264" s="2" cm="1">
        <f t="array" ref="I26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4" s="2" cm="1">
        <f t="array" ref="J26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4" s="2">
        <f>Games[[#This Row],[DaysOff]]-Games[[#This Row],[OppDaysOff]]</f>
        <v>0</v>
      </c>
      <c r="L264" s="2">
        <f>Games[[#This Row],[OppDaysOff]]-Games[[#This Row],[DaysOff]]</f>
        <v>0</v>
      </c>
      <c r="M264" s="1">
        <f>MAX(-16, MIN(16, Games[[#This Row],[RestDiff]]*8))</f>
        <v>0</v>
      </c>
      <c r="N264" s="1">
        <f>MAX(-16, MIN(16, Games[[#This Row],[OppRestDiff]]*8))</f>
        <v>0</v>
      </c>
      <c r="O264" s="4" cm="1">
        <f t="array" ref="O2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1681.3200197271842</v>
      </c>
      <c r="P264" s="4" cm="1">
        <f t="array" ref="P2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1397.3979230535463</v>
      </c>
      <c r="Q264" s="4">
        <f>1/(1+10^(((Games[[#This Row],[OppPreGmRate]]+IF(Games[[#This Row],[HomeAway]]="A",HCA,0)+Games[[#This Row],[OppRestAdj]])-(Games[[#This Row],[PreGmRate]]+IF(Games[[#This Row],[HomeAway]]="H",HCA,0)+Games[[#This Row],[RestAdj]]))/400))</f>
        <v>0.75966506128594991</v>
      </c>
      <c r="R264" s="1">
        <v>79</v>
      </c>
      <c r="S264" s="1">
        <v>83</v>
      </c>
      <c r="T264" s="1">
        <v>0</v>
      </c>
      <c r="U264" s="1">
        <f>Games[[#This Row],[PointsFor]]-Games[[#This Row],[PointsAgainst]]</f>
        <v>-4</v>
      </c>
      <c r="V264" s="1">
        <f>IF(Games[[#This Row],[MOV]]&gt;0,1,IF(Games[[#This Row],[MOV]]=0,0.5,0))</f>
        <v>0</v>
      </c>
      <c r="W264" s="4">
        <f>((ABS(Games[[#This Row],[MOV]])+5)^0.6)/(12+0.01*(ABS(Games[[#This Row],[PreGmRate]]-Games[[#This Row],[OppPreGmRate]])))*IF(Games[[#This Row],[OT]]=1,0.9,1)</f>
        <v>0.25184562095435126</v>
      </c>
      <c r="X264" s="7" cm="1">
        <f t="array" ref="X2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4" s="9">
        <f>MAX(kmin, kmax - 0.15 * MIN(Games[[#This Row],[GamesPlayed]], 82))</f>
        <v>72.400000000000006</v>
      </c>
      <c r="Z264" s="4">
        <f>Games[[#This Row],[K]]*Games[[#This Row],[POMult]]</f>
        <v>72.400000000000006</v>
      </c>
      <c r="AA264" s="4">
        <f>(Games[[#This Row],[Keff]]*Games[[#This Row],[MOVMult]])*(Games[[#This Row],[Result]]-Games[[#This Row],[ExpectedWin%]])</f>
        <v>-13.851446301166501</v>
      </c>
      <c r="AB264" s="4">
        <f>Games[[#This Row],[PreGmRate]]+Games[[#This Row],[RatingChange]]</f>
        <v>1667.4685734260177</v>
      </c>
      <c r="AC264" s="2">
        <f>IF(Games[[#This Row],[Type]]="R",IF(Games[[#This Row],[Result]]&gt;0.5,1,0),0)</f>
        <v>0</v>
      </c>
      <c r="AD264" s="2">
        <f>IF(Games[[#This Row],[Type]]="R",IF(Games[[#This Row],[Result]]&lt;0.5,1,0),0)</f>
        <v>1</v>
      </c>
      <c r="AE264" s="2">
        <f>IF(AND(Games[[#This Row],[Type]]="P",Games[[#This Row],[Round]]=1),IF(Games[[#This Row],[Result]]&gt;0.5,1,0),0)</f>
        <v>0</v>
      </c>
      <c r="AF264" s="2">
        <f>IF(AND(Games[[#This Row],[Type]]="P",Games[[#This Row],[Round]]=1),IF(Games[[#This Row],[Result]]&lt;0.5,1,0),0)</f>
        <v>0</v>
      </c>
      <c r="AG264" s="2">
        <f>IF(AND(Games[[#This Row],[Type]]="P",Games[[#This Row],[Round]]=2),IF(Games[[#This Row],[Result]]&gt;0.5,1,0),0)</f>
        <v>0</v>
      </c>
      <c r="AH264" s="2">
        <f>IF(AND(Games[[#This Row],[Type]]="P",Games[[#This Row],[Round]]=2),IF(Games[[#This Row],[Result]]&lt;0.5,1,0),0)</f>
        <v>0</v>
      </c>
      <c r="AI264" s="2">
        <f>IF(AND(Games[[#This Row],[Type]]="P",Games[[#This Row],[Round]]=3),IF(Games[[#This Row],[Result]]&gt;0.5,1,0),0)</f>
        <v>0</v>
      </c>
      <c r="AJ264" s="2">
        <f>IF(AND(Games[[#This Row],[Type]]="P",Games[[#This Row],[Round]]=3),IF(Games[[#This Row],[Result]]&lt;0.5,1,0),0)</f>
        <v>0</v>
      </c>
      <c r="AK264" s="2">
        <f>IF(AND(Games[[#This Row],[Type]]="P",Games[[#This Row],[Round]]=4),IF(Games[[#This Row],[Result]]&gt;0.5,1,0),0)</f>
        <v>0</v>
      </c>
      <c r="AL264" s="2">
        <f>IF(AND(Games[[#This Row],[Type]]="P",Games[[#This Row],[Round]]=4),IF(Games[[#This Row],[Result]]&lt;0.5,1,0),0)</f>
        <v>0</v>
      </c>
    </row>
    <row r="265" spans="1:38" x14ac:dyDescent="0.35">
      <c r="A265" s="10">
        <v>44426</v>
      </c>
      <c r="B265" s="2">
        <v>2021</v>
      </c>
      <c r="C265" s="2">
        <f>COUNTIFS(Games[Team],Games[[#This Row],[Team]],Games[Season],Games[[#This Row],[Season]],Games[Date],"&lt;=" &amp; Games[[#This Row],[Date]])</f>
        <v>23</v>
      </c>
      <c r="D265" s="2" t="s">
        <v>79</v>
      </c>
      <c r="E265" s="2" t="s">
        <v>80</v>
      </c>
      <c r="F265" s="1" t="s">
        <v>60</v>
      </c>
      <c r="G265" s="1" t="s">
        <v>71</v>
      </c>
      <c r="H265" s="1" t="s">
        <v>82</v>
      </c>
      <c r="I265" s="2" cm="1">
        <f t="array" ref="I26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65" s="2" cm="1">
        <f t="array" ref="J26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65" s="2">
        <f>Games[[#This Row],[DaysOff]]-Games[[#This Row],[OppDaysOff]]</f>
        <v>0</v>
      </c>
      <c r="L265" s="2">
        <f>Games[[#This Row],[OppDaysOff]]-Games[[#This Row],[DaysOff]]</f>
        <v>0</v>
      </c>
      <c r="M265" s="1">
        <f>MAX(-16, MIN(16, Games[[#This Row],[RestDiff]]*8))</f>
        <v>0</v>
      </c>
      <c r="N265" s="1">
        <f>MAX(-16, MIN(16, Games[[#This Row],[OppRestDiff]]*8))</f>
        <v>0</v>
      </c>
      <c r="O265" s="4" cm="1">
        <f t="array" ref="O2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1397.3979230535463</v>
      </c>
      <c r="P265" s="4" cm="1">
        <f t="array" ref="P2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1681.3200197271842</v>
      </c>
      <c r="Q265" s="4">
        <f>1/(1+10^(((Games[[#This Row],[OppPreGmRate]]+IF(Games[[#This Row],[HomeAway]]="A",HCA,0)+Games[[#This Row],[OppRestAdj]])-(Games[[#This Row],[PreGmRate]]+IF(Games[[#This Row],[HomeAway]]="H",HCA,0)+Games[[#This Row],[RestAdj]]))/400))</f>
        <v>0.24033493871405009</v>
      </c>
      <c r="R265" s="1">
        <v>83</v>
      </c>
      <c r="S265" s="1">
        <v>79</v>
      </c>
      <c r="T265" s="1">
        <v>0</v>
      </c>
      <c r="U265" s="1">
        <f>Games[[#This Row],[PointsFor]]-Games[[#This Row],[PointsAgainst]]</f>
        <v>4</v>
      </c>
      <c r="V265" s="1">
        <f>IF(Games[[#This Row],[MOV]]&gt;0,1,IF(Games[[#This Row],[MOV]]=0,0.5,0))</f>
        <v>1</v>
      </c>
      <c r="W265" s="4">
        <f>((ABS(Games[[#This Row],[MOV]])+5)^0.6)/(12+0.01*(ABS(Games[[#This Row],[PreGmRate]]-Games[[#This Row],[OppPreGmRate]])))*IF(Games[[#This Row],[OT]]=1,0.9,1)</f>
        <v>0.25184562095435126</v>
      </c>
      <c r="X265" s="7" cm="1">
        <f t="array" ref="X2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5" s="9">
        <f>MAX(kmin, kmax - 0.15 * MIN(Games[[#This Row],[GamesPlayed]], 82))</f>
        <v>72.55</v>
      </c>
      <c r="Z265" s="4">
        <f>Games[[#This Row],[K]]*Games[[#This Row],[POMult]]</f>
        <v>72.55</v>
      </c>
      <c r="AA265" s="4">
        <f>(Games[[#This Row],[Keff]]*Games[[#This Row],[MOVMult]])*(Games[[#This Row],[Result]]-Games[[#This Row],[ExpectedWin%]])</f>
        <v>13.880144049028031</v>
      </c>
      <c r="AB265" s="4">
        <f>Games[[#This Row],[PreGmRate]]+Games[[#This Row],[RatingChange]]</f>
        <v>1411.2780671025744</v>
      </c>
      <c r="AC265" s="2">
        <f>IF(Games[[#This Row],[Type]]="R",IF(Games[[#This Row],[Result]]&gt;0.5,1,0),0)</f>
        <v>1</v>
      </c>
      <c r="AD265" s="2">
        <f>IF(Games[[#This Row],[Type]]="R",IF(Games[[#This Row],[Result]]&lt;0.5,1,0),0)</f>
        <v>0</v>
      </c>
      <c r="AE265" s="2">
        <f>IF(AND(Games[[#This Row],[Type]]="P",Games[[#This Row],[Round]]=1),IF(Games[[#This Row],[Result]]&gt;0.5,1,0),0)</f>
        <v>0</v>
      </c>
      <c r="AF265" s="2">
        <f>IF(AND(Games[[#This Row],[Type]]="P",Games[[#This Row],[Round]]=1),IF(Games[[#This Row],[Result]]&lt;0.5,1,0),0)</f>
        <v>0</v>
      </c>
      <c r="AG265" s="2">
        <f>IF(AND(Games[[#This Row],[Type]]="P",Games[[#This Row],[Round]]=2),IF(Games[[#This Row],[Result]]&gt;0.5,1,0),0)</f>
        <v>0</v>
      </c>
      <c r="AH265" s="2">
        <f>IF(AND(Games[[#This Row],[Type]]="P",Games[[#This Row],[Round]]=2),IF(Games[[#This Row],[Result]]&lt;0.5,1,0),0)</f>
        <v>0</v>
      </c>
      <c r="AI265" s="2">
        <f>IF(AND(Games[[#This Row],[Type]]="P",Games[[#This Row],[Round]]=3),IF(Games[[#This Row],[Result]]&gt;0.5,1,0),0)</f>
        <v>0</v>
      </c>
      <c r="AJ265" s="2">
        <f>IF(AND(Games[[#This Row],[Type]]="P",Games[[#This Row],[Round]]=3),IF(Games[[#This Row],[Result]]&lt;0.5,1,0),0)</f>
        <v>0</v>
      </c>
      <c r="AK265" s="2">
        <f>IF(AND(Games[[#This Row],[Type]]="P",Games[[#This Row],[Round]]=4),IF(Games[[#This Row],[Result]]&gt;0.5,1,0),0)</f>
        <v>0</v>
      </c>
      <c r="AL265" s="2">
        <f>IF(AND(Games[[#This Row],[Type]]="P",Games[[#This Row],[Round]]=4),IF(Games[[#This Row],[Result]]&lt;0.5,1,0),0)</f>
        <v>0</v>
      </c>
    </row>
    <row r="266" spans="1:38" x14ac:dyDescent="0.35">
      <c r="A266" s="10">
        <v>44427</v>
      </c>
      <c r="B266" s="2">
        <v>2021</v>
      </c>
      <c r="C266" s="2">
        <f>COUNTIFS(Games[Team],Games[[#This Row],[Team]],Games[Season],Games[[#This Row],[Season]],Games[Date],"&lt;=" &amp; Games[[#This Row],[Date]])</f>
        <v>22</v>
      </c>
      <c r="D266" s="2" t="s">
        <v>79</v>
      </c>
      <c r="E266" s="2" t="s">
        <v>80</v>
      </c>
      <c r="F266" s="1" t="s">
        <v>67</v>
      </c>
      <c r="G266" s="1" t="s">
        <v>74</v>
      </c>
      <c r="H266" s="1" t="s">
        <v>81</v>
      </c>
      <c r="I266" s="2" cm="1">
        <f t="array" ref="I26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6" s="2" cm="1">
        <f t="array" ref="J26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6" s="2">
        <f>Games[[#This Row],[DaysOff]]-Games[[#This Row],[OppDaysOff]]</f>
        <v>0</v>
      </c>
      <c r="L266" s="2">
        <f>Games[[#This Row],[OppDaysOff]]-Games[[#This Row],[DaysOff]]</f>
        <v>0</v>
      </c>
      <c r="M266" s="1">
        <f>MAX(-16, MIN(16, Games[[#This Row],[RestDiff]]*8))</f>
        <v>0</v>
      </c>
      <c r="N266" s="1">
        <f>MAX(-16, MIN(16, Games[[#This Row],[OppRestDiff]]*8))</f>
        <v>0</v>
      </c>
      <c r="O266" s="4" cm="1">
        <f t="array" ref="O2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1589.8571497728947</v>
      </c>
      <c r="P266" s="4" cm="1">
        <f t="array" ref="P2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1621.8432388956403</v>
      </c>
      <c r="Q266" s="4">
        <f>1/(1+10^(((Games[[#This Row],[OppPreGmRate]]+IF(Games[[#This Row],[HomeAway]]="A",HCA,0)+Games[[#This Row],[OppRestAdj]])-(Games[[#This Row],[PreGmRate]]+IF(Games[[#This Row],[HomeAway]]="H",HCA,0)+Games[[#This Row],[RestAdj]]))/400))</f>
        <v>0.33901885268253673</v>
      </c>
      <c r="R266" s="1">
        <v>71</v>
      </c>
      <c r="S266" s="1">
        <v>82</v>
      </c>
      <c r="T266" s="1">
        <v>0</v>
      </c>
      <c r="U266" s="1">
        <f>Games[[#This Row],[PointsFor]]-Games[[#This Row],[PointsAgainst]]</f>
        <v>-11</v>
      </c>
      <c r="V266" s="1">
        <f>IF(Games[[#This Row],[MOV]]&gt;0,1,IF(Games[[#This Row],[MOV]]=0,0.5,0))</f>
        <v>0</v>
      </c>
      <c r="W266" s="4">
        <f>((ABS(Games[[#This Row],[MOV]])+5)^0.6)/(12+0.01*(ABS(Games[[#This Row],[PreGmRate]]-Games[[#This Row],[OppPreGmRate]])))*IF(Games[[#This Row],[OT]]=1,0.9,1)</f>
        <v>0.42841649671952703</v>
      </c>
      <c r="X266" s="7" cm="1">
        <f t="array" ref="X2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6" s="9">
        <f>MAX(kmin, kmax - 0.15 * MIN(Games[[#This Row],[GamesPlayed]], 82))</f>
        <v>72.7</v>
      </c>
      <c r="Z266" s="4">
        <f>Games[[#This Row],[K]]*Games[[#This Row],[POMult]]</f>
        <v>72.7</v>
      </c>
      <c r="AA266" s="4">
        <f>(Games[[#This Row],[Keff]]*Games[[#This Row],[MOVMult]])*(Games[[#This Row],[Result]]-Games[[#This Row],[ExpectedWin%]])</f>
        <v>-10.559040269976748</v>
      </c>
      <c r="AB266" s="4">
        <f>Games[[#This Row],[PreGmRate]]+Games[[#This Row],[RatingChange]]</f>
        <v>1579.2981095029179</v>
      </c>
      <c r="AC266" s="2">
        <f>IF(Games[[#This Row],[Type]]="R",IF(Games[[#This Row],[Result]]&gt;0.5,1,0),0)</f>
        <v>0</v>
      </c>
      <c r="AD266" s="2">
        <f>IF(Games[[#This Row],[Type]]="R",IF(Games[[#This Row],[Result]]&lt;0.5,1,0),0)</f>
        <v>1</v>
      </c>
      <c r="AE266" s="2">
        <f>IF(AND(Games[[#This Row],[Type]]="P",Games[[#This Row],[Round]]=1),IF(Games[[#This Row],[Result]]&gt;0.5,1,0),0)</f>
        <v>0</v>
      </c>
      <c r="AF266" s="2">
        <f>IF(AND(Games[[#This Row],[Type]]="P",Games[[#This Row],[Round]]=1),IF(Games[[#This Row],[Result]]&lt;0.5,1,0),0)</f>
        <v>0</v>
      </c>
      <c r="AG266" s="2">
        <f>IF(AND(Games[[#This Row],[Type]]="P",Games[[#This Row],[Round]]=2),IF(Games[[#This Row],[Result]]&gt;0.5,1,0),0)</f>
        <v>0</v>
      </c>
      <c r="AH266" s="2">
        <f>IF(AND(Games[[#This Row],[Type]]="P",Games[[#This Row],[Round]]=2),IF(Games[[#This Row],[Result]]&lt;0.5,1,0),0)</f>
        <v>0</v>
      </c>
      <c r="AI266" s="2">
        <f>IF(AND(Games[[#This Row],[Type]]="P",Games[[#This Row],[Round]]=3),IF(Games[[#This Row],[Result]]&gt;0.5,1,0),0)</f>
        <v>0</v>
      </c>
      <c r="AJ266" s="2">
        <f>IF(AND(Games[[#This Row],[Type]]="P",Games[[#This Row],[Round]]=3),IF(Games[[#This Row],[Result]]&lt;0.5,1,0),0)</f>
        <v>0</v>
      </c>
      <c r="AK266" s="2">
        <f>IF(AND(Games[[#This Row],[Type]]="P",Games[[#This Row],[Round]]=4),IF(Games[[#This Row],[Result]]&gt;0.5,1,0),0)</f>
        <v>0</v>
      </c>
      <c r="AL266" s="2">
        <f>IF(AND(Games[[#This Row],[Type]]="P",Games[[#This Row],[Round]]=4),IF(Games[[#This Row],[Result]]&lt;0.5,1,0),0)</f>
        <v>0</v>
      </c>
    </row>
    <row r="267" spans="1:38" x14ac:dyDescent="0.35">
      <c r="A267" s="10">
        <v>44427</v>
      </c>
      <c r="B267" s="2">
        <v>2021</v>
      </c>
      <c r="C267" s="2">
        <f>COUNTIFS(Games[Team],Games[[#This Row],[Team]],Games[Season],Games[[#This Row],[Season]],Games[Date],"&lt;=" &amp; Games[[#This Row],[Date]])</f>
        <v>24</v>
      </c>
      <c r="D267" s="2" t="s">
        <v>79</v>
      </c>
      <c r="E267" s="2" t="s">
        <v>80</v>
      </c>
      <c r="F267" s="1" t="s">
        <v>74</v>
      </c>
      <c r="G267" s="1" t="s">
        <v>67</v>
      </c>
      <c r="H267" s="1" t="s">
        <v>82</v>
      </c>
      <c r="I267" s="2" cm="1">
        <f t="array" ref="I26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7" s="2" cm="1">
        <f t="array" ref="J26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7" s="2">
        <f>Games[[#This Row],[DaysOff]]-Games[[#This Row],[OppDaysOff]]</f>
        <v>0</v>
      </c>
      <c r="L267" s="2">
        <f>Games[[#This Row],[OppDaysOff]]-Games[[#This Row],[DaysOff]]</f>
        <v>0</v>
      </c>
      <c r="M267" s="1">
        <f>MAX(-16, MIN(16, Games[[#This Row],[RestDiff]]*8))</f>
        <v>0</v>
      </c>
      <c r="N267" s="1">
        <f>MAX(-16, MIN(16, Games[[#This Row],[OppRestDiff]]*8))</f>
        <v>0</v>
      </c>
      <c r="O267" s="4" cm="1">
        <f t="array" ref="O2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1621.8432388956403</v>
      </c>
      <c r="P267" s="4" cm="1">
        <f t="array" ref="P2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1589.8571497728947</v>
      </c>
      <c r="Q267" s="4">
        <f>1/(1+10^(((Games[[#This Row],[OppPreGmRate]]+IF(Games[[#This Row],[HomeAway]]="A",HCA,0)+Games[[#This Row],[OppRestAdj]])-(Games[[#This Row],[PreGmRate]]+IF(Games[[#This Row],[HomeAway]]="H",HCA,0)+Games[[#This Row],[RestAdj]]))/400))</f>
        <v>0.66098114731746327</v>
      </c>
      <c r="R267" s="1">
        <v>82</v>
      </c>
      <c r="S267" s="1">
        <v>71</v>
      </c>
      <c r="T267" s="1">
        <v>0</v>
      </c>
      <c r="U267" s="1">
        <f>Games[[#This Row],[PointsFor]]-Games[[#This Row],[PointsAgainst]]</f>
        <v>11</v>
      </c>
      <c r="V267" s="1">
        <f>IF(Games[[#This Row],[MOV]]&gt;0,1,IF(Games[[#This Row],[MOV]]=0,0.5,0))</f>
        <v>1</v>
      </c>
      <c r="W267" s="4">
        <f>((ABS(Games[[#This Row],[MOV]])+5)^0.6)/(12+0.01*(ABS(Games[[#This Row],[PreGmRate]]-Games[[#This Row],[OppPreGmRate]])))*IF(Games[[#This Row],[OT]]=1,0.9,1)</f>
        <v>0.42841649671952703</v>
      </c>
      <c r="X267" s="7" cm="1">
        <f t="array" ref="X2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7" s="9">
        <f>MAX(kmin, kmax - 0.15 * MIN(Games[[#This Row],[GamesPlayed]], 82))</f>
        <v>72.400000000000006</v>
      </c>
      <c r="Z267" s="4">
        <f>Games[[#This Row],[K]]*Games[[#This Row],[POMult]]</f>
        <v>72.400000000000006</v>
      </c>
      <c r="AA267" s="4">
        <f>(Games[[#This Row],[Keff]]*Games[[#This Row],[MOVMult]])*(Games[[#This Row],[Result]]-Games[[#This Row],[ExpectedWin%]])</f>
        <v>10.515467889220309</v>
      </c>
      <c r="AB267" s="4">
        <f>Games[[#This Row],[PreGmRate]]+Games[[#This Row],[RatingChange]]</f>
        <v>1632.3587067848607</v>
      </c>
      <c r="AC267" s="2">
        <f>IF(Games[[#This Row],[Type]]="R",IF(Games[[#This Row],[Result]]&gt;0.5,1,0),0)</f>
        <v>1</v>
      </c>
      <c r="AD267" s="2">
        <f>IF(Games[[#This Row],[Type]]="R",IF(Games[[#This Row],[Result]]&lt;0.5,1,0),0)</f>
        <v>0</v>
      </c>
      <c r="AE267" s="2">
        <f>IF(AND(Games[[#This Row],[Type]]="P",Games[[#This Row],[Round]]=1),IF(Games[[#This Row],[Result]]&gt;0.5,1,0),0)</f>
        <v>0</v>
      </c>
      <c r="AF267" s="2">
        <f>IF(AND(Games[[#This Row],[Type]]="P",Games[[#This Row],[Round]]=1),IF(Games[[#This Row],[Result]]&lt;0.5,1,0),0)</f>
        <v>0</v>
      </c>
      <c r="AG267" s="2">
        <f>IF(AND(Games[[#This Row],[Type]]="P",Games[[#This Row],[Round]]=2),IF(Games[[#This Row],[Result]]&gt;0.5,1,0),0)</f>
        <v>0</v>
      </c>
      <c r="AH267" s="2">
        <f>IF(AND(Games[[#This Row],[Type]]="P",Games[[#This Row],[Round]]=2),IF(Games[[#This Row],[Result]]&lt;0.5,1,0),0)</f>
        <v>0</v>
      </c>
      <c r="AI267" s="2">
        <f>IF(AND(Games[[#This Row],[Type]]="P",Games[[#This Row],[Round]]=3),IF(Games[[#This Row],[Result]]&gt;0.5,1,0),0)</f>
        <v>0</v>
      </c>
      <c r="AJ267" s="2">
        <f>IF(AND(Games[[#This Row],[Type]]="P",Games[[#This Row],[Round]]=3),IF(Games[[#This Row],[Result]]&lt;0.5,1,0),0)</f>
        <v>0</v>
      </c>
      <c r="AK267" s="2">
        <f>IF(AND(Games[[#This Row],[Type]]="P",Games[[#This Row],[Round]]=4),IF(Games[[#This Row],[Result]]&gt;0.5,1,0),0)</f>
        <v>0</v>
      </c>
      <c r="AL267" s="2">
        <f>IF(AND(Games[[#This Row],[Type]]="P",Games[[#This Row],[Round]]=4),IF(Games[[#This Row],[Result]]&lt;0.5,1,0),0)</f>
        <v>0</v>
      </c>
    </row>
    <row r="268" spans="1:38" x14ac:dyDescent="0.35">
      <c r="A268" s="10">
        <v>44427</v>
      </c>
      <c r="B268" s="2">
        <v>2021</v>
      </c>
      <c r="C268" s="2">
        <f>COUNTIFS(Games[Team],Games[[#This Row],[Team]],Games[Season],Games[[#This Row],[Season]],Games[Date],"&lt;=" &amp; Games[[#This Row],[Date]])</f>
        <v>22</v>
      </c>
      <c r="D268" s="2" t="s">
        <v>79</v>
      </c>
      <c r="E268" s="2" t="s">
        <v>80</v>
      </c>
      <c r="F268" s="1" t="s">
        <v>77</v>
      </c>
      <c r="G268" s="1" t="s">
        <v>63</v>
      </c>
      <c r="H268" s="1" t="s">
        <v>81</v>
      </c>
      <c r="I268" s="2" cm="1">
        <f t="array" ref="I26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8" s="2" cm="1">
        <f t="array" ref="J2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8" s="2">
        <f>Games[[#This Row],[DaysOff]]-Games[[#This Row],[OppDaysOff]]</f>
        <v>0</v>
      </c>
      <c r="L268" s="2">
        <f>Games[[#This Row],[OppDaysOff]]-Games[[#This Row],[DaysOff]]</f>
        <v>0</v>
      </c>
      <c r="M268" s="1">
        <f>MAX(-16, MIN(16, Games[[#This Row],[RestDiff]]*8))</f>
        <v>0</v>
      </c>
      <c r="N268" s="1">
        <f>MAX(-16, MIN(16, Games[[#This Row],[OppRestDiff]]*8))</f>
        <v>0</v>
      </c>
      <c r="O268" s="4" cm="1">
        <f t="array" ref="O2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1359.6926187396346</v>
      </c>
      <c r="P268" s="4" cm="1">
        <f t="array" ref="P2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1419.7698610039504</v>
      </c>
      <c r="Q268" s="4">
        <f>1/(1+10^(((Games[[#This Row],[OppPreGmRate]]+IF(Games[[#This Row],[HomeAway]]="A",HCA,0)+Games[[#This Row],[OppRestAdj]])-(Games[[#This Row],[PreGmRate]]+IF(Games[[#This Row],[HomeAway]]="H",HCA,0)+Games[[#This Row],[RestAdj]]))/400))</f>
        <v>0.30377718104706763</v>
      </c>
      <c r="R268" s="1">
        <v>64</v>
      </c>
      <c r="S268" s="1">
        <v>66</v>
      </c>
      <c r="T268" s="1">
        <v>0</v>
      </c>
      <c r="U268" s="1">
        <f>Games[[#This Row],[PointsFor]]-Games[[#This Row],[PointsAgainst]]</f>
        <v>-2</v>
      </c>
      <c r="V268" s="1">
        <f>IF(Games[[#This Row],[MOV]]&gt;0,1,IF(Games[[#This Row],[MOV]]=0,0.5,0))</f>
        <v>0</v>
      </c>
      <c r="W268" s="4">
        <f>((ABS(Games[[#This Row],[MOV]])+5)^0.6)/(12+0.01*(ABS(Games[[#This Row],[PreGmRate]]-Games[[#This Row],[OppPreGmRate]])))*IF(Games[[#This Row],[OT]]=1,0.9,1)</f>
        <v>0.25507133546356392</v>
      </c>
      <c r="X268" s="7" cm="1">
        <f t="array" ref="X2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8" s="9">
        <f>MAX(kmin, kmax - 0.15 * MIN(Games[[#This Row],[GamesPlayed]], 82))</f>
        <v>72.7</v>
      </c>
      <c r="Z268" s="4">
        <f>Games[[#This Row],[K]]*Games[[#This Row],[POMult]]</f>
        <v>72.7</v>
      </c>
      <c r="AA268" s="4">
        <f>(Games[[#This Row],[Keff]]*Games[[#This Row],[MOVMult]])*(Games[[#This Row],[Result]]-Games[[#This Row],[ExpectedWin%]])</f>
        <v>-5.6331486860954545</v>
      </c>
      <c r="AB268" s="4">
        <f>Games[[#This Row],[PreGmRate]]+Games[[#This Row],[RatingChange]]</f>
        <v>1354.0594700535391</v>
      </c>
      <c r="AC268" s="2">
        <f>IF(Games[[#This Row],[Type]]="R",IF(Games[[#This Row],[Result]]&gt;0.5,1,0),0)</f>
        <v>0</v>
      </c>
      <c r="AD268" s="2">
        <f>IF(Games[[#This Row],[Type]]="R",IF(Games[[#This Row],[Result]]&lt;0.5,1,0),0)</f>
        <v>1</v>
      </c>
      <c r="AE268" s="2">
        <f>IF(AND(Games[[#This Row],[Type]]="P",Games[[#This Row],[Round]]=1),IF(Games[[#This Row],[Result]]&gt;0.5,1,0),0)</f>
        <v>0</v>
      </c>
      <c r="AF268" s="2">
        <f>IF(AND(Games[[#This Row],[Type]]="P",Games[[#This Row],[Round]]=1),IF(Games[[#This Row],[Result]]&lt;0.5,1,0),0)</f>
        <v>0</v>
      </c>
      <c r="AG268" s="2">
        <f>IF(AND(Games[[#This Row],[Type]]="P",Games[[#This Row],[Round]]=2),IF(Games[[#This Row],[Result]]&gt;0.5,1,0),0)</f>
        <v>0</v>
      </c>
      <c r="AH268" s="2">
        <f>IF(AND(Games[[#This Row],[Type]]="P",Games[[#This Row],[Round]]=2),IF(Games[[#This Row],[Result]]&lt;0.5,1,0),0)</f>
        <v>0</v>
      </c>
      <c r="AI268" s="2">
        <f>IF(AND(Games[[#This Row],[Type]]="P",Games[[#This Row],[Round]]=3),IF(Games[[#This Row],[Result]]&gt;0.5,1,0),0)</f>
        <v>0</v>
      </c>
      <c r="AJ268" s="2">
        <f>IF(AND(Games[[#This Row],[Type]]="P",Games[[#This Row],[Round]]=3),IF(Games[[#This Row],[Result]]&lt;0.5,1,0),0)</f>
        <v>0</v>
      </c>
      <c r="AK268" s="2">
        <f>IF(AND(Games[[#This Row],[Type]]="P",Games[[#This Row],[Round]]=4),IF(Games[[#This Row],[Result]]&gt;0.5,1,0),0)</f>
        <v>0</v>
      </c>
      <c r="AL268" s="2">
        <f>IF(AND(Games[[#This Row],[Type]]="P",Games[[#This Row],[Round]]=4),IF(Games[[#This Row],[Result]]&lt;0.5,1,0),0)</f>
        <v>0</v>
      </c>
    </row>
    <row r="269" spans="1:38" x14ac:dyDescent="0.35">
      <c r="A269" s="10">
        <v>44427</v>
      </c>
      <c r="B269" s="2">
        <v>2021</v>
      </c>
      <c r="C269" s="2">
        <f>COUNTIFS(Games[Team],Games[[#This Row],[Team]],Games[Season],Games[[#This Row],[Season]],Games[Date],"&lt;=" &amp; Games[[#This Row],[Date]])</f>
        <v>22</v>
      </c>
      <c r="D269" s="2" t="s">
        <v>79</v>
      </c>
      <c r="E269" s="2" t="s">
        <v>80</v>
      </c>
      <c r="F269" s="1" t="s">
        <v>63</v>
      </c>
      <c r="G269" s="1" t="s">
        <v>77</v>
      </c>
      <c r="H269" s="1" t="s">
        <v>82</v>
      </c>
      <c r="I269" s="2" cm="1">
        <f t="array" ref="I2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69" s="2" cm="1">
        <f t="array" ref="J26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69" s="2">
        <f>Games[[#This Row],[DaysOff]]-Games[[#This Row],[OppDaysOff]]</f>
        <v>0</v>
      </c>
      <c r="L269" s="2">
        <f>Games[[#This Row],[OppDaysOff]]-Games[[#This Row],[DaysOff]]</f>
        <v>0</v>
      </c>
      <c r="M269" s="1">
        <f>MAX(-16, MIN(16, Games[[#This Row],[RestDiff]]*8))</f>
        <v>0</v>
      </c>
      <c r="N269" s="1">
        <f>MAX(-16, MIN(16, Games[[#This Row],[OppRestDiff]]*8))</f>
        <v>0</v>
      </c>
      <c r="O269" s="4" cm="1">
        <f t="array" ref="O2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1419.7698610039504</v>
      </c>
      <c r="P269" s="4" cm="1">
        <f t="array" ref="P2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1359.6926187396346</v>
      </c>
      <c r="Q269" s="4">
        <f>1/(1+10^(((Games[[#This Row],[OppPreGmRate]]+IF(Games[[#This Row],[HomeAway]]="A",HCA,0)+Games[[#This Row],[OppRestAdj]])-(Games[[#This Row],[PreGmRate]]+IF(Games[[#This Row],[HomeAway]]="H",HCA,0)+Games[[#This Row],[RestAdj]]))/400))</f>
        <v>0.69622281895293237</v>
      </c>
      <c r="R269" s="1">
        <v>66</v>
      </c>
      <c r="S269" s="1">
        <v>64</v>
      </c>
      <c r="T269" s="1">
        <v>0</v>
      </c>
      <c r="U269" s="1">
        <f>Games[[#This Row],[PointsFor]]-Games[[#This Row],[PointsAgainst]]</f>
        <v>2</v>
      </c>
      <c r="V269" s="1">
        <f>IF(Games[[#This Row],[MOV]]&gt;0,1,IF(Games[[#This Row],[MOV]]=0,0.5,0))</f>
        <v>1</v>
      </c>
      <c r="W269" s="4">
        <f>((ABS(Games[[#This Row],[MOV]])+5)^0.6)/(12+0.01*(ABS(Games[[#This Row],[PreGmRate]]-Games[[#This Row],[OppPreGmRate]])))*IF(Games[[#This Row],[OT]]=1,0.9,1)</f>
        <v>0.25507133546356392</v>
      </c>
      <c r="X269" s="7" cm="1">
        <f t="array" ref="X2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69" s="9">
        <f>MAX(kmin, kmax - 0.15 * MIN(Games[[#This Row],[GamesPlayed]], 82))</f>
        <v>72.7</v>
      </c>
      <c r="Z269" s="4">
        <f>Games[[#This Row],[K]]*Games[[#This Row],[POMult]]</f>
        <v>72.7</v>
      </c>
      <c r="AA269" s="4">
        <f>(Games[[#This Row],[Keff]]*Games[[#This Row],[MOVMult]])*(Games[[#This Row],[Result]]-Games[[#This Row],[ExpectedWin%]])</f>
        <v>5.6331486860954545</v>
      </c>
      <c r="AB269" s="4">
        <f>Games[[#This Row],[PreGmRate]]+Games[[#This Row],[RatingChange]]</f>
        <v>1425.4030096900458</v>
      </c>
      <c r="AC269" s="2">
        <f>IF(Games[[#This Row],[Type]]="R",IF(Games[[#This Row],[Result]]&gt;0.5,1,0),0)</f>
        <v>1</v>
      </c>
      <c r="AD269" s="2">
        <f>IF(Games[[#This Row],[Type]]="R",IF(Games[[#This Row],[Result]]&lt;0.5,1,0),0)</f>
        <v>0</v>
      </c>
      <c r="AE269" s="2">
        <f>IF(AND(Games[[#This Row],[Type]]="P",Games[[#This Row],[Round]]=1),IF(Games[[#This Row],[Result]]&gt;0.5,1,0),0)</f>
        <v>0</v>
      </c>
      <c r="AF269" s="2">
        <f>IF(AND(Games[[#This Row],[Type]]="P",Games[[#This Row],[Round]]=1),IF(Games[[#This Row],[Result]]&lt;0.5,1,0),0)</f>
        <v>0</v>
      </c>
      <c r="AG269" s="2">
        <f>IF(AND(Games[[#This Row],[Type]]="P",Games[[#This Row],[Round]]=2),IF(Games[[#This Row],[Result]]&gt;0.5,1,0),0)</f>
        <v>0</v>
      </c>
      <c r="AH269" s="2">
        <f>IF(AND(Games[[#This Row],[Type]]="P",Games[[#This Row],[Round]]=2),IF(Games[[#This Row],[Result]]&lt;0.5,1,0),0)</f>
        <v>0</v>
      </c>
      <c r="AI269" s="2">
        <f>IF(AND(Games[[#This Row],[Type]]="P",Games[[#This Row],[Round]]=3),IF(Games[[#This Row],[Result]]&gt;0.5,1,0),0)</f>
        <v>0</v>
      </c>
      <c r="AJ269" s="2">
        <f>IF(AND(Games[[#This Row],[Type]]="P",Games[[#This Row],[Round]]=3),IF(Games[[#This Row],[Result]]&lt;0.5,1,0),0)</f>
        <v>0</v>
      </c>
      <c r="AK269" s="2">
        <f>IF(AND(Games[[#This Row],[Type]]="P",Games[[#This Row],[Round]]=4),IF(Games[[#This Row],[Result]]&gt;0.5,1,0),0)</f>
        <v>0</v>
      </c>
      <c r="AL269" s="2">
        <f>IF(AND(Games[[#This Row],[Type]]="P",Games[[#This Row],[Round]]=4),IF(Games[[#This Row],[Result]]&lt;0.5,1,0),0)</f>
        <v>0</v>
      </c>
    </row>
    <row r="270" spans="1:38" x14ac:dyDescent="0.35">
      <c r="A270" s="10">
        <v>44427</v>
      </c>
      <c r="B270" s="2">
        <v>2021</v>
      </c>
      <c r="C270" s="2">
        <f>COUNTIFS(Games[Team],Games[[#This Row],[Team]],Games[Season],Games[[#This Row],[Season]],Games[Date],"&lt;=" &amp; Games[[#This Row],[Date]])</f>
        <v>21</v>
      </c>
      <c r="D270" s="2" t="s">
        <v>79</v>
      </c>
      <c r="E270" s="2" t="s">
        <v>80</v>
      </c>
      <c r="F270" s="1" t="s">
        <v>65</v>
      </c>
      <c r="G270" s="1" t="s">
        <v>40</v>
      </c>
      <c r="H270" s="1" t="s">
        <v>81</v>
      </c>
      <c r="I270" s="2" cm="1">
        <f t="array" ref="I27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0" s="2" cm="1">
        <f t="array" ref="J27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0" s="2">
        <f>Games[[#This Row],[DaysOff]]-Games[[#This Row],[OppDaysOff]]</f>
        <v>0</v>
      </c>
      <c r="L270" s="2">
        <f>Games[[#This Row],[OppDaysOff]]-Games[[#This Row],[DaysOff]]</f>
        <v>0</v>
      </c>
      <c r="M270" s="1">
        <f>MAX(-16, MIN(16, Games[[#This Row],[RestDiff]]*8))</f>
        <v>0</v>
      </c>
      <c r="N270" s="1">
        <f>MAX(-16, MIN(16, Games[[#This Row],[OppRestDiff]]*8))</f>
        <v>0</v>
      </c>
      <c r="O270" s="4" cm="1">
        <f t="array" ref="O2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1453.132245816339</v>
      </c>
      <c r="P270" s="4" cm="1">
        <f t="array" ref="P2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1497.2862074893183</v>
      </c>
      <c r="Q270" s="4">
        <f>1/(1+10^(((Games[[#This Row],[OppPreGmRate]]+IF(Games[[#This Row],[HomeAway]]="A",HCA,0)+Games[[#This Row],[OppRestAdj]])-(Games[[#This Row],[PreGmRate]]+IF(Games[[#This Row],[HomeAway]]="H",HCA,0)+Games[[#This Row],[RestAdj]]))/400))</f>
        <v>0.32350433960829367</v>
      </c>
      <c r="R270" s="1">
        <v>64</v>
      </c>
      <c r="S270" s="1">
        <v>77</v>
      </c>
      <c r="T270" s="1">
        <v>0</v>
      </c>
      <c r="U270" s="1">
        <f>Games[[#This Row],[PointsFor]]-Games[[#This Row],[PointsAgainst]]</f>
        <v>-13</v>
      </c>
      <c r="V270" s="1">
        <f>IF(Games[[#This Row],[MOV]]&gt;0,1,IF(Games[[#This Row],[MOV]]=0,0.5,0))</f>
        <v>0</v>
      </c>
      <c r="W270" s="4">
        <f>((ABS(Games[[#This Row],[MOV]])+5)^0.6)/(12+0.01*(ABS(Games[[#This Row],[PreGmRate]]-Games[[#This Row],[OppPreGmRate]])))*IF(Games[[#This Row],[OT]]=1,0.9,1)</f>
        <v>0.45529132585427629</v>
      </c>
      <c r="X270" s="7" cm="1">
        <f t="array" ref="X2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0" s="9">
        <f>MAX(kmin, kmax - 0.15 * MIN(Games[[#This Row],[GamesPlayed]], 82))</f>
        <v>72.849999999999994</v>
      </c>
      <c r="Z270" s="4">
        <f>Games[[#This Row],[K]]*Games[[#This Row],[POMult]]</f>
        <v>72.849999999999994</v>
      </c>
      <c r="AA270" s="4">
        <f>(Games[[#This Row],[Keff]]*Games[[#This Row],[MOVMult]])*(Games[[#This Row],[Result]]-Games[[#This Row],[ExpectedWin%]])</f>
        <v>-10.729983230135682</v>
      </c>
      <c r="AB270" s="4">
        <f>Games[[#This Row],[PreGmRate]]+Games[[#This Row],[RatingChange]]</f>
        <v>1442.4022625862033</v>
      </c>
      <c r="AC270" s="2">
        <f>IF(Games[[#This Row],[Type]]="R",IF(Games[[#This Row],[Result]]&gt;0.5,1,0),0)</f>
        <v>0</v>
      </c>
      <c r="AD270" s="2">
        <f>IF(Games[[#This Row],[Type]]="R",IF(Games[[#This Row],[Result]]&lt;0.5,1,0),0)</f>
        <v>1</v>
      </c>
      <c r="AE270" s="2">
        <f>IF(AND(Games[[#This Row],[Type]]="P",Games[[#This Row],[Round]]=1),IF(Games[[#This Row],[Result]]&gt;0.5,1,0),0)</f>
        <v>0</v>
      </c>
      <c r="AF270" s="2">
        <f>IF(AND(Games[[#This Row],[Type]]="P",Games[[#This Row],[Round]]=1),IF(Games[[#This Row],[Result]]&lt;0.5,1,0),0)</f>
        <v>0</v>
      </c>
      <c r="AG270" s="2">
        <f>IF(AND(Games[[#This Row],[Type]]="P",Games[[#This Row],[Round]]=2),IF(Games[[#This Row],[Result]]&gt;0.5,1,0),0)</f>
        <v>0</v>
      </c>
      <c r="AH270" s="2">
        <f>IF(AND(Games[[#This Row],[Type]]="P",Games[[#This Row],[Round]]=2),IF(Games[[#This Row],[Result]]&lt;0.5,1,0),0)</f>
        <v>0</v>
      </c>
      <c r="AI270" s="2">
        <f>IF(AND(Games[[#This Row],[Type]]="P",Games[[#This Row],[Round]]=3),IF(Games[[#This Row],[Result]]&gt;0.5,1,0),0)</f>
        <v>0</v>
      </c>
      <c r="AJ270" s="2">
        <f>IF(AND(Games[[#This Row],[Type]]="P",Games[[#This Row],[Round]]=3),IF(Games[[#This Row],[Result]]&lt;0.5,1,0),0)</f>
        <v>0</v>
      </c>
      <c r="AK270" s="2">
        <f>IF(AND(Games[[#This Row],[Type]]="P",Games[[#This Row],[Round]]=4),IF(Games[[#This Row],[Result]]&gt;0.5,1,0),0)</f>
        <v>0</v>
      </c>
      <c r="AL270" s="2">
        <f>IF(AND(Games[[#This Row],[Type]]="P",Games[[#This Row],[Round]]=4),IF(Games[[#This Row],[Result]]&lt;0.5,1,0),0)</f>
        <v>0</v>
      </c>
    </row>
    <row r="271" spans="1:38" x14ac:dyDescent="0.35">
      <c r="A271" s="10">
        <v>44427</v>
      </c>
      <c r="B271" s="2">
        <v>2021</v>
      </c>
      <c r="C271" s="2">
        <f>COUNTIFS(Games[Team],Games[[#This Row],[Team]],Games[Season],Games[[#This Row],[Season]],Games[Date],"&lt;=" &amp; Games[[#This Row],[Date]])</f>
        <v>22</v>
      </c>
      <c r="D271" s="2" t="s">
        <v>79</v>
      </c>
      <c r="E271" s="2" t="s">
        <v>80</v>
      </c>
      <c r="F271" s="1" t="s">
        <v>40</v>
      </c>
      <c r="G271" s="1" t="s">
        <v>65</v>
      </c>
      <c r="H271" s="1" t="s">
        <v>82</v>
      </c>
      <c r="I271" s="2" cm="1">
        <f t="array" ref="I27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1" s="2" cm="1">
        <f t="array" ref="J27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1" s="2">
        <f>Games[[#This Row],[DaysOff]]-Games[[#This Row],[OppDaysOff]]</f>
        <v>0</v>
      </c>
      <c r="L271" s="2">
        <f>Games[[#This Row],[OppDaysOff]]-Games[[#This Row],[DaysOff]]</f>
        <v>0</v>
      </c>
      <c r="M271" s="1">
        <f>MAX(-16, MIN(16, Games[[#This Row],[RestDiff]]*8))</f>
        <v>0</v>
      </c>
      <c r="N271" s="1">
        <f>MAX(-16, MIN(16, Games[[#This Row],[OppRestDiff]]*8))</f>
        <v>0</v>
      </c>
      <c r="O271" s="4" cm="1">
        <f t="array" ref="O2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1497.2862074893183</v>
      </c>
      <c r="P271" s="4" cm="1">
        <f t="array" ref="P2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1453.132245816339</v>
      </c>
      <c r="Q271" s="4">
        <f>1/(1+10^(((Games[[#This Row],[OppPreGmRate]]+IF(Games[[#This Row],[HomeAway]]="A",HCA,0)+Games[[#This Row],[OppRestAdj]])-(Games[[#This Row],[PreGmRate]]+IF(Games[[#This Row],[HomeAway]]="H",HCA,0)+Games[[#This Row],[RestAdj]]))/400))</f>
        <v>0.67649566039170639</v>
      </c>
      <c r="R271" s="1">
        <v>77</v>
      </c>
      <c r="S271" s="1">
        <v>64</v>
      </c>
      <c r="T271" s="1">
        <v>0</v>
      </c>
      <c r="U271" s="1">
        <f>Games[[#This Row],[PointsFor]]-Games[[#This Row],[PointsAgainst]]</f>
        <v>13</v>
      </c>
      <c r="V271" s="1">
        <f>IF(Games[[#This Row],[MOV]]&gt;0,1,IF(Games[[#This Row],[MOV]]=0,0.5,0))</f>
        <v>1</v>
      </c>
      <c r="W271" s="4">
        <f>((ABS(Games[[#This Row],[MOV]])+5)^0.6)/(12+0.01*(ABS(Games[[#This Row],[PreGmRate]]-Games[[#This Row],[OppPreGmRate]])))*IF(Games[[#This Row],[OT]]=1,0.9,1)</f>
        <v>0.45529132585427629</v>
      </c>
      <c r="X271" s="7" cm="1">
        <f t="array" ref="X2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1" s="9">
        <f>MAX(kmin, kmax - 0.15 * MIN(Games[[#This Row],[GamesPlayed]], 82))</f>
        <v>72.7</v>
      </c>
      <c r="Z271" s="4">
        <f>Games[[#This Row],[K]]*Games[[#This Row],[POMult]]</f>
        <v>72.7</v>
      </c>
      <c r="AA271" s="4">
        <f>(Games[[#This Row],[Keff]]*Games[[#This Row],[MOVMult]])*(Games[[#This Row],[Result]]-Games[[#This Row],[ExpectedWin%]])</f>
        <v>10.7078899221807</v>
      </c>
      <c r="AB271" s="4">
        <f>Games[[#This Row],[PreGmRate]]+Games[[#This Row],[RatingChange]]</f>
        <v>1507.9940974114991</v>
      </c>
      <c r="AC271" s="2">
        <f>IF(Games[[#This Row],[Type]]="R",IF(Games[[#This Row],[Result]]&gt;0.5,1,0),0)</f>
        <v>1</v>
      </c>
      <c r="AD271" s="2">
        <f>IF(Games[[#This Row],[Type]]="R",IF(Games[[#This Row],[Result]]&lt;0.5,1,0),0)</f>
        <v>0</v>
      </c>
      <c r="AE271" s="2">
        <f>IF(AND(Games[[#This Row],[Type]]="P",Games[[#This Row],[Round]]=1),IF(Games[[#This Row],[Result]]&gt;0.5,1,0),0)</f>
        <v>0</v>
      </c>
      <c r="AF271" s="2">
        <f>IF(AND(Games[[#This Row],[Type]]="P",Games[[#This Row],[Round]]=1),IF(Games[[#This Row],[Result]]&lt;0.5,1,0),0)</f>
        <v>0</v>
      </c>
      <c r="AG271" s="2">
        <f>IF(AND(Games[[#This Row],[Type]]="P",Games[[#This Row],[Round]]=2),IF(Games[[#This Row],[Result]]&gt;0.5,1,0),0)</f>
        <v>0</v>
      </c>
      <c r="AH271" s="2">
        <f>IF(AND(Games[[#This Row],[Type]]="P",Games[[#This Row],[Round]]=2),IF(Games[[#This Row],[Result]]&lt;0.5,1,0),0)</f>
        <v>0</v>
      </c>
      <c r="AI271" s="2">
        <f>IF(AND(Games[[#This Row],[Type]]="P",Games[[#This Row],[Round]]=3),IF(Games[[#This Row],[Result]]&gt;0.5,1,0),0)</f>
        <v>0</v>
      </c>
      <c r="AJ271" s="2">
        <f>IF(AND(Games[[#This Row],[Type]]="P",Games[[#This Row],[Round]]=3),IF(Games[[#This Row],[Result]]&lt;0.5,1,0),0)</f>
        <v>0</v>
      </c>
      <c r="AK271" s="2">
        <f>IF(AND(Games[[#This Row],[Type]]="P",Games[[#This Row],[Round]]=4),IF(Games[[#This Row],[Result]]&gt;0.5,1,0),0)</f>
        <v>0</v>
      </c>
      <c r="AL271" s="2">
        <f>IF(AND(Games[[#This Row],[Type]]="P",Games[[#This Row],[Round]]=4),IF(Games[[#This Row],[Result]]&lt;0.5,1,0),0)</f>
        <v>0</v>
      </c>
    </row>
    <row r="272" spans="1:38" x14ac:dyDescent="0.35">
      <c r="A272" s="10">
        <v>44428</v>
      </c>
      <c r="B272" s="2">
        <v>2021</v>
      </c>
      <c r="C272" s="2">
        <f>COUNTIFS(Games[Team],Games[[#This Row],[Team]],Games[Season],Games[[#This Row],[Season]],Games[Date],"&lt;=" &amp; Games[[#This Row],[Date]])</f>
        <v>23</v>
      </c>
      <c r="D272" s="2" t="s">
        <v>79</v>
      </c>
      <c r="E272" s="2" t="s">
        <v>80</v>
      </c>
      <c r="F272" s="1" t="s">
        <v>69</v>
      </c>
      <c r="G272" s="1" t="s">
        <v>84</v>
      </c>
      <c r="H272" s="1" t="s">
        <v>81</v>
      </c>
      <c r="I272" s="2" cm="1">
        <f t="array" ref="I272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2" s="2" cm="1">
        <f t="array" ref="J2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2" s="2">
        <f>Games[[#This Row],[DaysOff]]-Games[[#This Row],[OppDaysOff]]</f>
        <v>0</v>
      </c>
      <c r="L272" s="2">
        <f>Games[[#This Row],[OppDaysOff]]-Games[[#This Row],[DaysOff]]</f>
        <v>0</v>
      </c>
      <c r="M272" s="1">
        <f>MAX(-16, MIN(16, Games[[#This Row],[RestDiff]]*8))</f>
        <v>0</v>
      </c>
      <c r="N272" s="1">
        <f>MAX(-16, MIN(16, Games[[#This Row],[OppRestDiff]]*8))</f>
        <v>0</v>
      </c>
      <c r="O272" s="4" cm="1">
        <f t="array" ref="O2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1336.4933235392282</v>
      </c>
      <c r="P272" s="4" cm="1">
        <f t="array" ref="P2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1474.280970637938</v>
      </c>
      <c r="Q272" s="4">
        <f>1/(1+10^(((Games[[#This Row],[OppPreGmRate]]+IF(Games[[#This Row],[HomeAway]]="A",HCA,0)+Games[[#This Row],[OppRestAdj]])-(Games[[#This Row],[PreGmRate]]+IF(Games[[#This Row],[HomeAway]]="H",HCA,0)+Games[[#This Row],[RestAdj]]))/400))</f>
        <v>0.21811037824614452</v>
      </c>
      <c r="R272" s="1">
        <v>83</v>
      </c>
      <c r="S272" s="1">
        <v>81</v>
      </c>
      <c r="T272" s="1">
        <v>0</v>
      </c>
      <c r="U272" s="1">
        <f>Games[[#This Row],[PointsFor]]-Games[[#This Row],[PointsAgainst]]</f>
        <v>2</v>
      </c>
      <c r="V272" s="1">
        <f>IF(Games[[#This Row],[MOV]]&gt;0,1,IF(Games[[#This Row],[MOV]]=0,0.5,0))</f>
        <v>1</v>
      </c>
      <c r="W272" s="4">
        <f>((ABS(Games[[#This Row],[MOV]])+5)^0.6)/(12+0.01*(ABS(Games[[#This Row],[PreGmRate]]-Games[[#This Row],[OppPreGmRate]])))*IF(Games[[#This Row],[OT]]=1,0.9,1)</f>
        <v>0.24025456182724667</v>
      </c>
      <c r="X272" s="7" cm="1">
        <f t="array" ref="X2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2" s="9">
        <f>MAX(kmin, kmax - 0.15 * MIN(Games[[#This Row],[GamesPlayed]], 82))</f>
        <v>72.55</v>
      </c>
      <c r="Z272" s="4">
        <f>Games[[#This Row],[K]]*Games[[#This Row],[POMult]]</f>
        <v>72.55</v>
      </c>
      <c r="AA272" s="4">
        <f>(Games[[#This Row],[Keff]]*Games[[#This Row],[MOVMult]])*(Games[[#This Row],[Result]]-Games[[#This Row],[ExpectedWin%]])</f>
        <v>13.628702391625039</v>
      </c>
      <c r="AB272" s="4">
        <f>Games[[#This Row],[PreGmRate]]+Games[[#This Row],[RatingChange]]</f>
        <v>1350.1220259308532</v>
      </c>
      <c r="AC272" s="2">
        <f>IF(Games[[#This Row],[Type]]="R",IF(Games[[#This Row],[Result]]&gt;0.5,1,0),0)</f>
        <v>1</v>
      </c>
      <c r="AD272" s="2">
        <f>IF(Games[[#This Row],[Type]]="R",IF(Games[[#This Row],[Result]]&lt;0.5,1,0),0)</f>
        <v>0</v>
      </c>
      <c r="AE272" s="2">
        <f>IF(AND(Games[[#This Row],[Type]]="P",Games[[#This Row],[Round]]=1),IF(Games[[#This Row],[Result]]&gt;0.5,1,0),0)</f>
        <v>0</v>
      </c>
      <c r="AF272" s="2">
        <f>IF(AND(Games[[#This Row],[Type]]="P",Games[[#This Row],[Round]]=1),IF(Games[[#This Row],[Result]]&lt;0.5,1,0),0)</f>
        <v>0</v>
      </c>
      <c r="AG272" s="2">
        <f>IF(AND(Games[[#This Row],[Type]]="P",Games[[#This Row],[Round]]=2),IF(Games[[#This Row],[Result]]&gt;0.5,1,0),0)</f>
        <v>0</v>
      </c>
      <c r="AH272" s="2">
        <f>IF(AND(Games[[#This Row],[Type]]="P",Games[[#This Row],[Round]]=2),IF(Games[[#This Row],[Result]]&lt;0.5,1,0),0)</f>
        <v>0</v>
      </c>
      <c r="AI272" s="2">
        <f>IF(AND(Games[[#This Row],[Type]]="P",Games[[#This Row],[Round]]=3),IF(Games[[#This Row],[Result]]&gt;0.5,1,0),0)</f>
        <v>0</v>
      </c>
      <c r="AJ272" s="2">
        <f>IF(AND(Games[[#This Row],[Type]]="P",Games[[#This Row],[Round]]=3),IF(Games[[#This Row],[Result]]&lt;0.5,1,0),0)</f>
        <v>0</v>
      </c>
      <c r="AK272" s="2">
        <f>IF(AND(Games[[#This Row],[Type]]="P",Games[[#This Row],[Round]]=4),IF(Games[[#This Row],[Result]]&gt;0.5,1,0),0)</f>
        <v>0</v>
      </c>
      <c r="AL272" s="2">
        <f>IF(AND(Games[[#This Row],[Type]]="P",Games[[#This Row],[Round]]=4),IF(Games[[#This Row],[Result]]&lt;0.5,1,0),0)</f>
        <v>0</v>
      </c>
    </row>
    <row r="273" spans="1:38" x14ac:dyDescent="0.35">
      <c r="A273" s="10">
        <v>44428</v>
      </c>
      <c r="B273" s="2">
        <v>2021</v>
      </c>
      <c r="C273" s="2">
        <f>COUNTIFS(Games[Team],Games[[#This Row],[Team]],Games[Season],Games[[#This Row],[Season]],Games[Date],"&lt;=" &amp; Games[[#This Row],[Date]])</f>
        <v>24</v>
      </c>
      <c r="D273" s="2" t="s">
        <v>79</v>
      </c>
      <c r="E273" s="2" t="s">
        <v>80</v>
      </c>
      <c r="F273" s="1" t="s">
        <v>84</v>
      </c>
      <c r="G273" s="1" t="s">
        <v>69</v>
      </c>
      <c r="H273" s="1" t="s">
        <v>82</v>
      </c>
      <c r="I273" s="2" cm="1">
        <f t="array" ref="I2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73" s="2" cm="1">
        <f t="array" ref="J27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73" s="2">
        <f>Games[[#This Row],[DaysOff]]-Games[[#This Row],[OppDaysOff]]</f>
        <v>0</v>
      </c>
      <c r="L273" s="2">
        <f>Games[[#This Row],[OppDaysOff]]-Games[[#This Row],[DaysOff]]</f>
        <v>0</v>
      </c>
      <c r="M273" s="1">
        <f>MAX(-16, MIN(16, Games[[#This Row],[RestDiff]]*8))</f>
        <v>0</v>
      </c>
      <c r="N273" s="1">
        <f>MAX(-16, MIN(16, Games[[#This Row],[OppRestDiff]]*8))</f>
        <v>0</v>
      </c>
      <c r="O273" s="4" cm="1">
        <f t="array" ref="O2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1474.280970637938</v>
      </c>
      <c r="P273" s="4" cm="1">
        <f t="array" ref="P2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1336.4933235392282</v>
      </c>
      <c r="Q273" s="4">
        <f>1/(1+10^(((Games[[#This Row],[OppPreGmRate]]+IF(Games[[#This Row],[HomeAway]]="A",HCA,0)+Games[[#This Row],[OppRestAdj]])-(Games[[#This Row],[PreGmRate]]+IF(Games[[#This Row],[HomeAway]]="H",HCA,0)+Games[[#This Row],[RestAdj]]))/400))</f>
        <v>0.78188962175385546</v>
      </c>
      <c r="R273" s="1">
        <v>81</v>
      </c>
      <c r="S273" s="1">
        <v>83</v>
      </c>
      <c r="T273" s="1">
        <v>0</v>
      </c>
      <c r="U273" s="1">
        <f>Games[[#This Row],[PointsFor]]-Games[[#This Row],[PointsAgainst]]</f>
        <v>-2</v>
      </c>
      <c r="V273" s="1">
        <f>IF(Games[[#This Row],[MOV]]&gt;0,1,IF(Games[[#This Row],[MOV]]=0,0.5,0))</f>
        <v>0</v>
      </c>
      <c r="W273" s="4">
        <f>((ABS(Games[[#This Row],[MOV]])+5)^0.6)/(12+0.01*(ABS(Games[[#This Row],[PreGmRate]]-Games[[#This Row],[OppPreGmRate]])))*IF(Games[[#This Row],[OT]]=1,0.9,1)</f>
        <v>0.24025456182724667</v>
      </c>
      <c r="X273" s="7" cm="1">
        <f t="array" ref="X2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3" s="9">
        <f>MAX(kmin, kmax - 0.15 * MIN(Games[[#This Row],[GamesPlayed]], 82))</f>
        <v>72.400000000000006</v>
      </c>
      <c r="Z273" s="4">
        <f>Games[[#This Row],[K]]*Games[[#This Row],[POMult]]</f>
        <v>72.400000000000006</v>
      </c>
      <c r="AA273" s="4">
        <f>(Games[[#This Row],[Keff]]*Games[[#This Row],[MOVMult]])*(Games[[#This Row],[Result]]-Games[[#This Row],[ExpectedWin%]])</f>
        <v>-13.60052450935428</v>
      </c>
      <c r="AB273" s="4">
        <f>Games[[#This Row],[PreGmRate]]+Games[[#This Row],[RatingChange]]</f>
        <v>1460.6804461285838</v>
      </c>
      <c r="AC273" s="2">
        <f>IF(Games[[#This Row],[Type]]="R",IF(Games[[#This Row],[Result]]&gt;0.5,1,0),0)</f>
        <v>0</v>
      </c>
      <c r="AD273" s="2">
        <f>IF(Games[[#This Row],[Type]]="R",IF(Games[[#This Row],[Result]]&lt;0.5,1,0),0)</f>
        <v>1</v>
      </c>
      <c r="AE273" s="2">
        <f>IF(AND(Games[[#This Row],[Type]]="P",Games[[#This Row],[Round]]=1),IF(Games[[#This Row],[Result]]&gt;0.5,1,0),0)</f>
        <v>0</v>
      </c>
      <c r="AF273" s="2">
        <f>IF(AND(Games[[#This Row],[Type]]="P",Games[[#This Row],[Round]]=1),IF(Games[[#This Row],[Result]]&lt;0.5,1,0),0)</f>
        <v>0</v>
      </c>
      <c r="AG273" s="2">
        <f>IF(AND(Games[[#This Row],[Type]]="P",Games[[#This Row],[Round]]=2),IF(Games[[#This Row],[Result]]&gt;0.5,1,0),0)</f>
        <v>0</v>
      </c>
      <c r="AH273" s="2">
        <f>IF(AND(Games[[#This Row],[Type]]="P",Games[[#This Row],[Round]]=2),IF(Games[[#This Row],[Result]]&lt;0.5,1,0),0)</f>
        <v>0</v>
      </c>
      <c r="AI273" s="2">
        <f>IF(AND(Games[[#This Row],[Type]]="P",Games[[#This Row],[Round]]=3),IF(Games[[#This Row],[Result]]&gt;0.5,1,0),0)</f>
        <v>0</v>
      </c>
      <c r="AJ273" s="2">
        <f>IF(AND(Games[[#This Row],[Type]]="P",Games[[#This Row],[Round]]=3),IF(Games[[#This Row],[Result]]&lt;0.5,1,0),0)</f>
        <v>0</v>
      </c>
      <c r="AK273" s="2">
        <f>IF(AND(Games[[#This Row],[Type]]="P",Games[[#This Row],[Round]]=4),IF(Games[[#This Row],[Result]]&gt;0.5,1,0),0)</f>
        <v>0</v>
      </c>
      <c r="AL273" s="2">
        <f>IF(AND(Games[[#This Row],[Type]]="P",Games[[#This Row],[Round]]=4),IF(Games[[#This Row],[Result]]&lt;0.5,1,0),0)</f>
        <v>0</v>
      </c>
    </row>
    <row r="274" spans="1:38" x14ac:dyDescent="0.35">
      <c r="A274" s="10">
        <v>44428</v>
      </c>
      <c r="B274" s="2">
        <v>2021</v>
      </c>
      <c r="C274" s="2">
        <f>COUNTIFS(Games[Team],Games[[#This Row],[Team]],Games[Season],Games[[#This Row],[Season]],Games[Date],"&lt;=" &amp; Games[[#This Row],[Date]])</f>
        <v>25</v>
      </c>
      <c r="D274" s="2" t="s">
        <v>79</v>
      </c>
      <c r="E274" s="2" t="s">
        <v>80</v>
      </c>
      <c r="F274" s="1" t="s">
        <v>71</v>
      </c>
      <c r="G274" s="1" t="s">
        <v>60</v>
      </c>
      <c r="H274" s="1" t="s">
        <v>81</v>
      </c>
      <c r="I274" s="2" cm="1">
        <f t="array" ref="I27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4" s="2" cm="1">
        <f t="array" ref="J2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4" s="2">
        <f>Games[[#This Row],[DaysOff]]-Games[[#This Row],[OppDaysOff]]</f>
        <v>0</v>
      </c>
      <c r="L274" s="2">
        <f>Games[[#This Row],[OppDaysOff]]-Games[[#This Row],[DaysOff]]</f>
        <v>0</v>
      </c>
      <c r="M274" s="1">
        <f>MAX(-16, MIN(16, Games[[#This Row],[RestDiff]]*8))</f>
        <v>0</v>
      </c>
      <c r="N274" s="1">
        <f>MAX(-16, MIN(16, Games[[#This Row],[OppRestDiff]]*8))</f>
        <v>0</v>
      </c>
      <c r="O274" s="4" cm="1">
        <f t="array" ref="O2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1667.4685734260177</v>
      </c>
      <c r="P274" s="4" cm="1">
        <f t="array" ref="P2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1411.2780671025744</v>
      </c>
      <c r="Q274" s="4">
        <f>1/(1+10^(((Games[[#This Row],[OppPreGmRate]]+IF(Games[[#This Row],[HomeAway]]="A",HCA,0)+Games[[#This Row],[OppRestAdj]])-(Games[[#This Row],[PreGmRate]]+IF(Games[[#This Row],[HomeAway]]="H",HCA,0)+Games[[#This Row],[RestAdj]]))/400))</f>
        <v>0.72932650483181072</v>
      </c>
      <c r="R274" s="1">
        <v>99</v>
      </c>
      <c r="S274" s="1">
        <v>83</v>
      </c>
      <c r="T274" s="1">
        <v>0</v>
      </c>
      <c r="U274" s="1">
        <f>Games[[#This Row],[PointsFor]]-Games[[#This Row],[PointsAgainst]]</f>
        <v>16</v>
      </c>
      <c r="V274" s="1">
        <f>IF(Games[[#This Row],[MOV]]&gt;0,1,IF(Games[[#This Row],[MOV]]=0,0.5,0))</f>
        <v>1</v>
      </c>
      <c r="W274" s="4">
        <f>((ABS(Games[[#This Row],[MOV]])+5)^0.6)/(12+0.01*(ABS(Games[[#This Row],[PreGmRate]]-Games[[#This Row],[OppPreGmRate]])))*IF(Games[[#This Row],[OT]]=1,0.9,1)</f>
        <v>0.42669090070146626</v>
      </c>
      <c r="X274" s="7" cm="1">
        <f t="array" ref="X2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4" s="9">
        <f>MAX(kmin, kmax - 0.15 * MIN(Games[[#This Row],[GamesPlayed]], 82))</f>
        <v>72.25</v>
      </c>
      <c r="Z274" s="4">
        <f>Games[[#This Row],[K]]*Games[[#This Row],[POMult]]</f>
        <v>72.25</v>
      </c>
      <c r="AA274" s="4">
        <f>(Games[[#This Row],[Keff]]*Games[[#This Row],[MOVMult]])*(Games[[#This Row],[Result]]-Games[[#This Row],[ExpectedWin%]])</f>
        <v>8.3444355357139965</v>
      </c>
      <c r="AB274" s="4">
        <f>Games[[#This Row],[PreGmRate]]+Games[[#This Row],[RatingChange]]</f>
        <v>1675.8130089617316</v>
      </c>
      <c r="AC274" s="2">
        <f>IF(Games[[#This Row],[Type]]="R",IF(Games[[#This Row],[Result]]&gt;0.5,1,0),0)</f>
        <v>1</v>
      </c>
      <c r="AD274" s="2">
        <f>IF(Games[[#This Row],[Type]]="R",IF(Games[[#This Row],[Result]]&lt;0.5,1,0),0)</f>
        <v>0</v>
      </c>
      <c r="AE274" s="2">
        <f>IF(AND(Games[[#This Row],[Type]]="P",Games[[#This Row],[Round]]=1),IF(Games[[#This Row],[Result]]&gt;0.5,1,0),0)</f>
        <v>0</v>
      </c>
      <c r="AF274" s="2">
        <f>IF(AND(Games[[#This Row],[Type]]="P",Games[[#This Row],[Round]]=1),IF(Games[[#This Row],[Result]]&lt;0.5,1,0),0)</f>
        <v>0</v>
      </c>
      <c r="AG274" s="2">
        <f>IF(AND(Games[[#This Row],[Type]]="P",Games[[#This Row],[Round]]=2),IF(Games[[#This Row],[Result]]&gt;0.5,1,0),0)</f>
        <v>0</v>
      </c>
      <c r="AH274" s="2">
        <f>IF(AND(Games[[#This Row],[Type]]="P",Games[[#This Row],[Round]]=2),IF(Games[[#This Row],[Result]]&lt;0.5,1,0),0)</f>
        <v>0</v>
      </c>
      <c r="AI274" s="2">
        <f>IF(AND(Games[[#This Row],[Type]]="P",Games[[#This Row],[Round]]=3),IF(Games[[#This Row],[Result]]&gt;0.5,1,0),0)</f>
        <v>0</v>
      </c>
      <c r="AJ274" s="2">
        <f>IF(AND(Games[[#This Row],[Type]]="P",Games[[#This Row],[Round]]=3),IF(Games[[#This Row],[Result]]&lt;0.5,1,0),0)</f>
        <v>0</v>
      </c>
      <c r="AK274" s="2">
        <f>IF(AND(Games[[#This Row],[Type]]="P",Games[[#This Row],[Round]]=4),IF(Games[[#This Row],[Result]]&gt;0.5,1,0),0)</f>
        <v>0</v>
      </c>
      <c r="AL274" s="2">
        <f>IF(AND(Games[[#This Row],[Type]]="P",Games[[#This Row],[Round]]=4),IF(Games[[#This Row],[Result]]&lt;0.5,1,0),0)</f>
        <v>0</v>
      </c>
    </row>
    <row r="275" spans="1:38" x14ac:dyDescent="0.35">
      <c r="A275" s="10">
        <v>44428</v>
      </c>
      <c r="B275" s="2">
        <v>2021</v>
      </c>
      <c r="C275" s="2">
        <f>COUNTIFS(Games[Team],Games[[#This Row],[Team]],Games[Season],Games[[#This Row],[Season]],Games[Date],"&lt;=" &amp; Games[[#This Row],[Date]])</f>
        <v>24</v>
      </c>
      <c r="D275" s="2" t="s">
        <v>79</v>
      </c>
      <c r="E275" s="2" t="s">
        <v>80</v>
      </c>
      <c r="F275" s="1" t="s">
        <v>60</v>
      </c>
      <c r="G275" s="1" t="s">
        <v>71</v>
      </c>
      <c r="H275" s="1" t="s">
        <v>82</v>
      </c>
      <c r="I275" s="2" cm="1">
        <f t="array" ref="I2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5" s="2" cm="1">
        <f t="array" ref="J27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5" s="2">
        <f>Games[[#This Row],[DaysOff]]-Games[[#This Row],[OppDaysOff]]</f>
        <v>0</v>
      </c>
      <c r="L275" s="2">
        <f>Games[[#This Row],[OppDaysOff]]-Games[[#This Row],[DaysOff]]</f>
        <v>0</v>
      </c>
      <c r="M275" s="1">
        <f>MAX(-16, MIN(16, Games[[#This Row],[RestDiff]]*8))</f>
        <v>0</v>
      </c>
      <c r="N275" s="1">
        <f>MAX(-16, MIN(16, Games[[#This Row],[OppRestDiff]]*8))</f>
        <v>0</v>
      </c>
      <c r="O275" s="4" cm="1">
        <f t="array" ref="O2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1411.2780671025744</v>
      </c>
      <c r="P275" s="4" cm="1">
        <f t="array" ref="P2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1667.4685734260177</v>
      </c>
      <c r="Q275" s="4">
        <f>1/(1+10^(((Games[[#This Row],[OppPreGmRate]]+IF(Games[[#This Row],[HomeAway]]="A",HCA,0)+Games[[#This Row],[OppRestAdj]])-(Games[[#This Row],[PreGmRate]]+IF(Games[[#This Row],[HomeAway]]="H",HCA,0)+Games[[#This Row],[RestAdj]]))/400))</f>
        <v>0.27067349516818923</v>
      </c>
      <c r="R275" s="1">
        <v>83</v>
      </c>
      <c r="S275" s="1">
        <v>99</v>
      </c>
      <c r="T275" s="1">
        <v>0</v>
      </c>
      <c r="U275" s="1">
        <f>Games[[#This Row],[PointsFor]]-Games[[#This Row],[PointsAgainst]]</f>
        <v>-16</v>
      </c>
      <c r="V275" s="1">
        <f>IF(Games[[#This Row],[MOV]]&gt;0,1,IF(Games[[#This Row],[MOV]]=0,0.5,0))</f>
        <v>0</v>
      </c>
      <c r="W275" s="4">
        <f>((ABS(Games[[#This Row],[MOV]])+5)^0.6)/(12+0.01*(ABS(Games[[#This Row],[PreGmRate]]-Games[[#This Row],[OppPreGmRate]])))*IF(Games[[#This Row],[OT]]=1,0.9,1)</f>
        <v>0.42669090070146626</v>
      </c>
      <c r="X275" s="7" cm="1">
        <f t="array" ref="X2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5" s="9">
        <f>MAX(kmin, kmax - 0.15 * MIN(Games[[#This Row],[GamesPlayed]], 82))</f>
        <v>72.400000000000006</v>
      </c>
      <c r="Z275" s="4">
        <f>Games[[#This Row],[K]]*Games[[#This Row],[POMult]]</f>
        <v>72.400000000000006</v>
      </c>
      <c r="AA275" s="4">
        <f>(Games[[#This Row],[Keff]]*Games[[#This Row],[MOVMult]])*(Games[[#This Row],[Result]]-Games[[#This Row],[ExpectedWin%]])</f>
        <v>-8.3617596233313947</v>
      </c>
      <c r="AB275" s="4">
        <f>Games[[#This Row],[PreGmRate]]+Games[[#This Row],[RatingChange]]</f>
        <v>1402.916307479243</v>
      </c>
      <c r="AC275" s="2">
        <f>IF(Games[[#This Row],[Type]]="R",IF(Games[[#This Row],[Result]]&gt;0.5,1,0),0)</f>
        <v>0</v>
      </c>
      <c r="AD275" s="2">
        <f>IF(Games[[#This Row],[Type]]="R",IF(Games[[#This Row],[Result]]&lt;0.5,1,0),0)</f>
        <v>1</v>
      </c>
      <c r="AE275" s="2">
        <f>IF(AND(Games[[#This Row],[Type]]="P",Games[[#This Row],[Round]]=1),IF(Games[[#This Row],[Result]]&gt;0.5,1,0),0)</f>
        <v>0</v>
      </c>
      <c r="AF275" s="2">
        <f>IF(AND(Games[[#This Row],[Type]]="P",Games[[#This Row],[Round]]=1),IF(Games[[#This Row],[Result]]&lt;0.5,1,0),0)</f>
        <v>0</v>
      </c>
      <c r="AG275" s="2">
        <f>IF(AND(Games[[#This Row],[Type]]="P",Games[[#This Row],[Round]]=2),IF(Games[[#This Row],[Result]]&gt;0.5,1,0),0)</f>
        <v>0</v>
      </c>
      <c r="AH275" s="2">
        <f>IF(AND(Games[[#This Row],[Type]]="P",Games[[#This Row],[Round]]=2),IF(Games[[#This Row],[Result]]&lt;0.5,1,0),0)</f>
        <v>0</v>
      </c>
      <c r="AI275" s="2">
        <f>IF(AND(Games[[#This Row],[Type]]="P",Games[[#This Row],[Round]]=3),IF(Games[[#This Row],[Result]]&gt;0.5,1,0),0)</f>
        <v>0</v>
      </c>
      <c r="AJ275" s="2">
        <f>IF(AND(Games[[#This Row],[Type]]="P",Games[[#This Row],[Round]]=3),IF(Games[[#This Row],[Result]]&lt;0.5,1,0),0)</f>
        <v>0</v>
      </c>
      <c r="AK275" s="2">
        <f>IF(AND(Games[[#This Row],[Type]]="P",Games[[#This Row],[Round]]=4),IF(Games[[#This Row],[Result]]&gt;0.5,1,0),0)</f>
        <v>0</v>
      </c>
      <c r="AL275" s="2">
        <f>IF(AND(Games[[#This Row],[Type]]="P",Games[[#This Row],[Round]]=4),IF(Games[[#This Row],[Result]]&lt;0.5,1,0),0)</f>
        <v>0</v>
      </c>
    </row>
    <row r="276" spans="1:38" x14ac:dyDescent="0.35">
      <c r="A276" s="10">
        <v>44429</v>
      </c>
      <c r="B276" s="2">
        <v>2021</v>
      </c>
      <c r="C276" s="2">
        <f>COUNTIFS(Games[Team],Games[[#This Row],[Team]],Games[Season],Games[[#This Row],[Season]],Games[Date],"&lt;=" &amp; Games[[#This Row],[Date]])</f>
        <v>23</v>
      </c>
      <c r="D276" s="2" t="s">
        <v>79</v>
      </c>
      <c r="E276" s="2" t="s">
        <v>80</v>
      </c>
      <c r="F276" s="1" t="s">
        <v>40</v>
      </c>
      <c r="G276" s="1" t="s">
        <v>77</v>
      </c>
      <c r="H276" s="1" t="s">
        <v>81</v>
      </c>
      <c r="I276" s="2" cm="1">
        <f t="array" ref="I27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6" s="2" cm="1">
        <f t="array" ref="J27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6" s="2">
        <f>Games[[#This Row],[DaysOff]]-Games[[#This Row],[OppDaysOff]]</f>
        <v>0</v>
      </c>
      <c r="L276" s="2">
        <f>Games[[#This Row],[OppDaysOff]]-Games[[#This Row],[DaysOff]]</f>
        <v>0</v>
      </c>
      <c r="M276" s="1">
        <f>MAX(-16, MIN(16, Games[[#This Row],[RestDiff]]*8))</f>
        <v>0</v>
      </c>
      <c r="N276" s="1">
        <f>MAX(-16, MIN(16, Games[[#This Row],[OppRestDiff]]*8))</f>
        <v>0</v>
      </c>
      <c r="O276" s="4" cm="1">
        <f t="array" ref="O2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1507.9940974114991</v>
      </c>
      <c r="P276" s="4" cm="1">
        <f t="array" ref="P2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1354.0594700535391</v>
      </c>
      <c r="Q276" s="4">
        <f>1/(1+10^(((Games[[#This Row],[OppPreGmRate]]+IF(Games[[#This Row],[HomeAway]]="A",HCA,0)+Games[[#This Row],[OppRestAdj]])-(Games[[#This Row],[PreGmRate]]+IF(Games[[#This Row],[HomeAway]]="H",HCA,0)+Games[[#This Row],[RestAdj]]))/400))</f>
        <v>0.59930643242567272</v>
      </c>
      <c r="R276" s="1">
        <v>84</v>
      </c>
      <c r="S276" s="1">
        <v>69</v>
      </c>
      <c r="T276" s="1">
        <v>0</v>
      </c>
      <c r="U276" s="1">
        <f>Games[[#This Row],[PointsFor]]-Games[[#This Row],[PointsAgainst]]</f>
        <v>15</v>
      </c>
      <c r="V276" s="1">
        <f>IF(Games[[#This Row],[MOV]]&gt;0,1,IF(Games[[#This Row],[MOV]]=0,0.5,0))</f>
        <v>1</v>
      </c>
      <c r="W276" s="4">
        <f>((ABS(Games[[#This Row],[MOV]])+5)^0.6)/(12+0.01*(ABS(Games[[#This Row],[PreGmRate]]-Games[[#This Row],[OppPreGmRate]])))*IF(Games[[#This Row],[OT]]=1,0.9,1)</f>
        <v>0.44567708178940135</v>
      </c>
      <c r="X276" s="7" cm="1">
        <f t="array" ref="X2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6" s="9">
        <f>MAX(kmin, kmax - 0.15 * MIN(Games[[#This Row],[GamesPlayed]], 82))</f>
        <v>72.55</v>
      </c>
      <c r="Z276" s="4">
        <f>Games[[#This Row],[K]]*Games[[#This Row],[POMult]]</f>
        <v>72.55</v>
      </c>
      <c r="AA276" s="4">
        <f>(Games[[#This Row],[Keff]]*Games[[#This Row],[MOVMult]])*(Games[[#This Row],[Result]]-Games[[#This Row],[ExpectedWin%]])</f>
        <v>12.955974638896924</v>
      </c>
      <c r="AB276" s="4">
        <f>Games[[#This Row],[PreGmRate]]+Games[[#This Row],[RatingChange]]</f>
        <v>1520.9500720503961</v>
      </c>
      <c r="AC276" s="2">
        <f>IF(Games[[#This Row],[Type]]="R",IF(Games[[#This Row],[Result]]&gt;0.5,1,0),0)</f>
        <v>1</v>
      </c>
      <c r="AD276" s="2">
        <f>IF(Games[[#This Row],[Type]]="R",IF(Games[[#This Row],[Result]]&lt;0.5,1,0),0)</f>
        <v>0</v>
      </c>
      <c r="AE276" s="2">
        <f>IF(AND(Games[[#This Row],[Type]]="P",Games[[#This Row],[Round]]=1),IF(Games[[#This Row],[Result]]&gt;0.5,1,0),0)</f>
        <v>0</v>
      </c>
      <c r="AF276" s="2">
        <f>IF(AND(Games[[#This Row],[Type]]="P",Games[[#This Row],[Round]]=1),IF(Games[[#This Row],[Result]]&lt;0.5,1,0),0)</f>
        <v>0</v>
      </c>
      <c r="AG276" s="2">
        <f>IF(AND(Games[[#This Row],[Type]]="P",Games[[#This Row],[Round]]=2),IF(Games[[#This Row],[Result]]&gt;0.5,1,0),0)</f>
        <v>0</v>
      </c>
      <c r="AH276" s="2">
        <f>IF(AND(Games[[#This Row],[Type]]="P",Games[[#This Row],[Round]]=2),IF(Games[[#This Row],[Result]]&lt;0.5,1,0),0)</f>
        <v>0</v>
      </c>
      <c r="AI276" s="2">
        <f>IF(AND(Games[[#This Row],[Type]]="P",Games[[#This Row],[Round]]=3),IF(Games[[#This Row],[Result]]&gt;0.5,1,0),0)</f>
        <v>0</v>
      </c>
      <c r="AJ276" s="2">
        <f>IF(AND(Games[[#This Row],[Type]]="P",Games[[#This Row],[Round]]=3),IF(Games[[#This Row],[Result]]&lt;0.5,1,0),0)</f>
        <v>0</v>
      </c>
      <c r="AK276" s="2">
        <f>IF(AND(Games[[#This Row],[Type]]="P",Games[[#This Row],[Round]]=4),IF(Games[[#This Row],[Result]]&gt;0.5,1,0),0)</f>
        <v>0</v>
      </c>
      <c r="AL276" s="2">
        <f>IF(AND(Games[[#This Row],[Type]]="P",Games[[#This Row],[Round]]=4),IF(Games[[#This Row],[Result]]&lt;0.5,1,0),0)</f>
        <v>0</v>
      </c>
    </row>
    <row r="277" spans="1:38" x14ac:dyDescent="0.35">
      <c r="A277" s="10">
        <v>44429</v>
      </c>
      <c r="B277" s="2">
        <v>2021</v>
      </c>
      <c r="C277" s="2">
        <f>COUNTIFS(Games[Team],Games[[#This Row],[Team]],Games[Season],Games[[#This Row],[Season]],Games[Date],"&lt;=" &amp; Games[[#This Row],[Date]])</f>
        <v>23</v>
      </c>
      <c r="D277" s="2" t="s">
        <v>79</v>
      </c>
      <c r="E277" s="2" t="s">
        <v>80</v>
      </c>
      <c r="F277" s="1" t="s">
        <v>77</v>
      </c>
      <c r="G277" s="1" t="s">
        <v>40</v>
      </c>
      <c r="H277" s="1" t="s">
        <v>82</v>
      </c>
      <c r="I277" s="2" cm="1">
        <f t="array" ref="I27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7" s="2" cm="1">
        <f t="array" ref="J27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7" s="2">
        <f>Games[[#This Row],[DaysOff]]-Games[[#This Row],[OppDaysOff]]</f>
        <v>0</v>
      </c>
      <c r="L277" s="2">
        <f>Games[[#This Row],[OppDaysOff]]-Games[[#This Row],[DaysOff]]</f>
        <v>0</v>
      </c>
      <c r="M277" s="1">
        <f>MAX(-16, MIN(16, Games[[#This Row],[RestDiff]]*8))</f>
        <v>0</v>
      </c>
      <c r="N277" s="1">
        <f>MAX(-16, MIN(16, Games[[#This Row],[OppRestDiff]]*8))</f>
        <v>0</v>
      </c>
      <c r="O277" s="4" cm="1">
        <f t="array" ref="O2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1354.0594700535391</v>
      </c>
      <c r="P277" s="4" cm="1">
        <f t="array" ref="P2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1507.9940974114991</v>
      </c>
      <c r="Q277" s="4">
        <f>1/(1+10^(((Games[[#This Row],[OppPreGmRate]]+IF(Games[[#This Row],[HomeAway]]="A",HCA,0)+Games[[#This Row],[OppRestAdj]])-(Games[[#This Row],[PreGmRate]]+IF(Games[[#This Row],[HomeAway]]="H",HCA,0)+Games[[#This Row],[RestAdj]]))/400))</f>
        <v>0.40069356757432723</v>
      </c>
      <c r="R277" s="1">
        <v>69</v>
      </c>
      <c r="S277" s="1">
        <v>84</v>
      </c>
      <c r="T277" s="1">
        <v>0</v>
      </c>
      <c r="U277" s="1">
        <f>Games[[#This Row],[PointsFor]]-Games[[#This Row],[PointsAgainst]]</f>
        <v>-15</v>
      </c>
      <c r="V277" s="1">
        <f>IF(Games[[#This Row],[MOV]]&gt;0,1,IF(Games[[#This Row],[MOV]]=0,0.5,0))</f>
        <v>0</v>
      </c>
      <c r="W277" s="4">
        <f>((ABS(Games[[#This Row],[MOV]])+5)^0.6)/(12+0.01*(ABS(Games[[#This Row],[PreGmRate]]-Games[[#This Row],[OppPreGmRate]])))*IF(Games[[#This Row],[OT]]=1,0.9,1)</f>
        <v>0.44567708178940135</v>
      </c>
      <c r="X277" s="7" cm="1">
        <f t="array" ref="X2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7" s="9">
        <f>MAX(kmin, kmax - 0.15 * MIN(Games[[#This Row],[GamesPlayed]], 82))</f>
        <v>72.55</v>
      </c>
      <c r="Z277" s="4">
        <f>Games[[#This Row],[K]]*Games[[#This Row],[POMult]]</f>
        <v>72.55</v>
      </c>
      <c r="AA277" s="4">
        <f>(Games[[#This Row],[Keff]]*Games[[#This Row],[MOVMult]])*(Games[[#This Row],[Result]]-Games[[#This Row],[ExpectedWin%]])</f>
        <v>-12.955974638896922</v>
      </c>
      <c r="AB277" s="4">
        <f>Games[[#This Row],[PreGmRate]]+Games[[#This Row],[RatingChange]]</f>
        <v>1341.1034954146421</v>
      </c>
      <c r="AC277" s="2">
        <f>IF(Games[[#This Row],[Type]]="R",IF(Games[[#This Row],[Result]]&gt;0.5,1,0),0)</f>
        <v>0</v>
      </c>
      <c r="AD277" s="2">
        <f>IF(Games[[#This Row],[Type]]="R",IF(Games[[#This Row],[Result]]&lt;0.5,1,0),0)</f>
        <v>1</v>
      </c>
      <c r="AE277" s="2">
        <f>IF(AND(Games[[#This Row],[Type]]="P",Games[[#This Row],[Round]]=1),IF(Games[[#This Row],[Result]]&gt;0.5,1,0),0)</f>
        <v>0</v>
      </c>
      <c r="AF277" s="2">
        <f>IF(AND(Games[[#This Row],[Type]]="P",Games[[#This Row],[Round]]=1),IF(Games[[#This Row],[Result]]&lt;0.5,1,0),0)</f>
        <v>0</v>
      </c>
      <c r="AG277" s="2">
        <f>IF(AND(Games[[#This Row],[Type]]="P",Games[[#This Row],[Round]]=2),IF(Games[[#This Row],[Result]]&gt;0.5,1,0),0)</f>
        <v>0</v>
      </c>
      <c r="AH277" s="2">
        <f>IF(AND(Games[[#This Row],[Type]]="P",Games[[#This Row],[Round]]=2),IF(Games[[#This Row],[Result]]&lt;0.5,1,0),0)</f>
        <v>0</v>
      </c>
      <c r="AI277" s="2">
        <f>IF(AND(Games[[#This Row],[Type]]="P",Games[[#This Row],[Round]]=3),IF(Games[[#This Row],[Result]]&gt;0.5,1,0),0)</f>
        <v>0</v>
      </c>
      <c r="AJ277" s="2">
        <f>IF(AND(Games[[#This Row],[Type]]="P",Games[[#This Row],[Round]]=3),IF(Games[[#This Row],[Result]]&lt;0.5,1,0),0)</f>
        <v>0</v>
      </c>
      <c r="AK277" s="2">
        <f>IF(AND(Games[[#This Row],[Type]]="P",Games[[#This Row],[Round]]=4),IF(Games[[#This Row],[Result]]&gt;0.5,1,0),0)</f>
        <v>0</v>
      </c>
      <c r="AL277" s="2">
        <f>IF(AND(Games[[#This Row],[Type]]="P",Games[[#This Row],[Round]]=4),IF(Games[[#This Row],[Result]]&lt;0.5,1,0),0)</f>
        <v>0</v>
      </c>
    </row>
    <row r="278" spans="1:38" x14ac:dyDescent="0.35">
      <c r="A278" s="10">
        <v>44429</v>
      </c>
      <c r="B278" s="2">
        <v>2021</v>
      </c>
      <c r="C278" s="2">
        <f>COUNTIFS(Games[Team],Games[[#This Row],[Team]],Games[Season],Games[[#This Row],[Season]],Games[Date],"&lt;=" &amp; Games[[#This Row],[Date]])</f>
        <v>23</v>
      </c>
      <c r="D278" s="2" t="s">
        <v>79</v>
      </c>
      <c r="E278" s="2" t="s">
        <v>80</v>
      </c>
      <c r="F278" s="1" t="s">
        <v>67</v>
      </c>
      <c r="G278" s="1" t="s">
        <v>75</v>
      </c>
      <c r="H278" s="1" t="s">
        <v>81</v>
      </c>
      <c r="I278" s="2" cm="1">
        <f t="array" ref="I2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78" s="2" cm="1">
        <f t="array" ref="J27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78" s="2">
        <f>Games[[#This Row],[DaysOff]]-Games[[#This Row],[OppDaysOff]]</f>
        <v>-2</v>
      </c>
      <c r="L278" s="2">
        <f>Games[[#This Row],[OppDaysOff]]-Games[[#This Row],[DaysOff]]</f>
        <v>2</v>
      </c>
      <c r="M278" s="1">
        <f>MAX(-16, MIN(16, Games[[#This Row],[RestDiff]]*8))</f>
        <v>-16</v>
      </c>
      <c r="N278" s="1">
        <f>MAX(-16, MIN(16, Games[[#This Row],[OppRestDiff]]*8))</f>
        <v>16</v>
      </c>
      <c r="O278" s="4" cm="1">
        <f t="array" ref="O2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1579.2981095029179</v>
      </c>
      <c r="P278" s="4" cm="1">
        <f t="array" ref="P2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1525.9543524605917</v>
      </c>
      <c r="Q278" s="4">
        <f>1/(1+10^(((Games[[#This Row],[OppPreGmRate]]+IF(Games[[#This Row],[HomeAway]]="A",HCA,0)+Games[[#This Row],[OppRestAdj]])-(Games[[#This Row],[PreGmRate]]+IF(Games[[#This Row],[HomeAway]]="H",HCA,0)+Games[[#This Row],[RestAdj]]))/400))</f>
        <v>0.41079537189455373</v>
      </c>
      <c r="R278" s="1">
        <v>101</v>
      </c>
      <c r="S278" s="1">
        <v>95</v>
      </c>
      <c r="T278" s="1">
        <v>0</v>
      </c>
      <c r="U278" s="1">
        <f>Games[[#This Row],[PointsFor]]-Games[[#This Row],[PointsAgainst]]</f>
        <v>6</v>
      </c>
      <c r="V278" s="1">
        <f>IF(Games[[#This Row],[MOV]]&gt;0,1,IF(Games[[#This Row],[MOV]]=0,0.5,0))</f>
        <v>1</v>
      </c>
      <c r="W278" s="4">
        <f>((ABS(Games[[#This Row],[MOV]])+5)^0.6)/(12+0.01*(ABS(Games[[#This Row],[PreGmRate]]-Games[[#This Row],[OppPreGmRate]])))*IF(Games[[#This Row],[OT]]=1,0.9,1)</f>
        <v>0.33632984641336067</v>
      </c>
      <c r="X278" s="7" cm="1">
        <f t="array" ref="X2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8" s="9">
        <f>MAX(kmin, kmax - 0.15 * MIN(Games[[#This Row],[GamesPlayed]], 82))</f>
        <v>72.55</v>
      </c>
      <c r="Z278" s="4">
        <f>Games[[#This Row],[K]]*Games[[#This Row],[POMult]]</f>
        <v>72.55</v>
      </c>
      <c r="AA278" s="4">
        <f>(Games[[#This Row],[Keff]]*Games[[#This Row],[MOVMult]])*(Games[[#This Row],[Result]]-Games[[#This Row],[ExpectedWin%]])</f>
        <v>14.377023255667924</v>
      </c>
      <c r="AB278" s="4">
        <f>Games[[#This Row],[PreGmRate]]+Games[[#This Row],[RatingChange]]</f>
        <v>1593.6751327585857</v>
      </c>
      <c r="AC278" s="2">
        <f>IF(Games[[#This Row],[Type]]="R",IF(Games[[#This Row],[Result]]&gt;0.5,1,0),0)</f>
        <v>1</v>
      </c>
      <c r="AD278" s="2">
        <f>IF(Games[[#This Row],[Type]]="R",IF(Games[[#This Row],[Result]]&lt;0.5,1,0),0)</f>
        <v>0</v>
      </c>
      <c r="AE278" s="2">
        <f>IF(AND(Games[[#This Row],[Type]]="P",Games[[#This Row],[Round]]=1),IF(Games[[#This Row],[Result]]&gt;0.5,1,0),0)</f>
        <v>0</v>
      </c>
      <c r="AF278" s="2">
        <f>IF(AND(Games[[#This Row],[Type]]="P",Games[[#This Row],[Round]]=1),IF(Games[[#This Row],[Result]]&lt;0.5,1,0),0)</f>
        <v>0</v>
      </c>
      <c r="AG278" s="2">
        <f>IF(AND(Games[[#This Row],[Type]]="P",Games[[#This Row],[Round]]=2),IF(Games[[#This Row],[Result]]&gt;0.5,1,0),0)</f>
        <v>0</v>
      </c>
      <c r="AH278" s="2">
        <f>IF(AND(Games[[#This Row],[Type]]="P",Games[[#This Row],[Round]]=2),IF(Games[[#This Row],[Result]]&lt;0.5,1,0),0)</f>
        <v>0</v>
      </c>
      <c r="AI278" s="2">
        <f>IF(AND(Games[[#This Row],[Type]]="P",Games[[#This Row],[Round]]=3),IF(Games[[#This Row],[Result]]&gt;0.5,1,0),0)</f>
        <v>0</v>
      </c>
      <c r="AJ278" s="2">
        <f>IF(AND(Games[[#This Row],[Type]]="P",Games[[#This Row],[Round]]=3),IF(Games[[#This Row],[Result]]&lt;0.5,1,0),0)</f>
        <v>0</v>
      </c>
      <c r="AK278" s="2">
        <f>IF(AND(Games[[#This Row],[Type]]="P",Games[[#This Row],[Round]]=4),IF(Games[[#This Row],[Result]]&gt;0.5,1,0),0)</f>
        <v>0</v>
      </c>
      <c r="AL278" s="2">
        <f>IF(AND(Games[[#This Row],[Type]]="P",Games[[#This Row],[Round]]=4),IF(Games[[#This Row],[Result]]&lt;0.5,1,0),0)</f>
        <v>0</v>
      </c>
    </row>
    <row r="279" spans="1:38" x14ac:dyDescent="0.35">
      <c r="A279" s="10">
        <v>44429</v>
      </c>
      <c r="B279" s="2">
        <v>2021</v>
      </c>
      <c r="C279" s="2">
        <f>COUNTIFS(Games[Team],Games[[#This Row],[Team]],Games[Season],Games[[#This Row],[Season]],Games[Date],"&lt;=" &amp; Games[[#This Row],[Date]])</f>
        <v>23</v>
      </c>
      <c r="D279" s="2" t="s">
        <v>79</v>
      </c>
      <c r="E279" s="2" t="s">
        <v>80</v>
      </c>
      <c r="F279" s="1" t="s">
        <v>75</v>
      </c>
      <c r="G279" s="1" t="s">
        <v>67</v>
      </c>
      <c r="H279" s="1" t="s">
        <v>82</v>
      </c>
      <c r="I279" s="2" cm="1">
        <f t="array" ref="I279">IFERROR(
    Games[[#This Row],[Date]]
    - LOOKUP(
        2,
        1/((Games[Team]=Games[[#This Row],[Team]]) * (Games[Date] &lt; Games[[#This Row],[Date]])),
        Games[Date]
    )
    - 1,
Games[[#This Row],[Date]]-$A$2)</f>
        <v>3</v>
      </c>
      <c r="J279" s="2" cm="1">
        <f t="array" ref="J2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79" s="2">
        <f>Games[[#This Row],[DaysOff]]-Games[[#This Row],[OppDaysOff]]</f>
        <v>2</v>
      </c>
      <c r="L279" s="2">
        <f>Games[[#This Row],[OppDaysOff]]-Games[[#This Row],[DaysOff]]</f>
        <v>-2</v>
      </c>
      <c r="M279" s="1">
        <f>MAX(-16, MIN(16, Games[[#This Row],[RestDiff]]*8))</f>
        <v>16</v>
      </c>
      <c r="N279" s="1">
        <f>MAX(-16, MIN(16, Games[[#This Row],[OppRestDiff]]*8))</f>
        <v>-16</v>
      </c>
      <c r="O279" s="4" cm="1">
        <f t="array" ref="O2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1525.9543524605917</v>
      </c>
      <c r="P279" s="4" cm="1">
        <f t="array" ref="P2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1579.2981095029179</v>
      </c>
      <c r="Q279" s="4">
        <f>1/(1+10^(((Games[[#This Row],[OppPreGmRate]]+IF(Games[[#This Row],[HomeAway]]="A",HCA,0)+Games[[#This Row],[OppRestAdj]])-(Games[[#This Row],[PreGmRate]]+IF(Games[[#This Row],[HomeAway]]="H",HCA,0)+Games[[#This Row],[RestAdj]]))/400))</f>
        <v>0.58920462810544627</v>
      </c>
      <c r="R279" s="1">
        <v>95</v>
      </c>
      <c r="S279" s="1">
        <v>101</v>
      </c>
      <c r="T279" s="1">
        <v>0</v>
      </c>
      <c r="U279" s="1">
        <f>Games[[#This Row],[PointsFor]]-Games[[#This Row],[PointsAgainst]]</f>
        <v>-6</v>
      </c>
      <c r="V279" s="1">
        <f>IF(Games[[#This Row],[MOV]]&gt;0,1,IF(Games[[#This Row],[MOV]]=0,0.5,0))</f>
        <v>0</v>
      </c>
      <c r="W279" s="4">
        <f>((ABS(Games[[#This Row],[MOV]])+5)^0.6)/(12+0.01*(ABS(Games[[#This Row],[PreGmRate]]-Games[[#This Row],[OppPreGmRate]])))*IF(Games[[#This Row],[OT]]=1,0.9,1)</f>
        <v>0.33632984641336067</v>
      </c>
      <c r="X279" s="7" cm="1">
        <f t="array" ref="X2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79" s="9">
        <f>MAX(kmin, kmax - 0.15 * MIN(Games[[#This Row],[GamesPlayed]], 82))</f>
        <v>72.55</v>
      </c>
      <c r="Z279" s="4">
        <f>Games[[#This Row],[K]]*Games[[#This Row],[POMult]]</f>
        <v>72.55</v>
      </c>
      <c r="AA279" s="4">
        <f>(Games[[#This Row],[Keff]]*Games[[#This Row],[MOVMult]])*(Games[[#This Row],[Result]]-Games[[#This Row],[ExpectedWin%]])</f>
        <v>-14.377023255667924</v>
      </c>
      <c r="AB279" s="4">
        <f>Games[[#This Row],[PreGmRate]]+Games[[#This Row],[RatingChange]]</f>
        <v>1511.5773292049239</v>
      </c>
      <c r="AC279" s="2">
        <f>IF(Games[[#This Row],[Type]]="R",IF(Games[[#This Row],[Result]]&gt;0.5,1,0),0)</f>
        <v>0</v>
      </c>
      <c r="AD279" s="2">
        <f>IF(Games[[#This Row],[Type]]="R",IF(Games[[#This Row],[Result]]&lt;0.5,1,0),0)</f>
        <v>1</v>
      </c>
      <c r="AE279" s="2">
        <f>IF(AND(Games[[#This Row],[Type]]="P",Games[[#This Row],[Round]]=1),IF(Games[[#This Row],[Result]]&gt;0.5,1,0),0)</f>
        <v>0</v>
      </c>
      <c r="AF279" s="2">
        <f>IF(AND(Games[[#This Row],[Type]]="P",Games[[#This Row],[Round]]=1),IF(Games[[#This Row],[Result]]&lt;0.5,1,0),0)</f>
        <v>0</v>
      </c>
      <c r="AG279" s="2">
        <f>IF(AND(Games[[#This Row],[Type]]="P",Games[[#This Row],[Round]]=2),IF(Games[[#This Row],[Result]]&gt;0.5,1,0),0)</f>
        <v>0</v>
      </c>
      <c r="AH279" s="2">
        <f>IF(AND(Games[[#This Row],[Type]]="P",Games[[#This Row],[Round]]=2),IF(Games[[#This Row],[Result]]&lt;0.5,1,0),0)</f>
        <v>0</v>
      </c>
      <c r="AI279" s="2">
        <f>IF(AND(Games[[#This Row],[Type]]="P",Games[[#This Row],[Round]]=3),IF(Games[[#This Row],[Result]]&gt;0.5,1,0),0)</f>
        <v>0</v>
      </c>
      <c r="AJ279" s="2">
        <f>IF(AND(Games[[#This Row],[Type]]="P",Games[[#This Row],[Round]]=3),IF(Games[[#This Row],[Result]]&lt;0.5,1,0),0)</f>
        <v>0</v>
      </c>
      <c r="AK279" s="2">
        <f>IF(AND(Games[[#This Row],[Type]]="P",Games[[#This Row],[Round]]=4),IF(Games[[#This Row],[Result]]&gt;0.5,1,0),0)</f>
        <v>0</v>
      </c>
      <c r="AL279" s="2">
        <f>IF(AND(Games[[#This Row],[Type]]="P",Games[[#This Row],[Round]]=4),IF(Games[[#This Row],[Result]]&lt;0.5,1,0),0)</f>
        <v>0</v>
      </c>
    </row>
    <row r="280" spans="1:38" x14ac:dyDescent="0.35">
      <c r="A280" s="10">
        <v>44430</v>
      </c>
      <c r="B280" s="2">
        <v>2021</v>
      </c>
      <c r="C280" s="2">
        <f>COUNTIFS(Games[Team],Games[[#This Row],[Team]],Games[Season],Games[[#This Row],[Season]],Games[Date],"&lt;=" &amp; Games[[#This Row],[Date]])</f>
        <v>23</v>
      </c>
      <c r="D280" s="2" t="s">
        <v>79</v>
      </c>
      <c r="E280" s="2" t="s">
        <v>80</v>
      </c>
      <c r="F280" s="1" t="s">
        <v>63</v>
      </c>
      <c r="G280" s="1" t="s">
        <v>60</v>
      </c>
      <c r="H280" s="1" t="s">
        <v>81</v>
      </c>
      <c r="I280" s="2" cm="1">
        <f t="array" ref="I2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0" s="2" cm="1">
        <f t="array" ref="J28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0" s="2">
        <f>Games[[#This Row],[DaysOff]]-Games[[#This Row],[OppDaysOff]]</f>
        <v>1</v>
      </c>
      <c r="L280" s="2">
        <f>Games[[#This Row],[OppDaysOff]]-Games[[#This Row],[DaysOff]]</f>
        <v>-1</v>
      </c>
      <c r="M280" s="1">
        <f>MAX(-16, MIN(16, Games[[#This Row],[RestDiff]]*8))</f>
        <v>8</v>
      </c>
      <c r="N280" s="1">
        <f>MAX(-16, MIN(16, Games[[#This Row],[OppRestDiff]]*8))</f>
        <v>-8</v>
      </c>
      <c r="O280" s="4" cm="1">
        <f t="array" ref="O2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1425.4030096900458</v>
      </c>
      <c r="P280" s="4" cm="1">
        <f t="array" ref="P2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1402.916307479243</v>
      </c>
      <c r="Q280" s="4">
        <f>1/(1+10^(((Games[[#This Row],[OppPreGmRate]]+IF(Games[[#This Row],[HomeAway]]="A",HCA,0)+Games[[#This Row],[OppRestAdj]])-(Games[[#This Row],[PreGmRate]]+IF(Games[[#This Row],[HomeAway]]="H",HCA,0)+Games[[#This Row],[RestAdj]]))/400))</f>
        <v>0.43487320831809329</v>
      </c>
      <c r="R280" s="1">
        <v>86</v>
      </c>
      <c r="S280" s="1">
        <v>83</v>
      </c>
      <c r="T280" s="1">
        <v>0</v>
      </c>
      <c r="U280" s="1">
        <f>Games[[#This Row],[PointsFor]]-Games[[#This Row],[PointsAgainst]]</f>
        <v>3</v>
      </c>
      <c r="V280" s="1">
        <f>IF(Games[[#This Row],[MOV]]&gt;0,1,IF(Games[[#This Row],[MOV]]=0,0.5,0))</f>
        <v>1</v>
      </c>
      <c r="W280" s="4">
        <f>((ABS(Games[[#This Row],[MOV]])+5)^0.6)/(12+0.01*(ABS(Games[[#This Row],[PreGmRate]]-Games[[#This Row],[OppPreGmRate]])))*IF(Games[[#This Row],[OT]]=1,0.9,1)</f>
        <v>0.28484581851787155</v>
      </c>
      <c r="X280" s="7" cm="1">
        <f t="array" ref="X2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0" s="9">
        <f>MAX(kmin, kmax - 0.15 * MIN(Games[[#This Row],[GamesPlayed]], 82))</f>
        <v>72.55</v>
      </c>
      <c r="Z280" s="4">
        <f>Games[[#This Row],[K]]*Games[[#This Row],[POMult]]</f>
        <v>72.55</v>
      </c>
      <c r="AA280" s="4">
        <f>(Games[[#This Row],[Keff]]*Games[[#This Row],[MOVMult]])*(Games[[#This Row],[Result]]-Games[[#This Row],[ExpectedWin%]])</f>
        <v>11.678663957045476</v>
      </c>
      <c r="AB280" s="4">
        <f>Games[[#This Row],[PreGmRate]]+Games[[#This Row],[RatingChange]]</f>
        <v>1437.0816736470913</v>
      </c>
      <c r="AC280" s="2">
        <f>IF(Games[[#This Row],[Type]]="R",IF(Games[[#This Row],[Result]]&gt;0.5,1,0),0)</f>
        <v>1</v>
      </c>
      <c r="AD280" s="2">
        <f>IF(Games[[#This Row],[Type]]="R",IF(Games[[#This Row],[Result]]&lt;0.5,1,0),0)</f>
        <v>0</v>
      </c>
      <c r="AE280" s="2">
        <f>IF(AND(Games[[#This Row],[Type]]="P",Games[[#This Row],[Round]]=1),IF(Games[[#This Row],[Result]]&gt;0.5,1,0),0)</f>
        <v>0</v>
      </c>
      <c r="AF280" s="2">
        <f>IF(AND(Games[[#This Row],[Type]]="P",Games[[#This Row],[Round]]=1),IF(Games[[#This Row],[Result]]&lt;0.5,1,0),0)</f>
        <v>0</v>
      </c>
      <c r="AG280" s="2">
        <f>IF(AND(Games[[#This Row],[Type]]="P",Games[[#This Row],[Round]]=2),IF(Games[[#This Row],[Result]]&gt;0.5,1,0),0)</f>
        <v>0</v>
      </c>
      <c r="AH280" s="2">
        <f>IF(AND(Games[[#This Row],[Type]]="P",Games[[#This Row],[Round]]=2),IF(Games[[#This Row],[Result]]&lt;0.5,1,0),0)</f>
        <v>0</v>
      </c>
      <c r="AI280" s="2">
        <f>IF(AND(Games[[#This Row],[Type]]="P",Games[[#This Row],[Round]]=3),IF(Games[[#This Row],[Result]]&gt;0.5,1,0),0)</f>
        <v>0</v>
      </c>
      <c r="AJ280" s="2">
        <f>IF(AND(Games[[#This Row],[Type]]="P",Games[[#This Row],[Round]]=3),IF(Games[[#This Row],[Result]]&lt;0.5,1,0),0)</f>
        <v>0</v>
      </c>
      <c r="AK280" s="2">
        <f>IF(AND(Games[[#This Row],[Type]]="P",Games[[#This Row],[Round]]=4),IF(Games[[#This Row],[Result]]&gt;0.5,1,0),0)</f>
        <v>0</v>
      </c>
      <c r="AL280" s="2">
        <f>IF(AND(Games[[#This Row],[Type]]="P",Games[[#This Row],[Round]]=4),IF(Games[[#This Row],[Result]]&lt;0.5,1,0),0)</f>
        <v>0</v>
      </c>
    </row>
    <row r="281" spans="1:38" x14ac:dyDescent="0.35">
      <c r="A281" s="10">
        <v>44430</v>
      </c>
      <c r="B281" s="2">
        <v>2021</v>
      </c>
      <c r="C281" s="2">
        <f>COUNTIFS(Games[Team],Games[[#This Row],[Team]],Games[Season],Games[[#This Row],[Season]],Games[Date],"&lt;=" &amp; Games[[#This Row],[Date]])</f>
        <v>25</v>
      </c>
      <c r="D281" s="2" t="s">
        <v>79</v>
      </c>
      <c r="E281" s="2" t="s">
        <v>80</v>
      </c>
      <c r="F281" s="1" t="s">
        <v>60</v>
      </c>
      <c r="G281" s="1" t="s">
        <v>63</v>
      </c>
      <c r="H281" s="1" t="s">
        <v>82</v>
      </c>
      <c r="I281" s="2" cm="1">
        <f t="array" ref="I28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1" s="2" cm="1">
        <f t="array" ref="J2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1" s="2">
        <f>Games[[#This Row],[DaysOff]]-Games[[#This Row],[OppDaysOff]]</f>
        <v>-1</v>
      </c>
      <c r="L281" s="2">
        <f>Games[[#This Row],[OppDaysOff]]-Games[[#This Row],[DaysOff]]</f>
        <v>1</v>
      </c>
      <c r="M281" s="1">
        <f>MAX(-16, MIN(16, Games[[#This Row],[RestDiff]]*8))</f>
        <v>-8</v>
      </c>
      <c r="N281" s="1">
        <f>MAX(-16, MIN(16, Games[[#This Row],[OppRestDiff]]*8))</f>
        <v>8</v>
      </c>
      <c r="O281" s="4" cm="1">
        <f t="array" ref="O2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1402.916307479243</v>
      </c>
      <c r="P281" s="4" cm="1">
        <f t="array" ref="P2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1425.4030096900458</v>
      </c>
      <c r="Q281" s="4">
        <f>1/(1+10^(((Games[[#This Row],[OppPreGmRate]]+IF(Games[[#This Row],[HomeAway]]="A",HCA,0)+Games[[#This Row],[OppRestAdj]])-(Games[[#This Row],[PreGmRate]]+IF(Games[[#This Row],[HomeAway]]="H",HCA,0)+Games[[#This Row],[RestAdj]]))/400))</f>
        <v>0.56512679168190671</v>
      </c>
      <c r="R281" s="1">
        <v>83</v>
      </c>
      <c r="S281" s="1">
        <v>86</v>
      </c>
      <c r="T281" s="1">
        <v>0</v>
      </c>
      <c r="U281" s="1">
        <f>Games[[#This Row],[PointsFor]]-Games[[#This Row],[PointsAgainst]]</f>
        <v>-3</v>
      </c>
      <c r="V281" s="1">
        <f>IF(Games[[#This Row],[MOV]]&gt;0,1,IF(Games[[#This Row],[MOV]]=0,0.5,0))</f>
        <v>0</v>
      </c>
      <c r="W281" s="4">
        <f>((ABS(Games[[#This Row],[MOV]])+5)^0.6)/(12+0.01*(ABS(Games[[#This Row],[PreGmRate]]-Games[[#This Row],[OppPreGmRate]])))*IF(Games[[#This Row],[OT]]=1,0.9,1)</f>
        <v>0.28484581851787155</v>
      </c>
      <c r="X281" s="7" cm="1">
        <f t="array" ref="X2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1" s="9">
        <f>MAX(kmin, kmax - 0.15 * MIN(Games[[#This Row],[GamesPlayed]], 82))</f>
        <v>72.25</v>
      </c>
      <c r="Z281" s="4">
        <f>Games[[#This Row],[K]]*Games[[#This Row],[POMult]]</f>
        <v>72.25</v>
      </c>
      <c r="AA281" s="4">
        <f>(Games[[#This Row],[Keff]]*Games[[#This Row],[MOVMult]])*(Games[[#This Row],[Result]]-Games[[#This Row],[ExpectedWin%]])</f>
        <v>-11.630371755982575</v>
      </c>
      <c r="AB281" s="4">
        <f>Games[[#This Row],[PreGmRate]]+Games[[#This Row],[RatingChange]]</f>
        <v>1391.2859357232603</v>
      </c>
      <c r="AC281" s="2">
        <f>IF(Games[[#This Row],[Type]]="R",IF(Games[[#This Row],[Result]]&gt;0.5,1,0),0)</f>
        <v>0</v>
      </c>
      <c r="AD281" s="2">
        <f>IF(Games[[#This Row],[Type]]="R",IF(Games[[#This Row],[Result]]&lt;0.5,1,0),0)</f>
        <v>1</v>
      </c>
      <c r="AE281" s="2">
        <f>IF(AND(Games[[#This Row],[Type]]="P",Games[[#This Row],[Round]]=1),IF(Games[[#This Row],[Result]]&gt;0.5,1,0),0)</f>
        <v>0</v>
      </c>
      <c r="AF281" s="2">
        <f>IF(AND(Games[[#This Row],[Type]]="P",Games[[#This Row],[Round]]=1),IF(Games[[#This Row],[Result]]&lt;0.5,1,0),0)</f>
        <v>0</v>
      </c>
      <c r="AG281" s="2">
        <f>IF(AND(Games[[#This Row],[Type]]="P",Games[[#This Row],[Round]]=2),IF(Games[[#This Row],[Result]]&gt;0.5,1,0),0)</f>
        <v>0</v>
      </c>
      <c r="AH281" s="2">
        <f>IF(AND(Games[[#This Row],[Type]]="P",Games[[#This Row],[Round]]=2),IF(Games[[#This Row],[Result]]&lt;0.5,1,0),0)</f>
        <v>0</v>
      </c>
      <c r="AI281" s="2">
        <f>IF(AND(Games[[#This Row],[Type]]="P",Games[[#This Row],[Round]]=3),IF(Games[[#This Row],[Result]]&gt;0.5,1,0),0)</f>
        <v>0</v>
      </c>
      <c r="AJ281" s="2">
        <f>IF(AND(Games[[#This Row],[Type]]="P",Games[[#This Row],[Round]]=3),IF(Games[[#This Row],[Result]]&lt;0.5,1,0),0)</f>
        <v>0</v>
      </c>
      <c r="AK281" s="2">
        <f>IF(AND(Games[[#This Row],[Type]]="P",Games[[#This Row],[Round]]=4),IF(Games[[#This Row],[Result]]&gt;0.5,1,0),0)</f>
        <v>0</v>
      </c>
      <c r="AL281" s="2">
        <f>IF(AND(Games[[#This Row],[Type]]="P",Games[[#This Row],[Round]]=4),IF(Games[[#This Row],[Result]]&lt;0.5,1,0),0)</f>
        <v>0</v>
      </c>
    </row>
    <row r="282" spans="1:38" x14ac:dyDescent="0.35">
      <c r="A282" s="10">
        <v>44430</v>
      </c>
      <c r="B282" s="2">
        <v>2021</v>
      </c>
      <c r="C282" s="2">
        <f>COUNTIFS(Games[Team],Games[[#This Row],[Team]],Games[Season],Games[[#This Row],[Season]],Games[Date],"&lt;=" &amp; Games[[#This Row],[Date]])</f>
        <v>26</v>
      </c>
      <c r="D282" s="2" t="s">
        <v>79</v>
      </c>
      <c r="E282" s="2" t="s">
        <v>80</v>
      </c>
      <c r="F282" s="1" t="s">
        <v>71</v>
      </c>
      <c r="G282" s="1" t="s">
        <v>65</v>
      </c>
      <c r="H282" s="1" t="s">
        <v>81</v>
      </c>
      <c r="I282" s="2" cm="1">
        <f t="array" ref="I282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2" s="2" cm="1">
        <f t="array" ref="J28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2" s="2">
        <f>Games[[#This Row],[DaysOff]]-Games[[#This Row],[OppDaysOff]]</f>
        <v>-1</v>
      </c>
      <c r="L282" s="2">
        <f>Games[[#This Row],[OppDaysOff]]-Games[[#This Row],[DaysOff]]</f>
        <v>1</v>
      </c>
      <c r="M282" s="1">
        <f>MAX(-16, MIN(16, Games[[#This Row],[RestDiff]]*8))</f>
        <v>-8</v>
      </c>
      <c r="N282" s="1">
        <f>MAX(-16, MIN(16, Games[[#This Row],[OppRestDiff]]*8))</f>
        <v>8</v>
      </c>
      <c r="O282" s="4" cm="1">
        <f t="array" ref="O2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1675.8130089617316</v>
      </c>
      <c r="P282" s="4" cm="1">
        <f t="array" ref="P2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1442.4022625862033</v>
      </c>
      <c r="Q282" s="4">
        <f>1/(1+10^(((Games[[#This Row],[OppPreGmRate]]+IF(Games[[#This Row],[HomeAway]]="A",HCA,0)+Games[[#This Row],[OppRestAdj]])-(Games[[#This Row],[PreGmRate]]+IF(Games[[#This Row],[HomeAway]]="H",HCA,0)+Games[[#This Row],[RestAdj]]))/400))</f>
        <v>0.6830824641416462</v>
      </c>
      <c r="R282" s="1">
        <v>85</v>
      </c>
      <c r="S282" s="1">
        <v>78</v>
      </c>
      <c r="T282" s="1">
        <v>0</v>
      </c>
      <c r="U282" s="1">
        <f>Games[[#This Row],[PointsFor]]-Games[[#This Row],[PointsAgainst]]</f>
        <v>7</v>
      </c>
      <c r="V282" s="1">
        <f>IF(Games[[#This Row],[MOV]]&gt;0,1,IF(Games[[#This Row],[MOV]]=0,0.5,0))</f>
        <v>1</v>
      </c>
      <c r="W282" s="4">
        <f>((ABS(Games[[#This Row],[MOV]])+5)^0.6)/(12+0.01*(ABS(Games[[#This Row],[PreGmRate]]-Games[[#This Row],[OppPreGmRate]])))*IF(Games[[#This Row],[OT]]=1,0.9,1)</f>
        <v>0.30984043346095447</v>
      </c>
      <c r="X282" s="7" cm="1">
        <f t="array" ref="X2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2" s="9">
        <f>MAX(kmin, kmax - 0.15 * MIN(Games[[#This Row],[GamesPlayed]], 82))</f>
        <v>72.099999999999994</v>
      </c>
      <c r="Z282" s="4">
        <f>Games[[#This Row],[K]]*Games[[#This Row],[POMult]]</f>
        <v>72.099999999999994</v>
      </c>
      <c r="AA282" s="4">
        <f>(Games[[#This Row],[Keff]]*Games[[#This Row],[MOVMult]])*(Games[[#This Row],[Result]]-Games[[#This Row],[ExpectedWin%]])</f>
        <v>7.0797777877527261</v>
      </c>
      <c r="AB282" s="4">
        <f>Games[[#This Row],[PreGmRate]]+Games[[#This Row],[RatingChange]]</f>
        <v>1682.8927867494842</v>
      </c>
      <c r="AC282" s="2">
        <f>IF(Games[[#This Row],[Type]]="R",IF(Games[[#This Row],[Result]]&gt;0.5,1,0),0)</f>
        <v>1</v>
      </c>
      <c r="AD282" s="2">
        <f>IF(Games[[#This Row],[Type]]="R",IF(Games[[#This Row],[Result]]&lt;0.5,1,0),0)</f>
        <v>0</v>
      </c>
      <c r="AE282" s="2">
        <f>IF(AND(Games[[#This Row],[Type]]="P",Games[[#This Row],[Round]]=1),IF(Games[[#This Row],[Result]]&gt;0.5,1,0),0)</f>
        <v>0</v>
      </c>
      <c r="AF282" s="2">
        <f>IF(AND(Games[[#This Row],[Type]]="P",Games[[#This Row],[Round]]=1),IF(Games[[#This Row],[Result]]&lt;0.5,1,0),0)</f>
        <v>0</v>
      </c>
      <c r="AG282" s="2">
        <f>IF(AND(Games[[#This Row],[Type]]="P",Games[[#This Row],[Round]]=2),IF(Games[[#This Row],[Result]]&gt;0.5,1,0),0)</f>
        <v>0</v>
      </c>
      <c r="AH282" s="2">
        <f>IF(AND(Games[[#This Row],[Type]]="P",Games[[#This Row],[Round]]=2),IF(Games[[#This Row],[Result]]&lt;0.5,1,0),0)</f>
        <v>0</v>
      </c>
      <c r="AI282" s="2">
        <f>IF(AND(Games[[#This Row],[Type]]="P",Games[[#This Row],[Round]]=3),IF(Games[[#This Row],[Result]]&gt;0.5,1,0),0)</f>
        <v>0</v>
      </c>
      <c r="AJ282" s="2">
        <f>IF(AND(Games[[#This Row],[Type]]="P",Games[[#This Row],[Round]]=3),IF(Games[[#This Row],[Result]]&lt;0.5,1,0),0)</f>
        <v>0</v>
      </c>
      <c r="AK282" s="2">
        <f>IF(AND(Games[[#This Row],[Type]]="P",Games[[#This Row],[Round]]=4),IF(Games[[#This Row],[Result]]&gt;0.5,1,0),0)</f>
        <v>0</v>
      </c>
      <c r="AL282" s="2">
        <f>IF(AND(Games[[#This Row],[Type]]="P",Games[[#This Row],[Round]]=4),IF(Games[[#This Row],[Result]]&lt;0.5,1,0),0)</f>
        <v>0</v>
      </c>
    </row>
    <row r="283" spans="1:38" x14ac:dyDescent="0.35">
      <c r="A283" s="10">
        <v>44430</v>
      </c>
      <c r="B283" s="2">
        <v>2021</v>
      </c>
      <c r="C283" s="2">
        <f>COUNTIFS(Games[Team],Games[[#This Row],[Team]],Games[Season],Games[[#This Row],[Season]],Games[Date],"&lt;=" &amp; Games[[#This Row],[Date]])</f>
        <v>22</v>
      </c>
      <c r="D283" s="2" t="s">
        <v>79</v>
      </c>
      <c r="E283" s="2" t="s">
        <v>80</v>
      </c>
      <c r="F283" s="1" t="s">
        <v>65</v>
      </c>
      <c r="G283" s="1" t="s">
        <v>71</v>
      </c>
      <c r="H283" s="1" t="s">
        <v>82</v>
      </c>
      <c r="I283" s="2" cm="1">
        <f t="array" ref="I28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3" s="2" cm="1">
        <f t="array" ref="J28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3" s="2">
        <f>Games[[#This Row],[DaysOff]]-Games[[#This Row],[OppDaysOff]]</f>
        <v>1</v>
      </c>
      <c r="L283" s="2">
        <f>Games[[#This Row],[OppDaysOff]]-Games[[#This Row],[DaysOff]]</f>
        <v>-1</v>
      </c>
      <c r="M283" s="1">
        <f>MAX(-16, MIN(16, Games[[#This Row],[RestDiff]]*8))</f>
        <v>8</v>
      </c>
      <c r="N283" s="1">
        <f>MAX(-16, MIN(16, Games[[#This Row],[OppRestDiff]]*8))</f>
        <v>-8</v>
      </c>
      <c r="O283" s="4" cm="1">
        <f t="array" ref="O2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1442.4022625862033</v>
      </c>
      <c r="P283" s="4" cm="1">
        <f t="array" ref="P2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1675.8130089617316</v>
      </c>
      <c r="Q283" s="4">
        <f>1/(1+10^(((Games[[#This Row],[OppPreGmRate]]+IF(Games[[#This Row],[HomeAway]]="A",HCA,0)+Games[[#This Row],[OppRestAdj]])-(Games[[#This Row],[PreGmRate]]+IF(Games[[#This Row],[HomeAway]]="H",HCA,0)+Games[[#This Row],[RestAdj]]))/400))</f>
        <v>0.31691753585835375</v>
      </c>
      <c r="R283" s="1">
        <v>78</v>
      </c>
      <c r="S283" s="1">
        <v>85</v>
      </c>
      <c r="T283" s="1">
        <v>0</v>
      </c>
      <c r="U283" s="1">
        <f>Games[[#This Row],[PointsFor]]-Games[[#This Row],[PointsAgainst]]</f>
        <v>-7</v>
      </c>
      <c r="V283" s="1">
        <f>IF(Games[[#This Row],[MOV]]&gt;0,1,IF(Games[[#This Row],[MOV]]=0,0.5,0))</f>
        <v>0</v>
      </c>
      <c r="W283" s="4">
        <f>((ABS(Games[[#This Row],[MOV]])+5)^0.6)/(12+0.01*(ABS(Games[[#This Row],[PreGmRate]]-Games[[#This Row],[OppPreGmRate]])))*IF(Games[[#This Row],[OT]]=1,0.9,1)</f>
        <v>0.30984043346095447</v>
      </c>
      <c r="X283" s="7" cm="1">
        <f t="array" ref="X2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3" s="9">
        <f>MAX(kmin, kmax - 0.15 * MIN(Games[[#This Row],[GamesPlayed]], 82))</f>
        <v>72.7</v>
      </c>
      <c r="Z283" s="4">
        <f>Games[[#This Row],[K]]*Games[[#This Row],[POMult]]</f>
        <v>72.7</v>
      </c>
      <c r="AA283" s="4">
        <f>(Games[[#This Row],[Keff]]*Games[[#This Row],[MOVMult]])*(Games[[#This Row],[Result]]-Games[[#This Row],[ExpectedWin%]])</f>
        <v>-7.1386941077617641</v>
      </c>
      <c r="AB283" s="4">
        <f>Games[[#This Row],[PreGmRate]]+Games[[#This Row],[RatingChange]]</f>
        <v>1435.2635684784416</v>
      </c>
      <c r="AC283" s="2">
        <f>IF(Games[[#This Row],[Type]]="R",IF(Games[[#This Row],[Result]]&gt;0.5,1,0),0)</f>
        <v>0</v>
      </c>
      <c r="AD283" s="2">
        <f>IF(Games[[#This Row],[Type]]="R",IF(Games[[#This Row],[Result]]&lt;0.5,1,0),0)</f>
        <v>1</v>
      </c>
      <c r="AE283" s="2">
        <f>IF(AND(Games[[#This Row],[Type]]="P",Games[[#This Row],[Round]]=1),IF(Games[[#This Row],[Result]]&gt;0.5,1,0),0)</f>
        <v>0</v>
      </c>
      <c r="AF283" s="2">
        <f>IF(AND(Games[[#This Row],[Type]]="P",Games[[#This Row],[Round]]=1),IF(Games[[#This Row],[Result]]&lt;0.5,1,0),0)</f>
        <v>0</v>
      </c>
      <c r="AG283" s="2">
        <f>IF(AND(Games[[#This Row],[Type]]="P",Games[[#This Row],[Round]]=2),IF(Games[[#This Row],[Result]]&gt;0.5,1,0),0)</f>
        <v>0</v>
      </c>
      <c r="AH283" s="2">
        <f>IF(AND(Games[[#This Row],[Type]]="P",Games[[#This Row],[Round]]=2),IF(Games[[#This Row],[Result]]&lt;0.5,1,0),0)</f>
        <v>0</v>
      </c>
      <c r="AI283" s="2">
        <f>IF(AND(Games[[#This Row],[Type]]="P",Games[[#This Row],[Round]]=3),IF(Games[[#This Row],[Result]]&gt;0.5,1,0),0)</f>
        <v>0</v>
      </c>
      <c r="AJ283" s="2">
        <f>IF(AND(Games[[#This Row],[Type]]="P",Games[[#This Row],[Round]]=3),IF(Games[[#This Row],[Result]]&lt;0.5,1,0),0)</f>
        <v>0</v>
      </c>
      <c r="AK283" s="2">
        <f>IF(AND(Games[[#This Row],[Type]]="P",Games[[#This Row],[Round]]=4),IF(Games[[#This Row],[Result]]&gt;0.5,1,0),0)</f>
        <v>0</v>
      </c>
      <c r="AL283" s="2">
        <f>IF(AND(Games[[#This Row],[Type]]="P",Games[[#This Row],[Round]]=4),IF(Games[[#This Row],[Result]]&lt;0.5,1,0),0)</f>
        <v>0</v>
      </c>
    </row>
    <row r="284" spans="1:38" x14ac:dyDescent="0.35">
      <c r="A284" s="10">
        <v>44432</v>
      </c>
      <c r="B284" s="2">
        <v>2021</v>
      </c>
      <c r="C284" s="2">
        <f>COUNTIFS(Games[Team],Games[[#This Row],[Team]],Games[Season],Games[[#This Row],[Season]],Games[Date],"&lt;=" &amp; Games[[#This Row],[Date]])</f>
        <v>24</v>
      </c>
      <c r="D284" s="2" t="s">
        <v>79</v>
      </c>
      <c r="E284" s="2" t="s">
        <v>80</v>
      </c>
      <c r="F284" s="1" t="s">
        <v>75</v>
      </c>
      <c r="G284" s="1" t="s">
        <v>77</v>
      </c>
      <c r="H284" s="1" t="s">
        <v>81</v>
      </c>
      <c r="I284" s="2" cm="1">
        <f t="array" ref="I284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4" s="2" cm="1">
        <f t="array" ref="J28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4" s="2">
        <f>Games[[#This Row],[DaysOff]]-Games[[#This Row],[OppDaysOff]]</f>
        <v>0</v>
      </c>
      <c r="L284" s="2">
        <f>Games[[#This Row],[OppDaysOff]]-Games[[#This Row],[DaysOff]]</f>
        <v>0</v>
      </c>
      <c r="M284" s="1">
        <f>MAX(-16, MIN(16, Games[[#This Row],[RestDiff]]*8))</f>
        <v>0</v>
      </c>
      <c r="N284" s="1">
        <f>MAX(-16, MIN(16, Games[[#This Row],[OppRestDiff]]*8))</f>
        <v>0</v>
      </c>
      <c r="O284" s="4" cm="1">
        <f t="array" ref="O2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1511.5773292049239</v>
      </c>
      <c r="P284" s="4" cm="1">
        <f t="array" ref="P2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1341.1034954146421</v>
      </c>
      <c r="Q284" s="4">
        <f>1/(1+10^(((Games[[#This Row],[OppPreGmRate]]+IF(Games[[#This Row],[HomeAway]]="A",HCA,0)+Games[[#This Row],[OppRestAdj]])-(Games[[#This Row],[PreGmRate]]+IF(Games[[#This Row],[HomeAway]]="H",HCA,0)+Games[[#This Row],[RestAdj]]))/400))</f>
        <v>0.62193828111523453</v>
      </c>
      <c r="R284" s="1">
        <v>86</v>
      </c>
      <c r="S284" s="1">
        <v>79</v>
      </c>
      <c r="T284" s="1">
        <v>0</v>
      </c>
      <c r="U284" s="1">
        <f>Games[[#This Row],[PointsFor]]-Games[[#This Row],[PointsAgainst]]</f>
        <v>7</v>
      </c>
      <c r="V284" s="1">
        <f>IF(Games[[#This Row],[MOV]]&gt;0,1,IF(Games[[#This Row],[MOV]]=0,0.5,0))</f>
        <v>1</v>
      </c>
      <c r="W284" s="4">
        <f>((ABS(Games[[#This Row],[MOV]])+5)^0.6)/(12+0.01*(ABS(Games[[#This Row],[PreGmRate]]-Games[[#This Row],[OppPreGmRate]])))*IF(Games[[#This Row],[OT]]=1,0.9,1)</f>
        <v>0.32406938099377625</v>
      </c>
      <c r="X284" s="7" cm="1">
        <f t="array" ref="X2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4" s="9">
        <f>MAX(kmin, kmax - 0.15 * MIN(Games[[#This Row],[GamesPlayed]], 82))</f>
        <v>72.400000000000006</v>
      </c>
      <c r="Z284" s="4">
        <f>Games[[#This Row],[K]]*Games[[#This Row],[POMult]]</f>
        <v>72.400000000000006</v>
      </c>
      <c r="AA284" s="4">
        <f>(Games[[#This Row],[Keff]]*Games[[#This Row],[MOVMult]])*(Games[[#This Row],[Result]]-Games[[#This Row],[ExpectedWin%]])</f>
        <v>8.8703196504694599</v>
      </c>
      <c r="AB284" s="4">
        <f>Games[[#This Row],[PreGmRate]]+Games[[#This Row],[RatingChange]]</f>
        <v>1520.4476488553933</v>
      </c>
      <c r="AC284" s="2">
        <f>IF(Games[[#This Row],[Type]]="R",IF(Games[[#This Row],[Result]]&gt;0.5,1,0),0)</f>
        <v>1</v>
      </c>
      <c r="AD284" s="2">
        <f>IF(Games[[#This Row],[Type]]="R",IF(Games[[#This Row],[Result]]&lt;0.5,1,0),0)</f>
        <v>0</v>
      </c>
      <c r="AE284" s="2">
        <f>IF(AND(Games[[#This Row],[Type]]="P",Games[[#This Row],[Round]]=1),IF(Games[[#This Row],[Result]]&gt;0.5,1,0),0)</f>
        <v>0</v>
      </c>
      <c r="AF284" s="2">
        <f>IF(AND(Games[[#This Row],[Type]]="P",Games[[#This Row],[Round]]=1),IF(Games[[#This Row],[Result]]&lt;0.5,1,0),0)</f>
        <v>0</v>
      </c>
      <c r="AG284" s="2">
        <f>IF(AND(Games[[#This Row],[Type]]="P",Games[[#This Row],[Round]]=2),IF(Games[[#This Row],[Result]]&gt;0.5,1,0),0)</f>
        <v>0</v>
      </c>
      <c r="AH284" s="2">
        <f>IF(AND(Games[[#This Row],[Type]]="P",Games[[#This Row],[Round]]=2),IF(Games[[#This Row],[Result]]&lt;0.5,1,0),0)</f>
        <v>0</v>
      </c>
      <c r="AI284" s="2">
        <f>IF(AND(Games[[#This Row],[Type]]="P",Games[[#This Row],[Round]]=3),IF(Games[[#This Row],[Result]]&gt;0.5,1,0),0)</f>
        <v>0</v>
      </c>
      <c r="AJ284" s="2">
        <f>IF(AND(Games[[#This Row],[Type]]="P",Games[[#This Row],[Round]]=3),IF(Games[[#This Row],[Result]]&lt;0.5,1,0),0)</f>
        <v>0</v>
      </c>
      <c r="AK284" s="2">
        <f>IF(AND(Games[[#This Row],[Type]]="P",Games[[#This Row],[Round]]=4),IF(Games[[#This Row],[Result]]&gt;0.5,1,0),0)</f>
        <v>0</v>
      </c>
      <c r="AL284" s="2">
        <f>IF(AND(Games[[#This Row],[Type]]="P",Games[[#This Row],[Round]]=4),IF(Games[[#This Row],[Result]]&lt;0.5,1,0),0)</f>
        <v>0</v>
      </c>
    </row>
    <row r="285" spans="1:38" x14ac:dyDescent="0.35">
      <c r="A285" s="10">
        <v>44432</v>
      </c>
      <c r="B285" s="2">
        <v>2021</v>
      </c>
      <c r="C285" s="2">
        <f>COUNTIFS(Games[Team],Games[[#This Row],[Team]],Games[Season],Games[[#This Row],[Season]],Games[Date],"&lt;=" &amp; Games[[#This Row],[Date]])</f>
        <v>24</v>
      </c>
      <c r="D285" s="2" t="s">
        <v>79</v>
      </c>
      <c r="E285" s="2" t="s">
        <v>80</v>
      </c>
      <c r="F285" s="1" t="s">
        <v>77</v>
      </c>
      <c r="G285" s="1" t="s">
        <v>75</v>
      </c>
      <c r="H285" s="1" t="s">
        <v>82</v>
      </c>
      <c r="I285" s="2" cm="1">
        <f t="array" ref="I285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5" s="2" cm="1">
        <f t="array" ref="J28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5" s="2">
        <f>Games[[#This Row],[DaysOff]]-Games[[#This Row],[OppDaysOff]]</f>
        <v>0</v>
      </c>
      <c r="L285" s="2">
        <f>Games[[#This Row],[OppDaysOff]]-Games[[#This Row],[DaysOff]]</f>
        <v>0</v>
      </c>
      <c r="M285" s="1">
        <f>MAX(-16, MIN(16, Games[[#This Row],[RestDiff]]*8))</f>
        <v>0</v>
      </c>
      <c r="N285" s="1">
        <f>MAX(-16, MIN(16, Games[[#This Row],[OppRestDiff]]*8))</f>
        <v>0</v>
      </c>
      <c r="O285" s="4" cm="1">
        <f t="array" ref="O2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1341.1034954146421</v>
      </c>
      <c r="P285" s="4" cm="1">
        <f t="array" ref="P2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1511.5773292049239</v>
      </c>
      <c r="Q285" s="4">
        <f>1/(1+10^(((Games[[#This Row],[OppPreGmRate]]+IF(Games[[#This Row],[HomeAway]]="A",HCA,0)+Games[[#This Row],[OppRestAdj]])-(Games[[#This Row],[PreGmRate]]+IF(Games[[#This Row],[HomeAway]]="H",HCA,0)+Games[[#This Row],[RestAdj]]))/400))</f>
        <v>0.37806171888476559</v>
      </c>
      <c r="R285" s="1">
        <v>79</v>
      </c>
      <c r="S285" s="1">
        <v>86</v>
      </c>
      <c r="T285" s="1">
        <v>0</v>
      </c>
      <c r="U285" s="1">
        <f>Games[[#This Row],[PointsFor]]-Games[[#This Row],[PointsAgainst]]</f>
        <v>-7</v>
      </c>
      <c r="V285" s="1">
        <f>IF(Games[[#This Row],[MOV]]&gt;0,1,IF(Games[[#This Row],[MOV]]=0,0.5,0))</f>
        <v>0</v>
      </c>
      <c r="W285" s="4">
        <f>((ABS(Games[[#This Row],[MOV]])+5)^0.6)/(12+0.01*(ABS(Games[[#This Row],[PreGmRate]]-Games[[#This Row],[OppPreGmRate]])))*IF(Games[[#This Row],[OT]]=1,0.9,1)</f>
        <v>0.32406938099377625</v>
      </c>
      <c r="X285" s="7" cm="1">
        <f t="array" ref="X2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5" s="9">
        <f>MAX(kmin, kmax - 0.15 * MIN(Games[[#This Row],[GamesPlayed]], 82))</f>
        <v>72.400000000000006</v>
      </c>
      <c r="Z285" s="4">
        <f>Games[[#This Row],[K]]*Games[[#This Row],[POMult]]</f>
        <v>72.400000000000006</v>
      </c>
      <c r="AA285" s="4">
        <f>(Games[[#This Row],[Keff]]*Games[[#This Row],[MOVMult]])*(Games[[#This Row],[Result]]-Games[[#This Row],[ExpectedWin%]])</f>
        <v>-8.8703196504694617</v>
      </c>
      <c r="AB285" s="4">
        <f>Games[[#This Row],[PreGmRate]]+Games[[#This Row],[RatingChange]]</f>
        <v>1332.2331757641728</v>
      </c>
      <c r="AC285" s="2">
        <f>IF(Games[[#This Row],[Type]]="R",IF(Games[[#This Row],[Result]]&gt;0.5,1,0),0)</f>
        <v>0</v>
      </c>
      <c r="AD285" s="2">
        <f>IF(Games[[#This Row],[Type]]="R",IF(Games[[#This Row],[Result]]&lt;0.5,1,0),0)</f>
        <v>1</v>
      </c>
      <c r="AE285" s="2">
        <f>IF(AND(Games[[#This Row],[Type]]="P",Games[[#This Row],[Round]]=1),IF(Games[[#This Row],[Result]]&gt;0.5,1,0),0)</f>
        <v>0</v>
      </c>
      <c r="AF285" s="2">
        <f>IF(AND(Games[[#This Row],[Type]]="P",Games[[#This Row],[Round]]=1),IF(Games[[#This Row],[Result]]&lt;0.5,1,0),0)</f>
        <v>0</v>
      </c>
      <c r="AG285" s="2">
        <f>IF(AND(Games[[#This Row],[Type]]="P",Games[[#This Row],[Round]]=2),IF(Games[[#This Row],[Result]]&gt;0.5,1,0),0)</f>
        <v>0</v>
      </c>
      <c r="AH285" s="2">
        <f>IF(AND(Games[[#This Row],[Type]]="P",Games[[#This Row],[Round]]=2),IF(Games[[#This Row],[Result]]&lt;0.5,1,0),0)</f>
        <v>0</v>
      </c>
      <c r="AI285" s="2">
        <f>IF(AND(Games[[#This Row],[Type]]="P",Games[[#This Row],[Round]]=3),IF(Games[[#This Row],[Result]]&gt;0.5,1,0),0)</f>
        <v>0</v>
      </c>
      <c r="AJ285" s="2">
        <f>IF(AND(Games[[#This Row],[Type]]="P",Games[[#This Row],[Round]]=3),IF(Games[[#This Row],[Result]]&lt;0.5,1,0),0)</f>
        <v>0</v>
      </c>
      <c r="AK285" s="2">
        <f>IF(AND(Games[[#This Row],[Type]]="P",Games[[#This Row],[Round]]=4),IF(Games[[#This Row],[Result]]&gt;0.5,1,0),0)</f>
        <v>0</v>
      </c>
      <c r="AL285" s="2">
        <f>IF(AND(Games[[#This Row],[Type]]="P",Games[[#This Row],[Round]]=4),IF(Games[[#This Row],[Result]]&lt;0.5,1,0),0)</f>
        <v>0</v>
      </c>
    </row>
    <row r="286" spans="1:38" x14ac:dyDescent="0.35">
      <c r="A286" s="10">
        <v>44432</v>
      </c>
      <c r="B286" s="2">
        <v>2021</v>
      </c>
      <c r="C286" s="2">
        <f>COUNTIFS(Games[Team],Games[[#This Row],[Team]],Games[Season],Games[[#This Row],[Season]],Games[Date],"&lt;=" &amp; Games[[#This Row],[Date]])</f>
        <v>24</v>
      </c>
      <c r="D286" s="2" t="s">
        <v>79</v>
      </c>
      <c r="E286" s="2" t="s">
        <v>80</v>
      </c>
      <c r="F286" s="1" t="s">
        <v>85</v>
      </c>
      <c r="G286" s="1" t="s">
        <v>74</v>
      </c>
      <c r="H286" s="1" t="s">
        <v>81</v>
      </c>
      <c r="I286" s="2" cm="1">
        <f t="array" ref="I286">IFERROR(
    Games[[#This Row],[Date]]
    - LOOKUP(
        2,
        1/((Games[Team]=Games[[#This Row],[Team]]) * (Games[Date] &lt; Games[[#This Row],[Date]])),
        Games[Date]
    )
    - 1,
Games[[#This Row],[Date]]-$A$2)</f>
        <v>6</v>
      </c>
      <c r="J286" s="2" cm="1">
        <f t="array" ref="J28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286" s="2">
        <f>Games[[#This Row],[DaysOff]]-Games[[#This Row],[OppDaysOff]]</f>
        <v>2</v>
      </c>
      <c r="L286" s="2">
        <f>Games[[#This Row],[OppDaysOff]]-Games[[#This Row],[DaysOff]]</f>
        <v>-2</v>
      </c>
      <c r="M286" s="1">
        <f>MAX(-16, MIN(16, Games[[#This Row],[RestDiff]]*8))</f>
        <v>16</v>
      </c>
      <c r="N286" s="1">
        <f>MAX(-16, MIN(16, Games[[#This Row],[OppRestDiff]]*8))</f>
        <v>-16</v>
      </c>
      <c r="O286" s="4" cm="1">
        <f t="array" ref="O2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1643.0315145045479</v>
      </c>
      <c r="P286" s="4" cm="1">
        <f t="array" ref="P2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1632.3587067848607</v>
      </c>
      <c r="Q286" s="4">
        <f>1/(1+10^(((Games[[#This Row],[OppPreGmRate]]+IF(Games[[#This Row],[HomeAway]]="A",HCA,0)+Games[[#This Row],[OppRestAdj]])-(Games[[#This Row],[PreGmRate]]+IF(Games[[#This Row],[HomeAway]]="H",HCA,0)+Games[[#This Row],[RestAdj]]))/400))</f>
        <v>0.44080431142547999</v>
      </c>
      <c r="R286" s="1">
        <v>62</v>
      </c>
      <c r="S286" s="1">
        <v>76</v>
      </c>
      <c r="T286" s="1">
        <v>0</v>
      </c>
      <c r="U286" s="1">
        <f>Games[[#This Row],[PointsFor]]-Games[[#This Row],[PointsAgainst]]</f>
        <v>-14</v>
      </c>
      <c r="V286" s="1">
        <f>IF(Games[[#This Row],[MOV]]&gt;0,1,IF(Games[[#This Row],[MOV]]=0,0.5,0))</f>
        <v>0</v>
      </c>
      <c r="W286" s="4">
        <f>((ABS(Games[[#This Row],[MOV]])+5)^0.6)/(12+0.01*(ABS(Games[[#This Row],[PreGmRate]]-Games[[#This Row],[OppPreGmRate]])))*IF(Games[[#This Row],[OT]]=1,0.9,1)</f>
        <v>0.48330954532878168</v>
      </c>
      <c r="X286" s="7" cm="1">
        <f t="array" ref="X2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6" s="9">
        <f>MAX(kmin, kmax - 0.15 * MIN(Games[[#This Row],[GamesPlayed]], 82))</f>
        <v>72.400000000000006</v>
      </c>
      <c r="Z286" s="4">
        <f>Games[[#This Row],[K]]*Games[[#This Row],[POMult]]</f>
        <v>72.400000000000006</v>
      </c>
      <c r="AA286" s="4">
        <f>(Games[[#This Row],[Keff]]*Games[[#This Row],[MOVMult]])*(Games[[#This Row],[Result]]-Games[[#This Row],[ExpectedWin%]])</f>
        <v>-15.424453028582718</v>
      </c>
      <c r="AB286" s="4">
        <f>Games[[#This Row],[PreGmRate]]+Games[[#This Row],[RatingChange]]</f>
        <v>1627.6070614759651</v>
      </c>
      <c r="AC286" s="2">
        <f>IF(Games[[#This Row],[Type]]="R",IF(Games[[#This Row],[Result]]&gt;0.5,1,0),0)</f>
        <v>0</v>
      </c>
      <c r="AD286" s="2">
        <f>IF(Games[[#This Row],[Type]]="R",IF(Games[[#This Row],[Result]]&lt;0.5,1,0),0)</f>
        <v>1</v>
      </c>
      <c r="AE286" s="2">
        <f>IF(AND(Games[[#This Row],[Type]]="P",Games[[#This Row],[Round]]=1),IF(Games[[#This Row],[Result]]&gt;0.5,1,0),0)</f>
        <v>0</v>
      </c>
      <c r="AF286" s="2">
        <f>IF(AND(Games[[#This Row],[Type]]="P",Games[[#This Row],[Round]]=1),IF(Games[[#This Row],[Result]]&lt;0.5,1,0),0)</f>
        <v>0</v>
      </c>
      <c r="AG286" s="2">
        <f>IF(AND(Games[[#This Row],[Type]]="P",Games[[#This Row],[Round]]=2),IF(Games[[#This Row],[Result]]&gt;0.5,1,0),0)</f>
        <v>0</v>
      </c>
      <c r="AH286" s="2">
        <f>IF(AND(Games[[#This Row],[Type]]="P",Games[[#This Row],[Round]]=2),IF(Games[[#This Row],[Result]]&lt;0.5,1,0),0)</f>
        <v>0</v>
      </c>
      <c r="AI286" s="2">
        <f>IF(AND(Games[[#This Row],[Type]]="P",Games[[#This Row],[Round]]=3),IF(Games[[#This Row],[Result]]&gt;0.5,1,0),0)</f>
        <v>0</v>
      </c>
      <c r="AJ286" s="2">
        <f>IF(AND(Games[[#This Row],[Type]]="P",Games[[#This Row],[Round]]=3),IF(Games[[#This Row],[Result]]&lt;0.5,1,0),0)</f>
        <v>0</v>
      </c>
      <c r="AK286" s="2">
        <f>IF(AND(Games[[#This Row],[Type]]="P",Games[[#This Row],[Round]]=4),IF(Games[[#This Row],[Result]]&gt;0.5,1,0),0)</f>
        <v>0</v>
      </c>
      <c r="AL286" s="2">
        <f>IF(AND(Games[[#This Row],[Type]]="P",Games[[#This Row],[Round]]=4),IF(Games[[#This Row],[Result]]&lt;0.5,1,0),0)</f>
        <v>0</v>
      </c>
    </row>
    <row r="287" spans="1:38" x14ac:dyDescent="0.35">
      <c r="A287" s="10">
        <v>44432</v>
      </c>
      <c r="B287" s="2">
        <v>2021</v>
      </c>
      <c r="C287" s="2">
        <f>COUNTIFS(Games[Team],Games[[#This Row],[Team]],Games[Season],Games[[#This Row],[Season]],Games[Date],"&lt;=" &amp; Games[[#This Row],[Date]])</f>
        <v>25</v>
      </c>
      <c r="D287" s="2" t="s">
        <v>79</v>
      </c>
      <c r="E287" s="2" t="s">
        <v>80</v>
      </c>
      <c r="F287" s="1" t="s">
        <v>74</v>
      </c>
      <c r="G287" s="1" t="s">
        <v>85</v>
      </c>
      <c r="H287" s="1" t="s">
        <v>82</v>
      </c>
      <c r="I287" s="2" cm="1">
        <f t="array" ref="I287">IFERROR(
    Games[[#This Row],[Date]]
    - LOOKUP(
        2,
        1/((Games[Team]=Games[[#This Row],[Team]]) * (Games[Date] &lt; Games[[#This Row],[Date]])),
        Games[Date]
    )
    - 1,
Games[[#This Row],[Date]]-$A$2)</f>
        <v>4</v>
      </c>
      <c r="J287" s="2" cm="1">
        <f t="array" ref="J287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287" s="2">
        <f>Games[[#This Row],[DaysOff]]-Games[[#This Row],[OppDaysOff]]</f>
        <v>-2</v>
      </c>
      <c r="L287" s="2">
        <f>Games[[#This Row],[OppDaysOff]]-Games[[#This Row],[DaysOff]]</f>
        <v>2</v>
      </c>
      <c r="M287" s="1">
        <f>MAX(-16, MIN(16, Games[[#This Row],[RestDiff]]*8))</f>
        <v>-16</v>
      </c>
      <c r="N287" s="1">
        <f>MAX(-16, MIN(16, Games[[#This Row],[OppRestDiff]]*8))</f>
        <v>16</v>
      </c>
      <c r="O287" s="4" cm="1">
        <f t="array" ref="O2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1632.3587067848607</v>
      </c>
      <c r="P287" s="4" cm="1">
        <f t="array" ref="P2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1643.0315145045479</v>
      </c>
      <c r="Q287" s="4">
        <f>1/(1+10^(((Games[[#This Row],[OppPreGmRate]]+IF(Games[[#This Row],[HomeAway]]="A",HCA,0)+Games[[#This Row],[OppRestAdj]])-(Games[[#This Row],[PreGmRate]]+IF(Games[[#This Row],[HomeAway]]="H",HCA,0)+Games[[#This Row],[RestAdj]]))/400))</f>
        <v>0.55919568857452007</v>
      </c>
      <c r="R287" s="1">
        <v>76</v>
      </c>
      <c r="S287" s="1">
        <v>62</v>
      </c>
      <c r="T287" s="1">
        <v>0</v>
      </c>
      <c r="U287" s="1">
        <f>Games[[#This Row],[PointsFor]]-Games[[#This Row],[PointsAgainst]]</f>
        <v>14</v>
      </c>
      <c r="V287" s="1">
        <f>IF(Games[[#This Row],[MOV]]&gt;0,1,IF(Games[[#This Row],[MOV]]=0,0.5,0))</f>
        <v>1</v>
      </c>
      <c r="W287" s="4">
        <f>((ABS(Games[[#This Row],[MOV]])+5)^0.6)/(12+0.01*(ABS(Games[[#This Row],[PreGmRate]]-Games[[#This Row],[OppPreGmRate]])))*IF(Games[[#This Row],[OT]]=1,0.9,1)</f>
        <v>0.48330954532878168</v>
      </c>
      <c r="X287" s="7" cm="1">
        <f t="array" ref="X2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7" s="9">
        <f>MAX(kmin, kmax - 0.15 * MIN(Games[[#This Row],[GamesPlayed]], 82))</f>
        <v>72.25</v>
      </c>
      <c r="Z287" s="4">
        <f>Games[[#This Row],[K]]*Games[[#This Row],[POMult]]</f>
        <v>72.25</v>
      </c>
      <c r="AA287" s="4">
        <f>(Games[[#This Row],[Keff]]*Games[[#This Row],[MOVMult]])*(Games[[#This Row],[Result]]-Games[[#This Row],[ExpectedWin%]])</f>
        <v>15.392496288882612</v>
      </c>
      <c r="AB287" s="4">
        <f>Games[[#This Row],[PreGmRate]]+Games[[#This Row],[RatingChange]]</f>
        <v>1647.7512030737432</v>
      </c>
      <c r="AC287" s="2">
        <f>IF(Games[[#This Row],[Type]]="R",IF(Games[[#This Row],[Result]]&gt;0.5,1,0),0)</f>
        <v>1</v>
      </c>
      <c r="AD287" s="2">
        <f>IF(Games[[#This Row],[Type]]="R",IF(Games[[#This Row],[Result]]&lt;0.5,1,0),0)</f>
        <v>0</v>
      </c>
      <c r="AE287" s="2">
        <f>IF(AND(Games[[#This Row],[Type]]="P",Games[[#This Row],[Round]]=1),IF(Games[[#This Row],[Result]]&gt;0.5,1,0),0)</f>
        <v>0</v>
      </c>
      <c r="AF287" s="2">
        <f>IF(AND(Games[[#This Row],[Type]]="P",Games[[#This Row],[Round]]=1),IF(Games[[#This Row],[Result]]&lt;0.5,1,0),0)</f>
        <v>0</v>
      </c>
      <c r="AG287" s="2">
        <f>IF(AND(Games[[#This Row],[Type]]="P",Games[[#This Row],[Round]]=2),IF(Games[[#This Row],[Result]]&gt;0.5,1,0),0)</f>
        <v>0</v>
      </c>
      <c r="AH287" s="2">
        <f>IF(AND(Games[[#This Row],[Type]]="P",Games[[#This Row],[Round]]=2),IF(Games[[#This Row],[Result]]&lt;0.5,1,0),0)</f>
        <v>0</v>
      </c>
      <c r="AI287" s="2">
        <f>IF(AND(Games[[#This Row],[Type]]="P",Games[[#This Row],[Round]]=3),IF(Games[[#This Row],[Result]]&gt;0.5,1,0),0)</f>
        <v>0</v>
      </c>
      <c r="AJ287" s="2">
        <f>IF(AND(Games[[#This Row],[Type]]="P",Games[[#This Row],[Round]]=3),IF(Games[[#This Row],[Result]]&lt;0.5,1,0),0)</f>
        <v>0</v>
      </c>
      <c r="AK287" s="2">
        <f>IF(AND(Games[[#This Row],[Type]]="P",Games[[#This Row],[Round]]=4),IF(Games[[#This Row],[Result]]&gt;0.5,1,0),0)</f>
        <v>0</v>
      </c>
      <c r="AL287" s="2">
        <f>IF(AND(Games[[#This Row],[Type]]="P",Games[[#This Row],[Round]]=4),IF(Games[[#This Row],[Result]]&lt;0.5,1,0),0)</f>
        <v>0</v>
      </c>
    </row>
    <row r="288" spans="1:38" x14ac:dyDescent="0.35">
      <c r="A288" s="10">
        <v>44432</v>
      </c>
      <c r="B288" s="2">
        <v>2021</v>
      </c>
      <c r="C288" s="2">
        <f>COUNTIFS(Games[Team],Games[[#This Row],[Team]],Games[Season],Games[[#This Row],[Season]],Games[Date],"&lt;=" &amp; Games[[#This Row],[Date]])</f>
        <v>27</v>
      </c>
      <c r="D288" s="2" t="s">
        <v>79</v>
      </c>
      <c r="E288" s="2" t="s">
        <v>80</v>
      </c>
      <c r="F288" s="1" t="s">
        <v>71</v>
      </c>
      <c r="G288" s="1" t="s">
        <v>67</v>
      </c>
      <c r="H288" s="1" t="s">
        <v>81</v>
      </c>
      <c r="I288" s="2" cm="1">
        <f t="array" ref="I288">IFERROR(
    Games[[#This Row],[Date]]
    - LOOKUP(
        2,
        1/((Games[Team]=Games[[#This Row],[Team]]) * (Games[Date] &lt; Games[[#This Row],[Date]])),
        Games[Date]
    )
    - 1,
Games[[#This Row],[Date]]-$A$2)</f>
        <v>1</v>
      </c>
      <c r="J288" s="2" cm="1">
        <f t="array" ref="J28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88" s="2">
        <f>Games[[#This Row],[DaysOff]]-Games[[#This Row],[OppDaysOff]]</f>
        <v>-1</v>
      </c>
      <c r="L288" s="2">
        <f>Games[[#This Row],[OppDaysOff]]-Games[[#This Row],[DaysOff]]</f>
        <v>1</v>
      </c>
      <c r="M288" s="1">
        <f>MAX(-16, MIN(16, Games[[#This Row],[RestDiff]]*8))</f>
        <v>-8</v>
      </c>
      <c r="N288" s="1">
        <f>MAX(-16, MIN(16, Games[[#This Row],[OppRestDiff]]*8))</f>
        <v>8</v>
      </c>
      <c r="O288" s="4" cm="1">
        <f t="array" ref="O2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1682.8927867494842</v>
      </c>
      <c r="P288" s="4" cm="1">
        <f t="array" ref="P2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1593.6751327585857</v>
      </c>
      <c r="Q288" s="4">
        <f>1/(1+10^(((Games[[#This Row],[OppPreGmRate]]+IF(Games[[#This Row],[HomeAway]]="A",HCA,0)+Games[[#This Row],[OppRestAdj]])-(Games[[#This Row],[PreGmRate]]+IF(Games[[#This Row],[HomeAway]]="H",HCA,0)+Games[[#This Row],[RestAdj]]))/400))</f>
        <v>0.48448793640232202</v>
      </c>
      <c r="R288" s="1">
        <v>70</v>
      </c>
      <c r="S288" s="1">
        <v>76</v>
      </c>
      <c r="T288" s="1">
        <v>0</v>
      </c>
      <c r="U288" s="1">
        <f>Games[[#This Row],[PointsFor]]-Games[[#This Row],[PointsAgainst]]</f>
        <v>-6</v>
      </c>
      <c r="V288" s="1">
        <f>IF(Games[[#This Row],[MOV]]&gt;0,1,IF(Games[[#This Row],[MOV]]=0,0.5,0))</f>
        <v>0</v>
      </c>
      <c r="W288" s="4">
        <f>((ABS(Games[[#This Row],[MOV]])+5)^0.6)/(12+0.01*(ABS(Games[[#This Row],[PreGmRate]]-Games[[#This Row],[OppPreGmRate]])))*IF(Games[[#This Row],[OT]]=1,0.9,1)</f>
        <v>0.32697109910361649</v>
      </c>
      <c r="X288" s="7" cm="1">
        <f t="array" ref="X2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8" s="9">
        <f>MAX(kmin, kmax - 0.15 * MIN(Games[[#This Row],[GamesPlayed]], 82))</f>
        <v>71.95</v>
      </c>
      <c r="Z288" s="4">
        <f>Games[[#This Row],[K]]*Games[[#This Row],[POMult]]</f>
        <v>71.95</v>
      </c>
      <c r="AA288" s="4">
        <f>(Games[[#This Row],[Keff]]*Games[[#This Row],[MOVMult]])*(Games[[#This Row],[Result]]-Games[[#This Row],[ExpectedWin%]])</f>
        <v>-11.397855143236145</v>
      </c>
      <c r="AB288" s="4">
        <f>Games[[#This Row],[PreGmRate]]+Games[[#This Row],[RatingChange]]</f>
        <v>1671.494931606248</v>
      </c>
      <c r="AC288" s="2">
        <f>IF(Games[[#This Row],[Type]]="R",IF(Games[[#This Row],[Result]]&gt;0.5,1,0),0)</f>
        <v>0</v>
      </c>
      <c r="AD288" s="2">
        <f>IF(Games[[#This Row],[Type]]="R",IF(Games[[#This Row],[Result]]&lt;0.5,1,0),0)</f>
        <v>1</v>
      </c>
      <c r="AE288" s="2">
        <f>IF(AND(Games[[#This Row],[Type]]="P",Games[[#This Row],[Round]]=1),IF(Games[[#This Row],[Result]]&gt;0.5,1,0),0)</f>
        <v>0</v>
      </c>
      <c r="AF288" s="2">
        <f>IF(AND(Games[[#This Row],[Type]]="P",Games[[#This Row],[Round]]=1),IF(Games[[#This Row],[Result]]&lt;0.5,1,0),0)</f>
        <v>0</v>
      </c>
      <c r="AG288" s="2">
        <f>IF(AND(Games[[#This Row],[Type]]="P",Games[[#This Row],[Round]]=2),IF(Games[[#This Row],[Result]]&gt;0.5,1,0),0)</f>
        <v>0</v>
      </c>
      <c r="AH288" s="2">
        <f>IF(AND(Games[[#This Row],[Type]]="P",Games[[#This Row],[Round]]=2),IF(Games[[#This Row],[Result]]&lt;0.5,1,0),0)</f>
        <v>0</v>
      </c>
      <c r="AI288" s="2">
        <f>IF(AND(Games[[#This Row],[Type]]="P",Games[[#This Row],[Round]]=3),IF(Games[[#This Row],[Result]]&gt;0.5,1,0),0)</f>
        <v>0</v>
      </c>
      <c r="AJ288" s="2">
        <f>IF(AND(Games[[#This Row],[Type]]="P",Games[[#This Row],[Round]]=3),IF(Games[[#This Row],[Result]]&lt;0.5,1,0),0)</f>
        <v>0</v>
      </c>
      <c r="AK288" s="2">
        <f>IF(AND(Games[[#This Row],[Type]]="P",Games[[#This Row],[Round]]=4),IF(Games[[#This Row],[Result]]&gt;0.5,1,0),0)</f>
        <v>0</v>
      </c>
      <c r="AL288" s="2">
        <f>IF(AND(Games[[#This Row],[Type]]="P",Games[[#This Row],[Round]]=4),IF(Games[[#This Row],[Result]]&lt;0.5,1,0),0)</f>
        <v>0</v>
      </c>
    </row>
    <row r="289" spans="1:38" x14ac:dyDescent="0.35">
      <c r="A289" s="10">
        <v>44432</v>
      </c>
      <c r="B289" s="2">
        <v>2021</v>
      </c>
      <c r="C289" s="2">
        <f>COUNTIFS(Games[Team],Games[[#This Row],[Team]],Games[Season],Games[[#This Row],[Season]],Games[Date],"&lt;=" &amp; Games[[#This Row],[Date]])</f>
        <v>24</v>
      </c>
      <c r="D289" s="2" t="s">
        <v>79</v>
      </c>
      <c r="E289" s="2" t="s">
        <v>80</v>
      </c>
      <c r="F289" s="1" t="s">
        <v>67</v>
      </c>
      <c r="G289" s="1" t="s">
        <v>71</v>
      </c>
      <c r="H289" s="1" t="s">
        <v>82</v>
      </c>
      <c r="I289" s="2" cm="1">
        <f t="array" ref="I289">IFERROR(
    Games[[#This Row],[Date]]
    - LOOKUP(
        2,
        1/((Games[Team]=Games[[#This Row],[Team]]) * (Games[Date] &lt; Games[[#This Row],[Date]])),
        Games[Date]
    )
    - 1,
Games[[#This Row],[Date]]-$A$2)</f>
        <v>2</v>
      </c>
      <c r="J289" s="2" cm="1">
        <f t="array" ref="J28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89" s="2">
        <f>Games[[#This Row],[DaysOff]]-Games[[#This Row],[OppDaysOff]]</f>
        <v>1</v>
      </c>
      <c r="L289" s="2">
        <f>Games[[#This Row],[OppDaysOff]]-Games[[#This Row],[DaysOff]]</f>
        <v>-1</v>
      </c>
      <c r="M289" s="1">
        <f>MAX(-16, MIN(16, Games[[#This Row],[RestDiff]]*8))</f>
        <v>8</v>
      </c>
      <c r="N289" s="1">
        <f>MAX(-16, MIN(16, Games[[#This Row],[OppRestDiff]]*8))</f>
        <v>-8</v>
      </c>
      <c r="O289" s="4" cm="1">
        <f t="array" ref="O2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1593.6751327585857</v>
      </c>
      <c r="P289" s="4" cm="1">
        <f t="array" ref="P2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1682.8927867494842</v>
      </c>
      <c r="Q289" s="4">
        <f>1/(1+10^(((Games[[#This Row],[OppPreGmRate]]+IF(Games[[#This Row],[HomeAway]]="A",HCA,0)+Games[[#This Row],[OppRestAdj]])-(Games[[#This Row],[PreGmRate]]+IF(Games[[#This Row],[HomeAway]]="H",HCA,0)+Games[[#This Row],[RestAdj]]))/400))</f>
        <v>0.51551206359767798</v>
      </c>
      <c r="R289" s="1">
        <v>76</v>
      </c>
      <c r="S289" s="1">
        <v>70</v>
      </c>
      <c r="T289" s="1">
        <v>0</v>
      </c>
      <c r="U289" s="1">
        <f>Games[[#This Row],[PointsFor]]-Games[[#This Row],[PointsAgainst]]</f>
        <v>6</v>
      </c>
      <c r="V289" s="1">
        <f>IF(Games[[#This Row],[MOV]]&gt;0,1,IF(Games[[#This Row],[MOV]]=0,0.5,0))</f>
        <v>1</v>
      </c>
      <c r="W289" s="4">
        <f>((ABS(Games[[#This Row],[MOV]])+5)^0.6)/(12+0.01*(ABS(Games[[#This Row],[PreGmRate]]-Games[[#This Row],[OppPreGmRate]])))*IF(Games[[#This Row],[OT]]=1,0.9,1)</f>
        <v>0.32697109910361649</v>
      </c>
      <c r="X289" s="7" cm="1">
        <f t="array" ref="X2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89" s="9">
        <f>MAX(kmin, kmax - 0.15 * MIN(Games[[#This Row],[GamesPlayed]], 82))</f>
        <v>72.400000000000006</v>
      </c>
      <c r="Z289" s="4">
        <f>Games[[#This Row],[K]]*Games[[#This Row],[POMult]]</f>
        <v>72.400000000000006</v>
      </c>
      <c r="AA289" s="4">
        <f>(Games[[#This Row],[Keff]]*Games[[#This Row],[MOVMult]])*(Games[[#This Row],[Result]]-Games[[#This Row],[ExpectedWin%]])</f>
        <v>11.469141242116704</v>
      </c>
      <c r="AB289" s="4">
        <f>Games[[#This Row],[PreGmRate]]+Games[[#This Row],[RatingChange]]</f>
        <v>1605.1442740007024</v>
      </c>
      <c r="AC289" s="2">
        <f>IF(Games[[#This Row],[Type]]="R",IF(Games[[#This Row],[Result]]&gt;0.5,1,0),0)</f>
        <v>1</v>
      </c>
      <c r="AD289" s="2">
        <f>IF(Games[[#This Row],[Type]]="R",IF(Games[[#This Row],[Result]]&lt;0.5,1,0),0)</f>
        <v>0</v>
      </c>
      <c r="AE289" s="2">
        <f>IF(AND(Games[[#This Row],[Type]]="P",Games[[#This Row],[Round]]=1),IF(Games[[#This Row],[Result]]&gt;0.5,1,0),0)</f>
        <v>0</v>
      </c>
      <c r="AF289" s="2">
        <f>IF(AND(Games[[#This Row],[Type]]="P",Games[[#This Row],[Round]]=1),IF(Games[[#This Row],[Result]]&lt;0.5,1,0),0)</f>
        <v>0</v>
      </c>
      <c r="AG289" s="2">
        <f>IF(AND(Games[[#This Row],[Type]]="P",Games[[#This Row],[Round]]=2),IF(Games[[#This Row],[Result]]&gt;0.5,1,0),0)</f>
        <v>0</v>
      </c>
      <c r="AH289" s="2">
        <f>IF(AND(Games[[#This Row],[Type]]="P",Games[[#This Row],[Round]]=2),IF(Games[[#This Row],[Result]]&lt;0.5,1,0),0)</f>
        <v>0</v>
      </c>
      <c r="AI289" s="2">
        <f>IF(AND(Games[[#This Row],[Type]]="P",Games[[#This Row],[Round]]=3),IF(Games[[#This Row],[Result]]&gt;0.5,1,0),0)</f>
        <v>0</v>
      </c>
      <c r="AJ289" s="2">
        <f>IF(AND(Games[[#This Row],[Type]]="P",Games[[#This Row],[Round]]=3),IF(Games[[#This Row],[Result]]&lt;0.5,1,0),0)</f>
        <v>0</v>
      </c>
      <c r="AK289" s="2">
        <f>IF(AND(Games[[#This Row],[Type]]="P",Games[[#This Row],[Round]]=4),IF(Games[[#This Row],[Result]]&gt;0.5,1,0),0)</f>
        <v>0</v>
      </c>
      <c r="AL289" s="2">
        <f>IF(AND(Games[[#This Row],[Type]]="P",Games[[#This Row],[Round]]=4),IF(Games[[#This Row],[Result]]&lt;0.5,1,0),0)</f>
        <v>0</v>
      </c>
    </row>
    <row r="290" spans="1:38" x14ac:dyDescent="0.35">
      <c r="A290" s="10">
        <v>44432</v>
      </c>
      <c r="B290" s="2">
        <v>2021</v>
      </c>
      <c r="C290" s="2">
        <f>COUNTIFS(Games[Team],Games[[#This Row],[Team]],Games[Season],Games[[#This Row],[Season]],Games[Date],"&lt;=" &amp; Games[[#This Row],[Date]])</f>
        <v>24</v>
      </c>
      <c r="D290" s="2" t="s">
        <v>79</v>
      </c>
      <c r="E290" s="2" t="s">
        <v>80</v>
      </c>
      <c r="F290" s="1" t="s">
        <v>63</v>
      </c>
      <c r="G290" s="1" t="s">
        <v>65</v>
      </c>
      <c r="H290" s="1" t="s">
        <v>81</v>
      </c>
      <c r="I290" s="2" cm="1">
        <f t="array" ref="I290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0" s="2" cm="1">
        <f t="array" ref="J29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0" s="2">
        <f>Games[[#This Row],[DaysOff]]-Games[[#This Row],[OppDaysOff]]</f>
        <v>0</v>
      </c>
      <c r="L290" s="2">
        <f>Games[[#This Row],[OppDaysOff]]-Games[[#This Row],[DaysOff]]</f>
        <v>0</v>
      </c>
      <c r="M290" s="1">
        <f>MAX(-16, MIN(16, Games[[#This Row],[RestDiff]]*8))</f>
        <v>0</v>
      </c>
      <c r="N290" s="1">
        <f>MAX(-16, MIN(16, Games[[#This Row],[OppRestDiff]]*8))</f>
        <v>0</v>
      </c>
      <c r="O290" s="4" cm="1">
        <f t="array" ref="O2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1437.0816736470913</v>
      </c>
      <c r="P290" s="4" cm="1">
        <f t="array" ref="P2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1435.2635684784416</v>
      </c>
      <c r="Q290" s="4">
        <f>1/(1+10^(((Games[[#This Row],[OppPreGmRate]]+IF(Games[[#This Row],[HomeAway]]="A",HCA,0)+Games[[#This Row],[OppRestAdj]])-(Games[[#This Row],[PreGmRate]]+IF(Games[[#This Row],[HomeAway]]="H",HCA,0)+Games[[#This Row],[RestAdj]]))/400))</f>
        <v>0.38388821450498117</v>
      </c>
      <c r="R290" s="1">
        <v>68</v>
      </c>
      <c r="S290" s="1">
        <v>78</v>
      </c>
      <c r="T290" s="1">
        <v>0</v>
      </c>
      <c r="U290" s="1">
        <f>Games[[#This Row],[PointsFor]]-Games[[#This Row],[PointsAgainst]]</f>
        <v>-10</v>
      </c>
      <c r="V290" s="1">
        <f>IF(Games[[#This Row],[MOV]]&gt;0,1,IF(Games[[#This Row],[MOV]]=0,0.5,0))</f>
        <v>0</v>
      </c>
      <c r="W290" s="4">
        <f>((ABS(Games[[#This Row],[MOV]])+5)^0.6)/(12+0.01*(ABS(Games[[#This Row],[PreGmRate]]-Games[[#This Row],[OppPreGmRate]])))*IF(Games[[#This Row],[OT]]=1,0.9,1)</f>
        <v>0.42248959057534585</v>
      </c>
      <c r="X290" s="7" cm="1">
        <f t="array" ref="X2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0" s="9">
        <f>MAX(kmin, kmax - 0.15 * MIN(Games[[#This Row],[GamesPlayed]], 82))</f>
        <v>72.400000000000006</v>
      </c>
      <c r="Z290" s="4">
        <f>Games[[#This Row],[K]]*Games[[#This Row],[POMult]]</f>
        <v>72.400000000000006</v>
      </c>
      <c r="AA290" s="4">
        <f>(Games[[#This Row],[Keff]]*Games[[#This Row],[MOVMult]])*(Games[[#This Row],[Result]]-Games[[#This Row],[ExpectedWin%]])</f>
        <v>-11.742467279078687</v>
      </c>
      <c r="AB290" s="4">
        <f>Games[[#This Row],[PreGmRate]]+Games[[#This Row],[RatingChange]]</f>
        <v>1425.3392063680126</v>
      </c>
      <c r="AC290" s="2">
        <f>IF(Games[[#This Row],[Type]]="R",IF(Games[[#This Row],[Result]]&gt;0.5,1,0),0)</f>
        <v>0</v>
      </c>
      <c r="AD290" s="2">
        <f>IF(Games[[#This Row],[Type]]="R",IF(Games[[#This Row],[Result]]&lt;0.5,1,0),0)</f>
        <v>1</v>
      </c>
      <c r="AE290" s="2">
        <f>IF(AND(Games[[#This Row],[Type]]="P",Games[[#This Row],[Round]]=1),IF(Games[[#This Row],[Result]]&gt;0.5,1,0),0)</f>
        <v>0</v>
      </c>
      <c r="AF290" s="2">
        <f>IF(AND(Games[[#This Row],[Type]]="P",Games[[#This Row],[Round]]=1),IF(Games[[#This Row],[Result]]&lt;0.5,1,0),0)</f>
        <v>0</v>
      </c>
      <c r="AG290" s="2">
        <f>IF(AND(Games[[#This Row],[Type]]="P",Games[[#This Row],[Round]]=2),IF(Games[[#This Row],[Result]]&gt;0.5,1,0),0)</f>
        <v>0</v>
      </c>
      <c r="AH290" s="2">
        <f>IF(AND(Games[[#This Row],[Type]]="P",Games[[#This Row],[Round]]=2),IF(Games[[#This Row],[Result]]&lt;0.5,1,0),0)</f>
        <v>0</v>
      </c>
      <c r="AI290" s="2">
        <f>IF(AND(Games[[#This Row],[Type]]="P",Games[[#This Row],[Round]]=3),IF(Games[[#This Row],[Result]]&gt;0.5,1,0),0)</f>
        <v>0</v>
      </c>
      <c r="AJ290" s="2">
        <f>IF(AND(Games[[#This Row],[Type]]="P",Games[[#This Row],[Round]]=3),IF(Games[[#This Row],[Result]]&lt;0.5,1,0),0)</f>
        <v>0</v>
      </c>
      <c r="AK290" s="2">
        <f>IF(AND(Games[[#This Row],[Type]]="P",Games[[#This Row],[Round]]=4),IF(Games[[#This Row],[Result]]&gt;0.5,1,0),0)</f>
        <v>0</v>
      </c>
      <c r="AL290" s="2">
        <f>IF(AND(Games[[#This Row],[Type]]="P",Games[[#This Row],[Round]]=4),IF(Games[[#This Row],[Result]]&lt;0.5,1,0),0)</f>
        <v>0</v>
      </c>
    </row>
    <row r="291" spans="1:38" x14ac:dyDescent="0.35">
      <c r="A291" s="10">
        <v>44432</v>
      </c>
      <c r="B291" s="2">
        <v>2021</v>
      </c>
      <c r="C291" s="2">
        <f>COUNTIFS(Games[Team],Games[[#This Row],[Team]],Games[Season],Games[[#This Row],[Season]],Games[Date],"&lt;=" &amp; Games[[#This Row],[Date]])</f>
        <v>23</v>
      </c>
      <c r="D291" s="2" t="s">
        <v>79</v>
      </c>
      <c r="E291" s="2" t="s">
        <v>80</v>
      </c>
      <c r="F291" s="1" t="s">
        <v>65</v>
      </c>
      <c r="G291" s="1" t="s">
        <v>63</v>
      </c>
      <c r="H291" s="1" t="s">
        <v>82</v>
      </c>
      <c r="I291" s="2" cm="1">
        <f t="array" ref="I291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1" s="2" cm="1">
        <f t="array" ref="J29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1" s="2">
        <f>Games[[#This Row],[DaysOff]]-Games[[#This Row],[OppDaysOff]]</f>
        <v>0</v>
      </c>
      <c r="L291" s="2">
        <f>Games[[#This Row],[OppDaysOff]]-Games[[#This Row],[DaysOff]]</f>
        <v>0</v>
      </c>
      <c r="M291" s="1">
        <f>MAX(-16, MIN(16, Games[[#This Row],[RestDiff]]*8))</f>
        <v>0</v>
      </c>
      <c r="N291" s="1">
        <f>MAX(-16, MIN(16, Games[[#This Row],[OppRestDiff]]*8))</f>
        <v>0</v>
      </c>
      <c r="O291" s="4" cm="1">
        <f t="array" ref="O2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1435.2635684784416</v>
      </c>
      <c r="P291" s="4" cm="1">
        <f t="array" ref="P2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1437.0816736470913</v>
      </c>
      <c r="Q291" s="4">
        <f>1/(1+10^(((Games[[#This Row],[OppPreGmRate]]+IF(Games[[#This Row],[HomeAway]]="A",HCA,0)+Games[[#This Row],[OppRestAdj]])-(Games[[#This Row],[PreGmRate]]+IF(Games[[#This Row],[HomeAway]]="H",HCA,0)+Games[[#This Row],[RestAdj]]))/400))</f>
        <v>0.61611178549501888</v>
      </c>
      <c r="R291" s="1">
        <v>78</v>
      </c>
      <c r="S291" s="1">
        <v>68</v>
      </c>
      <c r="T291" s="1">
        <v>0</v>
      </c>
      <c r="U291" s="1">
        <f>Games[[#This Row],[PointsFor]]-Games[[#This Row],[PointsAgainst]]</f>
        <v>10</v>
      </c>
      <c r="V291" s="1">
        <f>IF(Games[[#This Row],[MOV]]&gt;0,1,IF(Games[[#This Row],[MOV]]=0,0.5,0))</f>
        <v>1</v>
      </c>
      <c r="W291" s="4">
        <f>((ABS(Games[[#This Row],[MOV]])+5)^0.6)/(12+0.01*(ABS(Games[[#This Row],[PreGmRate]]-Games[[#This Row],[OppPreGmRate]])))*IF(Games[[#This Row],[OT]]=1,0.9,1)</f>
        <v>0.42248959057534585</v>
      </c>
      <c r="X291" s="7" cm="1">
        <f t="array" ref="X2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1" s="9">
        <f>MAX(kmin, kmax - 0.15 * MIN(Games[[#This Row],[GamesPlayed]], 82))</f>
        <v>72.55</v>
      </c>
      <c r="Z291" s="4">
        <f>Games[[#This Row],[K]]*Games[[#This Row],[POMult]]</f>
        <v>72.55</v>
      </c>
      <c r="AA291" s="4">
        <f>(Games[[#This Row],[Keff]]*Games[[#This Row],[MOVMult]])*(Games[[#This Row],[Result]]-Games[[#This Row],[ExpectedWin%]])</f>
        <v>11.766795595264622</v>
      </c>
      <c r="AB291" s="4">
        <f>Games[[#This Row],[PreGmRate]]+Games[[#This Row],[RatingChange]]</f>
        <v>1447.0303640737061</v>
      </c>
      <c r="AC291" s="2">
        <f>IF(Games[[#This Row],[Type]]="R",IF(Games[[#This Row],[Result]]&gt;0.5,1,0),0)</f>
        <v>1</v>
      </c>
      <c r="AD291" s="2">
        <f>IF(Games[[#This Row],[Type]]="R",IF(Games[[#This Row],[Result]]&lt;0.5,1,0),0)</f>
        <v>0</v>
      </c>
      <c r="AE291" s="2">
        <f>IF(AND(Games[[#This Row],[Type]]="P",Games[[#This Row],[Round]]=1),IF(Games[[#This Row],[Result]]&gt;0.5,1,0),0)</f>
        <v>0</v>
      </c>
      <c r="AF291" s="2">
        <f>IF(AND(Games[[#This Row],[Type]]="P",Games[[#This Row],[Round]]=1),IF(Games[[#This Row],[Result]]&lt;0.5,1,0),0)</f>
        <v>0</v>
      </c>
      <c r="AG291" s="2">
        <f>IF(AND(Games[[#This Row],[Type]]="P",Games[[#This Row],[Round]]=2),IF(Games[[#This Row],[Result]]&gt;0.5,1,0),0)</f>
        <v>0</v>
      </c>
      <c r="AH291" s="2">
        <f>IF(AND(Games[[#This Row],[Type]]="P",Games[[#This Row],[Round]]=2),IF(Games[[#This Row],[Result]]&lt;0.5,1,0),0)</f>
        <v>0</v>
      </c>
      <c r="AI291" s="2">
        <f>IF(AND(Games[[#This Row],[Type]]="P",Games[[#This Row],[Round]]=3),IF(Games[[#This Row],[Result]]&gt;0.5,1,0),0)</f>
        <v>0</v>
      </c>
      <c r="AJ291" s="2">
        <f>IF(AND(Games[[#This Row],[Type]]="P",Games[[#This Row],[Round]]=3),IF(Games[[#This Row],[Result]]&lt;0.5,1,0),0)</f>
        <v>0</v>
      </c>
      <c r="AK291" s="2">
        <f>IF(AND(Games[[#This Row],[Type]]="P",Games[[#This Row],[Round]]=4),IF(Games[[#This Row],[Result]]&gt;0.5,1,0),0)</f>
        <v>0</v>
      </c>
      <c r="AL291" s="2">
        <f>IF(AND(Games[[#This Row],[Type]]="P",Games[[#This Row],[Round]]=4),IF(Games[[#This Row],[Result]]&lt;0.5,1,0),0)</f>
        <v>0</v>
      </c>
    </row>
    <row r="292" spans="1:38" x14ac:dyDescent="0.35">
      <c r="A292" s="10">
        <v>44433</v>
      </c>
      <c r="B292" s="2">
        <v>2021</v>
      </c>
      <c r="C292" s="2">
        <f>COUNTIFS(Games[Team],Games[[#This Row],[Team]],Games[Season],Games[[#This Row],[Season]],Games[Date],"&lt;=" &amp; Games[[#This Row],[Date]])</f>
        <v>24</v>
      </c>
      <c r="D292" s="2" t="s">
        <v>79</v>
      </c>
      <c r="E292" s="2" t="s">
        <v>80</v>
      </c>
      <c r="F292" s="1" t="s">
        <v>40</v>
      </c>
      <c r="G292" s="1" t="s">
        <v>60</v>
      </c>
      <c r="H292" s="1" t="s">
        <v>81</v>
      </c>
      <c r="I292" s="2" cm="1">
        <f t="array" ref="I292">IFERROR(
    Games[[#This Row],[Date]]
    - LOOKUP(
        2,
        1/((Games[Team]=Games[[#This Row],[Team]]) * (Games[Date] &lt; Games[[#This Row],[Date]])),
        Games[Date]
    )
    - 1,
Games[[#This Row],[Date]]-$A$2)</f>
        <v>3</v>
      </c>
      <c r="J292" s="2" cm="1">
        <f t="array" ref="J29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292" s="2">
        <f>Games[[#This Row],[DaysOff]]-Games[[#This Row],[OppDaysOff]]</f>
        <v>1</v>
      </c>
      <c r="L292" s="2">
        <f>Games[[#This Row],[OppDaysOff]]-Games[[#This Row],[DaysOff]]</f>
        <v>-1</v>
      </c>
      <c r="M292" s="1">
        <f>MAX(-16, MIN(16, Games[[#This Row],[RestDiff]]*8))</f>
        <v>8</v>
      </c>
      <c r="N292" s="1">
        <f>MAX(-16, MIN(16, Games[[#This Row],[OppRestDiff]]*8))</f>
        <v>-8</v>
      </c>
      <c r="O292" s="4" cm="1">
        <f t="array" ref="O2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1520.9500720503961</v>
      </c>
      <c r="P292" s="4" cm="1">
        <f t="array" ref="P2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1391.2859357232603</v>
      </c>
      <c r="Q292" s="4">
        <f>1/(1+10^(((Games[[#This Row],[OppPreGmRate]]+IF(Games[[#This Row],[HomeAway]]="A",HCA,0)+Games[[#This Row],[OppRestAdj]])-(Games[[#This Row],[PreGmRate]]+IF(Games[[#This Row],[HomeAway]]="H",HCA,0)+Games[[#This Row],[RestAdj]]))/400))</f>
        <v>0.58782161636216845</v>
      </c>
      <c r="R292" s="1">
        <v>106</v>
      </c>
      <c r="S292" s="1">
        <v>79</v>
      </c>
      <c r="T292" s="1">
        <v>0</v>
      </c>
      <c r="U292" s="1">
        <f>Games[[#This Row],[PointsFor]]-Games[[#This Row],[PointsAgainst]]</f>
        <v>27</v>
      </c>
      <c r="V292" s="1">
        <f>IF(Games[[#This Row],[MOV]]&gt;0,1,IF(Games[[#This Row],[MOV]]=0,0.5,0))</f>
        <v>1</v>
      </c>
      <c r="W292" s="4">
        <f>((ABS(Games[[#This Row],[MOV]])+5)^0.6)/(12+0.01*(ABS(Games[[#This Row],[PreGmRate]]-Games[[#This Row],[OppPreGmRate]])))*IF(Games[[#This Row],[OT]]=1,0.9,1)</f>
        <v>0.60165569495602056</v>
      </c>
      <c r="X292" s="7" cm="1">
        <f t="array" ref="X2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2" s="9">
        <f>MAX(kmin, kmax - 0.15 * MIN(Games[[#This Row],[GamesPlayed]], 82))</f>
        <v>72.400000000000006</v>
      </c>
      <c r="Z292" s="4">
        <f>Games[[#This Row],[K]]*Games[[#This Row],[POMult]]</f>
        <v>72.400000000000006</v>
      </c>
      <c r="AA292" s="4">
        <f>(Games[[#This Row],[Keff]]*Games[[#This Row],[MOVMult]])*(Games[[#This Row],[Result]]-Games[[#This Row],[ExpectedWin%]])</f>
        <v>17.954437762191141</v>
      </c>
      <c r="AB292" s="4">
        <f>Games[[#This Row],[PreGmRate]]+Games[[#This Row],[RatingChange]]</f>
        <v>1538.9045098125873</v>
      </c>
      <c r="AC292" s="2">
        <f>IF(Games[[#This Row],[Type]]="R",IF(Games[[#This Row],[Result]]&gt;0.5,1,0),0)</f>
        <v>1</v>
      </c>
      <c r="AD292" s="2">
        <f>IF(Games[[#This Row],[Type]]="R",IF(Games[[#This Row],[Result]]&lt;0.5,1,0),0)</f>
        <v>0</v>
      </c>
      <c r="AE292" s="2">
        <f>IF(AND(Games[[#This Row],[Type]]="P",Games[[#This Row],[Round]]=1),IF(Games[[#This Row],[Result]]&gt;0.5,1,0),0)</f>
        <v>0</v>
      </c>
      <c r="AF292" s="2">
        <f>IF(AND(Games[[#This Row],[Type]]="P",Games[[#This Row],[Round]]=1),IF(Games[[#This Row],[Result]]&lt;0.5,1,0),0)</f>
        <v>0</v>
      </c>
      <c r="AG292" s="2">
        <f>IF(AND(Games[[#This Row],[Type]]="P",Games[[#This Row],[Round]]=2),IF(Games[[#This Row],[Result]]&gt;0.5,1,0),0)</f>
        <v>0</v>
      </c>
      <c r="AH292" s="2">
        <f>IF(AND(Games[[#This Row],[Type]]="P",Games[[#This Row],[Round]]=2),IF(Games[[#This Row],[Result]]&lt;0.5,1,0),0)</f>
        <v>0</v>
      </c>
      <c r="AI292" s="2">
        <f>IF(AND(Games[[#This Row],[Type]]="P",Games[[#This Row],[Round]]=3),IF(Games[[#This Row],[Result]]&gt;0.5,1,0),0)</f>
        <v>0</v>
      </c>
      <c r="AJ292" s="2">
        <f>IF(AND(Games[[#This Row],[Type]]="P",Games[[#This Row],[Round]]=3),IF(Games[[#This Row],[Result]]&lt;0.5,1,0),0)</f>
        <v>0</v>
      </c>
      <c r="AK292" s="2">
        <f>IF(AND(Games[[#This Row],[Type]]="P",Games[[#This Row],[Round]]=4),IF(Games[[#This Row],[Result]]&gt;0.5,1,0),0)</f>
        <v>0</v>
      </c>
      <c r="AL292" s="2">
        <f>IF(AND(Games[[#This Row],[Type]]="P",Games[[#This Row],[Round]]=4),IF(Games[[#This Row],[Result]]&lt;0.5,1,0),0)</f>
        <v>0</v>
      </c>
    </row>
    <row r="293" spans="1:38" x14ac:dyDescent="0.35">
      <c r="A293" s="10">
        <v>44433</v>
      </c>
      <c r="B293" s="2">
        <v>2021</v>
      </c>
      <c r="C293" s="2">
        <f>COUNTIFS(Games[Team],Games[[#This Row],[Team]],Games[Season],Games[[#This Row],[Season]],Games[Date],"&lt;=" &amp; Games[[#This Row],[Date]])</f>
        <v>26</v>
      </c>
      <c r="D293" s="2" t="s">
        <v>79</v>
      </c>
      <c r="E293" s="2" t="s">
        <v>80</v>
      </c>
      <c r="F293" s="1" t="s">
        <v>60</v>
      </c>
      <c r="G293" s="1" t="s">
        <v>40</v>
      </c>
      <c r="H293" s="1" t="s">
        <v>82</v>
      </c>
      <c r="I293" s="2" cm="1">
        <f t="array" ref="I293">IFERROR(
    Games[[#This Row],[Date]]
    - LOOKUP(
        2,
        1/((Games[Team]=Games[[#This Row],[Team]]) * (Games[Date] &lt; Games[[#This Row],[Date]])),
        Games[Date]
    )
    - 1,
Games[[#This Row],[Date]]-$A$2)</f>
        <v>2</v>
      </c>
      <c r="J293" s="2" cm="1">
        <f t="array" ref="J293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293" s="2">
        <f>Games[[#This Row],[DaysOff]]-Games[[#This Row],[OppDaysOff]]</f>
        <v>-1</v>
      </c>
      <c r="L293" s="2">
        <f>Games[[#This Row],[OppDaysOff]]-Games[[#This Row],[DaysOff]]</f>
        <v>1</v>
      </c>
      <c r="M293" s="1">
        <f>MAX(-16, MIN(16, Games[[#This Row],[RestDiff]]*8))</f>
        <v>-8</v>
      </c>
      <c r="N293" s="1">
        <f>MAX(-16, MIN(16, Games[[#This Row],[OppRestDiff]]*8))</f>
        <v>8</v>
      </c>
      <c r="O293" s="4" cm="1">
        <f t="array" ref="O2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1391.2859357232603</v>
      </c>
      <c r="P293" s="4" cm="1">
        <f t="array" ref="P2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1520.9500720503961</v>
      </c>
      <c r="Q293" s="4">
        <f>1/(1+10^(((Games[[#This Row],[OppPreGmRate]]+IF(Games[[#This Row],[HomeAway]]="A",HCA,0)+Games[[#This Row],[OppRestAdj]])-(Games[[#This Row],[PreGmRate]]+IF(Games[[#This Row],[HomeAway]]="H",HCA,0)+Games[[#This Row],[RestAdj]]))/400))</f>
        <v>0.41217838363783155</v>
      </c>
      <c r="R293" s="1">
        <v>79</v>
      </c>
      <c r="S293" s="1">
        <v>106</v>
      </c>
      <c r="T293" s="1">
        <v>0</v>
      </c>
      <c r="U293" s="1">
        <f>Games[[#This Row],[PointsFor]]-Games[[#This Row],[PointsAgainst]]</f>
        <v>-27</v>
      </c>
      <c r="V293" s="1">
        <f>IF(Games[[#This Row],[MOV]]&gt;0,1,IF(Games[[#This Row],[MOV]]=0,0.5,0))</f>
        <v>0</v>
      </c>
      <c r="W293" s="4">
        <f>((ABS(Games[[#This Row],[MOV]])+5)^0.6)/(12+0.01*(ABS(Games[[#This Row],[PreGmRate]]-Games[[#This Row],[OppPreGmRate]])))*IF(Games[[#This Row],[OT]]=1,0.9,1)</f>
        <v>0.60165569495602056</v>
      </c>
      <c r="X293" s="7" cm="1">
        <f t="array" ref="X2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3" s="9">
        <f>MAX(kmin, kmax - 0.15 * MIN(Games[[#This Row],[GamesPlayed]], 82))</f>
        <v>72.099999999999994</v>
      </c>
      <c r="Z293" s="4">
        <f>Games[[#This Row],[K]]*Games[[#This Row],[POMult]]</f>
        <v>72.099999999999994</v>
      </c>
      <c r="AA293" s="4">
        <f>(Games[[#This Row],[Keff]]*Games[[#This Row],[MOVMult]])*(Games[[#This Row],[Result]]-Games[[#This Row],[ExpectedWin%]])</f>
        <v>-17.880040920635096</v>
      </c>
      <c r="AB293" s="4">
        <f>Games[[#This Row],[PreGmRate]]+Games[[#This Row],[RatingChange]]</f>
        <v>1373.4058948026252</v>
      </c>
      <c r="AC293" s="2">
        <f>IF(Games[[#This Row],[Type]]="R",IF(Games[[#This Row],[Result]]&gt;0.5,1,0),0)</f>
        <v>0</v>
      </c>
      <c r="AD293" s="2">
        <f>IF(Games[[#This Row],[Type]]="R",IF(Games[[#This Row],[Result]]&lt;0.5,1,0),0)</f>
        <v>1</v>
      </c>
      <c r="AE293" s="2">
        <f>IF(AND(Games[[#This Row],[Type]]="P",Games[[#This Row],[Round]]=1),IF(Games[[#This Row],[Result]]&gt;0.5,1,0),0)</f>
        <v>0</v>
      </c>
      <c r="AF293" s="2">
        <f>IF(AND(Games[[#This Row],[Type]]="P",Games[[#This Row],[Round]]=1),IF(Games[[#This Row],[Result]]&lt;0.5,1,0),0)</f>
        <v>0</v>
      </c>
      <c r="AG293" s="2">
        <f>IF(AND(Games[[#This Row],[Type]]="P",Games[[#This Row],[Round]]=2),IF(Games[[#This Row],[Result]]&gt;0.5,1,0),0)</f>
        <v>0</v>
      </c>
      <c r="AH293" s="2">
        <f>IF(AND(Games[[#This Row],[Type]]="P",Games[[#This Row],[Round]]=2),IF(Games[[#This Row],[Result]]&lt;0.5,1,0),0)</f>
        <v>0</v>
      </c>
      <c r="AI293" s="2">
        <f>IF(AND(Games[[#This Row],[Type]]="P",Games[[#This Row],[Round]]=3),IF(Games[[#This Row],[Result]]&gt;0.5,1,0),0)</f>
        <v>0</v>
      </c>
      <c r="AJ293" s="2">
        <f>IF(AND(Games[[#This Row],[Type]]="P",Games[[#This Row],[Round]]=3),IF(Games[[#This Row],[Result]]&lt;0.5,1,0),0)</f>
        <v>0</v>
      </c>
      <c r="AK293" s="2">
        <f>IF(AND(Games[[#This Row],[Type]]="P",Games[[#This Row],[Round]]=4),IF(Games[[#This Row],[Result]]&gt;0.5,1,0),0)</f>
        <v>0</v>
      </c>
      <c r="AL293" s="2">
        <f>IF(AND(Games[[#This Row],[Type]]="P",Games[[#This Row],[Round]]=4),IF(Games[[#This Row],[Result]]&lt;0.5,1,0),0)</f>
        <v>0</v>
      </c>
    </row>
    <row r="294" spans="1:38" x14ac:dyDescent="0.35">
      <c r="A294" s="10">
        <v>44434</v>
      </c>
      <c r="B294" s="2">
        <v>2021</v>
      </c>
      <c r="C294" s="2">
        <f>COUNTIFS(Games[Team],Games[[#This Row],[Team]],Games[Season],Games[[#This Row],[Season]],Games[Date],"&lt;=" &amp; Games[[#This Row],[Date]])</f>
        <v>25</v>
      </c>
      <c r="D294" s="2" t="s">
        <v>79</v>
      </c>
      <c r="E294" s="2" t="s">
        <v>80</v>
      </c>
      <c r="F294" s="1" t="s">
        <v>85</v>
      </c>
      <c r="G294" s="1" t="s">
        <v>77</v>
      </c>
      <c r="H294" s="1" t="s">
        <v>81</v>
      </c>
      <c r="I294" s="2" cm="1">
        <f t="array" ref="I294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4" s="2" cm="1">
        <f t="array" ref="J29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4" s="2">
        <f>Games[[#This Row],[DaysOff]]-Games[[#This Row],[OppDaysOff]]</f>
        <v>0</v>
      </c>
      <c r="L294" s="2">
        <f>Games[[#This Row],[OppDaysOff]]-Games[[#This Row],[DaysOff]]</f>
        <v>0</v>
      </c>
      <c r="M294" s="1">
        <f>MAX(-16, MIN(16, Games[[#This Row],[RestDiff]]*8))</f>
        <v>0</v>
      </c>
      <c r="N294" s="1">
        <f>MAX(-16, MIN(16, Games[[#This Row],[OppRestDiff]]*8))</f>
        <v>0</v>
      </c>
      <c r="O294" s="4" cm="1">
        <f t="array" ref="O2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1627.6070614759651</v>
      </c>
      <c r="P294" s="4" cm="1">
        <f t="array" ref="P2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1332.2331757641728</v>
      </c>
      <c r="Q294" s="4">
        <f>1/(1+10^(((Games[[#This Row],[OppPreGmRate]]+IF(Games[[#This Row],[HomeAway]]="A",HCA,0)+Games[[#This Row],[OppRestAdj]])-(Games[[#This Row],[PreGmRate]]+IF(Games[[#This Row],[HomeAway]]="H",HCA,0)+Games[[#This Row],[RestAdj]]))/400))</f>
        <v>0.77149390642479254</v>
      </c>
      <c r="R294" s="1">
        <v>78</v>
      </c>
      <c r="S294" s="1">
        <v>71</v>
      </c>
      <c r="T294" s="1">
        <v>0</v>
      </c>
      <c r="U294" s="1">
        <f>Games[[#This Row],[PointsFor]]-Games[[#This Row],[PointsAgainst]]</f>
        <v>7</v>
      </c>
      <c r="V294" s="1">
        <f>IF(Games[[#This Row],[MOV]]&gt;0,1,IF(Games[[#This Row],[MOV]]=0,0.5,0))</f>
        <v>1</v>
      </c>
      <c r="W294" s="4">
        <f>((ABS(Games[[#This Row],[MOV]])+5)^0.6)/(12+0.01*(ABS(Games[[#This Row],[PreGmRate]]-Games[[#This Row],[OppPreGmRate]])))*IF(Games[[#This Row],[OT]]=1,0.9,1)</f>
        <v>0.29700171390460017</v>
      </c>
      <c r="X294" s="7" cm="1">
        <f t="array" ref="X2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4" s="9">
        <f>MAX(kmin, kmax - 0.15 * MIN(Games[[#This Row],[GamesPlayed]], 82))</f>
        <v>72.25</v>
      </c>
      <c r="Z294" s="4">
        <f>Games[[#This Row],[K]]*Games[[#This Row],[POMult]]</f>
        <v>72.25</v>
      </c>
      <c r="AA294" s="4">
        <f>(Games[[#This Row],[Keff]]*Games[[#This Row],[MOVMult]])*(Games[[#This Row],[Result]]-Games[[#This Row],[ExpectedWin%]])</f>
        <v>4.9033691782800428</v>
      </c>
      <c r="AB294" s="4">
        <f>Games[[#This Row],[PreGmRate]]+Games[[#This Row],[RatingChange]]</f>
        <v>1632.5104306542451</v>
      </c>
      <c r="AC294" s="2">
        <f>IF(Games[[#This Row],[Type]]="R",IF(Games[[#This Row],[Result]]&gt;0.5,1,0),0)</f>
        <v>1</v>
      </c>
      <c r="AD294" s="2">
        <f>IF(Games[[#This Row],[Type]]="R",IF(Games[[#This Row],[Result]]&lt;0.5,1,0),0)</f>
        <v>0</v>
      </c>
      <c r="AE294" s="2">
        <f>IF(AND(Games[[#This Row],[Type]]="P",Games[[#This Row],[Round]]=1),IF(Games[[#This Row],[Result]]&gt;0.5,1,0),0)</f>
        <v>0</v>
      </c>
      <c r="AF294" s="2">
        <f>IF(AND(Games[[#This Row],[Type]]="P",Games[[#This Row],[Round]]=1),IF(Games[[#This Row],[Result]]&lt;0.5,1,0),0)</f>
        <v>0</v>
      </c>
      <c r="AG294" s="2">
        <f>IF(AND(Games[[#This Row],[Type]]="P",Games[[#This Row],[Round]]=2),IF(Games[[#This Row],[Result]]&gt;0.5,1,0),0)</f>
        <v>0</v>
      </c>
      <c r="AH294" s="2">
        <f>IF(AND(Games[[#This Row],[Type]]="P",Games[[#This Row],[Round]]=2),IF(Games[[#This Row],[Result]]&lt;0.5,1,0),0)</f>
        <v>0</v>
      </c>
      <c r="AI294" s="2">
        <f>IF(AND(Games[[#This Row],[Type]]="P",Games[[#This Row],[Round]]=3),IF(Games[[#This Row],[Result]]&gt;0.5,1,0),0)</f>
        <v>0</v>
      </c>
      <c r="AJ294" s="2">
        <f>IF(AND(Games[[#This Row],[Type]]="P",Games[[#This Row],[Round]]=3),IF(Games[[#This Row],[Result]]&lt;0.5,1,0),0)</f>
        <v>0</v>
      </c>
      <c r="AK294" s="2">
        <f>IF(AND(Games[[#This Row],[Type]]="P",Games[[#This Row],[Round]]=4),IF(Games[[#This Row],[Result]]&gt;0.5,1,0),0)</f>
        <v>0</v>
      </c>
      <c r="AL294" s="2">
        <f>IF(AND(Games[[#This Row],[Type]]="P",Games[[#This Row],[Round]]=4),IF(Games[[#This Row],[Result]]&lt;0.5,1,0),0)</f>
        <v>0</v>
      </c>
    </row>
    <row r="295" spans="1:38" x14ac:dyDescent="0.35">
      <c r="A295" s="10">
        <v>44434</v>
      </c>
      <c r="B295" s="2">
        <v>2021</v>
      </c>
      <c r="C295" s="2">
        <f>COUNTIFS(Games[Team],Games[[#This Row],[Team]],Games[Season],Games[[#This Row],[Season]],Games[Date],"&lt;=" &amp; Games[[#This Row],[Date]])</f>
        <v>25</v>
      </c>
      <c r="D295" s="2" t="s">
        <v>79</v>
      </c>
      <c r="E295" s="2" t="s">
        <v>80</v>
      </c>
      <c r="F295" s="1" t="s">
        <v>77</v>
      </c>
      <c r="G295" s="1" t="s">
        <v>85</v>
      </c>
      <c r="H295" s="1" t="s">
        <v>82</v>
      </c>
      <c r="I295" s="2" cm="1">
        <f t="array" ref="I295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5" s="2" cm="1">
        <f t="array" ref="J29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5" s="2">
        <f>Games[[#This Row],[DaysOff]]-Games[[#This Row],[OppDaysOff]]</f>
        <v>0</v>
      </c>
      <c r="L295" s="2">
        <f>Games[[#This Row],[OppDaysOff]]-Games[[#This Row],[DaysOff]]</f>
        <v>0</v>
      </c>
      <c r="M295" s="1">
        <f>MAX(-16, MIN(16, Games[[#This Row],[RestDiff]]*8))</f>
        <v>0</v>
      </c>
      <c r="N295" s="1">
        <f>MAX(-16, MIN(16, Games[[#This Row],[OppRestDiff]]*8))</f>
        <v>0</v>
      </c>
      <c r="O295" s="4" cm="1">
        <f t="array" ref="O2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1332.2331757641728</v>
      </c>
      <c r="P295" s="4" cm="1">
        <f t="array" ref="P2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1627.6070614759651</v>
      </c>
      <c r="Q295" s="4">
        <f>1/(1+10^(((Games[[#This Row],[OppPreGmRate]]+IF(Games[[#This Row],[HomeAway]]="A",HCA,0)+Games[[#This Row],[OppRestAdj]])-(Games[[#This Row],[PreGmRate]]+IF(Games[[#This Row],[HomeAway]]="H",HCA,0)+Games[[#This Row],[RestAdj]]))/400))</f>
        <v>0.22850609357520746</v>
      </c>
      <c r="R295" s="1">
        <v>71</v>
      </c>
      <c r="S295" s="1">
        <v>78</v>
      </c>
      <c r="T295" s="1">
        <v>0</v>
      </c>
      <c r="U295" s="1">
        <f>Games[[#This Row],[PointsFor]]-Games[[#This Row],[PointsAgainst]]</f>
        <v>-7</v>
      </c>
      <c r="V295" s="1">
        <f>IF(Games[[#This Row],[MOV]]&gt;0,1,IF(Games[[#This Row],[MOV]]=0,0.5,0))</f>
        <v>0</v>
      </c>
      <c r="W295" s="4">
        <f>((ABS(Games[[#This Row],[MOV]])+5)^0.6)/(12+0.01*(ABS(Games[[#This Row],[PreGmRate]]-Games[[#This Row],[OppPreGmRate]])))*IF(Games[[#This Row],[OT]]=1,0.9,1)</f>
        <v>0.29700171390460017</v>
      </c>
      <c r="X295" s="7" cm="1">
        <f t="array" ref="X2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5" s="9">
        <f>MAX(kmin, kmax - 0.15 * MIN(Games[[#This Row],[GamesPlayed]], 82))</f>
        <v>72.25</v>
      </c>
      <c r="Z295" s="4">
        <f>Games[[#This Row],[K]]*Games[[#This Row],[POMult]]</f>
        <v>72.25</v>
      </c>
      <c r="AA295" s="4">
        <f>(Games[[#This Row],[Keff]]*Games[[#This Row],[MOVMult]])*(Games[[#This Row],[Result]]-Games[[#This Row],[ExpectedWin%]])</f>
        <v>-4.9033691782800428</v>
      </c>
      <c r="AB295" s="4">
        <f>Games[[#This Row],[PreGmRate]]+Games[[#This Row],[RatingChange]]</f>
        <v>1327.3298065858928</v>
      </c>
      <c r="AC295" s="2">
        <f>IF(Games[[#This Row],[Type]]="R",IF(Games[[#This Row],[Result]]&gt;0.5,1,0),0)</f>
        <v>0</v>
      </c>
      <c r="AD295" s="2">
        <f>IF(Games[[#This Row],[Type]]="R",IF(Games[[#This Row],[Result]]&lt;0.5,1,0),0)</f>
        <v>1</v>
      </c>
      <c r="AE295" s="2">
        <f>IF(AND(Games[[#This Row],[Type]]="P",Games[[#This Row],[Round]]=1),IF(Games[[#This Row],[Result]]&gt;0.5,1,0),0)</f>
        <v>0</v>
      </c>
      <c r="AF295" s="2">
        <f>IF(AND(Games[[#This Row],[Type]]="P",Games[[#This Row],[Round]]=1),IF(Games[[#This Row],[Result]]&lt;0.5,1,0),0)</f>
        <v>0</v>
      </c>
      <c r="AG295" s="2">
        <f>IF(AND(Games[[#This Row],[Type]]="P",Games[[#This Row],[Round]]=2),IF(Games[[#This Row],[Result]]&gt;0.5,1,0),0)</f>
        <v>0</v>
      </c>
      <c r="AH295" s="2">
        <f>IF(AND(Games[[#This Row],[Type]]="P",Games[[#This Row],[Round]]=2),IF(Games[[#This Row],[Result]]&lt;0.5,1,0),0)</f>
        <v>0</v>
      </c>
      <c r="AI295" s="2">
        <f>IF(AND(Games[[#This Row],[Type]]="P",Games[[#This Row],[Round]]=3),IF(Games[[#This Row],[Result]]&gt;0.5,1,0),0)</f>
        <v>0</v>
      </c>
      <c r="AJ295" s="2">
        <f>IF(AND(Games[[#This Row],[Type]]="P",Games[[#This Row],[Round]]=3),IF(Games[[#This Row],[Result]]&lt;0.5,1,0),0)</f>
        <v>0</v>
      </c>
      <c r="AK295" s="2">
        <f>IF(AND(Games[[#This Row],[Type]]="P",Games[[#This Row],[Round]]=4),IF(Games[[#This Row],[Result]]&gt;0.5,1,0),0)</f>
        <v>0</v>
      </c>
      <c r="AL295" s="2">
        <f>IF(AND(Games[[#This Row],[Type]]="P",Games[[#This Row],[Round]]=4),IF(Games[[#This Row],[Result]]&lt;0.5,1,0),0)</f>
        <v>0</v>
      </c>
    </row>
    <row r="296" spans="1:38" x14ac:dyDescent="0.35">
      <c r="A296" s="10">
        <v>44434</v>
      </c>
      <c r="B296" s="2">
        <v>2021</v>
      </c>
      <c r="C296" s="2">
        <f>COUNTIFS(Games[Team],Games[[#This Row],[Team]],Games[Season],Games[[#This Row],[Season]],Games[Date],"&lt;=" &amp; Games[[#This Row],[Date]])</f>
        <v>25</v>
      </c>
      <c r="D296" s="2" t="s">
        <v>79</v>
      </c>
      <c r="E296" s="2" t="s">
        <v>80</v>
      </c>
      <c r="F296" s="1" t="s">
        <v>63</v>
      </c>
      <c r="G296" s="1" t="s">
        <v>74</v>
      </c>
      <c r="H296" s="1" t="s">
        <v>81</v>
      </c>
      <c r="I296" s="2" cm="1">
        <f t="array" ref="I2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6" s="2" cm="1">
        <f t="array" ref="J29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6" s="2">
        <f>Games[[#This Row],[DaysOff]]-Games[[#This Row],[OppDaysOff]]</f>
        <v>0</v>
      </c>
      <c r="L296" s="2">
        <f>Games[[#This Row],[OppDaysOff]]-Games[[#This Row],[DaysOff]]</f>
        <v>0</v>
      </c>
      <c r="M296" s="1">
        <f>MAX(-16, MIN(16, Games[[#This Row],[RestDiff]]*8))</f>
        <v>0</v>
      </c>
      <c r="N296" s="1">
        <f>MAX(-16, MIN(16, Games[[#This Row],[OppRestDiff]]*8))</f>
        <v>0</v>
      </c>
      <c r="O296" s="4" cm="1">
        <f t="array" ref="O2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1425.3392063680126</v>
      </c>
      <c r="P296" s="4" cm="1">
        <f t="array" ref="P2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1647.7512030737432</v>
      </c>
      <c r="Q296" s="4">
        <f>1/(1+10^(((Games[[#This Row],[OppPreGmRate]]+IF(Games[[#This Row],[HomeAway]]="A",HCA,0)+Games[[#This Row],[OppRestAdj]])-(Games[[#This Row],[PreGmRate]]+IF(Games[[#This Row],[HomeAway]]="H",HCA,0)+Games[[#This Row],[RestAdj]]))/400))</f>
        <v>0.14630890485276585</v>
      </c>
      <c r="R296" s="1">
        <v>72</v>
      </c>
      <c r="S296" s="1">
        <v>76</v>
      </c>
      <c r="T296" s="1">
        <v>0</v>
      </c>
      <c r="U296" s="1">
        <f>Games[[#This Row],[PointsFor]]-Games[[#This Row],[PointsAgainst]]</f>
        <v>-4</v>
      </c>
      <c r="V296" s="1">
        <f>IF(Games[[#This Row],[MOV]]&gt;0,1,IF(Games[[#This Row],[MOV]]=0,0.5,0))</f>
        <v>0</v>
      </c>
      <c r="W296" s="4">
        <f>((ABS(Games[[#This Row],[MOV]])+5)^0.6)/(12+0.01*(ABS(Games[[#This Row],[PreGmRate]]-Games[[#This Row],[OppPreGmRate]])))*IF(Games[[#This Row],[OT]]=1,0.9,1)</f>
        <v>0.2627363118071131</v>
      </c>
      <c r="X296" s="7" cm="1">
        <f t="array" ref="X2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6" s="9">
        <f>MAX(kmin, kmax - 0.15 * MIN(Games[[#This Row],[GamesPlayed]], 82))</f>
        <v>72.25</v>
      </c>
      <c r="Z296" s="4">
        <f>Games[[#This Row],[K]]*Games[[#This Row],[POMult]]</f>
        <v>72.25</v>
      </c>
      <c r="AA296" s="4">
        <f>(Games[[#This Row],[Keff]]*Games[[#This Row],[MOVMult]])*(Games[[#This Row],[Result]]-Games[[#This Row],[ExpectedWin%]])</f>
        <v>-2.7773378327912424</v>
      </c>
      <c r="AB296" s="4">
        <f>Games[[#This Row],[PreGmRate]]+Games[[#This Row],[RatingChange]]</f>
        <v>1422.5618685352213</v>
      </c>
      <c r="AC296" s="2">
        <f>IF(Games[[#This Row],[Type]]="R",IF(Games[[#This Row],[Result]]&gt;0.5,1,0),0)</f>
        <v>0</v>
      </c>
      <c r="AD296" s="2">
        <f>IF(Games[[#This Row],[Type]]="R",IF(Games[[#This Row],[Result]]&lt;0.5,1,0),0)</f>
        <v>1</v>
      </c>
      <c r="AE296" s="2">
        <f>IF(AND(Games[[#This Row],[Type]]="P",Games[[#This Row],[Round]]=1),IF(Games[[#This Row],[Result]]&gt;0.5,1,0),0)</f>
        <v>0</v>
      </c>
      <c r="AF296" s="2">
        <f>IF(AND(Games[[#This Row],[Type]]="P",Games[[#This Row],[Round]]=1),IF(Games[[#This Row],[Result]]&lt;0.5,1,0),0)</f>
        <v>0</v>
      </c>
      <c r="AG296" s="2">
        <f>IF(AND(Games[[#This Row],[Type]]="P",Games[[#This Row],[Round]]=2),IF(Games[[#This Row],[Result]]&gt;0.5,1,0),0)</f>
        <v>0</v>
      </c>
      <c r="AH296" s="2">
        <f>IF(AND(Games[[#This Row],[Type]]="P",Games[[#This Row],[Round]]=2),IF(Games[[#This Row],[Result]]&lt;0.5,1,0),0)</f>
        <v>0</v>
      </c>
      <c r="AI296" s="2">
        <f>IF(AND(Games[[#This Row],[Type]]="P",Games[[#This Row],[Round]]=3),IF(Games[[#This Row],[Result]]&gt;0.5,1,0),0)</f>
        <v>0</v>
      </c>
      <c r="AJ296" s="2">
        <f>IF(AND(Games[[#This Row],[Type]]="P",Games[[#This Row],[Round]]=3),IF(Games[[#This Row],[Result]]&lt;0.5,1,0),0)</f>
        <v>0</v>
      </c>
      <c r="AK296" s="2">
        <f>IF(AND(Games[[#This Row],[Type]]="P",Games[[#This Row],[Round]]=4),IF(Games[[#This Row],[Result]]&gt;0.5,1,0),0)</f>
        <v>0</v>
      </c>
      <c r="AL296" s="2">
        <f>IF(AND(Games[[#This Row],[Type]]="P",Games[[#This Row],[Round]]=4),IF(Games[[#This Row],[Result]]&lt;0.5,1,0),0)</f>
        <v>0</v>
      </c>
    </row>
    <row r="297" spans="1:38" x14ac:dyDescent="0.35">
      <c r="A297" s="10">
        <v>44434</v>
      </c>
      <c r="B297" s="2">
        <v>2021</v>
      </c>
      <c r="C297" s="2">
        <f>COUNTIFS(Games[Team],Games[[#This Row],[Team]],Games[Season],Games[[#This Row],[Season]],Games[Date],"&lt;=" &amp; Games[[#This Row],[Date]])</f>
        <v>26</v>
      </c>
      <c r="D297" s="2" t="s">
        <v>79</v>
      </c>
      <c r="E297" s="2" t="s">
        <v>80</v>
      </c>
      <c r="F297" s="1" t="s">
        <v>74</v>
      </c>
      <c r="G297" s="1" t="s">
        <v>63</v>
      </c>
      <c r="H297" s="1" t="s">
        <v>82</v>
      </c>
      <c r="I297" s="2" cm="1">
        <f t="array" ref="I297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7" s="2" cm="1">
        <f t="array" ref="J2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7" s="2">
        <f>Games[[#This Row],[DaysOff]]-Games[[#This Row],[OppDaysOff]]</f>
        <v>0</v>
      </c>
      <c r="L297" s="2">
        <f>Games[[#This Row],[OppDaysOff]]-Games[[#This Row],[DaysOff]]</f>
        <v>0</v>
      </c>
      <c r="M297" s="1">
        <f>MAX(-16, MIN(16, Games[[#This Row],[RestDiff]]*8))</f>
        <v>0</v>
      </c>
      <c r="N297" s="1">
        <f>MAX(-16, MIN(16, Games[[#This Row],[OppRestDiff]]*8))</f>
        <v>0</v>
      </c>
      <c r="O297" s="4" cm="1">
        <f t="array" ref="O2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1647.7512030737432</v>
      </c>
      <c r="P297" s="4" cm="1">
        <f t="array" ref="P2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1425.3392063680126</v>
      </c>
      <c r="Q297" s="4">
        <f>1/(1+10^(((Games[[#This Row],[OppPreGmRate]]+IF(Games[[#This Row],[HomeAway]]="A",HCA,0)+Games[[#This Row],[OppRestAdj]])-(Games[[#This Row],[PreGmRate]]+IF(Games[[#This Row],[HomeAway]]="H",HCA,0)+Games[[#This Row],[RestAdj]]))/400))</f>
        <v>0.85369109514723418</v>
      </c>
      <c r="R297" s="1">
        <v>76</v>
      </c>
      <c r="S297" s="1">
        <v>72</v>
      </c>
      <c r="T297" s="1">
        <v>0</v>
      </c>
      <c r="U297" s="1">
        <f>Games[[#This Row],[PointsFor]]-Games[[#This Row],[PointsAgainst]]</f>
        <v>4</v>
      </c>
      <c r="V297" s="1">
        <f>IF(Games[[#This Row],[MOV]]&gt;0,1,IF(Games[[#This Row],[MOV]]=0,0.5,0))</f>
        <v>1</v>
      </c>
      <c r="W297" s="4">
        <f>((ABS(Games[[#This Row],[MOV]])+5)^0.6)/(12+0.01*(ABS(Games[[#This Row],[PreGmRate]]-Games[[#This Row],[OppPreGmRate]])))*IF(Games[[#This Row],[OT]]=1,0.9,1)</f>
        <v>0.2627363118071131</v>
      </c>
      <c r="X297" s="7" cm="1">
        <f t="array" ref="X2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7" s="9">
        <f>MAX(kmin, kmax - 0.15 * MIN(Games[[#This Row],[GamesPlayed]], 82))</f>
        <v>72.099999999999994</v>
      </c>
      <c r="Z297" s="4">
        <f>Games[[#This Row],[K]]*Games[[#This Row],[POMult]]</f>
        <v>72.099999999999994</v>
      </c>
      <c r="AA297" s="4">
        <f>(Games[[#This Row],[Keff]]*Games[[#This Row],[MOVMult]])*(Games[[#This Row],[Result]]-Games[[#This Row],[ExpectedWin%]])</f>
        <v>2.7715717334844086</v>
      </c>
      <c r="AB297" s="4">
        <f>Games[[#This Row],[PreGmRate]]+Games[[#This Row],[RatingChange]]</f>
        <v>1650.5227748072277</v>
      </c>
      <c r="AC297" s="2">
        <f>IF(Games[[#This Row],[Type]]="R",IF(Games[[#This Row],[Result]]&gt;0.5,1,0),0)</f>
        <v>1</v>
      </c>
      <c r="AD297" s="2">
        <f>IF(Games[[#This Row],[Type]]="R",IF(Games[[#This Row],[Result]]&lt;0.5,1,0),0)</f>
        <v>0</v>
      </c>
      <c r="AE297" s="2">
        <f>IF(AND(Games[[#This Row],[Type]]="P",Games[[#This Row],[Round]]=1),IF(Games[[#This Row],[Result]]&gt;0.5,1,0),0)</f>
        <v>0</v>
      </c>
      <c r="AF297" s="2">
        <f>IF(AND(Games[[#This Row],[Type]]="P",Games[[#This Row],[Round]]=1),IF(Games[[#This Row],[Result]]&lt;0.5,1,0),0)</f>
        <v>0</v>
      </c>
      <c r="AG297" s="2">
        <f>IF(AND(Games[[#This Row],[Type]]="P",Games[[#This Row],[Round]]=2),IF(Games[[#This Row],[Result]]&gt;0.5,1,0),0)</f>
        <v>0</v>
      </c>
      <c r="AH297" s="2">
        <f>IF(AND(Games[[#This Row],[Type]]="P",Games[[#This Row],[Round]]=2),IF(Games[[#This Row],[Result]]&lt;0.5,1,0),0)</f>
        <v>0</v>
      </c>
      <c r="AI297" s="2">
        <f>IF(AND(Games[[#This Row],[Type]]="P",Games[[#This Row],[Round]]=3),IF(Games[[#This Row],[Result]]&gt;0.5,1,0),0)</f>
        <v>0</v>
      </c>
      <c r="AJ297" s="2">
        <f>IF(AND(Games[[#This Row],[Type]]="P",Games[[#This Row],[Round]]=3),IF(Games[[#This Row],[Result]]&lt;0.5,1,0),0)</f>
        <v>0</v>
      </c>
      <c r="AK297" s="2">
        <f>IF(AND(Games[[#This Row],[Type]]="P",Games[[#This Row],[Round]]=4),IF(Games[[#This Row],[Result]]&gt;0.5,1,0),0)</f>
        <v>0</v>
      </c>
      <c r="AL297" s="2">
        <f>IF(AND(Games[[#This Row],[Type]]="P",Games[[#This Row],[Round]]=4),IF(Games[[#This Row],[Result]]&lt;0.5,1,0),0)</f>
        <v>0</v>
      </c>
    </row>
    <row r="298" spans="1:38" x14ac:dyDescent="0.35">
      <c r="A298" s="10">
        <v>44434</v>
      </c>
      <c r="B298" s="2">
        <v>2021</v>
      </c>
      <c r="C298" s="2">
        <f>COUNTIFS(Games[Team],Games[[#This Row],[Team]],Games[Season],Games[[#This Row],[Season]],Games[Date],"&lt;=" &amp; Games[[#This Row],[Date]])</f>
        <v>25</v>
      </c>
      <c r="D298" s="2" t="s">
        <v>79</v>
      </c>
      <c r="E298" s="2" t="s">
        <v>80</v>
      </c>
      <c r="F298" s="1" t="s">
        <v>84</v>
      </c>
      <c r="G298" s="1" t="s">
        <v>65</v>
      </c>
      <c r="H298" s="1" t="s">
        <v>81</v>
      </c>
      <c r="I298" s="2" cm="1">
        <f t="array" ref="I298">IFERROR(
    Games[[#This Row],[Date]]
    - LOOKUP(
        2,
        1/((Games[Team]=Games[[#This Row],[Team]]) * (Games[Date] &lt; Games[[#This Row],[Date]])),
        Games[Date]
    )
    - 1,
Games[[#This Row],[Date]]-$A$2)</f>
        <v>5</v>
      </c>
      <c r="J298" s="2" cm="1">
        <f t="array" ref="J29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298" s="2">
        <f>Games[[#This Row],[DaysOff]]-Games[[#This Row],[OppDaysOff]]</f>
        <v>4</v>
      </c>
      <c r="L298" s="2">
        <f>Games[[#This Row],[OppDaysOff]]-Games[[#This Row],[DaysOff]]</f>
        <v>-4</v>
      </c>
      <c r="M298" s="1">
        <f>MAX(-16, MIN(16, Games[[#This Row],[RestDiff]]*8))</f>
        <v>16</v>
      </c>
      <c r="N298" s="1">
        <f>MAX(-16, MIN(16, Games[[#This Row],[OppRestDiff]]*8))</f>
        <v>-16</v>
      </c>
      <c r="O298" s="4" cm="1">
        <f t="array" ref="O2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1460.6804461285838</v>
      </c>
      <c r="P298" s="4" cm="1">
        <f t="array" ref="P2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1447.0303640737061</v>
      </c>
      <c r="Q298" s="4">
        <f>1/(1+10^(((Games[[#This Row],[OppPreGmRate]]+IF(Games[[#This Row],[HomeAway]]="A",HCA,0)+Games[[#This Row],[OppRestAdj]])-(Games[[#This Row],[PreGmRate]]+IF(Games[[#This Row],[HomeAway]]="H",HCA,0)+Games[[#This Row],[RestAdj]]))/400))</f>
        <v>0.4450330845541573</v>
      </c>
      <c r="R298" s="1">
        <v>82</v>
      </c>
      <c r="S298" s="1">
        <v>77</v>
      </c>
      <c r="T298" s="1">
        <v>0</v>
      </c>
      <c r="U298" s="1">
        <f>Games[[#This Row],[PointsFor]]-Games[[#This Row],[PointsAgainst]]</f>
        <v>5</v>
      </c>
      <c r="V298" s="1">
        <f>IF(Games[[#This Row],[MOV]]&gt;0,1,IF(Games[[#This Row],[MOV]]=0,0.5,0))</f>
        <v>1</v>
      </c>
      <c r="W298" s="4">
        <f>((ABS(Games[[#This Row],[MOV]])+5)^0.6)/(12+0.01*(ABS(Games[[#This Row],[PreGmRate]]-Games[[#This Row],[OppPreGmRate]])))*IF(Games[[#This Row],[OT]]=1,0.9,1)</f>
        <v>0.32802467238287225</v>
      </c>
      <c r="X298" s="7" cm="1">
        <f t="array" ref="X2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8" s="9">
        <f>MAX(kmin, kmax - 0.15 * MIN(Games[[#This Row],[GamesPlayed]], 82))</f>
        <v>72.25</v>
      </c>
      <c r="Z298" s="4">
        <f>Games[[#This Row],[K]]*Games[[#This Row],[POMult]]</f>
        <v>72.25</v>
      </c>
      <c r="AA298" s="4">
        <f>(Games[[#This Row],[Keff]]*Games[[#This Row],[MOVMult]])*(Games[[#This Row],[Result]]-Games[[#This Row],[ExpectedWin%]])</f>
        <v>13.152595234972427</v>
      </c>
      <c r="AB298" s="4">
        <f>Games[[#This Row],[PreGmRate]]+Games[[#This Row],[RatingChange]]</f>
        <v>1473.8330413635563</v>
      </c>
      <c r="AC298" s="2">
        <f>IF(Games[[#This Row],[Type]]="R",IF(Games[[#This Row],[Result]]&gt;0.5,1,0),0)</f>
        <v>1</v>
      </c>
      <c r="AD298" s="2">
        <f>IF(Games[[#This Row],[Type]]="R",IF(Games[[#This Row],[Result]]&lt;0.5,1,0),0)</f>
        <v>0</v>
      </c>
      <c r="AE298" s="2">
        <f>IF(AND(Games[[#This Row],[Type]]="P",Games[[#This Row],[Round]]=1),IF(Games[[#This Row],[Result]]&gt;0.5,1,0),0)</f>
        <v>0</v>
      </c>
      <c r="AF298" s="2">
        <f>IF(AND(Games[[#This Row],[Type]]="P",Games[[#This Row],[Round]]=1),IF(Games[[#This Row],[Result]]&lt;0.5,1,0),0)</f>
        <v>0</v>
      </c>
      <c r="AG298" s="2">
        <f>IF(AND(Games[[#This Row],[Type]]="P",Games[[#This Row],[Round]]=2),IF(Games[[#This Row],[Result]]&gt;0.5,1,0),0)</f>
        <v>0</v>
      </c>
      <c r="AH298" s="2">
        <f>IF(AND(Games[[#This Row],[Type]]="P",Games[[#This Row],[Round]]=2),IF(Games[[#This Row],[Result]]&lt;0.5,1,0),0)</f>
        <v>0</v>
      </c>
      <c r="AI298" s="2">
        <f>IF(AND(Games[[#This Row],[Type]]="P",Games[[#This Row],[Round]]=3),IF(Games[[#This Row],[Result]]&gt;0.5,1,0),0)</f>
        <v>0</v>
      </c>
      <c r="AJ298" s="2">
        <f>IF(AND(Games[[#This Row],[Type]]="P",Games[[#This Row],[Round]]=3),IF(Games[[#This Row],[Result]]&lt;0.5,1,0),0)</f>
        <v>0</v>
      </c>
      <c r="AK298" s="2">
        <f>IF(AND(Games[[#This Row],[Type]]="P",Games[[#This Row],[Round]]=4),IF(Games[[#This Row],[Result]]&gt;0.5,1,0),0)</f>
        <v>0</v>
      </c>
      <c r="AL298" s="2">
        <f>IF(AND(Games[[#This Row],[Type]]="P",Games[[#This Row],[Round]]=4),IF(Games[[#This Row],[Result]]&lt;0.5,1,0),0)</f>
        <v>0</v>
      </c>
    </row>
    <row r="299" spans="1:38" x14ac:dyDescent="0.35">
      <c r="A299" s="10">
        <v>44434</v>
      </c>
      <c r="B299" s="2">
        <v>2021</v>
      </c>
      <c r="C299" s="2">
        <f>COUNTIFS(Games[Team],Games[[#This Row],[Team]],Games[Season],Games[[#This Row],[Season]],Games[Date],"&lt;=" &amp; Games[[#This Row],[Date]])</f>
        <v>24</v>
      </c>
      <c r="D299" s="2" t="s">
        <v>79</v>
      </c>
      <c r="E299" s="2" t="s">
        <v>80</v>
      </c>
      <c r="F299" s="1" t="s">
        <v>65</v>
      </c>
      <c r="G299" s="1" t="s">
        <v>84</v>
      </c>
      <c r="H299" s="1" t="s">
        <v>82</v>
      </c>
      <c r="I299" s="2" cm="1">
        <f t="array" ref="I299">IFERROR(
    Games[[#This Row],[Date]]
    - LOOKUP(
        2,
        1/((Games[Team]=Games[[#This Row],[Team]]) * (Games[Date] &lt; Games[[#This Row],[Date]])),
        Games[Date]
    )
    - 1,
Games[[#This Row],[Date]]-$A$2)</f>
        <v>1</v>
      </c>
      <c r="J299" s="2" cm="1">
        <f t="array" ref="J299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299" s="2">
        <f>Games[[#This Row],[DaysOff]]-Games[[#This Row],[OppDaysOff]]</f>
        <v>-4</v>
      </c>
      <c r="L299" s="2">
        <f>Games[[#This Row],[OppDaysOff]]-Games[[#This Row],[DaysOff]]</f>
        <v>4</v>
      </c>
      <c r="M299" s="1">
        <f>MAX(-16, MIN(16, Games[[#This Row],[RestDiff]]*8))</f>
        <v>-16</v>
      </c>
      <c r="N299" s="1">
        <f>MAX(-16, MIN(16, Games[[#This Row],[OppRestDiff]]*8))</f>
        <v>16</v>
      </c>
      <c r="O299" s="4" cm="1">
        <f t="array" ref="O2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1447.0303640737061</v>
      </c>
      <c r="P299" s="4" cm="1">
        <f t="array" ref="P2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1460.6804461285838</v>
      </c>
      <c r="Q299" s="4">
        <f>1/(1+10^(((Games[[#This Row],[OppPreGmRate]]+IF(Games[[#This Row],[HomeAway]]="A",HCA,0)+Games[[#This Row],[OppRestAdj]])-(Games[[#This Row],[PreGmRate]]+IF(Games[[#This Row],[HomeAway]]="H",HCA,0)+Games[[#This Row],[RestAdj]]))/400))</f>
        <v>0.55496691544584276</v>
      </c>
      <c r="R299" s="1">
        <v>77</v>
      </c>
      <c r="S299" s="1">
        <v>82</v>
      </c>
      <c r="T299" s="1">
        <v>0</v>
      </c>
      <c r="U299" s="1">
        <f>Games[[#This Row],[PointsFor]]-Games[[#This Row],[PointsAgainst]]</f>
        <v>-5</v>
      </c>
      <c r="V299" s="1">
        <f>IF(Games[[#This Row],[MOV]]&gt;0,1,IF(Games[[#This Row],[MOV]]=0,0.5,0))</f>
        <v>0</v>
      </c>
      <c r="W299" s="4">
        <f>((ABS(Games[[#This Row],[MOV]])+5)^0.6)/(12+0.01*(ABS(Games[[#This Row],[PreGmRate]]-Games[[#This Row],[OppPreGmRate]])))*IF(Games[[#This Row],[OT]]=1,0.9,1)</f>
        <v>0.32802467238287225</v>
      </c>
      <c r="X299" s="7" cm="1">
        <f t="array" ref="X2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299" s="9">
        <f>MAX(kmin, kmax - 0.15 * MIN(Games[[#This Row],[GamesPlayed]], 82))</f>
        <v>72.400000000000006</v>
      </c>
      <c r="Z299" s="4">
        <f>Games[[#This Row],[K]]*Games[[#This Row],[POMult]]</f>
        <v>72.400000000000006</v>
      </c>
      <c r="AA299" s="4">
        <f>(Games[[#This Row],[Keff]]*Games[[#This Row],[MOVMult]])*(Games[[#This Row],[Result]]-Games[[#This Row],[ExpectedWin%]])</f>
        <v>-13.179901661065797</v>
      </c>
      <c r="AB299" s="4">
        <f>Games[[#This Row],[PreGmRate]]+Games[[#This Row],[RatingChange]]</f>
        <v>1433.8504624126404</v>
      </c>
      <c r="AC299" s="2">
        <f>IF(Games[[#This Row],[Type]]="R",IF(Games[[#This Row],[Result]]&gt;0.5,1,0),0)</f>
        <v>0</v>
      </c>
      <c r="AD299" s="2">
        <f>IF(Games[[#This Row],[Type]]="R",IF(Games[[#This Row],[Result]]&lt;0.5,1,0),0)</f>
        <v>1</v>
      </c>
      <c r="AE299" s="2">
        <f>IF(AND(Games[[#This Row],[Type]]="P",Games[[#This Row],[Round]]=1),IF(Games[[#This Row],[Result]]&gt;0.5,1,0),0)</f>
        <v>0</v>
      </c>
      <c r="AF299" s="2">
        <f>IF(AND(Games[[#This Row],[Type]]="P",Games[[#This Row],[Round]]=1),IF(Games[[#This Row],[Result]]&lt;0.5,1,0),0)</f>
        <v>0</v>
      </c>
      <c r="AG299" s="2">
        <f>IF(AND(Games[[#This Row],[Type]]="P",Games[[#This Row],[Round]]=2),IF(Games[[#This Row],[Result]]&gt;0.5,1,0),0)</f>
        <v>0</v>
      </c>
      <c r="AH299" s="2">
        <f>IF(AND(Games[[#This Row],[Type]]="P",Games[[#This Row],[Round]]=2),IF(Games[[#This Row],[Result]]&lt;0.5,1,0),0)</f>
        <v>0</v>
      </c>
      <c r="AI299" s="2">
        <f>IF(AND(Games[[#This Row],[Type]]="P",Games[[#This Row],[Round]]=3),IF(Games[[#This Row],[Result]]&gt;0.5,1,0),0)</f>
        <v>0</v>
      </c>
      <c r="AJ299" s="2">
        <f>IF(AND(Games[[#This Row],[Type]]="P",Games[[#This Row],[Round]]=3),IF(Games[[#This Row],[Result]]&lt;0.5,1,0),0)</f>
        <v>0</v>
      </c>
      <c r="AK299" s="2">
        <f>IF(AND(Games[[#This Row],[Type]]="P",Games[[#This Row],[Round]]=4),IF(Games[[#This Row],[Result]]&gt;0.5,1,0),0)</f>
        <v>0</v>
      </c>
      <c r="AL299" s="2">
        <f>IF(AND(Games[[#This Row],[Type]]="P",Games[[#This Row],[Round]]=4),IF(Games[[#This Row],[Result]]&lt;0.5,1,0),0)</f>
        <v>0</v>
      </c>
    </row>
    <row r="300" spans="1:38" x14ac:dyDescent="0.35">
      <c r="A300" s="10">
        <v>44435</v>
      </c>
      <c r="B300" s="2">
        <v>2021</v>
      </c>
      <c r="C300" s="2">
        <f>COUNTIFS(Games[Team],Games[[#This Row],[Team]],Games[Season],Games[[#This Row],[Season]],Games[Date],"&lt;=" &amp; Games[[#This Row],[Date]])</f>
        <v>25</v>
      </c>
      <c r="D300" s="2" t="s">
        <v>79</v>
      </c>
      <c r="E300" s="2" t="s">
        <v>80</v>
      </c>
      <c r="F300" s="1" t="s">
        <v>40</v>
      </c>
      <c r="G300" s="1" t="s">
        <v>60</v>
      </c>
      <c r="H300" s="1" t="s">
        <v>81</v>
      </c>
      <c r="I300" s="2" cm="1">
        <f t="array" ref="I3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0" s="2" cm="1">
        <f t="array" ref="J3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0" s="2">
        <f>Games[[#This Row],[DaysOff]]-Games[[#This Row],[OppDaysOff]]</f>
        <v>0</v>
      </c>
      <c r="L300" s="2">
        <f>Games[[#This Row],[OppDaysOff]]-Games[[#This Row],[DaysOff]]</f>
        <v>0</v>
      </c>
      <c r="M300" s="1">
        <f>MAX(-16, MIN(16, Games[[#This Row],[RestDiff]]*8))</f>
        <v>0</v>
      </c>
      <c r="N300" s="1">
        <f>MAX(-16, MIN(16, Games[[#This Row],[OppRestDiff]]*8))</f>
        <v>0</v>
      </c>
      <c r="O300" s="4" cm="1">
        <f t="array" ref="O3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1538.9045098125873</v>
      </c>
      <c r="P300" s="4" cm="1">
        <f t="array" ref="P3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1373.4058948026252</v>
      </c>
      <c r="Q300" s="4">
        <f>1/(1+10^(((Games[[#This Row],[OppPreGmRate]]+IF(Games[[#This Row],[HomeAway]]="A",HCA,0)+Games[[#This Row],[OppRestAdj]])-(Games[[#This Row],[PreGmRate]]+IF(Games[[#This Row],[HomeAway]]="H",HCA,0)+Games[[#This Row],[RestAdj]]))/400))</f>
        <v>0.61518107113285692</v>
      </c>
      <c r="R300" s="1">
        <v>80</v>
      </c>
      <c r="S300" s="1">
        <v>64</v>
      </c>
      <c r="T300" s="1">
        <v>0</v>
      </c>
      <c r="U300" s="1">
        <f>Games[[#This Row],[PointsFor]]-Games[[#This Row],[PointsAgainst]]</f>
        <v>16</v>
      </c>
      <c r="V300" s="1">
        <f>IF(Games[[#This Row],[MOV]]&gt;0,1,IF(Games[[#This Row],[MOV]]=0,0.5,0))</f>
        <v>1</v>
      </c>
      <c r="W300" s="4">
        <f>((ABS(Games[[#This Row],[MOV]])+5)^0.6)/(12+0.01*(ABS(Games[[#This Row],[PreGmRate]]-Games[[#This Row],[OppPreGmRate]])))*IF(Games[[#This Row],[OT]]=1,0.9,1)</f>
        <v>0.45503029582460708</v>
      </c>
      <c r="X300" s="7" cm="1">
        <f t="array" ref="X3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0" s="9">
        <f>MAX(kmin, kmax - 0.15 * MIN(Games[[#This Row],[GamesPlayed]], 82))</f>
        <v>72.25</v>
      </c>
      <c r="Z300" s="4">
        <f>Games[[#This Row],[K]]*Games[[#This Row],[POMult]]</f>
        <v>72.25</v>
      </c>
      <c r="AA300" s="4">
        <f>(Games[[#This Row],[Keff]]*Games[[#This Row],[MOVMult]])*(Games[[#This Row],[Result]]-Games[[#This Row],[ExpectedWin%]])</f>
        <v>12.651283582735699</v>
      </c>
      <c r="AB300" s="4">
        <f>Games[[#This Row],[PreGmRate]]+Games[[#This Row],[RatingChange]]</f>
        <v>1551.555793395323</v>
      </c>
      <c r="AC300" s="2">
        <f>IF(Games[[#This Row],[Type]]="R",IF(Games[[#This Row],[Result]]&gt;0.5,1,0),0)</f>
        <v>1</v>
      </c>
      <c r="AD300" s="2">
        <f>IF(Games[[#This Row],[Type]]="R",IF(Games[[#This Row],[Result]]&lt;0.5,1,0),0)</f>
        <v>0</v>
      </c>
      <c r="AE300" s="2">
        <f>IF(AND(Games[[#This Row],[Type]]="P",Games[[#This Row],[Round]]=1),IF(Games[[#This Row],[Result]]&gt;0.5,1,0),0)</f>
        <v>0</v>
      </c>
      <c r="AF300" s="2">
        <f>IF(AND(Games[[#This Row],[Type]]="P",Games[[#This Row],[Round]]=1),IF(Games[[#This Row],[Result]]&lt;0.5,1,0),0)</f>
        <v>0</v>
      </c>
      <c r="AG300" s="2">
        <f>IF(AND(Games[[#This Row],[Type]]="P",Games[[#This Row],[Round]]=2),IF(Games[[#This Row],[Result]]&gt;0.5,1,0),0)</f>
        <v>0</v>
      </c>
      <c r="AH300" s="2">
        <f>IF(AND(Games[[#This Row],[Type]]="P",Games[[#This Row],[Round]]=2),IF(Games[[#This Row],[Result]]&lt;0.5,1,0),0)</f>
        <v>0</v>
      </c>
      <c r="AI300" s="2">
        <f>IF(AND(Games[[#This Row],[Type]]="P",Games[[#This Row],[Round]]=3),IF(Games[[#This Row],[Result]]&gt;0.5,1,0),0)</f>
        <v>0</v>
      </c>
      <c r="AJ300" s="2">
        <f>IF(AND(Games[[#This Row],[Type]]="P",Games[[#This Row],[Round]]=3),IF(Games[[#This Row],[Result]]&lt;0.5,1,0),0)</f>
        <v>0</v>
      </c>
      <c r="AK300" s="2">
        <f>IF(AND(Games[[#This Row],[Type]]="P",Games[[#This Row],[Round]]=4),IF(Games[[#This Row],[Result]]&gt;0.5,1,0),0)</f>
        <v>0</v>
      </c>
      <c r="AL300" s="2">
        <f>IF(AND(Games[[#This Row],[Type]]="P",Games[[#This Row],[Round]]=4),IF(Games[[#This Row],[Result]]&lt;0.5,1,0),0)</f>
        <v>0</v>
      </c>
    </row>
    <row r="301" spans="1:38" x14ac:dyDescent="0.35">
      <c r="A301" s="10">
        <v>44435</v>
      </c>
      <c r="B301" s="2">
        <v>2021</v>
      </c>
      <c r="C301" s="2">
        <f>COUNTIFS(Games[Team],Games[[#This Row],[Team]],Games[Season],Games[[#This Row],[Season]],Games[Date],"&lt;=" &amp; Games[[#This Row],[Date]])</f>
        <v>27</v>
      </c>
      <c r="D301" s="2" t="s">
        <v>79</v>
      </c>
      <c r="E301" s="2" t="s">
        <v>80</v>
      </c>
      <c r="F301" s="1" t="s">
        <v>60</v>
      </c>
      <c r="G301" s="1" t="s">
        <v>40</v>
      </c>
      <c r="H301" s="1" t="s">
        <v>82</v>
      </c>
      <c r="I301" s="2" cm="1">
        <f t="array" ref="I3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1" s="2" cm="1">
        <f t="array" ref="J3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1" s="2">
        <f>Games[[#This Row],[DaysOff]]-Games[[#This Row],[OppDaysOff]]</f>
        <v>0</v>
      </c>
      <c r="L301" s="2">
        <f>Games[[#This Row],[OppDaysOff]]-Games[[#This Row],[DaysOff]]</f>
        <v>0</v>
      </c>
      <c r="M301" s="1">
        <f>MAX(-16, MIN(16, Games[[#This Row],[RestDiff]]*8))</f>
        <v>0</v>
      </c>
      <c r="N301" s="1">
        <f>MAX(-16, MIN(16, Games[[#This Row],[OppRestDiff]]*8))</f>
        <v>0</v>
      </c>
      <c r="O301" s="4" cm="1">
        <f t="array" ref="O3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1373.4058948026252</v>
      </c>
      <c r="P301" s="4" cm="1">
        <f t="array" ref="P3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1538.9045098125873</v>
      </c>
      <c r="Q301" s="4">
        <f>1/(1+10^(((Games[[#This Row],[OppPreGmRate]]+IF(Games[[#This Row],[HomeAway]]="A",HCA,0)+Games[[#This Row],[OppRestAdj]])-(Games[[#This Row],[PreGmRate]]+IF(Games[[#This Row],[HomeAway]]="H",HCA,0)+Games[[#This Row],[RestAdj]]))/400))</f>
        <v>0.38481892886714303</v>
      </c>
      <c r="R301" s="1">
        <v>64</v>
      </c>
      <c r="S301" s="1">
        <v>80</v>
      </c>
      <c r="T301" s="1">
        <v>0</v>
      </c>
      <c r="U301" s="1">
        <f>Games[[#This Row],[PointsFor]]-Games[[#This Row],[PointsAgainst]]</f>
        <v>-16</v>
      </c>
      <c r="V301" s="1">
        <f>IF(Games[[#This Row],[MOV]]&gt;0,1,IF(Games[[#This Row],[MOV]]=0,0.5,0))</f>
        <v>0</v>
      </c>
      <c r="W301" s="4">
        <f>((ABS(Games[[#This Row],[MOV]])+5)^0.6)/(12+0.01*(ABS(Games[[#This Row],[PreGmRate]]-Games[[#This Row],[OppPreGmRate]])))*IF(Games[[#This Row],[OT]]=1,0.9,1)</f>
        <v>0.45503029582460708</v>
      </c>
      <c r="X301" s="7" cm="1">
        <f t="array" ref="X3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1" s="9">
        <f>MAX(kmin, kmax - 0.15 * MIN(Games[[#This Row],[GamesPlayed]], 82))</f>
        <v>71.95</v>
      </c>
      <c r="Z301" s="4">
        <f>Games[[#This Row],[K]]*Games[[#This Row],[POMult]]</f>
        <v>71.95</v>
      </c>
      <c r="AA301" s="4">
        <f>(Games[[#This Row],[Keff]]*Games[[#This Row],[MOVMult]])*(Games[[#This Row],[Result]]-Games[[#This Row],[ExpectedWin%]])</f>
        <v>-12.5987523014233</v>
      </c>
      <c r="AB301" s="4">
        <f>Games[[#This Row],[PreGmRate]]+Games[[#This Row],[RatingChange]]</f>
        <v>1360.807142501202</v>
      </c>
      <c r="AC301" s="2">
        <f>IF(Games[[#This Row],[Type]]="R",IF(Games[[#This Row],[Result]]&gt;0.5,1,0),0)</f>
        <v>0</v>
      </c>
      <c r="AD301" s="2">
        <f>IF(Games[[#This Row],[Type]]="R",IF(Games[[#This Row],[Result]]&lt;0.5,1,0),0)</f>
        <v>1</v>
      </c>
      <c r="AE301" s="2">
        <f>IF(AND(Games[[#This Row],[Type]]="P",Games[[#This Row],[Round]]=1),IF(Games[[#This Row],[Result]]&gt;0.5,1,0),0)</f>
        <v>0</v>
      </c>
      <c r="AF301" s="2">
        <f>IF(AND(Games[[#This Row],[Type]]="P",Games[[#This Row],[Round]]=1),IF(Games[[#This Row],[Result]]&lt;0.5,1,0),0)</f>
        <v>0</v>
      </c>
      <c r="AG301" s="2">
        <f>IF(AND(Games[[#This Row],[Type]]="P",Games[[#This Row],[Round]]=2),IF(Games[[#This Row],[Result]]&gt;0.5,1,0),0)</f>
        <v>0</v>
      </c>
      <c r="AH301" s="2">
        <f>IF(AND(Games[[#This Row],[Type]]="P",Games[[#This Row],[Round]]=2),IF(Games[[#This Row],[Result]]&lt;0.5,1,0),0)</f>
        <v>0</v>
      </c>
      <c r="AI301" s="2">
        <f>IF(AND(Games[[#This Row],[Type]]="P",Games[[#This Row],[Round]]=3),IF(Games[[#This Row],[Result]]&gt;0.5,1,0),0)</f>
        <v>0</v>
      </c>
      <c r="AJ301" s="2">
        <f>IF(AND(Games[[#This Row],[Type]]="P",Games[[#This Row],[Round]]=3),IF(Games[[#This Row],[Result]]&lt;0.5,1,0),0)</f>
        <v>0</v>
      </c>
      <c r="AK301" s="2">
        <f>IF(AND(Games[[#This Row],[Type]]="P",Games[[#This Row],[Round]]=4),IF(Games[[#This Row],[Result]]&gt;0.5,1,0),0)</f>
        <v>0</v>
      </c>
      <c r="AL301" s="2">
        <f>IF(AND(Games[[#This Row],[Type]]="P",Games[[#This Row],[Round]]=4),IF(Games[[#This Row],[Result]]&lt;0.5,1,0),0)</f>
        <v>0</v>
      </c>
    </row>
    <row r="302" spans="1:38" x14ac:dyDescent="0.35">
      <c r="A302" s="10">
        <v>44435</v>
      </c>
      <c r="B302" s="2">
        <v>2021</v>
      </c>
      <c r="C302" s="2">
        <f>COUNTIFS(Games[Team],Games[[#This Row],[Team]],Games[Season],Games[[#This Row],[Season]],Games[Date],"&lt;=" &amp; Games[[#This Row],[Date]])</f>
        <v>25</v>
      </c>
      <c r="D302" s="2" t="s">
        <v>79</v>
      </c>
      <c r="E302" s="2" t="s">
        <v>80</v>
      </c>
      <c r="F302" s="1" t="s">
        <v>75</v>
      </c>
      <c r="G302" s="1" t="s">
        <v>71</v>
      </c>
      <c r="H302" s="1" t="s">
        <v>81</v>
      </c>
      <c r="I302" s="2" cm="1">
        <f t="array" ref="I30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2" s="2" cm="1">
        <f t="array" ref="J30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2" s="2">
        <f>Games[[#This Row],[DaysOff]]-Games[[#This Row],[OppDaysOff]]</f>
        <v>0</v>
      </c>
      <c r="L302" s="2">
        <f>Games[[#This Row],[OppDaysOff]]-Games[[#This Row],[DaysOff]]</f>
        <v>0</v>
      </c>
      <c r="M302" s="1">
        <f>MAX(-16, MIN(16, Games[[#This Row],[RestDiff]]*8))</f>
        <v>0</v>
      </c>
      <c r="N302" s="1">
        <f>MAX(-16, MIN(16, Games[[#This Row],[OppRestDiff]]*8))</f>
        <v>0</v>
      </c>
      <c r="O302" s="4" cm="1">
        <f t="array" ref="O3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1520.4476488553933</v>
      </c>
      <c r="P302" s="4" cm="1">
        <f t="array" ref="P3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1671.494931606248</v>
      </c>
      <c r="Q302" s="4">
        <f>1/(1+10^(((Games[[#This Row],[OppPreGmRate]]+IF(Games[[#This Row],[HomeAway]]="A",HCA,0)+Games[[#This Row],[OppRestAdj]])-(Games[[#This Row],[PreGmRate]]+IF(Games[[#This Row],[HomeAway]]="H",HCA,0)+Games[[#This Row],[RestAdj]]))/400))</f>
        <v>0.20537366267181392</v>
      </c>
      <c r="R302" s="1">
        <v>73</v>
      </c>
      <c r="S302" s="1">
        <v>69</v>
      </c>
      <c r="T302" s="1">
        <v>0</v>
      </c>
      <c r="U302" s="1">
        <f>Games[[#This Row],[PointsFor]]-Games[[#This Row],[PointsAgainst]]</f>
        <v>4</v>
      </c>
      <c r="V302" s="1">
        <f>IF(Games[[#This Row],[MOV]]&gt;0,1,IF(Games[[#This Row],[MOV]]=0,0.5,0))</f>
        <v>1</v>
      </c>
      <c r="W302" s="4">
        <f>((ABS(Games[[#This Row],[MOV]])+5)^0.6)/(12+0.01*(ABS(Games[[#This Row],[PreGmRate]]-Games[[#This Row],[OppPreGmRate]])))*IF(Games[[#This Row],[OT]]=1,0.9,1)</f>
        <v>0.27661450983693842</v>
      </c>
      <c r="X302" s="7" cm="1">
        <f t="array" ref="X3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2" s="9">
        <f>MAX(kmin, kmax - 0.15 * MIN(Games[[#This Row],[GamesPlayed]], 82))</f>
        <v>72.25</v>
      </c>
      <c r="Z302" s="4">
        <f>Games[[#This Row],[K]]*Games[[#This Row],[POMult]]</f>
        <v>72.25</v>
      </c>
      <c r="AA302" s="4">
        <f>(Games[[#This Row],[Keff]]*Games[[#This Row],[MOVMult]])*(Games[[#This Row],[Result]]-Games[[#This Row],[ExpectedWin%]])</f>
        <v>15.880923879557058</v>
      </c>
      <c r="AB302" s="4">
        <f>Games[[#This Row],[PreGmRate]]+Games[[#This Row],[RatingChange]]</f>
        <v>1536.3285727349503</v>
      </c>
      <c r="AC302" s="2">
        <f>IF(Games[[#This Row],[Type]]="R",IF(Games[[#This Row],[Result]]&gt;0.5,1,0),0)</f>
        <v>1</v>
      </c>
      <c r="AD302" s="2">
        <f>IF(Games[[#This Row],[Type]]="R",IF(Games[[#This Row],[Result]]&lt;0.5,1,0),0)</f>
        <v>0</v>
      </c>
      <c r="AE302" s="2">
        <f>IF(AND(Games[[#This Row],[Type]]="P",Games[[#This Row],[Round]]=1),IF(Games[[#This Row],[Result]]&gt;0.5,1,0),0)</f>
        <v>0</v>
      </c>
      <c r="AF302" s="2">
        <f>IF(AND(Games[[#This Row],[Type]]="P",Games[[#This Row],[Round]]=1),IF(Games[[#This Row],[Result]]&lt;0.5,1,0),0)</f>
        <v>0</v>
      </c>
      <c r="AG302" s="2">
        <f>IF(AND(Games[[#This Row],[Type]]="P",Games[[#This Row],[Round]]=2),IF(Games[[#This Row],[Result]]&gt;0.5,1,0),0)</f>
        <v>0</v>
      </c>
      <c r="AH302" s="2">
        <f>IF(AND(Games[[#This Row],[Type]]="P",Games[[#This Row],[Round]]=2),IF(Games[[#This Row],[Result]]&lt;0.5,1,0),0)</f>
        <v>0</v>
      </c>
      <c r="AI302" s="2">
        <f>IF(AND(Games[[#This Row],[Type]]="P",Games[[#This Row],[Round]]=3),IF(Games[[#This Row],[Result]]&gt;0.5,1,0),0)</f>
        <v>0</v>
      </c>
      <c r="AJ302" s="2">
        <f>IF(AND(Games[[#This Row],[Type]]="P",Games[[#This Row],[Round]]=3),IF(Games[[#This Row],[Result]]&lt;0.5,1,0),0)</f>
        <v>0</v>
      </c>
      <c r="AK302" s="2">
        <f>IF(AND(Games[[#This Row],[Type]]="P",Games[[#This Row],[Round]]=4),IF(Games[[#This Row],[Result]]&gt;0.5,1,0),0)</f>
        <v>0</v>
      </c>
      <c r="AL302" s="2">
        <f>IF(AND(Games[[#This Row],[Type]]="P",Games[[#This Row],[Round]]=4),IF(Games[[#This Row],[Result]]&lt;0.5,1,0),0)</f>
        <v>0</v>
      </c>
    </row>
    <row r="303" spans="1:38" x14ac:dyDescent="0.35">
      <c r="A303" s="10">
        <v>44435</v>
      </c>
      <c r="B303" s="2">
        <v>2021</v>
      </c>
      <c r="C303" s="2">
        <f>COUNTIFS(Games[Team],Games[[#This Row],[Team]],Games[Season],Games[[#This Row],[Season]],Games[Date],"&lt;=" &amp; Games[[#This Row],[Date]])</f>
        <v>28</v>
      </c>
      <c r="D303" s="2" t="s">
        <v>79</v>
      </c>
      <c r="E303" s="2" t="s">
        <v>80</v>
      </c>
      <c r="F303" s="1" t="s">
        <v>71</v>
      </c>
      <c r="G303" s="1" t="s">
        <v>75</v>
      </c>
      <c r="H303" s="1" t="s">
        <v>82</v>
      </c>
      <c r="I303" s="2" cm="1">
        <f t="array" ref="I30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03" s="2" cm="1">
        <f t="array" ref="J30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03" s="2">
        <f>Games[[#This Row],[DaysOff]]-Games[[#This Row],[OppDaysOff]]</f>
        <v>0</v>
      </c>
      <c r="L303" s="2">
        <f>Games[[#This Row],[OppDaysOff]]-Games[[#This Row],[DaysOff]]</f>
        <v>0</v>
      </c>
      <c r="M303" s="1">
        <f>MAX(-16, MIN(16, Games[[#This Row],[RestDiff]]*8))</f>
        <v>0</v>
      </c>
      <c r="N303" s="1">
        <f>MAX(-16, MIN(16, Games[[#This Row],[OppRestDiff]]*8))</f>
        <v>0</v>
      </c>
      <c r="O303" s="4" cm="1">
        <f t="array" ref="O3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1671.494931606248</v>
      </c>
      <c r="P303" s="4" cm="1">
        <f t="array" ref="P3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1520.4476488553933</v>
      </c>
      <c r="Q303" s="4">
        <f>1/(1+10^(((Games[[#This Row],[OppPreGmRate]]+IF(Games[[#This Row],[HomeAway]]="A",HCA,0)+Games[[#This Row],[OppRestAdj]])-(Games[[#This Row],[PreGmRate]]+IF(Games[[#This Row],[HomeAway]]="H",HCA,0)+Games[[#This Row],[RestAdj]]))/400))</f>
        <v>0.79462633732818599</v>
      </c>
      <c r="R303" s="1">
        <v>69</v>
      </c>
      <c r="S303" s="1">
        <v>73</v>
      </c>
      <c r="T303" s="1">
        <v>0</v>
      </c>
      <c r="U303" s="1">
        <f>Games[[#This Row],[PointsFor]]-Games[[#This Row],[PointsAgainst]]</f>
        <v>-4</v>
      </c>
      <c r="V303" s="1">
        <f>IF(Games[[#This Row],[MOV]]&gt;0,1,IF(Games[[#This Row],[MOV]]=0,0.5,0))</f>
        <v>0</v>
      </c>
      <c r="W303" s="4">
        <f>((ABS(Games[[#This Row],[MOV]])+5)^0.6)/(12+0.01*(ABS(Games[[#This Row],[PreGmRate]]-Games[[#This Row],[OppPreGmRate]])))*IF(Games[[#This Row],[OT]]=1,0.9,1)</f>
        <v>0.27661450983693842</v>
      </c>
      <c r="X303" s="7" cm="1">
        <f t="array" ref="X3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3" s="9">
        <f>MAX(kmin, kmax - 0.15 * MIN(Games[[#This Row],[GamesPlayed]], 82))</f>
        <v>71.8</v>
      </c>
      <c r="Z303" s="4">
        <f>Games[[#This Row],[K]]*Games[[#This Row],[POMult]]</f>
        <v>71.8</v>
      </c>
      <c r="AA303" s="4">
        <f>(Games[[#This Row],[Keff]]*Games[[#This Row],[MOVMult]])*(Games[[#This Row],[Result]]-Games[[#This Row],[ExpectedWin%]])</f>
        <v>-15.782011550895454</v>
      </c>
      <c r="AB303" s="4">
        <f>Games[[#This Row],[PreGmRate]]+Games[[#This Row],[RatingChange]]</f>
        <v>1655.7129200553525</v>
      </c>
      <c r="AC303" s="2">
        <f>IF(Games[[#This Row],[Type]]="R",IF(Games[[#This Row],[Result]]&gt;0.5,1,0),0)</f>
        <v>0</v>
      </c>
      <c r="AD303" s="2">
        <f>IF(Games[[#This Row],[Type]]="R",IF(Games[[#This Row],[Result]]&lt;0.5,1,0),0)</f>
        <v>1</v>
      </c>
      <c r="AE303" s="2">
        <f>IF(AND(Games[[#This Row],[Type]]="P",Games[[#This Row],[Round]]=1),IF(Games[[#This Row],[Result]]&gt;0.5,1,0),0)</f>
        <v>0</v>
      </c>
      <c r="AF303" s="2">
        <f>IF(AND(Games[[#This Row],[Type]]="P",Games[[#This Row],[Round]]=1),IF(Games[[#This Row],[Result]]&lt;0.5,1,0),0)</f>
        <v>0</v>
      </c>
      <c r="AG303" s="2">
        <f>IF(AND(Games[[#This Row],[Type]]="P",Games[[#This Row],[Round]]=2),IF(Games[[#This Row],[Result]]&gt;0.5,1,0),0)</f>
        <v>0</v>
      </c>
      <c r="AH303" s="2">
        <f>IF(AND(Games[[#This Row],[Type]]="P",Games[[#This Row],[Round]]=2),IF(Games[[#This Row],[Result]]&lt;0.5,1,0),0)</f>
        <v>0</v>
      </c>
      <c r="AI303" s="2">
        <f>IF(AND(Games[[#This Row],[Type]]="P",Games[[#This Row],[Round]]=3),IF(Games[[#This Row],[Result]]&gt;0.5,1,0),0)</f>
        <v>0</v>
      </c>
      <c r="AJ303" s="2">
        <f>IF(AND(Games[[#This Row],[Type]]="P",Games[[#This Row],[Round]]=3),IF(Games[[#This Row],[Result]]&lt;0.5,1,0),0)</f>
        <v>0</v>
      </c>
      <c r="AK303" s="2">
        <f>IF(AND(Games[[#This Row],[Type]]="P",Games[[#This Row],[Round]]=4),IF(Games[[#This Row],[Result]]&gt;0.5,1,0),0)</f>
        <v>0</v>
      </c>
      <c r="AL303" s="2">
        <f>IF(AND(Games[[#This Row],[Type]]="P",Games[[#This Row],[Round]]=4),IF(Games[[#This Row],[Result]]&lt;0.5,1,0),0)</f>
        <v>0</v>
      </c>
    </row>
    <row r="304" spans="1:38" x14ac:dyDescent="0.35">
      <c r="A304" s="10">
        <v>44436</v>
      </c>
      <c r="B304" s="2">
        <v>2021</v>
      </c>
      <c r="C304" s="2">
        <f>COUNTIFS(Games[Team],Games[[#This Row],[Team]],Games[Season],Games[[#This Row],[Season]],Games[Date],"&lt;=" &amp; Games[[#This Row],[Date]])</f>
        <v>26</v>
      </c>
      <c r="D304" s="2" t="s">
        <v>79</v>
      </c>
      <c r="E304" s="2" t="s">
        <v>80</v>
      </c>
      <c r="F304" s="1" t="s">
        <v>63</v>
      </c>
      <c r="G304" s="1" t="s">
        <v>74</v>
      </c>
      <c r="H304" s="1" t="s">
        <v>81</v>
      </c>
      <c r="I304" s="2" cm="1">
        <f t="array" ref="I30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4" s="2" cm="1">
        <f t="array" ref="J30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4" s="2">
        <f>Games[[#This Row],[DaysOff]]-Games[[#This Row],[OppDaysOff]]</f>
        <v>0</v>
      </c>
      <c r="L304" s="2">
        <f>Games[[#This Row],[OppDaysOff]]-Games[[#This Row],[DaysOff]]</f>
        <v>0</v>
      </c>
      <c r="M304" s="1">
        <f>MAX(-16, MIN(16, Games[[#This Row],[RestDiff]]*8))</f>
        <v>0</v>
      </c>
      <c r="N304" s="1">
        <f>MAX(-16, MIN(16, Games[[#This Row],[OppRestDiff]]*8))</f>
        <v>0</v>
      </c>
      <c r="O304" s="4" cm="1">
        <f t="array" ref="O3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1422.5618685352213</v>
      </c>
      <c r="P304" s="4" cm="1">
        <f t="array" ref="P3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1650.5227748072277</v>
      </c>
      <c r="Q304" s="4">
        <f>1/(1+10^(((Games[[#This Row],[OppPreGmRate]]+IF(Games[[#This Row],[HomeAway]]="A",HCA,0)+Games[[#This Row],[OppRestAdj]])-(Games[[#This Row],[PreGmRate]]+IF(Games[[#This Row],[HomeAway]]="H",HCA,0)+Games[[#This Row],[RestAdj]]))/400))</f>
        <v>0.14236415604827896</v>
      </c>
      <c r="R304" s="1">
        <v>61</v>
      </c>
      <c r="S304" s="1">
        <v>76</v>
      </c>
      <c r="T304" s="1">
        <v>0</v>
      </c>
      <c r="U304" s="1">
        <f>Games[[#This Row],[PointsFor]]-Games[[#This Row],[PointsAgainst]]</f>
        <v>-15</v>
      </c>
      <c r="V304" s="1">
        <f>IF(Games[[#This Row],[MOV]]&gt;0,1,IF(Games[[#This Row],[MOV]]=0,0.5,0))</f>
        <v>0</v>
      </c>
      <c r="W304" s="4">
        <f>((ABS(Games[[#This Row],[MOV]])+5)^0.6)/(12+0.01*(ABS(Games[[#This Row],[PreGmRate]]-Games[[#This Row],[OppPreGmRate]])))*IF(Games[[#This Row],[OT]]=1,0.9,1)</f>
        <v>0.42257293669885221</v>
      </c>
      <c r="X304" s="7" cm="1">
        <f t="array" ref="X3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4" s="9">
        <f>MAX(kmin, kmax - 0.15 * MIN(Games[[#This Row],[GamesPlayed]], 82))</f>
        <v>72.099999999999994</v>
      </c>
      <c r="Z304" s="4">
        <f>Games[[#This Row],[K]]*Games[[#This Row],[POMult]]</f>
        <v>72.099999999999994</v>
      </c>
      <c r="AA304" s="4">
        <f>(Games[[#This Row],[Keff]]*Games[[#This Row],[MOVMult]])*(Games[[#This Row],[Result]]-Games[[#This Row],[ExpectedWin%]])</f>
        <v>-4.3374811680923901</v>
      </c>
      <c r="AB304" s="4">
        <f>Games[[#This Row],[PreGmRate]]+Games[[#This Row],[RatingChange]]</f>
        <v>1418.2243873671289</v>
      </c>
      <c r="AC304" s="2">
        <f>IF(Games[[#This Row],[Type]]="R",IF(Games[[#This Row],[Result]]&gt;0.5,1,0),0)</f>
        <v>0</v>
      </c>
      <c r="AD304" s="2">
        <f>IF(Games[[#This Row],[Type]]="R",IF(Games[[#This Row],[Result]]&lt;0.5,1,0),0)</f>
        <v>1</v>
      </c>
      <c r="AE304" s="2">
        <f>IF(AND(Games[[#This Row],[Type]]="P",Games[[#This Row],[Round]]=1),IF(Games[[#This Row],[Result]]&gt;0.5,1,0),0)</f>
        <v>0</v>
      </c>
      <c r="AF304" s="2">
        <f>IF(AND(Games[[#This Row],[Type]]="P",Games[[#This Row],[Round]]=1),IF(Games[[#This Row],[Result]]&lt;0.5,1,0),0)</f>
        <v>0</v>
      </c>
      <c r="AG304" s="2">
        <f>IF(AND(Games[[#This Row],[Type]]="P",Games[[#This Row],[Round]]=2),IF(Games[[#This Row],[Result]]&gt;0.5,1,0),0)</f>
        <v>0</v>
      </c>
      <c r="AH304" s="2">
        <f>IF(AND(Games[[#This Row],[Type]]="P",Games[[#This Row],[Round]]=2),IF(Games[[#This Row],[Result]]&lt;0.5,1,0),0)</f>
        <v>0</v>
      </c>
      <c r="AI304" s="2">
        <f>IF(AND(Games[[#This Row],[Type]]="P",Games[[#This Row],[Round]]=3),IF(Games[[#This Row],[Result]]&gt;0.5,1,0),0)</f>
        <v>0</v>
      </c>
      <c r="AJ304" s="2">
        <f>IF(AND(Games[[#This Row],[Type]]="P",Games[[#This Row],[Round]]=3),IF(Games[[#This Row],[Result]]&lt;0.5,1,0),0)</f>
        <v>0</v>
      </c>
      <c r="AK304" s="2">
        <f>IF(AND(Games[[#This Row],[Type]]="P",Games[[#This Row],[Round]]=4),IF(Games[[#This Row],[Result]]&gt;0.5,1,0),0)</f>
        <v>0</v>
      </c>
      <c r="AL304" s="2">
        <f>IF(AND(Games[[#This Row],[Type]]="P",Games[[#This Row],[Round]]=4),IF(Games[[#This Row],[Result]]&lt;0.5,1,0),0)</f>
        <v>0</v>
      </c>
    </row>
    <row r="305" spans="1:38" x14ac:dyDescent="0.35">
      <c r="A305" s="10">
        <v>44436</v>
      </c>
      <c r="B305" s="2">
        <v>2021</v>
      </c>
      <c r="C305" s="2">
        <f>COUNTIFS(Games[Team],Games[[#This Row],[Team]],Games[Season],Games[[#This Row],[Season]],Games[Date],"&lt;=" &amp; Games[[#This Row],[Date]])</f>
        <v>27</v>
      </c>
      <c r="D305" s="2" t="s">
        <v>79</v>
      </c>
      <c r="E305" s="2" t="s">
        <v>80</v>
      </c>
      <c r="F305" s="1" t="s">
        <v>74</v>
      </c>
      <c r="G305" s="1" t="s">
        <v>63</v>
      </c>
      <c r="H305" s="1" t="s">
        <v>82</v>
      </c>
      <c r="I305" s="2" cm="1">
        <f t="array" ref="I30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5" s="2" cm="1">
        <f t="array" ref="J30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5" s="2">
        <f>Games[[#This Row],[DaysOff]]-Games[[#This Row],[OppDaysOff]]</f>
        <v>0</v>
      </c>
      <c r="L305" s="2">
        <f>Games[[#This Row],[OppDaysOff]]-Games[[#This Row],[DaysOff]]</f>
        <v>0</v>
      </c>
      <c r="M305" s="1">
        <f>MAX(-16, MIN(16, Games[[#This Row],[RestDiff]]*8))</f>
        <v>0</v>
      </c>
      <c r="N305" s="1">
        <f>MAX(-16, MIN(16, Games[[#This Row],[OppRestDiff]]*8))</f>
        <v>0</v>
      </c>
      <c r="O305" s="4" cm="1">
        <f t="array" ref="O3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1650.5227748072277</v>
      </c>
      <c r="P305" s="4" cm="1">
        <f t="array" ref="P3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1422.5618685352213</v>
      </c>
      <c r="Q305" s="4">
        <f>1/(1+10^(((Games[[#This Row],[OppPreGmRate]]+IF(Games[[#This Row],[HomeAway]]="A",HCA,0)+Games[[#This Row],[OppRestAdj]])-(Games[[#This Row],[PreGmRate]]+IF(Games[[#This Row],[HomeAway]]="H",HCA,0)+Games[[#This Row],[RestAdj]]))/400))</f>
        <v>0.8576358439517211</v>
      </c>
      <c r="R305" s="1">
        <v>76</v>
      </c>
      <c r="S305" s="1">
        <v>61</v>
      </c>
      <c r="T305" s="1">
        <v>0</v>
      </c>
      <c r="U305" s="1">
        <f>Games[[#This Row],[PointsFor]]-Games[[#This Row],[PointsAgainst]]</f>
        <v>15</v>
      </c>
      <c r="V305" s="1">
        <f>IF(Games[[#This Row],[MOV]]&gt;0,1,IF(Games[[#This Row],[MOV]]=0,0.5,0))</f>
        <v>1</v>
      </c>
      <c r="W305" s="4">
        <f>((ABS(Games[[#This Row],[MOV]])+5)^0.6)/(12+0.01*(ABS(Games[[#This Row],[PreGmRate]]-Games[[#This Row],[OppPreGmRate]])))*IF(Games[[#This Row],[OT]]=1,0.9,1)</f>
        <v>0.42257293669885221</v>
      </c>
      <c r="X305" s="7" cm="1">
        <f t="array" ref="X3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5" s="9">
        <f>MAX(kmin, kmax - 0.15 * MIN(Games[[#This Row],[GamesPlayed]], 82))</f>
        <v>71.95</v>
      </c>
      <c r="Z305" s="4">
        <f>Games[[#This Row],[K]]*Games[[#This Row],[POMult]]</f>
        <v>71.95</v>
      </c>
      <c r="AA305" s="4">
        <f>(Games[[#This Row],[Keff]]*Games[[#This Row],[MOVMult]])*(Games[[#This Row],[Result]]-Games[[#This Row],[ExpectedWin%]])</f>
        <v>4.3284572821670926</v>
      </c>
      <c r="AB305" s="4">
        <f>Games[[#This Row],[PreGmRate]]+Games[[#This Row],[RatingChange]]</f>
        <v>1654.8512320893949</v>
      </c>
      <c r="AC305" s="2">
        <f>IF(Games[[#This Row],[Type]]="R",IF(Games[[#This Row],[Result]]&gt;0.5,1,0),0)</f>
        <v>1</v>
      </c>
      <c r="AD305" s="2">
        <f>IF(Games[[#This Row],[Type]]="R",IF(Games[[#This Row],[Result]]&lt;0.5,1,0),0)</f>
        <v>0</v>
      </c>
      <c r="AE305" s="2">
        <f>IF(AND(Games[[#This Row],[Type]]="P",Games[[#This Row],[Round]]=1),IF(Games[[#This Row],[Result]]&gt;0.5,1,0),0)</f>
        <v>0</v>
      </c>
      <c r="AF305" s="2">
        <f>IF(AND(Games[[#This Row],[Type]]="P",Games[[#This Row],[Round]]=1),IF(Games[[#This Row],[Result]]&lt;0.5,1,0),0)</f>
        <v>0</v>
      </c>
      <c r="AG305" s="2">
        <f>IF(AND(Games[[#This Row],[Type]]="P",Games[[#This Row],[Round]]=2),IF(Games[[#This Row],[Result]]&gt;0.5,1,0),0)</f>
        <v>0</v>
      </c>
      <c r="AH305" s="2">
        <f>IF(AND(Games[[#This Row],[Type]]="P",Games[[#This Row],[Round]]=2),IF(Games[[#This Row],[Result]]&lt;0.5,1,0),0)</f>
        <v>0</v>
      </c>
      <c r="AI305" s="2">
        <f>IF(AND(Games[[#This Row],[Type]]="P",Games[[#This Row],[Round]]=3),IF(Games[[#This Row],[Result]]&gt;0.5,1,0),0)</f>
        <v>0</v>
      </c>
      <c r="AJ305" s="2">
        <f>IF(AND(Games[[#This Row],[Type]]="P",Games[[#This Row],[Round]]=3),IF(Games[[#This Row],[Result]]&lt;0.5,1,0),0)</f>
        <v>0</v>
      </c>
      <c r="AK305" s="2">
        <f>IF(AND(Games[[#This Row],[Type]]="P",Games[[#This Row],[Round]]=4),IF(Games[[#This Row],[Result]]&gt;0.5,1,0),0)</f>
        <v>0</v>
      </c>
      <c r="AL305" s="2">
        <f>IF(AND(Games[[#This Row],[Type]]="P",Games[[#This Row],[Round]]=4),IF(Games[[#This Row],[Result]]&lt;0.5,1,0),0)</f>
        <v>0</v>
      </c>
    </row>
    <row r="306" spans="1:38" x14ac:dyDescent="0.35">
      <c r="A306" s="10">
        <v>44436</v>
      </c>
      <c r="B306" s="2">
        <v>2021</v>
      </c>
      <c r="C306" s="2">
        <f>COUNTIFS(Games[Team],Games[[#This Row],[Team]],Games[Season],Games[[#This Row],[Season]],Games[Date],"&lt;=" &amp; Games[[#This Row],[Date]])</f>
        <v>26</v>
      </c>
      <c r="D306" s="2" t="s">
        <v>79</v>
      </c>
      <c r="E306" s="2" t="s">
        <v>80</v>
      </c>
      <c r="F306" s="1" t="s">
        <v>85</v>
      </c>
      <c r="G306" s="1" t="s">
        <v>69</v>
      </c>
      <c r="H306" s="1" t="s">
        <v>81</v>
      </c>
      <c r="I306" s="2" cm="1">
        <f t="array" ref="I30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6" s="2" cm="1">
        <f t="array" ref="J306">IFERROR(
    Games[[#This Row],[Date]]
    - LOOKUP(
        2,
        1/((Games[Opponent]=Games[[#This Row],[Opponent]]) * (Games[Date] &lt; Games[[#This Row],[Date]])),
        Games[Date]
    )
    - 1,
Games[[#This Row],[Date]]-$A$2)</f>
        <v>7</v>
      </c>
      <c r="K306" s="2">
        <f>Games[[#This Row],[DaysOff]]-Games[[#This Row],[OppDaysOff]]</f>
        <v>-6</v>
      </c>
      <c r="L306" s="2">
        <f>Games[[#This Row],[OppDaysOff]]-Games[[#This Row],[DaysOff]]</f>
        <v>6</v>
      </c>
      <c r="M306" s="1">
        <f>MAX(-16, MIN(16, Games[[#This Row],[RestDiff]]*8))</f>
        <v>-16</v>
      </c>
      <c r="N306" s="1">
        <f>MAX(-16, MIN(16, Games[[#This Row],[OppRestDiff]]*8))</f>
        <v>16</v>
      </c>
      <c r="O306" s="4" cm="1">
        <f t="array" ref="O3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1632.5104306542451</v>
      </c>
      <c r="P306" s="4" cm="1">
        <f t="array" ref="P3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1350.1220259308532</v>
      </c>
      <c r="Q306" s="4">
        <f>1/(1+10^(((Games[[#This Row],[OppPreGmRate]]+IF(Games[[#This Row],[HomeAway]]="A",HCA,0)+Games[[#This Row],[OppRestAdj]])-(Games[[#This Row],[PreGmRate]]+IF(Games[[#This Row],[HomeAway]]="H",HCA,0)+Games[[#This Row],[RestAdj]]))/400))</f>
        <v>0.7226828460800987</v>
      </c>
      <c r="R306" s="1">
        <v>87</v>
      </c>
      <c r="S306" s="1">
        <v>71</v>
      </c>
      <c r="T306" s="1">
        <v>0</v>
      </c>
      <c r="U306" s="1">
        <f>Games[[#This Row],[PointsFor]]-Games[[#This Row],[PointsAgainst]]</f>
        <v>16</v>
      </c>
      <c r="V306" s="1">
        <f>IF(Games[[#This Row],[MOV]]&gt;0,1,IF(Games[[#This Row],[MOV]]=0,0.5,0))</f>
        <v>1</v>
      </c>
      <c r="W306" s="4">
        <f>((ABS(Games[[#This Row],[MOV]])+5)^0.6)/(12+0.01*(ABS(Games[[#This Row],[PreGmRate]]-Games[[#This Row],[OppPreGmRate]])))*IF(Games[[#This Row],[OT]]=1,0.9,1)</f>
        <v>0.41915009369761941</v>
      </c>
      <c r="X306" s="7" cm="1">
        <f t="array" ref="X3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6" s="9">
        <f>MAX(kmin, kmax - 0.15 * MIN(Games[[#This Row],[GamesPlayed]], 82))</f>
        <v>72.099999999999994</v>
      </c>
      <c r="Z306" s="4">
        <f>Games[[#This Row],[K]]*Games[[#This Row],[POMult]]</f>
        <v>72.099999999999994</v>
      </c>
      <c r="AA306" s="4">
        <f>(Games[[#This Row],[Keff]]*Games[[#This Row],[MOVMult]])*(Games[[#This Row],[Result]]-Games[[#This Row],[ExpectedWin%]])</f>
        <v>8.3807245466677802</v>
      </c>
      <c r="AB306" s="4">
        <f>Games[[#This Row],[PreGmRate]]+Games[[#This Row],[RatingChange]]</f>
        <v>1640.8911552009129</v>
      </c>
      <c r="AC306" s="2">
        <f>IF(Games[[#This Row],[Type]]="R",IF(Games[[#This Row],[Result]]&gt;0.5,1,0),0)</f>
        <v>1</v>
      </c>
      <c r="AD306" s="2">
        <f>IF(Games[[#This Row],[Type]]="R",IF(Games[[#This Row],[Result]]&lt;0.5,1,0),0)</f>
        <v>0</v>
      </c>
      <c r="AE306" s="2">
        <f>IF(AND(Games[[#This Row],[Type]]="P",Games[[#This Row],[Round]]=1),IF(Games[[#This Row],[Result]]&gt;0.5,1,0),0)</f>
        <v>0</v>
      </c>
      <c r="AF306" s="2">
        <f>IF(AND(Games[[#This Row],[Type]]="P",Games[[#This Row],[Round]]=1),IF(Games[[#This Row],[Result]]&lt;0.5,1,0),0)</f>
        <v>0</v>
      </c>
      <c r="AG306" s="2">
        <f>IF(AND(Games[[#This Row],[Type]]="P",Games[[#This Row],[Round]]=2),IF(Games[[#This Row],[Result]]&gt;0.5,1,0),0)</f>
        <v>0</v>
      </c>
      <c r="AH306" s="2">
        <f>IF(AND(Games[[#This Row],[Type]]="P",Games[[#This Row],[Round]]=2),IF(Games[[#This Row],[Result]]&lt;0.5,1,0),0)</f>
        <v>0</v>
      </c>
      <c r="AI306" s="2">
        <f>IF(AND(Games[[#This Row],[Type]]="P",Games[[#This Row],[Round]]=3),IF(Games[[#This Row],[Result]]&gt;0.5,1,0),0)</f>
        <v>0</v>
      </c>
      <c r="AJ306" s="2">
        <f>IF(AND(Games[[#This Row],[Type]]="P",Games[[#This Row],[Round]]=3),IF(Games[[#This Row],[Result]]&lt;0.5,1,0),0)</f>
        <v>0</v>
      </c>
      <c r="AK306" s="2">
        <f>IF(AND(Games[[#This Row],[Type]]="P",Games[[#This Row],[Round]]=4),IF(Games[[#This Row],[Result]]&gt;0.5,1,0),0)</f>
        <v>0</v>
      </c>
      <c r="AL306" s="2">
        <f>IF(AND(Games[[#This Row],[Type]]="P",Games[[#This Row],[Round]]=4),IF(Games[[#This Row],[Result]]&lt;0.5,1,0),0)</f>
        <v>0</v>
      </c>
    </row>
    <row r="307" spans="1:38" x14ac:dyDescent="0.35">
      <c r="A307" s="10">
        <v>44436</v>
      </c>
      <c r="B307" s="2">
        <v>2021</v>
      </c>
      <c r="C307" s="2">
        <f>COUNTIFS(Games[Team],Games[[#This Row],[Team]],Games[Season],Games[[#This Row],[Season]],Games[Date],"&lt;=" &amp; Games[[#This Row],[Date]])</f>
        <v>24</v>
      </c>
      <c r="D307" s="2" t="s">
        <v>79</v>
      </c>
      <c r="E307" s="2" t="s">
        <v>80</v>
      </c>
      <c r="F307" s="1" t="s">
        <v>69</v>
      </c>
      <c r="G307" s="1" t="s">
        <v>85</v>
      </c>
      <c r="H307" s="1" t="s">
        <v>82</v>
      </c>
      <c r="I307" s="2" cm="1">
        <f t="array" ref="I307">IFERROR(
    Games[[#This Row],[Date]]
    - LOOKUP(
        2,
        1/((Games[Team]=Games[[#This Row],[Team]]) * (Games[Date] &lt; Games[[#This Row],[Date]])),
        Games[Date]
    )
    - 1,
Games[[#This Row],[Date]]-$A$2)</f>
        <v>7</v>
      </c>
      <c r="J307" s="2" cm="1">
        <f t="array" ref="J30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7" s="2">
        <f>Games[[#This Row],[DaysOff]]-Games[[#This Row],[OppDaysOff]]</f>
        <v>6</v>
      </c>
      <c r="L307" s="2">
        <f>Games[[#This Row],[OppDaysOff]]-Games[[#This Row],[DaysOff]]</f>
        <v>-6</v>
      </c>
      <c r="M307" s="1">
        <f>MAX(-16, MIN(16, Games[[#This Row],[RestDiff]]*8))</f>
        <v>16</v>
      </c>
      <c r="N307" s="1">
        <f>MAX(-16, MIN(16, Games[[#This Row],[OppRestDiff]]*8))</f>
        <v>-16</v>
      </c>
      <c r="O307" s="4" cm="1">
        <f t="array" ref="O3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1350.1220259308532</v>
      </c>
      <c r="P307" s="4" cm="1">
        <f t="array" ref="P3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1632.5104306542451</v>
      </c>
      <c r="Q307" s="4">
        <f>1/(1+10^(((Games[[#This Row],[OppPreGmRate]]+IF(Games[[#This Row],[HomeAway]]="A",HCA,0)+Games[[#This Row],[OppRestAdj]])-(Games[[#This Row],[PreGmRate]]+IF(Games[[#This Row],[HomeAway]]="H",HCA,0)+Games[[#This Row],[RestAdj]]))/400))</f>
        <v>0.27731715391990125</v>
      </c>
      <c r="R307" s="1">
        <v>71</v>
      </c>
      <c r="S307" s="1">
        <v>87</v>
      </c>
      <c r="T307" s="1">
        <v>0</v>
      </c>
      <c r="U307" s="1">
        <f>Games[[#This Row],[PointsFor]]-Games[[#This Row],[PointsAgainst]]</f>
        <v>-16</v>
      </c>
      <c r="V307" s="1">
        <f>IF(Games[[#This Row],[MOV]]&gt;0,1,IF(Games[[#This Row],[MOV]]=0,0.5,0))</f>
        <v>0</v>
      </c>
      <c r="W307" s="4">
        <f>((ABS(Games[[#This Row],[MOV]])+5)^0.6)/(12+0.01*(ABS(Games[[#This Row],[PreGmRate]]-Games[[#This Row],[OppPreGmRate]])))*IF(Games[[#This Row],[OT]]=1,0.9,1)</f>
        <v>0.41915009369761941</v>
      </c>
      <c r="X307" s="7" cm="1">
        <f t="array" ref="X3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7" s="9">
        <f>MAX(kmin, kmax - 0.15 * MIN(Games[[#This Row],[GamesPlayed]], 82))</f>
        <v>72.400000000000006</v>
      </c>
      <c r="Z307" s="4">
        <f>Games[[#This Row],[K]]*Games[[#This Row],[POMult]]</f>
        <v>72.400000000000006</v>
      </c>
      <c r="AA307" s="4">
        <f>(Games[[#This Row],[Keff]]*Games[[#This Row],[MOVMult]])*(Games[[#This Row],[Result]]-Games[[#This Row],[ExpectedWin%]])</f>
        <v>-8.4155957999826239</v>
      </c>
      <c r="AB307" s="4">
        <f>Games[[#This Row],[PreGmRate]]+Games[[#This Row],[RatingChange]]</f>
        <v>1341.7064301308706</v>
      </c>
      <c r="AC307" s="2">
        <f>IF(Games[[#This Row],[Type]]="R",IF(Games[[#This Row],[Result]]&gt;0.5,1,0),0)</f>
        <v>0</v>
      </c>
      <c r="AD307" s="2">
        <f>IF(Games[[#This Row],[Type]]="R",IF(Games[[#This Row],[Result]]&lt;0.5,1,0),0)</f>
        <v>1</v>
      </c>
      <c r="AE307" s="2">
        <f>IF(AND(Games[[#This Row],[Type]]="P",Games[[#This Row],[Round]]=1),IF(Games[[#This Row],[Result]]&gt;0.5,1,0),0)</f>
        <v>0</v>
      </c>
      <c r="AF307" s="2">
        <f>IF(AND(Games[[#This Row],[Type]]="P",Games[[#This Row],[Round]]=1),IF(Games[[#This Row],[Result]]&lt;0.5,1,0),0)</f>
        <v>0</v>
      </c>
      <c r="AG307" s="2">
        <f>IF(AND(Games[[#This Row],[Type]]="P",Games[[#This Row],[Round]]=2),IF(Games[[#This Row],[Result]]&gt;0.5,1,0),0)</f>
        <v>0</v>
      </c>
      <c r="AH307" s="2">
        <f>IF(AND(Games[[#This Row],[Type]]="P",Games[[#This Row],[Round]]=2),IF(Games[[#This Row],[Result]]&lt;0.5,1,0),0)</f>
        <v>0</v>
      </c>
      <c r="AI307" s="2">
        <f>IF(AND(Games[[#This Row],[Type]]="P",Games[[#This Row],[Round]]=3),IF(Games[[#This Row],[Result]]&gt;0.5,1,0),0)</f>
        <v>0</v>
      </c>
      <c r="AJ307" s="2">
        <f>IF(AND(Games[[#This Row],[Type]]="P",Games[[#This Row],[Round]]=3),IF(Games[[#This Row],[Result]]&lt;0.5,1,0),0)</f>
        <v>0</v>
      </c>
      <c r="AK307" s="2">
        <f>IF(AND(Games[[#This Row],[Type]]="P",Games[[#This Row],[Round]]=4),IF(Games[[#This Row],[Result]]&gt;0.5,1,0),0)</f>
        <v>0</v>
      </c>
      <c r="AL307" s="2">
        <f>IF(AND(Games[[#This Row],[Type]]="P",Games[[#This Row],[Round]]=4),IF(Games[[#This Row],[Result]]&lt;0.5,1,0),0)</f>
        <v>0</v>
      </c>
    </row>
    <row r="308" spans="1:38" x14ac:dyDescent="0.35">
      <c r="A308" s="10">
        <v>44436</v>
      </c>
      <c r="B308" s="2">
        <v>2021</v>
      </c>
      <c r="C308" s="2">
        <f>COUNTIFS(Games[Team],Games[[#This Row],[Team]],Games[Season],Games[[#This Row],[Season]],Games[Date],"&lt;=" &amp; Games[[#This Row],[Date]])</f>
        <v>26</v>
      </c>
      <c r="D308" s="2" t="s">
        <v>79</v>
      </c>
      <c r="E308" s="2" t="s">
        <v>80</v>
      </c>
      <c r="F308" s="1" t="s">
        <v>84</v>
      </c>
      <c r="G308" s="1" t="s">
        <v>65</v>
      </c>
      <c r="H308" s="1" t="s">
        <v>81</v>
      </c>
      <c r="I308" s="2" cm="1">
        <f t="array" ref="I30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8" s="2" cm="1">
        <f t="array" ref="J30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8" s="2">
        <f>Games[[#This Row],[DaysOff]]-Games[[#This Row],[OppDaysOff]]</f>
        <v>0</v>
      </c>
      <c r="L308" s="2">
        <f>Games[[#This Row],[OppDaysOff]]-Games[[#This Row],[DaysOff]]</f>
        <v>0</v>
      </c>
      <c r="M308" s="1">
        <f>MAX(-16, MIN(16, Games[[#This Row],[RestDiff]]*8))</f>
        <v>0</v>
      </c>
      <c r="N308" s="1">
        <f>MAX(-16, MIN(16, Games[[#This Row],[OppRestDiff]]*8))</f>
        <v>0</v>
      </c>
      <c r="O308" s="4" cm="1">
        <f t="array" ref="O3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1473.8330413635563</v>
      </c>
      <c r="P308" s="4" cm="1">
        <f t="array" ref="P3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1433.8504624126404</v>
      </c>
      <c r="Q308" s="4">
        <f>1/(1+10^(((Games[[#This Row],[OppPreGmRate]]+IF(Games[[#This Row],[HomeAway]]="A",HCA,0)+Games[[#This Row],[OppRestAdj]])-(Games[[#This Row],[PreGmRate]]+IF(Games[[#This Row],[HomeAway]]="H",HCA,0)+Games[[#This Row],[RestAdj]]))/400))</f>
        <v>0.43699059898005277</v>
      </c>
      <c r="R308" s="1">
        <v>75</v>
      </c>
      <c r="S308" s="1">
        <v>76</v>
      </c>
      <c r="T308" s="1">
        <v>0</v>
      </c>
      <c r="U308" s="1">
        <f>Games[[#This Row],[PointsFor]]-Games[[#This Row],[PointsAgainst]]</f>
        <v>-1</v>
      </c>
      <c r="V308" s="1">
        <f>IF(Games[[#This Row],[MOV]]&gt;0,1,IF(Games[[#This Row],[MOV]]=0,0.5,0))</f>
        <v>0</v>
      </c>
      <c r="W308" s="4">
        <f>((ABS(Games[[#This Row],[MOV]])+5)^0.6)/(12+0.01*(ABS(Games[[#This Row],[PreGmRate]]-Games[[#This Row],[OppPreGmRate]])))*IF(Games[[#This Row],[OT]]=1,0.9,1)</f>
        <v>0.23630622730704592</v>
      </c>
      <c r="X308" s="7" cm="1">
        <f t="array" ref="X3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8" s="9">
        <f>MAX(kmin, kmax - 0.15 * MIN(Games[[#This Row],[GamesPlayed]], 82))</f>
        <v>72.099999999999994</v>
      </c>
      <c r="Z308" s="4">
        <f>Games[[#This Row],[K]]*Games[[#This Row],[POMult]]</f>
        <v>72.099999999999994</v>
      </c>
      <c r="AA308" s="4">
        <f>(Games[[#This Row],[Keff]]*Games[[#This Row],[MOVMult]])*(Games[[#This Row],[Result]]-Games[[#This Row],[ExpectedWin%]])</f>
        <v>-7.4453055465621816</v>
      </c>
      <c r="AB308" s="4">
        <f>Games[[#This Row],[PreGmRate]]+Games[[#This Row],[RatingChange]]</f>
        <v>1466.3877358169941</v>
      </c>
      <c r="AC308" s="2">
        <f>IF(Games[[#This Row],[Type]]="R",IF(Games[[#This Row],[Result]]&gt;0.5,1,0),0)</f>
        <v>0</v>
      </c>
      <c r="AD308" s="2">
        <f>IF(Games[[#This Row],[Type]]="R",IF(Games[[#This Row],[Result]]&lt;0.5,1,0),0)</f>
        <v>1</v>
      </c>
      <c r="AE308" s="2">
        <f>IF(AND(Games[[#This Row],[Type]]="P",Games[[#This Row],[Round]]=1),IF(Games[[#This Row],[Result]]&gt;0.5,1,0),0)</f>
        <v>0</v>
      </c>
      <c r="AF308" s="2">
        <f>IF(AND(Games[[#This Row],[Type]]="P",Games[[#This Row],[Round]]=1),IF(Games[[#This Row],[Result]]&lt;0.5,1,0),0)</f>
        <v>0</v>
      </c>
      <c r="AG308" s="2">
        <f>IF(AND(Games[[#This Row],[Type]]="P",Games[[#This Row],[Round]]=2),IF(Games[[#This Row],[Result]]&gt;0.5,1,0),0)</f>
        <v>0</v>
      </c>
      <c r="AH308" s="2">
        <f>IF(AND(Games[[#This Row],[Type]]="P",Games[[#This Row],[Round]]=2),IF(Games[[#This Row],[Result]]&lt;0.5,1,0),0)</f>
        <v>0</v>
      </c>
      <c r="AI308" s="2">
        <f>IF(AND(Games[[#This Row],[Type]]="P",Games[[#This Row],[Round]]=3),IF(Games[[#This Row],[Result]]&gt;0.5,1,0),0)</f>
        <v>0</v>
      </c>
      <c r="AJ308" s="2">
        <f>IF(AND(Games[[#This Row],[Type]]="P",Games[[#This Row],[Round]]=3),IF(Games[[#This Row],[Result]]&lt;0.5,1,0),0)</f>
        <v>0</v>
      </c>
      <c r="AK308" s="2">
        <f>IF(AND(Games[[#This Row],[Type]]="P",Games[[#This Row],[Round]]=4),IF(Games[[#This Row],[Result]]&gt;0.5,1,0),0)</f>
        <v>0</v>
      </c>
      <c r="AL308" s="2">
        <f>IF(AND(Games[[#This Row],[Type]]="P",Games[[#This Row],[Round]]=4),IF(Games[[#This Row],[Result]]&lt;0.5,1,0),0)</f>
        <v>0</v>
      </c>
    </row>
    <row r="309" spans="1:38" x14ac:dyDescent="0.35">
      <c r="A309" s="10">
        <v>44436</v>
      </c>
      <c r="B309" s="2">
        <v>2021</v>
      </c>
      <c r="C309" s="2">
        <f>COUNTIFS(Games[Team],Games[[#This Row],[Team]],Games[Season],Games[[#This Row],[Season]],Games[Date],"&lt;=" &amp; Games[[#This Row],[Date]])</f>
        <v>25</v>
      </c>
      <c r="D309" s="2" t="s">
        <v>79</v>
      </c>
      <c r="E309" s="2" t="s">
        <v>80</v>
      </c>
      <c r="F309" s="1" t="s">
        <v>65</v>
      </c>
      <c r="G309" s="1" t="s">
        <v>84</v>
      </c>
      <c r="H309" s="1" t="s">
        <v>82</v>
      </c>
      <c r="I309" s="2" cm="1">
        <f t="array" ref="I30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09" s="2" cm="1">
        <f t="array" ref="J30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09" s="2">
        <f>Games[[#This Row],[DaysOff]]-Games[[#This Row],[OppDaysOff]]</f>
        <v>0</v>
      </c>
      <c r="L309" s="2">
        <f>Games[[#This Row],[OppDaysOff]]-Games[[#This Row],[DaysOff]]</f>
        <v>0</v>
      </c>
      <c r="M309" s="1">
        <f>MAX(-16, MIN(16, Games[[#This Row],[RestDiff]]*8))</f>
        <v>0</v>
      </c>
      <c r="N309" s="1">
        <f>MAX(-16, MIN(16, Games[[#This Row],[OppRestDiff]]*8))</f>
        <v>0</v>
      </c>
      <c r="O309" s="4" cm="1">
        <f t="array" ref="O3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1433.8504624126404</v>
      </c>
      <c r="P309" s="4" cm="1">
        <f t="array" ref="P3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1473.8330413635563</v>
      </c>
      <c r="Q309" s="4">
        <f>1/(1+10^(((Games[[#This Row],[OppPreGmRate]]+IF(Games[[#This Row],[HomeAway]]="A",HCA,0)+Games[[#This Row],[OppRestAdj]])-(Games[[#This Row],[PreGmRate]]+IF(Games[[#This Row],[HomeAway]]="H",HCA,0)+Games[[#This Row],[RestAdj]]))/400))</f>
        <v>0.56300940101994723</v>
      </c>
      <c r="R309" s="1">
        <v>76</v>
      </c>
      <c r="S309" s="1">
        <v>75</v>
      </c>
      <c r="T309" s="1">
        <v>0</v>
      </c>
      <c r="U309" s="1">
        <f>Games[[#This Row],[PointsFor]]-Games[[#This Row],[PointsAgainst]]</f>
        <v>1</v>
      </c>
      <c r="V309" s="1">
        <f>IF(Games[[#This Row],[MOV]]&gt;0,1,IF(Games[[#This Row],[MOV]]=0,0.5,0))</f>
        <v>1</v>
      </c>
      <c r="W309" s="4">
        <f>((ABS(Games[[#This Row],[MOV]])+5)^0.6)/(12+0.01*(ABS(Games[[#This Row],[PreGmRate]]-Games[[#This Row],[OppPreGmRate]])))*IF(Games[[#This Row],[OT]]=1,0.9,1)</f>
        <v>0.23630622730704592</v>
      </c>
      <c r="X309" s="7" cm="1">
        <f t="array" ref="X3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09" s="9">
        <f>MAX(kmin, kmax - 0.15 * MIN(Games[[#This Row],[GamesPlayed]], 82))</f>
        <v>72.25</v>
      </c>
      <c r="Z309" s="4">
        <f>Games[[#This Row],[K]]*Games[[#This Row],[POMult]]</f>
        <v>72.25</v>
      </c>
      <c r="AA309" s="4">
        <f>(Games[[#This Row],[Keff]]*Games[[#This Row],[MOVMult]])*(Games[[#This Row],[Result]]-Games[[#This Row],[ExpectedWin%]])</f>
        <v>7.4607950865342252</v>
      </c>
      <c r="AB309" s="4">
        <f>Games[[#This Row],[PreGmRate]]+Games[[#This Row],[RatingChange]]</f>
        <v>1441.3112574991746</v>
      </c>
      <c r="AC309" s="2">
        <f>IF(Games[[#This Row],[Type]]="R",IF(Games[[#This Row],[Result]]&gt;0.5,1,0),0)</f>
        <v>1</v>
      </c>
      <c r="AD309" s="2">
        <f>IF(Games[[#This Row],[Type]]="R",IF(Games[[#This Row],[Result]]&lt;0.5,1,0),0)</f>
        <v>0</v>
      </c>
      <c r="AE309" s="2">
        <f>IF(AND(Games[[#This Row],[Type]]="P",Games[[#This Row],[Round]]=1),IF(Games[[#This Row],[Result]]&gt;0.5,1,0),0)</f>
        <v>0</v>
      </c>
      <c r="AF309" s="2">
        <f>IF(AND(Games[[#This Row],[Type]]="P",Games[[#This Row],[Round]]=1),IF(Games[[#This Row],[Result]]&lt;0.5,1,0),0)</f>
        <v>0</v>
      </c>
      <c r="AG309" s="2">
        <f>IF(AND(Games[[#This Row],[Type]]="P",Games[[#This Row],[Round]]=2),IF(Games[[#This Row],[Result]]&gt;0.5,1,0),0)</f>
        <v>0</v>
      </c>
      <c r="AH309" s="2">
        <f>IF(AND(Games[[#This Row],[Type]]="P",Games[[#This Row],[Round]]=2),IF(Games[[#This Row],[Result]]&lt;0.5,1,0),0)</f>
        <v>0</v>
      </c>
      <c r="AI309" s="2">
        <f>IF(AND(Games[[#This Row],[Type]]="P",Games[[#This Row],[Round]]=3),IF(Games[[#This Row],[Result]]&gt;0.5,1,0),0)</f>
        <v>0</v>
      </c>
      <c r="AJ309" s="2">
        <f>IF(AND(Games[[#This Row],[Type]]="P",Games[[#This Row],[Round]]=3),IF(Games[[#This Row],[Result]]&lt;0.5,1,0),0)</f>
        <v>0</v>
      </c>
      <c r="AK309" s="2">
        <f>IF(AND(Games[[#This Row],[Type]]="P",Games[[#This Row],[Round]]=4),IF(Games[[#This Row],[Result]]&gt;0.5,1,0),0)</f>
        <v>0</v>
      </c>
      <c r="AL309" s="2">
        <f>IF(AND(Games[[#This Row],[Type]]="P",Games[[#This Row],[Round]]=4),IF(Games[[#This Row],[Result]]&lt;0.5,1,0),0)</f>
        <v>0</v>
      </c>
    </row>
    <row r="310" spans="1:38" x14ac:dyDescent="0.35">
      <c r="A310" s="10">
        <v>44437</v>
      </c>
      <c r="B310" s="2">
        <v>2021</v>
      </c>
      <c r="C310" s="2">
        <f>COUNTIFS(Games[Team],Games[[#This Row],[Team]],Games[Season],Games[[#This Row],[Season]],Games[Date],"&lt;=" &amp; Games[[#This Row],[Date]])</f>
        <v>26</v>
      </c>
      <c r="D310" s="2" t="s">
        <v>79</v>
      </c>
      <c r="E310" s="2" t="s">
        <v>80</v>
      </c>
      <c r="F310" s="1" t="s">
        <v>75</v>
      </c>
      <c r="G310" s="1" t="s">
        <v>71</v>
      </c>
      <c r="H310" s="1" t="s">
        <v>81</v>
      </c>
      <c r="I310" s="2" cm="1">
        <f t="array" ref="I31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0" s="2" cm="1">
        <f t="array" ref="J31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0" s="2">
        <f>Games[[#This Row],[DaysOff]]-Games[[#This Row],[OppDaysOff]]</f>
        <v>0</v>
      </c>
      <c r="L310" s="2">
        <f>Games[[#This Row],[OppDaysOff]]-Games[[#This Row],[DaysOff]]</f>
        <v>0</v>
      </c>
      <c r="M310" s="1">
        <f>MAX(-16, MIN(16, Games[[#This Row],[RestDiff]]*8))</f>
        <v>0</v>
      </c>
      <c r="N310" s="1">
        <f>MAX(-16, MIN(16, Games[[#This Row],[OppRestDiff]]*8))</f>
        <v>0</v>
      </c>
      <c r="O310" s="4" cm="1">
        <f t="array" ref="O3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1536.3285727349503</v>
      </c>
      <c r="P310" s="4" cm="1">
        <f t="array" ref="P3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1655.7129200553525</v>
      </c>
      <c r="Q310" s="4">
        <f>1/(1+10^(((Games[[#This Row],[OppPreGmRate]]+IF(Games[[#This Row],[HomeAway]]="A",HCA,0)+Games[[#This Row],[OppRestAdj]])-(Games[[#This Row],[PreGmRate]]+IF(Games[[#This Row],[HomeAway]]="H",HCA,0)+Games[[#This Row],[RestAdj]]))/400))</f>
        <v>0.23671503351800094</v>
      </c>
      <c r="R310" s="1">
        <v>107</v>
      </c>
      <c r="S310" s="1">
        <v>75</v>
      </c>
      <c r="T310" s="1">
        <v>0</v>
      </c>
      <c r="U310" s="1">
        <f>Games[[#This Row],[PointsFor]]-Games[[#This Row],[PointsAgainst]]</f>
        <v>32</v>
      </c>
      <c r="V310" s="1">
        <f>IF(Games[[#This Row],[MOV]]&gt;0,1,IF(Games[[#This Row],[MOV]]=0,0.5,0))</f>
        <v>1</v>
      </c>
      <c r="W310" s="4">
        <f>((ABS(Games[[#This Row],[MOV]])+5)^0.6)/(12+0.01*(ABS(Games[[#This Row],[PreGmRate]]-Games[[#This Row],[OppPreGmRate]])))*IF(Games[[#This Row],[OT]]=1,0.9,1)</f>
        <v>0.66153024828606455</v>
      </c>
      <c r="X310" s="7" cm="1">
        <f t="array" ref="X3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0" s="9">
        <f>MAX(kmin, kmax - 0.15 * MIN(Games[[#This Row],[GamesPlayed]], 82))</f>
        <v>72.099999999999994</v>
      </c>
      <c r="Z310" s="4">
        <f>Games[[#This Row],[K]]*Games[[#This Row],[POMult]]</f>
        <v>72.099999999999994</v>
      </c>
      <c r="AA310" s="4">
        <f>(Games[[#This Row],[Keff]]*Games[[#This Row],[MOVMult]])*(Games[[#This Row],[Result]]-Games[[#This Row],[ExpectedWin%]])</f>
        <v>36.405892333408708</v>
      </c>
      <c r="AB310" s="4">
        <f>Games[[#This Row],[PreGmRate]]+Games[[#This Row],[RatingChange]]</f>
        <v>1572.734465068359</v>
      </c>
      <c r="AC310" s="2">
        <f>IF(Games[[#This Row],[Type]]="R",IF(Games[[#This Row],[Result]]&gt;0.5,1,0),0)</f>
        <v>1</v>
      </c>
      <c r="AD310" s="2">
        <f>IF(Games[[#This Row],[Type]]="R",IF(Games[[#This Row],[Result]]&lt;0.5,1,0),0)</f>
        <v>0</v>
      </c>
      <c r="AE310" s="2">
        <f>IF(AND(Games[[#This Row],[Type]]="P",Games[[#This Row],[Round]]=1),IF(Games[[#This Row],[Result]]&gt;0.5,1,0),0)</f>
        <v>0</v>
      </c>
      <c r="AF310" s="2">
        <f>IF(AND(Games[[#This Row],[Type]]="P",Games[[#This Row],[Round]]=1),IF(Games[[#This Row],[Result]]&lt;0.5,1,0),0)</f>
        <v>0</v>
      </c>
      <c r="AG310" s="2">
        <f>IF(AND(Games[[#This Row],[Type]]="P",Games[[#This Row],[Round]]=2),IF(Games[[#This Row],[Result]]&gt;0.5,1,0),0)</f>
        <v>0</v>
      </c>
      <c r="AH310" s="2">
        <f>IF(AND(Games[[#This Row],[Type]]="P",Games[[#This Row],[Round]]=2),IF(Games[[#This Row],[Result]]&lt;0.5,1,0),0)</f>
        <v>0</v>
      </c>
      <c r="AI310" s="2">
        <f>IF(AND(Games[[#This Row],[Type]]="P",Games[[#This Row],[Round]]=3),IF(Games[[#This Row],[Result]]&gt;0.5,1,0),0)</f>
        <v>0</v>
      </c>
      <c r="AJ310" s="2">
        <f>IF(AND(Games[[#This Row],[Type]]="P",Games[[#This Row],[Round]]=3),IF(Games[[#This Row],[Result]]&lt;0.5,1,0),0)</f>
        <v>0</v>
      </c>
      <c r="AK310" s="2">
        <f>IF(AND(Games[[#This Row],[Type]]="P",Games[[#This Row],[Round]]=4),IF(Games[[#This Row],[Result]]&gt;0.5,1,0),0)</f>
        <v>0</v>
      </c>
      <c r="AL310" s="2">
        <f>IF(AND(Games[[#This Row],[Type]]="P",Games[[#This Row],[Round]]=4),IF(Games[[#This Row],[Result]]&lt;0.5,1,0),0)</f>
        <v>0</v>
      </c>
    </row>
    <row r="311" spans="1:38" x14ac:dyDescent="0.35">
      <c r="A311" s="10">
        <v>44437</v>
      </c>
      <c r="B311" s="2">
        <v>2021</v>
      </c>
      <c r="C311" s="2">
        <f>COUNTIFS(Games[Team],Games[[#This Row],[Team]],Games[Season],Games[[#This Row],[Season]],Games[Date],"&lt;=" &amp; Games[[#This Row],[Date]])</f>
        <v>29</v>
      </c>
      <c r="D311" s="2" t="s">
        <v>79</v>
      </c>
      <c r="E311" s="2" t="s">
        <v>80</v>
      </c>
      <c r="F311" s="1" t="s">
        <v>71</v>
      </c>
      <c r="G311" s="1" t="s">
        <v>75</v>
      </c>
      <c r="H311" s="1" t="s">
        <v>82</v>
      </c>
      <c r="I311" s="2" cm="1">
        <f t="array" ref="I31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1" s="2" cm="1">
        <f t="array" ref="J31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1" s="2">
        <f>Games[[#This Row],[DaysOff]]-Games[[#This Row],[OppDaysOff]]</f>
        <v>0</v>
      </c>
      <c r="L311" s="2">
        <f>Games[[#This Row],[OppDaysOff]]-Games[[#This Row],[DaysOff]]</f>
        <v>0</v>
      </c>
      <c r="M311" s="1">
        <f>MAX(-16, MIN(16, Games[[#This Row],[RestDiff]]*8))</f>
        <v>0</v>
      </c>
      <c r="N311" s="1">
        <f>MAX(-16, MIN(16, Games[[#This Row],[OppRestDiff]]*8))</f>
        <v>0</v>
      </c>
      <c r="O311" s="4" cm="1">
        <f t="array" ref="O3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1655.7129200553525</v>
      </c>
      <c r="P311" s="4" cm="1">
        <f t="array" ref="P3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1536.3285727349503</v>
      </c>
      <c r="Q311" s="4">
        <f>1/(1+10^(((Games[[#This Row],[OppPreGmRate]]+IF(Games[[#This Row],[HomeAway]]="A",HCA,0)+Games[[#This Row],[OppRestAdj]])-(Games[[#This Row],[PreGmRate]]+IF(Games[[#This Row],[HomeAway]]="H",HCA,0)+Games[[#This Row],[RestAdj]]))/400))</f>
        <v>0.76328496648199906</v>
      </c>
      <c r="R311" s="1">
        <v>75</v>
      </c>
      <c r="S311" s="1">
        <v>107</v>
      </c>
      <c r="T311" s="1">
        <v>0</v>
      </c>
      <c r="U311" s="1">
        <f>Games[[#This Row],[PointsFor]]-Games[[#This Row],[PointsAgainst]]</f>
        <v>-32</v>
      </c>
      <c r="V311" s="1">
        <f>IF(Games[[#This Row],[MOV]]&gt;0,1,IF(Games[[#This Row],[MOV]]=0,0.5,0))</f>
        <v>0</v>
      </c>
      <c r="W311" s="4">
        <f>((ABS(Games[[#This Row],[MOV]])+5)^0.6)/(12+0.01*(ABS(Games[[#This Row],[PreGmRate]]-Games[[#This Row],[OppPreGmRate]])))*IF(Games[[#This Row],[OT]]=1,0.9,1)</f>
        <v>0.66153024828606455</v>
      </c>
      <c r="X311" s="7" cm="1">
        <f t="array" ref="X3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1" s="9">
        <f>MAX(kmin, kmax - 0.15 * MIN(Games[[#This Row],[GamesPlayed]], 82))</f>
        <v>71.650000000000006</v>
      </c>
      <c r="Z311" s="4">
        <f>Games[[#This Row],[K]]*Games[[#This Row],[POMult]]</f>
        <v>71.650000000000006</v>
      </c>
      <c r="AA311" s="4">
        <f>(Games[[#This Row],[Keff]]*Games[[#This Row],[MOVMult]])*(Games[[#This Row],[Result]]-Games[[#This Row],[ExpectedWin%]])</f>
        <v>-36.178671091383272</v>
      </c>
      <c r="AB311" s="4">
        <f>Games[[#This Row],[PreGmRate]]+Games[[#This Row],[RatingChange]]</f>
        <v>1619.5342489639693</v>
      </c>
      <c r="AC311" s="2">
        <f>IF(Games[[#This Row],[Type]]="R",IF(Games[[#This Row],[Result]]&gt;0.5,1,0),0)</f>
        <v>0</v>
      </c>
      <c r="AD311" s="2">
        <f>IF(Games[[#This Row],[Type]]="R",IF(Games[[#This Row],[Result]]&lt;0.5,1,0),0)</f>
        <v>1</v>
      </c>
      <c r="AE311" s="2">
        <f>IF(AND(Games[[#This Row],[Type]]="P",Games[[#This Row],[Round]]=1),IF(Games[[#This Row],[Result]]&gt;0.5,1,0),0)</f>
        <v>0</v>
      </c>
      <c r="AF311" s="2">
        <f>IF(AND(Games[[#This Row],[Type]]="P",Games[[#This Row],[Round]]=1),IF(Games[[#This Row],[Result]]&lt;0.5,1,0),0)</f>
        <v>0</v>
      </c>
      <c r="AG311" s="2">
        <f>IF(AND(Games[[#This Row],[Type]]="P",Games[[#This Row],[Round]]=2),IF(Games[[#This Row],[Result]]&gt;0.5,1,0),0)</f>
        <v>0</v>
      </c>
      <c r="AH311" s="2">
        <f>IF(AND(Games[[#This Row],[Type]]="P",Games[[#This Row],[Round]]=2),IF(Games[[#This Row],[Result]]&lt;0.5,1,0),0)</f>
        <v>0</v>
      </c>
      <c r="AI311" s="2">
        <f>IF(AND(Games[[#This Row],[Type]]="P",Games[[#This Row],[Round]]=3),IF(Games[[#This Row],[Result]]&gt;0.5,1,0),0)</f>
        <v>0</v>
      </c>
      <c r="AJ311" s="2">
        <f>IF(AND(Games[[#This Row],[Type]]="P",Games[[#This Row],[Round]]=3),IF(Games[[#This Row],[Result]]&lt;0.5,1,0),0)</f>
        <v>0</v>
      </c>
      <c r="AK311" s="2">
        <f>IF(AND(Games[[#This Row],[Type]]="P",Games[[#This Row],[Round]]=4),IF(Games[[#This Row],[Result]]&gt;0.5,1,0),0)</f>
        <v>0</v>
      </c>
      <c r="AL311" s="2">
        <f>IF(AND(Games[[#This Row],[Type]]="P",Games[[#This Row],[Round]]=4),IF(Games[[#This Row],[Result]]&lt;0.5,1,0),0)</f>
        <v>0</v>
      </c>
    </row>
    <row r="312" spans="1:38" x14ac:dyDescent="0.35">
      <c r="A312" s="10">
        <v>44439</v>
      </c>
      <c r="B312" s="2">
        <v>2021</v>
      </c>
      <c r="C312" s="2">
        <f>COUNTIFS(Games[Team],Games[[#This Row],[Team]],Games[Season],Games[[#This Row],[Season]],Games[Date],"&lt;=" &amp; Games[[#This Row],[Date]])</f>
        <v>27</v>
      </c>
      <c r="D312" s="2" t="s">
        <v>79</v>
      </c>
      <c r="E312" s="2" t="s">
        <v>80</v>
      </c>
      <c r="F312" s="1" t="s">
        <v>63</v>
      </c>
      <c r="G312" s="1" t="s">
        <v>69</v>
      </c>
      <c r="H312" s="1" t="s">
        <v>81</v>
      </c>
      <c r="I312" s="2" cm="1">
        <f t="array" ref="I31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2" s="2" cm="1">
        <f t="array" ref="J31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2" s="2">
        <f>Games[[#This Row],[DaysOff]]-Games[[#This Row],[OppDaysOff]]</f>
        <v>0</v>
      </c>
      <c r="L312" s="2">
        <f>Games[[#This Row],[OppDaysOff]]-Games[[#This Row],[DaysOff]]</f>
        <v>0</v>
      </c>
      <c r="M312" s="1">
        <f>MAX(-16, MIN(16, Games[[#This Row],[RestDiff]]*8))</f>
        <v>0</v>
      </c>
      <c r="N312" s="1">
        <f>MAX(-16, MIN(16, Games[[#This Row],[OppRestDiff]]*8))</f>
        <v>0</v>
      </c>
      <c r="O312" s="4" cm="1">
        <f t="array" ref="O3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1418.2243873671289</v>
      </c>
      <c r="P312" s="4" cm="1">
        <f t="array" ref="P3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1341.7064301308706</v>
      </c>
      <c r="Q312" s="4">
        <f>1/(1+10^(((Games[[#This Row],[OppPreGmRate]]+IF(Games[[#This Row],[HomeAway]]="A",HCA,0)+Games[[#This Row],[OppRestAdj]])-(Games[[#This Row],[PreGmRate]]+IF(Games[[#This Row],[HomeAway]]="H",HCA,0)+Games[[#This Row],[RestAdj]]))/400))</f>
        <v>0.48923413911821767</v>
      </c>
      <c r="R312" s="1">
        <v>72</v>
      </c>
      <c r="S312" s="1">
        <v>74</v>
      </c>
      <c r="T312" s="1">
        <v>0</v>
      </c>
      <c r="U312" s="1">
        <f>Games[[#This Row],[PointsFor]]-Games[[#This Row],[PointsAgainst]]</f>
        <v>-2</v>
      </c>
      <c r="V312" s="1">
        <f>IF(Games[[#This Row],[MOV]]&gt;0,1,IF(Games[[#This Row],[MOV]]=0,0.5,0))</f>
        <v>0</v>
      </c>
      <c r="W312" s="4">
        <f>((ABS(Games[[#This Row],[MOV]])+5)^0.6)/(12+0.01*(ABS(Games[[#This Row],[PreGmRate]]-Games[[#This Row],[OppPreGmRate]])))*IF(Games[[#This Row],[OT]]=1,0.9,1)</f>
        <v>0.25178618377408163</v>
      </c>
      <c r="X312" s="7" cm="1">
        <f t="array" ref="X3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2" s="9">
        <f>MAX(kmin, kmax - 0.15 * MIN(Games[[#This Row],[GamesPlayed]], 82))</f>
        <v>71.95</v>
      </c>
      <c r="Z312" s="4">
        <f>Games[[#This Row],[K]]*Games[[#This Row],[POMult]]</f>
        <v>71.95</v>
      </c>
      <c r="AA312" s="4">
        <f>(Games[[#This Row],[Keff]]*Games[[#This Row],[MOVMult]])*(Games[[#This Row],[Result]]-Games[[#This Row],[ExpectedWin%]])</f>
        <v>-8.8629734541183112</v>
      </c>
      <c r="AB312" s="4">
        <f>Games[[#This Row],[PreGmRate]]+Games[[#This Row],[RatingChange]]</f>
        <v>1409.3614139130107</v>
      </c>
      <c r="AC312" s="2">
        <f>IF(Games[[#This Row],[Type]]="R",IF(Games[[#This Row],[Result]]&gt;0.5,1,0),0)</f>
        <v>0</v>
      </c>
      <c r="AD312" s="2">
        <f>IF(Games[[#This Row],[Type]]="R",IF(Games[[#This Row],[Result]]&lt;0.5,1,0),0)</f>
        <v>1</v>
      </c>
      <c r="AE312" s="2">
        <f>IF(AND(Games[[#This Row],[Type]]="P",Games[[#This Row],[Round]]=1),IF(Games[[#This Row],[Result]]&gt;0.5,1,0),0)</f>
        <v>0</v>
      </c>
      <c r="AF312" s="2">
        <f>IF(AND(Games[[#This Row],[Type]]="P",Games[[#This Row],[Round]]=1),IF(Games[[#This Row],[Result]]&lt;0.5,1,0),0)</f>
        <v>0</v>
      </c>
      <c r="AG312" s="2">
        <f>IF(AND(Games[[#This Row],[Type]]="P",Games[[#This Row],[Round]]=2),IF(Games[[#This Row],[Result]]&gt;0.5,1,0),0)</f>
        <v>0</v>
      </c>
      <c r="AH312" s="2">
        <f>IF(AND(Games[[#This Row],[Type]]="P",Games[[#This Row],[Round]]=2),IF(Games[[#This Row],[Result]]&lt;0.5,1,0),0)</f>
        <v>0</v>
      </c>
      <c r="AI312" s="2">
        <f>IF(AND(Games[[#This Row],[Type]]="P",Games[[#This Row],[Round]]=3),IF(Games[[#This Row],[Result]]&gt;0.5,1,0),0)</f>
        <v>0</v>
      </c>
      <c r="AJ312" s="2">
        <f>IF(AND(Games[[#This Row],[Type]]="P",Games[[#This Row],[Round]]=3),IF(Games[[#This Row],[Result]]&lt;0.5,1,0),0)</f>
        <v>0</v>
      </c>
      <c r="AK312" s="2">
        <f>IF(AND(Games[[#This Row],[Type]]="P",Games[[#This Row],[Round]]=4),IF(Games[[#This Row],[Result]]&gt;0.5,1,0),0)</f>
        <v>0</v>
      </c>
      <c r="AL312" s="2">
        <f>IF(AND(Games[[#This Row],[Type]]="P",Games[[#This Row],[Round]]=4),IF(Games[[#This Row],[Result]]&lt;0.5,1,0),0)</f>
        <v>0</v>
      </c>
    </row>
    <row r="313" spans="1:38" x14ac:dyDescent="0.35">
      <c r="A313" s="10">
        <v>44439</v>
      </c>
      <c r="B313" s="2">
        <v>2021</v>
      </c>
      <c r="C313" s="2">
        <f>COUNTIFS(Games[Team],Games[[#This Row],[Team]],Games[Season],Games[[#This Row],[Season]],Games[Date],"&lt;=" &amp; Games[[#This Row],[Date]])</f>
        <v>25</v>
      </c>
      <c r="D313" s="2" t="s">
        <v>79</v>
      </c>
      <c r="E313" s="2" t="s">
        <v>80</v>
      </c>
      <c r="F313" s="1" t="s">
        <v>69</v>
      </c>
      <c r="G313" s="1" t="s">
        <v>63</v>
      </c>
      <c r="H313" s="1" t="s">
        <v>82</v>
      </c>
      <c r="I313" s="2" cm="1">
        <f t="array" ref="I31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3" s="2" cm="1">
        <f t="array" ref="J31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3" s="2">
        <f>Games[[#This Row],[DaysOff]]-Games[[#This Row],[OppDaysOff]]</f>
        <v>0</v>
      </c>
      <c r="L313" s="2">
        <f>Games[[#This Row],[OppDaysOff]]-Games[[#This Row],[DaysOff]]</f>
        <v>0</v>
      </c>
      <c r="M313" s="1">
        <f>MAX(-16, MIN(16, Games[[#This Row],[RestDiff]]*8))</f>
        <v>0</v>
      </c>
      <c r="N313" s="1">
        <f>MAX(-16, MIN(16, Games[[#This Row],[OppRestDiff]]*8))</f>
        <v>0</v>
      </c>
      <c r="O313" s="4" cm="1">
        <f t="array" ref="O3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1341.7064301308706</v>
      </c>
      <c r="P313" s="4" cm="1">
        <f t="array" ref="P3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1418.2243873671289</v>
      </c>
      <c r="Q313" s="4">
        <f>1/(1+10^(((Games[[#This Row],[OppPreGmRate]]+IF(Games[[#This Row],[HomeAway]]="A",HCA,0)+Games[[#This Row],[OppRestAdj]])-(Games[[#This Row],[PreGmRate]]+IF(Games[[#This Row],[HomeAway]]="H",HCA,0)+Games[[#This Row],[RestAdj]]))/400))</f>
        <v>0.51076586088178222</v>
      </c>
      <c r="R313" s="1">
        <v>74</v>
      </c>
      <c r="S313" s="1">
        <v>72</v>
      </c>
      <c r="T313" s="1">
        <v>0</v>
      </c>
      <c r="U313" s="1">
        <f>Games[[#This Row],[PointsFor]]-Games[[#This Row],[PointsAgainst]]</f>
        <v>2</v>
      </c>
      <c r="V313" s="1">
        <f>IF(Games[[#This Row],[MOV]]&gt;0,1,IF(Games[[#This Row],[MOV]]=0,0.5,0))</f>
        <v>1</v>
      </c>
      <c r="W313" s="4">
        <f>((ABS(Games[[#This Row],[MOV]])+5)^0.6)/(12+0.01*(ABS(Games[[#This Row],[PreGmRate]]-Games[[#This Row],[OppPreGmRate]])))*IF(Games[[#This Row],[OT]]=1,0.9,1)</f>
        <v>0.25178618377408163</v>
      </c>
      <c r="X313" s="7" cm="1">
        <f t="array" ref="X3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3" s="9">
        <f>MAX(kmin, kmax - 0.15 * MIN(Games[[#This Row],[GamesPlayed]], 82))</f>
        <v>72.25</v>
      </c>
      <c r="Z313" s="4">
        <f>Games[[#This Row],[K]]*Games[[#This Row],[POMult]]</f>
        <v>72.25</v>
      </c>
      <c r="AA313" s="4">
        <f>(Games[[#This Row],[Keff]]*Games[[#This Row],[MOVMult]])*(Games[[#This Row],[Result]]-Games[[#This Row],[ExpectedWin%]])</f>
        <v>8.8999281731764857</v>
      </c>
      <c r="AB313" s="4">
        <f>Games[[#This Row],[PreGmRate]]+Games[[#This Row],[RatingChange]]</f>
        <v>1350.606358304047</v>
      </c>
      <c r="AC313" s="2">
        <f>IF(Games[[#This Row],[Type]]="R",IF(Games[[#This Row],[Result]]&gt;0.5,1,0),0)</f>
        <v>1</v>
      </c>
      <c r="AD313" s="2">
        <f>IF(Games[[#This Row],[Type]]="R",IF(Games[[#This Row],[Result]]&lt;0.5,1,0),0)</f>
        <v>0</v>
      </c>
      <c r="AE313" s="2">
        <f>IF(AND(Games[[#This Row],[Type]]="P",Games[[#This Row],[Round]]=1),IF(Games[[#This Row],[Result]]&gt;0.5,1,0),0)</f>
        <v>0</v>
      </c>
      <c r="AF313" s="2">
        <f>IF(AND(Games[[#This Row],[Type]]="P",Games[[#This Row],[Round]]=1),IF(Games[[#This Row],[Result]]&lt;0.5,1,0),0)</f>
        <v>0</v>
      </c>
      <c r="AG313" s="2">
        <f>IF(AND(Games[[#This Row],[Type]]="P",Games[[#This Row],[Round]]=2),IF(Games[[#This Row],[Result]]&gt;0.5,1,0),0)</f>
        <v>0</v>
      </c>
      <c r="AH313" s="2">
        <f>IF(AND(Games[[#This Row],[Type]]="P",Games[[#This Row],[Round]]=2),IF(Games[[#This Row],[Result]]&lt;0.5,1,0),0)</f>
        <v>0</v>
      </c>
      <c r="AI313" s="2">
        <f>IF(AND(Games[[#This Row],[Type]]="P",Games[[#This Row],[Round]]=3),IF(Games[[#This Row],[Result]]&gt;0.5,1,0),0)</f>
        <v>0</v>
      </c>
      <c r="AJ313" s="2">
        <f>IF(AND(Games[[#This Row],[Type]]="P",Games[[#This Row],[Round]]=3),IF(Games[[#This Row],[Result]]&lt;0.5,1,0),0)</f>
        <v>0</v>
      </c>
      <c r="AK313" s="2">
        <f>IF(AND(Games[[#This Row],[Type]]="P",Games[[#This Row],[Round]]=4),IF(Games[[#This Row],[Result]]&gt;0.5,1,0),0)</f>
        <v>0</v>
      </c>
      <c r="AL313" s="2">
        <f>IF(AND(Games[[#This Row],[Type]]="P",Games[[#This Row],[Round]]=4),IF(Games[[#This Row],[Result]]&lt;0.5,1,0),0)</f>
        <v>0</v>
      </c>
    </row>
    <row r="314" spans="1:38" x14ac:dyDescent="0.35">
      <c r="A314" s="10">
        <v>44439</v>
      </c>
      <c r="B314" s="2">
        <v>2021</v>
      </c>
      <c r="C314" s="2">
        <f>COUNTIFS(Games[Team],Games[[#This Row],[Team]],Games[Season],Games[[#This Row],[Season]],Games[Date],"&lt;=" &amp; Games[[#This Row],[Date]])</f>
        <v>28</v>
      </c>
      <c r="D314" s="2" t="s">
        <v>79</v>
      </c>
      <c r="E314" s="2" t="s">
        <v>80</v>
      </c>
      <c r="F314" s="1" t="s">
        <v>60</v>
      </c>
      <c r="G314" s="1" t="s">
        <v>67</v>
      </c>
      <c r="H314" s="1" t="s">
        <v>81</v>
      </c>
      <c r="I314" s="2" cm="1">
        <f t="array" ref="I3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4" s="2" cm="1">
        <f t="array" ref="J314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14" s="2">
        <f>Games[[#This Row],[DaysOff]]-Games[[#This Row],[OppDaysOff]]</f>
        <v>-3</v>
      </c>
      <c r="L314" s="2">
        <f>Games[[#This Row],[OppDaysOff]]-Games[[#This Row],[DaysOff]]</f>
        <v>3</v>
      </c>
      <c r="M314" s="1">
        <f>MAX(-16, MIN(16, Games[[#This Row],[RestDiff]]*8))</f>
        <v>-16</v>
      </c>
      <c r="N314" s="1">
        <f>MAX(-16, MIN(16, Games[[#This Row],[OppRestDiff]]*8))</f>
        <v>16</v>
      </c>
      <c r="O314" s="4" cm="1">
        <f t="array" ref="O3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1360.807142501202</v>
      </c>
      <c r="P314" s="4" cm="1">
        <f t="array" ref="P3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1605.1442740007024</v>
      </c>
      <c r="Q314" s="4">
        <f>1/(1+10^(((Games[[#This Row],[OppPreGmRate]]+IF(Games[[#This Row],[HomeAway]]="A",HCA,0)+Games[[#This Row],[OppRestAdj]])-(Games[[#This Row],[PreGmRate]]+IF(Games[[#This Row],[HomeAway]]="H",HCA,0)+Games[[#This Row],[RestAdj]]))/400))</f>
        <v>0.11162317967766103</v>
      </c>
      <c r="R314" s="1">
        <v>66</v>
      </c>
      <c r="S314" s="1">
        <v>74</v>
      </c>
      <c r="T314" s="1">
        <v>0</v>
      </c>
      <c r="U314" s="1">
        <f>Games[[#This Row],[PointsFor]]-Games[[#This Row],[PointsAgainst]]</f>
        <v>-8</v>
      </c>
      <c r="V314" s="1">
        <f>IF(Games[[#This Row],[MOV]]&gt;0,1,IF(Games[[#This Row],[MOV]]=0,0.5,0))</f>
        <v>0</v>
      </c>
      <c r="W314" s="4">
        <f>((ABS(Games[[#This Row],[MOV]])+5)^0.6)/(12+0.01*(ABS(Games[[#This Row],[PreGmRate]]-Games[[#This Row],[OppPreGmRate]])))*IF(Games[[#This Row],[OT]]=1,0.9,1)</f>
        <v>0.32262456724340449</v>
      </c>
      <c r="X314" s="7" cm="1">
        <f t="array" ref="X3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4" s="9">
        <f>MAX(kmin, kmax - 0.15 * MIN(Games[[#This Row],[GamesPlayed]], 82))</f>
        <v>71.8</v>
      </c>
      <c r="Z314" s="4">
        <f>Games[[#This Row],[K]]*Games[[#This Row],[POMult]]</f>
        <v>71.8</v>
      </c>
      <c r="AA314" s="4">
        <f>(Games[[#This Row],[Keff]]*Games[[#This Row],[MOVMult]])*(Games[[#This Row],[Result]]-Games[[#This Row],[ExpectedWin%]])</f>
        <v>-2.5856888867167807</v>
      </c>
      <c r="AB314" s="4">
        <f>Games[[#This Row],[PreGmRate]]+Games[[#This Row],[RatingChange]]</f>
        <v>1358.2214536144852</v>
      </c>
      <c r="AC314" s="2">
        <f>IF(Games[[#This Row],[Type]]="R",IF(Games[[#This Row],[Result]]&gt;0.5,1,0),0)</f>
        <v>0</v>
      </c>
      <c r="AD314" s="2">
        <f>IF(Games[[#This Row],[Type]]="R",IF(Games[[#This Row],[Result]]&lt;0.5,1,0),0)</f>
        <v>1</v>
      </c>
      <c r="AE314" s="2">
        <f>IF(AND(Games[[#This Row],[Type]]="P",Games[[#This Row],[Round]]=1),IF(Games[[#This Row],[Result]]&gt;0.5,1,0),0)</f>
        <v>0</v>
      </c>
      <c r="AF314" s="2">
        <f>IF(AND(Games[[#This Row],[Type]]="P",Games[[#This Row],[Round]]=1),IF(Games[[#This Row],[Result]]&lt;0.5,1,0),0)</f>
        <v>0</v>
      </c>
      <c r="AG314" s="2">
        <f>IF(AND(Games[[#This Row],[Type]]="P",Games[[#This Row],[Round]]=2),IF(Games[[#This Row],[Result]]&gt;0.5,1,0),0)</f>
        <v>0</v>
      </c>
      <c r="AH314" s="2">
        <f>IF(AND(Games[[#This Row],[Type]]="P",Games[[#This Row],[Round]]=2),IF(Games[[#This Row],[Result]]&lt;0.5,1,0),0)</f>
        <v>0</v>
      </c>
      <c r="AI314" s="2">
        <f>IF(AND(Games[[#This Row],[Type]]="P",Games[[#This Row],[Round]]=3),IF(Games[[#This Row],[Result]]&gt;0.5,1,0),0)</f>
        <v>0</v>
      </c>
      <c r="AJ314" s="2">
        <f>IF(AND(Games[[#This Row],[Type]]="P",Games[[#This Row],[Round]]=3),IF(Games[[#This Row],[Result]]&lt;0.5,1,0),0)</f>
        <v>0</v>
      </c>
      <c r="AK314" s="2">
        <f>IF(AND(Games[[#This Row],[Type]]="P",Games[[#This Row],[Round]]=4),IF(Games[[#This Row],[Result]]&gt;0.5,1,0),0)</f>
        <v>0</v>
      </c>
      <c r="AL314" s="2">
        <f>IF(AND(Games[[#This Row],[Type]]="P",Games[[#This Row],[Round]]=4),IF(Games[[#This Row],[Result]]&lt;0.5,1,0),0)</f>
        <v>0</v>
      </c>
    </row>
    <row r="315" spans="1:38" x14ac:dyDescent="0.35">
      <c r="A315" s="10">
        <v>44439</v>
      </c>
      <c r="B315" s="2">
        <v>2021</v>
      </c>
      <c r="C315" s="2">
        <f>COUNTIFS(Games[Team],Games[[#This Row],[Team]],Games[Season],Games[[#This Row],[Season]],Games[Date],"&lt;=" &amp; Games[[#This Row],[Date]])</f>
        <v>25</v>
      </c>
      <c r="D315" s="2" t="s">
        <v>79</v>
      </c>
      <c r="E315" s="2" t="s">
        <v>80</v>
      </c>
      <c r="F315" s="1" t="s">
        <v>67</v>
      </c>
      <c r="G315" s="1" t="s">
        <v>60</v>
      </c>
      <c r="H315" s="1" t="s">
        <v>82</v>
      </c>
      <c r="I315" s="2" cm="1">
        <f t="array" ref="I315">IFERROR(
    Games[[#This Row],[Date]]
    - LOOKUP(
        2,
        1/((Games[Team]=Games[[#This Row],[Team]]) * (Games[Date] &lt; Games[[#This Row],[Date]])),
        Games[Date]
    )
    - 1,
Games[[#This Row],[Date]]-$A$2)</f>
        <v>6</v>
      </c>
      <c r="J315" s="2" cm="1">
        <f t="array" ref="J3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5" s="2">
        <f>Games[[#This Row],[DaysOff]]-Games[[#This Row],[OppDaysOff]]</f>
        <v>3</v>
      </c>
      <c r="L315" s="2">
        <f>Games[[#This Row],[OppDaysOff]]-Games[[#This Row],[DaysOff]]</f>
        <v>-3</v>
      </c>
      <c r="M315" s="1">
        <f>MAX(-16, MIN(16, Games[[#This Row],[RestDiff]]*8))</f>
        <v>16</v>
      </c>
      <c r="N315" s="1">
        <f>MAX(-16, MIN(16, Games[[#This Row],[OppRestDiff]]*8))</f>
        <v>-16</v>
      </c>
      <c r="O315" s="4" cm="1">
        <f t="array" ref="O3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1605.1442740007024</v>
      </c>
      <c r="P315" s="4" cm="1">
        <f t="array" ref="P3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1360.807142501202</v>
      </c>
      <c r="Q315" s="4">
        <f>1/(1+10^(((Games[[#This Row],[OppPreGmRate]]+IF(Games[[#This Row],[HomeAway]]="A",HCA,0)+Games[[#This Row],[OppRestAdj]])-(Games[[#This Row],[PreGmRate]]+IF(Games[[#This Row],[HomeAway]]="H",HCA,0)+Games[[#This Row],[RestAdj]]))/400))</f>
        <v>0.88837682032233889</v>
      </c>
      <c r="R315" s="1">
        <v>74</v>
      </c>
      <c r="S315" s="1">
        <v>66</v>
      </c>
      <c r="T315" s="1">
        <v>0</v>
      </c>
      <c r="U315" s="1">
        <f>Games[[#This Row],[PointsFor]]-Games[[#This Row],[PointsAgainst]]</f>
        <v>8</v>
      </c>
      <c r="V315" s="1">
        <f>IF(Games[[#This Row],[MOV]]&gt;0,1,IF(Games[[#This Row],[MOV]]=0,0.5,0))</f>
        <v>1</v>
      </c>
      <c r="W315" s="4">
        <f>((ABS(Games[[#This Row],[MOV]])+5)^0.6)/(12+0.01*(ABS(Games[[#This Row],[PreGmRate]]-Games[[#This Row],[OppPreGmRate]])))*IF(Games[[#This Row],[OT]]=1,0.9,1)</f>
        <v>0.32262456724340449</v>
      </c>
      <c r="X315" s="7" cm="1">
        <f t="array" ref="X3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5" s="9">
        <f>MAX(kmin, kmax - 0.15 * MIN(Games[[#This Row],[GamesPlayed]], 82))</f>
        <v>72.25</v>
      </c>
      <c r="Z315" s="4">
        <f>Games[[#This Row],[K]]*Games[[#This Row],[POMult]]</f>
        <v>72.25</v>
      </c>
      <c r="AA315" s="4">
        <f>(Games[[#This Row],[Keff]]*Games[[#This Row],[MOVMult]])*(Games[[#This Row],[Result]]-Games[[#This Row],[ExpectedWin%]])</f>
        <v>2.6018944577338101</v>
      </c>
      <c r="AB315" s="4">
        <f>Games[[#This Row],[PreGmRate]]+Games[[#This Row],[RatingChange]]</f>
        <v>1607.7461684584362</v>
      </c>
      <c r="AC315" s="2">
        <f>IF(Games[[#This Row],[Type]]="R",IF(Games[[#This Row],[Result]]&gt;0.5,1,0),0)</f>
        <v>1</v>
      </c>
      <c r="AD315" s="2">
        <f>IF(Games[[#This Row],[Type]]="R",IF(Games[[#This Row],[Result]]&lt;0.5,1,0),0)</f>
        <v>0</v>
      </c>
      <c r="AE315" s="2">
        <f>IF(AND(Games[[#This Row],[Type]]="P",Games[[#This Row],[Round]]=1),IF(Games[[#This Row],[Result]]&gt;0.5,1,0),0)</f>
        <v>0</v>
      </c>
      <c r="AF315" s="2">
        <f>IF(AND(Games[[#This Row],[Type]]="P",Games[[#This Row],[Round]]=1),IF(Games[[#This Row],[Result]]&lt;0.5,1,0),0)</f>
        <v>0</v>
      </c>
      <c r="AG315" s="2">
        <f>IF(AND(Games[[#This Row],[Type]]="P",Games[[#This Row],[Round]]=2),IF(Games[[#This Row],[Result]]&gt;0.5,1,0),0)</f>
        <v>0</v>
      </c>
      <c r="AH315" s="2">
        <f>IF(AND(Games[[#This Row],[Type]]="P",Games[[#This Row],[Round]]=2),IF(Games[[#This Row],[Result]]&lt;0.5,1,0),0)</f>
        <v>0</v>
      </c>
      <c r="AI315" s="2">
        <f>IF(AND(Games[[#This Row],[Type]]="P",Games[[#This Row],[Round]]=3),IF(Games[[#This Row],[Result]]&gt;0.5,1,0),0)</f>
        <v>0</v>
      </c>
      <c r="AJ315" s="2">
        <f>IF(AND(Games[[#This Row],[Type]]="P",Games[[#This Row],[Round]]=3),IF(Games[[#This Row],[Result]]&lt;0.5,1,0),0)</f>
        <v>0</v>
      </c>
      <c r="AK315" s="2">
        <f>IF(AND(Games[[#This Row],[Type]]="P",Games[[#This Row],[Round]]=4),IF(Games[[#This Row],[Result]]&gt;0.5,1,0),0)</f>
        <v>0</v>
      </c>
      <c r="AL315" s="2">
        <f>IF(AND(Games[[#This Row],[Type]]="P",Games[[#This Row],[Round]]=4),IF(Games[[#This Row],[Result]]&lt;0.5,1,0),0)</f>
        <v>0</v>
      </c>
    </row>
    <row r="316" spans="1:38" x14ac:dyDescent="0.35">
      <c r="A316" s="10">
        <v>44439</v>
      </c>
      <c r="B316" s="2">
        <v>2021</v>
      </c>
      <c r="C316" s="2">
        <f>COUNTIFS(Games[Team],Games[[#This Row],[Team]],Games[Season],Games[[#This Row],[Season]],Games[Date],"&lt;=" &amp; Games[[#This Row],[Date]])</f>
        <v>27</v>
      </c>
      <c r="D316" s="2" t="s">
        <v>79</v>
      </c>
      <c r="E316" s="2" t="s">
        <v>80</v>
      </c>
      <c r="F316" s="1" t="s">
        <v>75</v>
      </c>
      <c r="G316" s="1" t="s">
        <v>40</v>
      </c>
      <c r="H316" s="1" t="s">
        <v>81</v>
      </c>
      <c r="I316" s="2" cm="1">
        <f t="array" ref="I31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16" s="2" cm="1">
        <f t="array" ref="J31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16" s="2">
        <f>Games[[#This Row],[DaysOff]]-Games[[#This Row],[OppDaysOff]]</f>
        <v>-2</v>
      </c>
      <c r="L316" s="2">
        <f>Games[[#This Row],[OppDaysOff]]-Games[[#This Row],[DaysOff]]</f>
        <v>2</v>
      </c>
      <c r="M316" s="1">
        <f>MAX(-16, MIN(16, Games[[#This Row],[RestDiff]]*8))</f>
        <v>-16</v>
      </c>
      <c r="N316" s="1">
        <f>MAX(-16, MIN(16, Games[[#This Row],[OppRestDiff]]*8))</f>
        <v>16</v>
      </c>
      <c r="O316" s="4" cm="1">
        <f t="array" ref="O3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1572.734465068359</v>
      </c>
      <c r="P316" s="4" cm="1">
        <f t="array" ref="P3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1551.555793395323</v>
      </c>
      <c r="Q316" s="4">
        <f>1/(1+10^(((Games[[#This Row],[OppPreGmRate]]+IF(Games[[#This Row],[HomeAway]]="A",HCA,0)+Games[[#This Row],[OppRestAdj]])-(Games[[#This Row],[PreGmRate]]+IF(Games[[#This Row],[HomeAway]]="H",HCA,0)+Games[[#This Row],[RestAdj]]))/400))</f>
        <v>0.36683115674267491</v>
      </c>
      <c r="R316" s="1">
        <v>83</v>
      </c>
      <c r="S316" s="1">
        <v>103</v>
      </c>
      <c r="T316" s="1">
        <v>0</v>
      </c>
      <c r="U316" s="1">
        <f>Games[[#This Row],[PointsFor]]-Games[[#This Row],[PointsAgainst]]</f>
        <v>-20</v>
      </c>
      <c r="V316" s="1">
        <f>IF(Games[[#This Row],[MOV]]&gt;0,1,IF(Games[[#This Row],[MOV]]=0,0.5,0))</f>
        <v>0</v>
      </c>
      <c r="W316" s="4">
        <f>((ABS(Games[[#This Row],[MOV]])+5)^0.6)/(12+0.01*(ABS(Games[[#This Row],[PreGmRate]]-Games[[#This Row],[OppPreGmRate]])))*IF(Games[[#This Row],[OT]]=1,0.9,1)</f>
        <v>0.5649171957658583</v>
      </c>
      <c r="X316" s="7" cm="1">
        <f t="array" ref="X3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6" s="9">
        <f>MAX(kmin, kmax - 0.15 * MIN(Games[[#This Row],[GamesPlayed]], 82))</f>
        <v>71.95</v>
      </c>
      <c r="Z316" s="4">
        <f>Games[[#This Row],[K]]*Games[[#This Row],[POMult]]</f>
        <v>71.95</v>
      </c>
      <c r="AA316" s="4">
        <f>(Games[[#This Row],[Keff]]*Games[[#This Row],[MOVMult]])*(Games[[#This Row],[Result]]-Games[[#This Row],[ExpectedWin%]])</f>
        <v>-14.91014298241716</v>
      </c>
      <c r="AB316" s="4">
        <f>Games[[#This Row],[PreGmRate]]+Games[[#This Row],[RatingChange]]</f>
        <v>1557.8243220859417</v>
      </c>
      <c r="AC316" s="2">
        <f>IF(Games[[#This Row],[Type]]="R",IF(Games[[#This Row],[Result]]&gt;0.5,1,0),0)</f>
        <v>0</v>
      </c>
      <c r="AD316" s="2">
        <f>IF(Games[[#This Row],[Type]]="R",IF(Games[[#This Row],[Result]]&lt;0.5,1,0),0)</f>
        <v>1</v>
      </c>
      <c r="AE316" s="2">
        <f>IF(AND(Games[[#This Row],[Type]]="P",Games[[#This Row],[Round]]=1),IF(Games[[#This Row],[Result]]&gt;0.5,1,0),0)</f>
        <v>0</v>
      </c>
      <c r="AF316" s="2">
        <f>IF(AND(Games[[#This Row],[Type]]="P",Games[[#This Row],[Round]]=1),IF(Games[[#This Row],[Result]]&lt;0.5,1,0),0)</f>
        <v>0</v>
      </c>
      <c r="AG316" s="2">
        <f>IF(AND(Games[[#This Row],[Type]]="P",Games[[#This Row],[Round]]=2),IF(Games[[#This Row],[Result]]&gt;0.5,1,0),0)</f>
        <v>0</v>
      </c>
      <c r="AH316" s="2">
        <f>IF(AND(Games[[#This Row],[Type]]="P",Games[[#This Row],[Round]]=2),IF(Games[[#This Row],[Result]]&lt;0.5,1,0),0)</f>
        <v>0</v>
      </c>
      <c r="AI316" s="2">
        <f>IF(AND(Games[[#This Row],[Type]]="P",Games[[#This Row],[Round]]=3),IF(Games[[#This Row],[Result]]&gt;0.5,1,0),0)</f>
        <v>0</v>
      </c>
      <c r="AJ316" s="2">
        <f>IF(AND(Games[[#This Row],[Type]]="P",Games[[#This Row],[Round]]=3),IF(Games[[#This Row],[Result]]&lt;0.5,1,0),0)</f>
        <v>0</v>
      </c>
      <c r="AK316" s="2">
        <f>IF(AND(Games[[#This Row],[Type]]="P",Games[[#This Row],[Round]]=4),IF(Games[[#This Row],[Result]]&gt;0.5,1,0),0)</f>
        <v>0</v>
      </c>
      <c r="AL316" s="2">
        <f>IF(AND(Games[[#This Row],[Type]]="P",Games[[#This Row],[Round]]=4),IF(Games[[#This Row],[Result]]&lt;0.5,1,0),0)</f>
        <v>0</v>
      </c>
    </row>
    <row r="317" spans="1:38" x14ac:dyDescent="0.35">
      <c r="A317" s="10">
        <v>44439</v>
      </c>
      <c r="B317" s="2">
        <v>2021</v>
      </c>
      <c r="C317" s="2">
        <f>COUNTIFS(Games[Team],Games[[#This Row],[Team]],Games[Season],Games[[#This Row],[Season]],Games[Date],"&lt;=" &amp; Games[[#This Row],[Date]])</f>
        <v>26</v>
      </c>
      <c r="D317" s="2" t="s">
        <v>79</v>
      </c>
      <c r="E317" s="2" t="s">
        <v>80</v>
      </c>
      <c r="F317" s="1" t="s">
        <v>40</v>
      </c>
      <c r="G317" s="1" t="s">
        <v>75</v>
      </c>
      <c r="H317" s="1" t="s">
        <v>82</v>
      </c>
      <c r="I317" s="2" cm="1">
        <f t="array" ref="I31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17" s="2" cm="1">
        <f t="array" ref="J31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17" s="2">
        <f>Games[[#This Row],[DaysOff]]-Games[[#This Row],[OppDaysOff]]</f>
        <v>2</v>
      </c>
      <c r="L317" s="2">
        <f>Games[[#This Row],[OppDaysOff]]-Games[[#This Row],[DaysOff]]</f>
        <v>-2</v>
      </c>
      <c r="M317" s="1">
        <f>MAX(-16, MIN(16, Games[[#This Row],[RestDiff]]*8))</f>
        <v>16</v>
      </c>
      <c r="N317" s="1">
        <f>MAX(-16, MIN(16, Games[[#This Row],[OppRestDiff]]*8))</f>
        <v>-16</v>
      </c>
      <c r="O317" s="4" cm="1">
        <f t="array" ref="O3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1551.555793395323</v>
      </c>
      <c r="P317" s="4" cm="1">
        <f t="array" ref="P3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1572.734465068359</v>
      </c>
      <c r="Q317" s="4">
        <f>1/(1+10^(((Games[[#This Row],[OppPreGmRate]]+IF(Games[[#This Row],[HomeAway]]="A",HCA,0)+Games[[#This Row],[OppRestAdj]])-(Games[[#This Row],[PreGmRate]]+IF(Games[[#This Row],[HomeAway]]="H",HCA,0)+Games[[#This Row],[RestAdj]]))/400))</f>
        <v>0.63316884325732514</v>
      </c>
      <c r="R317" s="1">
        <v>103</v>
      </c>
      <c r="S317" s="1">
        <v>83</v>
      </c>
      <c r="T317" s="1">
        <v>0</v>
      </c>
      <c r="U317" s="1">
        <f>Games[[#This Row],[PointsFor]]-Games[[#This Row],[PointsAgainst]]</f>
        <v>20</v>
      </c>
      <c r="V317" s="1">
        <f>IF(Games[[#This Row],[MOV]]&gt;0,1,IF(Games[[#This Row],[MOV]]=0,0.5,0))</f>
        <v>1</v>
      </c>
      <c r="W317" s="4">
        <f>((ABS(Games[[#This Row],[MOV]])+5)^0.6)/(12+0.01*(ABS(Games[[#This Row],[PreGmRate]]-Games[[#This Row],[OppPreGmRate]])))*IF(Games[[#This Row],[OT]]=1,0.9,1)</f>
        <v>0.5649171957658583</v>
      </c>
      <c r="X317" s="7" cm="1">
        <f t="array" ref="X3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7" s="9">
        <f>MAX(kmin, kmax - 0.15 * MIN(Games[[#This Row],[GamesPlayed]], 82))</f>
        <v>72.099999999999994</v>
      </c>
      <c r="Z317" s="4">
        <f>Games[[#This Row],[K]]*Games[[#This Row],[POMult]]</f>
        <v>72.099999999999994</v>
      </c>
      <c r="AA317" s="4">
        <f>(Games[[#This Row],[Keff]]*Games[[#This Row],[MOVMult]])*(Games[[#This Row],[Result]]-Games[[#This Row],[ExpectedWin%]])</f>
        <v>14.94122736667515</v>
      </c>
      <c r="AB317" s="4">
        <f>Games[[#This Row],[PreGmRate]]+Games[[#This Row],[RatingChange]]</f>
        <v>1566.4970207619981</v>
      </c>
      <c r="AC317" s="2">
        <f>IF(Games[[#This Row],[Type]]="R",IF(Games[[#This Row],[Result]]&gt;0.5,1,0),0)</f>
        <v>1</v>
      </c>
      <c r="AD317" s="2">
        <f>IF(Games[[#This Row],[Type]]="R",IF(Games[[#This Row],[Result]]&lt;0.5,1,0),0)</f>
        <v>0</v>
      </c>
      <c r="AE317" s="2">
        <f>IF(AND(Games[[#This Row],[Type]]="P",Games[[#This Row],[Round]]=1),IF(Games[[#This Row],[Result]]&gt;0.5,1,0),0)</f>
        <v>0</v>
      </c>
      <c r="AF317" s="2">
        <f>IF(AND(Games[[#This Row],[Type]]="P",Games[[#This Row],[Round]]=1),IF(Games[[#This Row],[Result]]&lt;0.5,1,0),0)</f>
        <v>0</v>
      </c>
      <c r="AG317" s="2">
        <f>IF(AND(Games[[#This Row],[Type]]="P",Games[[#This Row],[Round]]=2),IF(Games[[#This Row],[Result]]&gt;0.5,1,0),0)</f>
        <v>0</v>
      </c>
      <c r="AH317" s="2">
        <f>IF(AND(Games[[#This Row],[Type]]="P",Games[[#This Row],[Round]]=2),IF(Games[[#This Row],[Result]]&lt;0.5,1,0),0)</f>
        <v>0</v>
      </c>
      <c r="AI317" s="2">
        <f>IF(AND(Games[[#This Row],[Type]]="P",Games[[#This Row],[Round]]=3),IF(Games[[#This Row],[Result]]&gt;0.5,1,0),0)</f>
        <v>0</v>
      </c>
      <c r="AJ317" s="2">
        <f>IF(AND(Games[[#This Row],[Type]]="P",Games[[#This Row],[Round]]=3),IF(Games[[#This Row],[Result]]&lt;0.5,1,0),0)</f>
        <v>0</v>
      </c>
      <c r="AK317" s="2">
        <f>IF(AND(Games[[#This Row],[Type]]="P",Games[[#This Row],[Round]]=4),IF(Games[[#This Row],[Result]]&gt;0.5,1,0),0)</f>
        <v>0</v>
      </c>
      <c r="AL317" s="2">
        <f>IF(AND(Games[[#This Row],[Type]]="P",Games[[#This Row],[Round]]=4),IF(Games[[#This Row],[Result]]&lt;0.5,1,0),0)</f>
        <v>0</v>
      </c>
    </row>
    <row r="318" spans="1:38" x14ac:dyDescent="0.35">
      <c r="A318" s="10">
        <v>44439</v>
      </c>
      <c r="B318" s="2">
        <v>2021</v>
      </c>
      <c r="C318" s="2">
        <f>COUNTIFS(Games[Team],Games[[#This Row],[Team]],Games[Season],Games[[#This Row],[Season]],Games[Date],"&lt;=" &amp; Games[[#This Row],[Date]])</f>
        <v>28</v>
      </c>
      <c r="D318" s="2" t="s">
        <v>79</v>
      </c>
      <c r="E318" s="2" t="s">
        <v>80</v>
      </c>
      <c r="F318" s="1" t="s">
        <v>74</v>
      </c>
      <c r="G318" s="1" t="s">
        <v>65</v>
      </c>
      <c r="H318" s="1" t="s">
        <v>81</v>
      </c>
      <c r="I318" s="2" cm="1">
        <f t="array" ref="I318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8" s="2" cm="1">
        <f t="array" ref="J31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8" s="2">
        <f>Games[[#This Row],[DaysOff]]-Games[[#This Row],[OppDaysOff]]</f>
        <v>0</v>
      </c>
      <c r="L318" s="2">
        <f>Games[[#This Row],[OppDaysOff]]-Games[[#This Row],[DaysOff]]</f>
        <v>0</v>
      </c>
      <c r="M318" s="1">
        <f>MAX(-16, MIN(16, Games[[#This Row],[RestDiff]]*8))</f>
        <v>0</v>
      </c>
      <c r="N318" s="1">
        <f>MAX(-16, MIN(16, Games[[#This Row],[OppRestDiff]]*8))</f>
        <v>0</v>
      </c>
      <c r="O318" s="4" cm="1">
        <f t="array" ref="O3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1654.8512320893949</v>
      </c>
      <c r="P318" s="4" cm="1">
        <f t="array" ref="P3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1441.3112574991746</v>
      </c>
      <c r="Q318" s="4">
        <f>1/(1+10^(((Games[[#This Row],[OppPreGmRate]]+IF(Games[[#This Row],[HomeAway]]="A",HCA,0)+Games[[#This Row],[OppRestAdj]])-(Games[[#This Row],[PreGmRate]]+IF(Games[[#This Row],[HomeAway]]="H",HCA,0)+Games[[#This Row],[RestAdj]]))/400))</f>
        <v>0.67823929173591802</v>
      </c>
      <c r="R318" s="1">
        <v>85</v>
      </c>
      <c r="S318" s="1">
        <v>75</v>
      </c>
      <c r="T318" s="1">
        <v>0</v>
      </c>
      <c r="U318" s="1">
        <f>Games[[#This Row],[PointsFor]]-Games[[#This Row],[PointsAgainst]]</f>
        <v>10</v>
      </c>
      <c r="V318" s="1">
        <f>IF(Games[[#This Row],[MOV]]&gt;0,1,IF(Games[[#This Row],[MOV]]=0,0.5,0))</f>
        <v>1</v>
      </c>
      <c r="W318" s="4">
        <f>((ABS(Games[[#This Row],[MOV]])+5)^0.6)/(12+0.01*(ABS(Games[[#This Row],[PreGmRate]]-Games[[#This Row],[OppPreGmRate]])))*IF(Games[[#This Row],[OT]]=1,0.9,1)</f>
        <v>0.35920854615090542</v>
      </c>
      <c r="X318" s="7" cm="1">
        <f t="array" ref="X3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8" s="9">
        <f>MAX(kmin, kmax - 0.15 * MIN(Games[[#This Row],[GamesPlayed]], 82))</f>
        <v>71.8</v>
      </c>
      <c r="Z318" s="4">
        <f>Games[[#This Row],[K]]*Games[[#This Row],[POMult]]</f>
        <v>71.8</v>
      </c>
      <c r="AA318" s="4">
        <f>(Games[[#This Row],[Keff]]*Games[[#This Row],[MOVMult]])*(Games[[#This Row],[Result]]-Games[[#This Row],[ExpectedWin%]])</f>
        <v>8.2985862888851027</v>
      </c>
      <c r="AB318" s="4">
        <f>Games[[#This Row],[PreGmRate]]+Games[[#This Row],[RatingChange]]</f>
        <v>1663.1498183782801</v>
      </c>
      <c r="AC318" s="2">
        <f>IF(Games[[#This Row],[Type]]="R",IF(Games[[#This Row],[Result]]&gt;0.5,1,0),0)</f>
        <v>1</v>
      </c>
      <c r="AD318" s="2">
        <f>IF(Games[[#This Row],[Type]]="R",IF(Games[[#This Row],[Result]]&lt;0.5,1,0),0)</f>
        <v>0</v>
      </c>
      <c r="AE318" s="2">
        <f>IF(AND(Games[[#This Row],[Type]]="P",Games[[#This Row],[Round]]=1),IF(Games[[#This Row],[Result]]&gt;0.5,1,0),0)</f>
        <v>0</v>
      </c>
      <c r="AF318" s="2">
        <f>IF(AND(Games[[#This Row],[Type]]="P",Games[[#This Row],[Round]]=1),IF(Games[[#This Row],[Result]]&lt;0.5,1,0),0)</f>
        <v>0</v>
      </c>
      <c r="AG318" s="2">
        <f>IF(AND(Games[[#This Row],[Type]]="P",Games[[#This Row],[Round]]=2),IF(Games[[#This Row],[Result]]&gt;0.5,1,0),0)</f>
        <v>0</v>
      </c>
      <c r="AH318" s="2">
        <f>IF(AND(Games[[#This Row],[Type]]="P",Games[[#This Row],[Round]]=2),IF(Games[[#This Row],[Result]]&lt;0.5,1,0),0)</f>
        <v>0</v>
      </c>
      <c r="AI318" s="2">
        <f>IF(AND(Games[[#This Row],[Type]]="P",Games[[#This Row],[Round]]=3),IF(Games[[#This Row],[Result]]&gt;0.5,1,0),0)</f>
        <v>0</v>
      </c>
      <c r="AJ318" s="2">
        <f>IF(AND(Games[[#This Row],[Type]]="P",Games[[#This Row],[Round]]=3),IF(Games[[#This Row],[Result]]&lt;0.5,1,0),0)</f>
        <v>0</v>
      </c>
      <c r="AK318" s="2">
        <f>IF(AND(Games[[#This Row],[Type]]="P",Games[[#This Row],[Round]]=4),IF(Games[[#This Row],[Result]]&gt;0.5,1,0),0)</f>
        <v>0</v>
      </c>
      <c r="AL318" s="2">
        <f>IF(AND(Games[[#This Row],[Type]]="P",Games[[#This Row],[Round]]=4),IF(Games[[#This Row],[Result]]&lt;0.5,1,0),0)</f>
        <v>0</v>
      </c>
    </row>
    <row r="319" spans="1:38" x14ac:dyDescent="0.35">
      <c r="A319" s="10">
        <v>44439</v>
      </c>
      <c r="B319" s="2">
        <v>2021</v>
      </c>
      <c r="C319" s="2">
        <f>COUNTIFS(Games[Team],Games[[#This Row],[Team]],Games[Season],Games[[#This Row],[Season]],Games[Date],"&lt;=" &amp; Games[[#This Row],[Date]])</f>
        <v>26</v>
      </c>
      <c r="D319" s="2" t="s">
        <v>79</v>
      </c>
      <c r="E319" s="2" t="s">
        <v>80</v>
      </c>
      <c r="F319" s="1" t="s">
        <v>65</v>
      </c>
      <c r="G319" s="1" t="s">
        <v>74</v>
      </c>
      <c r="H319" s="1" t="s">
        <v>82</v>
      </c>
      <c r="I319" s="2" cm="1">
        <f t="array" ref="I31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19" s="2" cm="1">
        <f t="array" ref="J31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19" s="2">
        <f>Games[[#This Row],[DaysOff]]-Games[[#This Row],[OppDaysOff]]</f>
        <v>0</v>
      </c>
      <c r="L319" s="2">
        <f>Games[[#This Row],[OppDaysOff]]-Games[[#This Row],[DaysOff]]</f>
        <v>0</v>
      </c>
      <c r="M319" s="1">
        <f>MAX(-16, MIN(16, Games[[#This Row],[RestDiff]]*8))</f>
        <v>0</v>
      </c>
      <c r="N319" s="1">
        <f>MAX(-16, MIN(16, Games[[#This Row],[OppRestDiff]]*8))</f>
        <v>0</v>
      </c>
      <c r="O319" s="4" cm="1">
        <f t="array" ref="O3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1441.3112574991746</v>
      </c>
      <c r="P319" s="4" cm="1">
        <f t="array" ref="P3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1654.8512320893949</v>
      </c>
      <c r="Q319" s="4">
        <f>1/(1+10^(((Games[[#This Row],[OppPreGmRate]]+IF(Games[[#This Row],[HomeAway]]="A",HCA,0)+Games[[#This Row],[OppRestAdj]])-(Games[[#This Row],[PreGmRate]]+IF(Games[[#This Row],[HomeAway]]="H",HCA,0)+Games[[#This Row],[RestAdj]]))/400))</f>
        <v>0.32176070826408198</v>
      </c>
      <c r="R319" s="1">
        <v>75</v>
      </c>
      <c r="S319" s="1">
        <v>85</v>
      </c>
      <c r="T319" s="1">
        <v>0</v>
      </c>
      <c r="U319" s="1">
        <f>Games[[#This Row],[PointsFor]]-Games[[#This Row],[PointsAgainst]]</f>
        <v>-10</v>
      </c>
      <c r="V319" s="1">
        <f>IF(Games[[#This Row],[MOV]]&gt;0,1,IF(Games[[#This Row],[MOV]]=0,0.5,0))</f>
        <v>0</v>
      </c>
      <c r="W319" s="4">
        <f>((ABS(Games[[#This Row],[MOV]])+5)^0.6)/(12+0.01*(ABS(Games[[#This Row],[PreGmRate]]-Games[[#This Row],[OppPreGmRate]])))*IF(Games[[#This Row],[OT]]=1,0.9,1)</f>
        <v>0.35920854615090542</v>
      </c>
      <c r="X319" s="7" cm="1">
        <f t="array" ref="X3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19" s="9">
        <f>MAX(kmin, kmax - 0.15 * MIN(Games[[#This Row],[GamesPlayed]], 82))</f>
        <v>72.099999999999994</v>
      </c>
      <c r="Z319" s="4">
        <f>Games[[#This Row],[K]]*Games[[#This Row],[POMult]]</f>
        <v>72.099999999999994</v>
      </c>
      <c r="AA319" s="4">
        <f>(Games[[#This Row],[Keff]]*Games[[#This Row],[MOVMult]])*(Games[[#This Row],[Result]]-Games[[#This Row],[ExpectedWin%]])</f>
        <v>-8.3332600477523116</v>
      </c>
      <c r="AB319" s="4">
        <f>Games[[#This Row],[PreGmRate]]+Games[[#This Row],[RatingChange]]</f>
        <v>1432.9779974514224</v>
      </c>
      <c r="AC319" s="2">
        <f>IF(Games[[#This Row],[Type]]="R",IF(Games[[#This Row],[Result]]&gt;0.5,1,0),0)</f>
        <v>0</v>
      </c>
      <c r="AD319" s="2">
        <f>IF(Games[[#This Row],[Type]]="R",IF(Games[[#This Row],[Result]]&lt;0.5,1,0),0)</f>
        <v>1</v>
      </c>
      <c r="AE319" s="2">
        <f>IF(AND(Games[[#This Row],[Type]]="P",Games[[#This Row],[Round]]=1),IF(Games[[#This Row],[Result]]&gt;0.5,1,0),0)</f>
        <v>0</v>
      </c>
      <c r="AF319" s="2">
        <f>IF(AND(Games[[#This Row],[Type]]="P",Games[[#This Row],[Round]]=1),IF(Games[[#This Row],[Result]]&lt;0.5,1,0),0)</f>
        <v>0</v>
      </c>
      <c r="AG319" s="2">
        <f>IF(AND(Games[[#This Row],[Type]]="P",Games[[#This Row],[Round]]=2),IF(Games[[#This Row],[Result]]&gt;0.5,1,0),0)</f>
        <v>0</v>
      </c>
      <c r="AH319" s="2">
        <f>IF(AND(Games[[#This Row],[Type]]="P",Games[[#This Row],[Round]]=2),IF(Games[[#This Row],[Result]]&lt;0.5,1,0),0)</f>
        <v>0</v>
      </c>
      <c r="AI319" s="2">
        <f>IF(AND(Games[[#This Row],[Type]]="P",Games[[#This Row],[Round]]=3),IF(Games[[#This Row],[Result]]&gt;0.5,1,0),0)</f>
        <v>0</v>
      </c>
      <c r="AJ319" s="2">
        <f>IF(AND(Games[[#This Row],[Type]]="P",Games[[#This Row],[Round]]=3),IF(Games[[#This Row],[Result]]&lt;0.5,1,0),0)</f>
        <v>0</v>
      </c>
      <c r="AK319" s="2">
        <f>IF(AND(Games[[#This Row],[Type]]="P",Games[[#This Row],[Round]]=4),IF(Games[[#This Row],[Result]]&gt;0.5,1,0),0)</f>
        <v>0</v>
      </c>
      <c r="AL319" s="2">
        <f>IF(AND(Games[[#This Row],[Type]]="P",Games[[#This Row],[Round]]=4),IF(Games[[#This Row],[Result]]&lt;0.5,1,0),0)</f>
        <v>0</v>
      </c>
    </row>
    <row r="320" spans="1:38" x14ac:dyDescent="0.35">
      <c r="A320" s="10">
        <v>44441</v>
      </c>
      <c r="B320" s="2">
        <v>2021</v>
      </c>
      <c r="C320" s="2">
        <f>COUNTIFS(Games[Team],Games[[#This Row],[Team]],Games[Season],Games[[#This Row],[Season]],Games[Date],"&lt;=" &amp; Games[[#This Row],[Date]])</f>
        <v>26</v>
      </c>
      <c r="D320" s="2" t="s">
        <v>79</v>
      </c>
      <c r="E320" s="2" t="s">
        <v>80</v>
      </c>
      <c r="F320" s="1" t="s">
        <v>77</v>
      </c>
      <c r="G320" s="1" t="s">
        <v>84</v>
      </c>
      <c r="H320" s="1" t="s">
        <v>81</v>
      </c>
      <c r="I320" s="2" cm="1">
        <f t="array" ref="I320">IFERROR(
    Games[[#This Row],[Date]]
    - LOOKUP(
        2,
        1/((Games[Team]=Games[[#This Row],[Team]]) * (Games[Date] &lt; Games[[#This Row],[Date]])),
        Games[Date]
    )
    - 1,
Games[[#This Row],[Date]]-$A$2)</f>
        <v>6</v>
      </c>
      <c r="J320" s="2" cm="1">
        <f t="array" ref="J32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0" s="2">
        <f>Games[[#This Row],[DaysOff]]-Games[[#This Row],[OppDaysOff]]</f>
        <v>2</v>
      </c>
      <c r="L320" s="2">
        <f>Games[[#This Row],[OppDaysOff]]-Games[[#This Row],[DaysOff]]</f>
        <v>-2</v>
      </c>
      <c r="M320" s="1">
        <f>MAX(-16, MIN(16, Games[[#This Row],[RestDiff]]*8))</f>
        <v>16</v>
      </c>
      <c r="N320" s="1">
        <f>MAX(-16, MIN(16, Games[[#This Row],[OppRestDiff]]*8))</f>
        <v>-16</v>
      </c>
      <c r="O320" s="4" cm="1">
        <f t="array" ref="O3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1327.3298065858928</v>
      </c>
      <c r="P320" s="4" cm="1">
        <f t="array" ref="P3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1466.3877358169941</v>
      </c>
      <c r="Q320" s="4">
        <f>1/(1+10^(((Games[[#This Row],[OppPreGmRate]]+IF(Games[[#This Row],[HomeAway]]="A",HCA,0)+Games[[#This Row],[OppRestAdj]])-(Games[[#This Row],[PreGmRate]]+IF(Games[[#This Row],[HomeAway]]="H",HCA,0)+Games[[#This Row],[RestAdj]]))/400))</f>
        <v>0.24977402550326736</v>
      </c>
      <c r="R320" s="1">
        <v>68</v>
      </c>
      <c r="S320" s="1">
        <v>72</v>
      </c>
      <c r="T320" s="1">
        <v>0</v>
      </c>
      <c r="U320" s="1">
        <f>Games[[#This Row],[PointsFor]]-Games[[#This Row],[PointsAgainst]]</f>
        <v>-4</v>
      </c>
      <c r="V320" s="1">
        <f>IF(Games[[#This Row],[MOV]]&gt;0,1,IF(Games[[#This Row],[MOV]]=0,0.5,0))</f>
        <v>0</v>
      </c>
      <c r="W320" s="4">
        <f>((ABS(Games[[#This Row],[MOV]])+5)^0.6)/(12+0.01*(ABS(Games[[#This Row],[PreGmRate]]-Games[[#This Row],[OppPreGmRate]])))*IF(Games[[#This Row],[OT]]=1,0.9,1)</f>
        <v>0.27909119816739225</v>
      </c>
      <c r="X320" s="7" cm="1">
        <f t="array" ref="X3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0" s="9">
        <f>MAX(kmin, kmax - 0.15 * MIN(Games[[#This Row],[GamesPlayed]], 82))</f>
        <v>72.099999999999994</v>
      </c>
      <c r="Z320" s="4">
        <f>Games[[#This Row],[K]]*Games[[#This Row],[POMult]]</f>
        <v>72.099999999999994</v>
      </c>
      <c r="AA320" s="4">
        <f>(Games[[#This Row],[Keff]]*Games[[#This Row],[MOVMult]])*(Games[[#This Row],[Result]]-Games[[#This Row],[ExpectedWin%]])</f>
        <v>-5.0260716807184567</v>
      </c>
      <c r="AB320" s="4">
        <f>Games[[#This Row],[PreGmRate]]+Games[[#This Row],[RatingChange]]</f>
        <v>1322.3037349051745</v>
      </c>
      <c r="AC320" s="2">
        <f>IF(Games[[#This Row],[Type]]="R",IF(Games[[#This Row],[Result]]&gt;0.5,1,0),0)</f>
        <v>0</v>
      </c>
      <c r="AD320" s="2">
        <f>IF(Games[[#This Row],[Type]]="R",IF(Games[[#This Row],[Result]]&lt;0.5,1,0),0)</f>
        <v>1</v>
      </c>
      <c r="AE320" s="2">
        <f>IF(AND(Games[[#This Row],[Type]]="P",Games[[#This Row],[Round]]=1),IF(Games[[#This Row],[Result]]&gt;0.5,1,0),0)</f>
        <v>0</v>
      </c>
      <c r="AF320" s="2">
        <f>IF(AND(Games[[#This Row],[Type]]="P",Games[[#This Row],[Round]]=1),IF(Games[[#This Row],[Result]]&lt;0.5,1,0),0)</f>
        <v>0</v>
      </c>
      <c r="AG320" s="2">
        <f>IF(AND(Games[[#This Row],[Type]]="P",Games[[#This Row],[Round]]=2),IF(Games[[#This Row],[Result]]&gt;0.5,1,0),0)</f>
        <v>0</v>
      </c>
      <c r="AH320" s="2">
        <f>IF(AND(Games[[#This Row],[Type]]="P",Games[[#This Row],[Round]]=2),IF(Games[[#This Row],[Result]]&lt;0.5,1,0),0)</f>
        <v>0</v>
      </c>
      <c r="AI320" s="2">
        <f>IF(AND(Games[[#This Row],[Type]]="P",Games[[#This Row],[Round]]=3),IF(Games[[#This Row],[Result]]&gt;0.5,1,0),0)</f>
        <v>0</v>
      </c>
      <c r="AJ320" s="2">
        <f>IF(AND(Games[[#This Row],[Type]]="P",Games[[#This Row],[Round]]=3),IF(Games[[#This Row],[Result]]&lt;0.5,1,0),0)</f>
        <v>0</v>
      </c>
      <c r="AK320" s="2">
        <f>IF(AND(Games[[#This Row],[Type]]="P",Games[[#This Row],[Round]]=4),IF(Games[[#This Row],[Result]]&gt;0.5,1,0),0)</f>
        <v>0</v>
      </c>
      <c r="AL320" s="2">
        <f>IF(AND(Games[[#This Row],[Type]]="P",Games[[#This Row],[Round]]=4),IF(Games[[#This Row],[Result]]&lt;0.5,1,0),0)</f>
        <v>0</v>
      </c>
    </row>
    <row r="321" spans="1:38" x14ac:dyDescent="0.35">
      <c r="A321" s="10">
        <v>44441</v>
      </c>
      <c r="B321" s="2">
        <v>2021</v>
      </c>
      <c r="C321" s="2">
        <f>COUNTIFS(Games[Team],Games[[#This Row],[Team]],Games[Season],Games[[#This Row],[Season]],Games[Date],"&lt;=" &amp; Games[[#This Row],[Date]])</f>
        <v>27</v>
      </c>
      <c r="D321" s="2" t="s">
        <v>79</v>
      </c>
      <c r="E321" s="2" t="s">
        <v>80</v>
      </c>
      <c r="F321" s="1" t="s">
        <v>84</v>
      </c>
      <c r="G321" s="1" t="s">
        <v>77</v>
      </c>
      <c r="H321" s="1" t="s">
        <v>82</v>
      </c>
      <c r="I321" s="2" cm="1">
        <f t="array" ref="I32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1" s="2" cm="1">
        <f t="array" ref="J321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21" s="2">
        <f>Games[[#This Row],[DaysOff]]-Games[[#This Row],[OppDaysOff]]</f>
        <v>-2</v>
      </c>
      <c r="L321" s="2">
        <f>Games[[#This Row],[OppDaysOff]]-Games[[#This Row],[DaysOff]]</f>
        <v>2</v>
      </c>
      <c r="M321" s="1">
        <f>MAX(-16, MIN(16, Games[[#This Row],[RestDiff]]*8))</f>
        <v>-16</v>
      </c>
      <c r="N321" s="1">
        <f>MAX(-16, MIN(16, Games[[#This Row],[OppRestDiff]]*8))</f>
        <v>16</v>
      </c>
      <c r="O321" s="4" cm="1">
        <f t="array" ref="O3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1466.3877358169941</v>
      </c>
      <c r="P321" s="4" cm="1">
        <f t="array" ref="P3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1327.3298065858928</v>
      </c>
      <c r="Q321" s="4">
        <f>1/(1+10^(((Games[[#This Row],[OppPreGmRate]]+IF(Games[[#This Row],[HomeAway]]="A",HCA,0)+Games[[#This Row],[OppRestAdj]])-(Games[[#This Row],[PreGmRate]]+IF(Games[[#This Row],[HomeAway]]="H",HCA,0)+Games[[#This Row],[RestAdj]]))/400))</f>
        <v>0.75022597449673256</v>
      </c>
      <c r="R321" s="1">
        <v>72</v>
      </c>
      <c r="S321" s="1">
        <v>68</v>
      </c>
      <c r="T321" s="1">
        <v>0</v>
      </c>
      <c r="U321" s="1">
        <f>Games[[#This Row],[PointsFor]]-Games[[#This Row],[PointsAgainst]]</f>
        <v>4</v>
      </c>
      <c r="V321" s="1">
        <f>IF(Games[[#This Row],[MOV]]&gt;0,1,IF(Games[[#This Row],[MOV]]=0,0.5,0))</f>
        <v>1</v>
      </c>
      <c r="W321" s="4">
        <f>((ABS(Games[[#This Row],[MOV]])+5)^0.6)/(12+0.01*(ABS(Games[[#This Row],[PreGmRate]]-Games[[#This Row],[OppPreGmRate]])))*IF(Games[[#This Row],[OT]]=1,0.9,1)</f>
        <v>0.27909119816739225</v>
      </c>
      <c r="X321" s="7" cm="1">
        <f t="array" ref="X3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1" s="9">
        <f>MAX(kmin, kmax - 0.15 * MIN(Games[[#This Row],[GamesPlayed]], 82))</f>
        <v>71.95</v>
      </c>
      <c r="Z321" s="4">
        <f>Games[[#This Row],[K]]*Games[[#This Row],[POMult]]</f>
        <v>71.95</v>
      </c>
      <c r="AA321" s="4">
        <f>(Games[[#This Row],[Keff]]*Games[[#This Row],[MOVMult]])*(Games[[#This Row],[Result]]-Games[[#This Row],[ExpectedWin%]])</f>
        <v>5.0156152209111386</v>
      </c>
      <c r="AB321" s="4">
        <f>Games[[#This Row],[PreGmRate]]+Games[[#This Row],[RatingChange]]</f>
        <v>1471.4033510379052</v>
      </c>
      <c r="AC321" s="2">
        <f>IF(Games[[#This Row],[Type]]="R",IF(Games[[#This Row],[Result]]&gt;0.5,1,0),0)</f>
        <v>1</v>
      </c>
      <c r="AD321" s="2">
        <f>IF(Games[[#This Row],[Type]]="R",IF(Games[[#This Row],[Result]]&lt;0.5,1,0),0)</f>
        <v>0</v>
      </c>
      <c r="AE321" s="2">
        <f>IF(AND(Games[[#This Row],[Type]]="P",Games[[#This Row],[Round]]=1),IF(Games[[#This Row],[Result]]&gt;0.5,1,0),0)</f>
        <v>0</v>
      </c>
      <c r="AF321" s="2">
        <f>IF(AND(Games[[#This Row],[Type]]="P",Games[[#This Row],[Round]]=1),IF(Games[[#This Row],[Result]]&lt;0.5,1,0),0)</f>
        <v>0</v>
      </c>
      <c r="AG321" s="2">
        <f>IF(AND(Games[[#This Row],[Type]]="P",Games[[#This Row],[Round]]=2),IF(Games[[#This Row],[Result]]&gt;0.5,1,0),0)</f>
        <v>0</v>
      </c>
      <c r="AH321" s="2">
        <f>IF(AND(Games[[#This Row],[Type]]="P",Games[[#This Row],[Round]]=2),IF(Games[[#This Row],[Result]]&lt;0.5,1,0),0)</f>
        <v>0</v>
      </c>
      <c r="AI321" s="2">
        <f>IF(AND(Games[[#This Row],[Type]]="P",Games[[#This Row],[Round]]=3),IF(Games[[#This Row],[Result]]&gt;0.5,1,0),0)</f>
        <v>0</v>
      </c>
      <c r="AJ321" s="2">
        <f>IF(AND(Games[[#This Row],[Type]]="P",Games[[#This Row],[Round]]=3),IF(Games[[#This Row],[Result]]&lt;0.5,1,0),0)</f>
        <v>0</v>
      </c>
      <c r="AK321" s="2">
        <f>IF(AND(Games[[#This Row],[Type]]="P",Games[[#This Row],[Round]]=4),IF(Games[[#This Row],[Result]]&gt;0.5,1,0),0)</f>
        <v>0</v>
      </c>
      <c r="AL321" s="2">
        <f>IF(AND(Games[[#This Row],[Type]]="P",Games[[#This Row],[Round]]=4),IF(Games[[#This Row],[Result]]&lt;0.5,1,0),0)</f>
        <v>0</v>
      </c>
    </row>
    <row r="322" spans="1:38" x14ac:dyDescent="0.35">
      <c r="A322" s="10">
        <v>44441</v>
      </c>
      <c r="B322" s="2">
        <v>2021</v>
      </c>
      <c r="C322" s="2">
        <f>COUNTIFS(Games[Team],Games[[#This Row],[Team]],Games[Season],Games[[#This Row],[Season]],Games[Date],"&lt;=" &amp; Games[[#This Row],[Date]])</f>
        <v>28</v>
      </c>
      <c r="D322" s="2" t="s">
        <v>79</v>
      </c>
      <c r="E322" s="2" t="s">
        <v>80</v>
      </c>
      <c r="F322" s="1" t="s">
        <v>75</v>
      </c>
      <c r="G322" s="1" t="s">
        <v>85</v>
      </c>
      <c r="H322" s="1" t="s">
        <v>81</v>
      </c>
      <c r="I322" s="2" cm="1">
        <f t="array" ref="I32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2" s="2" cm="1">
        <f t="array" ref="J32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22" s="2">
        <f>Games[[#This Row],[DaysOff]]-Games[[#This Row],[OppDaysOff]]</f>
        <v>-3</v>
      </c>
      <c r="L322" s="2">
        <f>Games[[#This Row],[OppDaysOff]]-Games[[#This Row],[DaysOff]]</f>
        <v>3</v>
      </c>
      <c r="M322" s="1">
        <f>MAX(-16, MIN(16, Games[[#This Row],[RestDiff]]*8))</f>
        <v>-16</v>
      </c>
      <c r="N322" s="1">
        <f>MAX(-16, MIN(16, Games[[#This Row],[OppRestDiff]]*8))</f>
        <v>16</v>
      </c>
      <c r="O322" s="4" cm="1">
        <f t="array" ref="O32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1557.8243220859417</v>
      </c>
      <c r="P322" s="4" cm="1">
        <f t="array" ref="P32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1640.8911552009129</v>
      </c>
      <c r="Q322" s="4">
        <f>1/(1+10^(((Games[[#This Row],[OppPreGmRate]]+IF(Games[[#This Row],[HomeAway]]="A",HCA,0)+Games[[#This Row],[OppRestAdj]])-(Games[[#This Row],[PreGmRate]]+IF(Games[[#This Row],[HomeAway]]="H",HCA,0)+Games[[#This Row],[RestAdj]]))/400))</f>
        <v>0.24123495301627221</v>
      </c>
      <c r="R322" s="1">
        <v>83</v>
      </c>
      <c r="S322" s="1">
        <v>90</v>
      </c>
      <c r="T322" s="1">
        <v>0</v>
      </c>
      <c r="U322" s="1">
        <f>Games[[#This Row],[PointsFor]]-Games[[#This Row],[PointsAgainst]]</f>
        <v>-7</v>
      </c>
      <c r="V322" s="1">
        <f>IF(Games[[#This Row],[MOV]]&gt;0,1,IF(Games[[#This Row],[MOV]]=0,0.5,0))</f>
        <v>0</v>
      </c>
      <c r="W322" s="4">
        <f>((ABS(Games[[#This Row],[MOV]])+5)^0.6)/(12+0.01*(ABS(Games[[#This Row],[PreGmRate]]-Games[[#This Row],[OppPreGmRate]])))*IF(Games[[#This Row],[OT]]=1,0.9,1)</f>
        <v>0.34614612078027834</v>
      </c>
      <c r="X322" s="7" cm="1">
        <f t="array" ref="X32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2" s="9">
        <f>MAX(kmin, kmax - 0.15 * MIN(Games[[#This Row],[GamesPlayed]], 82))</f>
        <v>71.8</v>
      </c>
      <c r="Z322" s="4">
        <f>Games[[#This Row],[K]]*Games[[#This Row],[POMult]]</f>
        <v>71.8</v>
      </c>
      <c r="AA322" s="4">
        <f>(Games[[#This Row],[Keff]]*Games[[#This Row],[MOVMult]])*(Games[[#This Row],[Result]]-Games[[#This Row],[ExpectedWin%]])</f>
        <v>-5.9954826005534239</v>
      </c>
      <c r="AB322" s="4">
        <f>Games[[#This Row],[PreGmRate]]+Games[[#This Row],[RatingChange]]</f>
        <v>1551.8288394853882</v>
      </c>
      <c r="AC322" s="2">
        <f>IF(Games[[#This Row],[Type]]="R",IF(Games[[#This Row],[Result]]&gt;0.5,1,0),0)</f>
        <v>0</v>
      </c>
      <c r="AD322" s="2">
        <f>IF(Games[[#This Row],[Type]]="R",IF(Games[[#This Row],[Result]]&lt;0.5,1,0),0)</f>
        <v>1</v>
      </c>
      <c r="AE322" s="2">
        <f>IF(AND(Games[[#This Row],[Type]]="P",Games[[#This Row],[Round]]=1),IF(Games[[#This Row],[Result]]&gt;0.5,1,0),0)</f>
        <v>0</v>
      </c>
      <c r="AF322" s="2">
        <f>IF(AND(Games[[#This Row],[Type]]="P",Games[[#This Row],[Round]]=1),IF(Games[[#This Row],[Result]]&lt;0.5,1,0),0)</f>
        <v>0</v>
      </c>
      <c r="AG322" s="2">
        <f>IF(AND(Games[[#This Row],[Type]]="P",Games[[#This Row],[Round]]=2),IF(Games[[#This Row],[Result]]&gt;0.5,1,0),0)</f>
        <v>0</v>
      </c>
      <c r="AH322" s="2">
        <f>IF(AND(Games[[#This Row],[Type]]="P",Games[[#This Row],[Round]]=2),IF(Games[[#This Row],[Result]]&lt;0.5,1,0),0)</f>
        <v>0</v>
      </c>
      <c r="AI322" s="2">
        <f>IF(AND(Games[[#This Row],[Type]]="P",Games[[#This Row],[Round]]=3),IF(Games[[#This Row],[Result]]&gt;0.5,1,0),0)</f>
        <v>0</v>
      </c>
      <c r="AJ322" s="2">
        <f>IF(AND(Games[[#This Row],[Type]]="P",Games[[#This Row],[Round]]=3),IF(Games[[#This Row],[Result]]&lt;0.5,1,0),0)</f>
        <v>0</v>
      </c>
      <c r="AK322" s="2">
        <f>IF(AND(Games[[#This Row],[Type]]="P",Games[[#This Row],[Round]]=4),IF(Games[[#This Row],[Result]]&gt;0.5,1,0),0)</f>
        <v>0</v>
      </c>
      <c r="AL322" s="2">
        <f>IF(AND(Games[[#This Row],[Type]]="P",Games[[#This Row],[Round]]=4),IF(Games[[#This Row],[Result]]&lt;0.5,1,0),0)</f>
        <v>0</v>
      </c>
    </row>
    <row r="323" spans="1:38" x14ac:dyDescent="0.35">
      <c r="A323" s="10">
        <v>44441</v>
      </c>
      <c r="B323" s="2">
        <v>2021</v>
      </c>
      <c r="C323" s="2">
        <f>COUNTIFS(Games[Team],Games[[#This Row],[Team]],Games[Season],Games[[#This Row],[Season]],Games[Date],"&lt;=" &amp; Games[[#This Row],[Date]])</f>
        <v>27</v>
      </c>
      <c r="D323" s="2" t="s">
        <v>79</v>
      </c>
      <c r="E323" s="2" t="s">
        <v>80</v>
      </c>
      <c r="F323" s="1" t="s">
        <v>85</v>
      </c>
      <c r="G323" s="1" t="s">
        <v>75</v>
      </c>
      <c r="H323" s="1" t="s">
        <v>82</v>
      </c>
      <c r="I323" s="2" cm="1">
        <f t="array" ref="I32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23" s="2" cm="1">
        <f t="array" ref="J32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3" s="2">
        <f>Games[[#This Row],[DaysOff]]-Games[[#This Row],[OppDaysOff]]</f>
        <v>3</v>
      </c>
      <c r="L323" s="2">
        <f>Games[[#This Row],[OppDaysOff]]-Games[[#This Row],[DaysOff]]</f>
        <v>-3</v>
      </c>
      <c r="M323" s="1">
        <f>MAX(-16, MIN(16, Games[[#This Row],[RestDiff]]*8))</f>
        <v>16</v>
      </c>
      <c r="N323" s="1">
        <f>MAX(-16, MIN(16, Games[[#This Row],[OppRestDiff]]*8))</f>
        <v>-16</v>
      </c>
      <c r="O323" s="4" cm="1">
        <f t="array" ref="O32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1640.8911552009129</v>
      </c>
      <c r="P323" s="4" cm="1">
        <f t="array" ref="P32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1557.8243220859417</v>
      </c>
      <c r="Q323" s="4">
        <f>1/(1+10^(((Games[[#This Row],[OppPreGmRate]]+IF(Games[[#This Row],[HomeAway]]="A",HCA,0)+Games[[#This Row],[OppRestAdj]])-(Games[[#This Row],[PreGmRate]]+IF(Games[[#This Row],[HomeAway]]="H",HCA,0)+Games[[#This Row],[RestAdj]]))/400))</f>
        <v>0.75876504698372782</v>
      </c>
      <c r="R323" s="1">
        <v>90</v>
      </c>
      <c r="S323" s="1">
        <v>83</v>
      </c>
      <c r="T323" s="1">
        <v>0</v>
      </c>
      <c r="U323" s="1">
        <f>Games[[#This Row],[PointsFor]]-Games[[#This Row],[PointsAgainst]]</f>
        <v>7</v>
      </c>
      <c r="V323" s="1">
        <f>IF(Games[[#This Row],[MOV]]&gt;0,1,IF(Games[[#This Row],[MOV]]=0,0.5,0))</f>
        <v>1</v>
      </c>
      <c r="W323" s="4">
        <f>((ABS(Games[[#This Row],[MOV]])+5)^0.6)/(12+0.01*(ABS(Games[[#This Row],[PreGmRate]]-Games[[#This Row],[OppPreGmRate]])))*IF(Games[[#This Row],[OT]]=1,0.9,1)</f>
        <v>0.34614612078027834</v>
      </c>
      <c r="X323" s="7" cm="1">
        <f t="array" ref="X32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3" s="9">
        <f>MAX(kmin, kmax - 0.15 * MIN(Games[[#This Row],[GamesPlayed]], 82))</f>
        <v>71.95</v>
      </c>
      <c r="Z323" s="4">
        <f>Games[[#This Row],[K]]*Games[[#This Row],[POMult]]</f>
        <v>71.95</v>
      </c>
      <c r="AA323" s="4">
        <f>(Games[[#This Row],[Keff]]*Games[[#This Row],[MOVMult]])*(Games[[#This Row],[Result]]-Games[[#This Row],[ExpectedWin%]])</f>
        <v>6.0080079820309038</v>
      </c>
      <c r="AB323" s="4">
        <f>Games[[#This Row],[PreGmRate]]+Games[[#This Row],[RatingChange]]</f>
        <v>1646.8991631829438</v>
      </c>
      <c r="AC323" s="2">
        <f>IF(Games[[#This Row],[Type]]="R",IF(Games[[#This Row],[Result]]&gt;0.5,1,0),0)</f>
        <v>1</v>
      </c>
      <c r="AD323" s="2">
        <f>IF(Games[[#This Row],[Type]]="R",IF(Games[[#This Row],[Result]]&lt;0.5,1,0),0)</f>
        <v>0</v>
      </c>
      <c r="AE323" s="2">
        <f>IF(AND(Games[[#This Row],[Type]]="P",Games[[#This Row],[Round]]=1),IF(Games[[#This Row],[Result]]&gt;0.5,1,0),0)</f>
        <v>0</v>
      </c>
      <c r="AF323" s="2">
        <f>IF(AND(Games[[#This Row],[Type]]="P",Games[[#This Row],[Round]]=1),IF(Games[[#This Row],[Result]]&lt;0.5,1,0),0)</f>
        <v>0</v>
      </c>
      <c r="AG323" s="2">
        <f>IF(AND(Games[[#This Row],[Type]]="P",Games[[#This Row],[Round]]=2),IF(Games[[#This Row],[Result]]&gt;0.5,1,0),0)</f>
        <v>0</v>
      </c>
      <c r="AH323" s="2">
        <f>IF(AND(Games[[#This Row],[Type]]="P",Games[[#This Row],[Round]]=2),IF(Games[[#This Row],[Result]]&lt;0.5,1,0),0)</f>
        <v>0</v>
      </c>
      <c r="AI323" s="2">
        <f>IF(AND(Games[[#This Row],[Type]]="P",Games[[#This Row],[Round]]=3),IF(Games[[#This Row],[Result]]&gt;0.5,1,0),0)</f>
        <v>0</v>
      </c>
      <c r="AJ323" s="2">
        <f>IF(AND(Games[[#This Row],[Type]]="P",Games[[#This Row],[Round]]=3),IF(Games[[#This Row],[Result]]&lt;0.5,1,0),0)</f>
        <v>0</v>
      </c>
      <c r="AK323" s="2">
        <f>IF(AND(Games[[#This Row],[Type]]="P",Games[[#This Row],[Round]]=4),IF(Games[[#This Row],[Result]]&gt;0.5,1,0),0)</f>
        <v>0</v>
      </c>
      <c r="AL323" s="2">
        <f>IF(AND(Games[[#This Row],[Type]]="P",Games[[#This Row],[Round]]=4),IF(Games[[#This Row],[Result]]&lt;0.5,1,0),0)</f>
        <v>0</v>
      </c>
    </row>
    <row r="324" spans="1:38" x14ac:dyDescent="0.35">
      <c r="A324" s="10">
        <v>44441</v>
      </c>
      <c r="B324" s="2">
        <v>2021</v>
      </c>
      <c r="C324" s="2">
        <f>COUNTIFS(Games[Team],Games[[#This Row],[Team]],Games[Season],Games[[#This Row],[Season]],Games[Date],"&lt;=" &amp; Games[[#This Row],[Date]])</f>
        <v>28</v>
      </c>
      <c r="D324" s="2" t="s">
        <v>79</v>
      </c>
      <c r="E324" s="2" t="s">
        <v>80</v>
      </c>
      <c r="F324" s="1" t="s">
        <v>63</v>
      </c>
      <c r="G324" s="1" t="s">
        <v>67</v>
      </c>
      <c r="H324" s="1" t="s">
        <v>81</v>
      </c>
      <c r="I324" s="2" cm="1">
        <f t="array" ref="I32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4" s="2" cm="1">
        <f t="array" ref="J32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4" s="2">
        <f>Games[[#This Row],[DaysOff]]-Games[[#This Row],[OppDaysOff]]</f>
        <v>0</v>
      </c>
      <c r="L324" s="2">
        <f>Games[[#This Row],[OppDaysOff]]-Games[[#This Row],[DaysOff]]</f>
        <v>0</v>
      </c>
      <c r="M324" s="1">
        <f>MAX(-16, MIN(16, Games[[#This Row],[RestDiff]]*8))</f>
        <v>0</v>
      </c>
      <c r="N324" s="1">
        <f>MAX(-16, MIN(16, Games[[#This Row],[OppRestDiff]]*8))</f>
        <v>0</v>
      </c>
      <c r="O324" s="4" cm="1">
        <f t="array" ref="O32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1409.3614139130107</v>
      </c>
      <c r="P324" s="4" cm="1">
        <f t="array" ref="P32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1607.7461684584362</v>
      </c>
      <c r="Q324" s="4">
        <f>1/(1+10^(((Games[[#This Row],[OppPreGmRate]]+IF(Games[[#This Row],[HomeAway]]="A",HCA,0)+Games[[#This Row],[OppRestAdj]])-(Games[[#This Row],[PreGmRate]]+IF(Games[[#This Row],[HomeAway]]="H",HCA,0)+Games[[#This Row],[RestAdj]]))/400))</f>
        <v>0.16444262172952731</v>
      </c>
      <c r="R324" s="1">
        <v>57</v>
      </c>
      <c r="S324" s="1">
        <v>66</v>
      </c>
      <c r="T324" s="1">
        <v>0</v>
      </c>
      <c r="U324" s="1">
        <f>Games[[#This Row],[PointsFor]]-Games[[#This Row],[PointsAgainst]]</f>
        <v>-9</v>
      </c>
      <c r="V324" s="1">
        <f>IF(Games[[#This Row],[MOV]]&gt;0,1,IF(Games[[#This Row],[MOV]]=0,0.5,0))</f>
        <v>0</v>
      </c>
      <c r="W324" s="4">
        <f>((ABS(Games[[#This Row],[MOV]])+5)^0.6)/(12+0.01*(ABS(Games[[#This Row],[PreGmRate]]-Games[[#This Row],[OppPreGmRate]])))*IF(Games[[#This Row],[OT]]=1,0.9,1)</f>
        <v>0.34837753414656963</v>
      </c>
      <c r="X324" s="7" cm="1">
        <f t="array" ref="X32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4" s="9">
        <f>MAX(kmin, kmax - 0.15 * MIN(Games[[#This Row],[GamesPlayed]], 82))</f>
        <v>71.8</v>
      </c>
      <c r="Z324" s="4">
        <f>Games[[#This Row],[K]]*Games[[#This Row],[POMult]]</f>
        <v>71.8</v>
      </c>
      <c r="AA324" s="4">
        <f>(Games[[#This Row],[Keff]]*Games[[#This Row],[MOVMult]])*(Games[[#This Row],[Result]]-Games[[#This Row],[ExpectedWin%]])</f>
        <v>-4.1132866617912018</v>
      </c>
      <c r="AB324" s="4">
        <f>Games[[#This Row],[PreGmRate]]+Games[[#This Row],[RatingChange]]</f>
        <v>1405.2481272512196</v>
      </c>
      <c r="AC324" s="2">
        <f>IF(Games[[#This Row],[Type]]="R",IF(Games[[#This Row],[Result]]&gt;0.5,1,0),0)</f>
        <v>0</v>
      </c>
      <c r="AD324" s="2">
        <f>IF(Games[[#This Row],[Type]]="R",IF(Games[[#This Row],[Result]]&lt;0.5,1,0),0)</f>
        <v>1</v>
      </c>
      <c r="AE324" s="2">
        <f>IF(AND(Games[[#This Row],[Type]]="P",Games[[#This Row],[Round]]=1),IF(Games[[#This Row],[Result]]&gt;0.5,1,0),0)</f>
        <v>0</v>
      </c>
      <c r="AF324" s="2">
        <f>IF(AND(Games[[#This Row],[Type]]="P",Games[[#This Row],[Round]]=1),IF(Games[[#This Row],[Result]]&lt;0.5,1,0),0)</f>
        <v>0</v>
      </c>
      <c r="AG324" s="2">
        <f>IF(AND(Games[[#This Row],[Type]]="P",Games[[#This Row],[Round]]=2),IF(Games[[#This Row],[Result]]&gt;0.5,1,0),0)</f>
        <v>0</v>
      </c>
      <c r="AH324" s="2">
        <f>IF(AND(Games[[#This Row],[Type]]="P",Games[[#This Row],[Round]]=2),IF(Games[[#This Row],[Result]]&lt;0.5,1,0),0)</f>
        <v>0</v>
      </c>
      <c r="AI324" s="2">
        <f>IF(AND(Games[[#This Row],[Type]]="P",Games[[#This Row],[Round]]=3),IF(Games[[#This Row],[Result]]&gt;0.5,1,0),0)</f>
        <v>0</v>
      </c>
      <c r="AJ324" s="2">
        <f>IF(AND(Games[[#This Row],[Type]]="P",Games[[#This Row],[Round]]=3),IF(Games[[#This Row],[Result]]&lt;0.5,1,0),0)</f>
        <v>0</v>
      </c>
      <c r="AK324" s="2">
        <f>IF(AND(Games[[#This Row],[Type]]="P",Games[[#This Row],[Round]]=4),IF(Games[[#This Row],[Result]]&gt;0.5,1,0),0)</f>
        <v>0</v>
      </c>
      <c r="AL324" s="2">
        <f>IF(AND(Games[[#This Row],[Type]]="P",Games[[#This Row],[Round]]=4),IF(Games[[#This Row],[Result]]&lt;0.5,1,0),0)</f>
        <v>0</v>
      </c>
    </row>
    <row r="325" spans="1:38" x14ac:dyDescent="0.35">
      <c r="A325" s="10">
        <v>44441</v>
      </c>
      <c r="B325" s="2">
        <v>2021</v>
      </c>
      <c r="C325" s="2">
        <f>COUNTIFS(Games[Team],Games[[#This Row],[Team]],Games[Season],Games[[#This Row],[Season]],Games[Date],"&lt;=" &amp; Games[[#This Row],[Date]])</f>
        <v>26</v>
      </c>
      <c r="D325" s="2" t="s">
        <v>79</v>
      </c>
      <c r="E325" s="2" t="s">
        <v>80</v>
      </c>
      <c r="F325" s="1" t="s">
        <v>67</v>
      </c>
      <c r="G325" s="1" t="s">
        <v>63</v>
      </c>
      <c r="H325" s="1" t="s">
        <v>82</v>
      </c>
      <c r="I325" s="2" cm="1">
        <f t="array" ref="I32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5" s="2" cm="1">
        <f t="array" ref="J32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5" s="2">
        <f>Games[[#This Row],[DaysOff]]-Games[[#This Row],[OppDaysOff]]</f>
        <v>0</v>
      </c>
      <c r="L325" s="2">
        <f>Games[[#This Row],[OppDaysOff]]-Games[[#This Row],[DaysOff]]</f>
        <v>0</v>
      </c>
      <c r="M325" s="1">
        <f>MAX(-16, MIN(16, Games[[#This Row],[RestDiff]]*8))</f>
        <v>0</v>
      </c>
      <c r="N325" s="1">
        <f>MAX(-16, MIN(16, Games[[#This Row],[OppRestDiff]]*8))</f>
        <v>0</v>
      </c>
      <c r="O325" s="4" cm="1">
        <f t="array" ref="O32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1607.7461684584362</v>
      </c>
      <c r="P325" s="4" cm="1">
        <f t="array" ref="P32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1409.3614139130107</v>
      </c>
      <c r="Q325" s="4">
        <f>1/(1+10^(((Games[[#This Row],[OppPreGmRate]]+IF(Games[[#This Row],[HomeAway]]="A",HCA,0)+Games[[#This Row],[OppRestAdj]])-(Games[[#This Row],[PreGmRate]]+IF(Games[[#This Row],[HomeAway]]="H",HCA,0)+Games[[#This Row],[RestAdj]]))/400))</f>
        <v>0.83555737827047272</v>
      </c>
      <c r="R325" s="1">
        <v>66</v>
      </c>
      <c r="S325" s="1">
        <v>57</v>
      </c>
      <c r="T325" s="1">
        <v>0</v>
      </c>
      <c r="U325" s="1">
        <f>Games[[#This Row],[PointsFor]]-Games[[#This Row],[PointsAgainst]]</f>
        <v>9</v>
      </c>
      <c r="V325" s="1">
        <f>IF(Games[[#This Row],[MOV]]&gt;0,1,IF(Games[[#This Row],[MOV]]=0,0.5,0))</f>
        <v>1</v>
      </c>
      <c r="W325" s="4">
        <f>((ABS(Games[[#This Row],[MOV]])+5)^0.6)/(12+0.01*(ABS(Games[[#This Row],[PreGmRate]]-Games[[#This Row],[OppPreGmRate]])))*IF(Games[[#This Row],[OT]]=1,0.9,1)</f>
        <v>0.34837753414656963</v>
      </c>
      <c r="X325" s="7" cm="1">
        <f t="array" ref="X32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5" s="9">
        <f>MAX(kmin, kmax - 0.15 * MIN(Games[[#This Row],[GamesPlayed]], 82))</f>
        <v>72.099999999999994</v>
      </c>
      <c r="Z325" s="4">
        <f>Games[[#This Row],[K]]*Games[[#This Row],[POMult]]</f>
        <v>72.099999999999994</v>
      </c>
      <c r="AA325" s="4">
        <f>(Games[[#This Row],[Keff]]*Games[[#This Row],[MOVMult]])*(Games[[#This Row],[Result]]-Games[[#This Row],[ExpectedWin%]])</f>
        <v>4.1304730963112197</v>
      </c>
      <c r="AB325" s="4">
        <f>Games[[#This Row],[PreGmRate]]+Games[[#This Row],[RatingChange]]</f>
        <v>1611.8766415547473</v>
      </c>
      <c r="AC325" s="2">
        <f>IF(Games[[#This Row],[Type]]="R",IF(Games[[#This Row],[Result]]&gt;0.5,1,0),0)</f>
        <v>1</v>
      </c>
      <c r="AD325" s="2">
        <f>IF(Games[[#This Row],[Type]]="R",IF(Games[[#This Row],[Result]]&lt;0.5,1,0),0)</f>
        <v>0</v>
      </c>
      <c r="AE325" s="2">
        <f>IF(AND(Games[[#This Row],[Type]]="P",Games[[#This Row],[Round]]=1),IF(Games[[#This Row],[Result]]&gt;0.5,1,0),0)</f>
        <v>0</v>
      </c>
      <c r="AF325" s="2">
        <f>IF(AND(Games[[#This Row],[Type]]="P",Games[[#This Row],[Round]]=1),IF(Games[[#This Row],[Result]]&lt;0.5,1,0),0)</f>
        <v>0</v>
      </c>
      <c r="AG325" s="2">
        <f>IF(AND(Games[[#This Row],[Type]]="P",Games[[#This Row],[Round]]=2),IF(Games[[#This Row],[Result]]&gt;0.5,1,0),0)</f>
        <v>0</v>
      </c>
      <c r="AH325" s="2">
        <f>IF(AND(Games[[#This Row],[Type]]="P",Games[[#This Row],[Round]]=2),IF(Games[[#This Row],[Result]]&lt;0.5,1,0),0)</f>
        <v>0</v>
      </c>
      <c r="AI325" s="2">
        <f>IF(AND(Games[[#This Row],[Type]]="P",Games[[#This Row],[Round]]=3),IF(Games[[#This Row],[Result]]&gt;0.5,1,0),0)</f>
        <v>0</v>
      </c>
      <c r="AJ325" s="2">
        <f>IF(AND(Games[[#This Row],[Type]]="P",Games[[#This Row],[Round]]=3),IF(Games[[#This Row],[Result]]&lt;0.5,1,0),0)</f>
        <v>0</v>
      </c>
      <c r="AK325" s="2">
        <f>IF(AND(Games[[#This Row],[Type]]="P",Games[[#This Row],[Round]]=4),IF(Games[[#This Row],[Result]]&gt;0.5,1,0),0)</f>
        <v>0</v>
      </c>
      <c r="AL325" s="2">
        <f>IF(AND(Games[[#This Row],[Type]]="P",Games[[#This Row],[Round]]=4),IF(Games[[#This Row],[Result]]&lt;0.5,1,0),0)</f>
        <v>0</v>
      </c>
    </row>
    <row r="326" spans="1:38" x14ac:dyDescent="0.35">
      <c r="A326" s="10">
        <v>44441</v>
      </c>
      <c r="B326" s="2">
        <v>2021</v>
      </c>
      <c r="C326" s="2">
        <f>COUNTIFS(Games[Team],Games[[#This Row],[Team]],Games[Season],Games[[#This Row],[Season]],Games[Date],"&lt;=" &amp; Games[[#This Row],[Date]])</f>
        <v>29</v>
      </c>
      <c r="D326" s="2" t="s">
        <v>79</v>
      </c>
      <c r="E326" s="2" t="s">
        <v>80</v>
      </c>
      <c r="F326" s="1" t="s">
        <v>60</v>
      </c>
      <c r="G326" s="1" t="s">
        <v>71</v>
      </c>
      <c r="H326" s="1" t="s">
        <v>81</v>
      </c>
      <c r="I326" s="2" cm="1">
        <f t="array" ref="I32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26" s="2" cm="1">
        <f t="array" ref="J32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6" s="2">
        <f>Games[[#This Row],[DaysOff]]-Games[[#This Row],[OppDaysOff]]</f>
        <v>-2</v>
      </c>
      <c r="L326" s="2">
        <f>Games[[#This Row],[OppDaysOff]]-Games[[#This Row],[DaysOff]]</f>
        <v>2</v>
      </c>
      <c r="M326" s="1">
        <f>MAX(-16, MIN(16, Games[[#This Row],[RestDiff]]*8))</f>
        <v>-16</v>
      </c>
      <c r="N326" s="1">
        <f>MAX(-16, MIN(16, Games[[#This Row],[OppRestDiff]]*8))</f>
        <v>16</v>
      </c>
      <c r="O326" s="4" cm="1">
        <f t="array" ref="O32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1358.2214536144852</v>
      </c>
      <c r="P326" s="4" cm="1">
        <f t="array" ref="P32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1619.5342489639693</v>
      </c>
      <c r="Q326" s="4">
        <f>1/(1+10^(((Games[[#This Row],[OppPreGmRate]]+IF(Games[[#This Row],[HomeAway]]="A",HCA,0)+Games[[#This Row],[OppRestAdj]])-(Games[[#This Row],[PreGmRate]]+IF(Games[[#This Row],[HomeAway]]="H",HCA,0)+Games[[#This Row],[RestAdj]]))/400))</f>
        <v>0.10229441831894567</v>
      </c>
      <c r="R326" s="1">
        <v>75</v>
      </c>
      <c r="S326" s="1">
        <v>85</v>
      </c>
      <c r="T326" s="1">
        <v>0</v>
      </c>
      <c r="U326" s="1">
        <f>Games[[#This Row],[PointsFor]]-Games[[#This Row],[PointsAgainst]]</f>
        <v>-10</v>
      </c>
      <c r="V326" s="1">
        <f>IF(Games[[#This Row],[MOV]]&gt;0,1,IF(Games[[#This Row],[MOV]]=0,0.5,0))</f>
        <v>0</v>
      </c>
      <c r="W326" s="4">
        <f>((ABS(Games[[#This Row],[MOV]])+5)^0.6)/(12+0.01*(ABS(Games[[#This Row],[PreGmRate]]-Games[[#This Row],[OppPreGmRate]])))*IF(Games[[#This Row],[OT]]=1,0.9,1)</f>
        <v>0.34746540289979949</v>
      </c>
      <c r="X326" s="7" cm="1">
        <f t="array" ref="X32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6" s="9">
        <f>MAX(kmin, kmax - 0.15 * MIN(Games[[#This Row],[GamesPlayed]], 82))</f>
        <v>71.650000000000006</v>
      </c>
      <c r="Z326" s="4">
        <f>Games[[#This Row],[K]]*Games[[#This Row],[POMult]]</f>
        <v>71.650000000000006</v>
      </c>
      <c r="AA326" s="4">
        <f>(Games[[#This Row],[Keff]]*Games[[#This Row],[MOVMult]])*(Games[[#This Row],[Result]]-Games[[#This Row],[ExpectedWin%]])</f>
        <v>-2.5467112118962452</v>
      </c>
      <c r="AB326" s="4">
        <f>Games[[#This Row],[PreGmRate]]+Games[[#This Row],[RatingChange]]</f>
        <v>1355.6747424025889</v>
      </c>
      <c r="AC326" s="2">
        <f>IF(Games[[#This Row],[Type]]="R",IF(Games[[#This Row],[Result]]&gt;0.5,1,0),0)</f>
        <v>0</v>
      </c>
      <c r="AD326" s="2">
        <f>IF(Games[[#This Row],[Type]]="R",IF(Games[[#This Row],[Result]]&lt;0.5,1,0),0)</f>
        <v>1</v>
      </c>
      <c r="AE326" s="2">
        <f>IF(AND(Games[[#This Row],[Type]]="P",Games[[#This Row],[Round]]=1),IF(Games[[#This Row],[Result]]&gt;0.5,1,0),0)</f>
        <v>0</v>
      </c>
      <c r="AF326" s="2">
        <f>IF(AND(Games[[#This Row],[Type]]="P",Games[[#This Row],[Round]]=1),IF(Games[[#This Row],[Result]]&lt;0.5,1,0),0)</f>
        <v>0</v>
      </c>
      <c r="AG326" s="2">
        <f>IF(AND(Games[[#This Row],[Type]]="P",Games[[#This Row],[Round]]=2),IF(Games[[#This Row],[Result]]&gt;0.5,1,0),0)</f>
        <v>0</v>
      </c>
      <c r="AH326" s="2">
        <f>IF(AND(Games[[#This Row],[Type]]="P",Games[[#This Row],[Round]]=2),IF(Games[[#This Row],[Result]]&lt;0.5,1,0),0)</f>
        <v>0</v>
      </c>
      <c r="AI326" s="2">
        <f>IF(AND(Games[[#This Row],[Type]]="P",Games[[#This Row],[Round]]=3),IF(Games[[#This Row],[Result]]&gt;0.5,1,0),0)</f>
        <v>0</v>
      </c>
      <c r="AJ326" s="2">
        <f>IF(AND(Games[[#This Row],[Type]]="P",Games[[#This Row],[Round]]=3),IF(Games[[#This Row],[Result]]&lt;0.5,1,0),0)</f>
        <v>0</v>
      </c>
      <c r="AK326" s="2">
        <f>IF(AND(Games[[#This Row],[Type]]="P",Games[[#This Row],[Round]]=4),IF(Games[[#This Row],[Result]]&gt;0.5,1,0),0)</f>
        <v>0</v>
      </c>
      <c r="AL326" s="2">
        <f>IF(AND(Games[[#This Row],[Type]]="P",Games[[#This Row],[Round]]=4),IF(Games[[#This Row],[Result]]&lt;0.5,1,0),0)</f>
        <v>0</v>
      </c>
    </row>
    <row r="327" spans="1:38" x14ac:dyDescent="0.35">
      <c r="A327" s="10">
        <v>44441</v>
      </c>
      <c r="B327" s="2">
        <v>2021</v>
      </c>
      <c r="C327" s="2">
        <f>COUNTIFS(Games[Team],Games[[#This Row],[Team]],Games[Season],Games[[#This Row],[Season]],Games[Date],"&lt;=" &amp; Games[[#This Row],[Date]])</f>
        <v>30</v>
      </c>
      <c r="D327" s="2" t="s">
        <v>79</v>
      </c>
      <c r="E327" s="2" t="s">
        <v>80</v>
      </c>
      <c r="F327" s="1" t="s">
        <v>71</v>
      </c>
      <c r="G327" s="1" t="s">
        <v>60</v>
      </c>
      <c r="H327" s="1" t="s">
        <v>82</v>
      </c>
      <c r="I327" s="2" cm="1">
        <f t="array" ref="I32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7" s="2" cm="1">
        <f t="array" ref="J32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27" s="2">
        <f>Games[[#This Row],[DaysOff]]-Games[[#This Row],[OppDaysOff]]</f>
        <v>2</v>
      </c>
      <c r="L327" s="2">
        <f>Games[[#This Row],[OppDaysOff]]-Games[[#This Row],[DaysOff]]</f>
        <v>-2</v>
      </c>
      <c r="M327" s="1">
        <f>MAX(-16, MIN(16, Games[[#This Row],[RestDiff]]*8))</f>
        <v>16</v>
      </c>
      <c r="N327" s="1">
        <f>MAX(-16, MIN(16, Games[[#This Row],[OppRestDiff]]*8))</f>
        <v>-16</v>
      </c>
      <c r="O327" s="4" cm="1">
        <f t="array" ref="O32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1619.5342489639693</v>
      </c>
      <c r="P327" s="4" cm="1">
        <f t="array" ref="P32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1358.2214536144852</v>
      </c>
      <c r="Q327" s="4">
        <f>1/(1+10^(((Games[[#This Row],[OppPreGmRate]]+IF(Games[[#This Row],[HomeAway]]="A",HCA,0)+Games[[#This Row],[OppRestAdj]])-(Games[[#This Row],[PreGmRate]]+IF(Games[[#This Row],[HomeAway]]="H",HCA,0)+Games[[#This Row],[RestAdj]]))/400))</f>
        <v>0.8977055816810543</v>
      </c>
      <c r="R327" s="1">
        <v>85</v>
      </c>
      <c r="S327" s="1">
        <v>75</v>
      </c>
      <c r="T327" s="1">
        <v>0</v>
      </c>
      <c r="U327" s="1">
        <f>Games[[#This Row],[PointsFor]]-Games[[#This Row],[PointsAgainst]]</f>
        <v>10</v>
      </c>
      <c r="V327" s="1">
        <f>IF(Games[[#This Row],[MOV]]&gt;0,1,IF(Games[[#This Row],[MOV]]=0,0.5,0))</f>
        <v>1</v>
      </c>
      <c r="W327" s="4">
        <f>((ABS(Games[[#This Row],[MOV]])+5)^0.6)/(12+0.01*(ABS(Games[[#This Row],[PreGmRate]]-Games[[#This Row],[OppPreGmRate]])))*IF(Games[[#This Row],[OT]]=1,0.9,1)</f>
        <v>0.34746540289979949</v>
      </c>
      <c r="X327" s="7" cm="1">
        <f t="array" ref="X32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7" s="9">
        <f>MAX(kmin, kmax - 0.15 * MIN(Games[[#This Row],[GamesPlayed]], 82))</f>
        <v>71.5</v>
      </c>
      <c r="Z327" s="4">
        <f>Games[[#This Row],[K]]*Games[[#This Row],[POMult]]</f>
        <v>71.5</v>
      </c>
      <c r="AA327" s="4">
        <f>(Games[[#This Row],[Keff]]*Games[[#This Row],[MOVMult]])*(Games[[#This Row],[Result]]-Games[[#This Row],[ExpectedWin%]])</f>
        <v>2.5413796462049065</v>
      </c>
      <c r="AB327" s="4">
        <f>Games[[#This Row],[PreGmRate]]+Games[[#This Row],[RatingChange]]</f>
        <v>1622.0756286101741</v>
      </c>
      <c r="AC327" s="2">
        <f>IF(Games[[#This Row],[Type]]="R",IF(Games[[#This Row],[Result]]&gt;0.5,1,0),0)</f>
        <v>1</v>
      </c>
      <c r="AD327" s="2">
        <f>IF(Games[[#This Row],[Type]]="R",IF(Games[[#This Row],[Result]]&lt;0.5,1,0),0)</f>
        <v>0</v>
      </c>
      <c r="AE327" s="2">
        <f>IF(AND(Games[[#This Row],[Type]]="P",Games[[#This Row],[Round]]=1),IF(Games[[#This Row],[Result]]&gt;0.5,1,0),0)</f>
        <v>0</v>
      </c>
      <c r="AF327" s="2">
        <f>IF(AND(Games[[#This Row],[Type]]="P",Games[[#This Row],[Round]]=1),IF(Games[[#This Row],[Result]]&lt;0.5,1,0),0)</f>
        <v>0</v>
      </c>
      <c r="AG327" s="2">
        <f>IF(AND(Games[[#This Row],[Type]]="P",Games[[#This Row],[Round]]=2),IF(Games[[#This Row],[Result]]&gt;0.5,1,0),0)</f>
        <v>0</v>
      </c>
      <c r="AH327" s="2">
        <f>IF(AND(Games[[#This Row],[Type]]="P",Games[[#This Row],[Round]]=2),IF(Games[[#This Row],[Result]]&lt;0.5,1,0),0)</f>
        <v>0</v>
      </c>
      <c r="AI327" s="2">
        <f>IF(AND(Games[[#This Row],[Type]]="P",Games[[#This Row],[Round]]=3),IF(Games[[#This Row],[Result]]&gt;0.5,1,0),0)</f>
        <v>0</v>
      </c>
      <c r="AJ327" s="2">
        <f>IF(AND(Games[[#This Row],[Type]]="P",Games[[#This Row],[Round]]=3),IF(Games[[#This Row],[Result]]&lt;0.5,1,0),0)</f>
        <v>0</v>
      </c>
      <c r="AK327" s="2">
        <f>IF(AND(Games[[#This Row],[Type]]="P",Games[[#This Row],[Round]]=4),IF(Games[[#This Row],[Result]]&gt;0.5,1,0),0)</f>
        <v>0</v>
      </c>
      <c r="AL327" s="2">
        <f>IF(AND(Games[[#This Row],[Type]]="P",Games[[#This Row],[Round]]=4),IF(Games[[#This Row],[Result]]&lt;0.5,1,0),0)</f>
        <v>0</v>
      </c>
    </row>
    <row r="328" spans="1:38" x14ac:dyDescent="0.35">
      <c r="A328" s="10">
        <v>44443</v>
      </c>
      <c r="B328" s="2">
        <v>2021</v>
      </c>
      <c r="C328" s="2">
        <f>COUNTIFS(Games[Team],Games[[#This Row],[Team]],Games[Season],Games[[#This Row],[Season]],Games[Date],"&lt;=" &amp; Games[[#This Row],[Date]])</f>
        <v>27</v>
      </c>
      <c r="D328" s="2" t="s">
        <v>79</v>
      </c>
      <c r="E328" s="2" t="s">
        <v>80</v>
      </c>
      <c r="F328" s="1" t="s">
        <v>40</v>
      </c>
      <c r="G328" s="1" t="s">
        <v>69</v>
      </c>
      <c r="H328" s="1" t="s">
        <v>81</v>
      </c>
      <c r="I328" s="2" cm="1">
        <f t="array" ref="I32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8" s="2" cm="1">
        <f t="array" ref="J32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8" s="2">
        <f>Games[[#This Row],[DaysOff]]-Games[[#This Row],[OppDaysOff]]</f>
        <v>0</v>
      </c>
      <c r="L328" s="2">
        <f>Games[[#This Row],[OppDaysOff]]-Games[[#This Row],[DaysOff]]</f>
        <v>0</v>
      </c>
      <c r="M328" s="1">
        <f>MAX(-16, MIN(16, Games[[#This Row],[RestDiff]]*8))</f>
        <v>0</v>
      </c>
      <c r="N328" s="1">
        <f>MAX(-16, MIN(16, Games[[#This Row],[OppRestDiff]]*8))</f>
        <v>0</v>
      </c>
      <c r="O328" s="4" cm="1">
        <f t="array" ref="O32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1566.4970207619981</v>
      </c>
      <c r="P328" s="4" cm="1">
        <f t="array" ref="P32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1350.606358304047</v>
      </c>
      <c r="Q328" s="4">
        <f>1/(1+10^(((Games[[#This Row],[OppPreGmRate]]+IF(Games[[#This Row],[HomeAway]]="A",HCA,0)+Games[[#This Row],[OppRestAdj]])-(Games[[#This Row],[PreGmRate]]+IF(Games[[#This Row],[HomeAway]]="H",HCA,0)+Games[[#This Row],[RestAdj]]))/400))</f>
        <v>0.6811851632856798</v>
      </c>
      <c r="R328" s="1">
        <v>87</v>
      </c>
      <c r="S328" s="1">
        <v>65</v>
      </c>
      <c r="T328" s="1">
        <v>0</v>
      </c>
      <c r="U328" s="1">
        <f>Games[[#This Row],[PointsFor]]-Games[[#This Row],[PointsAgainst]]</f>
        <v>22</v>
      </c>
      <c r="V328" s="1">
        <f>IF(Games[[#This Row],[MOV]]&gt;0,1,IF(Games[[#This Row],[MOV]]=0,0.5,0))</f>
        <v>1</v>
      </c>
      <c r="W328" s="4">
        <f>((ABS(Games[[#This Row],[MOV]])+5)^0.6)/(12+0.01*(ABS(Games[[#This Row],[PreGmRate]]-Games[[#This Row],[OppPreGmRate]])))*IF(Games[[#This Row],[OT]]=1,0.9,1)</f>
        <v>0.51025649419145269</v>
      </c>
      <c r="X328" s="7" cm="1">
        <f t="array" ref="X32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8" s="9">
        <f>MAX(kmin, kmax - 0.15 * MIN(Games[[#This Row],[GamesPlayed]], 82))</f>
        <v>71.95</v>
      </c>
      <c r="Z328" s="4">
        <f>Games[[#This Row],[K]]*Games[[#This Row],[POMult]]</f>
        <v>71.95</v>
      </c>
      <c r="AA328" s="4">
        <f>(Games[[#This Row],[Keff]]*Games[[#This Row],[MOVMult]])*(Games[[#This Row],[Result]]-Games[[#This Row],[ExpectedWin%]])</f>
        <v>11.704634676177099</v>
      </c>
      <c r="AB328" s="4">
        <f>Games[[#This Row],[PreGmRate]]+Games[[#This Row],[RatingChange]]</f>
        <v>1578.2016554381753</v>
      </c>
      <c r="AC328" s="2">
        <f>IF(Games[[#This Row],[Type]]="R",IF(Games[[#This Row],[Result]]&gt;0.5,1,0),0)</f>
        <v>1</v>
      </c>
      <c r="AD328" s="2">
        <f>IF(Games[[#This Row],[Type]]="R",IF(Games[[#This Row],[Result]]&lt;0.5,1,0),0)</f>
        <v>0</v>
      </c>
      <c r="AE328" s="2">
        <f>IF(AND(Games[[#This Row],[Type]]="P",Games[[#This Row],[Round]]=1),IF(Games[[#This Row],[Result]]&gt;0.5,1,0),0)</f>
        <v>0</v>
      </c>
      <c r="AF328" s="2">
        <f>IF(AND(Games[[#This Row],[Type]]="P",Games[[#This Row],[Round]]=1),IF(Games[[#This Row],[Result]]&lt;0.5,1,0),0)</f>
        <v>0</v>
      </c>
      <c r="AG328" s="2">
        <f>IF(AND(Games[[#This Row],[Type]]="P",Games[[#This Row],[Round]]=2),IF(Games[[#This Row],[Result]]&gt;0.5,1,0),0)</f>
        <v>0</v>
      </c>
      <c r="AH328" s="2">
        <f>IF(AND(Games[[#This Row],[Type]]="P",Games[[#This Row],[Round]]=2),IF(Games[[#This Row],[Result]]&lt;0.5,1,0),0)</f>
        <v>0</v>
      </c>
      <c r="AI328" s="2">
        <f>IF(AND(Games[[#This Row],[Type]]="P",Games[[#This Row],[Round]]=3),IF(Games[[#This Row],[Result]]&gt;0.5,1,0),0)</f>
        <v>0</v>
      </c>
      <c r="AJ328" s="2">
        <f>IF(AND(Games[[#This Row],[Type]]="P",Games[[#This Row],[Round]]=3),IF(Games[[#This Row],[Result]]&lt;0.5,1,0),0)</f>
        <v>0</v>
      </c>
      <c r="AK328" s="2">
        <f>IF(AND(Games[[#This Row],[Type]]="P",Games[[#This Row],[Round]]=4),IF(Games[[#This Row],[Result]]&gt;0.5,1,0),0)</f>
        <v>0</v>
      </c>
      <c r="AL328" s="2">
        <f>IF(AND(Games[[#This Row],[Type]]="P",Games[[#This Row],[Round]]=4),IF(Games[[#This Row],[Result]]&lt;0.5,1,0),0)</f>
        <v>0</v>
      </c>
    </row>
    <row r="329" spans="1:38" x14ac:dyDescent="0.35">
      <c r="A329" s="10">
        <v>44443</v>
      </c>
      <c r="B329" s="2">
        <v>2021</v>
      </c>
      <c r="C329" s="2">
        <f>COUNTIFS(Games[Team],Games[[#This Row],[Team]],Games[Season],Games[[#This Row],[Season]],Games[Date],"&lt;=" &amp; Games[[#This Row],[Date]])</f>
        <v>26</v>
      </c>
      <c r="D329" s="2" t="s">
        <v>79</v>
      </c>
      <c r="E329" s="2" t="s">
        <v>80</v>
      </c>
      <c r="F329" s="1" t="s">
        <v>69</v>
      </c>
      <c r="G329" s="1" t="s">
        <v>40</v>
      </c>
      <c r="H329" s="1" t="s">
        <v>82</v>
      </c>
      <c r="I329" s="2" cm="1">
        <f t="array" ref="I32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29" s="2" cm="1">
        <f t="array" ref="J32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29" s="2">
        <f>Games[[#This Row],[DaysOff]]-Games[[#This Row],[OppDaysOff]]</f>
        <v>0</v>
      </c>
      <c r="L329" s="2">
        <f>Games[[#This Row],[OppDaysOff]]-Games[[#This Row],[DaysOff]]</f>
        <v>0</v>
      </c>
      <c r="M329" s="1">
        <f>MAX(-16, MIN(16, Games[[#This Row],[RestDiff]]*8))</f>
        <v>0</v>
      </c>
      <c r="N329" s="1">
        <f>MAX(-16, MIN(16, Games[[#This Row],[OppRestDiff]]*8))</f>
        <v>0</v>
      </c>
      <c r="O329" s="4" cm="1">
        <f t="array" ref="O32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1350.606358304047</v>
      </c>
      <c r="P329" s="4" cm="1">
        <f t="array" ref="P32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1566.4970207619981</v>
      </c>
      <c r="Q329" s="4">
        <f>1/(1+10^(((Games[[#This Row],[OppPreGmRate]]+IF(Games[[#This Row],[HomeAway]]="A",HCA,0)+Games[[#This Row],[OppRestAdj]])-(Games[[#This Row],[PreGmRate]]+IF(Games[[#This Row],[HomeAway]]="H",HCA,0)+Games[[#This Row],[RestAdj]]))/400))</f>
        <v>0.3188148367143202</v>
      </c>
      <c r="R329" s="1">
        <v>65</v>
      </c>
      <c r="S329" s="1">
        <v>87</v>
      </c>
      <c r="T329" s="1">
        <v>0</v>
      </c>
      <c r="U329" s="1">
        <f>Games[[#This Row],[PointsFor]]-Games[[#This Row],[PointsAgainst]]</f>
        <v>-22</v>
      </c>
      <c r="V329" s="1">
        <f>IF(Games[[#This Row],[MOV]]&gt;0,1,IF(Games[[#This Row],[MOV]]=0,0.5,0))</f>
        <v>0</v>
      </c>
      <c r="W329" s="4">
        <f>((ABS(Games[[#This Row],[MOV]])+5)^0.6)/(12+0.01*(ABS(Games[[#This Row],[PreGmRate]]-Games[[#This Row],[OppPreGmRate]])))*IF(Games[[#This Row],[OT]]=1,0.9,1)</f>
        <v>0.51025649419145269</v>
      </c>
      <c r="X329" s="7" cm="1">
        <f t="array" ref="X32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29" s="9">
        <f>MAX(kmin, kmax - 0.15 * MIN(Games[[#This Row],[GamesPlayed]], 82))</f>
        <v>72.099999999999994</v>
      </c>
      <c r="Z329" s="4">
        <f>Games[[#This Row],[K]]*Games[[#This Row],[POMult]]</f>
        <v>72.099999999999994</v>
      </c>
      <c r="AA329" s="4">
        <f>(Games[[#This Row],[Keff]]*Games[[#This Row],[MOVMult]])*(Games[[#This Row],[Result]]-Games[[#This Row],[ExpectedWin%]])</f>
        <v>-11.729036277308808</v>
      </c>
      <c r="AB329" s="4">
        <f>Games[[#This Row],[PreGmRate]]+Games[[#This Row],[RatingChange]]</f>
        <v>1338.8773220267383</v>
      </c>
      <c r="AC329" s="2">
        <f>IF(Games[[#This Row],[Type]]="R",IF(Games[[#This Row],[Result]]&gt;0.5,1,0),0)</f>
        <v>0</v>
      </c>
      <c r="AD329" s="2">
        <f>IF(Games[[#This Row],[Type]]="R",IF(Games[[#This Row],[Result]]&lt;0.5,1,0),0)</f>
        <v>1</v>
      </c>
      <c r="AE329" s="2">
        <f>IF(AND(Games[[#This Row],[Type]]="P",Games[[#This Row],[Round]]=1),IF(Games[[#This Row],[Result]]&gt;0.5,1,0),0)</f>
        <v>0</v>
      </c>
      <c r="AF329" s="2">
        <f>IF(AND(Games[[#This Row],[Type]]="P",Games[[#This Row],[Round]]=1),IF(Games[[#This Row],[Result]]&lt;0.5,1,0),0)</f>
        <v>0</v>
      </c>
      <c r="AG329" s="2">
        <f>IF(AND(Games[[#This Row],[Type]]="P",Games[[#This Row],[Round]]=2),IF(Games[[#This Row],[Result]]&gt;0.5,1,0),0)</f>
        <v>0</v>
      </c>
      <c r="AH329" s="2">
        <f>IF(AND(Games[[#This Row],[Type]]="P",Games[[#This Row],[Round]]=2),IF(Games[[#This Row],[Result]]&lt;0.5,1,0),0)</f>
        <v>0</v>
      </c>
      <c r="AI329" s="2">
        <f>IF(AND(Games[[#This Row],[Type]]="P",Games[[#This Row],[Round]]=3),IF(Games[[#This Row],[Result]]&gt;0.5,1,0),0)</f>
        <v>0</v>
      </c>
      <c r="AJ329" s="2">
        <f>IF(AND(Games[[#This Row],[Type]]="P",Games[[#This Row],[Round]]=3),IF(Games[[#This Row],[Result]]&lt;0.5,1,0),0)</f>
        <v>0</v>
      </c>
      <c r="AK329" s="2">
        <f>IF(AND(Games[[#This Row],[Type]]="P",Games[[#This Row],[Round]]=4),IF(Games[[#This Row],[Result]]&gt;0.5,1,0),0)</f>
        <v>0</v>
      </c>
      <c r="AL329" s="2">
        <f>IF(AND(Games[[#This Row],[Type]]="P",Games[[#This Row],[Round]]=4),IF(Games[[#This Row],[Result]]&lt;0.5,1,0),0)</f>
        <v>0</v>
      </c>
    </row>
    <row r="330" spans="1:38" x14ac:dyDescent="0.35">
      <c r="A330" s="10">
        <v>44443</v>
      </c>
      <c r="B330" s="2">
        <v>2021</v>
      </c>
      <c r="C330" s="2">
        <f>COUNTIFS(Games[Team],Games[[#This Row],[Team]],Games[Season],Games[[#This Row],[Season]],Games[Date],"&lt;=" &amp; Games[[#This Row],[Date]])</f>
        <v>27</v>
      </c>
      <c r="D330" s="2" t="s">
        <v>79</v>
      </c>
      <c r="E330" s="2" t="s">
        <v>80</v>
      </c>
      <c r="F330" s="1" t="s">
        <v>65</v>
      </c>
      <c r="G330" s="1" t="s">
        <v>67</v>
      </c>
      <c r="H330" s="1" t="s">
        <v>81</v>
      </c>
      <c r="I330" s="2" cm="1">
        <f t="array" ref="I33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30" s="2" cm="1">
        <f t="array" ref="J33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0" s="2">
        <f>Games[[#This Row],[DaysOff]]-Games[[#This Row],[OppDaysOff]]</f>
        <v>2</v>
      </c>
      <c r="L330" s="2">
        <f>Games[[#This Row],[OppDaysOff]]-Games[[#This Row],[DaysOff]]</f>
        <v>-2</v>
      </c>
      <c r="M330" s="1">
        <f>MAX(-16, MIN(16, Games[[#This Row],[RestDiff]]*8))</f>
        <v>16</v>
      </c>
      <c r="N330" s="1">
        <f>MAX(-16, MIN(16, Games[[#This Row],[OppRestDiff]]*8))</f>
        <v>-16</v>
      </c>
      <c r="O330" s="4" cm="1">
        <f t="array" ref="O33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1432.9779974514224</v>
      </c>
      <c r="P330" s="4" cm="1">
        <f t="array" ref="P33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1611.8766415547473</v>
      </c>
      <c r="Q330" s="4">
        <f>1/(1+10^(((Games[[#This Row],[OppPreGmRate]]+IF(Games[[#This Row],[HomeAway]]="A",HCA,0)+Games[[#This Row],[OppRestAdj]])-(Games[[#This Row],[PreGmRate]]+IF(Games[[#This Row],[HomeAway]]="H",HCA,0)+Games[[#This Row],[RestAdj]]))/400))</f>
        <v>0.20929843772284618</v>
      </c>
      <c r="R330" s="1">
        <v>75</v>
      </c>
      <c r="S330" s="1">
        <v>93</v>
      </c>
      <c r="T330" s="1">
        <v>0</v>
      </c>
      <c r="U330" s="1">
        <f>Games[[#This Row],[PointsFor]]-Games[[#This Row],[PointsAgainst]]</f>
        <v>-18</v>
      </c>
      <c r="V330" s="1">
        <f>IF(Games[[#This Row],[MOV]]&gt;0,1,IF(Games[[#This Row],[MOV]]=0,0.5,0))</f>
        <v>0</v>
      </c>
      <c r="W330" s="4">
        <f>((ABS(Games[[#This Row],[MOV]])+5)^0.6)/(12+0.01*(ABS(Games[[#This Row],[PreGmRate]]-Games[[#This Row],[OppPreGmRate]])))*IF(Games[[#This Row],[OT]]=1,0.9,1)</f>
        <v>0.47588756530999565</v>
      </c>
      <c r="X330" s="7" cm="1">
        <f t="array" ref="X33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0" s="9">
        <f>MAX(kmin, kmax - 0.15 * MIN(Games[[#This Row],[GamesPlayed]], 82))</f>
        <v>71.95</v>
      </c>
      <c r="Z330" s="4">
        <f>Games[[#This Row],[K]]*Games[[#This Row],[POMult]]</f>
        <v>71.95</v>
      </c>
      <c r="AA330" s="4">
        <f>(Games[[#This Row],[Keff]]*Games[[#This Row],[MOVMult]])*(Games[[#This Row],[Result]]-Games[[#This Row],[ExpectedWin%]])</f>
        <v>-7.1664015982824374</v>
      </c>
      <c r="AB330" s="4">
        <f>Games[[#This Row],[PreGmRate]]+Games[[#This Row],[RatingChange]]</f>
        <v>1425.81159585314</v>
      </c>
      <c r="AC330" s="2">
        <f>IF(Games[[#This Row],[Type]]="R",IF(Games[[#This Row],[Result]]&gt;0.5,1,0),0)</f>
        <v>0</v>
      </c>
      <c r="AD330" s="2">
        <f>IF(Games[[#This Row],[Type]]="R",IF(Games[[#This Row],[Result]]&lt;0.5,1,0),0)</f>
        <v>1</v>
      </c>
      <c r="AE330" s="2">
        <f>IF(AND(Games[[#This Row],[Type]]="P",Games[[#This Row],[Round]]=1),IF(Games[[#This Row],[Result]]&gt;0.5,1,0),0)</f>
        <v>0</v>
      </c>
      <c r="AF330" s="2">
        <f>IF(AND(Games[[#This Row],[Type]]="P",Games[[#This Row],[Round]]=1),IF(Games[[#This Row],[Result]]&lt;0.5,1,0),0)</f>
        <v>0</v>
      </c>
      <c r="AG330" s="2">
        <f>IF(AND(Games[[#This Row],[Type]]="P",Games[[#This Row],[Round]]=2),IF(Games[[#This Row],[Result]]&gt;0.5,1,0),0)</f>
        <v>0</v>
      </c>
      <c r="AH330" s="2">
        <f>IF(AND(Games[[#This Row],[Type]]="P",Games[[#This Row],[Round]]=2),IF(Games[[#This Row],[Result]]&lt;0.5,1,0),0)</f>
        <v>0</v>
      </c>
      <c r="AI330" s="2">
        <f>IF(AND(Games[[#This Row],[Type]]="P",Games[[#This Row],[Round]]=3),IF(Games[[#This Row],[Result]]&gt;0.5,1,0),0)</f>
        <v>0</v>
      </c>
      <c r="AJ330" s="2">
        <f>IF(AND(Games[[#This Row],[Type]]="P",Games[[#This Row],[Round]]=3),IF(Games[[#This Row],[Result]]&lt;0.5,1,0),0)</f>
        <v>0</v>
      </c>
      <c r="AK330" s="2">
        <f>IF(AND(Games[[#This Row],[Type]]="P",Games[[#This Row],[Round]]=4),IF(Games[[#This Row],[Result]]&gt;0.5,1,0),0)</f>
        <v>0</v>
      </c>
      <c r="AL330" s="2">
        <f>IF(AND(Games[[#This Row],[Type]]="P",Games[[#This Row],[Round]]=4),IF(Games[[#This Row],[Result]]&lt;0.5,1,0),0)</f>
        <v>0</v>
      </c>
    </row>
    <row r="331" spans="1:38" x14ac:dyDescent="0.35">
      <c r="A331" s="10">
        <v>44443</v>
      </c>
      <c r="B331" s="2">
        <v>2021</v>
      </c>
      <c r="C331" s="2">
        <f>COUNTIFS(Games[Team],Games[[#This Row],[Team]],Games[Season],Games[[#This Row],[Season]],Games[Date],"&lt;=" &amp; Games[[#This Row],[Date]])</f>
        <v>27</v>
      </c>
      <c r="D331" s="2" t="s">
        <v>79</v>
      </c>
      <c r="E331" s="2" t="s">
        <v>80</v>
      </c>
      <c r="F331" s="1" t="s">
        <v>67</v>
      </c>
      <c r="G331" s="1" t="s">
        <v>65</v>
      </c>
      <c r="H331" s="1" t="s">
        <v>82</v>
      </c>
      <c r="I331" s="2" cm="1">
        <f t="array" ref="I33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1" s="2" cm="1">
        <f t="array" ref="J33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31" s="2">
        <f>Games[[#This Row],[DaysOff]]-Games[[#This Row],[OppDaysOff]]</f>
        <v>-2</v>
      </c>
      <c r="L331" s="2">
        <f>Games[[#This Row],[OppDaysOff]]-Games[[#This Row],[DaysOff]]</f>
        <v>2</v>
      </c>
      <c r="M331" s="1">
        <f>MAX(-16, MIN(16, Games[[#This Row],[RestDiff]]*8))</f>
        <v>-16</v>
      </c>
      <c r="N331" s="1">
        <f>MAX(-16, MIN(16, Games[[#This Row],[OppRestDiff]]*8))</f>
        <v>16</v>
      </c>
      <c r="O331" s="4" cm="1">
        <f t="array" ref="O33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1611.8766415547473</v>
      </c>
      <c r="P331" s="4" cm="1">
        <f t="array" ref="P33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1432.9779974514224</v>
      </c>
      <c r="Q331" s="4">
        <f>1/(1+10^(((Games[[#This Row],[OppPreGmRate]]+IF(Games[[#This Row],[HomeAway]]="A",HCA,0)+Games[[#This Row],[OppRestAdj]])-(Games[[#This Row],[PreGmRate]]+IF(Games[[#This Row],[HomeAway]]="H",HCA,0)+Games[[#This Row],[RestAdj]]))/400))</f>
        <v>0.79070156227715382</v>
      </c>
      <c r="R331" s="1">
        <v>93</v>
      </c>
      <c r="S331" s="1">
        <v>75</v>
      </c>
      <c r="T331" s="1">
        <v>0</v>
      </c>
      <c r="U331" s="1">
        <f>Games[[#This Row],[PointsFor]]-Games[[#This Row],[PointsAgainst]]</f>
        <v>18</v>
      </c>
      <c r="V331" s="1">
        <f>IF(Games[[#This Row],[MOV]]&gt;0,1,IF(Games[[#This Row],[MOV]]=0,0.5,0))</f>
        <v>1</v>
      </c>
      <c r="W331" s="4">
        <f>((ABS(Games[[#This Row],[MOV]])+5)^0.6)/(12+0.01*(ABS(Games[[#This Row],[PreGmRate]]-Games[[#This Row],[OppPreGmRate]])))*IF(Games[[#This Row],[OT]]=1,0.9,1)</f>
        <v>0.47588756530999565</v>
      </c>
      <c r="X331" s="7" cm="1">
        <f t="array" ref="X33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1" s="9">
        <f>MAX(kmin, kmax - 0.15 * MIN(Games[[#This Row],[GamesPlayed]], 82))</f>
        <v>71.95</v>
      </c>
      <c r="Z331" s="4">
        <f>Games[[#This Row],[K]]*Games[[#This Row],[POMult]]</f>
        <v>71.95</v>
      </c>
      <c r="AA331" s="4">
        <f>(Games[[#This Row],[Keff]]*Games[[#This Row],[MOVMult]])*(Games[[#This Row],[Result]]-Games[[#This Row],[ExpectedWin%]])</f>
        <v>7.1664015982824374</v>
      </c>
      <c r="AB331" s="4">
        <f>Games[[#This Row],[PreGmRate]]+Games[[#This Row],[RatingChange]]</f>
        <v>1619.0430431530297</v>
      </c>
      <c r="AC331" s="2">
        <f>IF(Games[[#This Row],[Type]]="R",IF(Games[[#This Row],[Result]]&gt;0.5,1,0),0)</f>
        <v>1</v>
      </c>
      <c r="AD331" s="2">
        <f>IF(Games[[#This Row],[Type]]="R",IF(Games[[#This Row],[Result]]&lt;0.5,1,0),0)</f>
        <v>0</v>
      </c>
      <c r="AE331" s="2">
        <f>IF(AND(Games[[#This Row],[Type]]="P",Games[[#This Row],[Round]]=1),IF(Games[[#This Row],[Result]]&gt;0.5,1,0),0)</f>
        <v>0</v>
      </c>
      <c r="AF331" s="2">
        <f>IF(AND(Games[[#This Row],[Type]]="P",Games[[#This Row],[Round]]=1),IF(Games[[#This Row],[Result]]&lt;0.5,1,0),0)</f>
        <v>0</v>
      </c>
      <c r="AG331" s="2">
        <f>IF(AND(Games[[#This Row],[Type]]="P",Games[[#This Row],[Round]]=2),IF(Games[[#This Row],[Result]]&gt;0.5,1,0),0)</f>
        <v>0</v>
      </c>
      <c r="AH331" s="2">
        <f>IF(AND(Games[[#This Row],[Type]]="P",Games[[#This Row],[Round]]=2),IF(Games[[#This Row],[Result]]&lt;0.5,1,0),0)</f>
        <v>0</v>
      </c>
      <c r="AI331" s="2">
        <f>IF(AND(Games[[#This Row],[Type]]="P",Games[[#This Row],[Round]]=3),IF(Games[[#This Row],[Result]]&gt;0.5,1,0),0)</f>
        <v>0</v>
      </c>
      <c r="AJ331" s="2">
        <f>IF(AND(Games[[#This Row],[Type]]="P",Games[[#This Row],[Round]]=3),IF(Games[[#This Row],[Result]]&lt;0.5,1,0),0)</f>
        <v>0</v>
      </c>
      <c r="AK331" s="2">
        <f>IF(AND(Games[[#This Row],[Type]]="P",Games[[#This Row],[Round]]=4),IF(Games[[#This Row],[Result]]&gt;0.5,1,0),0)</f>
        <v>0</v>
      </c>
      <c r="AL331" s="2">
        <f>IF(AND(Games[[#This Row],[Type]]="P",Games[[#This Row],[Round]]=4),IF(Games[[#This Row],[Result]]&lt;0.5,1,0),0)</f>
        <v>0</v>
      </c>
    </row>
    <row r="332" spans="1:38" x14ac:dyDescent="0.35">
      <c r="A332" s="10">
        <v>44444</v>
      </c>
      <c r="B332" s="2">
        <v>2021</v>
      </c>
      <c r="C332" s="2">
        <f>COUNTIFS(Games[Team],Games[[#This Row],[Team]],Games[Season],Games[[#This Row],[Season]],Games[Date],"&lt;=" &amp; Games[[#This Row],[Date]])</f>
        <v>28</v>
      </c>
      <c r="D332" s="2" t="s">
        <v>79</v>
      </c>
      <c r="E332" s="2" t="s">
        <v>80</v>
      </c>
      <c r="F332" s="1" t="s">
        <v>85</v>
      </c>
      <c r="G332" s="1" t="s">
        <v>75</v>
      </c>
      <c r="H332" s="1" t="s">
        <v>81</v>
      </c>
      <c r="I332" s="2" cm="1">
        <f t="array" ref="I33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2" s="2" cm="1">
        <f t="array" ref="J33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2" s="2">
        <f>Games[[#This Row],[DaysOff]]-Games[[#This Row],[OppDaysOff]]</f>
        <v>0</v>
      </c>
      <c r="L332" s="2">
        <f>Games[[#This Row],[OppDaysOff]]-Games[[#This Row],[DaysOff]]</f>
        <v>0</v>
      </c>
      <c r="M332" s="1">
        <f>MAX(-16, MIN(16, Games[[#This Row],[RestDiff]]*8))</f>
        <v>0</v>
      </c>
      <c r="N332" s="1">
        <f>MAX(-16, MIN(16, Games[[#This Row],[OppRestDiff]]*8))</f>
        <v>0</v>
      </c>
      <c r="O332" s="4" cm="1">
        <f t="array" ref="O33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1646.8991631829438</v>
      </c>
      <c r="P332" s="4" cm="1">
        <f t="array" ref="P33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1551.8288394853882</v>
      </c>
      <c r="Q332" s="4">
        <f>1/(1+10^(((Games[[#This Row],[OppPreGmRate]]+IF(Games[[#This Row],[HomeAway]]="A",HCA,0)+Games[[#This Row],[OppRestAdj]])-(Games[[#This Row],[PreGmRate]]+IF(Games[[#This Row],[HomeAway]]="H",HCA,0)+Games[[#This Row],[RestAdj]]))/400))</f>
        <v>0.51592608717365118</v>
      </c>
      <c r="R332" s="1">
        <v>84</v>
      </c>
      <c r="S332" s="1">
        <v>92</v>
      </c>
      <c r="T332" s="1">
        <v>0</v>
      </c>
      <c r="U332" s="1">
        <f>Games[[#This Row],[PointsFor]]-Games[[#This Row],[PointsAgainst]]</f>
        <v>-8</v>
      </c>
      <c r="V332" s="1">
        <f>IF(Games[[#This Row],[MOV]]&gt;0,1,IF(Games[[#This Row],[MOV]]=0,0.5,0))</f>
        <v>0</v>
      </c>
      <c r="W332" s="4">
        <f>((ABS(Games[[#This Row],[MOV]])+5)^0.6)/(12+0.01*(ABS(Games[[#This Row],[PreGmRate]]-Games[[#This Row],[OppPreGmRate]])))*IF(Games[[#This Row],[OT]]=1,0.9,1)</f>
        <v>0.35980952808276151</v>
      </c>
      <c r="X332" s="7" cm="1">
        <f t="array" ref="X33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2" s="9">
        <f>MAX(kmin, kmax - 0.15 * MIN(Games[[#This Row],[GamesPlayed]], 82))</f>
        <v>71.8</v>
      </c>
      <c r="Z332" s="4">
        <f>Games[[#This Row],[K]]*Games[[#This Row],[POMult]]</f>
        <v>71.8</v>
      </c>
      <c r="AA332" s="4">
        <f>(Games[[#This Row],[Keff]]*Games[[#This Row],[MOVMult]])*(Games[[#This Row],[Result]]-Games[[#This Row],[ExpectedWin%]])</f>
        <v>-13.328601756120365</v>
      </c>
      <c r="AB332" s="4">
        <f>Games[[#This Row],[PreGmRate]]+Games[[#This Row],[RatingChange]]</f>
        <v>1633.5705614268234</v>
      </c>
      <c r="AC332" s="2">
        <f>IF(Games[[#This Row],[Type]]="R",IF(Games[[#This Row],[Result]]&gt;0.5,1,0),0)</f>
        <v>0</v>
      </c>
      <c r="AD332" s="2">
        <f>IF(Games[[#This Row],[Type]]="R",IF(Games[[#This Row],[Result]]&lt;0.5,1,0),0)</f>
        <v>1</v>
      </c>
      <c r="AE332" s="2">
        <f>IF(AND(Games[[#This Row],[Type]]="P",Games[[#This Row],[Round]]=1),IF(Games[[#This Row],[Result]]&gt;0.5,1,0),0)</f>
        <v>0</v>
      </c>
      <c r="AF332" s="2">
        <f>IF(AND(Games[[#This Row],[Type]]="P",Games[[#This Row],[Round]]=1),IF(Games[[#This Row],[Result]]&lt;0.5,1,0),0)</f>
        <v>0</v>
      </c>
      <c r="AG332" s="2">
        <f>IF(AND(Games[[#This Row],[Type]]="P",Games[[#This Row],[Round]]=2),IF(Games[[#This Row],[Result]]&gt;0.5,1,0),0)</f>
        <v>0</v>
      </c>
      <c r="AH332" s="2">
        <f>IF(AND(Games[[#This Row],[Type]]="P",Games[[#This Row],[Round]]=2),IF(Games[[#This Row],[Result]]&lt;0.5,1,0),0)</f>
        <v>0</v>
      </c>
      <c r="AI332" s="2">
        <f>IF(AND(Games[[#This Row],[Type]]="P",Games[[#This Row],[Round]]=3),IF(Games[[#This Row],[Result]]&gt;0.5,1,0),0)</f>
        <v>0</v>
      </c>
      <c r="AJ332" s="2">
        <f>IF(AND(Games[[#This Row],[Type]]="P",Games[[#This Row],[Round]]=3),IF(Games[[#This Row],[Result]]&lt;0.5,1,0),0)</f>
        <v>0</v>
      </c>
      <c r="AK332" s="2">
        <f>IF(AND(Games[[#This Row],[Type]]="P",Games[[#This Row],[Round]]=4),IF(Games[[#This Row],[Result]]&gt;0.5,1,0),0)</f>
        <v>0</v>
      </c>
      <c r="AL332" s="2">
        <f>IF(AND(Games[[#This Row],[Type]]="P",Games[[#This Row],[Round]]=4),IF(Games[[#This Row],[Result]]&lt;0.5,1,0),0)</f>
        <v>0</v>
      </c>
    </row>
    <row r="333" spans="1:38" x14ac:dyDescent="0.35">
      <c r="A333" s="10">
        <v>44444</v>
      </c>
      <c r="B333" s="2">
        <v>2021</v>
      </c>
      <c r="C333" s="2">
        <f>COUNTIFS(Games[Team],Games[[#This Row],[Team]],Games[Season],Games[[#This Row],[Season]],Games[Date],"&lt;=" &amp; Games[[#This Row],[Date]])</f>
        <v>29</v>
      </c>
      <c r="D333" s="2" t="s">
        <v>79</v>
      </c>
      <c r="E333" s="2" t="s">
        <v>80</v>
      </c>
      <c r="F333" s="1" t="s">
        <v>75</v>
      </c>
      <c r="G333" s="1" t="s">
        <v>85</v>
      </c>
      <c r="H333" s="1" t="s">
        <v>82</v>
      </c>
      <c r="I333" s="2" cm="1">
        <f t="array" ref="I33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3" s="2" cm="1">
        <f t="array" ref="J33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3" s="2">
        <f>Games[[#This Row],[DaysOff]]-Games[[#This Row],[OppDaysOff]]</f>
        <v>0</v>
      </c>
      <c r="L333" s="2">
        <f>Games[[#This Row],[OppDaysOff]]-Games[[#This Row],[DaysOff]]</f>
        <v>0</v>
      </c>
      <c r="M333" s="1">
        <f>MAX(-16, MIN(16, Games[[#This Row],[RestDiff]]*8))</f>
        <v>0</v>
      </c>
      <c r="N333" s="1">
        <f>MAX(-16, MIN(16, Games[[#This Row],[OppRestDiff]]*8))</f>
        <v>0</v>
      </c>
      <c r="O333" s="4" cm="1">
        <f t="array" ref="O33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1551.8288394853882</v>
      </c>
      <c r="P333" s="4" cm="1">
        <f t="array" ref="P33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1646.8991631829438</v>
      </c>
      <c r="Q333" s="4">
        <f>1/(1+10^(((Games[[#This Row],[OppPreGmRate]]+IF(Games[[#This Row],[HomeAway]]="A",HCA,0)+Games[[#This Row],[OppRestAdj]])-(Games[[#This Row],[PreGmRate]]+IF(Games[[#This Row],[HomeAway]]="H",HCA,0)+Games[[#This Row],[RestAdj]]))/400))</f>
        <v>0.48407391282634887</v>
      </c>
      <c r="R333" s="1">
        <v>92</v>
      </c>
      <c r="S333" s="1">
        <v>84</v>
      </c>
      <c r="T333" s="1">
        <v>0</v>
      </c>
      <c r="U333" s="1">
        <f>Games[[#This Row],[PointsFor]]-Games[[#This Row],[PointsAgainst]]</f>
        <v>8</v>
      </c>
      <c r="V333" s="1">
        <f>IF(Games[[#This Row],[MOV]]&gt;0,1,IF(Games[[#This Row],[MOV]]=0,0.5,0))</f>
        <v>1</v>
      </c>
      <c r="W333" s="4">
        <f>((ABS(Games[[#This Row],[MOV]])+5)^0.6)/(12+0.01*(ABS(Games[[#This Row],[PreGmRate]]-Games[[#This Row],[OppPreGmRate]])))*IF(Games[[#This Row],[OT]]=1,0.9,1)</f>
        <v>0.35980952808276151</v>
      </c>
      <c r="X333" s="7" cm="1">
        <f t="array" ref="X33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3" s="9">
        <f>MAX(kmin, kmax - 0.15 * MIN(Games[[#This Row],[GamesPlayed]], 82))</f>
        <v>71.650000000000006</v>
      </c>
      <c r="Z333" s="4">
        <f>Games[[#This Row],[K]]*Games[[#This Row],[POMult]]</f>
        <v>71.650000000000006</v>
      </c>
      <c r="AA333" s="4">
        <f>(Games[[#This Row],[Keff]]*Games[[#This Row],[MOVMult]])*(Games[[#This Row],[Result]]-Games[[#This Row],[ExpectedWin%]])</f>
        <v>13.300756487827631</v>
      </c>
      <c r="AB333" s="4">
        <f>Games[[#This Row],[PreGmRate]]+Games[[#This Row],[RatingChange]]</f>
        <v>1565.1295959732158</v>
      </c>
      <c r="AC333" s="2">
        <f>IF(Games[[#This Row],[Type]]="R",IF(Games[[#This Row],[Result]]&gt;0.5,1,0),0)</f>
        <v>1</v>
      </c>
      <c r="AD333" s="2">
        <f>IF(Games[[#This Row],[Type]]="R",IF(Games[[#This Row],[Result]]&lt;0.5,1,0),0)</f>
        <v>0</v>
      </c>
      <c r="AE333" s="2">
        <f>IF(AND(Games[[#This Row],[Type]]="P",Games[[#This Row],[Round]]=1),IF(Games[[#This Row],[Result]]&gt;0.5,1,0),0)</f>
        <v>0</v>
      </c>
      <c r="AF333" s="2">
        <f>IF(AND(Games[[#This Row],[Type]]="P",Games[[#This Row],[Round]]=1),IF(Games[[#This Row],[Result]]&lt;0.5,1,0),0)</f>
        <v>0</v>
      </c>
      <c r="AG333" s="2">
        <f>IF(AND(Games[[#This Row],[Type]]="P",Games[[#This Row],[Round]]=2),IF(Games[[#This Row],[Result]]&gt;0.5,1,0),0)</f>
        <v>0</v>
      </c>
      <c r="AH333" s="2">
        <f>IF(AND(Games[[#This Row],[Type]]="P",Games[[#This Row],[Round]]=2),IF(Games[[#This Row],[Result]]&lt;0.5,1,0),0)</f>
        <v>0</v>
      </c>
      <c r="AI333" s="2">
        <f>IF(AND(Games[[#This Row],[Type]]="P",Games[[#This Row],[Round]]=3),IF(Games[[#This Row],[Result]]&gt;0.5,1,0),0)</f>
        <v>0</v>
      </c>
      <c r="AJ333" s="2">
        <f>IF(AND(Games[[#This Row],[Type]]="P",Games[[#This Row],[Round]]=3),IF(Games[[#This Row],[Result]]&lt;0.5,1,0),0)</f>
        <v>0</v>
      </c>
      <c r="AK333" s="2">
        <f>IF(AND(Games[[#This Row],[Type]]="P",Games[[#This Row],[Round]]=4),IF(Games[[#This Row],[Result]]&gt;0.5,1,0),0)</f>
        <v>0</v>
      </c>
      <c r="AL333" s="2">
        <f>IF(AND(Games[[#This Row],[Type]]="P",Games[[#This Row],[Round]]=4),IF(Games[[#This Row],[Result]]&lt;0.5,1,0),0)</f>
        <v>0</v>
      </c>
    </row>
    <row r="334" spans="1:38" x14ac:dyDescent="0.35">
      <c r="A334" s="10">
        <v>44444</v>
      </c>
      <c r="B334" s="2">
        <v>2021</v>
      </c>
      <c r="C334" s="2">
        <f>COUNTIFS(Games[Team],Games[[#This Row],[Team]],Games[Season],Games[[#This Row],[Season]],Games[Date],"&lt;=" &amp; Games[[#This Row],[Date]])</f>
        <v>27</v>
      </c>
      <c r="D334" s="2" t="s">
        <v>79</v>
      </c>
      <c r="E334" s="2" t="s">
        <v>80</v>
      </c>
      <c r="F334" s="1" t="s">
        <v>77</v>
      </c>
      <c r="G334" s="1" t="s">
        <v>84</v>
      </c>
      <c r="H334" s="1" t="s">
        <v>81</v>
      </c>
      <c r="I334" s="2" cm="1">
        <f t="array" ref="I33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4" s="2" cm="1">
        <f t="array" ref="J33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4" s="2">
        <f>Games[[#This Row],[DaysOff]]-Games[[#This Row],[OppDaysOff]]</f>
        <v>0</v>
      </c>
      <c r="L334" s="2">
        <f>Games[[#This Row],[OppDaysOff]]-Games[[#This Row],[DaysOff]]</f>
        <v>0</v>
      </c>
      <c r="M334" s="1">
        <f>MAX(-16, MIN(16, Games[[#This Row],[RestDiff]]*8))</f>
        <v>0</v>
      </c>
      <c r="N334" s="1">
        <f>MAX(-16, MIN(16, Games[[#This Row],[OppRestDiff]]*8))</f>
        <v>0</v>
      </c>
      <c r="O334" s="4" cm="1">
        <f t="array" ref="O33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1322.3037349051745</v>
      </c>
      <c r="P334" s="4" cm="1">
        <f t="array" ref="P33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1471.4033510379052</v>
      </c>
      <c r="Q334" s="4">
        <f>1/(1+10^(((Games[[#This Row],[OppPreGmRate]]+IF(Games[[#This Row],[HomeAway]]="A",HCA,0)+Games[[#This Row],[OppRestAdj]])-(Games[[#This Row],[PreGmRate]]+IF(Games[[#This Row],[HomeAway]]="H",HCA,0)+Games[[#This Row],[RestAdj]]))/400))</f>
        <v>0.20720939948398195</v>
      </c>
      <c r="R334" s="1">
        <v>69</v>
      </c>
      <c r="S334" s="1">
        <v>64</v>
      </c>
      <c r="T334" s="1">
        <v>0</v>
      </c>
      <c r="U334" s="1">
        <f>Games[[#This Row],[PointsFor]]-Games[[#This Row],[PointsAgainst]]</f>
        <v>5</v>
      </c>
      <c r="V334" s="1">
        <f>IF(Games[[#This Row],[MOV]]&gt;0,1,IF(Games[[#This Row],[MOV]]=0,0.5,0))</f>
        <v>1</v>
      </c>
      <c r="W334" s="4">
        <f>((ABS(Games[[#This Row],[MOV]])+5)^0.6)/(12+0.01*(ABS(Games[[#This Row],[PreGmRate]]-Games[[#This Row],[OppPreGmRate]])))*IF(Games[[#This Row],[OT]]=1,0.9,1)</f>
        <v>0.2950910116590898</v>
      </c>
      <c r="X334" s="7" cm="1">
        <f t="array" ref="X33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4" s="9">
        <f>MAX(kmin, kmax - 0.15 * MIN(Games[[#This Row],[GamesPlayed]], 82))</f>
        <v>71.95</v>
      </c>
      <c r="Z334" s="4">
        <f>Games[[#This Row],[K]]*Games[[#This Row],[POMult]]</f>
        <v>71.95</v>
      </c>
      <c r="AA334" s="4">
        <f>(Games[[#This Row],[Keff]]*Games[[#This Row],[MOVMult]])*(Games[[#This Row],[Result]]-Games[[#This Row],[ExpectedWin%]])</f>
        <v>16.832370115469409</v>
      </c>
      <c r="AB334" s="4">
        <f>Games[[#This Row],[PreGmRate]]+Games[[#This Row],[RatingChange]]</f>
        <v>1339.1361050206438</v>
      </c>
      <c r="AC334" s="2">
        <f>IF(Games[[#This Row],[Type]]="R",IF(Games[[#This Row],[Result]]&gt;0.5,1,0),0)</f>
        <v>1</v>
      </c>
      <c r="AD334" s="2">
        <f>IF(Games[[#This Row],[Type]]="R",IF(Games[[#This Row],[Result]]&lt;0.5,1,0),0)</f>
        <v>0</v>
      </c>
      <c r="AE334" s="2">
        <f>IF(AND(Games[[#This Row],[Type]]="P",Games[[#This Row],[Round]]=1),IF(Games[[#This Row],[Result]]&gt;0.5,1,0),0)</f>
        <v>0</v>
      </c>
      <c r="AF334" s="2">
        <f>IF(AND(Games[[#This Row],[Type]]="P",Games[[#This Row],[Round]]=1),IF(Games[[#This Row],[Result]]&lt;0.5,1,0),0)</f>
        <v>0</v>
      </c>
      <c r="AG334" s="2">
        <f>IF(AND(Games[[#This Row],[Type]]="P",Games[[#This Row],[Round]]=2),IF(Games[[#This Row],[Result]]&gt;0.5,1,0),0)</f>
        <v>0</v>
      </c>
      <c r="AH334" s="2">
        <f>IF(AND(Games[[#This Row],[Type]]="P",Games[[#This Row],[Round]]=2),IF(Games[[#This Row],[Result]]&lt;0.5,1,0),0)</f>
        <v>0</v>
      </c>
      <c r="AI334" s="2">
        <f>IF(AND(Games[[#This Row],[Type]]="P",Games[[#This Row],[Round]]=3),IF(Games[[#This Row],[Result]]&gt;0.5,1,0),0)</f>
        <v>0</v>
      </c>
      <c r="AJ334" s="2">
        <f>IF(AND(Games[[#This Row],[Type]]="P",Games[[#This Row],[Round]]=3),IF(Games[[#This Row],[Result]]&lt;0.5,1,0),0)</f>
        <v>0</v>
      </c>
      <c r="AK334" s="2">
        <f>IF(AND(Games[[#This Row],[Type]]="P",Games[[#This Row],[Round]]=4),IF(Games[[#This Row],[Result]]&gt;0.5,1,0),0)</f>
        <v>0</v>
      </c>
      <c r="AL334" s="2">
        <f>IF(AND(Games[[#This Row],[Type]]="P",Games[[#This Row],[Round]]=4),IF(Games[[#This Row],[Result]]&lt;0.5,1,0),0)</f>
        <v>0</v>
      </c>
    </row>
    <row r="335" spans="1:38" x14ac:dyDescent="0.35">
      <c r="A335" s="10">
        <v>44444</v>
      </c>
      <c r="B335" s="2">
        <v>2021</v>
      </c>
      <c r="C335" s="2">
        <f>COUNTIFS(Games[Team],Games[[#This Row],[Team]],Games[Season],Games[[#This Row],[Season]],Games[Date],"&lt;=" &amp; Games[[#This Row],[Date]])</f>
        <v>28</v>
      </c>
      <c r="D335" s="2" t="s">
        <v>79</v>
      </c>
      <c r="E335" s="2" t="s">
        <v>80</v>
      </c>
      <c r="F335" s="1" t="s">
        <v>84</v>
      </c>
      <c r="G335" s="1" t="s">
        <v>77</v>
      </c>
      <c r="H335" s="1" t="s">
        <v>82</v>
      </c>
      <c r="I335" s="2" cm="1">
        <f t="array" ref="I33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35" s="2" cm="1">
        <f t="array" ref="J33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35" s="2">
        <f>Games[[#This Row],[DaysOff]]-Games[[#This Row],[OppDaysOff]]</f>
        <v>0</v>
      </c>
      <c r="L335" s="2">
        <f>Games[[#This Row],[OppDaysOff]]-Games[[#This Row],[DaysOff]]</f>
        <v>0</v>
      </c>
      <c r="M335" s="1">
        <f>MAX(-16, MIN(16, Games[[#This Row],[RestDiff]]*8))</f>
        <v>0</v>
      </c>
      <c r="N335" s="1">
        <f>MAX(-16, MIN(16, Games[[#This Row],[OppRestDiff]]*8))</f>
        <v>0</v>
      </c>
      <c r="O335" s="4" cm="1">
        <f t="array" ref="O33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1471.4033510379052</v>
      </c>
      <c r="P335" s="4" cm="1">
        <f t="array" ref="P33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1322.3037349051745</v>
      </c>
      <c r="Q335" s="4">
        <f>1/(1+10^(((Games[[#This Row],[OppPreGmRate]]+IF(Games[[#This Row],[HomeAway]]="A",HCA,0)+Games[[#This Row],[OppRestAdj]])-(Games[[#This Row],[PreGmRate]]+IF(Games[[#This Row],[HomeAway]]="H",HCA,0)+Games[[#This Row],[RestAdj]]))/400))</f>
        <v>0.79279060051601813</v>
      </c>
      <c r="R335" s="1">
        <v>64</v>
      </c>
      <c r="S335" s="1">
        <v>69</v>
      </c>
      <c r="T335" s="1">
        <v>0</v>
      </c>
      <c r="U335" s="1">
        <f>Games[[#This Row],[PointsFor]]-Games[[#This Row],[PointsAgainst]]</f>
        <v>-5</v>
      </c>
      <c r="V335" s="1">
        <f>IF(Games[[#This Row],[MOV]]&gt;0,1,IF(Games[[#This Row],[MOV]]=0,0.5,0))</f>
        <v>0</v>
      </c>
      <c r="W335" s="4">
        <f>((ABS(Games[[#This Row],[MOV]])+5)^0.6)/(12+0.01*(ABS(Games[[#This Row],[PreGmRate]]-Games[[#This Row],[OppPreGmRate]])))*IF(Games[[#This Row],[OT]]=1,0.9,1)</f>
        <v>0.2950910116590898</v>
      </c>
      <c r="X335" s="7" cm="1">
        <f t="array" ref="X33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5" s="9">
        <f>MAX(kmin, kmax - 0.15 * MIN(Games[[#This Row],[GamesPlayed]], 82))</f>
        <v>71.8</v>
      </c>
      <c r="Z335" s="4">
        <f>Games[[#This Row],[K]]*Games[[#This Row],[POMult]]</f>
        <v>71.8</v>
      </c>
      <c r="AA335" s="4">
        <f>(Games[[#This Row],[Keff]]*Games[[#This Row],[MOVMult]])*(Games[[#This Row],[Result]]-Games[[#This Row],[ExpectedWin%]])</f>
        <v>-16.797278308418395</v>
      </c>
      <c r="AB335" s="4">
        <f>Games[[#This Row],[PreGmRate]]+Games[[#This Row],[RatingChange]]</f>
        <v>1454.6060727294869</v>
      </c>
      <c r="AC335" s="2">
        <f>IF(Games[[#This Row],[Type]]="R",IF(Games[[#This Row],[Result]]&gt;0.5,1,0),0)</f>
        <v>0</v>
      </c>
      <c r="AD335" s="2">
        <f>IF(Games[[#This Row],[Type]]="R",IF(Games[[#This Row],[Result]]&lt;0.5,1,0),0)</f>
        <v>1</v>
      </c>
      <c r="AE335" s="2">
        <f>IF(AND(Games[[#This Row],[Type]]="P",Games[[#This Row],[Round]]=1),IF(Games[[#This Row],[Result]]&gt;0.5,1,0),0)</f>
        <v>0</v>
      </c>
      <c r="AF335" s="2">
        <f>IF(AND(Games[[#This Row],[Type]]="P",Games[[#This Row],[Round]]=1),IF(Games[[#This Row],[Result]]&lt;0.5,1,0),0)</f>
        <v>0</v>
      </c>
      <c r="AG335" s="2">
        <f>IF(AND(Games[[#This Row],[Type]]="P",Games[[#This Row],[Round]]=2),IF(Games[[#This Row],[Result]]&gt;0.5,1,0),0)</f>
        <v>0</v>
      </c>
      <c r="AH335" s="2">
        <f>IF(AND(Games[[#This Row],[Type]]="P",Games[[#This Row],[Round]]=2),IF(Games[[#This Row],[Result]]&lt;0.5,1,0),0)</f>
        <v>0</v>
      </c>
      <c r="AI335" s="2">
        <f>IF(AND(Games[[#This Row],[Type]]="P",Games[[#This Row],[Round]]=3),IF(Games[[#This Row],[Result]]&gt;0.5,1,0),0)</f>
        <v>0</v>
      </c>
      <c r="AJ335" s="2">
        <f>IF(AND(Games[[#This Row],[Type]]="P",Games[[#This Row],[Round]]=3),IF(Games[[#This Row],[Result]]&lt;0.5,1,0),0)</f>
        <v>0</v>
      </c>
      <c r="AK335" s="2">
        <f>IF(AND(Games[[#This Row],[Type]]="P",Games[[#This Row],[Round]]=4),IF(Games[[#This Row],[Result]]&gt;0.5,1,0),0)</f>
        <v>0</v>
      </c>
      <c r="AL335" s="2">
        <f>IF(AND(Games[[#This Row],[Type]]="P",Games[[#This Row],[Round]]=4),IF(Games[[#This Row],[Result]]&lt;0.5,1,0),0)</f>
        <v>0</v>
      </c>
    </row>
    <row r="336" spans="1:38" x14ac:dyDescent="0.35">
      <c r="A336" s="10">
        <v>44445</v>
      </c>
      <c r="B336" s="2">
        <v>2021</v>
      </c>
      <c r="C336" s="2">
        <f>COUNTIFS(Games[Team],Games[[#This Row],[Team]],Games[Season],Games[[#This Row],[Season]],Games[Date],"&lt;=" &amp; Games[[#This Row],[Date]])</f>
        <v>28</v>
      </c>
      <c r="D336" s="2" t="s">
        <v>79</v>
      </c>
      <c r="E336" s="2" t="s">
        <v>80</v>
      </c>
      <c r="F336" s="1" t="s">
        <v>40</v>
      </c>
      <c r="G336" s="1" t="s">
        <v>69</v>
      </c>
      <c r="H336" s="1" t="s">
        <v>81</v>
      </c>
      <c r="I336" s="2" cm="1">
        <f t="array" ref="I33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6" s="2" cm="1">
        <f t="array" ref="J33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6" s="2">
        <f>Games[[#This Row],[DaysOff]]-Games[[#This Row],[OppDaysOff]]</f>
        <v>0</v>
      </c>
      <c r="L336" s="2">
        <f>Games[[#This Row],[OppDaysOff]]-Games[[#This Row],[DaysOff]]</f>
        <v>0</v>
      </c>
      <c r="M336" s="1">
        <f>MAX(-16, MIN(16, Games[[#This Row],[RestDiff]]*8))</f>
        <v>0</v>
      </c>
      <c r="N336" s="1">
        <f>MAX(-16, MIN(16, Games[[#This Row],[OppRestDiff]]*8))</f>
        <v>0</v>
      </c>
      <c r="O336" s="4" cm="1">
        <f t="array" ref="O33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1578.2016554381753</v>
      </c>
      <c r="P336" s="4" cm="1">
        <f t="array" ref="P33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1338.8773220267383</v>
      </c>
      <c r="Q336" s="4">
        <f>1/(1+10^(((Games[[#This Row],[OppPreGmRate]]+IF(Games[[#This Row],[HomeAway]]="A",HCA,0)+Games[[#This Row],[OppRestAdj]])-(Games[[#This Row],[PreGmRate]]+IF(Games[[#This Row],[HomeAway]]="H",HCA,0)+Games[[#This Row],[RestAdj]]))/400))</f>
        <v>0.70973940339462449</v>
      </c>
      <c r="R336" s="1">
        <v>86</v>
      </c>
      <c r="S336" s="1">
        <v>81</v>
      </c>
      <c r="T336" s="1">
        <v>0</v>
      </c>
      <c r="U336" s="1">
        <f>Games[[#This Row],[PointsFor]]-Games[[#This Row],[PointsAgainst]]</f>
        <v>5</v>
      </c>
      <c r="V336" s="1">
        <f>IF(Games[[#This Row],[MOV]]&gt;0,1,IF(Games[[#This Row],[MOV]]=0,0.5,0))</f>
        <v>1</v>
      </c>
      <c r="W336" s="4">
        <f>((ABS(Games[[#This Row],[MOV]])+5)^0.6)/(12+0.01*(ABS(Games[[#This Row],[PreGmRate]]-Games[[#This Row],[OppPreGmRate]])))*IF(Games[[#This Row],[OT]]=1,0.9,1)</f>
        <v>0.27659309393451115</v>
      </c>
      <c r="X336" s="7" cm="1">
        <f t="array" ref="X33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6" s="9">
        <f>MAX(kmin, kmax - 0.15 * MIN(Games[[#This Row],[GamesPlayed]], 82))</f>
        <v>71.8</v>
      </c>
      <c r="Z336" s="4">
        <f>Games[[#This Row],[K]]*Games[[#This Row],[POMult]]</f>
        <v>71.8</v>
      </c>
      <c r="AA336" s="4">
        <f>(Games[[#This Row],[Keff]]*Games[[#This Row],[MOVMult]])*(Games[[#This Row],[Result]]-Games[[#This Row],[ExpectedWin%]])</f>
        <v>5.7643966899972945</v>
      </c>
      <c r="AB336" s="4">
        <f>Games[[#This Row],[PreGmRate]]+Games[[#This Row],[RatingChange]]</f>
        <v>1583.9660521281726</v>
      </c>
      <c r="AC336" s="2">
        <f>IF(Games[[#This Row],[Type]]="R",IF(Games[[#This Row],[Result]]&gt;0.5,1,0),0)</f>
        <v>1</v>
      </c>
      <c r="AD336" s="2">
        <f>IF(Games[[#This Row],[Type]]="R",IF(Games[[#This Row],[Result]]&lt;0.5,1,0),0)</f>
        <v>0</v>
      </c>
      <c r="AE336" s="2">
        <f>IF(AND(Games[[#This Row],[Type]]="P",Games[[#This Row],[Round]]=1),IF(Games[[#This Row],[Result]]&gt;0.5,1,0),0)</f>
        <v>0</v>
      </c>
      <c r="AF336" s="2">
        <f>IF(AND(Games[[#This Row],[Type]]="P",Games[[#This Row],[Round]]=1),IF(Games[[#This Row],[Result]]&lt;0.5,1,0),0)</f>
        <v>0</v>
      </c>
      <c r="AG336" s="2">
        <f>IF(AND(Games[[#This Row],[Type]]="P",Games[[#This Row],[Round]]=2),IF(Games[[#This Row],[Result]]&gt;0.5,1,0),0)</f>
        <v>0</v>
      </c>
      <c r="AH336" s="2">
        <f>IF(AND(Games[[#This Row],[Type]]="P",Games[[#This Row],[Round]]=2),IF(Games[[#This Row],[Result]]&lt;0.5,1,0),0)</f>
        <v>0</v>
      </c>
      <c r="AI336" s="2">
        <f>IF(AND(Games[[#This Row],[Type]]="P",Games[[#This Row],[Round]]=3),IF(Games[[#This Row],[Result]]&gt;0.5,1,0),0)</f>
        <v>0</v>
      </c>
      <c r="AJ336" s="2">
        <f>IF(AND(Games[[#This Row],[Type]]="P",Games[[#This Row],[Round]]=3),IF(Games[[#This Row],[Result]]&lt;0.5,1,0),0)</f>
        <v>0</v>
      </c>
      <c r="AK336" s="2">
        <f>IF(AND(Games[[#This Row],[Type]]="P",Games[[#This Row],[Round]]=4),IF(Games[[#This Row],[Result]]&gt;0.5,1,0),0)</f>
        <v>0</v>
      </c>
      <c r="AL336" s="2">
        <f>IF(AND(Games[[#This Row],[Type]]="P",Games[[#This Row],[Round]]=4),IF(Games[[#This Row],[Result]]&lt;0.5,1,0),0)</f>
        <v>0</v>
      </c>
    </row>
    <row r="337" spans="1:38" x14ac:dyDescent="0.35">
      <c r="A337" s="10">
        <v>44445</v>
      </c>
      <c r="B337" s="2">
        <v>2021</v>
      </c>
      <c r="C337" s="2">
        <f>COUNTIFS(Games[Team],Games[[#This Row],[Team]],Games[Season],Games[[#This Row],[Season]],Games[Date],"&lt;=" &amp; Games[[#This Row],[Date]])</f>
        <v>27</v>
      </c>
      <c r="D337" s="2" t="s">
        <v>79</v>
      </c>
      <c r="E337" s="2" t="s">
        <v>80</v>
      </c>
      <c r="F337" s="1" t="s">
        <v>69</v>
      </c>
      <c r="G337" s="1" t="s">
        <v>40</v>
      </c>
      <c r="H337" s="1" t="s">
        <v>82</v>
      </c>
      <c r="I337" s="2" cm="1">
        <f t="array" ref="I33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7" s="2" cm="1">
        <f t="array" ref="J33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7" s="2">
        <f>Games[[#This Row],[DaysOff]]-Games[[#This Row],[OppDaysOff]]</f>
        <v>0</v>
      </c>
      <c r="L337" s="2">
        <f>Games[[#This Row],[OppDaysOff]]-Games[[#This Row],[DaysOff]]</f>
        <v>0</v>
      </c>
      <c r="M337" s="1">
        <f>MAX(-16, MIN(16, Games[[#This Row],[RestDiff]]*8))</f>
        <v>0</v>
      </c>
      <c r="N337" s="1">
        <f>MAX(-16, MIN(16, Games[[#This Row],[OppRestDiff]]*8))</f>
        <v>0</v>
      </c>
      <c r="O337" s="4" cm="1">
        <f t="array" ref="O33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1338.8773220267383</v>
      </c>
      <c r="P337" s="4" cm="1">
        <f t="array" ref="P33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1578.2016554381753</v>
      </c>
      <c r="Q337" s="4">
        <f>1/(1+10^(((Games[[#This Row],[OppPreGmRate]]+IF(Games[[#This Row],[HomeAway]]="A",HCA,0)+Games[[#This Row],[OppRestAdj]])-(Games[[#This Row],[PreGmRate]]+IF(Games[[#This Row],[HomeAway]]="H",HCA,0)+Games[[#This Row],[RestAdj]]))/400))</f>
        <v>0.29026059660537545</v>
      </c>
      <c r="R337" s="1">
        <v>81</v>
      </c>
      <c r="S337" s="1">
        <v>86</v>
      </c>
      <c r="T337" s="1">
        <v>0</v>
      </c>
      <c r="U337" s="1">
        <f>Games[[#This Row],[PointsFor]]-Games[[#This Row],[PointsAgainst]]</f>
        <v>-5</v>
      </c>
      <c r="V337" s="1">
        <f>IF(Games[[#This Row],[MOV]]&gt;0,1,IF(Games[[#This Row],[MOV]]=0,0.5,0))</f>
        <v>0</v>
      </c>
      <c r="W337" s="4">
        <f>((ABS(Games[[#This Row],[MOV]])+5)^0.6)/(12+0.01*(ABS(Games[[#This Row],[PreGmRate]]-Games[[#This Row],[OppPreGmRate]])))*IF(Games[[#This Row],[OT]]=1,0.9,1)</f>
        <v>0.27659309393451115</v>
      </c>
      <c r="X337" s="7" cm="1">
        <f t="array" ref="X33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7" s="9">
        <f>MAX(kmin, kmax - 0.15 * MIN(Games[[#This Row],[GamesPlayed]], 82))</f>
        <v>71.95</v>
      </c>
      <c r="Z337" s="4">
        <f>Games[[#This Row],[K]]*Games[[#This Row],[POMult]]</f>
        <v>71.95</v>
      </c>
      <c r="AA337" s="4">
        <f>(Games[[#This Row],[Keff]]*Games[[#This Row],[MOVMult]])*(Games[[#This Row],[Result]]-Games[[#This Row],[ExpectedWin%]])</f>
        <v>-5.776439301466648</v>
      </c>
      <c r="AB337" s="4">
        <f>Games[[#This Row],[PreGmRate]]+Games[[#This Row],[RatingChange]]</f>
        <v>1333.1008827252717</v>
      </c>
      <c r="AC337" s="2">
        <f>IF(Games[[#This Row],[Type]]="R",IF(Games[[#This Row],[Result]]&gt;0.5,1,0),0)</f>
        <v>0</v>
      </c>
      <c r="AD337" s="2">
        <f>IF(Games[[#This Row],[Type]]="R",IF(Games[[#This Row],[Result]]&lt;0.5,1,0),0)</f>
        <v>1</v>
      </c>
      <c r="AE337" s="2">
        <f>IF(AND(Games[[#This Row],[Type]]="P",Games[[#This Row],[Round]]=1),IF(Games[[#This Row],[Result]]&gt;0.5,1,0),0)</f>
        <v>0</v>
      </c>
      <c r="AF337" s="2">
        <f>IF(AND(Games[[#This Row],[Type]]="P",Games[[#This Row],[Round]]=1),IF(Games[[#This Row],[Result]]&lt;0.5,1,0),0)</f>
        <v>0</v>
      </c>
      <c r="AG337" s="2">
        <f>IF(AND(Games[[#This Row],[Type]]="P",Games[[#This Row],[Round]]=2),IF(Games[[#This Row],[Result]]&gt;0.5,1,0),0)</f>
        <v>0</v>
      </c>
      <c r="AH337" s="2">
        <f>IF(AND(Games[[#This Row],[Type]]="P",Games[[#This Row],[Round]]=2),IF(Games[[#This Row],[Result]]&lt;0.5,1,0),0)</f>
        <v>0</v>
      </c>
      <c r="AI337" s="2">
        <f>IF(AND(Games[[#This Row],[Type]]="P",Games[[#This Row],[Round]]=3),IF(Games[[#This Row],[Result]]&gt;0.5,1,0),0)</f>
        <v>0</v>
      </c>
      <c r="AJ337" s="2">
        <f>IF(AND(Games[[#This Row],[Type]]="P",Games[[#This Row],[Round]]=3),IF(Games[[#This Row],[Result]]&lt;0.5,1,0),0)</f>
        <v>0</v>
      </c>
      <c r="AK337" s="2">
        <f>IF(AND(Games[[#This Row],[Type]]="P",Games[[#This Row],[Round]]=4),IF(Games[[#This Row],[Result]]&gt;0.5,1,0),0)</f>
        <v>0</v>
      </c>
      <c r="AL337" s="2">
        <f>IF(AND(Games[[#This Row],[Type]]="P",Games[[#This Row],[Round]]=4),IF(Games[[#This Row],[Result]]&lt;0.5,1,0),0)</f>
        <v>0</v>
      </c>
    </row>
    <row r="338" spans="1:38" x14ac:dyDescent="0.35">
      <c r="A338" s="10">
        <v>44446</v>
      </c>
      <c r="B338" s="2">
        <v>2021</v>
      </c>
      <c r="C338" s="2">
        <f>COUNTIFS(Games[Team],Games[[#This Row],[Team]],Games[Season],Games[[#This Row],[Season]],Games[Date],"&lt;=" &amp; Games[[#This Row],[Date]])</f>
        <v>29</v>
      </c>
      <c r="D338" s="2" t="s">
        <v>79</v>
      </c>
      <c r="E338" s="2" t="s">
        <v>80</v>
      </c>
      <c r="F338" s="1" t="s">
        <v>74</v>
      </c>
      <c r="G338" s="1" t="s">
        <v>84</v>
      </c>
      <c r="H338" s="1" t="s">
        <v>81</v>
      </c>
      <c r="I338" s="2" cm="1">
        <f t="array" ref="I338">IFERROR(
    Games[[#This Row],[Date]]
    - LOOKUP(
        2,
        1/((Games[Team]=Games[[#This Row],[Team]]) * (Games[Date] &lt; Games[[#This Row],[Date]])),
        Games[Date]
    )
    - 1,
Games[[#This Row],[Date]]-$A$2)</f>
        <v>6</v>
      </c>
      <c r="J338" s="2" cm="1">
        <f t="array" ref="J33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38" s="2">
        <f>Games[[#This Row],[DaysOff]]-Games[[#This Row],[OppDaysOff]]</f>
        <v>5</v>
      </c>
      <c r="L338" s="2">
        <f>Games[[#This Row],[OppDaysOff]]-Games[[#This Row],[DaysOff]]</f>
        <v>-5</v>
      </c>
      <c r="M338" s="1">
        <f>MAX(-16, MIN(16, Games[[#This Row],[RestDiff]]*8))</f>
        <v>16</v>
      </c>
      <c r="N338" s="1">
        <f>MAX(-16, MIN(16, Games[[#This Row],[OppRestDiff]]*8))</f>
        <v>-16</v>
      </c>
      <c r="O338" s="4" cm="1">
        <f t="array" ref="O33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1663.1498183782801</v>
      </c>
      <c r="P338" s="4" cm="1">
        <f t="array" ref="P33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1454.6060727294869</v>
      </c>
      <c r="Q338" s="4">
        <f>1/(1+10^(((Games[[#This Row],[OppPreGmRate]]+IF(Games[[#This Row],[HomeAway]]="A",HCA,0)+Games[[#This Row],[OppRestAdj]])-(Games[[#This Row],[PreGmRate]]+IF(Games[[#This Row],[HomeAway]]="H",HCA,0)+Games[[#This Row],[RestAdj]]))/400))</f>
        <v>0.71118335467345595</v>
      </c>
      <c r="R338" s="1">
        <v>83</v>
      </c>
      <c r="S338" s="1">
        <v>56</v>
      </c>
      <c r="T338" s="1">
        <v>0</v>
      </c>
      <c r="U338" s="1">
        <f>Games[[#This Row],[PointsFor]]-Games[[#This Row],[PointsAgainst]]</f>
        <v>27</v>
      </c>
      <c r="V338" s="1">
        <f>IF(Games[[#This Row],[MOV]]&gt;0,1,IF(Games[[#This Row],[MOV]]=0,0.5,0))</f>
        <v>1</v>
      </c>
      <c r="W338" s="4">
        <f>((ABS(Games[[#This Row],[MOV]])+5)^0.6)/(12+0.01*(ABS(Games[[#This Row],[PreGmRate]]-Games[[#This Row],[OppPreGmRate]])))*IF(Games[[#This Row],[OT]]=1,0.9,1)</f>
        <v>0.56796248073325517</v>
      </c>
      <c r="X338" s="7" cm="1">
        <f t="array" ref="X33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8" s="9">
        <f>MAX(kmin, kmax - 0.15 * MIN(Games[[#This Row],[GamesPlayed]], 82))</f>
        <v>71.650000000000006</v>
      </c>
      <c r="Z338" s="4">
        <f>Games[[#This Row],[K]]*Games[[#This Row],[POMult]]</f>
        <v>71.650000000000006</v>
      </c>
      <c r="AA338" s="4">
        <f>(Games[[#This Row],[Keff]]*Games[[#This Row],[MOVMult]])*(Games[[#This Row],[Result]]-Games[[#This Row],[ExpectedWin%]])</f>
        <v>11.753252365259037</v>
      </c>
      <c r="AB338" s="4">
        <f>Games[[#This Row],[PreGmRate]]+Games[[#This Row],[RatingChange]]</f>
        <v>1674.903070743539</v>
      </c>
      <c r="AC338" s="2">
        <f>IF(Games[[#This Row],[Type]]="R",IF(Games[[#This Row],[Result]]&gt;0.5,1,0),0)</f>
        <v>1</v>
      </c>
      <c r="AD338" s="2">
        <f>IF(Games[[#This Row],[Type]]="R",IF(Games[[#This Row],[Result]]&lt;0.5,1,0),0)</f>
        <v>0</v>
      </c>
      <c r="AE338" s="2">
        <f>IF(AND(Games[[#This Row],[Type]]="P",Games[[#This Row],[Round]]=1),IF(Games[[#This Row],[Result]]&gt;0.5,1,0),0)</f>
        <v>0</v>
      </c>
      <c r="AF338" s="2">
        <f>IF(AND(Games[[#This Row],[Type]]="P",Games[[#This Row],[Round]]=1),IF(Games[[#This Row],[Result]]&lt;0.5,1,0),0)</f>
        <v>0</v>
      </c>
      <c r="AG338" s="2">
        <f>IF(AND(Games[[#This Row],[Type]]="P",Games[[#This Row],[Round]]=2),IF(Games[[#This Row],[Result]]&gt;0.5,1,0),0)</f>
        <v>0</v>
      </c>
      <c r="AH338" s="2">
        <f>IF(AND(Games[[#This Row],[Type]]="P",Games[[#This Row],[Round]]=2),IF(Games[[#This Row],[Result]]&lt;0.5,1,0),0)</f>
        <v>0</v>
      </c>
      <c r="AI338" s="2">
        <f>IF(AND(Games[[#This Row],[Type]]="P",Games[[#This Row],[Round]]=3),IF(Games[[#This Row],[Result]]&gt;0.5,1,0),0)</f>
        <v>0</v>
      </c>
      <c r="AJ338" s="2">
        <f>IF(AND(Games[[#This Row],[Type]]="P",Games[[#This Row],[Round]]=3),IF(Games[[#This Row],[Result]]&lt;0.5,1,0),0)</f>
        <v>0</v>
      </c>
      <c r="AK338" s="2">
        <f>IF(AND(Games[[#This Row],[Type]]="P",Games[[#This Row],[Round]]=4),IF(Games[[#This Row],[Result]]&gt;0.5,1,0),0)</f>
        <v>0</v>
      </c>
      <c r="AL338" s="2">
        <f>IF(AND(Games[[#This Row],[Type]]="P",Games[[#This Row],[Round]]=4),IF(Games[[#This Row],[Result]]&lt;0.5,1,0),0)</f>
        <v>0</v>
      </c>
    </row>
    <row r="339" spans="1:38" x14ac:dyDescent="0.35">
      <c r="A339" s="10">
        <v>44446</v>
      </c>
      <c r="B339" s="2">
        <v>2021</v>
      </c>
      <c r="C339" s="2">
        <f>COUNTIFS(Games[Team],Games[[#This Row],[Team]],Games[Season],Games[[#This Row],[Season]],Games[Date],"&lt;=" &amp; Games[[#This Row],[Date]])</f>
        <v>29</v>
      </c>
      <c r="D339" s="2" t="s">
        <v>79</v>
      </c>
      <c r="E339" s="2" t="s">
        <v>80</v>
      </c>
      <c r="F339" s="1" t="s">
        <v>84</v>
      </c>
      <c r="G339" s="1" t="s">
        <v>74</v>
      </c>
      <c r="H339" s="1" t="s">
        <v>82</v>
      </c>
      <c r="I339" s="2" cm="1">
        <f t="array" ref="I33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39" s="2" cm="1">
        <f t="array" ref="J339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39" s="2">
        <f>Games[[#This Row],[DaysOff]]-Games[[#This Row],[OppDaysOff]]</f>
        <v>-5</v>
      </c>
      <c r="L339" s="2">
        <f>Games[[#This Row],[OppDaysOff]]-Games[[#This Row],[DaysOff]]</f>
        <v>5</v>
      </c>
      <c r="M339" s="1">
        <f>MAX(-16, MIN(16, Games[[#This Row],[RestDiff]]*8))</f>
        <v>-16</v>
      </c>
      <c r="N339" s="1">
        <f>MAX(-16, MIN(16, Games[[#This Row],[OppRestDiff]]*8))</f>
        <v>16</v>
      </c>
      <c r="O339" s="4" cm="1">
        <f t="array" ref="O33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1454.6060727294869</v>
      </c>
      <c r="P339" s="4" cm="1">
        <f t="array" ref="P33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1663.1498183782801</v>
      </c>
      <c r="Q339" s="4">
        <f>1/(1+10^(((Games[[#This Row],[OppPreGmRate]]+IF(Games[[#This Row],[HomeAway]]="A",HCA,0)+Games[[#This Row],[OppRestAdj]])-(Games[[#This Row],[PreGmRate]]+IF(Games[[#This Row],[HomeAway]]="H",HCA,0)+Games[[#This Row],[RestAdj]]))/400))</f>
        <v>0.28881664532654405</v>
      </c>
      <c r="R339" s="1">
        <v>56</v>
      </c>
      <c r="S339" s="1">
        <v>83</v>
      </c>
      <c r="T339" s="1">
        <v>0</v>
      </c>
      <c r="U339" s="1">
        <f>Games[[#This Row],[PointsFor]]-Games[[#This Row],[PointsAgainst]]</f>
        <v>-27</v>
      </c>
      <c r="V339" s="1">
        <f>IF(Games[[#This Row],[MOV]]&gt;0,1,IF(Games[[#This Row],[MOV]]=0,0.5,0))</f>
        <v>0</v>
      </c>
      <c r="W339" s="4">
        <f>((ABS(Games[[#This Row],[MOV]])+5)^0.6)/(12+0.01*(ABS(Games[[#This Row],[PreGmRate]]-Games[[#This Row],[OppPreGmRate]])))*IF(Games[[#This Row],[OT]]=1,0.9,1)</f>
        <v>0.56796248073325517</v>
      </c>
      <c r="X339" s="7" cm="1">
        <f t="array" ref="X33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39" s="9">
        <f>MAX(kmin, kmax - 0.15 * MIN(Games[[#This Row],[GamesPlayed]], 82))</f>
        <v>71.650000000000006</v>
      </c>
      <c r="Z339" s="4">
        <f>Games[[#This Row],[K]]*Games[[#This Row],[POMult]]</f>
        <v>71.650000000000006</v>
      </c>
      <c r="AA339" s="4">
        <f>(Games[[#This Row],[Keff]]*Games[[#This Row],[MOVMult]])*(Games[[#This Row],[Result]]-Games[[#This Row],[ExpectedWin%]])</f>
        <v>-11.753252365259037</v>
      </c>
      <c r="AB339" s="4">
        <f>Games[[#This Row],[PreGmRate]]+Games[[#This Row],[RatingChange]]</f>
        <v>1442.8528203642279</v>
      </c>
      <c r="AC339" s="2">
        <f>IF(Games[[#This Row],[Type]]="R",IF(Games[[#This Row],[Result]]&gt;0.5,1,0),0)</f>
        <v>0</v>
      </c>
      <c r="AD339" s="2">
        <f>IF(Games[[#This Row],[Type]]="R",IF(Games[[#This Row],[Result]]&lt;0.5,1,0),0)</f>
        <v>1</v>
      </c>
      <c r="AE339" s="2">
        <f>IF(AND(Games[[#This Row],[Type]]="P",Games[[#This Row],[Round]]=1),IF(Games[[#This Row],[Result]]&gt;0.5,1,0),0)</f>
        <v>0</v>
      </c>
      <c r="AF339" s="2">
        <f>IF(AND(Games[[#This Row],[Type]]="P",Games[[#This Row],[Round]]=1),IF(Games[[#This Row],[Result]]&lt;0.5,1,0),0)</f>
        <v>0</v>
      </c>
      <c r="AG339" s="2">
        <f>IF(AND(Games[[#This Row],[Type]]="P",Games[[#This Row],[Round]]=2),IF(Games[[#This Row],[Result]]&gt;0.5,1,0),0)</f>
        <v>0</v>
      </c>
      <c r="AH339" s="2">
        <f>IF(AND(Games[[#This Row],[Type]]="P",Games[[#This Row],[Round]]=2),IF(Games[[#This Row],[Result]]&lt;0.5,1,0),0)</f>
        <v>0</v>
      </c>
      <c r="AI339" s="2">
        <f>IF(AND(Games[[#This Row],[Type]]="P",Games[[#This Row],[Round]]=3),IF(Games[[#This Row],[Result]]&gt;0.5,1,0),0)</f>
        <v>0</v>
      </c>
      <c r="AJ339" s="2">
        <f>IF(AND(Games[[#This Row],[Type]]="P",Games[[#This Row],[Round]]=3),IF(Games[[#This Row],[Result]]&lt;0.5,1,0),0)</f>
        <v>0</v>
      </c>
      <c r="AK339" s="2">
        <f>IF(AND(Games[[#This Row],[Type]]="P",Games[[#This Row],[Round]]=4),IF(Games[[#This Row],[Result]]&gt;0.5,1,0),0)</f>
        <v>0</v>
      </c>
      <c r="AL339" s="2">
        <f>IF(AND(Games[[#This Row],[Type]]="P",Games[[#This Row],[Round]]=4),IF(Games[[#This Row],[Result]]&lt;0.5,1,0),0)</f>
        <v>0</v>
      </c>
    </row>
    <row r="340" spans="1:38" x14ac:dyDescent="0.35">
      <c r="A340" s="10">
        <v>44446</v>
      </c>
      <c r="B340" s="2">
        <v>2021</v>
      </c>
      <c r="C340" s="2">
        <f>COUNTIFS(Games[Team],Games[[#This Row],[Team]],Games[Season],Games[[#This Row],[Season]],Games[Date],"&lt;=" &amp; Games[[#This Row],[Date]])</f>
        <v>28</v>
      </c>
      <c r="D340" s="2" t="s">
        <v>79</v>
      </c>
      <c r="E340" s="2" t="s">
        <v>80</v>
      </c>
      <c r="F340" s="1" t="s">
        <v>65</v>
      </c>
      <c r="G340" s="1" t="s">
        <v>71</v>
      </c>
      <c r="H340" s="1" t="s">
        <v>81</v>
      </c>
      <c r="I340" s="2" cm="1">
        <f t="array" ref="I34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0" s="2" cm="1">
        <f t="array" ref="J34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40" s="2">
        <f>Games[[#This Row],[DaysOff]]-Games[[#This Row],[OppDaysOff]]</f>
        <v>-2</v>
      </c>
      <c r="L340" s="2">
        <f>Games[[#This Row],[OppDaysOff]]-Games[[#This Row],[DaysOff]]</f>
        <v>2</v>
      </c>
      <c r="M340" s="1">
        <f>MAX(-16, MIN(16, Games[[#This Row],[RestDiff]]*8))</f>
        <v>-16</v>
      </c>
      <c r="N340" s="1">
        <f>MAX(-16, MIN(16, Games[[#This Row],[OppRestDiff]]*8))</f>
        <v>16</v>
      </c>
      <c r="O340" s="4" cm="1">
        <f t="array" ref="O34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1425.81159585314</v>
      </c>
      <c r="P340" s="4" cm="1">
        <f t="array" ref="P34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1622.0756286101741</v>
      </c>
      <c r="Q340" s="4">
        <f>1/(1+10^(((Games[[#This Row],[OppPreGmRate]]+IF(Games[[#This Row],[HomeAway]]="A",HCA,0)+Games[[#This Row],[OppRestAdj]])-(Games[[#This Row],[PreGmRate]]+IF(Games[[#This Row],[HomeAway]]="H",HCA,0)+Games[[#This Row],[RestAdj]]))/400))</f>
        <v>0.14215123817744055</v>
      </c>
      <c r="R340" s="1">
        <v>71</v>
      </c>
      <c r="S340" s="1">
        <v>105</v>
      </c>
      <c r="T340" s="1">
        <v>0</v>
      </c>
      <c r="U340" s="1">
        <f>Games[[#This Row],[PointsFor]]-Games[[#This Row],[PointsAgainst]]</f>
        <v>-34</v>
      </c>
      <c r="V340" s="1">
        <f>IF(Games[[#This Row],[MOV]]&gt;0,1,IF(Games[[#This Row],[MOV]]=0,0.5,0))</f>
        <v>0</v>
      </c>
      <c r="W340" s="4">
        <f>((ABS(Games[[#This Row],[MOV]])+5)^0.6)/(12+0.01*(ABS(Games[[#This Row],[PreGmRate]]-Games[[#This Row],[OppPreGmRate]])))*IF(Games[[#This Row],[OT]]=1,0.9,1)</f>
        <v>0.64516561546336937</v>
      </c>
      <c r="X340" s="7" cm="1">
        <f t="array" ref="X34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0" s="9">
        <f>MAX(kmin, kmax - 0.15 * MIN(Games[[#This Row],[GamesPlayed]], 82))</f>
        <v>71.8</v>
      </c>
      <c r="Z340" s="4">
        <f>Games[[#This Row],[K]]*Games[[#This Row],[POMult]]</f>
        <v>71.8</v>
      </c>
      <c r="AA340" s="4">
        <f>(Games[[#This Row],[Keff]]*Games[[#This Row],[MOVMult]])*(Games[[#This Row],[Result]]-Games[[#This Row],[ExpectedWin%]])</f>
        <v>-6.5848563386557224</v>
      </c>
      <c r="AB340" s="4">
        <f>Games[[#This Row],[PreGmRate]]+Games[[#This Row],[RatingChange]]</f>
        <v>1419.2267395144843</v>
      </c>
      <c r="AC340" s="2">
        <f>IF(Games[[#This Row],[Type]]="R",IF(Games[[#This Row],[Result]]&gt;0.5,1,0),0)</f>
        <v>0</v>
      </c>
      <c r="AD340" s="2">
        <f>IF(Games[[#This Row],[Type]]="R",IF(Games[[#This Row],[Result]]&lt;0.5,1,0),0)</f>
        <v>1</v>
      </c>
      <c r="AE340" s="2">
        <f>IF(AND(Games[[#This Row],[Type]]="P",Games[[#This Row],[Round]]=1),IF(Games[[#This Row],[Result]]&gt;0.5,1,0),0)</f>
        <v>0</v>
      </c>
      <c r="AF340" s="2">
        <f>IF(AND(Games[[#This Row],[Type]]="P",Games[[#This Row],[Round]]=1),IF(Games[[#This Row],[Result]]&lt;0.5,1,0),0)</f>
        <v>0</v>
      </c>
      <c r="AG340" s="2">
        <f>IF(AND(Games[[#This Row],[Type]]="P",Games[[#This Row],[Round]]=2),IF(Games[[#This Row],[Result]]&gt;0.5,1,0),0)</f>
        <v>0</v>
      </c>
      <c r="AH340" s="2">
        <f>IF(AND(Games[[#This Row],[Type]]="P",Games[[#This Row],[Round]]=2),IF(Games[[#This Row],[Result]]&lt;0.5,1,0),0)</f>
        <v>0</v>
      </c>
      <c r="AI340" s="2">
        <f>IF(AND(Games[[#This Row],[Type]]="P",Games[[#This Row],[Round]]=3),IF(Games[[#This Row],[Result]]&gt;0.5,1,0),0)</f>
        <v>0</v>
      </c>
      <c r="AJ340" s="2">
        <f>IF(AND(Games[[#This Row],[Type]]="P",Games[[#This Row],[Round]]=3),IF(Games[[#This Row],[Result]]&lt;0.5,1,0),0)</f>
        <v>0</v>
      </c>
      <c r="AK340" s="2">
        <f>IF(AND(Games[[#This Row],[Type]]="P",Games[[#This Row],[Round]]=4),IF(Games[[#This Row],[Result]]&gt;0.5,1,0),0)</f>
        <v>0</v>
      </c>
      <c r="AL340" s="2">
        <f>IF(AND(Games[[#This Row],[Type]]="P",Games[[#This Row],[Round]]=4),IF(Games[[#This Row],[Result]]&lt;0.5,1,0),0)</f>
        <v>0</v>
      </c>
    </row>
    <row r="341" spans="1:38" x14ac:dyDescent="0.35">
      <c r="A341" s="10">
        <v>44446</v>
      </c>
      <c r="B341" s="2">
        <v>2021</v>
      </c>
      <c r="C341" s="2">
        <f>COUNTIFS(Games[Team],Games[[#This Row],[Team]],Games[Season],Games[[#This Row],[Season]],Games[Date],"&lt;=" &amp; Games[[#This Row],[Date]])</f>
        <v>31</v>
      </c>
      <c r="D341" s="2" t="s">
        <v>79</v>
      </c>
      <c r="E341" s="2" t="s">
        <v>80</v>
      </c>
      <c r="F341" s="1" t="s">
        <v>71</v>
      </c>
      <c r="G341" s="1" t="s">
        <v>65</v>
      </c>
      <c r="H341" s="1" t="s">
        <v>82</v>
      </c>
      <c r="I341" s="2" cm="1">
        <f t="array" ref="I34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41" s="2" cm="1">
        <f t="array" ref="J34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1" s="2">
        <f>Games[[#This Row],[DaysOff]]-Games[[#This Row],[OppDaysOff]]</f>
        <v>2</v>
      </c>
      <c r="L341" s="2">
        <f>Games[[#This Row],[OppDaysOff]]-Games[[#This Row],[DaysOff]]</f>
        <v>-2</v>
      </c>
      <c r="M341" s="1">
        <f>MAX(-16, MIN(16, Games[[#This Row],[RestDiff]]*8))</f>
        <v>16</v>
      </c>
      <c r="N341" s="1">
        <f>MAX(-16, MIN(16, Games[[#This Row],[OppRestDiff]]*8))</f>
        <v>-16</v>
      </c>
      <c r="O341" s="4" cm="1">
        <f t="array" ref="O34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1622.0756286101741</v>
      </c>
      <c r="P341" s="4" cm="1">
        <f t="array" ref="P34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1425.81159585314</v>
      </c>
      <c r="Q341" s="4">
        <f>1/(1+10^(((Games[[#This Row],[OppPreGmRate]]+IF(Games[[#This Row],[HomeAway]]="A",HCA,0)+Games[[#This Row],[OppRestAdj]])-(Games[[#This Row],[PreGmRate]]+IF(Games[[#This Row],[HomeAway]]="H",HCA,0)+Games[[#This Row],[RestAdj]]))/400))</f>
        <v>0.85784876182255954</v>
      </c>
      <c r="R341" s="1">
        <v>105</v>
      </c>
      <c r="S341" s="1">
        <v>71</v>
      </c>
      <c r="T341" s="1">
        <v>0</v>
      </c>
      <c r="U341" s="1">
        <f>Games[[#This Row],[PointsFor]]-Games[[#This Row],[PointsAgainst]]</f>
        <v>34</v>
      </c>
      <c r="V341" s="1">
        <f>IF(Games[[#This Row],[MOV]]&gt;0,1,IF(Games[[#This Row],[MOV]]=0,0.5,0))</f>
        <v>1</v>
      </c>
      <c r="W341" s="4">
        <f>((ABS(Games[[#This Row],[MOV]])+5)^0.6)/(12+0.01*(ABS(Games[[#This Row],[PreGmRate]]-Games[[#This Row],[OppPreGmRate]])))*IF(Games[[#This Row],[OT]]=1,0.9,1)</f>
        <v>0.64516561546336937</v>
      </c>
      <c r="X341" s="7" cm="1">
        <f t="array" ref="X34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1" s="9">
        <f>MAX(kmin, kmax - 0.15 * MIN(Games[[#This Row],[GamesPlayed]], 82))</f>
        <v>71.349999999999994</v>
      </c>
      <c r="Z341" s="4">
        <f>Games[[#This Row],[K]]*Games[[#This Row],[POMult]]</f>
        <v>71.349999999999994</v>
      </c>
      <c r="AA341" s="4">
        <f>(Games[[#This Row],[Keff]]*Games[[#This Row],[MOVMult]])*(Games[[#This Row],[Result]]-Games[[#This Row],[ExpectedWin%]])</f>
        <v>6.5435863476752845</v>
      </c>
      <c r="AB341" s="4">
        <f>Games[[#This Row],[PreGmRate]]+Games[[#This Row],[RatingChange]]</f>
        <v>1628.6192149578494</v>
      </c>
      <c r="AC341" s="2">
        <f>IF(Games[[#This Row],[Type]]="R",IF(Games[[#This Row],[Result]]&gt;0.5,1,0),0)</f>
        <v>1</v>
      </c>
      <c r="AD341" s="2">
        <f>IF(Games[[#This Row],[Type]]="R",IF(Games[[#This Row],[Result]]&lt;0.5,1,0),0)</f>
        <v>0</v>
      </c>
      <c r="AE341" s="2">
        <f>IF(AND(Games[[#This Row],[Type]]="P",Games[[#This Row],[Round]]=1),IF(Games[[#This Row],[Result]]&gt;0.5,1,0),0)</f>
        <v>0</v>
      </c>
      <c r="AF341" s="2">
        <f>IF(AND(Games[[#This Row],[Type]]="P",Games[[#This Row],[Round]]=1),IF(Games[[#This Row],[Result]]&lt;0.5,1,0),0)</f>
        <v>0</v>
      </c>
      <c r="AG341" s="2">
        <f>IF(AND(Games[[#This Row],[Type]]="P",Games[[#This Row],[Round]]=2),IF(Games[[#This Row],[Result]]&gt;0.5,1,0),0)</f>
        <v>0</v>
      </c>
      <c r="AH341" s="2">
        <f>IF(AND(Games[[#This Row],[Type]]="P",Games[[#This Row],[Round]]=2),IF(Games[[#This Row],[Result]]&lt;0.5,1,0),0)</f>
        <v>0</v>
      </c>
      <c r="AI341" s="2">
        <f>IF(AND(Games[[#This Row],[Type]]="P",Games[[#This Row],[Round]]=3),IF(Games[[#This Row],[Result]]&gt;0.5,1,0),0)</f>
        <v>0</v>
      </c>
      <c r="AJ341" s="2">
        <f>IF(AND(Games[[#This Row],[Type]]="P",Games[[#This Row],[Round]]=3),IF(Games[[#This Row],[Result]]&lt;0.5,1,0),0)</f>
        <v>0</v>
      </c>
      <c r="AK341" s="2">
        <f>IF(AND(Games[[#This Row],[Type]]="P",Games[[#This Row],[Round]]=4),IF(Games[[#This Row],[Result]]&gt;0.5,1,0),0)</f>
        <v>0</v>
      </c>
      <c r="AL341" s="2">
        <f>IF(AND(Games[[#This Row],[Type]]="P",Games[[#This Row],[Round]]=4),IF(Games[[#This Row],[Result]]&lt;0.5,1,0),0)</f>
        <v>0</v>
      </c>
    </row>
    <row r="342" spans="1:38" x14ac:dyDescent="0.35">
      <c r="A342" s="10">
        <v>44447</v>
      </c>
      <c r="B342" s="2">
        <v>2021</v>
      </c>
      <c r="C342" s="2">
        <f>COUNTIFS(Games[Team],Games[[#This Row],[Team]],Games[Season],Games[[#This Row],[Season]],Games[Date],"&lt;=" &amp; Games[[#This Row],[Date]])</f>
        <v>29</v>
      </c>
      <c r="D342" s="2" t="s">
        <v>79</v>
      </c>
      <c r="E342" s="2" t="s">
        <v>80</v>
      </c>
      <c r="F342" s="1" t="s">
        <v>40</v>
      </c>
      <c r="G342" s="1" t="s">
        <v>77</v>
      </c>
      <c r="H342" s="1" t="s">
        <v>81</v>
      </c>
      <c r="I342" s="2" cm="1">
        <f t="array" ref="I34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2" s="2" cm="1">
        <f t="array" ref="J34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2" s="2">
        <f>Games[[#This Row],[DaysOff]]-Games[[#This Row],[OppDaysOff]]</f>
        <v>-1</v>
      </c>
      <c r="L342" s="2">
        <f>Games[[#This Row],[OppDaysOff]]-Games[[#This Row],[DaysOff]]</f>
        <v>1</v>
      </c>
      <c r="M342" s="1">
        <f>MAX(-16, MIN(16, Games[[#This Row],[RestDiff]]*8))</f>
        <v>-8</v>
      </c>
      <c r="N342" s="1">
        <f>MAX(-16, MIN(16, Games[[#This Row],[OppRestDiff]]*8))</f>
        <v>8</v>
      </c>
      <c r="O342" s="4" cm="1">
        <f t="array" ref="O34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1583.9660521281726</v>
      </c>
      <c r="P342" s="4" cm="1">
        <f t="array" ref="P34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1339.1361050206438</v>
      </c>
      <c r="Q342" s="4">
        <f>1/(1+10^(((Games[[#This Row],[OppPreGmRate]]+IF(Games[[#This Row],[HomeAway]]="A",HCA,0)+Games[[#This Row],[OppRestAdj]])-(Games[[#This Row],[PreGmRate]]+IF(Games[[#This Row],[HomeAway]]="H",HCA,0)+Games[[#This Row],[RestAdj]]))/400))</f>
        <v>0.69713843636340578</v>
      </c>
      <c r="R342" s="1">
        <v>76</v>
      </c>
      <c r="S342" s="1">
        <v>75</v>
      </c>
      <c r="T342" s="1">
        <v>0</v>
      </c>
      <c r="U342" s="1">
        <f>Games[[#This Row],[PointsFor]]-Games[[#This Row],[PointsAgainst]]</f>
        <v>1</v>
      </c>
      <c r="V342" s="1">
        <f>IF(Games[[#This Row],[MOV]]&gt;0,1,IF(Games[[#This Row],[MOV]]=0,0.5,0))</f>
        <v>1</v>
      </c>
      <c r="W342" s="4">
        <f>((ABS(Games[[#This Row],[MOV]])+5)^0.6)/(12+0.01*(ABS(Games[[#This Row],[PreGmRate]]-Games[[#This Row],[OppPreGmRate]])))*IF(Games[[#This Row],[OT]]=1,0.9,1)</f>
        <v>0.20280283208757782</v>
      </c>
      <c r="X342" s="7" cm="1">
        <f t="array" ref="X34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2" s="9">
        <f>MAX(kmin, kmax - 0.15 * MIN(Games[[#This Row],[GamesPlayed]], 82))</f>
        <v>71.650000000000006</v>
      </c>
      <c r="Z342" s="4">
        <f>Games[[#This Row],[K]]*Games[[#This Row],[POMult]]</f>
        <v>71.650000000000006</v>
      </c>
      <c r="AA342" s="4">
        <f>(Games[[#This Row],[Keff]]*Games[[#This Row],[MOVMult]])*(Games[[#This Row],[Result]]-Games[[#This Row],[ExpectedWin%]])</f>
        <v>4.4008277501975002</v>
      </c>
      <c r="AB342" s="4">
        <f>Games[[#This Row],[PreGmRate]]+Games[[#This Row],[RatingChange]]</f>
        <v>1588.3668798783701</v>
      </c>
      <c r="AC342" s="2">
        <f>IF(Games[[#This Row],[Type]]="R",IF(Games[[#This Row],[Result]]&gt;0.5,1,0),0)</f>
        <v>1</v>
      </c>
      <c r="AD342" s="2">
        <f>IF(Games[[#This Row],[Type]]="R",IF(Games[[#This Row],[Result]]&lt;0.5,1,0),0)</f>
        <v>0</v>
      </c>
      <c r="AE342" s="2">
        <f>IF(AND(Games[[#This Row],[Type]]="P",Games[[#This Row],[Round]]=1),IF(Games[[#This Row],[Result]]&gt;0.5,1,0),0)</f>
        <v>0</v>
      </c>
      <c r="AF342" s="2">
        <f>IF(AND(Games[[#This Row],[Type]]="P",Games[[#This Row],[Round]]=1),IF(Games[[#This Row],[Result]]&lt;0.5,1,0),0)</f>
        <v>0</v>
      </c>
      <c r="AG342" s="2">
        <f>IF(AND(Games[[#This Row],[Type]]="P",Games[[#This Row],[Round]]=2),IF(Games[[#This Row],[Result]]&gt;0.5,1,0),0)</f>
        <v>0</v>
      </c>
      <c r="AH342" s="2">
        <f>IF(AND(Games[[#This Row],[Type]]="P",Games[[#This Row],[Round]]=2),IF(Games[[#This Row],[Result]]&lt;0.5,1,0),0)</f>
        <v>0</v>
      </c>
      <c r="AI342" s="2">
        <f>IF(AND(Games[[#This Row],[Type]]="P",Games[[#This Row],[Round]]=3),IF(Games[[#This Row],[Result]]&gt;0.5,1,0),0)</f>
        <v>0</v>
      </c>
      <c r="AJ342" s="2">
        <f>IF(AND(Games[[#This Row],[Type]]="P",Games[[#This Row],[Round]]=3),IF(Games[[#This Row],[Result]]&lt;0.5,1,0),0)</f>
        <v>0</v>
      </c>
      <c r="AK342" s="2">
        <f>IF(AND(Games[[#This Row],[Type]]="P",Games[[#This Row],[Round]]=4),IF(Games[[#This Row],[Result]]&gt;0.5,1,0),0)</f>
        <v>0</v>
      </c>
      <c r="AL342" s="2">
        <f>IF(AND(Games[[#This Row],[Type]]="P",Games[[#This Row],[Round]]=4),IF(Games[[#This Row],[Result]]&lt;0.5,1,0),0)</f>
        <v>0</v>
      </c>
    </row>
    <row r="343" spans="1:38" x14ac:dyDescent="0.35">
      <c r="A343" s="10">
        <v>44447</v>
      </c>
      <c r="B343" s="2">
        <v>2021</v>
      </c>
      <c r="C343" s="2">
        <f>COUNTIFS(Games[Team],Games[[#This Row],[Team]],Games[Season],Games[[#This Row],[Season]],Games[Date],"&lt;=" &amp; Games[[#This Row],[Date]])</f>
        <v>28</v>
      </c>
      <c r="D343" s="2" t="s">
        <v>79</v>
      </c>
      <c r="E343" s="2" t="s">
        <v>80</v>
      </c>
      <c r="F343" s="1" t="s">
        <v>77</v>
      </c>
      <c r="G343" s="1" t="s">
        <v>40</v>
      </c>
      <c r="H343" s="1" t="s">
        <v>82</v>
      </c>
      <c r="I343" s="2" cm="1">
        <f t="array" ref="I34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3" s="2" cm="1">
        <f t="array" ref="J34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3" s="2">
        <f>Games[[#This Row],[DaysOff]]-Games[[#This Row],[OppDaysOff]]</f>
        <v>1</v>
      </c>
      <c r="L343" s="2">
        <f>Games[[#This Row],[OppDaysOff]]-Games[[#This Row],[DaysOff]]</f>
        <v>-1</v>
      </c>
      <c r="M343" s="1">
        <f>MAX(-16, MIN(16, Games[[#This Row],[RestDiff]]*8))</f>
        <v>8</v>
      </c>
      <c r="N343" s="1">
        <f>MAX(-16, MIN(16, Games[[#This Row],[OppRestDiff]]*8))</f>
        <v>-8</v>
      </c>
      <c r="O343" s="4" cm="1">
        <f t="array" ref="O34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1339.1361050206438</v>
      </c>
      <c r="P343" s="4" cm="1">
        <f t="array" ref="P34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1583.9660521281726</v>
      </c>
      <c r="Q343" s="4">
        <f>1/(1+10^(((Games[[#This Row],[OppPreGmRate]]+IF(Games[[#This Row],[HomeAway]]="A",HCA,0)+Games[[#This Row],[OppRestAdj]])-(Games[[#This Row],[PreGmRate]]+IF(Games[[#This Row],[HomeAway]]="H",HCA,0)+Games[[#This Row],[RestAdj]]))/400))</f>
        <v>0.30286156363659417</v>
      </c>
      <c r="R343" s="1">
        <v>75</v>
      </c>
      <c r="S343" s="1">
        <v>76</v>
      </c>
      <c r="T343" s="1">
        <v>0</v>
      </c>
      <c r="U343" s="1">
        <f>Games[[#This Row],[PointsFor]]-Games[[#This Row],[PointsAgainst]]</f>
        <v>-1</v>
      </c>
      <c r="V343" s="1">
        <f>IF(Games[[#This Row],[MOV]]&gt;0,1,IF(Games[[#This Row],[MOV]]=0,0.5,0))</f>
        <v>0</v>
      </c>
      <c r="W343" s="4">
        <f>((ABS(Games[[#This Row],[MOV]])+5)^0.6)/(12+0.01*(ABS(Games[[#This Row],[PreGmRate]]-Games[[#This Row],[OppPreGmRate]])))*IF(Games[[#This Row],[OT]]=1,0.9,1)</f>
        <v>0.20280283208757782</v>
      </c>
      <c r="X343" s="7" cm="1">
        <f t="array" ref="X34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3" s="9">
        <f>MAX(kmin, kmax - 0.15 * MIN(Games[[#This Row],[GamesPlayed]], 82))</f>
        <v>71.8</v>
      </c>
      <c r="Z343" s="4">
        <f>Games[[#This Row],[K]]*Games[[#This Row],[POMult]]</f>
        <v>71.8</v>
      </c>
      <c r="AA343" s="4">
        <f>(Games[[#This Row],[Keff]]*Games[[#This Row],[MOVMult]])*(Games[[#This Row],[Result]]-Games[[#This Row],[ExpectedWin%]])</f>
        <v>-4.4100409276228953</v>
      </c>
      <c r="AB343" s="4">
        <f>Games[[#This Row],[PreGmRate]]+Games[[#This Row],[RatingChange]]</f>
        <v>1334.7260640930208</v>
      </c>
      <c r="AC343" s="2">
        <f>IF(Games[[#This Row],[Type]]="R",IF(Games[[#This Row],[Result]]&gt;0.5,1,0),0)</f>
        <v>0</v>
      </c>
      <c r="AD343" s="2">
        <f>IF(Games[[#This Row],[Type]]="R",IF(Games[[#This Row],[Result]]&lt;0.5,1,0),0)</f>
        <v>1</v>
      </c>
      <c r="AE343" s="2">
        <f>IF(AND(Games[[#This Row],[Type]]="P",Games[[#This Row],[Round]]=1),IF(Games[[#This Row],[Result]]&gt;0.5,1,0),0)</f>
        <v>0</v>
      </c>
      <c r="AF343" s="2">
        <f>IF(AND(Games[[#This Row],[Type]]="P",Games[[#This Row],[Round]]=1),IF(Games[[#This Row],[Result]]&lt;0.5,1,0),0)</f>
        <v>0</v>
      </c>
      <c r="AG343" s="2">
        <f>IF(AND(Games[[#This Row],[Type]]="P",Games[[#This Row],[Round]]=2),IF(Games[[#This Row],[Result]]&gt;0.5,1,0),0)</f>
        <v>0</v>
      </c>
      <c r="AH343" s="2">
        <f>IF(AND(Games[[#This Row],[Type]]="P",Games[[#This Row],[Round]]=2),IF(Games[[#This Row],[Result]]&lt;0.5,1,0),0)</f>
        <v>0</v>
      </c>
      <c r="AI343" s="2">
        <f>IF(AND(Games[[#This Row],[Type]]="P",Games[[#This Row],[Round]]=3),IF(Games[[#This Row],[Result]]&gt;0.5,1,0),0)</f>
        <v>0</v>
      </c>
      <c r="AJ343" s="2">
        <f>IF(AND(Games[[#This Row],[Type]]="P",Games[[#This Row],[Round]]=3),IF(Games[[#This Row],[Result]]&lt;0.5,1,0),0)</f>
        <v>0</v>
      </c>
      <c r="AK343" s="2">
        <f>IF(AND(Games[[#This Row],[Type]]="P",Games[[#This Row],[Round]]=4),IF(Games[[#This Row],[Result]]&gt;0.5,1,0),0)</f>
        <v>0</v>
      </c>
      <c r="AL343" s="2">
        <f>IF(AND(Games[[#This Row],[Type]]="P",Games[[#This Row],[Round]]=4),IF(Games[[#This Row],[Result]]&lt;0.5,1,0),0)</f>
        <v>0</v>
      </c>
    </row>
    <row r="344" spans="1:38" x14ac:dyDescent="0.35">
      <c r="A344" s="10">
        <v>44447</v>
      </c>
      <c r="B344" s="2">
        <v>2021</v>
      </c>
      <c r="C344" s="2">
        <f>COUNTIFS(Games[Team],Games[[#This Row],[Team]],Games[Season],Games[[#This Row],[Season]],Games[Date],"&lt;=" &amp; Games[[#This Row],[Date]])</f>
        <v>28</v>
      </c>
      <c r="D344" s="2" t="s">
        <v>79</v>
      </c>
      <c r="E344" s="2" t="s">
        <v>80</v>
      </c>
      <c r="F344" s="1" t="s">
        <v>67</v>
      </c>
      <c r="G344" s="1" t="s">
        <v>85</v>
      </c>
      <c r="H344" s="1" t="s">
        <v>81</v>
      </c>
      <c r="I344" s="2" cm="1">
        <f t="array" ref="I344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4" s="2" cm="1">
        <f t="array" ref="J34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44" s="2">
        <f>Games[[#This Row],[DaysOff]]-Games[[#This Row],[OppDaysOff]]</f>
        <v>1</v>
      </c>
      <c r="L344" s="2">
        <f>Games[[#This Row],[OppDaysOff]]-Games[[#This Row],[DaysOff]]</f>
        <v>-1</v>
      </c>
      <c r="M344" s="1">
        <f>MAX(-16, MIN(16, Games[[#This Row],[RestDiff]]*8))</f>
        <v>8</v>
      </c>
      <c r="N344" s="1">
        <f>MAX(-16, MIN(16, Games[[#This Row],[OppRestDiff]]*8))</f>
        <v>-8</v>
      </c>
      <c r="O344" s="4" cm="1">
        <f t="array" ref="O34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1619.0430431530297</v>
      </c>
      <c r="P344" s="4" cm="1">
        <f t="array" ref="P34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1633.5705614268234</v>
      </c>
      <c r="Q344" s="4">
        <f>1/(1+10^(((Games[[#This Row],[OppPreGmRate]]+IF(Games[[#This Row],[HomeAway]]="A",HCA,0)+Games[[#This Row],[OppRestAdj]])-(Games[[#This Row],[PreGmRate]]+IF(Games[[#This Row],[HomeAway]]="H",HCA,0)+Games[[#This Row],[RestAdj]]))/400))</f>
        <v>0.38341775448184351</v>
      </c>
      <c r="R344" s="1">
        <v>81</v>
      </c>
      <c r="S344" s="1">
        <v>102</v>
      </c>
      <c r="T344" s="1">
        <v>0</v>
      </c>
      <c r="U344" s="1">
        <f>Games[[#This Row],[PointsFor]]-Games[[#This Row],[PointsAgainst]]</f>
        <v>-21</v>
      </c>
      <c r="V344" s="1">
        <f>IF(Games[[#This Row],[MOV]]&gt;0,1,IF(Games[[#This Row],[MOV]]=0,0.5,0))</f>
        <v>0</v>
      </c>
      <c r="W344" s="4">
        <f>((ABS(Games[[#This Row],[MOV]])+5)^0.6)/(12+0.01*(ABS(Games[[#This Row],[PreGmRate]]-Games[[#This Row],[OppPreGmRate]])))*IF(Games[[#This Row],[OT]]=1,0.9,1)</f>
        <v>0.5815360596594269</v>
      </c>
      <c r="X344" s="7" cm="1">
        <f t="array" ref="X34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4" s="9">
        <f>MAX(kmin, kmax - 0.15 * MIN(Games[[#This Row],[GamesPlayed]], 82))</f>
        <v>71.8</v>
      </c>
      <c r="Z344" s="4">
        <f>Games[[#This Row],[K]]*Games[[#This Row],[POMult]]</f>
        <v>71.8</v>
      </c>
      <c r="AA344" s="4">
        <f>(Games[[#This Row],[Keff]]*Games[[#This Row],[MOVMult]])*(Games[[#This Row],[Result]]-Games[[#This Row],[ExpectedWin%]])</f>
        <v>-16.009335760399285</v>
      </c>
      <c r="AB344" s="4">
        <f>Games[[#This Row],[PreGmRate]]+Games[[#This Row],[RatingChange]]</f>
        <v>1603.0337073926303</v>
      </c>
      <c r="AC344" s="2">
        <f>IF(Games[[#This Row],[Type]]="R",IF(Games[[#This Row],[Result]]&gt;0.5,1,0),0)</f>
        <v>0</v>
      </c>
      <c r="AD344" s="2">
        <f>IF(Games[[#This Row],[Type]]="R",IF(Games[[#This Row],[Result]]&lt;0.5,1,0),0)</f>
        <v>1</v>
      </c>
      <c r="AE344" s="2">
        <f>IF(AND(Games[[#This Row],[Type]]="P",Games[[#This Row],[Round]]=1),IF(Games[[#This Row],[Result]]&gt;0.5,1,0),0)</f>
        <v>0</v>
      </c>
      <c r="AF344" s="2">
        <f>IF(AND(Games[[#This Row],[Type]]="P",Games[[#This Row],[Round]]=1),IF(Games[[#This Row],[Result]]&lt;0.5,1,0),0)</f>
        <v>0</v>
      </c>
      <c r="AG344" s="2">
        <f>IF(AND(Games[[#This Row],[Type]]="P",Games[[#This Row],[Round]]=2),IF(Games[[#This Row],[Result]]&gt;0.5,1,0),0)</f>
        <v>0</v>
      </c>
      <c r="AH344" s="2">
        <f>IF(AND(Games[[#This Row],[Type]]="P",Games[[#This Row],[Round]]=2),IF(Games[[#This Row],[Result]]&lt;0.5,1,0),0)</f>
        <v>0</v>
      </c>
      <c r="AI344" s="2">
        <f>IF(AND(Games[[#This Row],[Type]]="P",Games[[#This Row],[Round]]=3),IF(Games[[#This Row],[Result]]&gt;0.5,1,0),0)</f>
        <v>0</v>
      </c>
      <c r="AJ344" s="2">
        <f>IF(AND(Games[[#This Row],[Type]]="P",Games[[#This Row],[Round]]=3),IF(Games[[#This Row],[Result]]&lt;0.5,1,0),0)</f>
        <v>0</v>
      </c>
      <c r="AK344" s="2">
        <f>IF(AND(Games[[#This Row],[Type]]="P",Games[[#This Row],[Round]]=4),IF(Games[[#This Row],[Result]]&gt;0.5,1,0),0)</f>
        <v>0</v>
      </c>
      <c r="AL344" s="2">
        <f>IF(AND(Games[[#This Row],[Type]]="P",Games[[#This Row],[Round]]=4),IF(Games[[#This Row],[Result]]&lt;0.5,1,0),0)</f>
        <v>0</v>
      </c>
    </row>
    <row r="345" spans="1:38" x14ac:dyDescent="0.35">
      <c r="A345" s="10">
        <v>44447</v>
      </c>
      <c r="B345" s="2">
        <v>2021</v>
      </c>
      <c r="C345" s="2">
        <f>COUNTIFS(Games[Team],Games[[#This Row],[Team]],Games[Season],Games[[#This Row],[Season]],Games[Date],"&lt;=" &amp; Games[[#This Row],[Date]])</f>
        <v>29</v>
      </c>
      <c r="D345" s="2" t="s">
        <v>79</v>
      </c>
      <c r="E345" s="2" t="s">
        <v>80</v>
      </c>
      <c r="F345" s="1" t="s">
        <v>85</v>
      </c>
      <c r="G345" s="1" t="s">
        <v>67</v>
      </c>
      <c r="H345" s="1" t="s">
        <v>82</v>
      </c>
      <c r="I345" s="2" cm="1">
        <f t="array" ref="I34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45" s="2" cm="1">
        <f t="array" ref="J34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5" s="2">
        <f>Games[[#This Row],[DaysOff]]-Games[[#This Row],[OppDaysOff]]</f>
        <v>-1</v>
      </c>
      <c r="L345" s="2">
        <f>Games[[#This Row],[OppDaysOff]]-Games[[#This Row],[DaysOff]]</f>
        <v>1</v>
      </c>
      <c r="M345" s="1">
        <f>MAX(-16, MIN(16, Games[[#This Row],[RestDiff]]*8))</f>
        <v>-8</v>
      </c>
      <c r="N345" s="1">
        <f>MAX(-16, MIN(16, Games[[#This Row],[OppRestDiff]]*8))</f>
        <v>8</v>
      </c>
      <c r="O345" s="4" cm="1">
        <f t="array" ref="O34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1633.5705614268234</v>
      </c>
      <c r="P345" s="4" cm="1">
        <f t="array" ref="P34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1619.0430431530297</v>
      </c>
      <c r="Q345" s="4">
        <f>1/(1+10^(((Games[[#This Row],[OppPreGmRate]]+IF(Games[[#This Row],[HomeAway]]="A",HCA,0)+Games[[#This Row],[OppRestAdj]])-(Games[[#This Row],[PreGmRate]]+IF(Games[[#This Row],[HomeAway]]="H",HCA,0)+Games[[#This Row],[RestAdj]]))/400))</f>
        <v>0.61658224551815644</v>
      </c>
      <c r="R345" s="1">
        <v>102</v>
      </c>
      <c r="S345" s="1">
        <v>81</v>
      </c>
      <c r="T345" s="1">
        <v>0</v>
      </c>
      <c r="U345" s="1">
        <f>Games[[#This Row],[PointsFor]]-Games[[#This Row],[PointsAgainst]]</f>
        <v>21</v>
      </c>
      <c r="V345" s="1">
        <f>IF(Games[[#This Row],[MOV]]&gt;0,1,IF(Games[[#This Row],[MOV]]=0,0.5,0))</f>
        <v>1</v>
      </c>
      <c r="W345" s="4">
        <f>((ABS(Games[[#This Row],[MOV]])+5)^0.6)/(12+0.01*(ABS(Games[[#This Row],[PreGmRate]]-Games[[#This Row],[OppPreGmRate]])))*IF(Games[[#This Row],[OT]]=1,0.9,1)</f>
        <v>0.5815360596594269</v>
      </c>
      <c r="X345" s="7" cm="1">
        <f t="array" ref="X34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5" s="9">
        <f>MAX(kmin, kmax - 0.15 * MIN(Games[[#This Row],[GamesPlayed]], 82))</f>
        <v>71.650000000000006</v>
      </c>
      <c r="Z345" s="4">
        <f>Games[[#This Row],[K]]*Games[[#This Row],[POMult]]</f>
        <v>71.650000000000006</v>
      </c>
      <c r="AA345" s="4">
        <f>(Games[[#This Row],[Keff]]*Games[[#This Row],[MOVMult]])*(Games[[#This Row],[Result]]-Games[[#This Row],[ExpectedWin%]])</f>
        <v>15.975890072877563</v>
      </c>
      <c r="AB345" s="4">
        <f>Games[[#This Row],[PreGmRate]]+Games[[#This Row],[RatingChange]]</f>
        <v>1649.5464514997009</v>
      </c>
      <c r="AC345" s="2">
        <f>IF(Games[[#This Row],[Type]]="R",IF(Games[[#This Row],[Result]]&gt;0.5,1,0),0)</f>
        <v>1</v>
      </c>
      <c r="AD345" s="2">
        <f>IF(Games[[#This Row],[Type]]="R",IF(Games[[#This Row],[Result]]&lt;0.5,1,0),0)</f>
        <v>0</v>
      </c>
      <c r="AE345" s="2">
        <f>IF(AND(Games[[#This Row],[Type]]="P",Games[[#This Row],[Round]]=1),IF(Games[[#This Row],[Result]]&gt;0.5,1,0),0)</f>
        <v>0</v>
      </c>
      <c r="AF345" s="2">
        <f>IF(AND(Games[[#This Row],[Type]]="P",Games[[#This Row],[Round]]=1),IF(Games[[#This Row],[Result]]&lt;0.5,1,0),0)</f>
        <v>0</v>
      </c>
      <c r="AG345" s="2">
        <f>IF(AND(Games[[#This Row],[Type]]="P",Games[[#This Row],[Round]]=2),IF(Games[[#This Row],[Result]]&gt;0.5,1,0),0)</f>
        <v>0</v>
      </c>
      <c r="AH345" s="2">
        <f>IF(AND(Games[[#This Row],[Type]]="P",Games[[#This Row],[Round]]=2),IF(Games[[#This Row],[Result]]&lt;0.5,1,0),0)</f>
        <v>0</v>
      </c>
      <c r="AI345" s="2">
        <f>IF(AND(Games[[#This Row],[Type]]="P",Games[[#This Row],[Round]]=3),IF(Games[[#This Row],[Result]]&gt;0.5,1,0),0)</f>
        <v>0</v>
      </c>
      <c r="AJ345" s="2">
        <f>IF(AND(Games[[#This Row],[Type]]="P",Games[[#This Row],[Round]]=3),IF(Games[[#This Row],[Result]]&lt;0.5,1,0),0)</f>
        <v>0</v>
      </c>
      <c r="AK345" s="2">
        <f>IF(AND(Games[[#This Row],[Type]]="P",Games[[#This Row],[Round]]=4),IF(Games[[#This Row],[Result]]&gt;0.5,1,0),0)</f>
        <v>0</v>
      </c>
      <c r="AL345" s="2">
        <f>IF(AND(Games[[#This Row],[Type]]="P",Games[[#This Row],[Round]]=4),IF(Games[[#This Row],[Result]]&lt;0.5,1,0),0)</f>
        <v>0</v>
      </c>
    </row>
    <row r="346" spans="1:38" x14ac:dyDescent="0.35">
      <c r="A346" s="10">
        <v>44448</v>
      </c>
      <c r="B346" s="2">
        <v>2021</v>
      </c>
      <c r="C346" s="2">
        <f>COUNTIFS(Games[Team],Games[[#This Row],[Team]],Games[Season],Games[[#This Row],[Season]],Games[Date],"&lt;=" &amp; Games[[#This Row],[Date]])</f>
        <v>30</v>
      </c>
      <c r="D346" s="2" t="s">
        <v>79</v>
      </c>
      <c r="E346" s="2" t="s">
        <v>80</v>
      </c>
      <c r="F346" s="1" t="s">
        <v>74</v>
      </c>
      <c r="G346" s="1" t="s">
        <v>63</v>
      </c>
      <c r="H346" s="1" t="s">
        <v>81</v>
      </c>
      <c r="I346" s="2" cm="1">
        <f t="array" ref="I34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6" s="2" cm="1">
        <f t="array" ref="J34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46" s="2">
        <f>Games[[#This Row],[DaysOff]]-Games[[#This Row],[OppDaysOff]]</f>
        <v>-5</v>
      </c>
      <c r="L346" s="2">
        <f>Games[[#This Row],[OppDaysOff]]-Games[[#This Row],[DaysOff]]</f>
        <v>5</v>
      </c>
      <c r="M346" s="1">
        <f>MAX(-16, MIN(16, Games[[#This Row],[RestDiff]]*8))</f>
        <v>-16</v>
      </c>
      <c r="N346" s="1">
        <f>MAX(-16, MIN(16, Games[[#This Row],[OppRestDiff]]*8))</f>
        <v>16</v>
      </c>
      <c r="O346" s="4" cm="1">
        <f t="array" ref="O34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1674.903070743539</v>
      </c>
      <c r="P346" s="4" cm="1">
        <f t="array" ref="P34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1405.2481272512196</v>
      </c>
      <c r="Q346" s="4">
        <f>1/(1+10^(((Games[[#This Row],[OppPreGmRate]]+IF(Games[[#This Row],[HomeAway]]="A",HCA,0)+Games[[#This Row],[OppRestAdj]])-(Games[[#This Row],[PreGmRate]]+IF(Games[[#This Row],[HomeAway]]="H",HCA,0)+Games[[#This Row],[RestAdj]]))/400))</f>
        <v>0.70775571541711813</v>
      </c>
      <c r="R346" s="1">
        <v>75</v>
      </c>
      <c r="S346" s="1">
        <v>57</v>
      </c>
      <c r="T346" s="1">
        <v>0</v>
      </c>
      <c r="U346" s="1">
        <f>Games[[#This Row],[PointsFor]]-Games[[#This Row],[PointsAgainst]]</f>
        <v>18</v>
      </c>
      <c r="V346" s="1">
        <f>IF(Games[[#This Row],[MOV]]&gt;0,1,IF(Games[[#This Row],[MOV]]=0,0.5,0))</f>
        <v>1</v>
      </c>
      <c r="W346" s="4">
        <f>((ABS(Games[[#This Row],[MOV]])+5)^0.6)/(12+0.01*(ABS(Games[[#This Row],[PreGmRate]]-Games[[#This Row],[OppPreGmRate]])))*IF(Games[[#This Row],[OT]]=1,0.9,1)</f>
        <v>0.44649985457965069</v>
      </c>
      <c r="X346" s="7" cm="1">
        <f t="array" ref="X34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6" s="9">
        <f>MAX(kmin, kmax - 0.15 * MIN(Games[[#This Row],[GamesPlayed]], 82))</f>
        <v>71.5</v>
      </c>
      <c r="Z346" s="4">
        <f>Games[[#This Row],[K]]*Games[[#This Row],[POMult]]</f>
        <v>71.5</v>
      </c>
      <c r="AA346" s="4">
        <f>(Games[[#This Row],[Keff]]*Games[[#This Row],[MOVMult]])*(Games[[#This Row],[Result]]-Games[[#This Row],[ExpectedWin%]])</f>
        <v>9.3298226856113438</v>
      </c>
      <c r="AB346" s="4">
        <f>Games[[#This Row],[PreGmRate]]+Games[[#This Row],[RatingChange]]</f>
        <v>1684.2328934291504</v>
      </c>
      <c r="AC346" s="2">
        <f>IF(Games[[#This Row],[Type]]="R",IF(Games[[#This Row],[Result]]&gt;0.5,1,0),0)</f>
        <v>1</v>
      </c>
      <c r="AD346" s="2">
        <f>IF(Games[[#This Row],[Type]]="R",IF(Games[[#This Row],[Result]]&lt;0.5,1,0),0)</f>
        <v>0</v>
      </c>
      <c r="AE346" s="2">
        <f>IF(AND(Games[[#This Row],[Type]]="P",Games[[#This Row],[Round]]=1),IF(Games[[#This Row],[Result]]&gt;0.5,1,0),0)</f>
        <v>0</v>
      </c>
      <c r="AF346" s="2">
        <f>IF(AND(Games[[#This Row],[Type]]="P",Games[[#This Row],[Round]]=1),IF(Games[[#This Row],[Result]]&lt;0.5,1,0),0)</f>
        <v>0</v>
      </c>
      <c r="AG346" s="2">
        <f>IF(AND(Games[[#This Row],[Type]]="P",Games[[#This Row],[Round]]=2),IF(Games[[#This Row],[Result]]&gt;0.5,1,0),0)</f>
        <v>0</v>
      </c>
      <c r="AH346" s="2">
        <f>IF(AND(Games[[#This Row],[Type]]="P",Games[[#This Row],[Round]]=2),IF(Games[[#This Row],[Result]]&lt;0.5,1,0),0)</f>
        <v>0</v>
      </c>
      <c r="AI346" s="2">
        <f>IF(AND(Games[[#This Row],[Type]]="P",Games[[#This Row],[Round]]=3),IF(Games[[#This Row],[Result]]&gt;0.5,1,0),0)</f>
        <v>0</v>
      </c>
      <c r="AJ346" s="2">
        <f>IF(AND(Games[[#This Row],[Type]]="P",Games[[#This Row],[Round]]=3),IF(Games[[#This Row],[Result]]&lt;0.5,1,0),0)</f>
        <v>0</v>
      </c>
      <c r="AK346" s="2">
        <f>IF(AND(Games[[#This Row],[Type]]="P",Games[[#This Row],[Round]]=4),IF(Games[[#This Row],[Result]]&gt;0.5,1,0),0)</f>
        <v>0</v>
      </c>
      <c r="AL346" s="2">
        <f>IF(AND(Games[[#This Row],[Type]]="P",Games[[#This Row],[Round]]=4),IF(Games[[#This Row],[Result]]&lt;0.5,1,0),0)</f>
        <v>0</v>
      </c>
    </row>
    <row r="347" spans="1:38" x14ac:dyDescent="0.35">
      <c r="A347" s="10">
        <v>44448</v>
      </c>
      <c r="B347" s="2">
        <v>2021</v>
      </c>
      <c r="C347" s="2">
        <f>COUNTIFS(Games[Team],Games[[#This Row],[Team]],Games[Season],Games[[#This Row],[Season]],Games[Date],"&lt;=" &amp; Games[[#This Row],[Date]])</f>
        <v>29</v>
      </c>
      <c r="D347" s="2" t="s">
        <v>79</v>
      </c>
      <c r="E347" s="2" t="s">
        <v>80</v>
      </c>
      <c r="F347" s="1" t="s">
        <v>63</v>
      </c>
      <c r="G347" s="1" t="s">
        <v>74</v>
      </c>
      <c r="H347" s="1" t="s">
        <v>82</v>
      </c>
      <c r="I347" s="2" cm="1">
        <f t="array" ref="I347">IFERROR(
    Games[[#This Row],[Date]]
    - LOOKUP(
        2,
        1/((Games[Team]=Games[[#This Row],[Team]]) * (Games[Date] &lt; Games[[#This Row],[Date]])),
        Games[Date]
    )
    - 1,
Games[[#This Row],[Date]]-$A$2)</f>
        <v>6</v>
      </c>
      <c r="J347" s="2" cm="1">
        <f t="array" ref="J34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7" s="2">
        <f>Games[[#This Row],[DaysOff]]-Games[[#This Row],[OppDaysOff]]</f>
        <v>5</v>
      </c>
      <c r="L347" s="2">
        <f>Games[[#This Row],[OppDaysOff]]-Games[[#This Row],[DaysOff]]</f>
        <v>-5</v>
      </c>
      <c r="M347" s="1">
        <f>MAX(-16, MIN(16, Games[[#This Row],[RestDiff]]*8))</f>
        <v>16</v>
      </c>
      <c r="N347" s="1">
        <f>MAX(-16, MIN(16, Games[[#This Row],[OppRestDiff]]*8))</f>
        <v>-16</v>
      </c>
      <c r="O347" s="4" cm="1">
        <f t="array" ref="O34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1405.2481272512196</v>
      </c>
      <c r="P347" s="4" cm="1">
        <f t="array" ref="P34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1674.903070743539</v>
      </c>
      <c r="Q347" s="4">
        <f>1/(1+10^(((Games[[#This Row],[OppPreGmRate]]+IF(Games[[#This Row],[HomeAway]]="A",HCA,0)+Games[[#This Row],[OppRestAdj]])-(Games[[#This Row],[PreGmRate]]+IF(Games[[#This Row],[HomeAway]]="H",HCA,0)+Games[[#This Row],[RestAdj]]))/400))</f>
        <v>0.29224428458288187</v>
      </c>
      <c r="R347" s="1">
        <v>57</v>
      </c>
      <c r="S347" s="1">
        <v>75</v>
      </c>
      <c r="T347" s="1">
        <v>0</v>
      </c>
      <c r="U347" s="1">
        <f>Games[[#This Row],[PointsFor]]-Games[[#This Row],[PointsAgainst]]</f>
        <v>-18</v>
      </c>
      <c r="V347" s="1">
        <f>IF(Games[[#This Row],[MOV]]&gt;0,1,IF(Games[[#This Row],[MOV]]=0,0.5,0))</f>
        <v>0</v>
      </c>
      <c r="W347" s="4">
        <f>((ABS(Games[[#This Row],[MOV]])+5)^0.6)/(12+0.01*(ABS(Games[[#This Row],[PreGmRate]]-Games[[#This Row],[OppPreGmRate]])))*IF(Games[[#This Row],[OT]]=1,0.9,1)</f>
        <v>0.44649985457965069</v>
      </c>
      <c r="X347" s="7" cm="1">
        <f t="array" ref="X34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7" s="9">
        <f>MAX(kmin, kmax - 0.15 * MIN(Games[[#This Row],[GamesPlayed]], 82))</f>
        <v>71.650000000000006</v>
      </c>
      <c r="Z347" s="4">
        <f>Games[[#This Row],[K]]*Games[[#This Row],[POMult]]</f>
        <v>71.650000000000006</v>
      </c>
      <c r="AA347" s="4">
        <f>(Games[[#This Row],[Keff]]*Games[[#This Row],[MOVMult]])*(Games[[#This Row],[Result]]-Games[[#This Row],[ExpectedWin%]])</f>
        <v>-9.3493957401965417</v>
      </c>
      <c r="AB347" s="4">
        <f>Games[[#This Row],[PreGmRate]]+Games[[#This Row],[RatingChange]]</f>
        <v>1395.898731511023</v>
      </c>
      <c r="AC347" s="2">
        <f>IF(Games[[#This Row],[Type]]="R",IF(Games[[#This Row],[Result]]&gt;0.5,1,0),0)</f>
        <v>0</v>
      </c>
      <c r="AD347" s="2">
        <f>IF(Games[[#This Row],[Type]]="R",IF(Games[[#This Row],[Result]]&lt;0.5,1,0),0)</f>
        <v>1</v>
      </c>
      <c r="AE347" s="2">
        <f>IF(AND(Games[[#This Row],[Type]]="P",Games[[#This Row],[Round]]=1),IF(Games[[#This Row],[Result]]&gt;0.5,1,0),0)</f>
        <v>0</v>
      </c>
      <c r="AF347" s="2">
        <f>IF(AND(Games[[#This Row],[Type]]="P",Games[[#This Row],[Round]]=1),IF(Games[[#This Row],[Result]]&lt;0.5,1,0),0)</f>
        <v>0</v>
      </c>
      <c r="AG347" s="2">
        <f>IF(AND(Games[[#This Row],[Type]]="P",Games[[#This Row],[Round]]=2),IF(Games[[#This Row],[Result]]&gt;0.5,1,0),0)</f>
        <v>0</v>
      </c>
      <c r="AH347" s="2">
        <f>IF(AND(Games[[#This Row],[Type]]="P",Games[[#This Row],[Round]]=2),IF(Games[[#This Row],[Result]]&lt;0.5,1,0),0)</f>
        <v>0</v>
      </c>
      <c r="AI347" s="2">
        <f>IF(AND(Games[[#This Row],[Type]]="P",Games[[#This Row],[Round]]=3),IF(Games[[#This Row],[Result]]&gt;0.5,1,0),0)</f>
        <v>0</v>
      </c>
      <c r="AJ347" s="2">
        <f>IF(AND(Games[[#This Row],[Type]]="P",Games[[#This Row],[Round]]=3),IF(Games[[#This Row],[Result]]&lt;0.5,1,0),0)</f>
        <v>0</v>
      </c>
      <c r="AK347" s="2">
        <f>IF(AND(Games[[#This Row],[Type]]="P",Games[[#This Row],[Round]]=4),IF(Games[[#This Row],[Result]]&gt;0.5,1,0),0)</f>
        <v>0</v>
      </c>
      <c r="AL347" s="2">
        <f>IF(AND(Games[[#This Row],[Type]]="P",Games[[#This Row],[Round]]=4),IF(Games[[#This Row],[Result]]&lt;0.5,1,0),0)</f>
        <v>0</v>
      </c>
    </row>
    <row r="348" spans="1:38" x14ac:dyDescent="0.35">
      <c r="A348" s="10">
        <v>44449</v>
      </c>
      <c r="B348" s="2">
        <v>2021</v>
      </c>
      <c r="C348" s="2">
        <f>COUNTIFS(Games[Team],Games[[#This Row],[Team]],Games[Season],Games[[#This Row],[Season]],Games[Date],"&lt;=" &amp; Games[[#This Row],[Date]])</f>
        <v>28</v>
      </c>
      <c r="D348" s="2" t="s">
        <v>79</v>
      </c>
      <c r="E348" s="2" t="s">
        <v>80</v>
      </c>
      <c r="F348" s="1" t="s">
        <v>69</v>
      </c>
      <c r="G348" s="1" t="s">
        <v>67</v>
      </c>
      <c r="H348" s="1" t="s">
        <v>81</v>
      </c>
      <c r="I348" s="2" cm="1">
        <f t="array" ref="I34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48" s="2" cm="1">
        <f t="array" ref="J34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48" s="2">
        <f>Games[[#This Row],[DaysOff]]-Games[[#This Row],[OppDaysOff]]</f>
        <v>2</v>
      </c>
      <c r="L348" s="2">
        <f>Games[[#This Row],[OppDaysOff]]-Games[[#This Row],[DaysOff]]</f>
        <v>-2</v>
      </c>
      <c r="M348" s="1">
        <f>MAX(-16, MIN(16, Games[[#This Row],[RestDiff]]*8))</f>
        <v>16</v>
      </c>
      <c r="N348" s="1">
        <f>MAX(-16, MIN(16, Games[[#This Row],[OppRestDiff]]*8))</f>
        <v>-16</v>
      </c>
      <c r="O348" s="4" cm="1">
        <f t="array" ref="O34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1333.1008827252717</v>
      </c>
      <c r="P348" s="4" cm="1">
        <f t="array" ref="P34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1603.0337073926303</v>
      </c>
      <c r="Q348" s="4">
        <f>1/(1+10^(((Games[[#This Row],[OppPreGmRate]]+IF(Games[[#This Row],[HomeAway]]="A",HCA,0)+Games[[#This Row],[OppRestAdj]])-(Games[[#This Row],[PreGmRate]]+IF(Games[[#This Row],[HomeAway]]="H",HCA,0)+Games[[#This Row],[RestAdj]]))/400))</f>
        <v>0.13549828476017559</v>
      </c>
      <c r="R348" s="1">
        <v>72</v>
      </c>
      <c r="S348" s="1">
        <v>89</v>
      </c>
      <c r="T348" s="1">
        <v>0</v>
      </c>
      <c r="U348" s="1">
        <f>Games[[#This Row],[PointsFor]]-Games[[#This Row],[PointsAgainst]]</f>
        <v>-17</v>
      </c>
      <c r="V348" s="1">
        <f>IF(Games[[#This Row],[MOV]]&gt;0,1,IF(Games[[#This Row],[MOV]]=0,0.5,0))</f>
        <v>0</v>
      </c>
      <c r="W348" s="4">
        <f>((ABS(Games[[#This Row],[MOV]])+5)^0.6)/(12+0.01*(ABS(Games[[#This Row],[PreGmRate]]-Games[[#This Row],[OppPreGmRate]])))*IF(Games[[#This Row],[OT]]=1,0.9,1)</f>
        <v>0.43466645017807859</v>
      </c>
      <c r="X348" s="7" cm="1">
        <f t="array" ref="X34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8" s="9">
        <f>MAX(kmin, kmax - 0.15 * MIN(Games[[#This Row],[GamesPlayed]], 82))</f>
        <v>71.8</v>
      </c>
      <c r="Z348" s="4">
        <f>Games[[#This Row],[K]]*Games[[#This Row],[POMult]]</f>
        <v>71.8</v>
      </c>
      <c r="AA348" s="4">
        <f>(Games[[#This Row],[Keff]]*Games[[#This Row],[MOVMult]])*(Games[[#This Row],[Result]]-Games[[#This Row],[ExpectedWin%]])</f>
        <v>-4.228772896130141</v>
      </c>
      <c r="AB348" s="4">
        <f>Games[[#This Row],[PreGmRate]]+Games[[#This Row],[RatingChange]]</f>
        <v>1328.8721098291417</v>
      </c>
      <c r="AC348" s="2">
        <f>IF(Games[[#This Row],[Type]]="R",IF(Games[[#This Row],[Result]]&gt;0.5,1,0),0)</f>
        <v>0</v>
      </c>
      <c r="AD348" s="2">
        <f>IF(Games[[#This Row],[Type]]="R",IF(Games[[#This Row],[Result]]&lt;0.5,1,0),0)</f>
        <v>1</v>
      </c>
      <c r="AE348" s="2">
        <f>IF(AND(Games[[#This Row],[Type]]="P",Games[[#This Row],[Round]]=1),IF(Games[[#This Row],[Result]]&gt;0.5,1,0),0)</f>
        <v>0</v>
      </c>
      <c r="AF348" s="2">
        <f>IF(AND(Games[[#This Row],[Type]]="P",Games[[#This Row],[Round]]=1),IF(Games[[#This Row],[Result]]&lt;0.5,1,0),0)</f>
        <v>0</v>
      </c>
      <c r="AG348" s="2">
        <f>IF(AND(Games[[#This Row],[Type]]="P",Games[[#This Row],[Round]]=2),IF(Games[[#This Row],[Result]]&gt;0.5,1,0),0)</f>
        <v>0</v>
      </c>
      <c r="AH348" s="2">
        <f>IF(AND(Games[[#This Row],[Type]]="P",Games[[#This Row],[Round]]=2),IF(Games[[#This Row],[Result]]&lt;0.5,1,0),0)</f>
        <v>0</v>
      </c>
      <c r="AI348" s="2">
        <f>IF(AND(Games[[#This Row],[Type]]="P",Games[[#This Row],[Round]]=3),IF(Games[[#This Row],[Result]]&gt;0.5,1,0),0)</f>
        <v>0</v>
      </c>
      <c r="AJ348" s="2">
        <f>IF(AND(Games[[#This Row],[Type]]="P",Games[[#This Row],[Round]]=3),IF(Games[[#This Row],[Result]]&lt;0.5,1,0),0)</f>
        <v>0</v>
      </c>
      <c r="AK348" s="2">
        <f>IF(AND(Games[[#This Row],[Type]]="P",Games[[#This Row],[Round]]=4),IF(Games[[#This Row],[Result]]&gt;0.5,1,0),0)</f>
        <v>0</v>
      </c>
      <c r="AL348" s="2">
        <f>IF(AND(Games[[#This Row],[Type]]="P",Games[[#This Row],[Round]]=4),IF(Games[[#This Row],[Result]]&lt;0.5,1,0),0)</f>
        <v>0</v>
      </c>
    </row>
    <row r="349" spans="1:38" x14ac:dyDescent="0.35">
      <c r="A349" s="10">
        <v>44449</v>
      </c>
      <c r="B349" s="2">
        <v>2021</v>
      </c>
      <c r="C349" s="2">
        <f>COUNTIFS(Games[Team],Games[[#This Row],[Team]],Games[Season],Games[[#This Row],[Season]],Games[Date],"&lt;=" &amp; Games[[#This Row],[Date]])</f>
        <v>29</v>
      </c>
      <c r="D349" s="2" t="s">
        <v>79</v>
      </c>
      <c r="E349" s="2" t="s">
        <v>80</v>
      </c>
      <c r="F349" s="1" t="s">
        <v>67</v>
      </c>
      <c r="G349" s="1" t="s">
        <v>69</v>
      </c>
      <c r="H349" s="1" t="s">
        <v>82</v>
      </c>
      <c r="I349" s="2" cm="1">
        <f t="array" ref="I34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49" s="2" cm="1">
        <f t="array" ref="J34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49" s="2">
        <f>Games[[#This Row],[DaysOff]]-Games[[#This Row],[OppDaysOff]]</f>
        <v>-2</v>
      </c>
      <c r="L349" s="2">
        <f>Games[[#This Row],[OppDaysOff]]-Games[[#This Row],[DaysOff]]</f>
        <v>2</v>
      </c>
      <c r="M349" s="1">
        <f>MAX(-16, MIN(16, Games[[#This Row],[RestDiff]]*8))</f>
        <v>-16</v>
      </c>
      <c r="N349" s="1">
        <f>MAX(-16, MIN(16, Games[[#This Row],[OppRestDiff]]*8))</f>
        <v>16</v>
      </c>
      <c r="O349" s="4" cm="1">
        <f t="array" ref="O34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1603.0337073926303</v>
      </c>
      <c r="P349" s="4" cm="1">
        <f t="array" ref="P34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1333.1008827252717</v>
      </c>
      <c r="Q349" s="4">
        <f>1/(1+10^(((Games[[#This Row],[OppPreGmRate]]+IF(Games[[#This Row],[HomeAway]]="A",HCA,0)+Games[[#This Row],[OppRestAdj]])-(Games[[#This Row],[PreGmRate]]+IF(Games[[#This Row],[HomeAway]]="H",HCA,0)+Games[[#This Row],[RestAdj]]))/400))</f>
        <v>0.86450171523982444</v>
      </c>
      <c r="R349" s="1">
        <v>89</v>
      </c>
      <c r="S349" s="1">
        <v>72</v>
      </c>
      <c r="T349" s="1">
        <v>0</v>
      </c>
      <c r="U349" s="1">
        <f>Games[[#This Row],[PointsFor]]-Games[[#This Row],[PointsAgainst]]</f>
        <v>17</v>
      </c>
      <c r="V349" s="1">
        <f>IF(Games[[#This Row],[MOV]]&gt;0,1,IF(Games[[#This Row],[MOV]]=0,0.5,0))</f>
        <v>1</v>
      </c>
      <c r="W349" s="4">
        <f>((ABS(Games[[#This Row],[MOV]])+5)^0.6)/(12+0.01*(ABS(Games[[#This Row],[PreGmRate]]-Games[[#This Row],[OppPreGmRate]])))*IF(Games[[#This Row],[OT]]=1,0.9,1)</f>
        <v>0.43466645017807859</v>
      </c>
      <c r="X349" s="7" cm="1">
        <f t="array" ref="X34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49" s="9">
        <f>MAX(kmin, kmax - 0.15 * MIN(Games[[#This Row],[GamesPlayed]], 82))</f>
        <v>71.650000000000006</v>
      </c>
      <c r="Z349" s="4">
        <f>Games[[#This Row],[K]]*Games[[#This Row],[POMult]]</f>
        <v>71.650000000000006</v>
      </c>
      <c r="AA349" s="4">
        <f>(Games[[#This Row],[Keff]]*Games[[#This Row],[MOVMult]])*(Games[[#This Row],[Result]]-Games[[#This Row],[ExpectedWin%]])</f>
        <v>4.2199384123638515</v>
      </c>
      <c r="AB349" s="4">
        <f>Games[[#This Row],[PreGmRate]]+Games[[#This Row],[RatingChange]]</f>
        <v>1607.2536458049942</v>
      </c>
      <c r="AC349" s="2">
        <f>IF(Games[[#This Row],[Type]]="R",IF(Games[[#This Row],[Result]]&gt;0.5,1,0),0)</f>
        <v>1</v>
      </c>
      <c r="AD349" s="2">
        <f>IF(Games[[#This Row],[Type]]="R",IF(Games[[#This Row],[Result]]&lt;0.5,1,0),0)</f>
        <v>0</v>
      </c>
      <c r="AE349" s="2">
        <f>IF(AND(Games[[#This Row],[Type]]="P",Games[[#This Row],[Round]]=1),IF(Games[[#This Row],[Result]]&gt;0.5,1,0),0)</f>
        <v>0</v>
      </c>
      <c r="AF349" s="2">
        <f>IF(AND(Games[[#This Row],[Type]]="P",Games[[#This Row],[Round]]=1),IF(Games[[#This Row],[Result]]&lt;0.5,1,0),0)</f>
        <v>0</v>
      </c>
      <c r="AG349" s="2">
        <f>IF(AND(Games[[#This Row],[Type]]="P",Games[[#This Row],[Round]]=2),IF(Games[[#This Row],[Result]]&gt;0.5,1,0),0)</f>
        <v>0</v>
      </c>
      <c r="AH349" s="2">
        <f>IF(AND(Games[[#This Row],[Type]]="P",Games[[#This Row],[Round]]=2),IF(Games[[#This Row],[Result]]&lt;0.5,1,0),0)</f>
        <v>0</v>
      </c>
      <c r="AI349" s="2">
        <f>IF(AND(Games[[#This Row],[Type]]="P",Games[[#This Row],[Round]]=3),IF(Games[[#This Row],[Result]]&gt;0.5,1,0),0)</f>
        <v>0</v>
      </c>
      <c r="AJ349" s="2">
        <f>IF(AND(Games[[#This Row],[Type]]="P",Games[[#This Row],[Round]]=3),IF(Games[[#This Row],[Result]]&lt;0.5,1,0),0)</f>
        <v>0</v>
      </c>
      <c r="AK349" s="2">
        <f>IF(AND(Games[[#This Row],[Type]]="P",Games[[#This Row],[Round]]=4),IF(Games[[#This Row],[Result]]&gt;0.5,1,0),0)</f>
        <v>0</v>
      </c>
      <c r="AL349" s="2">
        <f>IF(AND(Games[[#This Row],[Type]]="P",Games[[#This Row],[Round]]=4),IF(Games[[#This Row],[Result]]&lt;0.5,1,0),0)</f>
        <v>0</v>
      </c>
    </row>
    <row r="350" spans="1:38" x14ac:dyDescent="0.35">
      <c r="A350" s="10">
        <v>44449</v>
      </c>
      <c r="B350" s="2">
        <v>2021</v>
      </c>
      <c r="C350" s="2">
        <f>COUNTIFS(Games[Team],Games[[#This Row],[Team]],Games[Season],Games[[#This Row],[Season]],Games[Date],"&lt;=" &amp; Games[[#This Row],[Date]])</f>
        <v>29</v>
      </c>
      <c r="D350" s="2" t="s">
        <v>79</v>
      </c>
      <c r="E350" s="2" t="s">
        <v>80</v>
      </c>
      <c r="F350" s="1" t="s">
        <v>77</v>
      </c>
      <c r="G350" s="1" t="s">
        <v>65</v>
      </c>
      <c r="H350" s="1" t="s">
        <v>81</v>
      </c>
      <c r="I350" s="2" cm="1">
        <f t="array" ref="I35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0" s="2" cm="1">
        <f t="array" ref="J35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0" s="2">
        <f>Games[[#This Row],[DaysOff]]-Games[[#This Row],[OppDaysOff]]</f>
        <v>-1</v>
      </c>
      <c r="L350" s="2">
        <f>Games[[#This Row],[OppDaysOff]]-Games[[#This Row],[DaysOff]]</f>
        <v>1</v>
      </c>
      <c r="M350" s="1">
        <f>MAX(-16, MIN(16, Games[[#This Row],[RestDiff]]*8))</f>
        <v>-8</v>
      </c>
      <c r="N350" s="1">
        <f>MAX(-16, MIN(16, Games[[#This Row],[OppRestDiff]]*8))</f>
        <v>8</v>
      </c>
      <c r="O350" s="4" cm="1">
        <f t="array" ref="O35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1334.7260640930208</v>
      </c>
      <c r="P350" s="4" cm="1">
        <f t="array" ref="P35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1419.2267395144843</v>
      </c>
      <c r="Q350" s="4">
        <f>1/(1+10^(((Games[[#This Row],[OppPreGmRate]]+IF(Games[[#This Row],[HomeAway]]="A",HCA,0)+Games[[#This Row],[OppRestAdj]])-(Games[[#This Row],[PreGmRate]]+IF(Games[[#This Row],[HomeAway]]="H",HCA,0)+Games[[#This Row],[RestAdj]]))/400))</f>
        <v>0.25691383281427499</v>
      </c>
      <c r="R350" s="1">
        <v>74</v>
      </c>
      <c r="S350" s="1">
        <v>82</v>
      </c>
      <c r="T350" s="1">
        <v>0</v>
      </c>
      <c r="U350" s="1">
        <f>Games[[#This Row],[PointsFor]]-Games[[#This Row],[PointsAgainst]]</f>
        <v>-8</v>
      </c>
      <c r="V350" s="1">
        <f>IF(Games[[#This Row],[MOV]]&gt;0,1,IF(Games[[#This Row],[MOV]]=0,0.5,0))</f>
        <v>0</v>
      </c>
      <c r="W350" s="4">
        <f>((ABS(Games[[#This Row],[MOV]])+5)^0.6)/(12+0.01*(ABS(Games[[#This Row],[PreGmRate]]-Games[[#This Row],[OppPreGmRate]])))*IF(Games[[#This Row],[OT]]=1,0.9,1)</f>
        <v>0.36277025845137228</v>
      </c>
      <c r="X350" s="7" cm="1">
        <f t="array" ref="X35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0" s="9">
        <f>MAX(kmin, kmax - 0.15 * MIN(Games[[#This Row],[GamesPlayed]], 82))</f>
        <v>71.650000000000006</v>
      </c>
      <c r="Z350" s="4">
        <f>Games[[#This Row],[K]]*Games[[#This Row],[POMult]]</f>
        <v>71.650000000000006</v>
      </c>
      <c r="AA350" s="4">
        <f>(Games[[#This Row],[Keff]]*Games[[#This Row],[MOVMult]])*(Games[[#This Row],[Result]]-Games[[#This Row],[ExpectedWin%]])</f>
        <v>-6.6778299780078187</v>
      </c>
      <c r="AB350" s="4">
        <f>Games[[#This Row],[PreGmRate]]+Games[[#This Row],[RatingChange]]</f>
        <v>1328.048234115013</v>
      </c>
      <c r="AC350" s="2">
        <f>IF(Games[[#This Row],[Type]]="R",IF(Games[[#This Row],[Result]]&gt;0.5,1,0),0)</f>
        <v>0</v>
      </c>
      <c r="AD350" s="2">
        <f>IF(Games[[#This Row],[Type]]="R",IF(Games[[#This Row],[Result]]&lt;0.5,1,0),0)</f>
        <v>1</v>
      </c>
      <c r="AE350" s="2">
        <f>IF(AND(Games[[#This Row],[Type]]="P",Games[[#This Row],[Round]]=1),IF(Games[[#This Row],[Result]]&gt;0.5,1,0),0)</f>
        <v>0</v>
      </c>
      <c r="AF350" s="2">
        <f>IF(AND(Games[[#This Row],[Type]]="P",Games[[#This Row],[Round]]=1),IF(Games[[#This Row],[Result]]&lt;0.5,1,0),0)</f>
        <v>0</v>
      </c>
      <c r="AG350" s="2">
        <f>IF(AND(Games[[#This Row],[Type]]="P",Games[[#This Row],[Round]]=2),IF(Games[[#This Row],[Result]]&gt;0.5,1,0),0)</f>
        <v>0</v>
      </c>
      <c r="AH350" s="2">
        <f>IF(AND(Games[[#This Row],[Type]]="P",Games[[#This Row],[Round]]=2),IF(Games[[#This Row],[Result]]&lt;0.5,1,0),0)</f>
        <v>0</v>
      </c>
      <c r="AI350" s="2">
        <f>IF(AND(Games[[#This Row],[Type]]="P",Games[[#This Row],[Round]]=3),IF(Games[[#This Row],[Result]]&gt;0.5,1,0),0)</f>
        <v>0</v>
      </c>
      <c r="AJ350" s="2">
        <f>IF(AND(Games[[#This Row],[Type]]="P",Games[[#This Row],[Round]]=3),IF(Games[[#This Row],[Result]]&lt;0.5,1,0),0)</f>
        <v>0</v>
      </c>
      <c r="AK350" s="2">
        <f>IF(AND(Games[[#This Row],[Type]]="P",Games[[#This Row],[Round]]=4),IF(Games[[#This Row],[Result]]&gt;0.5,1,0),0)</f>
        <v>0</v>
      </c>
      <c r="AL350" s="2">
        <f>IF(AND(Games[[#This Row],[Type]]="P",Games[[#This Row],[Round]]=4),IF(Games[[#This Row],[Result]]&lt;0.5,1,0),0)</f>
        <v>0</v>
      </c>
    </row>
    <row r="351" spans="1:38" x14ac:dyDescent="0.35">
      <c r="A351" s="10">
        <v>44449</v>
      </c>
      <c r="B351" s="2">
        <v>2021</v>
      </c>
      <c r="C351" s="2">
        <f>COUNTIFS(Games[Team],Games[[#This Row],[Team]],Games[Season],Games[[#This Row],[Season]],Games[Date],"&lt;=" &amp; Games[[#This Row],[Date]])</f>
        <v>29</v>
      </c>
      <c r="D351" s="2" t="s">
        <v>79</v>
      </c>
      <c r="E351" s="2" t="s">
        <v>80</v>
      </c>
      <c r="F351" s="1" t="s">
        <v>65</v>
      </c>
      <c r="G351" s="1" t="s">
        <v>77</v>
      </c>
      <c r="H351" s="1" t="s">
        <v>82</v>
      </c>
      <c r="I351" s="2" cm="1">
        <f t="array" ref="I351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1" s="2" cm="1">
        <f t="array" ref="J35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1" s="2">
        <f>Games[[#This Row],[DaysOff]]-Games[[#This Row],[OppDaysOff]]</f>
        <v>1</v>
      </c>
      <c r="L351" s="2">
        <f>Games[[#This Row],[OppDaysOff]]-Games[[#This Row],[DaysOff]]</f>
        <v>-1</v>
      </c>
      <c r="M351" s="1">
        <f>MAX(-16, MIN(16, Games[[#This Row],[RestDiff]]*8))</f>
        <v>8</v>
      </c>
      <c r="N351" s="1">
        <f>MAX(-16, MIN(16, Games[[#This Row],[OppRestDiff]]*8))</f>
        <v>-8</v>
      </c>
      <c r="O351" s="4" cm="1">
        <f t="array" ref="O35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1419.2267395144843</v>
      </c>
      <c r="P351" s="4" cm="1">
        <f t="array" ref="P35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1334.7260640930208</v>
      </c>
      <c r="Q351" s="4">
        <f>1/(1+10^(((Games[[#This Row],[OppPreGmRate]]+IF(Games[[#This Row],[HomeAway]]="A",HCA,0)+Games[[#This Row],[OppRestAdj]])-(Games[[#This Row],[PreGmRate]]+IF(Games[[#This Row],[HomeAway]]="H",HCA,0)+Games[[#This Row],[RestAdj]]))/400))</f>
        <v>0.74308616718572496</v>
      </c>
      <c r="R351" s="1">
        <v>82</v>
      </c>
      <c r="S351" s="1">
        <v>74</v>
      </c>
      <c r="T351" s="1">
        <v>0</v>
      </c>
      <c r="U351" s="1">
        <f>Games[[#This Row],[PointsFor]]-Games[[#This Row],[PointsAgainst]]</f>
        <v>8</v>
      </c>
      <c r="V351" s="1">
        <f>IF(Games[[#This Row],[MOV]]&gt;0,1,IF(Games[[#This Row],[MOV]]=0,0.5,0))</f>
        <v>1</v>
      </c>
      <c r="W351" s="4">
        <f>((ABS(Games[[#This Row],[MOV]])+5)^0.6)/(12+0.01*(ABS(Games[[#This Row],[PreGmRate]]-Games[[#This Row],[OppPreGmRate]])))*IF(Games[[#This Row],[OT]]=1,0.9,1)</f>
        <v>0.36277025845137228</v>
      </c>
      <c r="X351" s="7" cm="1">
        <f t="array" ref="X35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1" s="9">
        <f>MAX(kmin, kmax - 0.15 * MIN(Games[[#This Row],[GamesPlayed]], 82))</f>
        <v>71.650000000000006</v>
      </c>
      <c r="Z351" s="4">
        <f>Games[[#This Row],[K]]*Games[[#This Row],[POMult]]</f>
        <v>71.650000000000006</v>
      </c>
      <c r="AA351" s="4">
        <f>(Games[[#This Row],[Keff]]*Games[[#This Row],[MOVMult]])*(Games[[#This Row],[Result]]-Games[[#This Row],[ExpectedWin%]])</f>
        <v>6.6778299780078205</v>
      </c>
      <c r="AB351" s="4">
        <f>Games[[#This Row],[PreGmRate]]+Games[[#This Row],[RatingChange]]</f>
        <v>1425.9045694924921</v>
      </c>
      <c r="AC351" s="2">
        <f>IF(Games[[#This Row],[Type]]="R",IF(Games[[#This Row],[Result]]&gt;0.5,1,0),0)</f>
        <v>1</v>
      </c>
      <c r="AD351" s="2">
        <f>IF(Games[[#This Row],[Type]]="R",IF(Games[[#This Row],[Result]]&lt;0.5,1,0),0)</f>
        <v>0</v>
      </c>
      <c r="AE351" s="2">
        <f>IF(AND(Games[[#This Row],[Type]]="P",Games[[#This Row],[Round]]=1),IF(Games[[#This Row],[Result]]&gt;0.5,1,0),0)</f>
        <v>0</v>
      </c>
      <c r="AF351" s="2">
        <f>IF(AND(Games[[#This Row],[Type]]="P",Games[[#This Row],[Round]]=1),IF(Games[[#This Row],[Result]]&lt;0.5,1,0),0)</f>
        <v>0</v>
      </c>
      <c r="AG351" s="2">
        <f>IF(AND(Games[[#This Row],[Type]]="P",Games[[#This Row],[Round]]=2),IF(Games[[#This Row],[Result]]&gt;0.5,1,0),0)</f>
        <v>0</v>
      </c>
      <c r="AH351" s="2">
        <f>IF(AND(Games[[#This Row],[Type]]="P",Games[[#This Row],[Round]]=2),IF(Games[[#This Row],[Result]]&lt;0.5,1,0),0)</f>
        <v>0</v>
      </c>
      <c r="AI351" s="2">
        <f>IF(AND(Games[[#This Row],[Type]]="P",Games[[#This Row],[Round]]=3),IF(Games[[#This Row],[Result]]&gt;0.5,1,0),0)</f>
        <v>0</v>
      </c>
      <c r="AJ351" s="2">
        <f>IF(AND(Games[[#This Row],[Type]]="P",Games[[#This Row],[Round]]=3),IF(Games[[#This Row],[Result]]&lt;0.5,1,0),0)</f>
        <v>0</v>
      </c>
      <c r="AK351" s="2">
        <f>IF(AND(Games[[#This Row],[Type]]="P",Games[[#This Row],[Round]]=4),IF(Games[[#This Row],[Result]]&gt;0.5,1,0),0)</f>
        <v>0</v>
      </c>
      <c r="AL351" s="2">
        <f>IF(AND(Games[[#This Row],[Type]]="P",Games[[#This Row],[Round]]=4),IF(Games[[#This Row],[Result]]&lt;0.5,1,0),0)</f>
        <v>0</v>
      </c>
    </row>
    <row r="352" spans="1:38" x14ac:dyDescent="0.35">
      <c r="A352" s="10">
        <v>44450</v>
      </c>
      <c r="B352" s="2">
        <v>2021</v>
      </c>
      <c r="C352" s="2">
        <f>COUNTIFS(Games[Team],Games[[#This Row],[Team]],Games[Season],Games[[#This Row],[Season]],Games[Date],"&lt;=" &amp; Games[[#This Row],[Date]])</f>
        <v>30</v>
      </c>
      <c r="D352" s="2" t="s">
        <v>79</v>
      </c>
      <c r="E352" s="2" t="s">
        <v>80</v>
      </c>
      <c r="F352" s="1" t="s">
        <v>60</v>
      </c>
      <c r="G352" s="1" t="s">
        <v>84</v>
      </c>
      <c r="H352" s="1" t="s">
        <v>81</v>
      </c>
      <c r="I352" s="2" cm="1">
        <f t="array" ref="I352">IFERROR(
    Games[[#This Row],[Date]]
    - LOOKUP(
        2,
        1/((Games[Team]=Games[[#This Row],[Team]]) * (Games[Date] &lt; Games[[#This Row],[Date]])),
        Games[Date]
    )
    - 1,
Games[[#This Row],[Date]]-$A$2)</f>
        <v>8</v>
      </c>
      <c r="J352" s="2" cm="1">
        <f t="array" ref="J352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52" s="2">
        <f>Games[[#This Row],[DaysOff]]-Games[[#This Row],[OppDaysOff]]</f>
        <v>5</v>
      </c>
      <c r="L352" s="2">
        <f>Games[[#This Row],[OppDaysOff]]-Games[[#This Row],[DaysOff]]</f>
        <v>-5</v>
      </c>
      <c r="M352" s="1">
        <f>MAX(-16, MIN(16, Games[[#This Row],[RestDiff]]*8))</f>
        <v>16</v>
      </c>
      <c r="N352" s="1">
        <f>MAX(-16, MIN(16, Games[[#This Row],[OppRestDiff]]*8))</f>
        <v>-16</v>
      </c>
      <c r="O352" s="4" cm="1">
        <f t="array" ref="O35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1355.6747424025889</v>
      </c>
      <c r="P352" s="4" cm="1">
        <f t="array" ref="P35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1442.8528203642279</v>
      </c>
      <c r="Q352" s="4">
        <f>1/(1+10^(((Games[[#This Row],[OppPreGmRate]]+IF(Games[[#This Row],[HomeAway]]="A",HCA,0)+Games[[#This Row],[OppRestAdj]])-(Games[[#This Row],[PreGmRate]]+IF(Games[[#This Row],[HomeAway]]="H",HCA,0)+Games[[#This Row],[RestAdj]]))/400))</f>
        <v>0.30977456914809715</v>
      </c>
      <c r="R352" s="1">
        <v>76</v>
      </c>
      <c r="S352" s="1">
        <v>77</v>
      </c>
      <c r="T352" s="1">
        <v>0</v>
      </c>
      <c r="U352" s="1">
        <f>Games[[#This Row],[PointsFor]]-Games[[#This Row],[PointsAgainst]]</f>
        <v>-1</v>
      </c>
      <c r="V352" s="1">
        <f>IF(Games[[#This Row],[MOV]]&gt;0,1,IF(Games[[#This Row],[MOV]]=0,0.5,0))</f>
        <v>0</v>
      </c>
      <c r="W352" s="4">
        <f>((ABS(Games[[#This Row],[MOV]])+5)^0.6)/(12+0.01*(ABS(Games[[#This Row],[PreGmRate]]-Games[[#This Row],[OppPreGmRate]])))*IF(Games[[#This Row],[OT]]=1,0.9,1)</f>
        <v>0.22764185482584381</v>
      </c>
      <c r="X352" s="7" cm="1">
        <f t="array" ref="X35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2" s="9">
        <f>MAX(kmin, kmax - 0.15 * MIN(Games[[#This Row],[GamesPlayed]], 82))</f>
        <v>71.5</v>
      </c>
      <c r="Z352" s="4">
        <f>Games[[#This Row],[K]]*Games[[#This Row],[POMult]]</f>
        <v>71.5</v>
      </c>
      <c r="AA352" s="4">
        <f>(Games[[#This Row],[Keff]]*Games[[#This Row],[MOVMult]])*(Games[[#This Row],[Result]]-Games[[#This Row],[ExpectedWin%]])</f>
        <v>-5.0420125111605856</v>
      </c>
      <c r="AB352" s="4">
        <f>Games[[#This Row],[PreGmRate]]+Games[[#This Row],[RatingChange]]</f>
        <v>1350.6327298914282</v>
      </c>
      <c r="AC352" s="2">
        <f>IF(Games[[#This Row],[Type]]="R",IF(Games[[#This Row],[Result]]&gt;0.5,1,0),0)</f>
        <v>0</v>
      </c>
      <c r="AD352" s="2">
        <f>IF(Games[[#This Row],[Type]]="R",IF(Games[[#This Row],[Result]]&lt;0.5,1,0),0)</f>
        <v>1</v>
      </c>
      <c r="AE352" s="2">
        <f>IF(AND(Games[[#This Row],[Type]]="P",Games[[#This Row],[Round]]=1),IF(Games[[#This Row],[Result]]&gt;0.5,1,0),0)</f>
        <v>0</v>
      </c>
      <c r="AF352" s="2">
        <f>IF(AND(Games[[#This Row],[Type]]="P",Games[[#This Row],[Round]]=1),IF(Games[[#This Row],[Result]]&lt;0.5,1,0),0)</f>
        <v>0</v>
      </c>
      <c r="AG352" s="2">
        <f>IF(AND(Games[[#This Row],[Type]]="P",Games[[#This Row],[Round]]=2),IF(Games[[#This Row],[Result]]&gt;0.5,1,0),0)</f>
        <v>0</v>
      </c>
      <c r="AH352" s="2">
        <f>IF(AND(Games[[#This Row],[Type]]="P",Games[[#This Row],[Round]]=2),IF(Games[[#This Row],[Result]]&lt;0.5,1,0),0)</f>
        <v>0</v>
      </c>
      <c r="AI352" s="2">
        <f>IF(AND(Games[[#This Row],[Type]]="P",Games[[#This Row],[Round]]=3),IF(Games[[#This Row],[Result]]&gt;0.5,1,0),0)</f>
        <v>0</v>
      </c>
      <c r="AJ352" s="2">
        <f>IF(AND(Games[[#This Row],[Type]]="P",Games[[#This Row],[Round]]=3),IF(Games[[#This Row],[Result]]&lt;0.5,1,0),0)</f>
        <v>0</v>
      </c>
      <c r="AK352" s="2">
        <f>IF(AND(Games[[#This Row],[Type]]="P",Games[[#This Row],[Round]]=4),IF(Games[[#This Row],[Result]]&gt;0.5,1,0),0)</f>
        <v>0</v>
      </c>
      <c r="AL352" s="2">
        <f>IF(AND(Games[[#This Row],[Type]]="P",Games[[#This Row],[Round]]=4),IF(Games[[#This Row],[Result]]&lt;0.5,1,0),0)</f>
        <v>0</v>
      </c>
    </row>
    <row r="353" spans="1:38" x14ac:dyDescent="0.35">
      <c r="A353" s="10">
        <v>44450</v>
      </c>
      <c r="B353" s="2">
        <v>2021</v>
      </c>
      <c r="C353" s="2">
        <f>COUNTIFS(Games[Team],Games[[#This Row],[Team]],Games[Season],Games[[#This Row],[Season]],Games[Date],"&lt;=" &amp; Games[[#This Row],[Date]])</f>
        <v>30</v>
      </c>
      <c r="D353" s="2" t="s">
        <v>79</v>
      </c>
      <c r="E353" s="2" t="s">
        <v>80</v>
      </c>
      <c r="F353" s="1" t="s">
        <v>84</v>
      </c>
      <c r="G353" s="1" t="s">
        <v>60</v>
      </c>
      <c r="H353" s="1" t="s">
        <v>82</v>
      </c>
      <c r="I353" s="2" cm="1">
        <f t="array" ref="I353">IFERROR(
    Games[[#This Row],[Date]]
    - LOOKUP(
        2,
        1/((Games[Team]=Games[[#This Row],[Team]]) * (Games[Date] &lt; Games[[#This Row],[Date]])),
        Games[Date]
    )
    - 1,
Games[[#This Row],[Date]]-$A$2)</f>
        <v>3</v>
      </c>
      <c r="J353" s="2" cm="1">
        <f t="array" ref="J353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53" s="2">
        <f>Games[[#This Row],[DaysOff]]-Games[[#This Row],[OppDaysOff]]</f>
        <v>-5</v>
      </c>
      <c r="L353" s="2">
        <f>Games[[#This Row],[OppDaysOff]]-Games[[#This Row],[DaysOff]]</f>
        <v>5</v>
      </c>
      <c r="M353" s="1">
        <f>MAX(-16, MIN(16, Games[[#This Row],[RestDiff]]*8))</f>
        <v>-16</v>
      </c>
      <c r="N353" s="1">
        <f>MAX(-16, MIN(16, Games[[#This Row],[OppRestDiff]]*8))</f>
        <v>16</v>
      </c>
      <c r="O353" s="4" cm="1">
        <f t="array" ref="O35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1442.8528203642279</v>
      </c>
      <c r="P353" s="4" cm="1">
        <f t="array" ref="P35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1355.6747424025889</v>
      </c>
      <c r="Q353" s="4">
        <f>1/(1+10^(((Games[[#This Row],[OppPreGmRate]]+IF(Games[[#This Row],[HomeAway]]="A",HCA,0)+Games[[#This Row],[OppRestAdj]])-(Games[[#This Row],[PreGmRate]]+IF(Games[[#This Row],[HomeAway]]="H",HCA,0)+Games[[#This Row],[RestAdj]]))/400))</f>
        <v>0.69022543085190291</v>
      </c>
      <c r="R353" s="1">
        <v>77</v>
      </c>
      <c r="S353" s="1">
        <v>76</v>
      </c>
      <c r="T353" s="1">
        <v>0</v>
      </c>
      <c r="U353" s="1">
        <f>Games[[#This Row],[PointsFor]]-Games[[#This Row],[PointsAgainst]]</f>
        <v>1</v>
      </c>
      <c r="V353" s="1">
        <f>IF(Games[[#This Row],[MOV]]&gt;0,1,IF(Games[[#This Row],[MOV]]=0,0.5,0))</f>
        <v>1</v>
      </c>
      <c r="W353" s="4">
        <f>((ABS(Games[[#This Row],[MOV]])+5)^0.6)/(12+0.01*(ABS(Games[[#This Row],[PreGmRate]]-Games[[#This Row],[OppPreGmRate]])))*IF(Games[[#This Row],[OT]]=1,0.9,1)</f>
        <v>0.22764185482584381</v>
      </c>
      <c r="X353" s="7" cm="1">
        <f t="array" ref="X35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3" s="9">
        <f>MAX(kmin, kmax - 0.15 * MIN(Games[[#This Row],[GamesPlayed]], 82))</f>
        <v>71.5</v>
      </c>
      <c r="Z353" s="4">
        <f>Games[[#This Row],[K]]*Games[[#This Row],[POMult]]</f>
        <v>71.5</v>
      </c>
      <c r="AA353" s="4">
        <f>(Games[[#This Row],[Keff]]*Games[[#This Row],[MOVMult]])*(Games[[#This Row],[Result]]-Games[[#This Row],[ExpectedWin%]])</f>
        <v>5.0420125111605847</v>
      </c>
      <c r="AB353" s="4">
        <f>Games[[#This Row],[PreGmRate]]+Games[[#This Row],[RatingChange]]</f>
        <v>1447.8948328753886</v>
      </c>
      <c r="AC353" s="2">
        <f>IF(Games[[#This Row],[Type]]="R",IF(Games[[#This Row],[Result]]&gt;0.5,1,0),0)</f>
        <v>1</v>
      </c>
      <c r="AD353" s="2">
        <f>IF(Games[[#This Row],[Type]]="R",IF(Games[[#This Row],[Result]]&lt;0.5,1,0),0)</f>
        <v>0</v>
      </c>
      <c r="AE353" s="2">
        <f>IF(AND(Games[[#This Row],[Type]]="P",Games[[#This Row],[Round]]=1),IF(Games[[#This Row],[Result]]&gt;0.5,1,0),0)</f>
        <v>0</v>
      </c>
      <c r="AF353" s="2">
        <f>IF(AND(Games[[#This Row],[Type]]="P",Games[[#This Row],[Round]]=1),IF(Games[[#This Row],[Result]]&lt;0.5,1,0),0)</f>
        <v>0</v>
      </c>
      <c r="AG353" s="2">
        <f>IF(AND(Games[[#This Row],[Type]]="P",Games[[#This Row],[Round]]=2),IF(Games[[#This Row],[Result]]&gt;0.5,1,0),0)</f>
        <v>0</v>
      </c>
      <c r="AH353" s="2">
        <f>IF(AND(Games[[#This Row],[Type]]="P",Games[[#This Row],[Round]]=2),IF(Games[[#This Row],[Result]]&lt;0.5,1,0),0)</f>
        <v>0</v>
      </c>
      <c r="AI353" s="2">
        <f>IF(AND(Games[[#This Row],[Type]]="P",Games[[#This Row],[Round]]=3),IF(Games[[#This Row],[Result]]&gt;0.5,1,0),0)</f>
        <v>0</v>
      </c>
      <c r="AJ353" s="2">
        <f>IF(AND(Games[[#This Row],[Type]]="P",Games[[#This Row],[Round]]=3),IF(Games[[#This Row],[Result]]&lt;0.5,1,0),0)</f>
        <v>0</v>
      </c>
      <c r="AK353" s="2">
        <f>IF(AND(Games[[#This Row],[Type]]="P",Games[[#This Row],[Round]]=4),IF(Games[[#This Row],[Result]]&gt;0.5,1,0),0)</f>
        <v>0</v>
      </c>
      <c r="AL353" s="2">
        <f>IF(AND(Games[[#This Row],[Type]]="P",Games[[#This Row],[Round]]=4),IF(Games[[#This Row],[Result]]&lt;0.5,1,0),0)</f>
        <v>0</v>
      </c>
    </row>
    <row r="354" spans="1:38" x14ac:dyDescent="0.35">
      <c r="A354" s="10">
        <v>44450</v>
      </c>
      <c r="B354" s="2">
        <v>2021</v>
      </c>
      <c r="C354" s="2">
        <f>COUNTIFS(Games[Team],Games[[#This Row],[Team]],Games[Season],Games[[#This Row],[Season]],Games[Date],"&lt;=" &amp; Games[[#This Row],[Date]])</f>
        <v>31</v>
      </c>
      <c r="D354" s="2" t="s">
        <v>79</v>
      </c>
      <c r="E354" s="2" t="s">
        <v>80</v>
      </c>
      <c r="F354" s="1" t="s">
        <v>74</v>
      </c>
      <c r="G354" s="1" t="s">
        <v>40</v>
      </c>
      <c r="H354" s="1" t="s">
        <v>81</v>
      </c>
      <c r="I354" s="2" cm="1">
        <f t="array" ref="I35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4" s="2" cm="1">
        <f t="array" ref="J35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4" s="2">
        <f>Games[[#This Row],[DaysOff]]-Games[[#This Row],[OppDaysOff]]</f>
        <v>-1</v>
      </c>
      <c r="L354" s="2">
        <f>Games[[#This Row],[OppDaysOff]]-Games[[#This Row],[DaysOff]]</f>
        <v>1</v>
      </c>
      <c r="M354" s="1">
        <f>MAX(-16, MIN(16, Games[[#This Row],[RestDiff]]*8))</f>
        <v>-8</v>
      </c>
      <c r="N354" s="1">
        <f>MAX(-16, MIN(16, Games[[#This Row],[OppRestDiff]]*8))</f>
        <v>8</v>
      </c>
      <c r="O354" s="4" cm="1">
        <f t="array" ref="O35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1684.2328934291504</v>
      </c>
      <c r="P354" s="4" cm="1">
        <f t="array" ref="P35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1588.3668798783701</v>
      </c>
      <c r="Q354" s="4">
        <f>1/(1+10^(((Games[[#This Row],[OppPreGmRate]]+IF(Games[[#This Row],[HomeAway]]="A",HCA,0)+Games[[#This Row],[OppRestAdj]])-(Games[[#This Row],[PreGmRate]]+IF(Games[[#This Row],[HomeAway]]="H",HCA,0)+Games[[#This Row],[RestAdj]]))/400))</f>
        <v>0.49405099600977503</v>
      </c>
      <c r="R354" s="1">
        <v>76</v>
      </c>
      <c r="S354" s="1">
        <v>67</v>
      </c>
      <c r="T354" s="1">
        <v>0</v>
      </c>
      <c r="U354" s="1">
        <f>Games[[#This Row],[PointsFor]]-Games[[#This Row],[PointsAgainst]]</f>
        <v>9</v>
      </c>
      <c r="V354" s="1">
        <f>IF(Games[[#This Row],[MOV]]&gt;0,1,IF(Games[[#This Row],[MOV]]=0,0.5,0))</f>
        <v>1</v>
      </c>
      <c r="W354" s="4">
        <f>((ABS(Games[[#This Row],[MOV]])+5)^0.6)/(12+0.01*(ABS(Games[[#This Row],[PreGmRate]]-Games[[#This Row],[OppPreGmRate]])))*IF(Games[[#This Row],[OT]]=1,0.9,1)</f>
        <v>0.3759384284196301</v>
      </c>
      <c r="X354" s="7" cm="1">
        <f t="array" ref="X35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4" s="9">
        <f>MAX(kmin, kmax - 0.15 * MIN(Games[[#This Row],[GamesPlayed]], 82))</f>
        <v>71.349999999999994</v>
      </c>
      <c r="Z354" s="4">
        <f>Games[[#This Row],[K]]*Games[[#This Row],[POMult]]</f>
        <v>71.349999999999994</v>
      </c>
      <c r="AA354" s="4">
        <f>(Games[[#This Row],[Keff]]*Games[[#This Row],[MOVMult]])*(Games[[#This Row],[Result]]-Games[[#This Row],[ExpectedWin%]])</f>
        <v>13.571174798557124</v>
      </c>
      <c r="AB354" s="4">
        <f>Games[[#This Row],[PreGmRate]]+Games[[#This Row],[RatingChange]]</f>
        <v>1697.8040682277076</v>
      </c>
      <c r="AC354" s="2">
        <f>IF(Games[[#This Row],[Type]]="R",IF(Games[[#This Row],[Result]]&gt;0.5,1,0),0)</f>
        <v>1</v>
      </c>
      <c r="AD354" s="2">
        <f>IF(Games[[#This Row],[Type]]="R",IF(Games[[#This Row],[Result]]&lt;0.5,1,0),0)</f>
        <v>0</v>
      </c>
      <c r="AE354" s="2">
        <f>IF(AND(Games[[#This Row],[Type]]="P",Games[[#This Row],[Round]]=1),IF(Games[[#This Row],[Result]]&gt;0.5,1,0),0)</f>
        <v>0</v>
      </c>
      <c r="AF354" s="2">
        <f>IF(AND(Games[[#This Row],[Type]]="P",Games[[#This Row],[Round]]=1),IF(Games[[#This Row],[Result]]&lt;0.5,1,0),0)</f>
        <v>0</v>
      </c>
      <c r="AG354" s="2">
        <f>IF(AND(Games[[#This Row],[Type]]="P",Games[[#This Row],[Round]]=2),IF(Games[[#This Row],[Result]]&gt;0.5,1,0),0)</f>
        <v>0</v>
      </c>
      <c r="AH354" s="2">
        <f>IF(AND(Games[[#This Row],[Type]]="P",Games[[#This Row],[Round]]=2),IF(Games[[#This Row],[Result]]&lt;0.5,1,0),0)</f>
        <v>0</v>
      </c>
      <c r="AI354" s="2">
        <f>IF(AND(Games[[#This Row],[Type]]="P",Games[[#This Row],[Round]]=3),IF(Games[[#This Row],[Result]]&gt;0.5,1,0),0)</f>
        <v>0</v>
      </c>
      <c r="AJ354" s="2">
        <f>IF(AND(Games[[#This Row],[Type]]="P",Games[[#This Row],[Round]]=3),IF(Games[[#This Row],[Result]]&lt;0.5,1,0),0)</f>
        <v>0</v>
      </c>
      <c r="AK354" s="2">
        <f>IF(AND(Games[[#This Row],[Type]]="P",Games[[#This Row],[Round]]=4),IF(Games[[#This Row],[Result]]&gt;0.5,1,0),0)</f>
        <v>0</v>
      </c>
      <c r="AL354" s="2">
        <f>IF(AND(Games[[#This Row],[Type]]="P",Games[[#This Row],[Round]]=4),IF(Games[[#This Row],[Result]]&lt;0.5,1,0),0)</f>
        <v>0</v>
      </c>
    </row>
    <row r="355" spans="1:38" x14ac:dyDescent="0.35">
      <c r="A355" s="10">
        <v>44450</v>
      </c>
      <c r="B355" s="2">
        <v>2021</v>
      </c>
      <c r="C355" s="2">
        <f>COUNTIFS(Games[Team],Games[[#This Row],[Team]],Games[Season],Games[[#This Row],[Season]],Games[Date],"&lt;=" &amp; Games[[#This Row],[Date]])</f>
        <v>30</v>
      </c>
      <c r="D355" s="2" t="s">
        <v>79</v>
      </c>
      <c r="E355" s="2" t="s">
        <v>80</v>
      </c>
      <c r="F355" s="1" t="s">
        <v>40</v>
      </c>
      <c r="G355" s="1" t="s">
        <v>74</v>
      </c>
      <c r="H355" s="1" t="s">
        <v>82</v>
      </c>
      <c r="I355" s="2" cm="1">
        <f t="array" ref="I355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5" s="2" cm="1">
        <f t="array" ref="J35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5" s="2">
        <f>Games[[#This Row],[DaysOff]]-Games[[#This Row],[OppDaysOff]]</f>
        <v>1</v>
      </c>
      <c r="L355" s="2">
        <f>Games[[#This Row],[OppDaysOff]]-Games[[#This Row],[DaysOff]]</f>
        <v>-1</v>
      </c>
      <c r="M355" s="1">
        <f>MAX(-16, MIN(16, Games[[#This Row],[RestDiff]]*8))</f>
        <v>8</v>
      </c>
      <c r="N355" s="1">
        <f>MAX(-16, MIN(16, Games[[#This Row],[OppRestDiff]]*8))</f>
        <v>-8</v>
      </c>
      <c r="O355" s="4" cm="1">
        <f t="array" ref="O35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1588.3668798783701</v>
      </c>
      <c r="P355" s="4" cm="1">
        <f t="array" ref="P35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1684.2328934291504</v>
      </c>
      <c r="Q355" s="4">
        <f>1/(1+10^(((Games[[#This Row],[OppPreGmRate]]+IF(Games[[#This Row],[HomeAway]]="A",HCA,0)+Games[[#This Row],[OppRestAdj]])-(Games[[#This Row],[PreGmRate]]+IF(Games[[#This Row],[HomeAway]]="H",HCA,0)+Games[[#This Row],[RestAdj]]))/400))</f>
        <v>0.50594900399022491</v>
      </c>
      <c r="R355" s="1">
        <v>67</v>
      </c>
      <c r="S355" s="1">
        <v>76</v>
      </c>
      <c r="T355" s="1">
        <v>0</v>
      </c>
      <c r="U355" s="1">
        <f>Games[[#This Row],[PointsFor]]-Games[[#This Row],[PointsAgainst]]</f>
        <v>-9</v>
      </c>
      <c r="V355" s="1">
        <f>IF(Games[[#This Row],[MOV]]&gt;0,1,IF(Games[[#This Row],[MOV]]=0,0.5,0))</f>
        <v>0</v>
      </c>
      <c r="W355" s="4">
        <f>((ABS(Games[[#This Row],[MOV]])+5)^0.6)/(12+0.01*(ABS(Games[[#This Row],[PreGmRate]]-Games[[#This Row],[OppPreGmRate]])))*IF(Games[[#This Row],[OT]]=1,0.9,1)</f>
        <v>0.3759384284196301</v>
      </c>
      <c r="X355" s="7" cm="1">
        <f t="array" ref="X35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5" s="9">
        <f>MAX(kmin, kmax - 0.15 * MIN(Games[[#This Row],[GamesPlayed]], 82))</f>
        <v>71.5</v>
      </c>
      <c r="Z355" s="4">
        <f>Games[[#This Row],[K]]*Games[[#This Row],[POMult]]</f>
        <v>71.5</v>
      </c>
      <c r="AA355" s="4">
        <f>(Games[[#This Row],[Keff]]*Games[[#This Row],[MOVMult]])*(Games[[#This Row],[Result]]-Games[[#This Row],[ExpectedWin%]])</f>
        <v>-13.599705649570206</v>
      </c>
      <c r="AB355" s="4">
        <f>Games[[#This Row],[PreGmRate]]+Games[[#This Row],[RatingChange]]</f>
        <v>1574.7671742287998</v>
      </c>
      <c r="AC355" s="2">
        <f>IF(Games[[#This Row],[Type]]="R",IF(Games[[#This Row],[Result]]&gt;0.5,1,0),0)</f>
        <v>0</v>
      </c>
      <c r="AD355" s="2">
        <f>IF(Games[[#This Row],[Type]]="R",IF(Games[[#This Row],[Result]]&lt;0.5,1,0),0)</f>
        <v>1</v>
      </c>
      <c r="AE355" s="2">
        <f>IF(AND(Games[[#This Row],[Type]]="P",Games[[#This Row],[Round]]=1),IF(Games[[#This Row],[Result]]&gt;0.5,1,0),0)</f>
        <v>0</v>
      </c>
      <c r="AF355" s="2">
        <f>IF(AND(Games[[#This Row],[Type]]="P",Games[[#This Row],[Round]]=1),IF(Games[[#This Row],[Result]]&lt;0.5,1,0),0)</f>
        <v>0</v>
      </c>
      <c r="AG355" s="2">
        <f>IF(AND(Games[[#This Row],[Type]]="P",Games[[#This Row],[Round]]=2),IF(Games[[#This Row],[Result]]&gt;0.5,1,0),0)</f>
        <v>0</v>
      </c>
      <c r="AH355" s="2">
        <f>IF(AND(Games[[#This Row],[Type]]="P",Games[[#This Row],[Round]]=2),IF(Games[[#This Row],[Result]]&lt;0.5,1,0),0)</f>
        <v>0</v>
      </c>
      <c r="AI355" s="2">
        <f>IF(AND(Games[[#This Row],[Type]]="P",Games[[#This Row],[Round]]=3),IF(Games[[#This Row],[Result]]&gt;0.5,1,0),0)</f>
        <v>0</v>
      </c>
      <c r="AJ355" s="2">
        <f>IF(AND(Games[[#This Row],[Type]]="P",Games[[#This Row],[Round]]=3),IF(Games[[#This Row],[Result]]&lt;0.5,1,0),0)</f>
        <v>0</v>
      </c>
      <c r="AK355" s="2">
        <f>IF(AND(Games[[#This Row],[Type]]="P",Games[[#This Row],[Round]]=4),IF(Games[[#This Row],[Result]]&gt;0.5,1,0),0)</f>
        <v>0</v>
      </c>
      <c r="AL355" s="2">
        <f>IF(AND(Games[[#This Row],[Type]]="P",Games[[#This Row],[Round]]=4),IF(Games[[#This Row],[Result]]&lt;0.5,1,0),0)</f>
        <v>0</v>
      </c>
    </row>
    <row r="356" spans="1:38" x14ac:dyDescent="0.35">
      <c r="A356" s="10">
        <v>44451</v>
      </c>
      <c r="B356" s="2">
        <v>2021</v>
      </c>
      <c r="C356" s="2">
        <f>COUNTIFS(Games[Team],Games[[#This Row],[Team]],Games[Season],Games[[#This Row],[Season]],Games[Date],"&lt;=" &amp; Games[[#This Row],[Date]])</f>
        <v>30</v>
      </c>
      <c r="D356" s="2" t="s">
        <v>79</v>
      </c>
      <c r="E356" s="2" t="s">
        <v>80</v>
      </c>
      <c r="F356" s="1" t="s">
        <v>65</v>
      </c>
      <c r="G356" s="1" t="s">
        <v>75</v>
      </c>
      <c r="H356" s="1" t="s">
        <v>81</v>
      </c>
      <c r="I356" s="2" cm="1">
        <f t="array" ref="I35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56" s="2" cm="1">
        <f t="array" ref="J356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56" s="2">
        <f>Games[[#This Row],[DaysOff]]-Games[[#This Row],[OppDaysOff]]</f>
        <v>-5</v>
      </c>
      <c r="L356" s="2">
        <f>Games[[#This Row],[OppDaysOff]]-Games[[#This Row],[DaysOff]]</f>
        <v>5</v>
      </c>
      <c r="M356" s="1">
        <f>MAX(-16, MIN(16, Games[[#This Row],[RestDiff]]*8))</f>
        <v>-16</v>
      </c>
      <c r="N356" s="1">
        <f>MAX(-16, MIN(16, Games[[#This Row],[OppRestDiff]]*8))</f>
        <v>16</v>
      </c>
      <c r="O356" s="4" cm="1">
        <f t="array" ref="O35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1425.9045694924921</v>
      </c>
      <c r="P356" s="4" cm="1">
        <f t="array" ref="P35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1565.1295959732158</v>
      </c>
      <c r="Q356" s="4">
        <f>1/(1+10^(((Games[[#This Row],[OppPreGmRate]]+IF(Games[[#This Row],[HomeAway]]="A",HCA,0)+Games[[#This Row],[OppRestAdj]])-(Games[[#This Row],[PreGmRate]]+IF(Games[[#This Row],[HomeAway]]="H",HCA,0)+Games[[#This Row],[RestAdj]]))/400))</f>
        <v>0.18706525124953752</v>
      </c>
      <c r="R356" s="1">
        <v>79</v>
      </c>
      <c r="S356" s="1">
        <v>71</v>
      </c>
      <c r="T356" s="1">
        <v>0</v>
      </c>
      <c r="U356" s="1">
        <f>Games[[#This Row],[PointsFor]]-Games[[#This Row],[PointsAgainst]]</f>
        <v>8</v>
      </c>
      <c r="V356" s="1">
        <f>IF(Games[[#This Row],[MOV]]&gt;0,1,IF(Games[[#This Row],[MOV]]=0,0.5,0))</f>
        <v>1</v>
      </c>
      <c r="W356" s="4">
        <f>((ABS(Games[[#This Row],[MOV]])+5)^0.6)/(12+0.01*(ABS(Games[[#This Row],[PreGmRate]]-Games[[#This Row],[OppPreGmRate]])))*IF(Games[[#This Row],[OT]]=1,0.9,1)</f>
        <v>0.34794648605703432</v>
      </c>
      <c r="X356" s="7" cm="1">
        <f t="array" ref="X35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6" s="9">
        <f>MAX(kmin, kmax - 0.15 * MIN(Games[[#This Row],[GamesPlayed]], 82))</f>
        <v>71.5</v>
      </c>
      <c r="Z356" s="4">
        <f>Games[[#This Row],[K]]*Games[[#This Row],[POMult]]</f>
        <v>71.5</v>
      </c>
      <c r="AA356" s="4">
        <f>(Games[[#This Row],[Keff]]*Games[[#This Row],[MOVMult]])*(Games[[#This Row],[Result]]-Games[[#This Row],[ExpectedWin%]])</f>
        <v>20.224331929328773</v>
      </c>
      <c r="AB356" s="4">
        <f>Games[[#This Row],[PreGmRate]]+Games[[#This Row],[RatingChange]]</f>
        <v>1446.128901421821</v>
      </c>
      <c r="AC356" s="2">
        <f>IF(Games[[#This Row],[Type]]="R",IF(Games[[#This Row],[Result]]&gt;0.5,1,0),0)</f>
        <v>1</v>
      </c>
      <c r="AD356" s="2">
        <f>IF(Games[[#This Row],[Type]]="R",IF(Games[[#This Row],[Result]]&lt;0.5,1,0),0)</f>
        <v>0</v>
      </c>
      <c r="AE356" s="2">
        <f>IF(AND(Games[[#This Row],[Type]]="P",Games[[#This Row],[Round]]=1),IF(Games[[#This Row],[Result]]&gt;0.5,1,0),0)</f>
        <v>0</v>
      </c>
      <c r="AF356" s="2">
        <f>IF(AND(Games[[#This Row],[Type]]="P",Games[[#This Row],[Round]]=1),IF(Games[[#This Row],[Result]]&lt;0.5,1,0),0)</f>
        <v>0</v>
      </c>
      <c r="AG356" s="2">
        <f>IF(AND(Games[[#This Row],[Type]]="P",Games[[#This Row],[Round]]=2),IF(Games[[#This Row],[Result]]&gt;0.5,1,0),0)</f>
        <v>0</v>
      </c>
      <c r="AH356" s="2">
        <f>IF(AND(Games[[#This Row],[Type]]="P",Games[[#This Row],[Round]]=2),IF(Games[[#This Row],[Result]]&lt;0.5,1,0),0)</f>
        <v>0</v>
      </c>
      <c r="AI356" s="2">
        <f>IF(AND(Games[[#This Row],[Type]]="P",Games[[#This Row],[Round]]=3),IF(Games[[#This Row],[Result]]&gt;0.5,1,0),0)</f>
        <v>0</v>
      </c>
      <c r="AJ356" s="2">
        <f>IF(AND(Games[[#This Row],[Type]]="P",Games[[#This Row],[Round]]=3),IF(Games[[#This Row],[Result]]&lt;0.5,1,0),0)</f>
        <v>0</v>
      </c>
      <c r="AK356" s="2">
        <f>IF(AND(Games[[#This Row],[Type]]="P",Games[[#This Row],[Round]]=4),IF(Games[[#This Row],[Result]]&gt;0.5,1,0),0)</f>
        <v>0</v>
      </c>
      <c r="AL356" s="2">
        <f>IF(AND(Games[[#This Row],[Type]]="P",Games[[#This Row],[Round]]=4),IF(Games[[#This Row],[Result]]&lt;0.5,1,0),0)</f>
        <v>0</v>
      </c>
    </row>
    <row r="357" spans="1:38" x14ac:dyDescent="0.35">
      <c r="A357" s="10">
        <v>44451</v>
      </c>
      <c r="B357" s="2">
        <v>2021</v>
      </c>
      <c r="C357" s="2">
        <f>COUNTIFS(Games[Team],Games[[#This Row],[Team]],Games[Season],Games[[#This Row],[Season]],Games[Date],"&lt;=" &amp; Games[[#This Row],[Date]])</f>
        <v>30</v>
      </c>
      <c r="D357" s="2" t="s">
        <v>79</v>
      </c>
      <c r="E357" s="2" t="s">
        <v>80</v>
      </c>
      <c r="F357" s="1" t="s">
        <v>75</v>
      </c>
      <c r="G357" s="1" t="s">
        <v>65</v>
      </c>
      <c r="H357" s="1" t="s">
        <v>82</v>
      </c>
      <c r="I357" s="2" cm="1">
        <f t="array" ref="I357">IFERROR(
    Games[[#This Row],[Date]]
    - LOOKUP(
        2,
        1/((Games[Team]=Games[[#This Row],[Team]]) * (Games[Date] &lt; Games[[#This Row],[Date]])),
        Games[Date]
    )
    - 1,
Games[[#This Row],[Date]]-$A$2)</f>
        <v>6</v>
      </c>
      <c r="J357" s="2" cm="1">
        <f t="array" ref="J35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57" s="2">
        <f>Games[[#This Row],[DaysOff]]-Games[[#This Row],[OppDaysOff]]</f>
        <v>5</v>
      </c>
      <c r="L357" s="2">
        <f>Games[[#This Row],[OppDaysOff]]-Games[[#This Row],[DaysOff]]</f>
        <v>-5</v>
      </c>
      <c r="M357" s="1">
        <f>MAX(-16, MIN(16, Games[[#This Row],[RestDiff]]*8))</f>
        <v>16</v>
      </c>
      <c r="N357" s="1">
        <f>MAX(-16, MIN(16, Games[[#This Row],[OppRestDiff]]*8))</f>
        <v>-16</v>
      </c>
      <c r="O357" s="4" cm="1">
        <f t="array" ref="O35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1565.1295959732158</v>
      </c>
      <c r="P357" s="4" cm="1">
        <f t="array" ref="P35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1425.9045694924921</v>
      </c>
      <c r="Q357" s="4">
        <f>1/(1+10^(((Games[[#This Row],[OppPreGmRate]]+IF(Games[[#This Row],[HomeAway]]="A",HCA,0)+Games[[#This Row],[OppRestAdj]])-(Games[[#This Row],[PreGmRate]]+IF(Games[[#This Row],[HomeAway]]="H",HCA,0)+Games[[#This Row],[RestAdj]]))/400))</f>
        <v>0.81293474875046245</v>
      </c>
      <c r="R357" s="1">
        <v>71</v>
      </c>
      <c r="S357" s="1">
        <v>79</v>
      </c>
      <c r="T357" s="1">
        <v>0</v>
      </c>
      <c r="U357" s="1">
        <f>Games[[#This Row],[PointsFor]]-Games[[#This Row],[PointsAgainst]]</f>
        <v>-8</v>
      </c>
      <c r="V357" s="1">
        <f>IF(Games[[#This Row],[MOV]]&gt;0,1,IF(Games[[#This Row],[MOV]]=0,0.5,0))</f>
        <v>0</v>
      </c>
      <c r="W357" s="4">
        <f>((ABS(Games[[#This Row],[MOV]])+5)^0.6)/(12+0.01*(ABS(Games[[#This Row],[PreGmRate]]-Games[[#This Row],[OppPreGmRate]])))*IF(Games[[#This Row],[OT]]=1,0.9,1)</f>
        <v>0.34794648605703432</v>
      </c>
      <c r="X357" s="7" cm="1">
        <f t="array" ref="X35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7" s="9">
        <f>MAX(kmin, kmax - 0.15 * MIN(Games[[#This Row],[GamesPlayed]], 82))</f>
        <v>71.5</v>
      </c>
      <c r="Z357" s="4">
        <f>Games[[#This Row],[K]]*Games[[#This Row],[POMult]]</f>
        <v>71.5</v>
      </c>
      <c r="AA357" s="4">
        <f>(Games[[#This Row],[Keff]]*Games[[#This Row],[MOVMult]])*(Games[[#This Row],[Result]]-Games[[#This Row],[ExpectedWin%]])</f>
        <v>-20.224331929328773</v>
      </c>
      <c r="AB357" s="4">
        <f>Games[[#This Row],[PreGmRate]]+Games[[#This Row],[RatingChange]]</f>
        <v>1544.905264043887</v>
      </c>
      <c r="AC357" s="2">
        <f>IF(Games[[#This Row],[Type]]="R",IF(Games[[#This Row],[Result]]&gt;0.5,1,0),0)</f>
        <v>0</v>
      </c>
      <c r="AD357" s="2">
        <f>IF(Games[[#This Row],[Type]]="R",IF(Games[[#This Row],[Result]]&lt;0.5,1,0),0)</f>
        <v>1</v>
      </c>
      <c r="AE357" s="2">
        <f>IF(AND(Games[[#This Row],[Type]]="P",Games[[#This Row],[Round]]=1),IF(Games[[#This Row],[Result]]&gt;0.5,1,0),0)</f>
        <v>0</v>
      </c>
      <c r="AF357" s="2">
        <f>IF(AND(Games[[#This Row],[Type]]="P",Games[[#This Row],[Round]]=1),IF(Games[[#This Row],[Result]]&lt;0.5,1,0),0)</f>
        <v>0</v>
      </c>
      <c r="AG357" s="2">
        <f>IF(AND(Games[[#This Row],[Type]]="P",Games[[#This Row],[Round]]=2),IF(Games[[#This Row],[Result]]&gt;0.5,1,0),0)</f>
        <v>0</v>
      </c>
      <c r="AH357" s="2">
        <f>IF(AND(Games[[#This Row],[Type]]="P",Games[[#This Row],[Round]]=2),IF(Games[[#This Row],[Result]]&lt;0.5,1,0),0)</f>
        <v>0</v>
      </c>
      <c r="AI357" s="2">
        <f>IF(AND(Games[[#This Row],[Type]]="P",Games[[#This Row],[Round]]=3),IF(Games[[#This Row],[Result]]&gt;0.5,1,0),0)</f>
        <v>0</v>
      </c>
      <c r="AJ357" s="2">
        <f>IF(AND(Games[[#This Row],[Type]]="P",Games[[#This Row],[Round]]=3),IF(Games[[#This Row],[Result]]&lt;0.5,1,0),0)</f>
        <v>0</v>
      </c>
      <c r="AK357" s="2">
        <f>IF(AND(Games[[#This Row],[Type]]="P",Games[[#This Row],[Round]]=4),IF(Games[[#This Row],[Result]]&gt;0.5,1,0),0)</f>
        <v>0</v>
      </c>
      <c r="AL357" s="2">
        <f>IF(AND(Games[[#This Row],[Type]]="P",Games[[#This Row],[Round]]=4),IF(Games[[#This Row],[Result]]&lt;0.5,1,0),0)</f>
        <v>0</v>
      </c>
    </row>
    <row r="358" spans="1:38" x14ac:dyDescent="0.35">
      <c r="A358" s="10">
        <v>44451</v>
      </c>
      <c r="B358" s="2">
        <v>2021</v>
      </c>
      <c r="C358" s="2">
        <f>COUNTIFS(Games[Team],Games[[#This Row],[Team]],Games[Season],Games[[#This Row],[Season]],Games[Date],"&lt;=" &amp; Games[[#This Row],[Date]])</f>
        <v>32</v>
      </c>
      <c r="D358" s="2" t="s">
        <v>79</v>
      </c>
      <c r="E358" s="2" t="s">
        <v>80</v>
      </c>
      <c r="F358" s="1" t="s">
        <v>71</v>
      </c>
      <c r="G358" s="1" t="s">
        <v>63</v>
      </c>
      <c r="H358" s="1" t="s">
        <v>81</v>
      </c>
      <c r="I358" s="2" cm="1">
        <f t="array" ref="I358">IFERROR(
    Games[[#This Row],[Date]]
    - LOOKUP(
        2,
        1/((Games[Team]=Games[[#This Row],[Team]]) * (Games[Date] &lt; Games[[#This Row],[Date]])),
        Games[Date]
    )
    - 1,
Games[[#This Row],[Date]]-$A$2)</f>
        <v>4</v>
      </c>
      <c r="J358" s="2" cm="1">
        <f t="array" ref="J35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58" s="2">
        <f>Games[[#This Row],[DaysOff]]-Games[[#This Row],[OppDaysOff]]</f>
        <v>2</v>
      </c>
      <c r="L358" s="2">
        <f>Games[[#This Row],[OppDaysOff]]-Games[[#This Row],[DaysOff]]</f>
        <v>-2</v>
      </c>
      <c r="M358" s="1">
        <f>MAX(-16, MIN(16, Games[[#This Row],[RestDiff]]*8))</f>
        <v>16</v>
      </c>
      <c r="N358" s="1">
        <f>MAX(-16, MIN(16, Games[[#This Row],[OppRestDiff]]*8))</f>
        <v>-16</v>
      </c>
      <c r="O358" s="4" cm="1">
        <f t="array" ref="O35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1628.6192149578494</v>
      </c>
      <c r="P358" s="4" cm="1">
        <f t="array" ref="P35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1395.898731511023</v>
      </c>
      <c r="Q358" s="4">
        <f>1/(1+10^(((Games[[#This Row],[OppPreGmRate]]+IF(Games[[#This Row],[HomeAway]]="A",HCA,0)+Games[[#This Row],[OppRestAdj]])-(Games[[#This Row],[PreGmRate]]+IF(Games[[#This Row],[HomeAway]]="H",HCA,0)+Games[[#This Row],[RestAdj]]))/400))</f>
        <v>0.7389099568035602</v>
      </c>
      <c r="R358" s="1">
        <v>53</v>
      </c>
      <c r="S358" s="1">
        <v>81</v>
      </c>
      <c r="T358" s="1">
        <v>0</v>
      </c>
      <c r="U358" s="1">
        <f>Games[[#This Row],[PointsFor]]-Games[[#This Row],[PointsAgainst]]</f>
        <v>-28</v>
      </c>
      <c r="V358" s="1">
        <f>IF(Games[[#This Row],[MOV]]&gt;0,1,IF(Games[[#This Row],[MOV]]=0,0.5,0))</f>
        <v>0</v>
      </c>
      <c r="W358" s="4">
        <f>((ABS(Games[[#This Row],[MOV]])+5)^0.6)/(12+0.01*(ABS(Games[[#This Row],[PreGmRate]]-Games[[#This Row],[OppPreGmRate]])))*IF(Games[[#This Row],[OT]]=1,0.9,1)</f>
        <v>0.56878337505497611</v>
      </c>
      <c r="X358" s="7" cm="1">
        <f t="array" ref="X35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8" s="9">
        <f>MAX(kmin, kmax - 0.15 * MIN(Games[[#This Row],[GamesPlayed]], 82))</f>
        <v>71.2</v>
      </c>
      <c r="Z358" s="4">
        <f>Games[[#This Row],[K]]*Games[[#This Row],[POMult]]</f>
        <v>71.2</v>
      </c>
      <c r="AA358" s="4">
        <f>(Games[[#This Row],[Keff]]*Games[[#This Row],[MOVMult]])*(Games[[#This Row],[Result]]-Games[[#This Row],[ExpectedWin%]])</f>
        <v>-29.923914575382838</v>
      </c>
      <c r="AB358" s="4">
        <f>Games[[#This Row],[PreGmRate]]+Games[[#This Row],[RatingChange]]</f>
        <v>1598.6953003824665</v>
      </c>
      <c r="AC358" s="2">
        <f>IF(Games[[#This Row],[Type]]="R",IF(Games[[#This Row],[Result]]&gt;0.5,1,0),0)</f>
        <v>0</v>
      </c>
      <c r="AD358" s="2">
        <f>IF(Games[[#This Row],[Type]]="R",IF(Games[[#This Row],[Result]]&lt;0.5,1,0),0)</f>
        <v>1</v>
      </c>
      <c r="AE358" s="2">
        <f>IF(AND(Games[[#This Row],[Type]]="P",Games[[#This Row],[Round]]=1),IF(Games[[#This Row],[Result]]&gt;0.5,1,0),0)</f>
        <v>0</v>
      </c>
      <c r="AF358" s="2">
        <f>IF(AND(Games[[#This Row],[Type]]="P",Games[[#This Row],[Round]]=1),IF(Games[[#This Row],[Result]]&lt;0.5,1,0),0)</f>
        <v>0</v>
      </c>
      <c r="AG358" s="2">
        <f>IF(AND(Games[[#This Row],[Type]]="P",Games[[#This Row],[Round]]=2),IF(Games[[#This Row],[Result]]&gt;0.5,1,0),0)</f>
        <v>0</v>
      </c>
      <c r="AH358" s="2">
        <f>IF(AND(Games[[#This Row],[Type]]="P",Games[[#This Row],[Round]]=2),IF(Games[[#This Row],[Result]]&lt;0.5,1,0),0)</f>
        <v>0</v>
      </c>
      <c r="AI358" s="2">
        <f>IF(AND(Games[[#This Row],[Type]]="P",Games[[#This Row],[Round]]=3),IF(Games[[#This Row],[Result]]&gt;0.5,1,0),0)</f>
        <v>0</v>
      </c>
      <c r="AJ358" s="2">
        <f>IF(AND(Games[[#This Row],[Type]]="P",Games[[#This Row],[Round]]=3),IF(Games[[#This Row],[Result]]&lt;0.5,1,0),0)</f>
        <v>0</v>
      </c>
      <c r="AK358" s="2">
        <f>IF(AND(Games[[#This Row],[Type]]="P",Games[[#This Row],[Round]]=4),IF(Games[[#This Row],[Result]]&gt;0.5,1,0),0)</f>
        <v>0</v>
      </c>
      <c r="AL358" s="2">
        <f>IF(AND(Games[[#This Row],[Type]]="P",Games[[#This Row],[Round]]=4),IF(Games[[#This Row],[Result]]&lt;0.5,1,0),0)</f>
        <v>0</v>
      </c>
    </row>
    <row r="359" spans="1:38" x14ac:dyDescent="0.35">
      <c r="A359" s="10">
        <v>44451</v>
      </c>
      <c r="B359" s="2">
        <v>2021</v>
      </c>
      <c r="C359" s="2">
        <f>COUNTIFS(Games[Team],Games[[#This Row],[Team]],Games[Season],Games[[#This Row],[Season]],Games[Date],"&lt;=" &amp; Games[[#This Row],[Date]])</f>
        <v>30</v>
      </c>
      <c r="D359" s="2" t="s">
        <v>79</v>
      </c>
      <c r="E359" s="2" t="s">
        <v>80</v>
      </c>
      <c r="F359" s="1" t="s">
        <v>63</v>
      </c>
      <c r="G359" s="1" t="s">
        <v>71</v>
      </c>
      <c r="H359" s="1" t="s">
        <v>82</v>
      </c>
      <c r="I359" s="2" cm="1">
        <f t="array" ref="I359">IFERROR(
    Games[[#This Row],[Date]]
    - LOOKUP(
        2,
        1/((Games[Team]=Games[[#This Row],[Team]]) * (Games[Date] &lt; Games[[#This Row],[Date]])),
        Games[Date]
    )
    - 1,
Games[[#This Row],[Date]]-$A$2)</f>
        <v>2</v>
      </c>
      <c r="J359" s="2" cm="1">
        <f t="array" ref="J359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59" s="2">
        <f>Games[[#This Row],[DaysOff]]-Games[[#This Row],[OppDaysOff]]</f>
        <v>-2</v>
      </c>
      <c r="L359" s="2">
        <f>Games[[#This Row],[OppDaysOff]]-Games[[#This Row],[DaysOff]]</f>
        <v>2</v>
      </c>
      <c r="M359" s="1">
        <f>MAX(-16, MIN(16, Games[[#This Row],[RestDiff]]*8))</f>
        <v>-16</v>
      </c>
      <c r="N359" s="1">
        <f>MAX(-16, MIN(16, Games[[#This Row],[OppRestDiff]]*8))</f>
        <v>16</v>
      </c>
      <c r="O359" s="4" cm="1">
        <f t="array" ref="O35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1395.898731511023</v>
      </c>
      <c r="P359" s="4" cm="1">
        <f t="array" ref="P35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1628.6192149578494</v>
      </c>
      <c r="Q359" s="4">
        <f>1/(1+10^(((Games[[#This Row],[OppPreGmRate]]+IF(Games[[#This Row],[HomeAway]]="A",HCA,0)+Games[[#This Row],[OppRestAdj]])-(Games[[#This Row],[PreGmRate]]+IF(Games[[#This Row],[HomeAway]]="H",HCA,0)+Games[[#This Row],[RestAdj]]))/400))</f>
        <v>0.2610900431964398</v>
      </c>
      <c r="R359" s="1">
        <v>81</v>
      </c>
      <c r="S359" s="1">
        <v>53</v>
      </c>
      <c r="T359" s="1">
        <v>0</v>
      </c>
      <c r="U359" s="1">
        <f>Games[[#This Row],[PointsFor]]-Games[[#This Row],[PointsAgainst]]</f>
        <v>28</v>
      </c>
      <c r="V359" s="1">
        <f>IF(Games[[#This Row],[MOV]]&gt;0,1,IF(Games[[#This Row],[MOV]]=0,0.5,0))</f>
        <v>1</v>
      </c>
      <c r="W359" s="4">
        <f>((ABS(Games[[#This Row],[MOV]])+5)^0.6)/(12+0.01*(ABS(Games[[#This Row],[PreGmRate]]-Games[[#This Row],[OppPreGmRate]])))*IF(Games[[#This Row],[OT]]=1,0.9,1)</f>
        <v>0.56878337505497611</v>
      </c>
      <c r="X359" s="7" cm="1">
        <f t="array" ref="X35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59" s="9">
        <f>MAX(kmin, kmax - 0.15 * MIN(Games[[#This Row],[GamesPlayed]], 82))</f>
        <v>71.5</v>
      </c>
      <c r="Z359" s="4">
        <f>Games[[#This Row],[K]]*Games[[#This Row],[POMult]]</f>
        <v>71.5</v>
      </c>
      <c r="AA359" s="4">
        <f>(Games[[#This Row],[Keff]]*Games[[#This Row],[MOVMult]])*(Games[[#This Row],[Result]]-Games[[#This Row],[ExpectedWin%]])</f>
        <v>30.049998485110574</v>
      </c>
      <c r="AB359" s="4">
        <f>Games[[#This Row],[PreGmRate]]+Games[[#This Row],[RatingChange]]</f>
        <v>1425.9487299961336</v>
      </c>
      <c r="AC359" s="2">
        <f>IF(Games[[#This Row],[Type]]="R",IF(Games[[#This Row],[Result]]&gt;0.5,1,0),0)</f>
        <v>1</v>
      </c>
      <c r="AD359" s="2">
        <f>IF(Games[[#This Row],[Type]]="R",IF(Games[[#This Row],[Result]]&lt;0.5,1,0),0)</f>
        <v>0</v>
      </c>
      <c r="AE359" s="2">
        <f>IF(AND(Games[[#This Row],[Type]]="P",Games[[#This Row],[Round]]=1),IF(Games[[#This Row],[Result]]&gt;0.5,1,0),0)</f>
        <v>0</v>
      </c>
      <c r="AF359" s="2">
        <f>IF(AND(Games[[#This Row],[Type]]="P",Games[[#This Row],[Round]]=1),IF(Games[[#This Row],[Result]]&lt;0.5,1,0),0)</f>
        <v>0</v>
      </c>
      <c r="AG359" s="2">
        <f>IF(AND(Games[[#This Row],[Type]]="P",Games[[#This Row],[Round]]=2),IF(Games[[#This Row],[Result]]&gt;0.5,1,0),0)</f>
        <v>0</v>
      </c>
      <c r="AH359" s="2">
        <f>IF(AND(Games[[#This Row],[Type]]="P",Games[[#This Row],[Round]]=2),IF(Games[[#This Row],[Result]]&lt;0.5,1,0),0)</f>
        <v>0</v>
      </c>
      <c r="AI359" s="2">
        <f>IF(AND(Games[[#This Row],[Type]]="P",Games[[#This Row],[Round]]=3),IF(Games[[#This Row],[Result]]&gt;0.5,1,0),0)</f>
        <v>0</v>
      </c>
      <c r="AJ359" s="2">
        <f>IF(AND(Games[[#This Row],[Type]]="P",Games[[#This Row],[Round]]=3),IF(Games[[#This Row],[Result]]&lt;0.5,1,0),0)</f>
        <v>0</v>
      </c>
      <c r="AK359" s="2">
        <f>IF(AND(Games[[#This Row],[Type]]="P",Games[[#This Row],[Round]]=4),IF(Games[[#This Row],[Result]]&gt;0.5,1,0),0)</f>
        <v>0</v>
      </c>
      <c r="AL359" s="2">
        <f>IF(AND(Games[[#This Row],[Type]]="P",Games[[#This Row],[Round]]=4),IF(Games[[#This Row],[Result]]&lt;0.5,1,0),0)</f>
        <v>0</v>
      </c>
    </row>
    <row r="360" spans="1:38" x14ac:dyDescent="0.35">
      <c r="A360" s="10">
        <v>44451</v>
      </c>
      <c r="B360" s="2">
        <v>2021</v>
      </c>
      <c r="C360" s="2">
        <f>COUNTIFS(Games[Team],Games[[#This Row],[Team]],Games[Season],Games[[#This Row],[Season]],Games[Date],"&lt;=" &amp; Games[[#This Row],[Date]])</f>
        <v>29</v>
      </c>
      <c r="D360" s="2" t="s">
        <v>79</v>
      </c>
      <c r="E360" s="2" t="s">
        <v>80</v>
      </c>
      <c r="F360" s="1" t="s">
        <v>69</v>
      </c>
      <c r="G360" s="1" t="s">
        <v>67</v>
      </c>
      <c r="H360" s="1" t="s">
        <v>81</v>
      </c>
      <c r="I360" s="2" cm="1">
        <f t="array" ref="I360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0" s="2" cm="1">
        <f t="array" ref="J36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0" s="2">
        <f>Games[[#This Row],[DaysOff]]-Games[[#This Row],[OppDaysOff]]</f>
        <v>0</v>
      </c>
      <c r="L360" s="2">
        <f>Games[[#This Row],[OppDaysOff]]-Games[[#This Row],[DaysOff]]</f>
        <v>0</v>
      </c>
      <c r="M360" s="1">
        <f>MAX(-16, MIN(16, Games[[#This Row],[RestDiff]]*8))</f>
        <v>0</v>
      </c>
      <c r="N360" s="1">
        <f>MAX(-16, MIN(16, Games[[#This Row],[OppRestDiff]]*8))</f>
        <v>0</v>
      </c>
      <c r="O360" s="4" cm="1">
        <f t="array" ref="O36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1328.8721098291417</v>
      </c>
      <c r="P360" s="4" cm="1">
        <f t="array" ref="P36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1607.2536458049942</v>
      </c>
      <c r="Q360" s="4">
        <f>1/(1+10^(((Games[[#This Row],[OppPreGmRate]]+IF(Games[[#This Row],[HomeAway]]="A",HCA,0)+Games[[#This Row],[OppRestAdj]])-(Games[[#This Row],[PreGmRate]]+IF(Games[[#This Row],[HomeAway]]="H",HCA,0)+Games[[#This Row],[RestAdj]]))/400))</f>
        <v>0.11046149392454699</v>
      </c>
      <c r="R360" s="1">
        <v>80</v>
      </c>
      <c r="S360" s="1">
        <v>90</v>
      </c>
      <c r="T360" s="1">
        <v>0</v>
      </c>
      <c r="U360" s="1">
        <f>Games[[#This Row],[PointsFor]]-Games[[#This Row],[PointsAgainst]]</f>
        <v>-10</v>
      </c>
      <c r="V360" s="1">
        <f>IF(Games[[#This Row],[MOV]]&gt;0,1,IF(Games[[#This Row],[MOV]]=0,0.5,0))</f>
        <v>0</v>
      </c>
      <c r="W360" s="4">
        <f>((ABS(Games[[#This Row],[MOV]])+5)^0.6)/(12+0.01*(ABS(Games[[#This Row],[PreGmRate]]-Games[[#This Row],[OppPreGmRate]])))*IF(Games[[#This Row],[OT]]=1,0.9,1)</f>
        <v>0.34345372073629188</v>
      </c>
      <c r="X360" s="7" cm="1">
        <f t="array" ref="X36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0" s="9">
        <f>MAX(kmin, kmax - 0.15 * MIN(Games[[#This Row],[GamesPlayed]], 82))</f>
        <v>71.650000000000006</v>
      </c>
      <c r="Z360" s="4">
        <f>Games[[#This Row],[K]]*Games[[#This Row],[POMult]]</f>
        <v>71.650000000000006</v>
      </c>
      <c r="AA360" s="4">
        <f>(Games[[#This Row],[Keff]]*Games[[#This Row],[MOVMult]])*(Games[[#This Row],[Result]]-Games[[#This Row],[ExpectedWin%]])</f>
        <v>-2.7182871543459313</v>
      </c>
      <c r="AB360" s="4">
        <f>Games[[#This Row],[PreGmRate]]+Games[[#This Row],[RatingChange]]</f>
        <v>1326.1538226747957</v>
      </c>
      <c r="AC360" s="2">
        <f>IF(Games[[#This Row],[Type]]="R",IF(Games[[#This Row],[Result]]&gt;0.5,1,0),0)</f>
        <v>0</v>
      </c>
      <c r="AD360" s="2">
        <f>IF(Games[[#This Row],[Type]]="R",IF(Games[[#This Row],[Result]]&lt;0.5,1,0),0)</f>
        <v>1</v>
      </c>
      <c r="AE360" s="2">
        <f>IF(AND(Games[[#This Row],[Type]]="P",Games[[#This Row],[Round]]=1),IF(Games[[#This Row],[Result]]&gt;0.5,1,0),0)</f>
        <v>0</v>
      </c>
      <c r="AF360" s="2">
        <f>IF(AND(Games[[#This Row],[Type]]="P",Games[[#This Row],[Round]]=1),IF(Games[[#This Row],[Result]]&lt;0.5,1,0),0)</f>
        <v>0</v>
      </c>
      <c r="AG360" s="2">
        <f>IF(AND(Games[[#This Row],[Type]]="P",Games[[#This Row],[Round]]=2),IF(Games[[#This Row],[Result]]&gt;0.5,1,0),0)</f>
        <v>0</v>
      </c>
      <c r="AH360" s="2">
        <f>IF(AND(Games[[#This Row],[Type]]="P",Games[[#This Row],[Round]]=2),IF(Games[[#This Row],[Result]]&lt;0.5,1,0),0)</f>
        <v>0</v>
      </c>
      <c r="AI360" s="2">
        <f>IF(AND(Games[[#This Row],[Type]]="P",Games[[#This Row],[Round]]=3),IF(Games[[#This Row],[Result]]&gt;0.5,1,0),0)</f>
        <v>0</v>
      </c>
      <c r="AJ360" s="2">
        <f>IF(AND(Games[[#This Row],[Type]]="P",Games[[#This Row],[Round]]=3),IF(Games[[#This Row],[Result]]&lt;0.5,1,0),0)</f>
        <v>0</v>
      </c>
      <c r="AK360" s="2">
        <f>IF(AND(Games[[#This Row],[Type]]="P",Games[[#This Row],[Round]]=4),IF(Games[[#This Row],[Result]]&gt;0.5,1,0),0)</f>
        <v>0</v>
      </c>
      <c r="AL360" s="2">
        <f>IF(AND(Games[[#This Row],[Type]]="P",Games[[#This Row],[Round]]=4),IF(Games[[#This Row],[Result]]&lt;0.5,1,0),0)</f>
        <v>0</v>
      </c>
    </row>
    <row r="361" spans="1:38" x14ac:dyDescent="0.35">
      <c r="A361" s="10">
        <v>44451</v>
      </c>
      <c r="B361" s="2">
        <v>2021</v>
      </c>
      <c r="C361" s="2">
        <f>COUNTIFS(Games[Team],Games[[#This Row],[Team]],Games[Season],Games[[#This Row],[Season]],Games[Date],"&lt;=" &amp; Games[[#This Row],[Date]])</f>
        <v>30</v>
      </c>
      <c r="D361" s="2" t="s">
        <v>79</v>
      </c>
      <c r="E361" s="2" t="s">
        <v>80</v>
      </c>
      <c r="F361" s="1" t="s">
        <v>67</v>
      </c>
      <c r="G361" s="1" t="s">
        <v>69</v>
      </c>
      <c r="H361" s="1" t="s">
        <v>82</v>
      </c>
      <c r="I361" s="2" cm="1">
        <f t="array" ref="I361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1" s="2" cm="1">
        <f t="array" ref="J36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1" s="2">
        <f>Games[[#This Row],[DaysOff]]-Games[[#This Row],[OppDaysOff]]</f>
        <v>0</v>
      </c>
      <c r="L361" s="2">
        <f>Games[[#This Row],[OppDaysOff]]-Games[[#This Row],[DaysOff]]</f>
        <v>0</v>
      </c>
      <c r="M361" s="1">
        <f>MAX(-16, MIN(16, Games[[#This Row],[RestDiff]]*8))</f>
        <v>0</v>
      </c>
      <c r="N361" s="1">
        <f>MAX(-16, MIN(16, Games[[#This Row],[OppRestDiff]]*8))</f>
        <v>0</v>
      </c>
      <c r="O361" s="4" cm="1">
        <f t="array" ref="O36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1607.2536458049942</v>
      </c>
      <c r="P361" s="4" cm="1">
        <f t="array" ref="P36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1328.8721098291417</v>
      </c>
      <c r="Q361" s="4">
        <f>1/(1+10^(((Games[[#This Row],[OppPreGmRate]]+IF(Games[[#This Row],[HomeAway]]="A",HCA,0)+Games[[#This Row],[OppRestAdj]])-(Games[[#This Row],[PreGmRate]]+IF(Games[[#This Row],[HomeAway]]="H",HCA,0)+Games[[#This Row],[RestAdj]]))/400))</f>
        <v>0.88953850607545304</v>
      </c>
      <c r="R361" s="1">
        <v>90</v>
      </c>
      <c r="S361" s="1">
        <v>80</v>
      </c>
      <c r="T361" s="1">
        <v>0</v>
      </c>
      <c r="U361" s="1">
        <f>Games[[#This Row],[PointsFor]]-Games[[#This Row],[PointsAgainst]]</f>
        <v>10</v>
      </c>
      <c r="V361" s="1">
        <f>IF(Games[[#This Row],[MOV]]&gt;0,1,IF(Games[[#This Row],[MOV]]=0,0.5,0))</f>
        <v>1</v>
      </c>
      <c r="W361" s="4">
        <f>((ABS(Games[[#This Row],[MOV]])+5)^0.6)/(12+0.01*(ABS(Games[[#This Row],[PreGmRate]]-Games[[#This Row],[OppPreGmRate]])))*IF(Games[[#This Row],[OT]]=1,0.9,1)</f>
        <v>0.34345372073629188</v>
      </c>
      <c r="X361" s="7" cm="1">
        <f t="array" ref="X36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1" s="9">
        <f>MAX(kmin, kmax - 0.15 * MIN(Games[[#This Row],[GamesPlayed]], 82))</f>
        <v>71.5</v>
      </c>
      <c r="Z361" s="4">
        <f>Games[[#This Row],[K]]*Games[[#This Row],[POMult]]</f>
        <v>71.5</v>
      </c>
      <c r="AA361" s="4">
        <f>(Games[[#This Row],[Keff]]*Games[[#This Row],[MOVMult]])*(Games[[#This Row],[Result]]-Games[[#This Row],[ExpectedWin%]])</f>
        <v>2.712596392682959</v>
      </c>
      <c r="AB361" s="4">
        <f>Games[[#This Row],[PreGmRate]]+Games[[#This Row],[RatingChange]]</f>
        <v>1609.9662421976773</v>
      </c>
      <c r="AC361" s="2">
        <f>IF(Games[[#This Row],[Type]]="R",IF(Games[[#This Row],[Result]]&gt;0.5,1,0),0)</f>
        <v>1</v>
      </c>
      <c r="AD361" s="2">
        <f>IF(Games[[#This Row],[Type]]="R",IF(Games[[#This Row],[Result]]&lt;0.5,1,0),0)</f>
        <v>0</v>
      </c>
      <c r="AE361" s="2">
        <f>IF(AND(Games[[#This Row],[Type]]="P",Games[[#This Row],[Round]]=1),IF(Games[[#This Row],[Result]]&gt;0.5,1,0),0)</f>
        <v>0</v>
      </c>
      <c r="AF361" s="2">
        <f>IF(AND(Games[[#This Row],[Type]]="P",Games[[#This Row],[Round]]=1),IF(Games[[#This Row],[Result]]&lt;0.5,1,0),0)</f>
        <v>0</v>
      </c>
      <c r="AG361" s="2">
        <f>IF(AND(Games[[#This Row],[Type]]="P",Games[[#This Row],[Round]]=2),IF(Games[[#This Row],[Result]]&gt;0.5,1,0),0)</f>
        <v>0</v>
      </c>
      <c r="AH361" s="2">
        <f>IF(AND(Games[[#This Row],[Type]]="P",Games[[#This Row],[Round]]=2),IF(Games[[#This Row],[Result]]&lt;0.5,1,0),0)</f>
        <v>0</v>
      </c>
      <c r="AI361" s="2">
        <f>IF(AND(Games[[#This Row],[Type]]="P",Games[[#This Row],[Round]]=3),IF(Games[[#This Row],[Result]]&gt;0.5,1,0),0)</f>
        <v>0</v>
      </c>
      <c r="AJ361" s="2">
        <f>IF(AND(Games[[#This Row],[Type]]="P",Games[[#This Row],[Round]]=3),IF(Games[[#This Row],[Result]]&lt;0.5,1,0),0)</f>
        <v>0</v>
      </c>
      <c r="AK361" s="2">
        <f>IF(AND(Games[[#This Row],[Type]]="P",Games[[#This Row],[Round]]=4),IF(Games[[#This Row],[Result]]&gt;0.5,1,0),0)</f>
        <v>0</v>
      </c>
      <c r="AL361" s="2">
        <f>IF(AND(Games[[#This Row],[Type]]="P",Games[[#This Row],[Round]]=4),IF(Games[[#This Row],[Result]]&lt;0.5,1,0),0)</f>
        <v>0</v>
      </c>
    </row>
    <row r="362" spans="1:38" x14ac:dyDescent="0.35">
      <c r="A362" s="10">
        <v>44452</v>
      </c>
      <c r="B362" s="2">
        <v>2021</v>
      </c>
      <c r="C362" s="2">
        <f>COUNTIFS(Games[Team],Games[[#This Row],[Team]],Games[Season],Games[[#This Row],[Season]],Games[Date],"&lt;=" &amp; Games[[#This Row],[Date]])</f>
        <v>31</v>
      </c>
      <c r="D362" s="2" t="s">
        <v>79</v>
      </c>
      <c r="E362" s="2" t="s">
        <v>80</v>
      </c>
      <c r="F362" s="1" t="s">
        <v>84</v>
      </c>
      <c r="G362" s="1" t="s">
        <v>85</v>
      </c>
      <c r="H362" s="1" t="s">
        <v>81</v>
      </c>
      <c r="I362" s="2" cm="1">
        <f t="array" ref="I362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2" s="2" cm="1">
        <f t="array" ref="J362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62" s="2">
        <f>Games[[#This Row],[DaysOff]]-Games[[#This Row],[OppDaysOff]]</f>
        <v>-3</v>
      </c>
      <c r="L362" s="2">
        <f>Games[[#This Row],[OppDaysOff]]-Games[[#This Row],[DaysOff]]</f>
        <v>3</v>
      </c>
      <c r="M362" s="1">
        <f>MAX(-16, MIN(16, Games[[#This Row],[RestDiff]]*8))</f>
        <v>-16</v>
      </c>
      <c r="N362" s="1">
        <f>MAX(-16, MIN(16, Games[[#This Row],[OppRestDiff]]*8))</f>
        <v>16</v>
      </c>
      <c r="O362" s="4" cm="1">
        <f t="array" ref="O36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1447.8948328753886</v>
      </c>
      <c r="P362" s="4" cm="1">
        <f t="array" ref="P36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1649.5464514997009</v>
      </c>
      <c r="Q362" s="4">
        <f>1/(1+10^(((Games[[#This Row],[OppPreGmRate]]+IF(Games[[#This Row],[HomeAway]]="A",HCA,0)+Games[[#This Row],[OppRestAdj]])-(Games[[#This Row],[PreGmRate]]+IF(Games[[#This Row],[HomeAway]]="H",HCA,0)+Games[[#This Row],[RestAdj]]))/400))</f>
        <v>0.13841113529267784</v>
      </c>
      <c r="R362" s="1">
        <v>75</v>
      </c>
      <c r="S362" s="1">
        <v>85</v>
      </c>
      <c r="T362" s="1">
        <v>0</v>
      </c>
      <c r="U362" s="1">
        <f>Games[[#This Row],[PointsFor]]-Games[[#This Row],[PointsAgainst]]</f>
        <v>-10</v>
      </c>
      <c r="V362" s="1">
        <f>IF(Games[[#This Row],[MOV]]&gt;0,1,IF(Games[[#This Row],[MOV]]=0,0.5,0))</f>
        <v>0</v>
      </c>
      <c r="W362" s="4">
        <f>((ABS(Games[[#This Row],[MOV]])+5)^0.6)/(12+0.01*(ABS(Games[[#This Row],[PreGmRate]]-Games[[#This Row],[OppPreGmRate]])))*IF(Games[[#This Row],[OT]]=1,0.9,1)</f>
        <v>0.36225523693047978</v>
      </c>
      <c r="X362" s="7" cm="1">
        <f t="array" ref="X36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2" s="9">
        <f>MAX(kmin, kmax - 0.15 * MIN(Games[[#This Row],[GamesPlayed]], 82))</f>
        <v>71.349999999999994</v>
      </c>
      <c r="Z362" s="4">
        <f>Games[[#This Row],[K]]*Games[[#This Row],[POMult]]</f>
        <v>71.349999999999994</v>
      </c>
      <c r="AA362" s="4">
        <f>(Games[[#This Row],[Keff]]*Games[[#This Row],[MOVMult]])*(Games[[#This Row],[Result]]-Games[[#This Row],[ExpectedWin%]])</f>
        <v>-3.5775003167711077</v>
      </c>
      <c r="AB362" s="4">
        <f>Games[[#This Row],[PreGmRate]]+Games[[#This Row],[RatingChange]]</f>
        <v>1444.3173325586174</v>
      </c>
      <c r="AC362" s="2">
        <f>IF(Games[[#This Row],[Type]]="R",IF(Games[[#This Row],[Result]]&gt;0.5,1,0),0)</f>
        <v>0</v>
      </c>
      <c r="AD362" s="2">
        <f>IF(Games[[#This Row],[Type]]="R",IF(Games[[#This Row],[Result]]&lt;0.5,1,0),0)</f>
        <v>1</v>
      </c>
      <c r="AE362" s="2">
        <f>IF(AND(Games[[#This Row],[Type]]="P",Games[[#This Row],[Round]]=1),IF(Games[[#This Row],[Result]]&gt;0.5,1,0),0)</f>
        <v>0</v>
      </c>
      <c r="AF362" s="2">
        <f>IF(AND(Games[[#This Row],[Type]]="P",Games[[#This Row],[Round]]=1),IF(Games[[#This Row],[Result]]&lt;0.5,1,0),0)</f>
        <v>0</v>
      </c>
      <c r="AG362" s="2">
        <f>IF(AND(Games[[#This Row],[Type]]="P",Games[[#This Row],[Round]]=2),IF(Games[[#This Row],[Result]]&gt;0.5,1,0),0)</f>
        <v>0</v>
      </c>
      <c r="AH362" s="2">
        <f>IF(AND(Games[[#This Row],[Type]]="P",Games[[#This Row],[Round]]=2),IF(Games[[#This Row],[Result]]&lt;0.5,1,0),0)</f>
        <v>0</v>
      </c>
      <c r="AI362" s="2">
        <f>IF(AND(Games[[#This Row],[Type]]="P",Games[[#This Row],[Round]]=3),IF(Games[[#This Row],[Result]]&gt;0.5,1,0),0)</f>
        <v>0</v>
      </c>
      <c r="AJ362" s="2">
        <f>IF(AND(Games[[#This Row],[Type]]="P",Games[[#This Row],[Round]]=3),IF(Games[[#This Row],[Result]]&lt;0.5,1,0),0)</f>
        <v>0</v>
      </c>
      <c r="AK362" s="2">
        <f>IF(AND(Games[[#This Row],[Type]]="P",Games[[#This Row],[Round]]=4),IF(Games[[#This Row],[Result]]&gt;0.5,1,0),0)</f>
        <v>0</v>
      </c>
      <c r="AL362" s="2">
        <f>IF(AND(Games[[#This Row],[Type]]="P",Games[[#This Row],[Round]]=4),IF(Games[[#This Row],[Result]]&lt;0.5,1,0),0)</f>
        <v>0</v>
      </c>
    </row>
    <row r="363" spans="1:38" x14ac:dyDescent="0.35">
      <c r="A363" s="10">
        <v>44452</v>
      </c>
      <c r="B363" s="2">
        <v>2021</v>
      </c>
      <c r="C363" s="2">
        <f>COUNTIFS(Games[Team],Games[[#This Row],[Team]],Games[Season],Games[[#This Row],[Season]],Games[Date],"&lt;=" &amp; Games[[#This Row],[Date]])</f>
        <v>30</v>
      </c>
      <c r="D363" s="2" t="s">
        <v>79</v>
      </c>
      <c r="E363" s="2" t="s">
        <v>80</v>
      </c>
      <c r="F363" s="1" t="s">
        <v>85</v>
      </c>
      <c r="G363" s="1" t="s">
        <v>84</v>
      </c>
      <c r="H363" s="1" t="s">
        <v>82</v>
      </c>
      <c r="I363" s="2" cm="1">
        <f t="array" ref="I363">IFERROR(
    Games[[#This Row],[Date]]
    - LOOKUP(
        2,
        1/((Games[Team]=Games[[#This Row],[Team]]) * (Games[Date] &lt; Games[[#This Row],[Date]])),
        Games[Date]
    )
    - 1,
Games[[#This Row],[Date]]-$A$2)</f>
        <v>4</v>
      </c>
      <c r="J363" s="2" cm="1">
        <f t="array" ref="J36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3" s="2">
        <f>Games[[#This Row],[DaysOff]]-Games[[#This Row],[OppDaysOff]]</f>
        <v>3</v>
      </c>
      <c r="L363" s="2">
        <f>Games[[#This Row],[OppDaysOff]]-Games[[#This Row],[DaysOff]]</f>
        <v>-3</v>
      </c>
      <c r="M363" s="1">
        <f>MAX(-16, MIN(16, Games[[#This Row],[RestDiff]]*8))</f>
        <v>16</v>
      </c>
      <c r="N363" s="1">
        <f>MAX(-16, MIN(16, Games[[#This Row],[OppRestDiff]]*8))</f>
        <v>-16</v>
      </c>
      <c r="O363" s="4" cm="1">
        <f t="array" ref="O36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1649.5464514997009</v>
      </c>
      <c r="P363" s="4" cm="1">
        <f t="array" ref="P36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1447.8948328753886</v>
      </c>
      <c r="Q363" s="4">
        <f>1/(1+10^(((Games[[#This Row],[OppPreGmRate]]+IF(Games[[#This Row],[HomeAway]]="A",HCA,0)+Games[[#This Row],[OppRestAdj]])-(Games[[#This Row],[PreGmRate]]+IF(Games[[#This Row],[HomeAway]]="H",HCA,0)+Games[[#This Row],[RestAdj]]))/400))</f>
        <v>0.86158886470732221</v>
      </c>
      <c r="R363" s="1">
        <v>85</v>
      </c>
      <c r="S363" s="1">
        <v>75</v>
      </c>
      <c r="T363" s="1">
        <v>0</v>
      </c>
      <c r="U363" s="1">
        <f>Games[[#This Row],[PointsFor]]-Games[[#This Row],[PointsAgainst]]</f>
        <v>10</v>
      </c>
      <c r="V363" s="1">
        <f>IF(Games[[#This Row],[MOV]]&gt;0,1,IF(Games[[#This Row],[MOV]]=0,0.5,0))</f>
        <v>1</v>
      </c>
      <c r="W363" s="4">
        <f>((ABS(Games[[#This Row],[MOV]])+5)^0.6)/(12+0.01*(ABS(Games[[#This Row],[PreGmRate]]-Games[[#This Row],[OppPreGmRate]])))*IF(Games[[#This Row],[OT]]=1,0.9,1)</f>
        <v>0.36225523693047978</v>
      </c>
      <c r="X363" s="7" cm="1">
        <f t="array" ref="X36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3" s="9">
        <f>MAX(kmin, kmax - 0.15 * MIN(Games[[#This Row],[GamesPlayed]], 82))</f>
        <v>71.5</v>
      </c>
      <c r="Z363" s="4">
        <f>Games[[#This Row],[K]]*Games[[#This Row],[POMult]]</f>
        <v>71.5</v>
      </c>
      <c r="AA363" s="4">
        <f>(Games[[#This Row],[Keff]]*Games[[#This Row],[MOVMult]])*(Games[[#This Row],[Result]]-Games[[#This Row],[ExpectedWin%]])</f>
        <v>3.5850213405624967</v>
      </c>
      <c r="AB363" s="4">
        <f>Games[[#This Row],[PreGmRate]]+Games[[#This Row],[RatingChange]]</f>
        <v>1653.1314728402633</v>
      </c>
      <c r="AC363" s="2">
        <f>IF(Games[[#This Row],[Type]]="R",IF(Games[[#This Row],[Result]]&gt;0.5,1,0),0)</f>
        <v>1</v>
      </c>
      <c r="AD363" s="2">
        <f>IF(Games[[#This Row],[Type]]="R",IF(Games[[#This Row],[Result]]&lt;0.5,1,0),0)</f>
        <v>0</v>
      </c>
      <c r="AE363" s="2">
        <f>IF(AND(Games[[#This Row],[Type]]="P",Games[[#This Row],[Round]]=1),IF(Games[[#This Row],[Result]]&gt;0.5,1,0),0)</f>
        <v>0</v>
      </c>
      <c r="AF363" s="2">
        <f>IF(AND(Games[[#This Row],[Type]]="P",Games[[#This Row],[Round]]=1),IF(Games[[#This Row],[Result]]&lt;0.5,1,0),0)</f>
        <v>0</v>
      </c>
      <c r="AG363" s="2">
        <f>IF(AND(Games[[#This Row],[Type]]="P",Games[[#This Row],[Round]]=2),IF(Games[[#This Row],[Result]]&gt;0.5,1,0),0)</f>
        <v>0</v>
      </c>
      <c r="AH363" s="2">
        <f>IF(AND(Games[[#This Row],[Type]]="P",Games[[#This Row],[Round]]=2),IF(Games[[#This Row],[Result]]&lt;0.5,1,0),0)</f>
        <v>0</v>
      </c>
      <c r="AI363" s="2">
        <f>IF(AND(Games[[#This Row],[Type]]="P",Games[[#This Row],[Round]]=3),IF(Games[[#This Row],[Result]]&gt;0.5,1,0),0)</f>
        <v>0</v>
      </c>
      <c r="AJ363" s="2">
        <f>IF(AND(Games[[#This Row],[Type]]="P",Games[[#This Row],[Round]]=3),IF(Games[[#This Row],[Result]]&lt;0.5,1,0),0)</f>
        <v>0</v>
      </c>
      <c r="AK363" s="2">
        <f>IF(AND(Games[[#This Row],[Type]]="P",Games[[#This Row],[Round]]=4),IF(Games[[#This Row],[Result]]&gt;0.5,1,0),0)</f>
        <v>0</v>
      </c>
      <c r="AL363" s="2">
        <f>IF(AND(Games[[#This Row],[Type]]="P",Games[[#This Row],[Round]]=4),IF(Games[[#This Row],[Result]]&lt;0.5,1,0),0)</f>
        <v>0</v>
      </c>
    </row>
    <row r="364" spans="1:38" x14ac:dyDescent="0.35">
      <c r="A364" s="10">
        <v>44453</v>
      </c>
      <c r="B364" s="2">
        <v>2021</v>
      </c>
      <c r="C364" s="2">
        <f>COUNTIFS(Games[Team],Games[[#This Row],[Team]],Games[Season],Games[[#This Row],[Season]],Games[Date],"&lt;=" &amp; Games[[#This Row],[Date]])</f>
        <v>30</v>
      </c>
      <c r="D364" s="2" t="s">
        <v>79</v>
      </c>
      <c r="E364" s="2" t="s">
        <v>80</v>
      </c>
      <c r="F364" s="1" t="s">
        <v>69</v>
      </c>
      <c r="G364" s="1" t="s">
        <v>77</v>
      </c>
      <c r="H364" s="1" t="s">
        <v>81</v>
      </c>
      <c r="I364" s="2" cm="1">
        <f t="array" ref="I36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4" s="2" cm="1">
        <f t="array" ref="J364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4" s="2">
        <f>Games[[#This Row],[DaysOff]]-Games[[#This Row],[OppDaysOff]]</f>
        <v>-2</v>
      </c>
      <c r="L364" s="2">
        <f>Games[[#This Row],[OppDaysOff]]-Games[[#This Row],[DaysOff]]</f>
        <v>2</v>
      </c>
      <c r="M364" s="1">
        <f>MAX(-16, MIN(16, Games[[#This Row],[RestDiff]]*8))</f>
        <v>-16</v>
      </c>
      <c r="N364" s="1">
        <f>MAX(-16, MIN(16, Games[[#This Row],[OppRestDiff]]*8))</f>
        <v>16</v>
      </c>
      <c r="O364" s="4" cm="1">
        <f t="array" ref="O36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1326.1538226747957</v>
      </c>
      <c r="P364" s="4" cm="1">
        <f t="array" ref="P36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1328.048234115013</v>
      </c>
      <c r="Q364" s="4">
        <f>1/(1+10^(((Games[[#This Row],[OppPreGmRate]]+IF(Games[[#This Row],[HomeAway]]="A",HCA,0)+Games[[#This Row],[OppRestAdj]])-(Games[[#This Row],[PreGmRate]]+IF(Games[[#This Row],[HomeAway]]="H",HCA,0)+Games[[#This Row],[RestAdj]]))/400))</f>
        <v>0.33656160656270867</v>
      </c>
      <c r="R364" s="1">
        <v>78</v>
      </c>
      <c r="S364" s="1">
        <v>85</v>
      </c>
      <c r="T364" s="1">
        <v>0</v>
      </c>
      <c r="U364" s="1">
        <f>Games[[#This Row],[PointsFor]]-Games[[#This Row],[PointsAgainst]]</f>
        <v>-7</v>
      </c>
      <c r="V364" s="1">
        <f>IF(Games[[#This Row],[MOV]]&gt;0,1,IF(Games[[#This Row],[MOV]]=0,0.5,0))</f>
        <v>0</v>
      </c>
      <c r="W364" s="4">
        <f>((ABS(Games[[#This Row],[MOV]])+5)^0.6)/(12+0.01*(ABS(Games[[#This Row],[PreGmRate]]-Games[[#This Row],[OppPreGmRate]])))*IF(Games[[#This Row],[OT]]=1,0.9,1)</f>
        <v>0.36952381403653373</v>
      </c>
      <c r="X364" s="7" cm="1">
        <f t="array" ref="X36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4" s="9">
        <f>MAX(kmin, kmax - 0.15 * MIN(Games[[#This Row],[GamesPlayed]], 82))</f>
        <v>71.5</v>
      </c>
      <c r="Z364" s="4">
        <f>Games[[#This Row],[K]]*Games[[#This Row],[POMult]]</f>
        <v>71.5</v>
      </c>
      <c r="AA364" s="4">
        <f>(Games[[#This Row],[Keff]]*Games[[#This Row],[MOVMult]])*(Games[[#This Row],[Result]]-Games[[#This Row],[ExpectedWin%]])</f>
        <v>-8.8922782888450502</v>
      </c>
      <c r="AB364" s="4">
        <f>Games[[#This Row],[PreGmRate]]+Games[[#This Row],[RatingChange]]</f>
        <v>1317.2615443859506</v>
      </c>
      <c r="AC364" s="2">
        <f>IF(Games[[#This Row],[Type]]="R",IF(Games[[#This Row],[Result]]&gt;0.5,1,0),0)</f>
        <v>0</v>
      </c>
      <c r="AD364" s="2">
        <f>IF(Games[[#This Row],[Type]]="R",IF(Games[[#This Row],[Result]]&lt;0.5,1,0),0)</f>
        <v>1</v>
      </c>
      <c r="AE364" s="2">
        <f>IF(AND(Games[[#This Row],[Type]]="P",Games[[#This Row],[Round]]=1),IF(Games[[#This Row],[Result]]&gt;0.5,1,0),0)</f>
        <v>0</v>
      </c>
      <c r="AF364" s="2">
        <f>IF(AND(Games[[#This Row],[Type]]="P",Games[[#This Row],[Round]]=1),IF(Games[[#This Row],[Result]]&lt;0.5,1,0),0)</f>
        <v>0</v>
      </c>
      <c r="AG364" s="2">
        <f>IF(AND(Games[[#This Row],[Type]]="P",Games[[#This Row],[Round]]=2),IF(Games[[#This Row],[Result]]&gt;0.5,1,0),0)</f>
        <v>0</v>
      </c>
      <c r="AH364" s="2">
        <f>IF(AND(Games[[#This Row],[Type]]="P",Games[[#This Row],[Round]]=2),IF(Games[[#This Row],[Result]]&lt;0.5,1,0),0)</f>
        <v>0</v>
      </c>
      <c r="AI364" s="2">
        <f>IF(AND(Games[[#This Row],[Type]]="P",Games[[#This Row],[Round]]=3),IF(Games[[#This Row],[Result]]&gt;0.5,1,0),0)</f>
        <v>0</v>
      </c>
      <c r="AJ364" s="2">
        <f>IF(AND(Games[[#This Row],[Type]]="P",Games[[#This Row],[Round]]=3),IF(Games[[#This Row],[Result]]&lt;0.5,1,0),0)</f>
        <v>0</v>
      </c>
      <c r="AK364" s="2">
        <f>IF(AND(Games[[#This Row],[Type]]="P",Games[[#This Row],[Round]]=4),IF(Games[[#This Row],[Result]]&gt;0.5,1,0),0)</f>
        <v>0</v>
      </c>
      <c r="AL364" s="2">
        <f>IF(AND(Games[[#This Row],[Type]]="P",Games[[#This Row],[Round]]=4),IF(Games[[#This Row],[Result]]&lt;0.5,1,0),0)</f>
        <v>0</v>
      </c>
    </row>
    <row r="365" spans="1:38" x14ac:dyDescent="0.35">
      <c r="A365" s="10">
        <v>44453</v>
      </c>
      <c r="B365" s="2">
        <v>2021</v>
      </c>
      <c r="C365" s="2">
        <f>COUNTIFS(Games[Team],Games[[#This Row],[Team]],Games[Season],Games[[#This Row],[Season]],Games[Date],"&lt;=" &amp; Games[[#This Row],[Date]])</f>
        <v>30</v>
      </c>
      <c r="D365" s="2" t="s">
        <v>79</v>
      </c>
      <c r="E365" s="2" t="s">
        <v>80</v>
      </c>
      <c r="F365" s="1" t="s">
        <v>77</v>
      </c>
      <c r="G365" s="1" t="s">
        <v>69</v>
      </c>
      <c r="H365" s="1" t="s">
        <v>82</v>
      </c>
      <c r="I365" s="2" cm="1">
        <f t="array" ref="I365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5" s="2" cm="1">
        <f t="array" ref="J36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5" s="2">
        <f>Games[[#This Row],[DaysOff]]-Games[[#This Row],[OppDaysOff]]</f>
        <v>2</v>
      </c>
      <c r="L365" s="2">
        <f>Games[[#This Row],[OppDaysOff]]-Games[[#This Row],[DaysOff]]</f>
        <v>-2</v>
      </c>
      <c r="M365" s="1">
        <f>MAX(-16, MIN(16, Games[[#This Row],[RestDiff]]*8))</f>
        <v>16</v>
      </c>
      <c r="N365" s="1">
        <f>MAX(-16, MIN(16, Games[[#This Row],[OppRestDiff]]*8))</f>
        <v>-16</v>
      </c>
      <c r="O365" s="4" cm="1">
        <f t="array" ref="O36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1328.048234115013</v>
      </c>
      <c r="P365" s="4" cm="1">
        <f t="array" ref="P36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1326.1538226747957</v>
      </c>
      <c r="Q365" s="4">
        <f>1/(1+10^(((Games[[#This Row],[OppPreGmRate]]+IF(Games[[#This Row],[HomeAway]]="A",HCA,0)+Games[[#This Row],[OppRestAdj]])-(Games[[#This Row],[PreGmRate]]+IF(Games[[#This Row],[HomeAway]]="H",HCA,0)+Games[[#This Row],[RestAdj]]))/400))</f>
        <v>0.66343839343729138</v>
      </c>
      <c r="R365" s="1">
        <v>85</v>
      </c>
      <c r="S365" s="1">
        <v>78</v>
      </c>
      <c r="T365" s="1">
        <v>0</v>
      </c>
      <c r="U365" s="1">
        <f>Games[[#This Row],[PointsFor]]-Games[[#This Row],[PointsAgainst]]</f>
        <v>7</v>
      </c>
      <c r="V365" s="1">
        <f>IF(Games[[#This Row],[MOV]]&gt;0,1,IF(Games[[#This Row],[MOV]]=0,0.5,0))</f>
        <v>1</v>
      </c>
      <c r="W365" s="4">
        <f>((ABS(Games[[#This Row],[MOV]])+5)^0.6)/(12+0.01*(ABS(Games[[#This Row],[PreGmRate]]-Games[[#This Row],[OppPreGmRate]])))*IF(Games[[#This Row],[OT]]=1,0.9,1)</f>
        <v>0.36952381403653373</v>
      </c>
      <c r="X365" s="7" cm="1">
        <f t="array" ref="X36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5" s="9">
        <f>MAX(kmin, kmax - 0.15 * MIN(Games[[#This Row],[GamesPlayed]], 82))</f>
        <v>71.5</v>
      </c>
      <c r="Z365" s="4">
        <f>Games[[#This Row],[K]]*Games[[#This Row],[POMult]]</f>
        <v>71.5</v>
      </c>
      <c r="AA365" s="4">
        <f>(Games[[#This Row],[Keff]]*Games[[#This Row],[MOVMult]])*(Games[[#This Row],[Result]]-Games[[#This Row],[ExpectedWin%]])</f>
        <v>8.8922782888450485</v>
      </c>
      <c r="AB365" s="4">
        <f>Games[[#This Row],[PreGmRate]]+Games[[#This Row],[RatingChange]]</f>
        <v>1336.9405124038581</v>
      </c>
      <c r="AC365" s="2">
        <f>IF(Games[[#This Row],[Type]]="R",IF(Games[[#This Row],[Result]]&gt;0.5,1,0),0)</f>
        <v>1</v>
      </c>
      <c r="AD365" s="2">
        <f>IF(Games[[#This Row],[Type]]="R",IF(Games[[#This Row],[Result]]&lt;0.5,1,0),0)</f>
        <v>0</v>
      </c>
      <c r="AE365" s="2">
        <f>IF(AND(Games[[#This Row],[Type]]="P",Games[[#This Row],[Round]]=1),IF(Games[[#This Row],[Result]]&gt;0.5,1,0),0)</f>
        <v>0</v>
      </c>
      <c r="AF365" s="2">
        <f>IF(AND(Games[[#This Row],[Type]]="P",Games[[#This Row],[Round]]=1),IF(Games[[#This Row],[Result]]&lt;0.5,1,0),0)</f>
        <v>0</v>
      </c>
      <c r="AG365" s="2">
        <f>IF(AND(Games[[#This Row],[Type]]="P",Games[[#This Row],[Round]]=2),IF(Games[[#This Row],[Result]]&gt;0.5,1,0),0)</f>
        <v>0</v>
      </c>
      <c r="AH365" s="2">
        <f>IF(AND(Games[[#This Row],[Type]]="P",Games[[#This Row],[Round]]=2),IF(Games[[#This Row],[Result]]&lt;0.5,1,0),0)</f>
        <v>0</v>
      </c>
      <c r="AI365" s="2">
        <f>IF(AND(Games[[#This Row],[Type]]="P",Games[[#This Row],[Round]]=3),IF(Games[[#This Row],[Result]]&gt;0.5,1,0),0)</f>
        <v>0</v>
      </c>
      <c r="AJ365" s="2">
        <f>IF(AND(Games[[#This Row],[Type]]="P",Games[[#This Row],[Round]]=3),IF(Games[[#This Row],[Result]]&lt;0.5,1,0),0)</f>
        <v>0</v>
      </c>
      <c r="AK365" s="2">
        <f>IF(AND(Games[[#This Row],[Type]]="P",Games[[#This Row],[Round]]=4),IF(Games[[#This Row],[Result]]&gt;0.5,1,0),0)</f>
        <v>0</v>
      </c>
      <c r="AL365" s="2">
        <f>IF(AND(Games[[#This Row],[Type]]="P",Games[[#This Row],[Round]]=4),IF(Games[[#This Row],[Result]]&lt;0.5,1,0),0)</f>
        <v>0</v>
      </c>
    </row>
    <row r="366" spans="1:38" x14ac:dyDescent="0.35">
      <c r="A366" s="10">
        <v>44454</v>
      </c>
      <c r="B366" s="2">
        <v>2021</v>
      </c>
      <c r="C366" s="2">
        <f>COUNTIFS(Games[Team],Games[[#This Row],[Team]],Games[Season],Games[[#This Row],[Season]],Games[Date],"&lt;=" &amp; Games[[#This Row],[Date]])</f>
        <v>31</v>
      </c>
      <c r="D366" s="2" t="s">
        <v>79</v>
      </c>
      <c r="E366" s="2" t="s">
        <v>80</v>
      </c>
      <c r="F366" s="1" t="s">
        <v>60</v>
      </c>
      <c r="G366" s="1" t="s">
        <v>74</v>
      </c>
      <c r="H366" s="1" t="s">
        <v>81</v>
      </c>
      <c r="I366" s="2" cm="1">
        <f t="array" ref="I366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6" s="2" cm="1">
        <f t="array" ref="J366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6" s="2">
        <f>Games[[#This Row],[DaysOff]]-Games[[#This Row],[OppDaysOff]]</f>
        <v>0</v>
      </c>
      <c r="L366" s="2">
        <f>Games[[#This Row],[OppDaysOff]]-Games[[#This Row],[DaysOff]]</f>
        <v>0</v>
      </c>
      <c r="M366" s="1">
        <f>MAX(-16, MIN(16, Games[[#This Row],[RestDiff]]*8))</f>
        <v>0</v>
      </c>
      <c r="N366" s="1">
        <f>MAX(-16, MIN(16, Games[[#This Row],[OppRestDiff]]*8))</f>
        <v>0</v>
      </c>
      <c r="O366" s="4" cm="1">
        <f t="array" ref="O36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1350.6327298914282</v>
      </c>
      <c r="P366" s="4" cm="1">
        <f t="array" ref="P36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1697.8040682277076</v>
      </c>
      <c r="Q366" s="4">
        <f>1/(1+10^(((Games[[#This Row],[OppPreGmRate]]+IF(Games[[#This Row],[HomeAway]]="A",HCA,0)+Games[[#This Row],[OppRestAdj]])-(Games[[#This Row],[PreGmRate]]+IF(Games[[#This Row],[HomeAway]]="H",HCA,0)+Games[[#This Row],[RestAdj]]))/400))</f>
        <v>7.7128172741759926E-2</v>
      </c>
      <c r="R366" s="1">
        <v>69</v>
      </c>
      <c r="S366" s="1">
        <v>98</v>
      </c>
      <c r="T366" s="1">
        <v>0</v>
      </c>
      <c r="U366" s="1">
        <f>Games[[#This Row],[PointsFor]]-Games[[#This Row],[PointsAgainst]]</f>
        <v>-29</v>
      </c>
      <c r="V366" s="1">
        <f>IF(Games[[#This Row],[MOV]]&gt;0,1,IF(Games[[#This Row],[MOV]]=0,0.5,0))</f>
        <v>0</v>
      </c>
      <c r="W366" s="4">
        <f>((ABS(Games[[#This Row],[MOV]])+5)^0.6)/(12+0.01*(ABS(Games[[#This Row],[PreGmRate]]-Games[[#This Row],[OppPreGmRate]])))*IF(Games[[#This Row],[OT]]=1,0.9,1)</f>
        <v>0.53622732237611226</v>
      </c>
      <c r="X366" s="7" cm="1">
        <f t="array" ref="X36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6" s="9">
        <f>MAX(kmin, kmax - 0.15 * MIN(Games[[#This Row],[GamesPlayed]], 82))</f>
        <v>71.349999999999994</v>
      </c>
      <c r="Z366" s="4">
        <f>Games[[#This Row],[K]]*Games[[#This Row],[POMult]]</f>
        <v>71.349999999999994</v>
      </c>
      <c r="AA366" s="4">
        <f>(Games[[#This Row],[Keff]]*Games[[#This Row],[MOVMult]])*(Games[[#This Row],[Result]]-Games[[#This Row],[ExpectedWin%]])</f>
        <v>-2.9509099637265845</v>
      </c>
      <c r="AB366" s="4">
        <f>Games[[#This Row],[PreGmRate]]+Games[[#This Row],[RatingChange]]</f>
        <v>1347.6818199277016</v>
      </c>
      <c r="AC366" s="2">
        <f>IF(Games[[#This Row],[Type]]="R",IF(Games[[#This Row],[Result]]&gt;0.5,1,0),0)</f>
        <v>0</v>
      </c>
      <c r="AD366" s="2">
        <f>IF(Games[[#This Row],[Type]]="R",IF(Games[[#This Row],[Result]]&lt;0.5,1,0),0)</f>
        <v>1</v>
      </c>
      <c r="AE366" s="2">
        <f>IF(AND(Games[[#This Row],[Type]]="P",Games[[#This Row],[Round]]=1),IF(Games[[#This Row],[Result]]&gt;0.5,1,0),0)</f>
        <v>0</v>
      </c>
      <c r="AF366" s="2">
        <f>IF(AND(Games[[#This Row],[Type]]="P",Games[[#This Row],[Round]]=1),IF(Games[[#This Row],[Result]]&lt;0.5,1,0),0)</f>
        <v>0</v>
      </c>
      <c r="AG366" s="2">
        <f>IF(AND(Games[[#This Row],[Type]]="P",Games[[#This Row],[Round]]=2),IF(Games[[#This Row],[Result]]&gt;0.5,1,0),0)</f>
        <v>0</v>
      </c>
      <c r="AH366" s="2">
        <f>IF(AND(Games[[#This Row],[Type]]="P",Games[[#This Row],[Round]]=2),IF(Games[[#This Row],[Result]]&lt;0.5,1,0),0)</f>
        <v>0</v>
      </c>
      <c r="AI366" s="2">
        <f>IF(AND(Games[[#This Row],[Type]]="P",Games[[#This Row],[Round]]=3),IF(Games[[#This Row],[Result]]&gt;0.5,1,0),0)</f>
        <v>0</v>
      </c>
      <c r="AJ366" s="2">
        <f>IF(AND(Games[[#This Row],[Type]]="P",Games[[#This Row],[Round]]=3),IF(Games[[#This Row],[Result]]&lt;0.5,1,0),0)</f>
        <v>0</v>
      </c>
      <c r="AK366" s="2">
        <f>IF(AND(Games[[#This Row],[Type]]="P",Games[[#This Row],[Round]]=4),IF(Games[[#This Row],[Result]]&gt;0.5,1,0),0)</f>
        <v>0</v>
      </c>
      <c r="AL366" s="2">
        <f>IF(AND(Games[[#This Row],[Type]]="P",Games[[#This Row],[Round]]=4),IF(Games[[#This Row],[Result]]&lt;0.5,1,0),0)</f>
        <v>0</v>
      </c>
    </row>
    <row r="367" spans="1:38" x14ac:dyDescent="0.35">
      <c r="A367" s="10">
        <v>44454</v>
      </c>
      <c r="B367" s="2">
        <v>2021</v>
      </c>
      <c r="C367" s="2">
        <f>COUNTIFS(Games[Team],Games[[#This Row],[Team]],Games[Season],Games[[#This Row],[Season]],Games[Date],"&lt;=" &amp; Games[[#This Row],[Date]])</f>
        <v>32</v>
      </c>
      <c r="D367" s="2" t="s">
        <v>79</v>
      </c>
      <c r="E367" s="2" t="s">
        <v>80</v>
      </c>
      <c r="F367" s="1" t="s">
        <v>74</v>
      </c>
      <c r="G367" s="1" t="s">
        <v>60</v>
      </c>
      <c r="H367" s="1" t="s">
        <v>82</v>
      </c>
      <c r="I367" s="2" cm="1">
        <f t="array" ref="I367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7" s="2" cm="1">
        <f t="array" ref="J367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7" s="2">
        <f>Games[[#This Row],[DaysOff]]-Games[[#This Row],[OppDaysOff]]</f>
        <v>0</v>
      </c>
      <c r="L367" s="2">
        <f>Games[[#This Row],[OppDaysOff]]-Games[[#This Row],[DaysOff]]</f>
        <v>0</v>
      </c>
      <c r="M367" s="1">
        <f>MAX(-16, MIN(16, Games[[#This Row],[RestDiff]]*8))</f>
        <v>0</v>
      </c>
      <c r="N367" s="1">
        <f>MAX(-16, MIN(16, Games[[#This Row],[OppRestDiff]]*8))</f>
        <v>0</v>
      </c>
      <c r="O367" s="4" cm="1">
        <f t="array" ref="O36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1697.8040682277076</v>
      </c>
      <c r="P367" s="4" cm="1">
        <f t="array" ref="P36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1350.6327298914282</v>
      </c>
      <c r="Q367" s="4">
        <f>1/(1+10^(((Games[[#This Row],[OppPreGmRate]]+IF(Games[[#This Row],[HomeAway]]="A",HCA,0)+Games[[#This Row],[OppRestAdj]])-(Games[[#This Row],[PreGmRate]]+IF(Games[[#This Row],[HomeAway]]="H",HCA,0)+Games[[#This Row],[RestAdj]]))/400))</f>
        <v>0.92287182725824002</v>
      </c>
      <c r="R367" s="1">
        <v>98</v>
      </c>
      <c r="S367" s="1">
        <v>69</v>
      </c>
      <c r="T367" s="1">
        <v>0</v>
      </c>
      <c r="U367" s="1">
        <f>Games[[#This Row],[PointsFor]]-Games[[#This Row],[PointsAgainst]]</f>
        <v>29</v>
      </c>
      <c r="V367" s="1">
        <f>IF(Games[[#This Row],[MOV]]&gt;0,1,IF(Games[[#This Row],[MOV]]=0,0.5,0))</f>
        <v>1</v>
      </c>
      <c r="W367" s="4">
        <f>((ABS(Games[[#This Row],[MOV]])+5)^0.6)/(12+0.01*(ABS(Games[[#This Row],[PreGmRate]]-Games[[#This Row],[OppPreGmRate]])))*IF(Games[[#This Row],[OT]]=1,0.9,1)</f>
        <v>0.53622732237611226</v>
      </c>
      <c r="X367" s="7" cm="1">
        <f t="array" ref="X36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7" s="9">
        <f>MAX(kmin, kmax - 0.15 * MIN(Games[[#This Row],[GamesPlayed]], 82))</f>
        <v>71.2</v>
      </c>
      <c r="Z367" s="4">
        <f>Games[[#This Row],[K]]*Games[[#This Row],[POMult]]</f>
        <v>71.2</v>
      </c>
      <c r="AA367" s="4">
        <f>(Games[[#This Row],[Keff]]*Games[[#This Row],[MOVMult]])*(Games[[#This Row],[Result]]-Games[[#This Row],[ExpectedWin%]])</f>
        <v>2.9447062286942258</v>
      </c>
      <c r="AB367" s="4">
        <f>Games[[#This Row],[PreGmRate]]+Games[[#This Row],[RatingChange]]</f>
        <v>1700.7487744564019</v>
      </c>
      <c r="AC367" s="2">
        <f>IF(Games[[#This Row],[Type]]="R",IF(Games[[#This Row],[Result]]&gt;0.5,1,0),0)</f>
        <v>1</v>
      </c>
      <c r="AD367" s="2">
        <f>IF(Games[[#This Row],[Type]]="R",IF(Games[[#This Row],[Result]]&lt;0.5,1,0),0)</f>
        <v>0</v>
      </c>
      <c r="AE367" s="2">
        <f>IF(AND(Games[[#This Row],[Type]]="P",Games[[#This Row],[Round]]=1),IF(Games[[#This Row],[Result]]&gt;0.5,1,0),0)</f>
        <v>0</v>
      </c>
      <c r="AF367" s="2">
        <f>IF(AND(Games[[#This Row],[Type]]="P",Games[[#This Row],[Round]]=1),IF(Games[[#This Row],[Result]]&lt;0.5,1,0),0)</f>
        <v>0</v>
      </c>
      <c r="AG367" s="2">
        <f>IF(AND(Games[[#This Row],[Type]]="P",Games[[#This Row],[Round]]=2),IF(Games[[#This Row],[Result]]&gt;0.5,1,0),0)</f>
        <v>0</v>
      </c>
      <c r="AH367" s="2">
        <f>IF(AND(Games[[#This Row],[Type]]="P",Games[[#This Row],[Round]]=2),IF(Games[[#This Row],[Result]]&lt;0.5,1,0),0)</f>
        <v>0</v>
      </c>
      <c r="AI367" s="2">
        <f>IF(AND(Games[[#This Row],[Type]]="P",Games[[#This Row],[Round]]=3),IF(Games[[#This Row],[Result]]&gt;0.5,1,0),0)</f>
        <v>0</v>
      </c>
      <c r="AJ367" s="2">
        <f>IF(AND(Games[[#This Row],[Type]]="P",Games[[#This Row],[Round]]=3),IF(Games[[#This Row],[Result]]&lt;0.5,1,0),0)</f>
        <v>0</v>
      </c>
      <c r="AK367" s="2">
        <f>IF(AND(Games[[#This Row],[Type]]="P",Games[[#This Row],[Round]]=4),IF(Games[[#This Row],[Result]]&gt;0.5,1,0),0)</f>
        <v>0</v>
      </c>
      <c r="AL367" s="2">
        <f>IF(AND(Games[[#This Row],[Type]]="P",Games[[#This Row],[Round]]=4),IF(Games[[#This Row],[Result]]&lt;0.5,1,0),0)</f>
        <v>0</v>
      </c>
    </row>
    <row r="368" spans="1:38" x14ac:dyDescent="0.35">
      <c r="A368" s="10">
        <v>44455</v>
      </c>
      <c r="B368" s="2">
        <v>2021</v>
      </c>
      <c r="C368" s="2">
        <f>COUNTIFS(Games[Team],Games[[#This Row],[Team]],Games[Season],Games[[#This Row],[Season]],Games[Date],"&lt;=" &amp; Games[[#This Row],[Date]])</f>
        <v>31</v>
      </c>
      <c r="D368" s="2" t="s">
        <v>79</v>
      </c>
      <c r="E368" s="2" t="s">
        <v>80</v>
      </c>
      <c r="F368" s="1" t="s">
        <v>63</v>
      </c>
      <c r="G368" s="1" t="s">
        <v>77</v>
      </c>
      <c r="H368" s="1" t="s">
        <v>81</v>
      </c>
      <c r="I368" s="2" cm="1">
        <f t="array" ref="I36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68" s="2" cm="1">
        <f t="array" ref="J36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68" s="2">
        <f>Games[[#This Row],[DaysOff]]-Games[[#This Row],[OppDaysOff]]</f>
        <v>2</v>
      </c>
      <c r="L368" s="2">
        <f>Games[[#This Row],[OppDaysOff]]-Games[[#This Row],[DaysOff]]</f>
        <v>-2</v>
      </c>
      <c r="M368" s="1">
        <f>MAX(-16, MIN(16, Games[[#This Row],[RestDiff]]*8))</f>
        <v>16</v>
      </c>
      <c r="N368" s="1">
        <f>MAX(-16, MIN(16, Games[[#This Row],[OppRestDiff]]*8))</f>
        <v>-16</v>
      </c>
      <c r="O368" s="4" cm="1">
        <f t="array" ref="O36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1425.9487299961336</v>
      </c>
      <c r="P368" s="4" cm="1">
        <f t="array" ref="P36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1336.9405124038581</v>
      </c>
      <c r="Q368" s="4">
        <f>1/(1+10^(((Games[[#This Row],[OppPreGmRate]]+IF(Games[[#This Row],[HomeAway]]="A",HCA,0)+Games[[#This Row],[OppRestAdj]])-(Games[[#This Row],[PreGmRate]]+IF(Games[[#This Row],[HomeAway]]="H",HCA,0)+Games[[#This Row],[RestAdj]]))/400))</f>
        <v>0.55305858809311503</v>
      </c>
      <c r="R368" s="1">
        <v>74</v>
      </c>
      <c r="S368" s="1">
        <v>68</v>
      </c>
      <c r="T368" s="1">
        <v>0</v>
      </c>
      <c r="U368" s="1">
        <f>Games[[#This Row],[PointsFor]]-Games[[#This Row],[PointsAgainst]]</f>
        <v>6</v>
      </c>
      <c r="V368" s="1">
        <f>IF(Games[[#This Row],[MOV]]&gt;0,1,IF(Games[[#This Row],[MOV]]=0,0.5,0))</f>
        <v>1</v>
      </c>
      <c r="W368" s="4">
        <f>((ABS(Games[[#This Row],[MOV]])+5)^0.6)/(12+0.01*(ABS(Games[[#This Row],[PreGmRate]]-Games[[#This Row],[OppPreGmRate]])))*IF(Games[[#This Row],[OT]]=1,0.9,1)</f>
        <v>0.32702422494759131</v>
      </c>
      <c r="X368" s="7" cm="1">
        <f t="array" ref="X36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8" s="9">
        <f>MAX(kmin, kmax - 0.15 * MIN(Games[[#This Row],[GamesPlayed]], 82))</f>
        <v>71.349999999999994</v>
      </c>
      <c r="Z368" s="4">
        <f>Games[[#This Row],[K]]*Games[[#This Row],[POMult]]</f>
        <v>71.349999999999994</v>
      </c>
      <c r="AA368" s="4">
        <f>(Games[[#This Row],[Keff]]*Games[[#This Row],[MOVMult]])*(Games[[#This Row],[Result]]-Games[[#This Row],[ExpectedWin%]])</f>
        <v>10.428563720723057</v>
      </c>
      <c r="AB368" s="4">
        <f>Games[[#This Row],[PreGmRate]]+Games[[#This Row],[RatingChange]]</f>
        <v>1436.3772937168567</v>
      </c>
      <c r="AC368" s="2">
        <f>IF(Games[[#This Row],[Type]]="R",IF(Games[[#This Row],[Result]]&gt;0.5,1,0),0)</f>
        <v>1</v>
      </c>
      <c r="AD368" s="2">
        <f>IF(Games[[#This Row],[Type]]="R",IF(Games[[#This Row],[Result]]&lt;0.5,1,0),0)</f>
        <v>0</v>
      </c>
      <c r="AE368" s="2">
        <f>IF(AND(Games[[#This Row],[Type]]="P",Games[[#This Row],[Round]]=1),IF(Games[[#This Row],[Result]]&gt;0.5,1,0),0)</f>
        <v>0</v>
      </c>
      <c r="AF368" s="2">
        <f>IF(AND(Games[[#This Row],[Type]]="P",Games[[#This Row],[Round]]=1),IF(Games[[#This Row],[Result]]&lt;0.5,1,0),0)</f>
        <v>0</v>
      </c>
      <c r="AG368" s="2">
        <f>IF(AND(Games[[#This Row],[Type]]="P",Games[[#This Row],[Round]]=2),IF(Games[[#This Row],[Result]]&gt;0.5,1,0),0)</f>
        <v>0</v>
      </c>
      <c r="AH368" s="2">
        <f>IF(AND(Games[[#This Row],[Type]]="P",Games[[#This Row],[Round]]=2),IF(Games[[#This Row],[Result]]&lt;0.5,1,0),0)</f>
        <v>0</v>
      </c>
      <c r="AI368" s="2">
        <f>IF(AND(Games[[#This Row],[Type]]="P",Games[[#This Row],[Round]]=3),IF(Games[[#This Row],[Result]]&gt;0.5,1,0),0)</f>
        <v>0</v>
      </c>
      <c r="AJ368" s="2">
        <f>IF(AND(Games[[#This Row],[Type]]="P",Games[[#This Row],[Round]]=3),IF(Games[[#This Row],[Result]]&lt;0.5,1,0),0)</f>
        <v>0</v>
      </c>
      <c r="AK368" s="2">
        <f>IF(AND(Games[[#This Row],[Type]]="P",Games[[#This Row],[Round]]=4),IF(Games[[#This Row],[Result]]&gt;0.5,1,0),0)</f>
        <v>0</v>
      </c>
      <c r="AL368" s="2">
        <f>IF(AND(Games[[#This Row],[Type]]="P",Games[[#This Row],[Round]]=4),IF(Games[[#This Row],[Result]]&lt;0.5,1,0),0)</f>
        <v>0</v>
      </c>
    </row>
    <row r="369" spans="1:38" x14ac:dyDescent="0.35">
      <c r="A369" s="10">
        <v>44455</v>
      </c>
      <c r="B369" s="2">
        <v>2021</v>
      </c>
      <c r="C369" s="2">
        <f>COUNTIFS(Games[Team],Games[[#This Row],[Team]],Games[Season],Games[[#This Row],[Season]],Games[Date],"&lt;=" &amp; Games[[#This Row],[Date]])</f>
        <v>31</v>
      </c>
      <c r="D369" s="2" t="s">
        <v>79</v>
      </c>
      <c r="E369" s="2" t="s">
        <v>80</v>
      </c>
      <c r="F369" s="1" t="s">
        <v>77</v>
      </c>
      <c r="G369" s="1" t="s">
        <v>63</v>
      </c>
      <c r="H369" s="1" t="s">
        <v>82</v>
      </c>
      <c r="I369" s="2" cm="1">
        <f t="array" ref="I36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69" s="2" cm="1">
        <f t="array" ref="J36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69" s="2">
        <f>Games[[#This Row],[DaysOff]]-Games[[#This Row],[OppDaysOff]]</f>
        <v>-2</v>
      </c>
      <c r="L369" s="2">
        <f>Games[[#This Row],[OppDaysOff]]-Games[[#This Row],[DaysOff]]</f>
        <v>2</v>
      </c>
      <c r="M369" s="1">
        <f>MAX(-16, MIN(16, Games[[#This Row],[RestDiff]]*8))</f>
        <v>-16</v>
      </c>
      <c r="N369" s="1">
        <f>MAX(-16, MIN(16, Games[[#This Row],[OppRestDiff]]*8))</f>
        <v>16</v>
      </c>
      <c r="O369" s="4" cm="1">
        <f t="array" ref="O36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1336.9405124038581</v>
      </c>
      <c r="P369" s="4" cm="1">
        <f t="array" ref="P36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1425.9487299961336</v>
      </c>
      <c r="Q369" s="4">
        <f>1/(1+10^(((Games[[#This Row],[OppPreGmRate]]+IF(Games[[#This Row],[HomeAway]]="A",HCA,0)+Games[[#This Row],[OppRestAdj]])-(Games[[#This Row],[PreGmRate]]+IF(Games[[#This Row],[HomeAway]]="H",HCA,0)+Games[[#This Row],[RestAdj]]))/400))</f>
        <v>0.44694141190688497</v>
      </c>
      <c r="R369" s="1">
        <v>68</v>
      </c>
      <c r="S369" s="1">
        <v>74</v>
      </c>
      <c r="T369" s="1">
        <v>0</v>
      </c>
      <c r="U369" s="1">
        <f>Games[[#This Row],[PointsFor]]-Games[[#This Row],[PointsAgainst]]</f>
        <v>-6</v>
      </c>
      <c r="V369" s="1">
        <f>IF(Games[[#This Row],[MOV]]&gt;0,1,IF(Games[[#This Row],[MOV]]=0,0.5,0))</f>
        <v>0</v>
      </c>
      <c r="W369" s="4">
        <f>((ABS(Games[[#This Row],[MOV]])+5)^0.6)/(12+0.01*(ABS(Games[[#This Row],[PreGmRate]]-Games[[#This Row],[OppPreGmRate]])))*IF(Games[[#This Row],[OT]]=1,0.9,1)</f>
        <v>0.32702422494759131</v>
      </c>
      <c r="X369" s="7" cm="1">
        <f t="array" ref="X36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69" s="9">
        <f>MAX(kmin, kmax - 0.15 * MIN(Games[[#This Row],[GamesPlayed]], 82))</f>
        <v>71.349999999999994</v>
      </c>
      <c r="Z369" s="4">
        <f>Games[[#This Row],[K]]*Games[[#This Row],[POMult]]</f>
        <v>71.349999999999994</v>
      </c>
      <c r="AA369" s="4">
        <f>(Games[[#This Row],[Keff]]*Games[[#This Row],[MOVMult]])*(Games[[#This Row],[Result]]-Games[[#This Row],[ExpectedWin%]])</f>
        <v>-10.428563720723057</v>
      </c>
      <c r="AB369" s="4">
        <f>Games[[#This Row],[PreGmRate]]+Games[[#This Row],[RatingChange]]</f>
        <v>1326.511948683135</v>
      </c>
      <c r="AC369" s="2">
        <f>IF(Games[[#This Row],[Type]]="R",IF(Games[[#This Row],[Result]]&gt;0.5,1,0),0)</f>
        <v>0</v>
      </c>
      <c r="AD369" s="2">
        <f>IF(Games[[#This Row],[Type]]="R",IF(Games[[#This Row],[Result]]&lt;0.5,1,0),0)</f>
        <v>1</v>
      </c>
      <c r="AE369" s="2">
        <f>IF(AND(Games[[#This Row],[Type]]="P",Games[[#This Row],[Round]]=1),IF(Games[[#This Row],[Result]]&gt;0.5,1,0),0)</f>
        <v>0</v>
      </c>
      <c r="AF369" s="2">
        <f>IF(AND(Games[[#This Row],[Type]]="P",Games[[#This Row],[Round]]=1),IF(Games[[#This Row],[Result]]&lt;0.5,1,0),0)</f>
        <v>0</v>
      </c>
      <c r="AG369" s="2">
        <f>IF(AND(Games[[#This Row],[Type]]="P",Games[[#This Row],[Round]]=2),IF(Games[[#This Row],[Result]]&gt;0.5,1,0),0)</f>
        <v>0</v>
      </c>
      <c r="AH369" s="2">
        <f>IF(AND(Games[[#This Row],[Type]]="P",Games[[#This Row],[Round]]=2),IF(Games[[#This Row],[Result]]&lt;0.5,1,0),0)</f>
        <v>0</v>
      </c>
      <c r="AI369" s="2">
        <f>IF(AND(Games[[#This Row],[Type]]="P",Games[[#This Row],[Round]]=3),IF(Games[[#This Row],[Result]]&gt;0.5,1,0),0)</f>
        <v>0</v>
      </c>
      <c r="AJ369" s="2">
        <f>IF(AND(Games[[#This Row],[Type]]="P",Games[[#This Row],[Round]]=3),IF(Games[[#This Row],[Result]]&lt;0.5,1,0),0)</f>
        <v>0</v>
      </c>
      <c r="AK369" s="2">
        <f>IF(AND(Games[[#This Row],[Type]]="P",Games[[#This Row],[Round]]=4),IF(Games[[#This Row],[Result]]&gt;0.5,1,0),0)</f>
        <v>0</v>
      </c>
      <c r="AL369" s="2">
        <f>IF(AND(Games[[#This Row],[Type]]="P",Games[[#This Row],[Round]]=4),IF(Games[[#This Row],[Result]]&lt;0.5,1,0),0)</f>
        <v>0</v>
      </c>
    </row>
    <row r="370" spans="1:38" x14ac:dyDescent="0.35">
      <c r="A370" s="10">
        <v>44456</v>
      </c>
      <c r="B370" s="2">
        <v>2021</v>
      </c>
      <c r="C370" s="2">
        <f>COUNTIFS(Games[Team],Games[[#This Row],[Team]],Games[Season],Games[[#This Row],[Season]],Games[Date],"&lt;=" &amp; Games[[#This Row],[Date]])</f>
        <v>31</v>
      </c>
      <c r="D370" s="2" t="s">
        <v>79</v>
      </c>
      <c r="E370" s="2" t="s">
        <v>80</v>
      </c>
      <c r="F370" s="1" t="s">
        <v>85</v>
      </c>
      <c r="G370" s="1" t="s">
        <v>75</v>
      </c>
      <c r="H370" s="1" t="s">
        <v>81</v>
      </c>
      <c r="I370" s="2" cm="1">
        <f t="array" ref="I370">IFERROR(
    Games[[#This Row],[Date]]
    - LOOKUP(
        2,
        1/((Games[Team]=Games[[#This Row],[Team]]) * (Games[Date] &lt; Games[[#This Row],[Date]])),
        Games[Date]
    )
    - 1,
Games[[#This Row],[Date]]-$A$2)</f>
        <v>3</v>
      </c>
      <c r="J370" s="2" cm="1">
        <f t="array" ref="J370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0" s="2">
        <f>Games[[#This Row],[DaysOff]]-Games[[#This Row],[OppDaysOff]]</f>
        <v>-1</v>
      </c>
      <c r="L370" s="2">
        <f>Games[[#This Row],[OppDaysOff]]-Games[[#This Row],[DaysOff]]</f>
        <v>1</v>
      </c>
      <c r="M370" s="1">
        <f>MAX(-16, MIN(16, Games[[#This Row],[RestDiff]]*8))</f>
        <v>-8</v>
      </c>
      <c r="N370" s="1">
        <f>MAX(-16, MIN(16, Games[[#This Row],[OppRestDiff]]*8))</f>
        <v>8</v>
      </c>
      <c r="O370" s="4" cm="1">
        <f t="array" ref="O37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1653.1314728402633</v>
      </c>
      <c r="P370" s="4" cm="1">
        <f t="array" ref="P37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1544.905264043887</v>
      </c>
      <c r="Q370" s="4">
        <f>1/(1+10^(((Games[[#This Row],[OppPreGmRate]]+IF(Games[[#This Row],[HomeAway]]="A",HCA,0)+Games[[#This Row],[OppRestAdj]])-(Games[[#This Row],[PreGmRate]]+IF(Games[[#This Row],[HomeAway]]="H",HCA,0)+Games[[#This Row],[RestAdj]]))/400))</f>
        <v>0.51183625438412228</v>
      </c>
      <c r="R370" s="1">
        <v>103</v>
      </c>
      <c r="S370" s="1">
        <v>70</v>
      </c>
      <c r="T370" s="1">
        <v>0</v>
      </c>
      <c r="U370" s="1">
        <f>Games[[#This Row],[PointsFor]]-Games[[#This Row],[PointsAgainst]]</f>
        <v>33</v>
      </c>
      <c r="V370" s="1">
        <f>IF(Games[[#This Row],[MOV]]&gt;0,1,IF(Games[[#This Row],[MOV]]=0,0.5,0))</f>
        <v>1</v>
      </c>
      <c r="W370" s="4">
        <f>((ABS(Games[[#This Row],[MOV]])+5)^0.6)/(12+0.01*(ABS(Games[[#This Row],[PreGmRate]]-Games[[#This Row],[OppPreGmRate]])))*IF(Games[[#This Row],[OT]]=1,0.9,1)</f>
        <v>0.67793383944325891</v>
      </c>
      <c r="X370" s="7" cm="1">
        <f t="array" ref="X37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0" s="9">
        <f>MAX(kmin, kmax - 0.15 * MIN(Games[[#This Row],[GamesPlayed]], 82))</f>
        <v>71.349999999999994</v>
      </c>
      <c r="Z370" s="4">
        <f>Games[[#This Row],[K]]*Games[[#This Row],[POMult]]</f>
        <v>71.349999999999994</v>
      </c>
      <c r="AA370" s="4">
        <f>(Games[[#This Row],[Keff]]*Games[[#This Row],[MOVMult]])*(Games[[#This Row],[Result]]-Games[[#This Row],[ExpectedWin%]])</f>
        <v>23.612763239128409</v>
      </c>
      <c r="AB370" s="4">
        <f>Games[[#This Row],[PreGmRate]]+Games[[#This Row],[RatingChange]]</f>
        <v>1676.7442360793916</v>
      </c>
      <c r="AC370" s="2">
        <f>IF(Games[[#This Row],[Type]]="R",IF(Games[[#This Row],[Result]]&gt;0.5,1,0),0)</f>
        <v>1</v>
      </c>
      <c r="AD370" s="2">
        <f>IF(Games[[#This Row],[Type]]="R",IF(Games[[#This Row],[Result]]&lt;0.5,1,0),0)</f>
        <v>0</v>
      </c>
      <c r="AE370" s="2">
        <f>IF(AND(Games[[#This Row],[Type]]="P",Games[[#This Row],[Round]]=1),IF(Games[[#This Row],[Result]]&gt;0.5,1,0),0)</f>
        <v>0</v>
      </c>
      <c r="AF370" s="2">
        <f>IF(AND(Games[[#This Row],[Type]]="P",Games[[#This Row],[Round]]=1),IF(Games[[#This Row],[Result]]&lt;0.5,1,0),0)</f>
        <v>0</v>
      </c>
      <c r="AG370" s="2">
        <f>IF(AND(Games[[#This Row],[Type]]="P",Games[[#This Row],[Round]]=2),IF(Games[[#This Row],[Result]]&gt;0.5,1,0),0)</f>
        <v>0</v>
      </c>
      <c r="AH370" s="2">
        <f>IF(AND(Games[[#This Row],[Type]]="P",Games[[#This Row],[Round]]=2),IF(Games[[#This Row],[Result]]&lt;0.5,1,0),0)</f>
        <v>0</v>
      </c>
      <c r="AI370" s="2">
        <f>IF(AND(Games[[#This Row],[Type]]="P",Games[[#This Row],[Round]]=3),IF(Games[[#This Row],[Result]]&gt;0.5,1,0),0)</f>
        <v>0</v>
      </c>
      <c r="AJ370" s="2">
        <f>IF(AND(Games[[#This Row],[Type]]="P",Games[[#This Row],[Round]]=3),IF(Games[[#This Row],[Result]]&lt;0.5,1,0),0)</f>
        <v>0</v>
      </c>
      <c r="AK370" s="2">
        <f>IF(AND(Games[[#This Row],[Type]]="P",Games[[#This Row],[Round]]=4),IF(Games[[#This Row],[Result]]&gt;0.5,1,0),0)</f>
        <v>0</v>
      </c>
      <c r="AL370" s="2">
        <f>IF(AND(Games[[#This Row],[Type]]="P",Games[[#This Row],[Round]]=4),IF(Games[[#This Row],[Result]]&lt;0.5,1,0),0)</f>
        <v>0</v>
      </c>
    </row>
    <row r="371" spans="1:38" x14ac:dyDescent="0.35">
      <c r="A371" s="10">
        <v>44456</v>
      </c>
      <c r="B371" s="2">
        <v>2021</v>
      </c>
      <c r="C371" s="2">
        <f>COUNTIFS(Games[Team],Games[[#This Row],[Team]],Games[Season],Games[[#This Row],[Season]],Games[Date],"&lt;=" &amp; Games[[#This Row],[Date]])</f>
        <v>31</v>
      </c>
      <c r="D371" s="2" t="s">
        <v>79</v>
      </c>
      <c r="E371" s="2" t="s">
        <v>80</v>
      </c>
      <c r="F371" s="1" t="s">
        <v>75</v>
      </c>
      <c r="G371" s="1" t="s">
        <v>85</v>
      </c>
      <c r="H371" s="1" t="s">
        <v>82</v>
      </c>
      <c r="I371" s="2" cm="1">
        <f t="array" ref="I371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1" s="2" cm="1">
        <f t="array" ref="J371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71" s="2">
        <f>Games[[#This Row],[DaysOff]]-Games[[#This Row],[OppDaysOff]]</f>
        <v>1</v>
      </c>
      <c r="L371" s="2">
        <f>Games[[#This Row],[OppDaysOff]]-Games[[#This Row],[DaysOff]]</f>
        <v>-1</v>
      </c>
      <c r="M371" s="1">
        <f>MAX(-16, MIN(16, Games[[#This Row],[RestDiff]]*8))</f>
        <v>8</v>
      </c>
      <c r="N371" s="1">
        <f>MAX(-16, MIN(16, Games[[#This Row],[OppRestDiff]]*8))</f>
        <v>-8</v>
      </c>
      <c r="O371" s="4" cm="1">
        <f t="array" ref="O37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1544.905264043887</v>
      </c>
      <c r="P371" s="4" cm="1">
        <f t="array" ref="P37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1653.1314728402633</v>
      </c>
      <c r="Q371" s="4">
        <f>1/(1+10^(((Games[[#This Row],[OppPreGmRate]]+IF(Games[[#This Row],[HomeAway]]="A",HCA,0)+Games[[#This Row],[OppRestAdj]])-(Games[[#This Row],[PreGmRate]]+IF(Games[[#This Row],[HomeAway]]="H",HCA,0)+Games[[#This Row],[RestAdj]]))/400))</f>
        <v>0.48816374561587778</v>
      </c>
      <c r="R371" s="1">
        <v>70</v>
      </c>
      <c r="S371" s="1">
        <v>103</v>
      </c>
      <c r="T371" s="1">
        <v>0</v>
      </c>
      <c r="U371" s="1">
        <f>Games[[#This Row],[PointsFor]]-Games[[#This Row],[PointsAgainst]]</f>
        <v>-33</v>
      </c>
      <c r="V371" s="1">
        <f>IF(Games[[#This Row],[MOV]]&gt;0,1,IF(Games[[#This Row],[MOV]]=0,0.5,0))</f>
        <v>0</v>
      </c>
      <c r="W371" s="4">
        <f>((ABS(Games[[#This Row],[MOV]])+5)^0.6)/(12+0.01*(ABS(Games[[#This Row],[PreGmRate]]-Games[[#This Row],[OppPreGmRate]])))*IF(Games[[#This Row],[OT]]=1,0.9,1)</f>
        <v>0.67793383944325891</v>
      </c>
      <c r="X371" s="7" cm="1">
        <f t="array" ref="X37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1" s="9">
        <f>MAX(kmin, kmax - 0.15 * MIN(Games[[#This Row],[GamesPlayed]], 82))</f>
        <v>71.349999999999994</v>
      </c>
      <c r="Z371" s="4">
        <f>Games[[#This Row],[K]]*Games[[#This Row],[POMult]]</f>
        <v>71.349999999999994</v>
      </c>
      <c r="AA371" s="4">
        <f>(Games[[#This Row],[Keff]]*Games[[#This Row],[MOVMult]])*(Games[[#This Row],[Result]]-Games[[#This Row],[ExpectedWin%]])</f>
        <v>-23.612763239128412</v>
      </c>
      <c r="AB371" s="4">
        <f>Games[[#This Row],[PreGmRate]]+Games[[#This Row],[RatingChange]]</f>
        <v>1521.2925008047587</v>
      </c>
      <c r="AC371" s="2">
        <f>IF(Games[[#This Row],[Type]]="R",IF(Games[[#This Row],[Result]]&gt;0.5,1,0),0)</f>
        <v>0</v>
      </c>
      <c r="AD371" s="2">
        <f>IF(Games[[#This Row],[Type]]="R",IF(Games[[#This Row],[Result]]&lt;0.5,1,0),0)</f>
        <v>1</v>
      </c>
      <c r="AE371" s="2">
        <f>IF(AND(Games[[#This Row],[Type]]="P",Games[[#This Row],[Round]]=1),IF(Games[[#This Row],[Result]]&gt;0.5,1,0),0)</f>
        <v>0</v>
      </c>
      <c r="AF371" s="2">
        <f>IF(AND(Games[[#This Row],[Type]]="P",Games[[#This Row],[Round]]=1),IF(Games[[#This Row],[Result]]&lt;0.5,1,0),0)</f>
        <v>0</v>
      </c>
      <c r="AG371" s="2">
        <f>IF(AND(Games[[#This Row],[Type]]="P",Games[[#This Row],[Round]]=2),IF(Games[[#This Row],[Result]]&gt;0.5,1,0),0)</f>
        <v>0</v>
      </c>
      <c r="AH371" s="2">
        <f>IF(AND(Games[[#This Row],[Type]]="P",Games[[#This Row],[Round]]=2),IF(Games[[#This Row],[Result]]&lt;0.5,1,0),0)</f>
        <v>0</v>
      </c>
      <c r="AI371" s="2">
        <f>IF(AND(Games[[#This Row],[Type]]="P",Games[[#This Row],[Round]]=3),IF(Games[[#This Row],[Result]]&gt;0.5,1,0),0)</f>
        <v>0</v>
      </c>
      <c r="AJ371" s="2">
        <f>IF(AND(Games[[#This Row],[Type]]="P",Games[[#This Row],[Round]]=3),IF(Games[[#This Row],[Result]]&lt;0.5,1,0),0)</f>
        <v>0</v>
      </c>
      <c r="AK371" s="2">
        <f>IF(AND(Games[[#This Row],[Type]]="P",Games[[#This Row],[Round]]=4),IF(Games[[#This Row],[Result]]&gt;0.5,1,0),0)</f>
        <v>0</v>
      </c>
      <c r="AL371" s="2">
        <f>IF(AND(Games[[#This Row],[Type]]="P",Games[[#This Row],[Round]]=4),IF(Games[[#This Row],[Result]]&lt;0.5,1,0),0)</f>
        <v>0</v>
      </c>
    </row>
    <row r="372" spans="1:38" x14ac:dyDescent="0.35">
      <c r="A372" s="10">
        <v>44456</v>
      </c>
      <c r="B372" s="2">
        <v>2021</v>
      </c>
      <c r="C372" s="2">
        <f>COUNTIFS(Games[Team],Games[[#This Row],[Team]],Games[Season],Games[[#This Row],[Season]],Games[Date],"&lt;=" &amp; Games[[#This Row],[Date]])</f>
        <v>31</v>
      </c>
      <c r="D372" s="2" t="s">
        <v>79</v>
      </c>
      <c r="E372" s="2" t="s">
        <v>80</v>
      </c>
      <c r="F372" s="1" t="s">
        <v>67</v>
      </c>
      <c r="G372" s="1" t="s">
        <v>69</v>
      </c>
      <c r="H372" s="1" t="s">
        <v>81</v>
      </c>
      <c r="I372" s="2" cm="1">
        <f t="array" ref="I372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2" s="2" cm="1">
        <f t="array" ref="J372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72" s="2">
        <f>Games[[#This Row],[DaysOff]]-Games[[#This Row],[OppDaysOff]]</f>
        <v>2</v>
      </c>
      <c r="L372" s="2">
        <f>Games[[#This Row],[OppDaysOff]]-Games[[#This Row],[DaysOff]]</f>
        <v>-2</v>
      </c>
      <c r="M372" s="1">
        <f>MAX(-16, MIN(16, Games[[#This Row],[RestDiff]]*8))</f>
        <v>16</v>
      </c>
      <c r="N372" s="1">
        <f>MAX(-16, MIN(16, Games[[#This Row],[OppRestDiff]]*8))</f>
        <v>-16</v>
      </c>
      <c r="O372" s="4" cm="1">
        <f t="array" ref="O37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1609.9662421976773</v>
      </c>
      <c r="P372" s="4" cm="1">
        <f t="array" ref="P37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1317.2615443859506</v>
      </c>
      <c r="Q372" s="4">
        <f>1/(1+10^(((Games[[#This Row],[OppPreGmRate]]+IF(Games[[#This Row],[HomeAway]]="A",HCA,0)+Games[[#This Row],[OppRestAdj]])-(Games[[#This Row],[PreGmRate]]+IF(Games[[#This Row],[HomeAway]]="H",HCA,0)+Games[[#This Row],[RestAdj]]))/400))</f>
        <v>0.79989009918116261</v>
      </c>
      <c r="R372" s="1">
        <v>92</v>
      </c>
      <c r="S372" s="1">
        <v>73</v>
      </c>
      <c r="T372" s="1">
        <v>0</v>
      </c>
      <c r="U372" s="1">
        <f>Games[[#This Row],[PointsFor]]-Games[[#This Row],[PointsAgainst]]</f>
        <v>19</v>
      </c>
      <c r="V372" s="1">
        <f>IF(Games[[#This Row],[MOV]]&gt;0,1,IF(Games[[#This Row],[MOV]]=0,0.5,0))</f>
        <v>1</v>
      </c>
      <c r="W372" s="4">
        <f>((ABS(Games[[#This Row],[MOV]])+5)^0.6)/(12+0.01*(ABS(Games[[#This Row],[PreGmRate]]-Games[[#This Row],[OppPreGmRate]])))*IF(Games[[#This Row],[OT]]=1,0.9,1)</f>
        <v>0.45097539269125175</v>
      </c>
      <c r="X372" s="7" cm="1">
        <f t="array" ref="X37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2" s="9">
        <f>MAX(kmin, kmax - 0.15 * MIN(Games[[#This Row],[GamesPlayed]], 82))</f>
        <v>71.349999999999994</v>
      </c>
      <c r="Z372" s="4">
        <f>Games[[#This Row],[K]]*Games[[#This Row],[POMult]]</f>
        <v>71.349999999999994</v>
      </c>
      <c r="AA372" s="4">
        <f>(Games[[#This Row],[Keff]]*Games[[#This Row],[MOVMult]])*(Games[[#This Row],[Result]]-Games[[#This Row],[ExpectedWin%]])</f>
        <v>6.4389551427120804</v>
      </c>
      <c r="AB372" s="4">
        <f>Games[[#This Row],[PreGmRate]]+Games[[#This Row],[RatingChange]]</f>
        <v>1616.4051973403893</v>
      </c>
      <c r="AC372" s="2">
        <f>IF(Games[[#This Row],[Type]]="R",IF(Games[[#This Row],[Result]]&gt;0.5,1,0),0)</f>
        <v>1</v>
      </c>
      <c r="AD372" s="2">
        <f>IF(Games[[#This Row],[Type]]="R",IF(Games[[#This Row],[Result]]&lt;0.5,1,0),0)</f>
        <v>0</v>
      </c>
      <c r="AE372" s="2">
        <f>IF(AND(Games[[#This Row],[Type]]="P",Games[[#This Row],[Round]]=1),IF(Games[[#This Row],[Result]]&gt;0.5,1,0),0)</f>
        <v>0</v>
      </c>
      <c r="AF372" s="2">
        <f>IF(AND(Games[[#This Row],[Type]]="P",Games[[#This Row],[Round]]=1),IF(Games[[#This Row],[Result]]&lt;0.5,1,0),0)</f>
        <v>0</v>
      </c>
      <c r="AG372" s="2">
        <f>IF(AND(Games[[#This Row],[Type]]="P",Games[[#This Row],[Round]]=2),IF(Games[[#This Row],[Result]]&gt;0.5,1,0),0)</f>
        <v>0</v>
      </c>
      <c r="AH372" s="2">
        <f>IF(AND(Games[[#This Row],[Type]]="P",Games[[#This Row],[Round]]=2),IF(Games[[#This Row],[Result]]&lt;0.5,1,0),0)</f>
        <v>0</v>
      </c>
      <c r="AI372" s="2">
        <f>IF(AND(Games[[#This Row],[Type]]="P",Games[[#This Row],[Round]]=3),IF(Games[[#This Row],[Result]]&gt;0.5,1,0),0)</f>
        <v>0</v>
      </c>
      <c r="AJ372" s="2">
        <f>IF(AND(Games[[#This Row],[Type]]="P",Games[[#This Row],[Round]]=3),IF(Games[[#This Row],[Result]]&lt;0.5,1,0),0)</f>
        <v>0</v>
      </c>
      <c r="AK372" s="2">
        <f>IF(AND(Games[[#This Row],[Type]]="P",Games[[#This Row],[Round]]=4),IF(Games[[#This Row],[Result]]&gt;0.5,1,0),0)</f>
        <v>0</v>
      </c>
      <c r="AL372" s="2">
        <f>IF(AND(Games[[#This Row],[Type]]="P",Games[[#This Row],[Round]]=4),IF(Games[[#This Row],[Result]]&lt;0.5,1,0),0)</f>
        <v>0</v>
      </c>
    </row>
    <row r="373" spans="1:38" x14ac:dyDescent="0.35">
      <c r="A373" s="10">
        <v>44456</v>
      </c>
      <c r="B373" s="2">
        <v>2021</v>
      </c>
      <c r="C373" s="2">
        <f>COUNTIFS(Games[Team],Games[[#This Row],[Team]],Games[Season],Games[[#This Row],[Season]],Games[Date],"&lt;=" &amp; Games[[#This Row],[Date]])</f>
        <v>31</v>
      </c>
      <c r="D373" s="2" t="s">
        <v>79</v>
      </c>
      <c r="E373" s="2" t="s">
        <v>80</v>
      </c>
      <c r="F373" s="1" t="s">
        <v>69</v>
      </c>
      <c r="G373" s="1" t="s">
        <v>67</v>
      </c>
      <c r="H373" s="1" t="s">
        <v>82</v>
      </c>
      <c r="I373" s="2" cm="1">
        <f t="array" ref="I373">IFERROR(
    Games[[#This Row],[Date]]
    - LOOKUP(
        2,
        1/((Games[Team]=Games[[#This Row],[Team]]) * (Games[Date] &lt; Games[[#This Row],[Date]])),
        Games[Date]
    )
    - 1,
Games[[#This Row],[Date]]-$A$2)</f>
        <v>2</v>
      </c>
      <c r="J373" s="2" cm="1">
        <f t="array" ref="J373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3" s="2">
        <f>Games[[#This Row],[DaysOff]]-Games[[#This Row],[OppDaysOff]]</f>
        <v>-2</v>
      </c>
      <c r="L373" s="2">
        <f>Games[[#This Row],[OppDaysOff]]-Games[[#This Row],[DaysOff]]</f>
        <v>2</v>
      </c>
      <c r="M373" s="1">
        <f>MAX(-16, MIN(16, Games[[#This Row],[RestDiff]]*8))</f>
        <v>-16</v>
      </c>
      <c r="N373" s="1">
        <f>MAX(-16, MIN(16, Games[[#This Row],[OppRestDiff]]*8))</f>
        <v>16</v>
      </c>
      <c r="O373" s="4" cm="1">
        <f t="array" ref="O37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1317.2615443859506</v>
      </c>
      <c r="P373" s="4" cm="1">
        <f t="array" ref="P37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1609.9662421976773</v>
      </c>
      <c r="Q373" s="4">
        <f>1/(1+10^(((Games[[#This Row],[OppPreGmRate]]+IF(Games[[#This Row],[HomeAway]]="A",HCA,0)+Games[[#This Row],[OppRestAdj]])-(Games[[#This Row],[PreGmRate]]+IF(Games[[#This Row],[HomeAway]]="H",HCA,0)+Games[[#This Row],[RestAdj]]))/400))</f>
        <v>0.20010990081883739</v>
      </c>
      <c r="R373" s="1">
        <v>73</v>
      </c>
      <c r="S373" s="1">
        <v>92</v>
      </c>
      <c r="T373" s="1">
        <v>0</v>
      </c>
      <c r="U373" s="1">
        <f>Games[[#This Row],[PointsFor]]-Games[[#This Row],[PointsAgainst]]</f>
        <v>-19</v>
      </c>
      <c r="V373" s="1">
        <f>IF(Games[[#This Row],[MOV]]&gt;0,1,IF(Games[[#This Row],[MOV]]=0,0.5,0))</f>
        <v>0</v>
      </c>
      <c r="W373" s="4">
        <f>((ABS(Games[[#This Row],[MOV]])+5)^0.6)/(12+0.01*(ABS(Games[[#This Row],[PreGmRate]]-Games[[#This Row],[OppPreGmRate]])))*IF(Games[[#This Row],[OT]]=1,0.9,1)</f>
        <v>0.45097539269125175</v>
      </c>
      <c r="X373" s="7" cm="1">
        <f t="array" ref="X37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3" s="9">
        <f>MAX(kmin, kmax - 0.15 * MIN(Games[[#This Row],[GamesPlayed]], 82))</f>
        <v>71.349999999999994</v>
      </c>
      <c r="Z373" s="4">
        <f>Games[[#This Row],[K]]*Games[[#This Row],[POMult]]</f>
        <v>71.349999999999994</v>
      </c>
      <c r="AA373" s="4">
        <f>(Games[[#This Row],[Keff]]*Games[[#This Row],[MOVMult]])*(Games[[#This Row],[Result]]-Games[[#This Row],[ExpectedWin%]])</f>
        <v>-6.4389551427120804</v>
      </c>
      <c r="AB373" s="4">
        <f>Games[[#This Row],[PreGmRate]]+Games[[#This Row],[RatingChange]]</f>
        <v>1310.8225892432386</v>
      </c>
      <c r="AC373" s="2">
        <f>IF(Games[[#This Row],[Type]]="R",IF(Games[[#This Row],[Result]]&gt;0.5,1,0),0)</f>
        <v>0</v>
      </c>
      <c r="AD373" s="2">
        <f>IF(Games[[#This Row],[Type]]="R",IF(Games[[#This Row],[Result]]&lt;0.5,1,0),0)</f>
        <v>1</v>
      </c>
      <c r="AE373" s="2">
        <f>IF(AND(Games[[#This Row],[Type]]="P",Games[[#This Row],[Round]]=1),IF(Games[[#This Row],[Result]]&gt;0.5,1,0),0)</f>
        <v>0</v>
      </c>
      <c r="AF373" s="2">
        <f>IF(AND(Games[[#This Row],[Type]]="P",Games[[#This Row],[Round]]=1),IF(Games[[#This Row],[Result]]&lt;0.5,1,0),0)</f>
        <v>0</v>
      </c>
      <c r="AG373" s="2">
        <f>IF(AND(Games[[#This Row],[Type]]="P",Games[[#This Row],[Round]]=2),IF(Games[[#This Row],[Result]]&gt;0.5,1,0),0)</f>
        <v>0</v>
      </c>
      <c r="AH373" s="2">
        <f>IF(AND(Games[[#This Row],[Type]]="P",Games[[#This Row],[Round]]=2),IF(Games[[#This Row],[Result]]&lt;0.5,1,0),0)</f>
        <v>0</v>
      </c>
      <c r="AI373" s="2">
        <f>IF(AND(Games[[#This Row],[Type]]="P",Games[[#This Row],[Round]]=3),IF(Games[[#This Row],[Result]]&gt;0.5,1,0),0)</f>
        <v>0</v>
      </c>
      <c r="AJ373" s="2">
        <f>IF(AND(Games[[#This Row],[Type]]="P",Games[[#This Row],[Round]]=3),IF(Games[[#This Row],[Result]]&lt;0.5,1,0),0)</f>
        <v>0</v>
      </c>
      <c r="AK373" s="2">
        <f>IF(AND(Games[[#This Row],[Type]]="P",Games[[#This Row],[Round]]=4),IF(Games[[#This Row],[Result]]&gt;0.5,1,0),0)</f>
        <v>0</v>
      </c>
      <c r="AL373" s="2">
        <f>IF(AND(Games[[#This Row],[Type]]="P",Games[[#This Row],[Round]]=4),IF(Games[[#This Row],[Result]]&lt;0.5,1,0),0)</f>
        <v>0</v>
      </c>
    </row>
    <row r="374" spans="1:38" x14ac:dyDescent="0.35">
      <c r="A374" s="10">
        <v>44456</v>
      </c>
      <c r="B374" s="2">
        <v>2021</v>
      </c>
      <c r="C374" s="2">
        <f>COUNTIFS(Games[Team],Games[[#This Row],[Team]],Games[Season],Games[[#This Row],[Season]],Games[Date],"&lt;=" &amp; Games[[#This Row],[Date]])</f>
        <v>31</v>
      </c>
      <c r="D374" s="2" t="s">
        <v>79</v>
      </c>
      <c r="E374" s="2" t="s">
        <v>80</v>
      </c>
      <c r="F374" s="1" t="s">
        <v>65</v>
      </c>
      <c r="G374" s="1" t="s">
        <v>60</v>
      </c>
      <c r="H374" s="1" t="s">
        <v>81</v>
      </c>
      <c r="I374" s="2" cm="1">
        <f t="array" ref="I374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4" s="2" cm="1">
        <f t="array" ref="J37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4" s="2">
        <f>Games[[#This Row],[DaysOff]]-Games[[#This Row],[OppDaysOff]]</f>
        <v>3</v>
      </c>
      <c r="L374" s="2">
        <f>Games[[#This Row],[OppDaysOff]]-Games[[#This Row],[DaysOff]]</f>
        <v>-3</v>
      </c>
      <c r="M374" s="1">
        <f>MAX(-16, MIN(16, Games[[#This Row],[RestDiff]]*8))</f>
        <v>16</v>
      </c>
      <c r="N374" s="1">
        <f>MAX(-16, MIN(16, Games[[#This Row],[OppRestDiff]]*8))</f>
        <v>-16</v>
      </c>
      <c r="O374" s="4" cm="1">
        <f t="array" ref="O37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1446.128901421821</v>
      </c>
      <c r="P374" s="4" cm="1">
        <f t="array" ref="P37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1347.6818199277016</v>
      </c>
      <c r="Q374" s="4">
        <f>1/(1+10^(((Games[[#This Row],[OppPreGmRate]]+IF(Games[[#This Row],[HomeAway]]="A",HCA,0)+Games[[#This Row],[OppRestAdj]])-(Games[[#This Row],[PreGmRate]]+IF(Games[[#This Row],[HomeAway]]="H",HCA,0)+Games[[#This Row],[RestAdj]]))/400))</f>
        <v>0.56644734968990451</v>
      </c>
      <c r="R374" s="1">
        <v>80</v>
      </c>
      <c r="S374" s="1">
        <v>91</v>
      </c>
      <c r="T374" s="1">
        <v>0</v>
      </c>
      <c r="U374" s="1">
        <f>Games[[#This Row],[PointsFor]]-Games[[#This Row],[PointsAgainst]]</f>
        <v>-11</v>
      </c>
      <c r="V374" s="1">
        <f>IF(Games[[#This Row],[MOV]]&gt;0,1,IF(Games[[#This Row],[MOV]]=0,0.5,0))</f>
        <v>0</v>
      </c>
      <c r="W374" s="4">
        <f>((ABS(Games[[#This Row],[MOV]])+5)^0.6)/(12+0.01*(ABS(Games[[#This Row],[PreGmRate]]-Games[[#This Row],[OppPreGmRate]])))*IF(Games[[#This Row],[OT]]=1,0.9,1)</f>
        <v>0.40648800542707991</v>
      </c>
      <c r="X374" s="7" cm="1">
        <f t="array" ref="X37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4" s="9">
        <f>MAX(kmin, kmax - 0.15 * MIN(Games[[#This Row],[GamesPlayed]], 82))</f>
        <v>71.349999999999994</v>
      </c>
      <c r="Z374" s="4">
        <f>Games[[#This Row],[K]]*Games[[#This Row],[POMult]]</f>
        <v>71.349999999999994</v>
      </c>
      <c r="AA374" s="4">
        <f>(Games[[#This Row],[Keff]]*Games[[#This Row],[MOVMult]])*(Games[[#This Row],[Result]]-Games[[#This Row],[ExpectedWin%]])</f>
        <v>-16.428626706872468</v>
      </c>
      <c r="AB374" s="4">
        <f>Games[[#This Row],[PreGmRate]]+Games[[#This Row],[RatingChange]]</f>
        <v>1429.7002747149486</v>
      </c>
      <c r="AC374" s="2">
        <f>IF(Games[[#This Row],[Type]]="R",IF(Games[[#This Row],[Result]]&gt;0.5,1,0),0)</f>
        <v>0</v>
      </c>
      <c r="AD374" s="2">
        <f>IF(Games[[#This Row],[Type]]="R",IF(Games[[#This Row],[Result]]&lt;0.5,1,0),0)</f>
        <v>1</v>
      </c>
      <c r="AE374" s="2">
        <f>IF(AND(Games[[#This Row],[Type]]="P",Games[[#This Row],[Round]]=1),IF(Games[[#This Row],[Result]]&gt;0.5,1,0),0)</f>
        <v>0</v>
      </c>
      <c r="AF374" s="2">
        <f>IF(AND(Games[[#This Row],[Type]]="P",Games[[#This Row],[Round]]=1),IF(Games[[#This Row],[Result]]&lt;0.5,1,0),0)</f>
        <v>0</v>
      </c>
      <c r="AG374" s="2">
        <f>IF(AND(Games[[#This Row],[Type]]="P",Games[[#This Row],[Round]]=2),IF(Games[[#This Row],[Result]]&gt;0.5,1,0),0)</f>
        <v>0</v>
      </c>
      <c r="AH374" s="2">
        <f>IF(AND(Games[[#This Row],[Type]]="P",Games[[#This Row],[Round]]=2),IF(Games[[#This Row],[Result]]&lt;0.5,1,0),0)</f>
        <v>0</v>
      </c>
      <c r="AI374" s="2">
        <f>IF(AND(Games[[#This Row],[Type]]="P",Games[[#This Row],[Round]]=3),IF(Games[[#This Row],[Result]]&gt;0.5,1,0),0)</f>
        <v>0</v>
      </c>
      <c r="AJ374" s="2">
        <f>IF(AND(Games[[#This Row],[Type]]="P",Games[[#This Row],[Round]]=3),IF(Games[[#This Row],[Result]]&lt;0.5,1,0),0)</f>
        <v>0</v>
      </c>
      <c r="AK374" s="2">
        <f>IF(AND(Games[[#This Row],[Type]]="P",Games[[#This Row],[Round]]=4),IF(Games[[#This Row],[Result]]&gt;0.5,1,0),0)</f>
        <v>0</v>
      </c>
      <c r="AL374" s="2">
        <f>IF(AND(Games[[#This Row],[Type]]="P",Games[[#This Row],[Round]]=4),IF(Games[[#This Row],[Result]]&lt;0.5,1,0),0)</f>
        <v>0</v>
      </c>
    </row>
    <row r="375" spans="1:38" x14ac:dyDescent="0.35">
      <c r="A375" s="10">
        <v>44456</v>
      </c>
      <c r="B375" s="2">
        <v>2021</v>
      </c>
      <c r="C375" s="2">
        <f>COUNTIFS(Games[Team],Games[[#This Row],[Team]],Games[Season],Games[[#This Row],[Season]],Games[Date],"&lt;=" &amp; Games[[#This Row],[Date]])</f>
        <v>32</v>
      </c>
      <c r="D375" s="2" t="s">
        <v>79</v>
      </c>
      <c r="E375" s="2" t="s">
        <v>80</v>
      </c>
      <c r="F375" s="1" t="s">
        <v>60</v>
      </c>
      <c r="G375" s="1" t="s">
        <v>65</v>
      </c>
      <c r="H375" s="1" t="s">
        <v>82</v>
      </c>
      <c r="I375" s="2" cm="1">
        <f t="array" ref="I37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5" s="2" cm="1">
        <f t="array" ref="J375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5" s="2">
        <f>Games[[#This Row],[DaysOff]]-Games[[#This Row],[OppDaysOff]]</f>
        <v>-3</v>
      </c>
      <c r="L375" s="2">
        <f>Games[[#This Row],[OppDaysOff]]-Games[[#This Row],[DaysOff]]</f>
        <v>3</v>
      </c>
      <c r="M375" s="1">
        <f>MAX(-16, MIN(16, Games[[#This Row],[RestDiff]]*8))</f>
        <v>-16</v>
      </c>
      <c r="N375" s="1">
        <f>MAX(-16, MIN(16, Games[[#This Row],[OppRestDiff]]*8))</f>
        <v>16</v>
      </c>
      <c r="O375" s="4" cm="1">
        <f t="array" ref="O37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1347.6818199277016</v>
      </c>
      <c r="P375" s="4" cm="1">
        <f t="array" ref="P37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1446.128901421821</v>
      </c>
      <c r="Q375" s="4">
        <f>1/(1+10^(((Games[[#This Row],[OppPreGmRate]]+IF(Games[[#This Row],[HomeAway]]="A",HCA,0)+Games[[#This Row],[OppRestAdj]])-(Games[[#This Row],[PreGmRate]]+IF(Games[[#This Row],[HomeAway]]="H",HCA,0)+Games[[#This Row],[RestAdj]]))/400))</f>
        <v>0.43355265031009549</v>
      </c>
      <c r="R375" s="1">
        <v>91</v>
      </c>
      <c r="S375" s="1">
        <v>80</v>
      </c>
      <c r="T375" s="1">
        <v>0</v>
      </c>
      <c r="U375" s="1">
        <f>Games[[#This Row],[PointsFor]]-Games[[#This Row],[PointsAgainst]]</f>
        <v>11</v>
      </c>
      <c r="V375" s="1">
        <f>IF(Games[[#This Row],[MOV]]&gt;0,1,IF(Games[[#This Row],[MOV]]=0,0.5,0))</f>
        <v>1</v>
      </c>
      <c r="W375" s="4">
        <f>((ABS(Games[[#This Row],[MOV]])+5)^0.6)/(12+0.01*(ABS(Games[[#This Row],[PreGmRate]]-Games[[#This Row],[OppPreGmRate]])))*IF(Games[[#This Row],[OT]]=1,0.9,1)</f>
        <v>0.40648800542707991</v>
      </c>
      <c r="X375" s="7" cm="1">
        <f t="array" ref="X37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5" s="9">
        <f>MAX(kmin, kmax - 0.15 * MIN(Games[[#This Row],[GamesPlayed]], 82))</f>
        <v>71.2</v>
      </c>
      <c r="Z375" s="4">
        <f>Games[[#This Row],[K]]*Games[[#This Row],[POMult]]</f>
        <v>71.2</v>
      </c>
      <c r="AA375" s="4">
        <f>(Games[[#This Row],[Keff]]*Games[[#This Row],[MOVMult]])*(Games[[#This Row],[Result]]-Games[[#This Row],[ExpectedWin%]])</f>
        <v>16.394088598869232</v>
      </c>
      <c r="AB375" s="4">
        <f>Games[[#This Row],[PreGmRate]]+Games[[#This Row],[RatingChange]]</f>
        <v>1364.0759085265709</v>
      </c>
      <c r="AC375" s="2">
        <f>IF(Games[[#This Row],[Type]]="R",IF(Games[[#This Row],[Result]]&gt;0.5,1,0),0)</f>
        <v>1</v>
      </c>
      <c r="AD375" s="2">
        <f>IF(Games[[#This Row],[Type]]="R",IF(Games[[#This Row],[Result]]&lt;0.5,1,0),0)</f>
        <v>0</v>
      </c>
      <c r="AE375" s="2">
        <f>IF(AND(Games[[#This Row],[Type]]="P",Games[[#This Row],[Round]]=1),IF(Games[[#This Row],[Result]]&gt;0.5,1,0),0)</f>
        <v>0</v>
      </c>
      <c r="AF375" s="2">
        <f>IF(AND(Games[[#This Row],[Type]]="P",Games[[#This Row],[Round]]=1),IF(Games[[#This Row],[Result]]&lt;0.5,1,0),0)</f>
        <v>0</v>
      </c>
      <c r="AG375" s="2">
        <f>IF(AND(Games[[#This Row],[Type]]="P",Games[[#This Row],[Round]]=2),IF(Games[[#This Row],[Result]]&gt;0.5,1,0),0)</f>
        <v>0</v>
      </c>
      <c r="AH375" s="2">
        <f>IF(AND(Games[[#This Row],[Type]]="P",Games[[#This Row],[Round]]=2),IF(Games[[#This Row],[Result]]&lt;0.5,1,0),0)</f>
        <v>0</v>
      </c>
      <c r="AI375" s="2">
        <f>IF(AND(Games[[#This Row],[Type]]="P",Games[[#This Row],[Round]]=3),IF(Games[[#This Row],[Result]]&gt;0.5,1,0),0)</f>
        <v>0</v>
      </c>
      <c r="AJ375" s="2">
        <f>IF(AND(Games[[#This Row],[Type]]="P",Games[[#This Row],[Round]]=3),IF(Games[[#This Row],[Result]]&lt;0.5,1,0),0)</f>
        <v>0</v>
      </c>
      <c r="AK375" s="2">
        <f>IF(AND(Games[[#This Row],[Type]]="P",Games[[#This Row],[Round]]=4),IF(Games[[#This Row],[Result]]&gt;0.5,1,0),0)</f>
        <v>0</v>
      </c>
      <c r="AL375" s="2">
        <f>IF(AND(Games[[#This Row],[Type]]="P",Games[[#This Row],[Round]]=4),IF(Games[[#This Row],[Result]]&lt;0.5,1,0),0)</f>
        <v>0</v>
      </c>
    </row>
    <row r="376" spans="1:38" x14ac:dyDescent="0.35">
      <c r="A376" s="10">
        <v>44456</v>
      </c>
      <c r="B376" s="2">
        <v>2021</v>
      </c>
      <c r="C376" s="2">
        <f>COUNTIFS(Games[Team],Games[[#This Row],[Team]],Games[Season],Games[[#This Row],[Season]],Games[Date],"&lt;=" &amp; Games[[#This Row],[Date]])</f>
        <v>31</v>
      </c>
      <c r="D376" s="2" t="s">
        <v>79</v>
      </c>
      <c r="E376" s="2" t="s">
        <v>80</v>
      </c>
      <c r="F376" s="1" t="s">
        <v>40</v>
      </c>
      <c r="G376" s="1" t="s">
        <v>71</v>
      </c>
      <c r="H376" s="1" t="s">
        <v>81</v>
      </c>
      <c r="I376" s="2" cm="1">
        <f t="array" ref="I376">IFERROR(
    Games[[#This Row],[Date]]
    - LOOKUP(
        2,
        1/((Games[Team]=Games[[#This Row],[Team]]) * (Games[Date] &lt; Games[[#This Row],[Date]])),
        Games[Date]
    )
    - 1,
Games[[#This Row],[Date]]-$A$2)</f>
        <v>5</v>
      </c>
      <c r="J376" s="2" cm="1">
        <f t="array" ref="J376">IFERROR(
    Games[[#This Row],[Date]]
    - LOOKUP(
        2,
        1/((Games[Opponent]=Games[[#This Row],[Opponent]]) * (Games[Date] &lt; Games[[#This Row],[Date]])),
        Games[Date]
    )
    - 1,
Games[[#This Row],[Date]]-$A$2)</f>
        <v>4</v>
      </c>
      <c r="K376" s="2">
        <f>Games[[#This Row],[DaysOff]]-Games[[#This Row],[OppDaysOff]]</f>
        <v>1</v>
      </c>
      <c r="L376" s="2">
        <f>Games[[#This Row],[OppDaysOff]]-Games[[#This Row],[DaysOff]]</f>
        <v>-1</v>
      </c>
      <c r="M376" s="1">
        <f>MAX(-16, MIN(16, Games[[#This Row],[RestDiff]]*8))</f>
        <v>8</v>
      </c>
      <c r="N376" s="1">
        <f>MAX(-16, MIN(16, Games[[#This Row],[OppRestDiff]]*8))</f>
        <v>-8</v>
      </c>
      <c r="O376" s="4" cm="1">
        <f t="array" ref="O37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1574.7671742287998</v>
      </c>
      <c r="P376" s="4" cm="1">
        <f t="array" ref="P37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1598.6953003824665</v>
      </c>
      <c r="Q376" s="4">
        <f>1/(1+10^(((Games[[#This Row],[OppPreGmRate]]+IF(Games[[#This Row],[HomeAway]]="A",HCA,0)+Games[[#This Row],[OppRestAdj]])-(Games[[#This Row],[PreGmRate]]+IF(Games[[#This Row],[HomeAway]]="H",HCA,0)+Games[[#This Row],[RestAdj]]))/400))</f>
        <v>0.37070796615677071</v>
      </c>
      <c r="R376" s="1">
        <v>85</v>
      </c>
      <c r="S376" s="1">
        <v>94</v>
      </c>
      <c r="T376" s="1">
        <v>0</v>
      </c>
      <c r="U376" s="1">
        <f>Games[[#This Row],[PointsFor]]-Games[[#This Row],[PointsAgainst]]</f>
        <v>-9</v>
      </c>
      <c r="V376" s="1">
        <f>IF(Games[[#This Row],[MOV]]&gt;0,1,IF(Games[[#This Row],[MOV]]=0,0.5,0))</f>
        <v>0</v>
      </c>
      <c r="W376" s="4">
        <f>((ABS(Games[[#This Row],[MOV]])+5)^0.6)/(12+0.01*(ABS(Games[[#This Row],[PreGmRate]]-Games[[#This Row],[OppPreGmRate]])))*IF(Games[[#This Row],[OT]]=1,0.9,1)</f>
        <v>0.3980346739049665</v>
      </c>
      <c r="X376" s="7" cm="1">
        <f t="array" ref="X37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6" s="9">
        <f>MAX(kmin, kmax - 0.15 * MIN(Games[[#This Row],[GamesPlayed]], 82))</f>
        <v>71.349999999999994</v>
      </c>
      <c r="Z376" s="4">
        <f>Games[[#This Row],[K]]*Games[[#This Row],[POMult]]</f>
        <v>71.349999999999994</v>
      </c>
      <c r="AA376" s="4">
        <f>(Games[[#This Row],[Keff]]*Games[[#This Row],[MOVMult]])*(Games[[#This Row],[Result]]-Games[[#This Row],[ExpectedWin%]])</f>
        <v>-10.528022452594147</v>
      </c>
      <c r="AB376" s="4">
        <f>Games[[#This Row],[PreGmRate]]+Games[[#This Row],[RatingChange]]</f>
        <v>1564.2391517762057</v>
      </c>
      <c r="AC376" s="2">
        <f>IF(Games[[#This Row],[Type]]="R",IF(Games[[#This Row],[Result]]&gt;0.5,1,0),0)</f>
        <v>0</v>
      </c>
      <c r="AD376" s="2">
        <f>IF(Games[[#This Row],[Type]]="R",IF(Games[[#This Row],[Result]]&lt;0.5,1,0),0)</f>
        <v>1</v>
      </c>
      <c r="AE376" s="2">
        <f>IF(AND(Games[[#This Row],[Type]]="P",Games[[#This Row],[Round]]=1),IF(Games[[#This Row],[Result]]&gt;0.5,1,0),0)</f>
        <v>0</v>
      </c>
      <c r="AF376" s="2">
        <f>IF(AND(Games[[#This Row],[Type]]="P",Games[[#This Row],[Round]]=1),IF(Games[[#This Row],[Result]]&lt;0.5,1,0),0)</f>
        <v>0</v>
      </c>
      <c r="AG376" s="2">
        <f>IF(AND(Games[[#This Row],[Type]]="P",Games[[#This Row],[Round]]=2),IF(Games[[#This Row],[Result]]&gt;0.5,1,0),0)</f>
        <v>0</v>
      </c>
      <c r="AH376" s="2">
        <f>IF(AND(Games[[#This Row],[Type]]="P",Games[[#This Row],[Round]]=2),IF(Games[[#This Row],[Result]]&lt;0.5,1,0),0)</f>
        <v>0</v>
      </c>
      <c r="AI376" s="2">
        <f>IF(AND(Games[[#This Row],[Type]]="P",Games[[#This Row],[Round]]=3),IF(Games[[#This Row],[Result]]&gt;0.5,1,0),0)</f>
        <v>0</v>
      </c>
      <c r="AJ376" s="2">
        <f>IF(AND(Games[[#This Row],[Type]]="P",Games[[#This Row],[Round]]=3),IF(Games[[#This Row],[Result]]&lt;0.5,1,0),0)</f>
        <v>0</v>
      </c>
      <c r="AK376" s="2">
        <f>IF(AND(Games[[#This Row],[Type]]="P",Games[[#This Row],[Round]]=4),IF(Games[[#This Row],[Result]]&gt;0.5,1,0),0)</f>
        <v>0</v>
      </c>
      <c r="AL376" s="2">
        <f>IF(AND(Games[[#This Row],[Type]]="P",Games[[#This Row],[Round]]=4),IF(Games[[#This Row],[Result]]&lt;0.5,1,0),0)</f>
        <v>0</v>
      </c>
    </row>
    <row r="377" spans="1:38" x14ac:dyDescent="0.35">
      <c r="A377" s="10">
        <v>44456</v>
      </c>
      <c r="B377" s="2">
        <v>2021</v>
      </c>
      <c r="C377" s="2">
        <f>COUNTIFS(Games[Team],Games[[#This Row],[Team]],Games[Season],Games[[#This Row],[Season]],Games[Date],"&lt;=" &amp; Games[[#This Row],[Date]])</f>
        <v>33</v>
      </c>
      <c r="D377" s="2" t="s">
        <v>79</v>
      </c>
      <c r="E377" s="2" t="s">
        <v>80</v>
      </c>
      <c r="F377" s="1" t="s">
        <v>71</v>
      </c>
      <c r="G377" s="1" t="s">
        <v>40</v>
      </c>
      <c r="H377" s="1" t="s">
        <v>82</v>
      </c>
      <c r="I377" s="2" cm="1">
        <f t="array" ref="I377">IFERROR(
    Games[[#This Row],[Date]]
    - LOOKUP(
        2,
        1/((Games[Team]=Games[[#This Row],[Team]]) * (Games[Date] &lt; Games[[#This Row],[Date]])),
        Games[Date]
    )
    - 1,
Games[[#This Row],[Date]]-$A$2)</f>
        <v>4</v>
      </c>
      <c r="J377" s="2" cm="1">
        <f t="array" ref="J377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77" s="2">
        <f>Games[[#This Row],[DaysOff]]-Games[[#This Row],[OppDaysOff]]</f>
        <v>-1</v>
      </c>
      <c r="L377" s="2">
        <f>Games[[#This Row],[OppDaysOff]]-Games[[#This Row],[DaysOff]]</f>
        <v>1</v>
      </c>
      <c r="M377" s="1">
        <f>MAX(-16, MIN(16, Games[[#This Row],[RestDiff]]*8))</f>
        <v>-8</v>
      </c>
      <c r="N377" s="1">
        <f>MAX(-16, MIN(16, Games[[#This Row],[OppRestDiff]]*8))</f>
        <v>8</v>
      </c>
      <c r="O377" s="4" cm="1">
        <f t="array" ref="O37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1598.6953003824665</v>
      </c>
      <c r="P377" s="4" cm="1">
        <f t="array" ref="P37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1574.7671742287998</v>
      </c>
      <c r="Q377" s="4">
        <f>1/(1+10^(((Games[[#This Row],[OppPreGmRate]]+IF(Games[[#This Row],[HomeAway]]="A",HCA,0)+Games[[#This Row],[OppRestAdj]])-(Games[[#This Row],[PreGmRate]]+IF(Games[[#This Row],[HomeAway]]="H",HCA,0)+Games[[#This Row],[RestAdj]]))/400))</f>
        <v>0.62929203384322929</v>
      </c>
      <c r="R377" s="1">
        <v>94</v>
      </c>
      <c r="S377" s="1">
        <v>85</v>
      </c>
      <c r="T377" s="1">
        <v>0</v>
      </c>
      <c r="U377" s="1">
        <f>Games[[#This Row],[PointsFor]]-Games[[#This Row],[PointsAgainst]]</f>
        <v>9</v>
      </c>
      <c r="V377" s="1">
        <f>IF(Games[[#This Row],[MOV]]&gt;0,1,IF(Games[[#This Row],[MOV]]=0,0.5,0))</f>
        <v>1</v>
      </c>
      <c r="W377" s="4">
        <f>((ABS(Games[[#This Row],[MOV]])+5)^0.6)/(12+0.01*(ABS(Games[[#This Row],[PreGmRate]]-Games[[#This Row],[OppPreGmRate]])))*IF(Games[[#This Row],[OT]]=1,0.9,1)</f>
        <v>0.3980346739049665</v>
      </c>
      <c r="X377" s="7" cm="1">
        <f t="array" ref="X37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7" s="9">
        <f>MAX(kmin, kmax - 0.15 * MIN(Games[[#This Row],[GamesPlayed]], 82))</f>
        <v>71.05</v>
      </c>
      <c r="Z377" s="4">
        <f>Games[[#This Row],[K]]*Games[[#This Row],[POMult]]</f>
        <v>71.05</v>
      </c>
      <c r="AA377" s="4">
        <f>(Games[[#This Row],[Keff]]*Games[[#This Row],[MOVMult]])*(Games[[#This Row],[Result]]-Games[[#This Row],[ExpectedWin%]])</f>
        <v>10.483756065267192</v>
      </c>
      <c r="AB377" s="4">
        <f>Games[[#This Row],[PreGmRate]]+Games[[#This Row],[RatingChange]]</f>
        <v>1609.1790564477337</v>
      </c>
      <c r="AC377" s="2">
        <f>IF(Games[[#This Row],[Type]]="R",IF(Games[[#This Row],[Result]]&gt;0.5,1,0),0)</f>
        <v>1</v>
      </c>
      <c r="AD377" s="2">
        <f>IF(Games[[#This Row],[Type]]="R",IF(Games[[#This Row],[Result]]&lt;0.5,1,0),0)</f>
        <v>0</v>
      </c>
      <c r="AE377" s="2">
        <f>IF(AND(Games[[#This Row],[Type]]="P",Games[[#This Row],[Round]]=1),IF(Games[[#This Row],[Result]]&gt;0.5,1,0),0)</f>
        <v>0</v>
      </c>
      <c r="AF377" s="2">
        <f>IF(AND(Games[[#This Row],[Type]]="P",Games[[#This Row],[Round]]=1),IF(Games[[#This Row],[Result]]&lt;0.5,1,0),0)</f>
        <v>0</v>
      </c>
      <c r="AG377" s="2">
        <f>IF(AND(Games[[#This Row],[Type]]="P",Games[[#This Row],[Round]]=2),IF(Games[[#This Row],[Result]]&gt;0.5,1,0),0)</f>
        <v>0</v>
      </c>
      <c r="AH377" s="2">
        <f>IF(AND(Games[[#This Row],[Type]]="P",Games[[#This Row],[Round]]=2),IF(Games[[#This Row],[Result]]&lt;0.5,1,0),0)</f>
        <v>0</v>
      </c>
      <c r="AI377" s="2">
        <f>IF(AND(Games[[#This Row],[Type]]="P",Games[[#This Row],[Round]]=3),IF(Games[[#This Row],[Result]]&gt;0.5,1,0),0)</f>
        <v>0</v>
      </c>
      <c r="AJ377" s="2">
        <f>IF(AND(Games[[#This Row],[Type]]="P",Games[[#This Row],[Round]]=3),IF(Games[[#This Row],[Result]]&lt;0.5,1,0),0)</f>
        <v>0</v>
      </c>
      <c r="AK377" s="2">
        <f>IF(AND(Games[[#This Row],[Type]]="P",Games[[#This Row],[Round]]=4),IF(Games[[#This Row],[Result]]&gt;0.5,1,0),0)</f>
        <v>0</v>
      </c>
      <c r="AL377" s="2">
        <f>IF(AND(Games[[#This Row],[Type]]="P",Games[[#This Row],[Round]]=4),IF(Games[[#This Row],[Result]]&lt;0.5,1,0),0)</f>
        <v>0</v>
      </c>
    </row>
    <row r="378" spans="1:38" x14ac:dyDescent="0.35">
      <c r="A378" s="10">
        <v>44458</v>
      </c>
      <c r="B378" s="2">
        <v>2021</v>
      </c>
      <c r="C378" s="2">
        <f>COUNTIFS(Games[Team],Games[[#This Row],[Team]],Games[Season],Games[[#This Row],[Season]],Games[Date],"&lt;=" &amp; Games[[#This Row],[Date]])</f>
        <v>32</v>
      </c>
      <c r="D378" s="2" t="s">
        <v>79</v>
      </c>
      <c r="E378" s="2" t="s">
        <v>80</v>
      </c>
      <c r="F378" s="1" t="s">
        <v>69</v>
      </c>
      <c r="G378" s="1" t="s">
        <v>75</v>
      </c>
      <c r="H378" s="1" t="s">
        <v>81</v>
      </c>
      <c r="I378" s="2" cm="1">
        <f t="array" ref="I37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8" s="2" cm="1">
        <f t="array" ref="J37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8" s="2">
        <f>Games[[#This Row],[DaysOff]]-Games[[#This Row],[OppDaysOff]]</f>
        <v>0</v>
      </c>
      <c r="L378" s="2">
        <f>Games[[#This Row],[OppDaysOff]]-Games[[#This Row],[DaysOff]]</f>
        <v>0</v>
      </c>
      <c r="M378" s="1">
        <f>MAX(-16, MIN(16, Games[[#This Row],[RestDiff]]*8))</f>
        <v>0</v>
      </c>
      <c r="N378" s="1">
        <f>MAX(-16, MIN(16, Games[[#This Row],[OppRestDiff]]*8))</f>
        <v>0</v>
      </c>
      <c r="O378" s="4" cm="1">
        <f t="array" ref="O37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1310.8225892432386</v>
      </c>
      <c r="P378" s="4" cm="1">
        <f t="array" ref="P37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1521.2925008047587</v>
      </c>
      <c r="Q378" s="4">
        <f>1/(1+10^(((Games[[#This Row],[OppPreGmRate]]+IF(Games[[#This Row],[HomeAway]]="A",HCA,0)+Games[[#This Row],[OppRestAdj]])-(Games[[#This Row],[PreGmRate]]+IF(Games[[#This Row],[HomeAway]]="H",HCA,0)+Games[[#This Row],[RestAdj]]))/400))</f>
        <v>0.15510565269729901</v>
      </c>
      <c r="R378" s="1">
        <v>87</v>
      </c>
      <c r="S378" s="1">
        <v>98</v>
      </c>
      <c r="T378" s="1">
        <v>0</v>
      </c>
      <c r="U378" s="1">
        <f>Games[[#This Row],[PointsFor]]-Games[[#This Row],[PointsAgainst]]</f>
        <v>-11</v>
      </c>
      <c r="V378" s="1">
        <f>IF(Games[[#This Row],[MOV]]&gt;0,1,IF(Games[[#This Row],[MOV]]=0,0.5,0))</f>
        <v>0</v>
      </c>
      <c r="W378" s="4">
        <f>((ABS(Games[[#This Row],[MOV]])+5)^0.6)/(12+0.01*(ABS(Games[[#This Row],[PreGmRate]]-Games[[#This Row],[OppPreGmRate]])))*IF(Games[[#This Row],[OT]]=1,0.9,1)</f>
        <v>0.3742037742051732</v>
      </c>
      <c r="X378" s="7" cm="1">
        <f t="array" ref="X37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8" s="9">
        <f>MAX(kmin, kmax - 0.15 * MIN(Games[[#This Row],[GamesPlayed]], 82))</f>
        <v>71.2</v>
      </c>
      <c r="Z378" s="4">
        <f>Games[[#This Row],[K]]*Games[[#This Row],[POMult]]</f>
        <v>71.2</v>
      </c>
      <c r="AA378" s="4">
        <f>(Games[[#This Row],[Keff]]*Games[[#This Row],[MOVMult]])*(Games[[#This Row],[Result]]-Games[[#This Row],[ExpectedWin%]])</f>
        <v>-4.13252778955989</v>
      </c>
      <c r="AB378" s="4">
        <f>Games[[#This Row],[PreGmRate]]+Games[[#This Row],[RatingChange]]</f>
        <v>1306.6900614536787</v>
      </c>
      <c r="AC378" s="2">
        <f>IF(Games[[#This Row],[Type]]="R",IF(Games[[#This Row],[Result]]&gt;0.5,1,0),0)</f>
        <v>0</v>
      </c>
      <c r="AD378" s="2">
        <f>IF(Games[[#This Row],[Type]]="R",IF(Games[[#This Row],[Result]]&lt;0.5,1,0),0)</f>
        <v>1</v>
      </c>
      <c r="AE378" s="2">
        <f>IF(AND(Games[[#This Row],[Type]]="P",Games[[#This Row],[Round]]=1),IF(Games[[#This Row],[Result]]&gt;0.5,1,0),0)</f>
        <v>0</v>
      </c>
      <c r="AF378" s="2">
        <f>IF(AND(Games[[#This Row],[Type]]="P",Games[[#This Row],[Round]]=1),IF(Games[[#This Row],[Result]]&lt;0.5,1,0),0)</f>
        <v>0</v>
      </c>
      <c r="AG378" s="2">
        <f>IF(AND(Games[[#This Row],[Type]]="P",Games[[#This Row],[Round]]=2),IF(Games[[#This Row],[Result]]&gt;0.5,1,0),0)</f>
        <v>0</v>
      </c>
      <c r="AH378" s="2">
        <f>IF(AND(Games[[#This Row],[Type]]="P",Games[[#This Row],[Round]]=2),IF(Games[[#This Row],[Result]]&lt;0.5,1,0),0)</f>
        <v>0</v>
      </c>
      <c r="AI378" s="2">
        <f>IF(AND(Games[[#This Row],[Type]]="P",Games[[#This Row],[Round]]=3),IF(Games[[#This Row],[Result]]&gt;0.5,1,0),0)</f>
        <v>0</v>
      </c>
      <c r="AJ378" s="2">
        <f>IF(AND(Games[[#This Row],[Type]]="P",Games[[#This Row],[Round]]=3),IF(Games[[#This Row],[Result]]&lt;0.5,1,0),0)</f>
        <v>0</v>
      </c>
      <c r="AK378" s="2">
        <f>IF(AND(Games[[#This Row],[Type]]="P",Games[[#This Row],[Round]]=4),IF(Games[[#This Row],[Result]]&gt;0.5,1,0),0)</f>
        <v>0</v>
      </c>
      <c r="AL378" s="2">
        <f>IF(AND(Games[[#This Row],[Type]]="P",Games[[#This Row],[Round]]=4),IF(Games[[#This Row],[Result]]&lt;0.5,1,0),0)</f>
        <v>0</v>
      </c>
    </row>
    <row r="379" spans="1:38" x14ac:dyDescent="0.35">
      <c r="A379" s="10">
        <v>44458</v>
      </c>
      <c r="B379" s="2">
        <v>2021</v>
      </c>
      <c r="C379" s="2">
        <f>COUNTIFS(Games[Team],Games[[#This Row],[Team]],Games[Season],Games[[#This Row],[Season]],Games[Date],"&lt;=" &amp; Games[[#This Row],[Date]])</f>
        <v>32</v>
      </c>
      <c r="D379" s="2" t="s">
        <v>79</v>
      </c>
      <c r="E379" s="2" t="s">
        <v>80</v>
      </c>
      <c r="F379" s="1" t="s">
        <v>75</v>
      </c>
      <c r="G379" s="1" t="s">
        <v>69</v>
      </c>
      <c r="H379" s="1" t="s">
        <v>82</v>
      </c>
      <c r="I379" s="2" cm="1">
        <f t="array" ref="I379">IFERROR(
    Games[[#This Row],[Date]]
    - LOOKUP(
        2,
        1/((Games[Team]=Games[[#This Row],[Team]]) * (Games[Date] &lt; Games[[#This Row],[Date]])),
        Games[Date]
    )
    - 1,
Games[[#This Row],[Date]]-$A$2)</f>
        <v>1</v>
      </c>
      <c r="J379" s="2" cm="1">
        <f t="array" ref="J37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79" s="2">
        <f>Games[[#This Row],[DaysOff]]-Games[[#This Row],[OppDaysOff]]</f>
        <v>0</v>
      </c>
      <c r="L379" s="2">
        <f>Games[[#This Row],[OppDaysOff]]-Games[[#This Row],[DaysOff]]</f>
        <v>0</v>
      </c>
      <c r="M379" s="1">
        <f>MAX(-16, MIN(16, Games[[#This Row],[RestDiff]]*8))</f>
        <v>0</v>
      </c>
      <c r="N379" s="1">
        <f>MAX(-16, MIN(16, Games[[#This Row],[OppRestDiff]]*8))</f>
        <v>0</v>
      </c>
      <c r="O379" s="4" cm="1">
        <f t="array" ref="O37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1521.2925008047587</v>
      </c>
      <c r="P379" s="4" cm="1">
        <f t="array" ref="P37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1310.8225892432386</v>
      </c>
      <c r="Q379" s="4">
        <f>1/(1+10^(((Games[[#This Row],[OppPreGmRate]]+IF(Games[[#This Row],[HomeAway]]="A",HCA,0)+Games[[#This Row],[OppRestAdj]])-(Games[[#This Row],[PreGmRate]]+IF(Games[[#This Row],[HomeAway]]="H",HCA,0)+Games[[#This Row],[RestAdj]]))/400))</f>
        <v>0.84489434730270097</v>
      </c>
      <c r="R379" s="1">
        <v>98</v>
      </c>
      <c r="S379" s="1">
        <v>87</v>
      </c>
      <c r="T379" s="1">
        <v>0</v>
      </c>
      <c r="U379" s="1">
        <f>Games[[#This Row],[PointsFor]]-Games[[#This Row],[PointsAgainst]]</f>
        <v>11</v>
      </c>
      <c r="V379" s="1">
        <f>IF(Games[[#This Row],[MOV]]&gt;0,1,IF(Games[[#This Row],[MOV]]=0,0.5,0))</f>
        <v>1</v>
      </c>
      <c r="W379" s="4">
        <f>((ABS(Games[[#This Row],[MOV]])+5)^0.6)/(12+0.01*(ABS(Games[[#This Row],[PreGmRate]]-Games[[#This Row],[OppPreGmRate]])))*IF(Games[[#This Row],[OT]]=1,0.9,1)</f>
        <v>0.3742037742051732</v>
      </c>
      <c r="X379" s="7" cm="1">
        <f t="array" ref="X37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79" s="9">
        <f>MAX(kmin, kmax - 0.15 * MIN(Games[[#This Row],[GamesPlayed]], 82))</f>
        <v>71.2</v>
      </c>
      <c r="Z379" s="4">
        <f>Games[[#This Row],[K]]*Games[[#This Row],[POMult]]</f>
        <v>71.2</v>
      </c>
      <c r="AA379" s="4">
        <f>(Games[[#This Row],[Keff]]*Games[[#This Row],[MOVMult]])*(Games[[#This Row],[Result]]-Games[[#This Row],[ExpectedWin%]])</f>
        <v>4.13252778955989</v>
      </c>
      <c r="AB379" s="4">
        <f>Games[[#This Row],[PreGmRate]]+Games[[#This Row],[RatingChange]]</f>
        <v>1525.4250285943185</v>
      </c>
      <c r="AC379" s="2">
        <f>IF(Games[[#This Row],[Type]]="R",IF(Games[[#This Row],[Result]]&gt;0.5,1,0),0)</f>
        <v>1</v>
      </c>
      <c r="AD379" s="2">
        <f>IF(Games[[#This Row],[Type]]="R",IF(Games[[#This Row],[Result]]&lt;0.5,1,0),0)</f>
        <v>0</v>
      </c>
      <c r="AE379" s="2">
        <f>IF(AND(Games[[#This Row],[Type]]="P",Games[[#This Row],[Round]]=1),IF(Games[[#This Row],[Result]]&gt;0.5,1,0),0)</f>
        <v>0</v>
      </c>
      <c r="AF379" s="2">
        <f>IF(AND(Games[[#This Row],[Type]]="P",Games[[#This Row],[Round]]=1),IF(Games[[#This Row],[Result]]&lt;0.5,1,0),0)</f>
        <v>0</v>
      </c>
      <c r="AG379" s="2">
        <f>IF(AND(Games[[#This Row],[Type]]="P",Games[[#This Row],[Round]]=2),IF(Games[[#This Row],[Result]]&gt;0.5,1,0),0)</f>
        <v>0</v>
      </c>
      <c r="AH379" s="2">
        <f>IF(AND(Games[[#This Row],[Type]]="P",Games[[#This Row],[Round]]=2),IF(Games[[#This Row],[Result]]&lt;0.5,1,0),0)</f>
        <v>0</v>
      </c>
      <c r="AI379" s="2">
        <f>IF(AND(Games[[#This Row],[Type]]="P",Games[[#This Row],[Round]]=3),IF(Games[[#This Row],[Result]]&gt;0.5,1,0),0)</f>
        <v>0</v>
      </c>
      <c r="AJ379" s="2">
        <f>IF(AND(Games[[#This Row],[Type]]="P",Games[[#This Row],[Round]]=3),IF(Games[[#This Row],[Result]]&lt;0.5,1,0),0)</f>
        <v>0</v>
      </c>
      <c r="AK379" s="2">
        <f>IF(AND(Games[[#This Row],[Type]]="P",Games[[#This Row],[Round]]=4),IF(Games[[#This Row],[Result]]&gt;0.5,1,0),0)</f>
        <v>0</v>
      </c>
      <c r="AL379" s="2">
        <f>IF(AND(Games[[#This Row],[Type]]="P",Games[[#This Row],[Round]]=4),IF(Games[[#This Row],[Result]]&lt;0.5,1,0),0)</f>
        <v>0</v>
      </c>
    </row>
    <row r="380" spans="1:38" x14ac:dyDescent="0.35">
      <c r="A380" s="10">
        <v>44458</v>
      </c>
      <c r="B380" s="2">
        <v>2021</v>
      </c>
      <c r="C380" s="2">
        <f>COUNTIFS(Games[Team],Games[[#This Row],[Team]],Games[Season],Games[[#This Row],[Season]],Games[Date],"&lt;=" &amp; Games[[#This Row],[Date]])</f>
        <v>32</v>
      </c>
      <c r="D380" s="2" t="s">
        <v>79</v>
      </c>
      <c r="E380" s="2" t="s">
        <v>80</v>
      </c>
      <c r="F380" s="1" t="s">
        <v>77</v>
      </c>
      <c r="G380" s="1" t="s">
        <v>74</v>
      </c>
      <c r="H380" s="1" t="s">
        <v>81</v>
      </c>
      <c r="I380" s="2" cm="1">
        <f t="array" ref="I380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0" s="2" cm="1">
        <f t="array" ref="J38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0" s="2">
        <f>Games[[#This Row],[DaysOff]]-Games[[#This Row],[OppDaysOff]]</f>
        <v>-1</v>
      </c>
      <c r="L380" s="2">
        <f>Games[[#This Row],[OppDaysOff]]-Games[[#This Row],[DaysOff]]</f>
        <v>1</v>
      </c>
      <c r="M380" s="1">
        <f>MAX(-16, MIN(16, Games[[#This Row],[RestDiff]]*8))</f>
        <v>-8</v>
      </c>
      <c r="N380" s="1">
        <f>MAX(-16, MIN(16, Games[[#This Row],[OppRestDiff]]*8))</f>
        <v>8</v>
      </c>
      <c r="O380" s="4" cm="1">
        <f t="array" ref="O38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1326.511948683135</v>
      </c>
      <c r="P380" s="4" cm="1">
        <f t="array" ref="P38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1700.7487744564019</v>
      </c>
      <c r="Q380" s="4">
        <f>1/(1+10^(((Games[[#This Row],[OppPreGmRate]]+IF(Games[[#This Row],[HomeAway]]="A",HCA,0)+Games[[#This Row],[OppRestAdj]])-(Games[[#This Row],[PreGmRate]]+IF(Games[[#This Row],[HomeAway]]="H",HCA,0)+Games[[#This Row],[RestAdj]]))/400))</f>
        <v>6.1230381004687022E-2</v>
      </c>
      <c r="R380" s="1">
        <v>64</v>
      </c>
      <c r="S380" s="1">
        <v>84</v>
      </c>
      <c r="T380" s="1">
        <v>0</v>
      </c>
      <c r="U380" s="1">
        <f>Games[[#This Row],[PointsFor]]-Games[[#This Row],[PointsAgainst]]</f>
        <v>-20</v>
      </c>
      <c r="V380" s="1">
        <f>IF(Games[[#This Row],[MOV]]&gt;0,1,IF(Games[[#This Row],[MOV]]=0,0.5,0))</f>
        <v>0</v>
      </c>
      <c r="W380" s="4">
        <f>((ABS(Games[[#This Row],[MOV]])+5)^0.6)/(12+0.01*(ABS(Games[[#This Row],[PreGmRate]]-Games[[#This Row],[OppPreGmRate]])))*IF(Games[[#This Row],[OT]]=1,0.9,1)</f>
        <v>0.43822175890958776</v>
      </c>
      <c r="X380" s="7" cm="1">
        <f t="array" ref="X38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0" s="9">
        <f>MAX(kmin, kmax - 0.15 * MIN(Games[[#This Row],[GamesPlayed]], 82))</f>
        <v>71.2</v>
      </c>
      <c r="Z380" s="4">
        <f>Games[[#This Row],[K]]*Games[[#This Row],[POMult]]</f>
        <v>71.2</v>
      </c>
      <c r="AA380" s="4">
        <f>(Games[[#This Row],[Keff]]*Games[[#This Row],[MOVMult]])*(Games[[#This Row],[Result]]-Games[[#This Row],[ExpectedWin%]])</f>
        <v>-1.9104729506955651</v>
      </c>
      <c r="AB380" s="4">
        <f>Games[[#This Row],[PreGmRate]]+Games[[#This Row],[RatingChange]]</f>
        <v>1324.6014757324394</v>
      </c>
      <c r="AC380" s="2">
        <f>IF(Games[[#This Row],[Type]]="R",IF(Games[[#This Row],[Result]]&gt;0.5,1,0),0)</f>
        <v>0</v>
      </c>
      <c r="AD380" s="2">
        <f>IF(Games[[#This Row],[Type]]="R",IF(Games[[#This Row],[Result]]&lt;0.5,1,0),0)</f>
        <v>1</v>
      </c>
      <c r="AE380" s="2">
        <f>IF(AND(Games[[#This Row],[Type]]="P",Games[[#This Row],[Round]]=1),IF(Games[[#This Row],[Result]]&gt;0.5,1,0),0)</f>
        <v>0</v>
      </c>
      <c r="AF380" s="2">
        <f>IF(AND(Games[[#This Row],[Type]]="P",Games[[#This Row],[Round]]=1),IF(Games[[#This Row],[Result]]&lt;0.5,1,0),0)</f>
        <v>0</v>
      </c>
      <c r="AG380" s="2">
        <f>IF(AND(Games[[#This Row],[Type]]="P",Games[[#This Row],[Round]]=2),IF(Games[[#This Row],[Result]]&gt;0.5,1,0),0)</f>
        <v>0</v>
      </c>
      <c r="AH380" s="2">
        <f>IF(AND(Games[[#This Row],[Type]]="P",Games[[#This Row],[Round]]=2),IF(Games[[#This Row],[Result]]&lt;0.5,1,0),0)</f>
        <v>0</v>
      </c>
      <c r="AI380" s="2">
        <f>IF(AND(Games[[#This Row],[Type]]="P",Games[[#This Row],[Round]]=3),IF(Games[[#This Row],[Result]]&gt;0.5,1,0),0)</f>
        <v>0</v>
      </c>
      <c r="AJ380" s="2">
        <f>IF(AND(Games[[#This Row],[Type]]="P",Games[[#This Row],[Round]]=3),IF(Games[[#This Row],[Result]]&lt;0.5,1,0),0)</f>
        <v>0</v>
      </c>
      <c r="AK380" s="2">
        <f>IF(AND(Games[[#This Row],[Type]]="P",Games[[#This Row],[Round]]=4),IF(Games[[#This Row],[Result]]&gt;0.5,1,0),0)</f>
        <v>0</v>
      </c>
      <c r="AL380" s="2">
        <f>IF(AND(Games[[#This Row],[Type]]="P",Games[[#This Row],[Round]]=4),IF(Games[[#This Row],[Result]]&lt;0.5,1,0),0)</f>
        <v>0</v>
      </c>
    </row>
    <row r="381" spans="1:38" x14ac:dyDescent="0.35">
      <c r="A381" s="10">
        <v>44458</v>
      </c>
      <c r="B381" s="2">
        <v>2021</v>
      </c>
      <c r="C381" s="2">
        <f>COUNTIFS(Games[Team],Games[[#This Row],[Team]],Games[Season],Games[[#This Row],[Season]],Games[Date],"&lt;=" &amp; Games[[#This Row],[Date]])</f>
        <v>33</v>
      </c>
      <c r="D381" s="2" t="s">
        <v>79</v>
      </c>
      <c r="E381" s="2" t="s">
        <v>80</v>
      </c>
      <c r="F381" s="1" t="s">
        <v>74</v>
      </c>
      <c r="G381" s="1" t="s">
        <v>77</v>
      </c>
      <c r="H381" s="1" t="s">
        <v>82</v>
      </c>
      <c r="I381" s="2" cm="1">
        <f t="array" ref="I38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1" s="2" cm="1">
        <f t="array" ref="J38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1" s="2">
        <f>Games[[#This Row],[DaysOff]]-Games[[#This Row],[OppDaysOff]]</f>
        <v>1</v>
      </c>
      <c r="L381" s="2">
        <f>Games[[#This Row],[OppDaysOff]]-Games[[#This Row],[DaysOff]]</f>
        <v>-1</v>
      </c>
      <c r="M381" s="1">
        <f>MAX(-16, MIN(16, Games[[#This Row],[RestDiff]]*8))</f>
        <v>8</v>
      </c>
      <c r="N381" s="1">
        <f>MAX(-16, MIN(16, Games[[#This Row],[OppRestDiff]]*8))</f>
        <v>-8</v>
      </c>
      <c r="O381" s="4" cm="1">
        <f t="array" ref="O38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1700.7487744564019</v>
      </c>
      <c r="P381" s="4" cm="1">
        <f t="array" ref="P38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1326.511948683135</v>
      </c>
      <c r="Q381" s="4">
        <f>1/(1+10^(((Games[[#This Row],[OppPreGmRate]]+IF(Games[[#This Row],[HomeAway]]="A",HCA,0)+Games[[#This Row],[OppRestAdj]])-(Games[[#This Row],[PreGmRate]]+IF(Games[[#This Row],[HomeAway]]="H",HCA,0)+Games[[#This Row],[RestAdj]]))/400))</f>
        <v>0.93876961899531286</v>
      </c>
      <c r="R381" s="1">
        <v>84</v>
      </c>
      <c r="S381" s="1">
        <v>64</v>
      </c>
      <c r="T381" s="1">
        <v>0</v>
      </c>
      <c r="U381" s="1">
        <f>Games[[#This Row],[PointsFor]]-Games[[#This Row],[PointsAgainst]]</f>
        <v>20</v>
      </c>
      <c r="V381" s="1">
        <f>IF(Games[[#This Row],[MOV]]&gt;0,1,IF(Games[[#This Row],[MOV]]=0,0.5,0))</f>
        <v>1</v>
      </c>
      <c r="W381" s="4">
        <f>((ABS(Games[[#This Row],[MOV]])+5)^0.6)/(12+0.01*(ABS(Games[[#This Row],[PreGmRate]]-Games[[#This Row],[OppPreGmRate]])))*IF(Games[[#This Row],[OT]]=1,0.9,1)</f>
        <v>0.43822175890958776</v>
      </c>
      <c r="X381" s="7" cm="1">
        <f t="array" ref="X38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1" s="9">
        <f>MAX(kmin, kmax - 0.15 * MIN(Games[[#This Row],[GamesPlayed]], 82))</f>
        <v>71.05</v>
      </c>
      <c r="Z381" s="4">
        <f>Games[[#This Row],[K]]*Games[[#This Row],[POMult]]</f>
        <v>71.05</v>
      </c>
      <c r="AA381" s="4">
        <f>(Games[[#This Row],[Keff]]*Games[[#This Row],[MOVMult]])*(Games[[#This Row],[Result]]-Games[[#This Row],[ExpectedWin%]])</f>
        <v>1.9064480779061816</v>
      </c>
      <c r="AB381" s="4">
        <f>Games[[#This Row],[PreGmRate]]+Games[[#This Row],[RatingChange]]</f>
        <v>1702.655222534308</v>
      </c>
      <c r="AC381" s="2">
        <f>IF(Games[[#This Row],[Type]]="R",IF(Games[[#This Row],[Result]]&gt;0.5,1,0),0)</f>
        <v>1</v>
      </c>
      <c r="AD381" s="2">
        <f>IF(Games[[#This Row],[Type]]="R",IF(Games[[#This Row],[Result]]&lt;0.5,1,0),0)</f>
        <v>0</v>
      </c>
      <c r="AE381" s="2">
        <f>IF(AND(Games[[#This Row],[Type]]="P",Games[[#This Row],[Round]]=1),IF(Games[[#This Row],[Result]]&gt;0.5,1,0),0)</f>
        <v>0</v>
      </c>
      <c r="AF381" s="2">
        <f>IF(AND(Games[[#This Row],[Type]]="P",Games[[#This Row],[Round]]=1),IF(Games[[#This Row],[Result]]&lt;0.5,1,0),0)</f>
        <v>0</v>
      </c>
      <c r="AG381" s="2">
        <f>IF(AND(Games[[#This Row],[Type]]="P",Games[[#This Row],[Round]]=2),IF(Games[[#This Row],[Result]]&gt;0.5,1,0),0)</f>
        <v>0</v>
      </c>
      <c r="AH381" s="2">
        <f>IF(AND(Games[[#This Row],[Type]]="P",Games[[#This Row],[Round]]=2),IF(Games[[#This Row],[Result]]&lt;0.5,1,0),0)</f>
        <v>0</v>
      </c>
      <c r="AI381" s="2">
        <f>IF(AND(Games[[#This Row],[Type]]="P",Games[[#This Row],[Round]]=3),IF(Games[[#This Row],[Result]]&gt;0.5,1,0),0)</f>
        <v>0</v>
      </c>
      <c r="AJ381" s="2">
        <f>IF(AND(Games[[#This Row],[Type]]="P",Games[[#This Row],[Round]]=3),IF(Games[[#This Row],[Result]]&lt;0.5,1,0),0)</f>
        <v>0</v>
      </c>
      <c r="AK381" s="2">
        <f>IF(AND(Games[[#This Row],[Type]]="P",Games[[#This Row],[Round]]=4),IF(Games[[#This Row],[Result]]&gt;0.5,1,0),0)</f>
        <v>0</v>
      </c>
      <c r="AL381" s="2">
        <f>IF(AND(Games[[#This Row],[Type]]="P",Games[[#This Row],[Round]]=4),IF(Games[[#This Row],[Result]]&lt;0.5,1,0),0)</f>
        <v>0</v>
      </c>
    </row>
    <row r="382" spans="1:38" x14ac:dyDescent="0.35">
      <c r="A382" s="10">
        <v>44458</v>
      </c>
      <c r="B382" s="2">
        <v>2021</v>
      </c>
      <c r="C382" s="2">
        <f>COUNTIFS(Games[Team],Games[[#This Row],[Team]],Games[Season],Games[[#This Row],[Season]],Games[Date],"&lt;=" &amp; Games[[#This Row],[Date]])</f>
        <v>32</v>
      </c>
      <c r="D382" s="2" t="s">
        <v>79</v>
      </c>
      <c r="E382" s="2" t="s">
        <v>80</v>
      </c>
      <c r="F382" s="1" t="s">
        <v>63</v>
      </c>
      <c r="G382" s="1" t="s">
        <v>84</v>
      </c>
      <c r="H382" s="1" t="s">
        <v>81</v>
      </c>
      <c r="I382" s="2" cm="1">
        <f t="array" ref="I38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82" s="2" cm="1">
        <f t="array" ref="J382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82" s="2">
        <f>Games[[#This Row],[DaysOff]]-Games[[#This Row],[OppDaysOff]]</f>
        <v>-3</v>
      </c>
      <c r="L382" s="2">
        <f>Games[[#This Row],[OppDaysOff]]-Games[[#This Row],[DaysOff]]</f>
        <v>3</v>
      </c>
      <c r="M382" s="1">
        <f>MAX(-16, MIN(16, Games[[#This Row],[RestDiff]]*8))</f>
        <v>-16</v>
      </c>
      <c r="N382" s="1">
        <f>MAX(-16, MIN(16, Games[[#This Row],[OppRestDiff]]*8))</f>
        <v>16</v>
      </c>
      <c r="O382" s="4" cm="1">
        <f t="array" ref="O38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1436.3772937168567</v>
      </c>
      <c r="P382" s="4" cm="1">
        <f t="array" ref="P38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1444.3173325586174</v>
      </c>
      <c r="Q382" s="4">
        <f>1/(1+10^(((Games[[#This Row],[OppPreGmRate]]+IF(Games[[#This Row],[HomeAway]]="A",HCA,0)+Games[[#This Row],[OppRestAdj]])-(Games[[#This Row],[PreGmRate]]+IF(Games[[#This Row],[HomeAway]]="H",HCA,0)+Games[[#This Row],[RestAdj]]))/400))</f>
        <v>0.32883559336377882</v>
      </c>
      <c r="R382" s="1">
        <v>84</v>
      </c>
      <c r="S382" s="1">
        <v>87</v>
      </c>
      <c r="T382" s="1">
        <v>0</v>
      </c>
      <c r="U382" s="1">
        <f>Games[[#This Row],[PointsFor]]-Games[[#This Row],[PointsAgainst]]</f>
        <v>-3</v>
      </c>
      <c r="V382" s="1">
        <f>IF(Games[[#This Row],[MOV]]&gt;0,1,IF(Games[[#This Row],[MOV]]=0,0.5,0))</f>
        <v>0</v>
      </c>
      <c r="W382" s="4">
        <f>((ABS(Games[[#This Row],[MOV]])+5)^0.6)/(12+0.01*(ABS(Games[[#This Row],[PreGmRate]]-Games[[#This Row],[OppPreGmRate]])))*IF(Games[[#This Row],[OT]]=1,0.9,1)</f>
        <v>0.28827608500529739</v>
      </c>
      <c r="X382" s="7" cm="1">
        <f t="array" ref="X38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2" s="9">
        <f>MAX(kmin, kmax - 0.15 * MIN(Games[[#This Row],[GamesPlayed]], 82))</f>
        <v>71.2</v>
      </c>
      <c r="Z382" s="4">
        <f>Games[[#This Row],[K]]*Games[[#This Row],[POMult]]</f>
        <v>71.2</v>
      </c>
      <c r="AA382" s="4">
        <f>(Games[[#This Row],[Keff]]*Games[[#This Row],[MOVMult]])*(Games[[#This Row],[Result]]-Games[[#This Row],[ExpectedWin%]])</f>
        <v>-6.7494351475296526</v>
      </c>
      <c r="AB382" s="4">
        <f>Games[[#This Row],[PreGmRate]]+Games[[#This Row],[RatingChange]]</f>
        <v>1429.6278585693271</v>
      </c>
      <c r="AC382" s="2">
        <f>IF(Games[[#This Row],[Type]]="R",IF(Games[[#This Row],[Result]]&gt;0.5,1,0),0)</f>
        <v>0</v>
      </c>
      <c r="AD382" s="2">
        <f>IF(Games[[#This Row],[Type]]="R",IF(Games[[#This Row],[Result]]&lt;0.5,1,0),0)</f>
        <v>1</v>
      </c>
      <c r="AE382" s="2">
        <f>IF(AND(Games[[#This Row],[Type]]="P",Games[[#This Row],[Round]]=1),IF(Games[[#This Row],[Result]]&gt;0.5,1,0),0)</f>
        <v>0</v>
      </c>
      <c r="AF382" s="2">
        <f>IF(AND(Games[[#This Row],[Type]]="P",Games[[#This Row],[Round]]=1),IF(Games[[#This Row],[Result]]&lt;0.5,1,0),0)</f>
        <v>0</v>
      </c>
      <c r="AG382" s="2">
        <f>IF(AND(Games[[#This Row],[Type]]="P",Games[[#This Row],[Round]]=2),IF(Games[[#This Row],[Result]]&gt;0.5,1,0),0)</f>
        <v>0</v>
      </c>
      <c r="AH382" s="2">
        <f>IF(AND(Games[[#This Row],[Type]]="P",Games[[#This Row],[Round]]=2),IF(Games[[#This Row],[Result]]&lt;0.5,1,0),0)</f>
        <v>0</v>
      </c>
      <c r="AI382" s="2">
        <f>IF(AND(Games[[#This Row],[Type]]="P",Games[[#This Row],[Round]]=3),IF(Games[[#This Row],[Result]]&gt;0.5,1,0),0)</f>
        <v>0</v>
      </c>
      <c r="AJ382" s="2">
        <f>IF(AND(Games[[#This Row],[Type]]="P",Games[[#This Row],[Round]]=3),IF(Games[[#This Row],[Result]]&lt;0.5,1,0),0)</f>
        <v>0</v>
      </c>
      <c r="AK382" s="2">
        <f>IF(AND(Games[[#This Row],[Type]]="P",Games[[#This Row],[Round]]=4),IF(Games[[#This Row],[Result]]&gt;0.5,1,0),0)</f>
        <v>0</v>
      </c>
      <c r="AL382" s="2">
        <f>IF(AND(Games[[#This Row],[Type]]="P",Games[[#This Row],[Round]]=4),IF(Games[[#This Row],[Result]]&lt;0.5,1,0),0)</f>
        <v>0</v>
      </c>
    </row>
    <row r="383" spans="1:38" x14ac:dyDescent="0.35">
      <c r="A383" s="10">
        <v>44458</v>
      </c>
      <c r="B383" s="2">
        <v>2021</v>
      </c>
      <c r="C383" s="2">
        <f>COUNTIFS(Games[Team],Games[[#This Row],[Team]],Games[Season],Games[[#This Row],[Season]],Games[Date],"&lt;=" &amp; Games[[#This Row],[Date]])</f>
        <v>32</v>
      </c>
      <c r="D383" s="2" t="s">
        <v>79</v>
      </c>
      <c r="E383" s="2" t="s">
        <v>80</v>
      </c>
      <c r="F383" s="1" t="s">
        <v>84</v>
      </c>
      <c r="G383" s="1" t="s">
        <v>63</v>
      </c>
      <c r="H383" s="1" t="s">
        <v>82</v>
      </c>
      <c r="I383" s="2" cm="1">
        <f t="array" ref="I383">IFERROR(
    Games[[#This Row],[Date]]
    - LOOKUP(
        2,
        1/((Games[Team]=Games[[#This Row],[Team]]) * (Games[Date] &lt; Games[[#This Row],[Date]])),
        Games[Date]
    )
    - 1,
Games[[#This Row],[Date]]-$A$2)</f>
        <v>5</v>
      </c>
      <c r="J383" s="2" cm="1">
        <f t="array" ref="J38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83" s="2">
        <f>Games[[#This Row],[DaysOff]]-Games[[#This Row],[OppDaysOff]]</f>
        <v>3</v>
      </c>
      <c r="L383" s="2">
        <f>Games[[#This Row],[OppDaysOff]]-Games[[#This Row],[DaysOff]]</f>
        <v>-3</v>
      </c>
      <c r="M383" s="1">
        <f>MAX(-16, MIN(16, Games[[#This Row],[RestDiff]]*8))</f>
        <v>16</v>
      </c>
      <c r="N383" s="1">
        <f>MAX(-16, MIN(16, Games[[#This Row],[OppRestDiff]]*8))</f>
        <v>-16</v>
      </c>
      <c r="O383" s="4" cm="1">
        <f t="array" ref="O38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1444.3173325586174</v>
      </c>
      <c r="P383" s="4" cm="1">
        <f t="array" ref="P38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1436.3772937168567</v>
      </c>
      <c r="Q383" s="4">
        <f>1/(1+10^(((Games[[#This Row],[OppPreGmRate]]+IF(Games[[#This Row],[HomeAway]]="A",HCA,0)+Games[[#This Row],[OppRestAdj]])-(Games[[#This Row],[PreGmRate]]+IF(Games[[#This Row],[HomeAway]]="H",HCA,0)+Games[[#This Row],[RestAdj]]))/400))</f>
        <v>0.67116440663622123</v>
      </c>
      <c r="R383" s="1">
        <v>87</v>
      </c>
      <c r="S383" s="1">
        <v>84</v>
      </c>
      <c r="T383" s="1">
        <v>0</v>
      </c>
      <c r="U383" s="1">
        <f>Games[[#This Row],[PointsFor]]-Games[[#This Row],[PointsAgainst]]</f>
        <v>3</v>
      </c>
      <c r="V383" s="1">
        <f>IF(Games[[#This Row],[MOV]]&gt;0,1,IF(Games[[#This Row],[MOV]]=0,0.5,0))</f>
        <v>1</v>
      </c>
      <c r="W383" s="4">
        <f>((ABS(Games[[#This Row],[MOV]])+5)^0.6)/(12+0.01*(ABS(Games[[#This Row],[PreGmRate]]-Games[[#This Row],[OppPreGmRate]])))*IF(Games[[#This Row],[OT]]=1,0.9,1)</f>
        <v>0.28827608500529739</v>
      </c>
      <c r="X383" s="7" cm="1">
        <f t="array" ref="X38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3" s="9">
        <f>MAX(kmin, kmax - 0.15 * MIN(Games[[#This Row],[GamesPlayed]], 82))</f>
        <v>71.2</v>
      </c>
      <c r="Z383" s="4">
        <f>Games[[#This Row],[K]]*Games[[#This Row],[POMult]]</f>
        <v>71.2</v>
      </c>
      <c r="AA383" s="4">
        <f>(Games[[#This Row],[Keff]]*Games[[#This Row],[MOVMult]])*(Games[[#This Row],[Result]]-Games[[#This Row],[ExpectedWin%]])</f>
        <v>6.7494351475296508</v>
      </c>
      <c r="AB383" s="4">
        <f>Games[[#This Row],[PreGmRate]]+Games[[#This Row],[RatingChange]]</f>
        <v>1451.0667677061469</v>
      </c>
      <c r="AC383" s="2">
        <f>IF(Games[[#This Row],[Type]]="R",IF(Games[[#This Row],[Result]]&gt;0.5,1,0),0)</f>
        <v>1</v>
      </c>
      <c r="AD383" s="2">
        <f>IF(Games[[#This Row],[Type]]="R",IF(Games[[#This Row],[Result]]&lt;0.5,1,0),0)</f>
        <v>0</v>
      </c>
      <c r="AE383" s="2">
        <f>IF(AND(Games[[#This Row],[Type]]="P",Games[[#This Row],[Round]]=1),IF(Games[[#This Row],[Result]]&gt;0.5,1,0),0)</f>
        <v>0</v>
      </c>
      <c r="AF383" s="2">
        <f>IF(AND(Games[[#This Row],[Type]]="P",Games[[#This Row],[Round]]=1),IF(Games[[#This Row],[Result]]&lt;0.5,1,0),0)</f>
        <v>0</v>
      </c>
      <c r="AG383" s="2">
        <f>IF(AND(Games[[#This Row],[Type]]="P",Games[[#This Row],[Round]]=2),IF(Games[[#This Row],[Result]]&gt;0.5,1,0),0)</f>
        <v>0</v>
      </c>
      <c r="AH383" s="2">
        <f>IF(AND(Games[[#This Row],[Type]]="P",Games[[#This Row],[Round]]=2),IF(Games[[#This Row],[Result]]&lt;0.5,1,0),0)</f>
        <v>0</v>
      </c>
      <c r="AI383" s="2">
        <f>IF(AND(Games[[#This Row],[Type]]="P",Games[[#This Row],[Round]]=3),IF(Games[[#This Row],[Result]]&gt;0.5,1,0),0)</f>
        <v>0</v>
      </c>
      <c r="AJ383" s="2">
        <f>IF(AND(Games[[#This Row],[Type]]="P",Games[[#This Row],[Round]]=3),IF(Games[[#This Row],[Result]]&lt;0.5,1,0),0)</f>
        <v>0</v>
      </c>
      <c r="AK383" s="2">
        <f>IF(AND(Games[[#This Row],[Type]]="P",Games[[#This Row],[Round]]=4),IF(Games[[#This Row],[Result]]&gt;0.5,1,0),0)</f>
        <v>0</v>
      </c>
      <c r="AL383" s="2">
        <f>IF(AND(Games[[#This Row],[Type]]="P",Games[[#This Row],[Round]]=4),IF(Games[[#This Row],[Result]]&lt;0.5,1,0),0)</f>
        <v>0</v>
      </c>
    </row>
    <row r="384" spans="1:38" x14ac:dyDescent="0.35">
      <c r="A384" s="10">
        <v>44458</v>
      </c>
      <c r="B384" s="2">
        <v>2021</v>
      </c>
      <c r="C384" s="2">
        <f>COUNTIFS(Games[Team],Games[[#This Row],[Team]],Games[Season],Games[[#This Row],[Season]],Games[Date],"&lt;=" &amp; Games[[#This Row],[Date]])</f>
        <v>32</v>
      </c>
      <c r="D384" s="2" t="s">
        <v>79</v>
      </c>
      <c r="E384" s="2" t="s">
        <v>80</v>
      </c>
      <c r="F384" s="1" t="s">
        <v>85</v>
      </c>
      <c r="G384" s="1" t="s">
        <v>40</v>
      </c>
      <c r="H384" s="1" t="s">
        <v>81</v>
      </c>
      <c r="I384" s="2" cm="1">
        <f t="array" ref="I384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4" s="2" cm="1">
        <f t="array" ref="J38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4" s="2">
        <f>Games[[#This Row],[DaysOff]]-Games[[#This Row],[OppDaysOff]]</f>
        <v>0</v>
      </c>
      <c r="L384" s="2">
        <f>Games[[#This Row],[OppDaysOff]]-Games[[#This Row],[DaysOff]]</f>
        <v>0</v>
      </c>
      <c r="M384" s="1">
        <f>MAX(-16, MIN(16, Games[[#This Row],[RestDiff]]*8))</f>
        <v>0</v>
      </c>
      <c r="N384" s="1">
        <f>MAX(-16, MIN(16, Games[[#This Row],[OppRestDiff]]*8))</f>
        <v>0</v>
      </c>
      <c r="O384" s="4" cm="1">
        <f t="array" ref="O38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1676.7442360793916</v>
      </c>
      <c r="P384" s="4" cm="1">
        <f t="array" ref="P38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1564.2391517762057</v>
      </c>
      <c r="Q384" s="4">
        <f>1/(1+10^(((Games[[#This Row],[OppPreGmRate]]+IF(Games[[#This Row],[HomeAway]]="A",HCA,0)+Games[[#This Row],[OppRestAdj]])-(Games[[#This Row],[PreGmRate]]+IF(Games[[#This Row],[HomeAway]]="H",HCA,0)+Games[[#This Row],[RestAdj]]))/400))</f>
        <v>0.54093031758264709</v>
      </c>
      <c r="R384" s="1">
        <v>84</v>
      </c>
      <c r="S384" s="1">
        <v>83</v>
      </c>
      <c r="T384" s="1">
        <v>0</v>
      </c>
      <c r="U384" s="1">
        <f>Games[[#This Row],[PointsFor]]-Games[[#This Row],[PointsAgainst]]</f>
        <v>1</v>
      </c>
      <c r="V384" s="1">
        <f>IF(Games[[#This Row],[MOV]]&gt;0,1,IF(Games[[#This Row],[MOV]]=0,0.5,0))</f>
        <v>1</v>
      </c>
      <c r="W384" s="4">
        <f>((ABS(Games[[#This Row],[MOV]])+5)^0.6)/(12+0.01*(ABS(Games[[#This Row],[PreGmRate]]-Games[[#This Row],[OppPreGmRate]])))*IF(Games[[#This Row],[OT]]=1,0.9,1)</f>
        <v>0.22324912007020167</v>
      </c>
      <c r="X384" s="7" cm="1">
        <f t="array" ref="X38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4" s="9">
        <f>MAX(kmin, kmax - 0.15 * MIN(Games[[#This Row],[GamesPlayed]], 82))</f>
        <v>71.2</v>
      </c>
      <c r="Z384" s="4">
        <f>Games[[#This Row],[K]]*Games[[#This Row],[POMult]]</f>
        <v>71.2</v>
      </c>
      <c r="AA384" s="4">
        <f>(Games[[#This Row],[Keff]]*Games[[#This Row],[MOVMult]])*(Games[[#This Row],[Result]]-Games[[#This Row],[ExpectedWin%]])</f>
        <v>7.2970674687213659</v>
      </c>
      <c r="AB384" s="4">
        <f>Games[[#This Row],[PreGmRate]]+Games[[#This Row],[RatingChange]]</f>
        <v>1684.0413035481129</v>
      </c>
      <c r="AC384" s="2">
        <f>IF(Games[[#This Row],[Type]]="R",IF(Games[[#This Row],[Result]]&gt;0.5,1,0),0)</f>
        <v>1</v>
      </c>
      <c r="AD384" s="2">
        <f>IF(Games[[#This Row],[Type]]="R",IF(Games[[#This Row],[Result]]&lt;0.5,1,0),0)</f>
        <v>0</v>
      </c>
      <c r="AE384" s="2">
        <f>IF(AND(Games[[#This Row],[Type]]="P",Games[[#This Row],[Round]]=1),IF(Games[[#This Row],[Result]]&gt;0.5,1,0),0)</f>
        <v>0</v>
      </c>
      <c r="AF384" s="2">
        <f>IF(AND(Games[[#This Row],[Type]]="P",Games[[#This Row],[Round]]=1),IF(Games[[#This Row],[Result]]&lt;0.5,1,0),0)</f>
        <v>0</v>
      </c>
      <c r="AG384" s="2">
        <f>IF(AND(Games[[#This Row],[Type]]="P",Games[[#This Row],[Round]]=2),IF(Games[[#This Row],[Result]]&gt;0.5,1,0),0)</f>
        <v>0</v>
      </c>
      <c r="AH384" s="2">
        <f>IF(AND(Games[[#This Row],[Type]]="P",Games[[#This Row],[Round]]=2),IF(Games[[#This Row],[Result]]&lt;0.5,1,0),0)</f>
        <v>0</v>
      </c>
      <c r="AI384" s="2">
        <f>IF(AND(Games[[#This Row],[Type]]="P",Games[[#This Row],[Round]]=3),IF(Games[[#This Row],[Result]]&gt;0.5,1,0),0)</f>
        <v>0</v>
      </c>
      <c r="AJ384" s="2">
        <f>IF(AND(Games[[#This Row],[Type]]="P",Games[[#This Row],[Round]]=3),IF(Games[[#This Row],[Result]]&lt;0.5,1,0),0)</f>
        <v>0</v>
      </c>
      <c r="AK384" s="2">
        <f>IF(AND(Games[[#This Row],[Type]]="P",Games[[#This Row],[Round]]=4),IF(Games[[#This Row],[Result]]&gt;0.5,1,0),0)</f>
        <v>0</v>
      </c>
      <c r="AL384" s="2">
        <f>IF(AND(Games[[#This Row],[Type]]="P",Games[[#This Row],[Round]]=4),IF(Games[[#This Row],[Result]]&lt;0.5,1,0),0)</f>
        <v>0</v>
      </c>
    </row>
    <row r="385" spans="1:38" x14ac:dyDescent="0.35">
      <c r="A385" s="10">
        <v>44458</v>
      </c>
      <c r="B385" s="2">
        <v>2021</v>
      </c>
      <c r="C385" s="2">
        <f>COUNTIFS(Games[Team],Games[[#This Row],[Team]],Games[Season],Games[[#This Row],[Season]],Games[Date],"&lt;=" &amp; Games[[#This Row],[Date]])</f>
        <v>32</v>
      </c>
      <c r="D385" s="2" t="s">
        <v>79</v>
      </c>
      <c r="E385" s="2" t="s">
        <v>80</v>
      </c>
      <c r="F385" s="1" t="s">
        <v>40</v>
      </c>
      <c r="G385" s="1" t="s">
        <v>85</v>
      </c>
      <c r="H385" s="1" t="s">
        <v>82</v>
      </c>
      <c r="I385" s="2" cm="1">
        <f t="array" ref="I385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5" s="2" cm="1">
        <f t="array" ref="J385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5" s="2">
        <f>Games[[#This Row],[DaysOff]]-Games[[#This Row],[OppDaysOff]]</f>
        <v>0</v>
      </c>
      <c r="L385" s="2">
        <f>Games[[#This Row],[OppDaysOff]]-Games[[#This Row],[DaysOff]]</f>
        <v>0</v>
      </c>
      <c r="M385" s="1">
        <f>MAX(-16, MIN(16, Games[[#This Row],[RestDiff]]*8))</f>
        <v>0</v>
      </c>
      <c r="N385" s="1">
        <f>MAX(-16, MIN(16, Games[[#This Row],[OppRestDiff]]*8))</f>
        <v>0</v>
      </c>
      <c r="O385" s="4" cm="1">
        <f t="array" ref="O38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1564.2391517762057</v>
      </c>
      <c r="P385" s="4" cm="1">
        <f t="array" ref="P38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1676.7442360793916</v>
      </c>
      <c r="Q385" s="4">
        <f>1/(1+10^(((Games[[#This Row],[OppPreGmRate]]+IF(Games[[#This Row],[HomeAway]]="A",HCA,0)+Games[[#This Row],[OppRestAdj]])-(Games[[#This Row],[PreGmRate]]+IF(Games[[#This Row],[HomeAway]]="H",HCA,0)+Games[[#This Row],[RestAdj]]))/400))</f>
        <v>0.45906968241735296</v>
      </c>
      <c r="R385" s="1">
        <v>83</v>
      </c>
      <c r="S385" s="1">
        <v>84</v>
      </c>
      <c r="T385" s="1">
        <v>0</v>
      </c>
      <c r="U385" s="1">
        <f>Games[[#This Row],[PointsFor]]-Games[[#This Row],[PointsAgainst]]</f>
        <v>-1</v>
      </c>
      <c r="V385" s="1">
        <f>IF(Games[[#This Row],[MOV]]&gt;0,1,IF(Games[[#This Row],[MOV]]=0,0.5,0))</f>
        <v>0</v>
      </c>
      <c r="W385" s="4">
        <f>((ABS(Games[[#This Row],[MOV]])+5)^0.6)/(12+0.01*(ABS(Games[[#This Row],[PreGmRate]]-Games[[#This Row],[OppPreGmRate]])))*IF(Games[[#This Row],[OT]]=1,0.9,1)</f>
        <v>0.22324912007020167</v>
      </c>
      <c r="X385" s="7" cm="1">
        <f t="array" ref="X38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5" s="9">
        <f>MAX(kmin, kmax - 0.15 * MIN(Games[[#This Row],[GamesPlayed]], 82))</f>
        <v>71.2</v>
      </c>
      <c r="Z385" s="4">
        <f>Games[[#This Row],[K]]*Games[[#This Row],[POMult]]</f>
        <v>71.2</v>
      </c>
      <c r="AA385" s="4">
        <f>(Games[[#This Row],[Keff]]*Games[[#This Row],[MOVMult]])*(Games[[#This Row],[Result]]-Games[[#This Row],[ExpectedWin%]])</f>
        <v>-7.2970674687213668</v>
      </c>
      <c r="AB385" s="4">
        <f>Games[[#This Row],[PreGmRate]]+Games[[#This Row],[RatingChange]]</f>
        <v>1556.9420843074843</v>
      </c>
      <c r="AC385" s="2">
        <f>IF(Games[[#This Row],[Type]]="R",IF(Games[[#This Row],[Result]]&gt;0.5,1,0),0)</f>
        <v>0</v>
      </c>
      <c r="AD385" s="2">
        <f>IF(Games[[#This Row],[Type]]="R",IF(Games[[#This Row],[Result]]&lt;0.5,1,0),0)</f>
        <v>1</v>
      </c>
      <c r="AE385" s="2">
        <f>IF(AND(Games[[#This Row],[Type]]="P",Games[[#This Row],[Round]]=1),IF(Games[[#This Row],[Result]]&gt;0.5,1,0),0)</f>
        <v>0</v>
      </c>
      <c r="AF385" s="2">
        <f>IF(AND(Games[[#This Row],[Type]]="P",Games[[#This Row],[Round]]=1),IF(Games[[#This Row],[Result]]&lt;0.5,1,0),0)</f>
        <v>0</v>
      </c>
      <c r="AG385" s="2">
        <f>IF(AND(Games[[#This Row],[Type]]="P",Games[[#This Row],[Round]]=2),IF(Games[[#This Row],[Result]]&gt;0.5,1,0),0)</f>
        <v>0</v>
      </c>
      <c r="AH385" s="2">
        <f>IF(AND(Games[[#This Row],[Type]]="P",Games[[#This Row],[Round]]=2),IF(Games[[#This Row],[Result]]&lt;0.5,1,0),0)</f>
        <v>0</v>
      </c>
      <c r="AI385" s="2">
        <f>IF(AND(Games[[#This Row],[Type]]="P",Games[[#This Row],[Round]]=3),IF(Games[[#This Row],[Result]]&gt;0.5,1,0),0)</f>
        <v>0</v>
      </c>
      <c r="AJ385" s="2">
        <f>IF(AND(Games[[#This Row],[Type]]="P",Games[[#This Row],[Round]]=3),IF(Games[[#This Row],[Result]]&lt;0.5,1,0),0)</f>
        <v>0</v>
      </c>
      <c r="AK385" s="2">
        <f>IF(AND(Games[[#This Row],[Type]]="P",Games[[#This Row],[Round]]=4),IF(Games[[#This Row],[Result]]&gt;0.5,1,0),0)</f>
        <v>0</v>
      </c>
      <c r="AL385" s="2">
        <f>IF(AND(Games[[#This Row],[Type]]="P",Games[[#This Row],[Round]]=4),IF(Games[[#This Row],[Result]]&lt;0.5,1,0),0)</f>
        <v>0</v>
      </c>
    </row>
    <row r="386" spans="1:38" x14ac:dyDescent="0.35">
      <c r="A386" s="10">
        <v>44458</v>
      </c>
      <c r="B386" s="2">
        <v>2021</v>
      </c>
      <c r="C386" s="2">
        <f>COUNTIFS(Games[Team],Games[[#This Row],[Team]],Games[Season],Games[[#This Row],[Season]],Games[Date],"&lt;=" &amp; Games[[#This Row],[Date]])</f>
        <v>32</v>
      </c>
      <c r="D386" s="2" t="s">
        <v>79</v>
      </c>
      <c r="E386" s="2" t="s">
        <v>80</v>
      </c>
      <c r="F386" s="1" t="s">
        <v>67</v>
      </c>
      <c r="G386" s="1" t="s">
        <v>65</v>
      </c>
      <c r="H386" s="1" t="s">
        <v>81</v>
      </c>
      <c r="I386" s="2" cm="1">
        <f t="array" ref="I38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6" s="2" cm="1">
        <f t="array" ref="J386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6" s="2">
        <f>Games[[#This Row],[DaysOff]]-Games[[#This Row],[OppDaysOff]]</f>
        <v>0</v>
      </c>
      <c r="L386" s="2">
        <f>Games[[#This Row],[OppDaysOff]]-Games[[#This Row],[DaysOff]]</f>
        <v>0</v>
      </c>
      <c r="M386" s="1">
        <f>MAX(-16, MIN(16, Games[[#This Row],[RestDiff]]*8))</f>
        <v>0</v>
      </c>
      <c r="N386" s="1">
        <f>MAX(-16, MIN(16, Games[[#This Row],[OppRestDiff]]*8))</f>
        <v>0</v>
      </c>
      <c r="O386" s="4" cm="1">
        <f t="array" ref="O38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1616.4051973403893</v>
      </c>
      <c r="P386" s="4" cm="1">
        <f t="array" ref="P38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1429.7002747149486</v>
      </c>
      <c r="Q386" s="4">
        <f>1/(1+10^(((Games[[#This Row],[OppPreGmRate]]+IF(Games[[#This Row],[HomeAway]]="A",HCA,0)+Games[[#This Row],[OppRestAdj]])-(Games[[#This Row],[PreGmRate]]+IF(Games[[#This Row],[HomeAway]]="H",HCA,0)+Games[[#This Row],[RestAdj]]))/400))</f>
        <v>0.64364434691556005</v>
      </c>
      <c r="R386" s="1">
        <v>83</v>
      </c>
      <c r="S386" s="1">
        <v>77</v>
      </c>
      <c r="T386" s="1">
        <v>0</v>
      </c>
      <c r="U386" s="1">
        <f>Games[[#This Row],[PointsFor]]-Games[[#This Row],[PointsAgainst]]</f>
        <v>6</v>
      </c>
      <c r="V386" s="1">
        <f>IF(Games[[#This Row],[MOV]]&gt;0,1,IF(Games[[#This Row],[MOV]]=0,0.5,0))</f>
        <v>1</v>
      </c>
      <c r="W386" s="4">
        <f>((ABS(Games[[#This Row],[MOV]])+5)^0.6)/(12+0.01*(ABS(Games[[#This Row],[PreGmRate]]-Games[[#This Row],[OppPreGmRate]])))*IF(Games[[#This Row],[OT]]=1,0.9,1)</f>
        <v>0.30398457987089028</v>
      </c>
      <c r="X386" s="7" cm="1">
        <f t="array" ref="X38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6" s="9">
        <f>MAX(kmin, kmax - 0.15 * MIN(Games[[#This Row],[GamesPlayed]], 82))</f>
        <v>71.2</v>
      </c>
      <c r="Z386" s="4">
        <f>Games[[#This Row],[K]]*Games[[#This Row],[POMult]]</f>
        <v>71.2</v>
      </c>
      <c r="AA386" s="4">
        <f>(Games[[#This Row],[Keff]]*Games[[#This Row],[MOVMult]])*(Games[[#This Row],[Result]]-Games[[#This Row],[ExpectedWin%]])</f>
        <v>7.7128555923093023</v>
      </c>
      <c r="AB386" s="4">
        <f>Games[[#This Row],[PreGmRate]]+Games[[#This Row],[RatingChange]]</f>
        <v>1624.1180529326987</v>
      </c>
      <c r="AC386" s="2">
        <f>IF(Games[[#This Row],[Type]]="R",IF(Games[[#This Row],[Result]]&gt;0.5,1,0),0)</f>
        <v>1</v>
      </c>
      <c r="AD386" s="2">
        <f>IF(Games[[#This Row],[Type]]="R",IF(Games[[#This Row],[Result]]&lt;0.5,1,0),0)</f>
        <v>0</v>
      </c>
      <c r="AE386" s="2">
        <f>IF(AND(Games[[#This Row],[Type]]="P",Games[[#This Row],[Round]]=1),IF(Games[[#This Row],[Result]]&gt;0.5,1,0),0)</f>
        <v>0</v>
      </c>
      <c r="AF386" s="2">
        <f>IF(AND(Games[[#This Row],[Type]]="P",Games[[#This Row],[Round]]=1),IF(Games[[#This Row],[Result]]&lt;0.5,1,0),0)</f>
        <v>0</v>
      </c>
      <c r="AG386" s="2">
        <f>IF(AND(Games[[#This Row],[Type]]="P",Games[[#This Row],[Round]]=2),IF(Games[[#This Row],[Result]]&gt;0.5,1,0),0)</f>
        <v>0</v>
      </c>
      <c r="AH386" s="2">
        <f>IF(AND(Games[[#This Row],[Type]]="P",Games[[#This Row],[Round]]=2),IF(Games[[#This Row],[Result]]&lt;0.5,1,0),0)</f>
        <v>0</v>
      </c>
      <c r="AI386" s="2">
        <f>IF(AND(Games[[#This Row],[Type]]="P",Games[[#This Row],[Round]]=3),IF(Games[[#This Row],[Result]]&gt;0.5,1,0),0)</f>
        <v>0</v>
      </c>
      <c r="AJ386" s="2">
        <f>IF(AND(Games[[#This Row],[Type]]="P",Games[[#This Row],[Round]]=3),IF(Games[[#This Row],[Result]]&lt;0.5,1,0),0)</f>
        <v>0</v>
      </c>
      <c r="AK386" s="2">
        <f>IF(AND(Games[[#This Row],[Type]]="P",Games[[#This Row],[Round]]=4),IF(Games[[#This Row],[Result]]&gt;0.5,1,0),0)</f>
        <v>0</v>
      </c>
      <c r="AL386" s="2">
        <f>IF(AND(Games[[#This Row],[Type]]="P",Games[[#This Row],[Round]]=4),IF(Games[[#This Row],[Result]]&lt;0.5,1,0),0)</f>
        <v>0</v>
      </c>
    </row>
    <row r="387" spans="1:38" x14ac:dyDescent="0.35">
      <c r="A387" s="10">
        <v>44458</v>
      </c>
      <c r="B387" s="2">
        <v>2021</v>
      </c>
      <c r="C387" s="2">
        <f>COUNTIFS(Games[Team],Games[[#This Row],[Team]],Games[Season],Games[[#This Row],[Season]],Games[Date],"&lt;=" &amp; Games[[#This Row],[Date]])</f>
        <v>32</v>
      </c>
      <c r="D387" s="2" t="s">
        <v>79</v>
      </c>
      <c r="E387" s="2" t="s">
        <v>80</v>
      </c>
      <c r="F387" s="1" t="s">
        <v>65</v>
      </c>
      <c r="G387" s="1" t="s">
        <v>67</v>
      </c>
      <c r="H387" s="1" t="s">
        <v>82</v>
      </c>
      <c r="I387" s="2" cm="1">
        <f t="array" ref="I387">IFERROR(
    Games[[#This Row],[Date]]
    - LOOKUP(
        2,
        1/((Games[Team]=Games[[#This Row],[Team]]) * (Games[Date] &lt; Games[[#This Row],[Date]])),
        Games[Date]
    )
    - 1,
Games[[#This Row],[Date]]-$A$2)</f>
        <v>1</v>
      </c>
      <c r="J387" s="2" cm="1">
        <f t="array" ref="J38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87" s="2">
        <f>Games[[#This Row],[DaysOff]]-Games[[#This Row],[OppDaysOff]]</f>
        <v>0</v>
      </c>
      <c r="L387" s="2">
        <f>Games[[#This Row],[OppDaysOff]]-Games[[#This Row],[DaysOff]]</f>
        <v>0</v>
      </c>
      <c r="M387" s="1">
        <f>MAX(-16, MIN(16, Games[[#This Row],[RestDiff]]*8))</f>
        <v>0</v>
      </c>
      <c r="N387" s="1">
        <f>MAX(-16, MIN(16, Games[[#This Row],[OppRestDiff]]*8))</f>
        <v>0</v>
      </c>
      <c r="O387" s="4" cm="1">
        <f t="array" ref="O38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1429.7002747149486</v>
      </c>
      <c r="P387" s="4" cm="1">
        <f t="array" ref="P38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1616.4051973403893</v>
      </c>
      <c r="Q387" s="4">
        <f>1/(1+10^(((Games[[#This Row],[OppPreGmRate]]+IF(Games[[#This Row],[HomeAway]]="A",HCA,0)+Games[[#This Row],[OppRestAdj]])-(Games[[#This Row],[PreGmRate]]+IF(Games[[#This Row],[HomeAway]]="H",HCA,0)+Games[[#This Row],[RestAdj]]))/400))</f>
        <v>0.35635565308443984</v>
      </c>
      <c r="R387" s="1">
        <v>77</v>
      </c>
      <c r="S387" s="1">
        <v>83</v>
      </c>
      <c r="T387" s="1">
        <v>0</v>
      </c>
      <c r="U387" s="1">
        <f>Games[[#This Row],[PointsFor]]-Games[[#This Row],[PointsAgainst]]</f>
        <v>-6</v>
      </c>
      <c r="V387" s="1">
        <f>IF(Games[[#This Row],[MOV]]&gt;0,1,IF(Games[[#This Row],[MOV]]=0,0.5,0))</f>
        <v>0</v>
      </c>
      <c r="W387" s="4">
        <f>((ABS(Games[[#This Row],[MOV]])+5)^0.6)/(12+0.01*(ABS(Games[[#This Row],[PreGmRate]]-Games[[#This Row],[OppPreGmRate]])))*IF(Games[[#This Row],[OT]]=1,0.9,1)</f>
        <v>0.30398457987089028</v>
      </c>
      <c r="X387" s="7" cm="1">
        <f t="array" ref="X38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</v>
      </c>
      <c r="Y387" s="9">
        <f>MAX(kmin, kmax - 0.15 * MIN(Games[[#This Row],[GamesPlayed]], 82))</f>
        <v>71.2</v>
      </c>
      <c r="Z387" s="4">
        <f>Games[[#This Row],[K]]*Games[[#This Row],[POMult]]</f>
        <v>71.2</v>
      </c>
      <c r="AA387" s="4">
        <f>(Games[[#This Row],[Keff]]*Games[[#This Row],[MOVMult]])*(Games[[#This Row],[Result]]-Games[[#This Row],[ExpectedWin%]])</f>
        <v>-7.7128555923092996</v>
      </c>
      <c r="AB387" s="4">
        <f>Games[[#This Row],[PreGmRate]]+Games[[#This Row],[RatingChange]]</f>
        <v>1421.9874191226393</v>
      </c>
      <c r="AC387" s="2">
        <f>IF(Games[[#This Row],[Type]]="R",IF(Games[[#This Row],[Result]]&gt;0.5,1,0),0)</f>
        <v>0</v>
      </c>
      <c r="AD387" s="2">
        <f>IF(Games[[#This Row],[Type]]="R",IF(Games[[#This Row],[Result]]&lt;0.5,1,0),0)</f>
        <v>1</v>
      </c>
      <c r="AE387" s="2">
        <f>IF(AND(Games[[#This Row],[Type]]="P",Games[[#This Row],[Round]]=1),IF(Games[[#This Row],[Result]]&gt;0.5,1,0),0)</f>
        <v>0</v>
      </c>
      <c r="AF387" s="2">
        <f>IF(AND(Games[[#This Row],[Type]]="P",Games[[#This Row],[Round]]=1),IF(Games[[#This Row],[Result]]&lt;0.5,1,0),0)</f>
        <v>0</v>
      </c>
      <c r="AG387" s="2">
        <f>IF(AND(Games[[#This Row],[Type]]="P",Games[[#This Row],[Round]]=2),IF(Games[[#This Row],[Result]]&gt;0.5,1,0),0)</f>
        <v>0</v>
      </c>
      <c r="AH387" s="2">
        <f>IF(AND(Games[[#This Row],[Type]]="P",Games[[#This Row],[Round]]=2),IF(Games[[#This Row],[Result]]&lt;0.5,1,0),0)</f>
        <v>0</v>
      </c>
      <c r="AI387" s="2">
        <f>IF(AND(Games[[#This Row],[Type]]="P",Games[[#This Row],[Round]]=3),IF(Games[[#This Row],[Result]]&gt;0.5,1,0),0)</f>
        <v>0</v>
      </c>
      <c r="AJ387" s="2">
        <f>IF(AND(Games[[#This Row],[Type]]="P",Games[[#This Row],[Round]]=3),IF(Games[[#This Row],[Result]]&lt;0.5,1,0),0)</f>
        <v>0</v>
      </c>
      <c r="AK387" s="2">
        <f>IF(AND(Games[[#This Row],[Type]]="P",Games[[#This Row],[Round]]=4),IF(Games[[#This Row],[Result]]&gt;0.5,1,0),0)</f>
        <v>0</v>
      </c>
      <c r="AL387" s="2">
        <f>IF(AND(Games[[#This Row],[Type]]="P",Games[[#This Row],[Round]]=4),IF(Games[[#This Row],[Result]]&lt;0.5,1,0),0)</f>
        <v>0</v>
      </c>
    </row>
    <row r="388" spans="1:38" x14ac:dyDescent="0.35">
      <c r="A388" s="10">
        <v>44462</v>
      </c>
      <c r="B388" s="2">
        <v>2021</v>
      </c>
      <c r="C388" s="2">
        <f>COUNTIFS(Games[Team],Games[[#This Row],[Team]],Games[Season],Games[[#This Row],[Season]],Games[Date],"&lt;=" &amp; Games[[#This Row],[Date]])</f>
        <v>33</v>
      </c>
      <c r="D388" s="2" t="s">
        <v>87</v>
      </c>
      <c r="E388" s="7">
        <v>0.5</v>
      </c>
      <c r="F388" s="1" t="s">
        <v>84</v>
      </c>
      <c r="G388" s="1" t="s">
        <v>75</v>
      </c>
      <c r="H388" s="1" t="s">
        <v>81</v>
      </c>
      <c r="I388" s="2" cm="1">
        <f t="array" ref="I388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8" s="2" cm="1">
        <f t="array" ref="J388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8" s="2">
        <f>Games[[#This Row],[DaysOff]]-Games[[#This Row],[OppDaysOff]]</f>
        <v>0</v>
      </c>
      <c r="L388" s="2">
        <f>Games[[#This Row],[OppDaysOff]]-Games[[#This Row],[DaysOff]]</f>
        <v>0</v>
      </c>
      <c r="M388" s="1">
        <f>MAX(-16, MIN(16, Games[[#This Row],[RestDiff]]*8))</f>
        <v>0</v>
      </c>
      <c r="N388" s="1">
        <f>MAX(-16, MIN(16, Games[[#This Row],[OppRestDiff]]*8))</f>
        <v>0</v>
      </c>
      <c r="O388" s="4" cm="1">
        <f t="array" ref="O38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1451.0667677061469</v>
      </c>
      <c r="P388" s="4" cm="1">
        <f t="array" ref="P38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1525.4250285943185</v>
      </c>
      <c r="Q388" s="4">
        <f>1/(1+10^(((Games[[#This Row],[OppPreGmRate]]+IF(Games[[#This Row],[HomeAway]]="A",HCA,0)+Games[[#This Row],[OppRestAdj]])-(Games[[#This Row],[PreGmRate]]+IF(Games[[#This Row],[HomeAway]]="H",HCA,0)+Games[[#This Row],[RestAdj]]))/400))</f>
        <v>0.28667592838192957</v>
      </c>
      <c r="R388" s="1">
        <v>64</v>
      </c>
      <c r="S388" s="1">
        <v>81</v>
      </c>
      <c r="T388" s="1">
        <v>0</v>
      </c>
      <c r="U388" s="1">
        <f>Games[[#This Row],[PointsFor]]-Games[[#This Row],[PointsAgainst]]</f>
        <v>-17</v>
      </c>
      <c r="V388" s="1">
        <f>IF(Games[[#This Row],[MOV]]&gt;0,1,IF(Games[[#This Row],[MOV]]=0,0.5,0))</f>
        <v>0</v>
      </c>
      <c r="W388" s="4">
        <f>((ABS(Games[[#This Row],[MOV]])+5)^0.6)/(12+0.01*(ABS(Games[[#This Row],[PreGmRate]]-Games[[#This Row],[OppPreGmRate]])))*IF(Games[[#This Row],[OT]]=1,0.9,1)</f>
        <v>0.50137430148809981</v>
      </c>
      <c r="X388" s="7" cm="1">
        <f t="array" ref="X38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1.05</v>
      </c>
      <c r="Y388" s="9">
        <f>MAX(kmin, kmax - 0.15 * MIN(Games[[#This Row],[GamesPlayed]], 82))</f>
        <v>71.05</v>
      </c>
      <c r="Z388" s="4">
        <f>Games[[#This Row],[K]]*Games[[#This Row],[POMult]]</f>
        <v>74.602500000000006</v>
      </c>
      <c r="AA388" s="4">
        <f>(Games[[#This Row],[Keff]]*Games[[#This Row],[MOVMult]])*(Games[[#This Row],[Result]]-Games[[#This Row],[ExpectedWin%]])</f>
        <v>-10.722762303465673</v>
      </c>
      <c r="AB388" s="4">
        <f>Games[[#This Row],[PreGmRate]]+Games[[#This Row],[RatingChange]]</f>
        <v>1440.3440054026812</v>
      </c>
      <c r="AC388" s="2">
        <f>IF(Games[[#This Row],[Type]]="R",IF(Games[[#This Row],[Result]]&gt;0.5,1,0),0)</f>
        <v>0</v>
      </c>
      <c r="AD388" s="2">
        <f>IF(Games[[#This Row],[Type]]="R",IF(Games[[#This Row],[Result]]&lt;0.5,1,0),0)</f>
        <v>0</v>
      </c>
      <c r="AE388" s="2">
        <f>IF(AND(Games[[#This Row],[Type]]="P",Games[[#This Row],[Round]]=1),IF(Games[[#This Row],[Result]]&gt;0.5,1,0),0)</f>
        <v>0</v>
      </c>
      <c r="AF388" s="2">
        <f>IF(AND(Games[[#This Row],[Type]]="P",Games[[#This Row],[Round]]=1),IF(Games[[#This Row],[Result]]&lt;0.5,1,0),0)</f>
        <v>0</v>
      </c>
      <c r="AG388" s="2">
        <f>IF(AND(Games[[#This Row],[Type]]="P",Games[[#This Row],[Round]]=2),IF(Games[[#This Row],[Result]]&gt;0.5,1,0),0)</f>
        <v>0</v>
      </c>
      <c r="AH388" s="2">
        <f>IF(AND(Games[[#This Row],[Type]]="P",Games[[#This Row],[Round]]=2),IF(Games[[#This Row],[Result]]&lt;0.5,1,0),0)</f>
        <v>0</v>
      </c>
      <c r="AI388" s="2">
        <f>IF(AND(Games[[#This Row],[Type]]="P",Games[[#This Row],[Round]]=3),IF(Games[[#This Row],[Result]]&gt;0.5,1,0),0)</f>
        <v>0</v>
      </c>
      <c r="AJ388" s="2">
        <f>IF(AND(Games[[#This Row],[Type]]="P",Games[[#This Row],[Round]]=3),IF(Games[[#This Row],[Result]]&lt;0.5,1,0),0)</f>
        <v>0</v>
      </c>
      <c r="AK388" s="2">
        <f>IF(AND(Games[[#This Row],[Type]]="P",Games[[#This Row],[Round]]=4),IF(Games[[#This Row],[Result]]&gt;0.5,1,0),0)</f>
        <v>0</v>
      </c>
      <c r="AL388" s="2">
        <f>IF(AND(Games[[#This Row],[Type]]="P",Games[[#This Row],[Round]]=4),IF(Games[[#This Row],[Result]]&lt;0.5,1,0),0)</f>
        <v>0</v>
      </c>
    </row>
    <row r="389" spans="1:38" x14ac:dyDescent="0.35">
      <c r="A389" s="10">
        <v>44462</v>
      </c>
      <c r="B389" s="2">
        <v>2021</v>
      </c>
      <c r="C389" s="2">
        <f>COUNTIFS(Games[Team],Games[[#This Row],[Team]],Games[Season],Games[[#This Row],[Season]],Games[Date],"&lt;=" &amp; Games[[#This Row],[Date]])</f>
        <v>33</v>
      </c>
      <c r="D389" s="2" t="s">
        <v>87</v>
      </c>
      <c r="E389" s="7">
        <v>0.5</v>
      </c>
      <c r="F389" s="1" t="s">
        <v>75</v>
      </c>
      <c r="G389" s="1" t="s">
        <v>84</v>
      </c>
      <c r="H389" s="1" t="s">
        <v>82</v>
      </c>
      <c r="I389" s="2" cm="1">
        <f t="array" ref="I389">IFERROR(
    Games[[#This Row],[Date]]
    - LOOKUP(
        2,
        1/((Games[Team]=Games[[#This Row],[Team]]) * (Games[Date] &lt; Games[[#This Row],[Date]])),
        Games[Date]
    )
    - 1,
Games[[#This Row],[Date]]-$A$2)</f>
        <v>3</v>
      </c>
      <c r="J389" s="2" cm="1">
        <f t="array" ref="J389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89" s="2">
        <f>Games[[#This Row],[DaysOff]]-Games[[#This Row],[OppDaysOff]]</f>
        <v>0</v>
      </c>
      <c r="L389" s="2">
        <f>Games[[#This Row],[OppDaysOff]]-Games[[#This Row],[DaysOff]]</f>
        <v>0</v>
      </c>
      <c r="M389" s="1">
        <f>MAX(-16, MIN(16, Games[[#This Row],[RestDiff]]*8))</f>
        <v>0</v>
      </c>
      <c r="N389" s="1">
        <f>MAX(-16, MIN(16, Games[[#This Row],[OppRestDiff]]*8))</f>
        <v>0</v>
      </c>
      <c r="O389" s="4" cm="1">
        <f t="array" ref="O38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1525.4250285943185</v>
      </c>
      <c r="P389" s="4" cm="1">
        <f t="array" ref="P38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1451.0667677061469</v>
      </c>
      <c r="Q389" s="4">
        <f>1/(1+10^(((Games[[#This Row],[OppPreGmRate]]+IF(Games[[#This Row],[HomeAway]]="A",HCA,0)+Games[[#This Row],[OppRestAdj]])-(Games[[#This Row],[PreGmRate]]+IF(Games[[#This Row],[HomeAway]]="H",HCA,0)+Games[[#This Row],[RestAdj]]))/400))</f>
        <v>0.71332407161807043</v>
      </c>
      <c r="R389" s="1">
        <v>81</v>
      </c>
      <c r="S389" s="1">
        <v>64</v>
      </c>
      <c r="T389" s="1">
        <v>0</v>
      </c>
      <c r="U389" s="1">
        <f>Games[[#This Row],[PointsFor]]-Games[[#This Row],[PointsAgainst]]</f>
        <v>17</v>
      </c>
      <c r="V389" s="1">
        <f>IF(Games[[#This Row],[MOV]]&gt;0,1,IF(Games[[#This Row],[MOV]]=0,0.5,0))</f>
        <v>1</v>
      </c>
      <c r="W389" s="4">
        <f>((ABS(Games[[#This Row],[MOV]])+5)^0.6)/(12+0.01*(ABS(Games[[#This Row],[PreGmRate]]-Games[[#This Row],[OppPreGmRate]])))*IF(Games[[#This Row],[OT]]=1,0.9,1)</f>
        <v>0.50137430148809981</v>
      </c>
      <c r="X389" s="7" cm="1">
        <f t="array" ref="X38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1.05</v>
      </c>
      <c r="Y389" s="9">
        <f>MAX(kmin, kmax - 0.15 * MIN(Games[[#This Row],[GamesPlayed]], 82))</f>
        <v>71.05</v>
      </c>
      <c r="Z389" s="4">
        <f>Games[[#This Row],[K]]*Games[[#This Row],[POMult]]</f>
        <v>74.602500000000006</v>
      </c>
      <c r="AA389" s="4">
        <f>(Games[[#This Row],[Keff]]*Games[[#This Row],[MOVMult]])*(Games[[#This Row],[Result]]-Games[[#This Row],[ExpectedWin%]])</f>
        <v>10.722762303465673</v>
      </c>
      <c r="AB389" s="4">
        <f>Games[[#This Row],[PreGmRate]]+Games[[#This Row],[RatingChange]]</f>
        <v>1536.1477908977843</v>
      </c>
      <c r="AC389" s="2">
        <f>IF(Games[[#This Row],[Type]]="R",IF(Games[[#This Row],[Result]]&gt;0.5,1,0),0)</f>
        <v>0</v>
      </c>
      <c r="AD389" s="2">
        <f>IF(Games[[#This Row],[Type]]="R",IF(Games[[#This Row],[Result]]&lt;0.5,1,0),0)</f>
        <v>0</v>
      </c>
      <c r="AE389" s="2">
        <f>IF(AND(Games[[#This Row],[Type]]="P",Games[[#This Row],[Round]]=1),IF(Games[[#This Row],[Result]]&gt;0.5,1,0),0)</f>
        <v>0</v>
      </c>
      <c r="AF389" s="2">
        <f>IF(AND(Games[[#This Row],[Type]]="P",Games[[#This Row],[Round]]=1),IF(Games[[#This Row],[Result]]&lt;0.5,1,0),0)</f>
        <v>0</v>
      </c>
      <c r="AG389" s="2">
        <f>IF(AND(Games[[#This Row],[Type]]="P",Games[[#This Row],[Round]]=2),IF(Games[[#This Row],[Result]]&gt;0.5,1,0),0)</f>
        <v>0</v>
      </c>
      <c r="AH389" s="2">
        <f>IF(AND(Games[[#This Row],[Type]]="P",Games[[#This Row],[Round]]=2),IF(Games[[#This Row],[Result]]&lt;0.5,1,0),0)</f>
        <v>0</v>
      </c>
      <c r="AI389" s="2">
        <f>IF(AND(Games[[#This Row],[Type]]="P",Games[[#This Row],[Round]]=3),IF(Games[[#This Row],[Result]]&gt;0.5,1,0),0)</f>
        <v>0</v>
      </c>
      <c r="AJ389" s="2">
        <f>IF(AND(Games[[#This Row],[Type]]="P",Games[[#This Row],[Round]]=3),IF(Games[[#This Row],[Result]]&lt;0.5,1,0),0)</f>
        <v>0</v>
      </c>
      <c r="AK389" s="2">
        <f>IF(AND(Games[[#This Row],[Type]]="P",Games[[#This Row],[Round]]=4),IF(Games[[#This Row],[Result]]&gt;0.5,1,0),0)</f>
        <v>0</v>
      </c>
      <c r="AL389" s="2">
        <f>IF(AND(Games[[#This Row],[Type]]="P",Games[[#This Row],[Round]]=4),IF(Games[[#This Row],[Result]]&lt;0.5,1,0),0)</f>
        <v>0</v>
      </c>
    </row>
    <row r="390" spans="1:38" x14ac:dyDescent="0.35">
      <c r="A390" s="10">
        <v>44462</v>
      </c>
      <c r="B390" s="2">
        <v>2021</v>
      </c>
      <c r="C390" s="2">
        <f>COUNTIFS(Games[Team],Games[[#This Row],[Team]],Games[Season],Games[[#This Row],[Season]],Games[Date],"&lt;=" &amp; Games[[#This Row],[Date]])</f>
        <v>33</v>
      </c>
      <c r="D390" s="2" t="s">
        <v>87</v>
      </c>
      <c r="E390" s="7">
        <v>0.5</v>
      </c>
      <c r="F390" s="1" t="s">
        <v>60</v>
      </c>
      <c r="G390" s="1" t="s">
        <v>40</v>
      </c>
      <c r="H390" s="1" t="s">
        <v>81</v>
      </c>
      <c r="I390" s="2" cm="1">
        <f t="array" ref="I390">IFERROR(
    Games[[#This Row],[Date]]
    - LOOKUP(
        2,
        1/((Games[Team]=Games[[#This Row],[Team]]) * (Games[Date] &lt; Games[[#This Row],[Date]])),
        Games[Date]
    )
    - 1,
Games[[#This Row],[Date]]-$A$2)</f>
        <v>5</v>
      </c>
      <c r="J390" s="2" cm="1">
        <f t="array" ref="J390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390" s="2">
        <f>Games[[#This Row],[DaysOff]]-Games[[#This Row],[OppDaysOff]]</f>
        <v>2</v>
      </c>
      <c r="L390" s="2">
        <f>Games[[#This Row],[OppDaysOff]]-Games[[#This Row],[DaysOff]]</f>
        <v>-2</v>
      </c>
      <c r="M390" s="1">
        <f>MAX(-16, MIN(16, Games[[#This Row],[RestDiff]]*8))</f>
        <v>16</v>
      </c>
      <c r="N390" s="1">
        <f>MAX(-16, MIN(16, Games[[#This Row],[OppRestDiff]]*8))</f>
        <v>-16</v>
      </c>
      <c r="O390" s="4" cm="1">
        <f t="array" ref="O39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1364.0759085265709</v>
      </c>
      <c r="P390" s="4" cm="1">
        <f t="array" ref="P39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1556.9420843074843</v>
      </c>
      <c r="Q390" s="4">
        <f>1/(1+10^(((Games[[#This Row],[OppPreGmRate]]+IF(Games[[#This Row],[HomeAway]]="A",HCA,0)+Games[[#This Row],[OppRestAdj]])-(Games[[#This Row],[PreGmRate]]+IF(Games[[#This Row],[HomeAway]]="H",HCA,0)+Games[[#This Row],[RestAdj]]))/400))</f>
        <v>0.19630298946905358</v>
      </c>
      <c r="R390" s="1">
        <v>82</v>
      </c>
      <c r="S390" s="1">
        <v>83</v>
      </c>
      <c r="T390" s="1">
        <v>0</v>
      </c>
      <c r="U390" s="1">
        <f>Games[[#This Row],[PointsFor]]-Games[[#This Row],[PointsAgainst]]</f>
        <v>-1</v>
      </c>
      <c r="V390" s="1">
        <f>IF(Games[[#This Row],[MOV]]&gt;0,1,IF(Games[[#This Row],[MOV]]=0,0.5,0))</f>
        <v>0</v>
      </c>
      <c r="W390" s="4">
        <f>((ABS(Games[[#This Row],[MOV]])+5)^0.6)/(12+0.01*(ABS(Games[[#This Row],[PreGmRate]]-Games[[#This Row],[OppPreGmRate]])))*IF(Games[[#This Row],[OT]]=1,0.9,1)</f>
        <v>0.21036881378361585</v>
      </c>
      <c r="X390" s="7" cm="1">
        <f t="array" ref="X39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1.05</v>
      </c>
      <c r="Y390" s="9">
        <f>MAX(kmin, kmax - 0.15 * MIN(Games[[#This Row],[GamesPlayed]], 82))</f>
        <v>71.05</v>
      </c>
      <c r="Z390" s="4">
        <f>Games[[#This Row],[K]]*Games[[#This Row],[POMult]]</f>
        <v>74.602500000000006</v>
      </c>
      <c r="AA390" s="4">
        <f>(Games[[#This Row],[Keff]]*Games[[#This Row],[MOVMult]])*(Games[[#This Row],[Result]]-Games[[#This Row],[ExpectedWin%]])</f>
        <v>-3.0807868570115624</v>
      </c>
      <c r="AB390" s="4">
        <f>Games[[#This Row],[PreGmRate]]+Games[[#This Row],[RatingChange]]</f>
        <v>1360.9951216695592</v>
      </c>
      <c r="AC390" s="2">
        <f>IF(Games[[#This Row],[Type]]="R",IF(Games[[#This Row],[Result]]&gt;0.5,1,0),0)</f>
        <v>0</v>
      </c>
      <c r="AD390" s="2">
        <f>IF(Games[[#This Row],[Type]]="R",IF(Games[[#This Row],[Result]]&lt;0.5,1,0),0)</f>
        <v>0</v>
      </c>
      <c r="AE390" s="2">
        <f>IF(AND(Games[[#This Row],[Type]]="P",Games[[#This Row],[Round]]=1),IF(Games[[#This Row],[Result]]&gt;0.5,1,0),0)</f>
        <v>0</v>
      </c>
      <c r="AF390" s="2">
        <f>IF(AND(Games[[#This Row],[Type]]="P",Games[[#This Row],[Round]]=1),IF(Games[[#This Row],[Result]]&lt;0.5,1,0),0)</f>
        <v>0</v>
      </c>
      <c r="AG390" s="2">
        <f>IF(AND(Games[[#This Row],[Type]]="P",Games[[#This Row],[Round]]=2),IF(Games[[#This Row],[Result]]&gt;0.5,1,0),0)</f>
        <v>0</v>
      </c>
      <c r="AH390" s="2">
        <f>IF(AND(Games[[#This Row],[Type]]="P",Games[[#This Row],[Round]]=2),IF(Games[[#This Row],[Result]]&lt;0.5,1,0),0)</f>
        <v>0</v>
      </c>
      <c r="AI390" s="2">
        <f>IF(AND(Games[[#This Row],[Type]]="P",Games[[#This Row],[Round]]=3),IF(Games[[#This Row],[Result]]&gt;0.5,1,0),0)</f>
        <v>0</v>
      </c>
      <c r="AJ390" s="2">
        <f>IF(AND(Games[[#This Row],[Type]]="P",Games[[#This Row],[Round]]=3),IF(Games[[#This Row],[Result]]&lt;0.5,1,0),0)</f>
        <v>0</v>
      </c>
      <c r="AK390" s="2">
        <f>IF(AND(Games[[#This Row],[Type]]="P",Games[[#This Row],[Round]]=4),IF(Games[[#This Row],[Result]]&gt;0.5,1,0),0)</f>
        <v>0</v>
      </c>
      <c r="AL390" s="2">
        <f>IF(AND(Games[[#This Row],[Type]]="P",Games[[#This Row],[Round]]=4),IF(Games[[#This Row],[Result]]&lt;0.5,1,0),0)</f>
        <v>0</v>
      </c>
    </row>
    <row r="391" spans="1:38" x14ac:dyDescent="0.35">
      <c r="A391" s="10">
        <v>44462</v>
      </c>
      <c r="B391" s="2">
        <v>2021</v>
      </c>
      <c r="C391" s="2">
        <f>COUNTIFS(Games[Team],Games[[#This Row],[Team]],Games[Season],Games[[#This Row],[Season]],Games[Date],"&lt;=" &amp; Games[[#This Row],[Date]])</f>
        <v>33</v>
      </c>
      <c r="D391" s="2" t="s">
        <v>87</v>
      </c>
      <c r="E391" s="7">
        <v>0.5</v>
      </c>
      <c r="F391" s="1" t="s">
        <v>40</v>
      </c>
      <c r="G391" s="1" t="s">
        <v>60</v>
      </c>
      <c r="H391" s="1" t="s">
        <v>82</v>
      </c>
      <c r="I391" s="2" cm="1">
        <f t="array" ref="I391">IFERROR(
    Games[[#This Row],[Date]]
    - LOOKUP(
        2,
        1/((Games[Team]=Games[[#This Row],[Team]]) * (Games[Date] &lt; Games[[#This Row],[Date]])),
        Games[Date]
    )
    - 1,
Games[[#This Row],[Date]]-$A$2)</f>
        <v>3</v>
      </c>
      <c r="J391" s="2" cm="1">
        <f t="array" ref="J391">IFERROR(
    Games[[#This Row],[Date]]
    - LOOKUP(
        2,
        1/((Games[Opponent]=Games[[#This Row],[Opponent]]) * (Games[Date] &lt; Games[[#This Row],[Date]])),
        Games[Date]
    )
    - 1,
Games[[#This Row],[Date]]-$A$2)</f>
        <v>5</v>
      </c>
      <c r="K391" s="2">
        <f>Games[[#This Row],[DaysOff]]-Games[[#This Row],[OppDaysOff]]</f>
        <v>-2</v>
      </c>
      <c r="L391" s="2">
        <f>Games[[#This Row],[OppDaysOff]]-Games[[#This Row],[DaysOff]]</f>
        <v>2</v>
      </c>
      <c r="M391" s="1">
        <f>MAX(-16, MIN(16, Games[[#This Row],[RestDiff]]*8))</f>
        <v>-16</v>
      </c>
      <c r="N391" s="1">
        <f>MAX(-16, MIN(16, Games[[#This Row],[OppRestDiff]]*8))</f>
        <v>16</v>
      </c>
      <c r="O391" s="4" cm="1">
        <f t="array" ref="O39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1556.9420843074843</v>
      </c>
      <c r="P391" s="4" cm="1">
        <f t="array" ref="P39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1364.0759085265709</v>
      </c>
      <c r="Q391" s="4">
        <f>1/(1+10^(((Games[[#This Row],[OppPreGmRate]]+IF(Games[[#This Row],[HomeAway]]="A",HCA,0)+Games[[#This Row],[OppRestAdj]])-(Games[[#This Row],[PreGmRate]]+IF(Games[[#This Row],[HomeAway]]="H",HCA,0)+Games[[#This Row],[RestAdj]]))/400))</f>
        <v>0.80369701053094633</v>
      </c>
      <c r="R391" s="1">
        <v>83</v>
      </c>
      <c r="S391" s="1">
        <v>82</v>
      </c>
      <c r="T391" s="1">
        <v>0</v>
      </c>
      <c r="U391" s="1">
        <f>Games[[#This Row],[PointsFor]]-Games[[#This Row],[PointsAgainst]]</f>
        <v>1</v>
      </c>
      <c r="V391" s="1">
        <f>IF(Games[[#This Row],[MOV]]&gt;0,1,IF(Games[[#This Row],[MOV]]=0,0.5,0))</f>
        <v>1</v>
      </c>
      <c r="W391" s="4">
        <f>((ABS(Games[[#This Row],[MOV]])+5)^0.6)/(12+0.01*(ABS(Games[[#This Row],[PreGmRate]]-Games[[#This Row],[OppPreGmRate]])))*IF(Games[[#This Row],[OT]]=1,0.9,1)</f>
        <v>0.21036881378361585</v>
      </c>
      <c r="X391" s="7" cm="1">
        <f t="array" ref="X39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1.05</v>
      </c>
      <c r="Y391" s="9">
        <f>MAX(kmin, kmax - 0.15 * MIN(Games[[#This Row],[GamesPlayed]], 82))</f>
        <v>71.05</v>
      </c>
      <c r="Z391" s="4">
        <f>Games[[#This Row],[K]]*Games[[#This Row],[POMult]]</f>
        <v>74.602500000000006</v>
      </c>
      <c r="AA391" s="4">
        <f>(Games[[#This Row],[Keff]]*Games[[#This Row],[MOVMult]])*(Games[[#This Row],[Result]]-Games[[#This Row],[ExpectedWin%]])</f>
        <v>3.0807868570115633</v>
      </c>
      <c r="AB391" s="4">
        <f>Games[[#This Row],[PreGmRate]]+Games[[#This Row],[RatingChange]]</f>
        <v>1560.0228711644959</v>
      </c>
      <c r="AC391" s="2">
        <f>IF(Games[[#This Row],[Type]]="R",IF(Games[[#This Row],[Result]]&gt;0.5,1,0),0)</f>
        <v>0</v>
      </c>
      <c r="AD391" s="2">
        <f>IF(Games[[#This Row],[Type]]="R",IF(Games[[#This Row],[Result]]&lt;0.5,1,0),0)</f>
        <v>0</v>
      </c>
      <c r="AE391" s="2">
        <f>IF(AND(Games[[#This Row],[Type]]="P",Games[[#This Row],[Round]]=1),IF(Games[[#This Row],[Result]]&gt;0.5,1,0),0)</f>
        <v>0</v>
      </c>
      <c r="AF391" s="2">
        <f>IF(AND(Games[[#This Row],[Type]]="P",Games[[#This Row],[Round]]=1),IF(Games[[#This Row],[Result]]&lt;0.5,1,0),0)</f>
        <v>0</v>
      </c>
      <c r="AG391" s="2">
        <f>IF(AND(Games[[#This Row],[Type]]="P",Games[[#This Row],[Round]]=2),IF(Games[[#This Row],[Result]]&gt;0.5,1,0),0)</f>
        <v>0</v>
      </c>
      <c r="AH391" s="2">
        <f>IF(AND(Games[[#This Row],[Type]]="P",Games[[#This Row],[Round]]=2),IF(Games[[#This Row],[Result]]&lt;0.5,1,0),0)</f>
        <v>0</v>
      </c>
      <c r="AI391" s="2">
        <f>IF(AND(Games[[#This Row],[Type]]="P",Games[[#This Row],[Round]]=3),IF(Games[[#This Row],[Result]]&gt;0.5,1,0),0)</f>
        <v>0</v>
      </c>
      <c r="AJ391" s="2">
        <f>IF(AND(Games[[#This Row],[Type]]="P",Games[[#This Row],[Round]]=3),IF(Games[[#This Row],[Result]]&lt;0.5,1,0),0)</f>
        <v>0</v>
      </c>
      <c r="AK391" s="2">
        <f>IF(AND(Games[[#This Row],[Type]]="P",Games[[#This Row],[Round]]=4),IF(Games[[#This Row],[Result]]&gt;0.5,1,0),0)</f>
        <v>0</v>
      </c>
      <c r="AL391" s="2">
        <f>IF(AND(Games[[#This Row],[Type]]="P",Games[[#This Row],[Round]]=4),IF(Games[[#This Row],[Result]]&lt;0.5,1,0),0)</f>
        <v>0</v>
      </c>
    </row>
    <row r="392" spans="1:38" x14ac:dyDescent="0.35">
      <c r="A392" s="10">
        <v>44465</v>
      </c>
      <c r="B392" s="2">
        <v>2021</v>
      </c>
      <c r="C392" s="2">
        <f>COUNTIFS(Games[Team],Games[[#This Row],[Team]],Games[Season],Games[[#This Row],[Season]],Games[Date],"&lt;=" &amp; Games[[#This Row],[Date]])</f>
        <v>34</v>
      </c>
      <c r="D392" s="2" t="s">
        <v>87</v>
      </c>
      <c r="E392" s="2">
        <v>1</v>
      </c>
      <c r="F392" s="1" t="s">
        <v>75</v>
      </c>
      <c r="G392" s="1" t="s">
        <v>67</v>
      </c>
      <c r="H392" s="1" t="s">
        <v>81</v>
      </c>
      <c r="I392" s="2" cm="1">
        <f t="array" ref="I392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2" s="2" cm="1">
        <f t="array" ref="J392">IFERROR(
    Games[[#This Row],[Date]]
    - LOOKUP(
        2,
        1/((Games[Opponent]=Games[[#This Row],[Opponent]]) * (Games[Date] &lt; Games[[#This Row],[Date]])),
        Games[Date]
    )
    - 1,
Games[[#This Row],[Date]]-$A$2)</f>
        <v>6</v>
      </c>
      <c r="K392" s="2">
        <f>Games[[#This Row],[DaysOff]]-Games[[#This Row],[OppDaysOff]]</f>
        <v>-4</v>
      </c>
      <c r="L392" s="2">
        <f>Games[[#This Row],[OppDaysOff]]-Games[[#This Row],[DaysOff]]</f>
        <v>4</v>
      </c>
      <c r="M392" s="1">
        <f>MAX(-16, MIN(16, Games[[#This Row],[RestDiff]]*8))</f>
        <v>-16</v>
      </c>
      <c r="N392" s="1">
        <f>MAX(-16, MIN(16, Games[[#This Row],[OppRestDiff]]*8))</f>
        <v>16</v>
      </c>
      <c r="O392" s="4" cm="1">
        <f t="array" ref="O39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1536.1477908977843</v>
      </c>
      <c r="P392" s="4" cm="1">
        <f t="array" ref="P39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1624.1180529326987</v>
      </c>
      <c r="Q392" s="4">
        <f>1/(1+10^(((Games[[#This Row],[OppPreGmRate]]+IF(Games[[#This Row],[HomeAway]]="A",HCA,0)+Games[[#This Row],[OppRestAdj]])-(Games[[#This Row],[PreGmRate]]+IF(Games[[#This Row],[HomeAway]]="H",HCA,0)+Games[[#This Row],[RestAdj]]))/400))</f>
        <v>0.23610617448331081</v>
      </c>
      <c r="R392" s="1">
        <v>89</v>
      </c>
      <c r="S392" s="1">
        <v>76</v>
      </c>
      <c r="T392" s="1">
        <v>0</v>
      </c>
      <c r="U392" s="1">
        <f>Games[[#This Row],[PointsFor]]-Games[[#This Row],[PointsAgainst]]</f>
        <v>13</v>
      </c>
      <c r="V392" s="1">
        <f>IF(Games[[#This Row],[MOV]]&gt;0,1,IF(Games[[#This Row],[MOV]]=0,0.5,0))</f>
        <v>1</v>
      </c>
      <c r="W392" s="4">
        <f>((ABS(Games[[#This Row],[MOV]])+5)^0.6)/(12+0.01*(ABS(Games[[#This Row],[PreGmRate]]-Games[[#This Row],[OppPreGmRate]])))*IF(Games[[#This Row],[OT]]=1,0.9,1)</f>
        <v>0.43980247329777683</v>
      </c>
      <c r="X392" s="7" cm="1">
        <f t="array" ref="X39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392" s="9">
        <f>MAX(kmin, kmax - 0.15 * MIN(Games[[#This Row],[GamesPlayed]], 82))</f>
        <v>70.900000000000006</v>
      </c>
      <c r="Z392" s="4">
        <f>Games[[#This Row],[K]]*Games[[#This Row],[POMult]]</f>
        <v>77.990000000000009</v>
      </c>
      <c r="AA392" s="4">
        <f>(Games[[#This Row],[Keff]]*Games[[#This Row],[MOVMult]])*(Games[[#This Row],[Result]]-Games[[#This Row],[ExpectedWin%]])</f>
        <v>26.201707092394955</v>
      </c>
      <c r="AB392" s="4">
        <f>Games[[#This Row],[PreGmRate]]+Games[[#This Row],[RatingChange]]</f>
        <v>1562.3494979901793</v>
      </c>
      <c r="AC392" s="2">
        <f>IF(Games[[#This Row],[Type]]="R",IF(Games[[#This Row],[Result]]&gt;0.5,1,0),0)</f>
        <v>0</v>
      </c>
      <c r="AD392" s="2">
        <f>IF(Games[[#This Row],[Type]]="R",IF(Games[[#This Row],[Result]]&lt;0.5,1,0),0)</f>
        <v>0</v>
      </c>
      <c r="AE392" s="2">
        <f>IF(AND(Games[[#This Row],[Type]]="P",Games[[#This Row],[Round]]=1),IF(Games[[#This Row],[Result]]&gt;0.5,1,0),0)</f>
        <v>1</v>
      </c>
      <c r="AF392" s="2">
        <f>IF(AND(Games[[#This Row],[Type]]="P",Games[[#This Row],[Round]]=1),IF(Games[[#This Row],[Result]]&lt;0.5,1,0),0)</f>
        <v>0</v>
      </c>
      <c r="AG392" s="2">
        <f>IF(AND(Games[[#This Row],[Type]]="P",Games[[#This Row],[Round]]=2),IF(Games[[#This Row],[Result]]&gt;0.5,1,0),0)</f>
        <v>0</v>
      </c>
      <c r="AH392" s="2">
        <f>IF(AND(Games[[#This Row],[Type]]="P",Games[[#This Row],[Round]]=2),IF(Games[[#This Row],[Result]]&lt;0.5,1,0),0)</f>
        <v>0</v>
      </c>
      <c r="AI392" s="2">
        <f>IF(AND(Games[[#This Row],[Type]]="P",Games[[#This Row],[Round]]=3),IF(Games[[#This Row],[Result]]&gt;0.5,1,0),0)</f>
        <v>0</v>
      </c>
      <c r="AJ392" s="2">
        <f>IF(AND(Games[[#This Row],[Type]]="P",Games[[#This Row],[Round]]=3),IF(Games[[#This Row],[Result]]&lt;0.5,1,0),0)</f>
        <v>0</v>
      </c>
      <c r="AK392" s="2">
        <f>IF(AND(Games[[#This Row],[Type]]="P",Games[[#This Row],[Round]]=4),IF(Games[[#This Row],[Result]]&gt;0.5,1,0),0)</f>
        <v>0</v>
      </c>
      <c r="AL392" s="2">
        <f>IF(AND(Games[[#This Row],[Type]]="P",Games[[#This Row],[Round]]=4),IF(Games[[#This Row],[Result]]&lt;0.5,1,0),0)</f>
        <v>0</v>
      </c>
    </row>
    <row r="393" spans="1:38" x14ac:dyDescent="0.35">
      <c r="A393" s="10">
        <v>44465</v>
      </c>
      <c r="B393" s="2">
        <v>2021</v>
      </c>
      <c r="C393" s="2">
        <f>COUNTIFS(Games[Team],Games[[#This Row],[Team]],Games[Season],Games[[#This Row],[Season]],Games[Date],"&lt;=" &amp; Games[[#This Row],[Date]])</f>
        <v>33</v>
      </c>
      <c r="D393" s="2" t="s">
        <v>87</v>
      </c>
      <c r="E393" s="2">
        <v>1</v>
      </c>
      <c r="F393" s="1" t="s">
        <v>67</v>
      </c>
      <c r="G393" s="1" t="s">
        <v>75</v>
      </c>
      <c r="H393" s="1" t="s">
        <v>82</v>
      </c>
      <c r="I393" s="2" cm="1">
        <f t="array" ref="I393">IFERROR(
    Games[[#This Row],[Date]]
    - LOOKUP(
        2,
        1/((Games[Team]=Games[[#This Row],[Team]]) * (Games[Date] &lt; Games[[#This Row],[Date]])),
        Games[Date]
    )
    - 1,
Games[[#This Row],[Date]]-$A$2)</f>
        <v>6</v>
      </c>
      <c r="J393" s="2" cm="1">
        <f t="array" ref="J393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3" s="2">
        <f>Games[[#This Row],[DaysOff]]-Games[[#This Row],[OppDaysOff]]</f>
        <v>4</v>
      </c>
      <c r="L393" s="2">
        <f>Games[[#This Row],[OppDaysOff]]-Games[[#This Row],[DaysOff]]</f>
        <v>-4</v>
      </c>
      <c r="M393" s="1">
        <f>MAX(-16, MIN(16, Games[[#This Row],[RestDiff]]*8))</f>
        <v>16</v>
      </c>
      <c r="N393" s="1">
        <f>MAX(-16, MIN(16, Games[[#This Row],[OppRestDiff]]*8))</f>
        <v>-16</v>
      </c>
      <c r="O393" s="4" cm="1">
        <f t="array" ref="O39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1624.1180529326987</v>
      </c>
      <c r="P393" s="4" cm="1">
        <f t="array" ref="P39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1536.1477908977843</v>
      </c>
      <c r="Q393" s="4">
        <f>1/(1+10^(((Games[[#This Row],[OppPreGmRate]]+IF(Games[[#This Row],[HomeAway]]="A",HCA,0)+Games[[#This Row],[OppRestAdj]])-(Games[[#This Row],[PreGmRate]]+IF(Games[[#This Row],[HomeAway]]="H",HCA,0)+Games[[#This Row],[RestAdj]]))/400))</f>
        <v>0.76389382551668916</v>
      </c>
      <c r="R393" s="1">
        <v>76</v>
      </c>
      <c r="S393" s="1">
        <v>89</v>
      </c>
      <c r="T393" s="1">
        <v>0</v>
      </c>
      <c r="U393" s="1">
        <f>Games[[#This Row],[PointsFor]]-Games[[#This Row],[PointsAgainst]]</f>
        <v>-13</v>
      </c>
      <c r="V393" s="1">
        <f>IF(Games[[#This Row],[MOV]]&gt;0,1,IF(Games[[#This Row],[MOV]]=0,0.5,0))</f>
        <v>0</v>
      </c>
      <c r="W393" s="4">
        <f>((ABS(Games[[#This Row],[MOV]])+5)^0.6)/(12+0.01*(ABS(Games[[#This Row],[PreGmRate]]-Games[[#This Row],[OppPreGmRate]])))*IF(Games[[#This Row],[OT]]=1,0.9,1)</f>
        <v>0.43980247329777683</v>
      </c>
      <c r="X393" s="7" cm="1">
        <f t="array" ref="X39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393" s="9">
        <f>MAX(kmin, kmax - 0.15 * MIN(Games[[#This Row],[GamesPlayed]], 82))</f>
        <v>71.05</v>
      </c>
      <c r="Z393" s="4">
        <f>Games[[#This Row],[K]]*Games[[#This Row],[POMult]]</f>
        <v>78.155000000000001</v>
      </c>
      <c r="AA393" s="4">
        <f>(Games[[#This Row],[Keff]]*Games[[#This Row],[MOVMult]])*(Games[[#This Row],[Result]]-Games[[#This Row],[ExpectedWin%]])</f>
        <v>-26.257140887371811</v>
      </c>
      <c r="AB393" s="4">
        <f>Games[[#This Row],[PreGmRate]]+Games[[#This Row],[RatingChange]]</f>
        <v>1597.8609120453268</v>
      </c>
      <c r="AC393" s="2">
        <f>IF(Games[[#This Row],[Type]]="R",IF(Games[[#This Row],[Result]]&gt;0.5,1,0),0)</f>
        <v>0</v>
      </c>
      <c r="AD393" s="2">
        <f>IF(Games[[#This Row],[Type]]="R",IF(Games[[#This Row],[Result]]&lt;0.5,1,0),0)</f>
        <v>0</v>
      </c>
      <c r="AE393" s="2">
        <f>IF(AND(Games[[#This Row],[Type]]="P",Games[[#This Row],[Round]]=1),IF(Games[[#This Row],[Result]]&gt;0.5,1,0),0)</f>
        <v>0</v>
      </c>
      <c r="AF393" s="2">
        <f>IF(AND(Games[[#This Row],[Type]]="P",Games[[#This Row],[Round]]=1),IF(Games[[#This Row],[Result]]&lt;0.5,1,0),0)</f>
        <v>1</v>
      </c>
      <c r="AG393" s="2">
        <f>IF(AND(Games[[#This Row],[Type]]="P",Games[[#This Row],[Round]]=2),IF(Games[[#This Row],[Result]]&gt;0.5,1,0),0)</f>
        <v>0</v>
      </c>
      <c r="AH393" s="2">
        <f>IF(AND(Games[[#This Row],[Type]]="P",Games[[#This Row],[Round]]=2),IF(Games[[#This Row],[Result]]&lt;0.5,1,0),0)</f>
        <v>0</v>
      </c>
      <c r="AI393" s="2">
        <f>IF(AND(Games[[#This Row],[Type]]="P",Games[[#This Row],[Round]]=3),IF(Games[[#This Row],[Result]]&gt;0.5,1,0),0)</f>
        <v>0</v>
      </c>
      <c r="AJ393" s="2">
        <f>IF(AND(Games[[#This Row],[Type]]="P",Games[[#This Row],[Round]]=3),IF(Games[[#This Row],[Result]]&lt;0.5,1,0),0)</f>
        <v>0</v>
      </c>
      <c r="AK393" s="2">
        <f>IF(AND(Games[[#This Row],[Type]]="P",Games[[#This Row],[Round]]=4),IF(Games[[#This Row],[Result]]&gt;0.5,1,0),0)</f>
        <v>0</v>
      </c>
      <c r="AL393" s="2">
        <f>IF(AND(Games[[#This Row],[Type]]="P",Games[[#This Row],[Round]]=4),IF(Games[[#This Row],[Result]]&lt;0.5,1,0),0)</f>
        <v>0</v>
      </c>
    </row>
    <row r="394" spans="1:38" x14ac:dyDescent="0.35">
      <c r="A394" s="10">
        <v>44465</v>
      </c>
      <c r="B394" s="2">
        <v>2021</v>
      </c>
      <c r="C394" s="2">
        <f>COUNTIFS(Games[Team],Games[[#This Row],[Team]],Games[Season],Games[[#This Row],[Season]],Games[Date],"&lt;=" &amp; Games[[#This Row],[Date]])</f>
        <v>34</v>
      </c>
      <c r="D394" s="2" t="s">
        <v>87</v>
      </c>
      <c r="E394" s="2">
        <v>1</v>
      </c>
      <c r="F394" s="1" t="s">
        <v>40</v>
      </c>
      <c r="G394" s="1" t="s">
        <v>71</v>
      </c>
      <c r="H394" s="1" t="s">
        <v>81</v>
      </c>
      <c r="I394" s="2" cm="1">
        <f t="array" ref="I394">IFERROR(
    Games[[#This Row],[Date]]
    - LOOKUP(
        2,
        1/((Games[Team]=Games[[#This Row],[Team]]) * (Games[Date] &lt; Games[[#This Row],[Date]])),
        Games[Date]
    )
    - 1,
Games[[#This Row],[Date]]-$A$2)</f>
        <v>2</v>
      </c>
      <c r="J394" s="2" cm="1">
        <f t="array" ref="J394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94" s="2">
        <f>Games[[#This Row],[DaysOff]]-Games[[#This Row],[OppDaysOff]]</f>
        <v>-6</v>
      </c>
      <c r="L394" s="2">
        <f>Games[[#This Row],[OppDaysOff]]-Games[[#This Row],[DaysOff]]</f>
        <v>6</v>
      </c>
      <c r="M394" s="1">
        <f>MAX(-16, MIN(16, Games[[#This Row],[RestDiff]]*8))</f>
        <v>-16</v>
      </c>
      <c r="N394" s="1">
        <f>MAX(-16, MIN(16, Games[[#This Row],[OppRestDiff]]*8))</f>
        <v>16</v>
      </c>
      <c r="O394" s="4" cm="1">
        <f t="array" ref="O39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1560.0228711644959</v>
      </c>
      <c r="P394" s="4" cm="1">
        <f t="array" ref="P39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1609.1790564477337</v>
      </c>
      <c r="Q394" s="4">
        <f>1/(1+10^(((Games[[#This Row],[OppPreGmRate]]+IF(Games[[#This Row],[HomeAway]]="A",HCA,0)+Games[[#This Row],[OppRestAdj]])-(Games[[#This Row],[PreGmRate]]+IF(Games[[#This Row],[HomeAway]]="H",HCA,0)+Games[[#This Row],[RestAdj]]))/400))</f>
        <v>0.27874096686802291</v>
      </c>
      <c r="R394" s="1">
        <v>85</v>
      </c>
      <c r="S394" s="1">
        <v>80</v>
      </c>
      <c r="T394" s="1">
        <v>1</v>
      </c>
      <c r="U394" s="1">
        <f>Games[[#This Row],[PointsFor]]-Games[[#This Row],[PointsAgainst]]</f>
        <v>5</v>
      </c>
      <c r="V394" s="1">
        <f>IF(Games[[#This Row],[MOV]]&gt;0,1,IF(Games[[#This Row],[MOV]]=0,0.5,0))</f>
        <v>1</v>
      </c>
      <c r="W394" s="4">
        <f>((ABS(Games[[#This Row],[MOV]])+5)^0.6)/(12+0.01*(ABS(Games[[#This Row],[PreGmRate]]-Games[[#This Row],[OppPreGmRate]])))*IF(Games[[#This Row],[OT]]=1,0.9,1)</f>
        <v>0.28683078843091686</v>
      </c>
      <c r="X394" s="7" cm="1">
        <f t="array" ref="X39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394" s="9">
        <f>MAX(kmin, kmax - 0.15 * MIN(Games[[#This Row],[GamesPlayed]], 82))</f>
        <v>70.900000000000006</v>
      </c>
      <c r="Z394" s="4">
        <f>Games[[#This Row],[K]]*Games[[#This Row],[POMult]]</f>
        <v>77.990000000000009</v>
      </c>
      <c r="AA394" s="4">
        <f>(Games[[#This Row],[Keff]]*Games[[#This Row],[MOVMult]])*(Games[[#This Row],[Result]]-Games[[#This Row],[ExpectedWin%]])</f>
        <v>16.134516383649569</v>
      </c>
      <c r="AB394" s="4">
        <f>Games[[#This Row],[PreGmRate]]+Games[[#This Row],[RatingChange]]</f>
        <v>1576.1573875481454</v>
      </c>
      <c r="AC394" s="2">
        <f>IF(Games[[#This Row],[Type]]="R",IF(Games[[#This Row],[Result]]&gt;0.5,1,0),0)</f>
        <v>0</v>
      </c>
      <c r="AD394" s="2">
        <f>IF(Games[[#This Row],[Type]]="R",IF(Games[[#This Row],[Result]]&lt;0.5,1,0),0)</f>
        <v>0</v>
      </c>
      <c r="AE394" s="2">
        <f>IF(AND(Games[[#This Row],[Type]]="P",Games[[#This Row],[Round]]=1),IF(Games[[#This Row],[Result]]&gt;0.5,1,0),0)</f>
        <v>1</v>
      </c>
      <c r="AF394" s="2">
        <f>IF(AND(Games[[#This Row],[Type]]="P",Games[[#This Row],[Round]]=1),IF(Games[[#This Row],[Result]]&lt;0.5,1,0),0)</f>
        <v>0</v>
      </c>
      <c r="AG394" s="2">
        <f>IF(AND(Games[[#This Row],[Type]]="P",Games[[#This Row],[Round]]=2),IF(Games[[#This Row],[Result]]&gt;0.5,1,0),0)</f>
        <v>0</v>
      </c>
      <c r="AH394" s="2">
        <f>IF(AND(Games[[#This Row],[Type]]="P",Games[[#This Row],[Round]]=2),IF(Games[[#This Row],[Result]]&lt;0.5,1,0),0)</f>
        <v>0</v>
      </c>
      <c r="AI394" s="2">
        <f>IF(AND(Games[[#This Row],[Type]]="P",Games[[#This Row],[Round]]=3),IF(Games[[#This Row],[Result]]&gt;0.5,1,0),0)</f>
        <v>0</v>
      </c>
      <c r="AJ394" s="2">
        <f>IF(AND(Games[[#This Row],[Type]]="P",Games[[#This Row],[Round]]=3),IF(Games[[#This Row],[Result]]&lt;0.5,1,0),0)</f>
        <v>0</v>
      </c>
      <c r="AK394" s="2">
        <f>IF(AND(Games[[#This Row],[Type]]="P",Games[[#This Row],[Round]]=4),IF(Games[[#This Row],[Result]]&gt;0.5,1,0),0)</f>
        <v>0</v>
      </c>
      <c r="AL394" s="2">
        <f>IF(AND(Games[[#This Row],[Type]]="P",Games[[#This Row],[Round]]=4),IF(Games[[#This Row],[Result]]&lt;0.5,1,0),0)</f>
        <v>0</v>
      </c>
    </row>
    <row r="395" spans="1:38" x14ac:dyDescent="0.35">
      <c r="A395" s="10">
        <v>44465</v>
      </c>
      <c r="B395" s="2">
        <v>2021</v>
      </c>
      <c r="C395" s="2">
        <f>COUNTIFS(Games[Team],Games[[#This Row],[Team]],Games[Season],Games[[#This Row],[Season]],Games[Date],"&lt;=" &amp; Games[[#This Row],[Date]])</f>
        <v>34</v>
      </c>
      <c r="D395" s="2" t="s">
        <v>87</v>
      </c>
      <c r="E395" s="2">
        <v>1</v>
      </c>
      <c r="F395" s="1" t="s">
        <v>71</v>
      </c>
      <c r="G395" s="1" t="s">
        <v>40</v>
      </c>
      <c r="H395" s="1" t="s">
        <v>82</v>
      </c>
      <c r="I395" s="2" cm="1">
        <f t="array" ref="I395">IFERROR(
    Games[[#This Row],[Date]]
    - LOOKUP(
        2,
        1/((Games[Team]=Games[[#This Row],[Team]]) * (Games[Date] &lt; Games[[#This Row],[Date]])),
        Games[Date]
    )
    - 1,
Games[[#This Row],[Date]]-$A$2)</f>
        <v>8</v>
      </c>
      <c r="J395" s="2" cm="1">
        <f t="array" ref="J39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395" s="2">
        <f>Games[[#This Row],[DaysOff]]-Games[[#This Row],[OppDaysOff]]</f>
        <v>6</v>
      </c>
      <c r="L395" s="2">
        <f>Games[[#This Row],[OppDaysOff]]-Games[[#This Row],[DaysOff]]</f>
        <v>-6</v>
      </c>
      <c r="M395" s="1">
        <f>MAX(-16, MIN(16, Games[[#This Row],[RestDiff]]*8))</f>
        <v>16</v>
      </c>
      <c r="N395" s="1">
        <f>MAX(-16, MIN(16, Games[[#This Row],[OppRestDiff]]*8))</f>
        <v>-16</v>
      </c>
      <c r="O395" s="4" cm="1">
        <f t="array" ref="O39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1609.1790564477337</v>
      </c>
      <c r="P395" s="4" cm="1">
        <f t="array" ref="P39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1560.0228711644959</v>
      </c>
      <c r="Q395" s="4">
        <f>1/(1+10^(((Games[[#This Row],[OppPreGmRate]]+IF(Games[[#This Row],[HomeAway]]="A",HCA,0)+Games[[#This Row],[OppRestAdj]])-(Games[[#This Row],[PreGmRate]]+IF(Games[[#This Row],[HomeAway]]="H",HCA,0)+Games[[#This Row],[RestAdj]]))/400))</f>
        <v>0.72125903313197715</v>
      </c>
      <c r="R395" s="1">
        <v>80</v>
      </c>
      <c r="S395" s="1">
        <v>85</v>
      </c>
      <c r="T395" s="1">
        <v>1</v>
      </c>
      <c r="U395" s="1">
        <f>Games[[#This Row],[PointsFor]]-Games[[#This Row],[PointsAgainst]]</f>
        <v>-5</v>
      </c>
      <c r="V395" s="1">
        <f>IF(Games[[#This Row],[MOV]]&gt;0,1,IF(Games[[#This Row],[MOV]]=0,0.5,0))</f>
        <v>0</v>
      </c>
      <c r="W395" s="4">
        <f>((ABS(Games[[#This Row],[MOV]])+5)^0.6)/(12+0.01*(ABS(Games[[#This Row],[PreGmRate]]-Games[[#This Row],[OppPreGmRate]])))*IF(Games[[#This Row],[OT]]=1,0.9,1)</f>
        <v>0.28683078843091686</v>
      </c>
      <c r="X395" s="7" cm="1">
        <f t="array" ref="X39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1.1000000000000001</v>
      </c>
      <c r="Y395" s="9">
        <f>MAX(kmin, kmax - 0.15 * MIN(Games[[#This Row],[GamesPlayed]], 82))</f>
        <v>70.900000000000006</v>
      </c>
      <c r="Z395" s="4">
        <f>Games[[#This Row],[K]]*Games[[#This Row],[POMult]]</f>
        <v>77.990000000000009</v>
      </c>
      <c r="AA395" s="4">
        <f>(Games[[#This Row],[Keff]]*Games[[#This Row],[MOVMult]])*(Games[[#This Row],[Result]]-Games[[#This Row],[ExpectedWin%]])</f>
        <v>-16.134516383649572</v>
      </c>
      <c r="AB395" s="4">
        <f>Games[[#This Row],[PreGmRate]]+Games[[#This Row],[RatingChange]]</f>
        <v>1593.0445400640842</v>
      </c>
      <c r="AC395" s="2">
        <f>IF(Games[[#This Row],[Type]]="R",IF(Games[[#This Row],[Result]]&gt;0.5,1,0),0)</f>
        <v>0</v>
      </c>
      <c r="AD395" s="2">
        <f>IF(Games[[#This Row],[Type]]="R",IF(Games[[#This Row],[Result]]&lt;0.5,1,0),0)</f>
        <v>0</v>
      </c>
      <c r="AE395" s="2">
        <f>IF(AND(Games[[#This Row],[Type]]="P",Games[[#This Row],[Round]]=1),IF(Games[[#This Row],[Result]]&gt;0.5,1,0),0)</f>
        <v>0</v>
      </c>
      <c r="AF395" s="2">
        <f>IF(AND(Games[[#This Row],[Type]]="P",Games[[#This Row],[Round]]=1),IF(Games[[#This Row],[Result]]&lt;0.5,1,0),0)</f>
        <v>1</v>
      </c>
      <c r="AG395" s="2">
        <f>IF(AND(Games[[#This Row],[Type]]="P",Games[[#This Row],[Round]]=2),IF(Games[[#This Row],[Result]]&gt;0.5,1,0),0)</f>
        <v>0</v>
      </c>
      <c r="AH395" s="2">
        <f>IF(AND(Games[[#This Row],[Type]]="P",Games[[#This Row],[Round]]=2),IF(Games[[#This Row],[Result]]&lt;0.5,1,0),0)</f>
        <v>0</v>
      </c>
      <c r="AI395" s="2">
        <f>IF(AND(Games[[#This Row],[Type]]="P",Games[[#This Row],[Round]]=3),IF(Games[[#This Row],[Result]]&gt;0.5,1,0),0)</f>
        <v>0</v>
      </c>
      <c r="AJ395" s="2">
        <f>IF(AND(Games[[#This Row],[Type]]="P",Games[[#This Row],[Round]]=3),IF(Games[[#This Row],[Result]]&lt;0.5,1,0),0)</f>
        <v>0</v>
      </c>
      <c r="AK395" s="2">
        <f>IF(AND(Games[[#This Row],[Type]]="P",Games[[#This Row],[Round]]=4),IF(Games[[#This Row],[Result]]&gt;0.5,1,0),0)</f>
        <v>0</v>
      </c>
      <c r="AL395" s="2">
        <f>IF(AND(Games[[#This Row],[Type]]="P",Games[[#This Row],[Round]]=4),IF(Games[[#This Row],[Result]]&lt;0.5,1,0),0)</f>
        <v>0</v>
      </c>
    </row>
    <row r="396" spans="1:38" x14ac:dyDescent="0.35">
      <c r="A396" s="10">
        <v>44467</v>
      </c>
      <c r="B396" s="2">
        <v>2021</v>
      </c>
      <c r="C396" s="2">
        <f>COUNTIFS(Games[Team],Games[[#This Row],[Team]],Games[Season],Games[[#This Row],[Season]],Games[Date],"&lt;=" &amp; Games[[#This Row],[Date]])</f>
        <v>35</v>
      </c>
      <c r="D396" s="2" t="s">
        <v>87</v>
      </c>
      <c r="E396" s="2">
        <v>2</v>
      </c>
      <c r="F396" s="1" t="s">
        <v>75</v>
      </c>
      <c r="G396" s="1" t="s">
        <v>74</v>
      </c>
      <c r="H396" s="1" t="s">
        <v>81</v>
      </c>
      <c r="I396" s="2" cm="1">
        <f t="array" ref="I396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6" s="2" cm="1">
        <f t="array" ref="J396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96" s="2">
        <f>Games[[#This Row],[DaysOff]]-Games[[#This Row],[OppDaysOff]]</f>
        <v>-7</v>
      </c>
      <c r="L396" s="2">
        <f>Games[[#This Row],[OppDaysOff]]-Games[[#This Row],[DaysOff]]</f>
        <v>7</v>
      </c>
      <c r="M396" s="1">
        <f>MAX(-16, MIN(16, Games[[#This Row],[RestDiff]]*8))</f>
        <v>-16</v>
      </c>
      <c r="N396" s="1">
        <f>MAX(-16, MIN(16, Games[[#This Row],[OppRestDiff]]*8))</f>
        <v>16</v>
      </c>
      <c r="O396" s="4" cm="1">
        <f t="array" ref="O39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1562.3494979901793</v>
      </c>
      <c r="P396" s="4" cm="1">
        <f t="array" ref="P39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1702.655222534308</v>
      </c>
      <c r="Q396" s="4">
        <f>1/(1+10^(((Games[[#This Row],[OppPreGmRate]]+IF(Games[[#This Row],[HomeAway]]="A",HCA,0)+Games[[#This Row],[OppRestAdj]])-(Games[[#This Row],[PreGmRate]]+IF(Games[[#This Row],[HomeAway]]="H",HCA,0)+Games[[#This Row],[RestAdj]]))/400))</f>
        <v>0.18612105377600047</v>
      </c>
      <c r="R396" s="1">
        <v>101</v>
      </c>
      <c r="S396" s="1">
        <v>95</v>
      </c>
      <c r="T396" s="1">
        <v>1</v>
      </c>
      <c r="U396" s="1">
        <f>Games[[#This Row],[PointsFor]]-Games[[#This Row],[PointsAgainst]]</f>
        <v>6</v>
      </c>
      <c r="V396" s="1">
        <f>IF(Games[[#This Row],[MOV]]&gt;0,1,IF(Games[[#This Row],[MOV]]=0,0.5,0))</f>
        <v>1</v>
      </c>
      <c r="W396" s="4">
        <f>((ABS(Games[[#This Row],[MOV]])+5)^0.6)/(12+0.01*(ABS(Games[[#This Row],[PreGmRate]]-Games[[#This Row],[OppPreGmRate]])))*IF(Games[[#This Row],[OT]]=1,0.9,1)</f>
        <v>0.283057227191437</v>
      </c>
      <c r="X396" s="7" cm="1">
        <f t="array" ref="X39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396" s="9">
        <f>MAX(kmin, kmax - 0.15 * MIN(Games[[#This Row],[GamesPlayed]], 82))</f>
        <v>70.75</v>
      </c>
      <c r="Z396" s="4">
        <f>Games[[#This Row],[K]]*Games[[#This Row],[POMult]]</f>
        <v>84.899999999999991</v>
      </c>
      <c r="AA396" s="4">
        <f>(Games[[#This Row],[Keff]]*Games[[#This Row],[MOVMult]])*(Games[[#This Row],[Result]]-Games[[#This Row],[ExpectedWin%]])</f>
        <v>19.558779580171819</v>
      </c>
      <c r="AB396" s="4">
        <f>Games[[#This Row],[PreGmRate]]+Games[[#This Row],[RatingChange]]</f>
        <v>1581.9082775703512</v>
      </c>
      <c r="AC396" s="2">
        <f>IF(Games[[#This Row],[Type]]="R",IF(Games[[#This Row],[Result]]&gt;0.5,1,0),0)</f>
        <v>0</v>
      </c>
      <c r="AD396" s="2">
        <f>IF(Games[[#This Row],[Type]]="R",IF(Games[[#This Row],[Result]]&lt;0.5,1,0),0)</f>
        <v>0</v>
      </c>
      <c r="AE396" s="2">
        <f>IF(AND(Games[[#This Row],[Type]]="P",Games[[#This Row],[Round]]=1),IF(Games[[#This Row],[Result]]&gt;0.5,1,0),0)</f>
        <v>0</v>
      </c>
      <c r="AF396" s="2">
        <f>IF(AND(Games[[#This Row],[Type]]="P",Games[[#This Row],[Round]]=1),IF(Games[[#This Row],[Result]]&lt;0.5,1,0),0)</f>
        <v>0</v>
      </c>
      <c r="AG396" s="2">
        <f>IF(AND(Games[[#This Row],[Type]]="P",Games[[#This Row],[Round]]=2),IF(Games[[#This Row],[Result]]&gt;0.5,1,0),0)</f>
        <v>1</v>
      </c>
      <c r="AH396" s="2">
        <f>IF(AND(Games[[#This Row],[Type]]="P",Games[[#This Row],[Round]]=2),IF(Games[[#This Row],[Result]]&lt;0.5,1,0),0)</f>
        <v>0</v>
      </c>
      <c r="AI396" s="2">
        <f>IF(AND(Games[[#This Row],[Type]]="P",Games[[#This Row],[Round]]=3),IF(Games[[#This Row],[Result]]&gt;0.5,1,0),0)</f>
        <v>0</v>
      </c>
      <c r="AJ396" s="2">
        <f>IF(AND(Games[[#This Row],[Type]]="P",Games[[#This Row],[Round]]=3),IF(Games[[#This Row],[Result]]&lt;0.5,1,0),0)</f>
        <v>0</v>
      </c>
      <c r="AK396" s="2">
        <f>IF(AND(Games[[#This Row],[Type]]="P",Games[[#This Row],[Round]]=4),IF(Games[[#This Row],[Result]]&gt;0.5,1,0),0)</f>
        <v>0</v>
      </c>
      <c r="AL396" s="2">
        <f>IF(AND(Games[[#This Row],[Type]]="P",Games[[#This Row],[Round]]=4),IF(Games[[#This Row],[Result]]&lt;0.5,1,0),0)</f>
        <v>0</v>
      </c>
    </row>
    <row r="397" spans="1:38" x14ac:dyDescent="0.35">
      <c r="A397" s="10">
        <v>44467</v>
      </c>
      <c r="B397" s="2">
        <v>2021</v>
      </c>
      <c r="C397" s="2">
        <f>COUNTIFS(Games[Team],Games[[#This Row],[Team]],Games[Season],Games[[#This Row],[Season]],Games[Date],"&lt;=" &amp; Games[[#This Row],[Date]])</f>
        <v>34</v>
      </c>
      <c r="D397" s="2" t="s">
        <v>87</v>
      </c>
      <c r="E397" s="2">
        <v>2</v>
      </c>
      <c r="F397" s="1" t="s">
        <v>74</v>
      </c>
      <c r="G397" s="1" t="s">
        <v>75</v>
      </c>
      <c r="H397" s="1" t="s">
        <v>82</v>
      </c>
      <c r="I397" s="2" cm="1">
        <f t="array" ref="I397">IFERROR(
    Games[[#This Row],[Date]]
    - LOOKUP(
        2,
        1/((Games[Team]=Games[[#This Row],[Team]]) * (Games[Date] &lt; Games[[#This Row],[Date]])),
        Games[Date]
    )
    - 1,
Games[[#This Row],[Date]]-$A$2)</f>
        <v>8</v>
      </c>
      <c r="J397" s="2" cm="1">
        <f t="array" ref="J397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7" s="2">
        <f>Games[[#This Row],[DaysOff]]-Games[[#This Row],[OppDaysOff]]</f>
        <v>7</v>
      </c>
      <c r="L397" s="2">
        <f>Games[[#This Row],[OppDaysOff]]-Games[[#This Row],[DaysOff]]</f>
        <v>-7</v>
      </c>
      <c r="M397" s="1">
        <f>MAX(-16, MIN(16, Games[[#This Row],[RestDiff]]*8))</f>
        <v>16</v>
      </c>
      <c r="N397" s="1">
        <f>MAX(-16, MIN(16, Games[[#This Row],[OppRestDiff]]*8))</f>
        <v>-16</v>
      </c>
      <c r="O397" s="4" cm="1">
        <f t="array" ref="O39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1702.655222534308</v>
      </c>
      <c r="P397" s="4" cm="1">
        <f t="array" ref="P39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1562.3494979901793</v>
      </c>
      <c r="Q397" s="4">
        <f>1/(1+10^(((Games[[#This Row],[OppPreGmRate]]+IF(Games[[#This Row],[HomeAway]]="A",HCA,0)+Games[[#This Row],[OppRestAdj]])-(Games[[#This Row],[PreGmRate]]+IF(Games[[#This Row],[HomeAway]]="H",HCA,0)+Games[[#This Row],[RestAdj]]))/400))</f>
        <v>0.81387894622399959</v>
      </c>
      <c r="R397" s="1">
        <v>95</v>
      </c>
      <c r="S397" s="1">
        <v>101</v>
      </c>
      <c r="T397" s="1">
        <v>1</v>
      </c>
      <c r="U397" s="1">
        <f>Games[[#This Row],[PointsFor]]-Games[[#This Row],[PointsAgainst]]</f>
        <v>-6</v>
      </c>
      <c r="V397" s="1">
        <f>IF(Games[[#This Row],[MOV]]&gt;0,1,IF(Games[[#This Row],[MOV]]=0,0.5,0))</f>
        <v>0</v>
      </c>
      <c r="W397" s="4">
        <f>((ABS(Games[[#This Row],[MOV]])+5)^0.6)/(12+0.01*(ABS(Games[[#This Row],[PreGmRate]]-Games[[#This Row],[OppPreGmRate]])))*IF(Games[[#This Row],[OT]]=1,0.9,1)</f>
        <v>0.283057227191437</v>
      </c>
      <c r="X397" s="7" cm="1">
        <f t="array" ref="X39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397" s="9">
        <f>MAX(kmin, kmax - 0.15 * MIN(Games[[#This Row],[GamesPlayed]], 82))</f>
        <v>70.900000000000006</v>
      </c>
      <c r="Z397" s="4">
        <f>Games[[#This Row],[K]]*Games[[#This Row],[POMult]]</f>
        <v>85.08</v>
      </c>
      <c r="AA397" s="4">
        <f>(Games[[#This Row],[Keff]]*Games[[#This Row],[MOVMult]])*(Games[[#This Row],[Result]]-Games[[#This Row],[ExpectedWin%]])</f>
        <v>-19.600246957373603</v>
      </c>
      <c r="AB397" s="4">
        <f>Games[[#This Row],[PreGmRate]]+Games[[#This Row],[RatingChange]]</f>
        <v>1683.0549755769343</v>
      </c>
      <c r="AC397" s="2">
        <f>IF(Games[[#This Row],[Type]]="R",IF(Games[[#This Row],[Result]]&gt;0.5,1,0),0)</f>
        <v>0</v>
      </c>
      <c r="AD397" s="2">
        <f>IF(Games[[#This Row],[Type]]="R",IF(Games[[#This Row],[Result]]&lt;0.5,1,0),0)</f>
        <v>0</v>
      </c>
      <c r="AE397" s="2">
        <f>IF(AND(Games[[#This Row],[Type]]="P",Games[[#This Row],[Round]]=1),IF(Games[[#This Row],[Result]]&gt;0.5,1,0),0)</f>
        <v>0</v>
      </c>
      <c r="AF397" s="2">
        <f>IF(AND(Games[[#This Row],[Type]]="P",Games[[#This Row],[Round]]=1),IF(Games[[#This Row],[Result]]&lt;0.5,1,0),0)</f>
        <v>0</v>
      </c>
      <c r="AG397" s="2">
        <f>IF(AND(Games[[#This Row],[Type]]="P",Games[[#This Row],[Round]]=2),IF(Games[[#This Row],[Result]]&gt;0.5,1,0),0)</f>
        <v>0</v>
      </c>
      <c r="AH397" s="2">
        <f>IF(AND(Games[[#This Row],[Type]]="P",Games[[#This Row],[Round]]=2),IF(Games[[#This Row],[Result]]&lt;0.5,1,0),0)</f>
        <v>1</v>
      </c>
      <c r="AI397" s="2">
        <f>IF(AND(Games[[#This Row],[Type]]="P",Games[[#This Row],[Round]]=3),IF(Games[[#This Row],[Result]]&gt;0.5,1,0),0)</f>
        <v>0</v>
      </c>
      <c r="AJ397" s="2">
        <f>IF(AND(Games[[#This Row],[Type]]="P",Games[[#This Row],[Round]]=3),IF(Games[[#This Row],[Result]]&lt;0.5,1,0),0)</f>
        <v>0</v>
      </c>
      <c r="AK397" s="2">
        <f>IF(AND(Games[[#This Row],[Type]]="P",Games[[#This Row],[Round]]=4),IF(Games[[#This Row],[Result]]&gt;0.5,1,0),0)</f>
        <v>0</v>
      </c>
      <c r="AL397" s="2">
        <f>IF(AND(Games[[#This Row],[Type]]="P",Games[[#This Row],[Round]]=4),IF(Games[[#This Row],[Result]]&lt;0.5,1,0),0)</f>
        <v>0</v>
      </c>
    </row>
    <row r="398" spans="1:38" x14ac:dyDescent="0.35">
      <c r="A398" s="10">
        <v>44467</v>
      </c>
      <c r="B398" s="2">
        <v>2021</v>
      </c>
      <c r="C398" s="2">
        <f>COUNTIFS(Games[Team],Games[[#This Row],[Team]],Games[Season],Games[[#This Row],[Season]],Games[Date],"&lt;=" &amp; Games[[#This Row],[Date]])</f>
        <v>35</v>
      </c>
      <c r="D398" s="2" t="s">
        <v>87</v>
      </c>
      <c r="E398" s="2">
        <v>2</v>
      </c>
      <c r="F398" s="1" t="s">
        <v>40</v>
      </c>
      <c r="G398" s="1" t="s">
        <v>85</v>
      </c>
      <c r="H398" s="1" t="s">
        <v>81</v>
      </c>
      <c r="I398" s="2" cm="1">
        <f t="array" ref="I398">IFERROR(
    Games[[#This Row],[Date]]
    - LOOKUP(
        2,
        1/((Games[Team]=Games[[#This Row],[Team]]) * (Games[Date] &lt; Games[[#This Row],[Date]])),
        Games[Date]
    )
    - 1,
Games[[#This Row],[Date]]-$A$2)</f>
        <v>1</v>
      </c>
      <c r="J398" s="2" cm="1">
        <f t="array" ref="J398">IFERROR(
    Games[[#This Row],[Date]]
    - LOOKUP(
        2,
        1/((Games[Opponent]=Games[[#This Row],[Opponent]]) * (Games[Date] &lt; Games[[#This Row],[Date]])),
        Games[Date]
    )
    - 1,
Games[[#This Row],[Date]]-$A$2)</f>
        <v>8</v>
      </c>
      <c r="K398" s="2">
        <f>Games[[#This Row],[DaysOff]]-Games[[#This Row],[OppDaysOff]]</f>
        <v>-7</v>
      </c>
      <c r="L398" s="2">
        <f>Games[[#This Row],[OppDaysOff]]-Games[[#This Row],[DaysOff]]</f>
        <v>7</v>
      </c>
      <c r="M398" s="1">
        <f>MAX(-16, MIN(16, Games[[#This Row],[RestDiff]]*8))</f>
        <v>-16</v>
      </c>
      <c r="N398" s="1">
        <f>MAX(-16, MIN(16, Games[[#This Row],[OppRestDiff]]*8))</f>
        <v>16</v>
      </c>
      <c r="O398" s="4" cm="1">
        <f t="array" ref="O39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1576.1573875481454</v>
      </c>
      <c r="P398" s="4" cm="1">
        <f t="array" ref="P39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1684.0413035481129</v>
      </c>
      <c r="Q398" s="4">
        <f>1/(1+10^(((Games[[#This Row],[OppPreGmRate]]+IF(Games[[#This Row],[HomeAway]]="A",HCA,0)+Games[[#This Row],[OppRestAdj]])-(Games[[#This Row],[PreGmRate]]+IF(Games[[#This Row],[HomeAway]]="H",HCA,0)+Games[[#This Row],[RestAdj]]))/400))</f>
        <v>0.21605947849621016</v>
      </c>
      <c r="R398" s="1">
        <v>90</v>
      </c>
      <c r="S398" s="1">
        <v>96</v>
      </c>
      <c r="T398" s="1">
        <v>0</v>
      </c>
      <c r="U398" s="1">
        <f>Games[[#This Row],[PointsFor]]-Games[[#This Row],[PointsAgainst]]</f>
        <v>-6</v>
      </c>
      <c r="V398" s="1">
        <f>IF(Games[[#This Row],[MOV]]&gt;0,1,IF(Games[[#This Row],[MOV]]=0,0.5,0))</f>
        <v>0</v>
      </c>
      <c r="W398" s="4">
        <f>((ABS(Games[[#This Row],[MOV]])+5)^0.6)/(12+0.01*(ABS(Games[[#This Row],[PreGmRate]]-Games[[#This Row],[OppPreGmRate]])))*IF(Games[[#This Row],[OT]]=1,0.9,1)</f>
        <v>0.32230453188721719</v>
      </c>
      <c r="X398" s="7" cm="1">
        <f t="array" ref="X39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398" s="9">
        <f>MAX(kmin, kmax - 0.15 * MIN(Games[[#This Row],[GamesPlayed]], 82))</f>
        <v>70.75</v>
      </c>
      <c r="Z398" s="4">
        <f>Games[[#This Row],[K]]*Games[[#This Row],[POMult]]</f>
        <v>84.899999999999991</v>
      </c>
      <c r="AA398" s="4">
        <f>(Games[[#This Row],[Keff]]*Games[[#This Row],[MOVMult]])*(Games[[#This Row],[Result]]-Games[[#This Row],[ExpectedWin%]])</f>
        <v>-5.9121769765963164</v>
      </c>
      <c r="AB398" s="4">
        <f>Games[[#This Row],[PreGmRate]]+Games[[#This Row],[RatingChange]]</f>
        <v>1570.245210571549</v>
      </c>
      <c r="AC398" s="2">
        <f>IF(Games[[#This Row],[Type]]="R",IF(Games[[#This Row],[Result]]&gt;0.5,1,0),0)</f>
        <v>0</v>
      </c>
      <c r="AD398" s="2">
        <f>IF(Games[[#This Row],[Type]]="R",IF(Games[[#This Row],[Result]]&lt;0.5,1,0),0)</f>
        <v>0</v>
      </c>
      <c r="AE398" s="2">
        <f>IF(AND(Games[[#This Row],[Type]]="P",Games[[#This Row],[Round]]=1),IF(Games[[#This Row],[Result]]&gt;0.5,1,0),0)</f>
        <v>0</v>
      </c>
      <c r="AF398" s="2">
        <f>IF(AND(Games[[#This Row],[Type]]="P",Games[[#This Row],[Round]]=1),IF(Games[[#This Row],[Result]]&lt;0.5,1,0),0)</f>
        <v>0</v>
      </c>
      <c r="AG398" s="2">
        <f>IF(AND(Games[[#This Row],[Type]]="P",Games[[#This Row],[Round]]=2),IF(Games[[#This Row],[Result]]&gt;0.5,1,0),0)</f>
        <v>0</v>
      </c>
      <c r="AH398" s="2">
        <f>IF(AND(Games[[#This Row],[Type]]="P",Games[[#This Row],[Round]]=2),IF(Games[[#This Row],[Result]]&lt;0.5,1,0),0)</f>
        <v>1</v>
      </c>
      <c r="AI398" s="2">
        <f>IF(AND(Games[[#This Row],[Type]]="P",Games[[#This Row],[Round]]=3),IF(Games[[#This Row],[Result]]&gt;0.5,1,0),0)</f>
        <v>0</v>
      </c>
      <c r="AJ398" s="2">
        <f>IF(AND(Games[[#This Row],[Type]]="P",Games[[#This Row],[Round]]=3),IF(Games[[#This Row],[Result]]&lt;0.5,1,0),0)</f>
        <v>0</v>
      </c>
      <c r="AK398" s="2">
        <f>IF(AND(Games[[#This Row],[Type]]="P",Games[[#This Row],[Round]]=4),IF(Games[[#This Row],[Result]]&gt;0.5,1,0),0)</f>
        <v>0</v>
      </c>
      <c r="AL398" s="2">
        <f>IF(AND(Games[[#This Row],[Type]]="P",Games[[#This Row],[Round]]=4),IF(Games[[#This Row],[Result]]&lt;0.5,1,0),0)</f>
        <v>0</v>
      </c>
    </row>
    <row r="399" spans="1:38" x14ac:dyDescent="0.35">
      <c r="A399" s="10">
        <v>44467</v>
      </c>
      <c r="B399" s="2">
        <v>2021</v>
      </c>
      <c r="C399" s="2">
        <f>COUNTIFS(Games[Team],Games[[#This Row],[Team]],Games[Season],Games[[#This Row],[Season]],Games[Date],"&lt;=" &amp; Games[[#This Row],[Date]])</f>
        <v>33</v>
      </c>
      <c r="D399" s="2" t="s">
        <v>87</v>
      </c>
      <c r="E399" s="2">
        <v>2</v>
      </c>
      <c r="F399" s="1" t="s">
        <v>85</v>
      </c>
      <c r="G399" s="1" t="s">
        <v>40</v>
      </c>
      <c r="H399" s="1" t="s">
        <v>82</v>
      </c>
      <c r="I399" s="2" cm="1">
        <f t="array" ref="I399">IFERROR(
    Games[[#This Row],[Date]]
    - LOOKUP(
        2,
        1/((Games[Team]=Games[[#This Row],[Team]]) * (Games[Date] &lt; Games[[#This Row],[Date]])),
        Games[Date]
    )
    - 1,
Games[[#This Row],[Date]]-$A$2)</f>
        <v>8</v>
      </c>
      <c r="J399" s="2" cm="1">
        <f t="array" ref="J39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399" s="2">
        <f>Games[[#This Row],[DaysOff]]-Games[[#This Row],[OppDaysOff]]</f>
        <v>7</v>
      </c>
      <c r="L399" s="2">
        <f>Games[[#This Row],[OppDaysOff]]-Games[[#This Row],[DaysOff]]</f>
        <v>-7</v>
      </c>
      <c r="M399" s="1">
        <f>MAX(-16, MIN(16, Games[[#This Row],[RestDiff]]*8))</f>
        <v>16</v>
      </c>
      <c r="N399" s="1">
        <f>MAX(-16, MIN(16, Games[[#This Row],[OppRestDiff]]*8))</f>
        <v>-16</v>
      </c>
      <c r="O399" s="4" cm="1">
        <f t="array" ref="O39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1684.0413035481129</v>
      </c>
      <c r="P399" s="4" cm="1">
        <f t="array" ref="P39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1576.1573875481454</v>
      </c>
      <c r="Q399" s="4">
        <f>1/(1+10^(((Games[[#This Row],[OppPreGmRate]]+IF(Games[[#This Row],[HomeAway]]="A",HCA,0)+Games[[#This Row],[OppRestAdj]])-(Games[[#This Row],[PreGmRate]]+IF(Games[[#This Row],[HomeAway]]="H",HCA,0)+Games[[#This Row],[RestAdj]]))/400))</f>
        <v>0.78394052150378979</v>
      </c>
      <c r="R399" s="1">
        <v>96</v>
      </c>
      <c r="S399" s="1">
        <v>90</v>
      </c>
      <c r="T399" s="1">
        <v>0</v>
      </c>
      <c r="U399" s="1">
        <f>Games[[#This Row],[PointsFor]]-Games[[#This Row],[PointsAgainst]]</f>
        <v>6</v>
      </c>
      <c r="V399" s="1">
        <f>IF(Games[[#This Row],[MOV]]&gt;0,1,IF(Games[[#This Row],[MOV]]=0,0.5,0))</f>
        <v>1</v>
      </c>
      <c r="W399" s="4">
        <f>((ABS(Games[[#This Row],[MOV]])+5)^0.6)/(12+0.01*(ABS(Games[[#This Row],[PreGmRate]]-Games[[#This Row],[OppPreGmRate]])))*IF(Games[[#This Row],[OT]]=1,0.9,1)</f>
        <v>0.32230453188721719</v>
      </c>
      <c r="X399" s="7" cm="1">
        <f t="array" ref="X39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399" s="9">
        <f>MAX(kmin, kmax - 0.15 * MIN(Games[[#This Row],[GamesPlayed]], 82))</f>
        <v>71.05</v>
      </c>
      <c r="Z399" s="4">
        <f>Games[[#This Row],[K]]*Games[[#This Row],[POMult]]</f>
        <v>85.259999999999991</v>
      </c>
      <c r="AA399" s="4">
        <f>(Games[[#This Row],[Keff]]*Games[[#This Row],[MOVMult]])*(Games[[#This Row],[Result]]-Games[[#This Row],[ExpectedWin%]])</f>
        <v>5.9372462782638644</v>
      </c>
      <c r="AB399" s="4">
        <f>Games[[#This Row],[PreGmRate]]+Games[[#This Row],[RatingChange]]</f>
        <v>1689.9785498263768</v>
      </c>
      <c r="AC399" s="2">
        <f>IF(Games[[#This Row],[Type]]="R",IF(Games[[#This Row],[Result]]&gt;0.5,1,0),0)</f>
        <v>0</v>
      </c>
      <c r="AD399" s="2">
        <f>IF(Games[[#This Row],[Type]]="R",IF(Games[[#This Row],[Result]]&lt;0.5,1,0),0)</f>
        <v>0</v>
      </c>
      <c r="AE399" s="2">
        <f>IF(AND(Games[[#This Row],[Type]]="P",Games[[#This Row],[Round]]=1),IF(Games[[#This Row],[Result]]&gt;0.5,1,0),0)</f>
        <v>0</v>
      </c>
      <c r="AF399" s="2">
        <f>IF(AND(Games[[#This Row],[Type]]="P",Games[[#This Row],[Round]]=1),IF(Games[[#This Row],[Result]]&lt;0.5,1,0),0)</f>
        <v>0</v>
      </c>
      <c r="AG399" s="2">
        <f>IF(AND(Games[[#This Row],[Type]]="P",Games[[#This Row],[Round]]=2),IF(Games[[#This Row],[Result]]&gt;0.5,1,0),0)</f>
        <v>1</v>
      </c>
      <c r="AH399" s="2">
        <f>IF(AND(Games[[#This Row],[Type]]="P",Games[[#This Row],[Round]]=2),IF(Games[[#This Row],[Result]]&lt;0.5,1,0),0)</f>
        <v>0</v>
      </c>
      <c r="AI399" s="2">
        <f>IF(AND(Games[[#This Row],[Type]]="P",Games[[#This Row],[Round]]=3),IF(Games[[#This Row],[Result]]&gt;0.5,1,0),0)</f>
        <v>0</v>
      </c>
      <c r="AJ399" s="2">
        <f>IF(AND(Games[[#This Row],[Type]]="P",Games[[#This Row],[Round]]=3),IF(Games[[#This Row],[Result]]&lt;0.5,1,0),0)</f>
        <v>0</v>
      </c>
      <c r="AK399" s="2">
        <f>IF(AND(Games[[#This Row],[Type]]="P",Games[[#This Row],[Round]]=4),IF(Games[[#This Row],[Result]]&gt;0.5,1,0),0)</f>
        <v>0</v>
      </c>
      <c r="AL399" s="2">
        <f>IF(AND(Games[[#This Row],[Type]]="P",Games[[#This Row],[Round]]=4),IF(Games[[#This Row],[Result]]&lt;0.5,1,0),0)</f>
        <v>0</v>
      </c>
    </row>
    <row r="400" spans="1:38" x14ac:dyDescent="0.35">
      <c r="A400" s="10">
        <v>44469</v>
      </c>
      <c r="B400" s="2">
        <v>2021</v>
      </c>
      <c r="C400" s="2">
        <f>COUNTIFS(Games[Team],Games[[#This Row],[Team]],Games[Season],Games[[#This Row],[Season]],Games[Date],"&lt;=" &amp; Games[[#This Row],[Date]])</f>
        <v>36</v>
      </c>
      <c r="D400" s="2" t="s">
        <v>87</v>
      </c>
      <c r="E400" s="2">
        <v>2</v>
      </c>
      <c r="F400" s="1" t="s">
        <v>75</v>
      </c>
      <c r="G400" s="1" t="s">
        <v>74</v>
      </c>
      <c r="H400" s="1" t="s">
        <v>81</v>
      </c>
      <c r="I400" s="2" cm="1">
        <f t="array" ref="I40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0" s="2" cm="1">
        <f t="array" ref="J40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0" s="2">
        <f>Games[[#This Row],[DaysOff]]-Games[[#This Row],[OppDaysOff]]</f>
        <v>0</v>
      </c>
      <c r="L400" s="2">
        <f>Games[[#This Row],[OppDaysOff]]-Games[[#This Row],[DaysOff]]</f>
        <v>0</v>
      </c>
      <c r="M400" s="1">
        <f>MAX(-16, MIN(16, Games[[#This Row],[RestDiff]]*8))</f>
        <v>0</v>
      </c>
      <c r="N400" s="1">
        <f>MAX(-16, MIN(16, Games[[#This Row],[OppRestDiff]]*8))</f>
        <v>0</v>
      </c>
      <c r="O400" s="4" cm="1">
        <f t="array" ref="O40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1581.9082775703512</v>
      </c>
      <c r="P400" s="4" cm="1">
        <f t="array" ref="P40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1683.0549755769343</v>
      </c>
      <c r="Q400" s="4">
        <f>1/(1+10^(((Games[[#This Row],[OppPreGmRate]]+IF(Games[[#This Row],[HomeAway]]="A",HCA,0)+Games[[#This Row],[OppRestAdj]])-(Games[[#This Row],[PreGmRate]]+IF(Games[[#This Row],[HomeAway]]="H",HCA,0)+Games[[#This Row],[RestAdj]]))/400))</f>
        <v>0.2562045210821563</v>
      </c>
      <c r="R400" s="1">
        <v>68</v>
      </c>
      <c r="S400" s="1">
        <v>79</v>
      </c>
      <c r="T400" s="1">
        <v>0</v>
      </c>
      <c r="U400" s="1">
        <f>Games[[#This Row],[PointsFor]]-Games[[#This Row],[PointsAgainst]]</f>
        <v>-11</v>
      </c>
      <c r="V400" s="1">
        <f>IF(Games[[#This Row],[MOV]]&gt;0,1,IF(Games[[#This Row],[MOV]]=0,0.5,0))</f>
        <v>0</v>
      </c>
      <c r="W400" s="4">
        <f>((ABS(Games[[#This Row],[MOV]])+5)^0.6)/(12+0.01*(ABS(Games[[#This Row],[PreGmRate]]-Games[[#This Row],[OppPreGmRate]])))*IF(Games[[#This Row],[OT]]=1,0.9,1)</f>
        <v>0.40564462494334919</v>
      </c>
      <c r="X400" s="7" cm="1">
        <f t="array" ref="X40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0" s="9">
        <f>MAX(kmin, kmax - 0.15 * MIN(Games[[#This Row],[GamesPlayed]], 82))</f>
        <v>70.599999999999994</v>
      </c>
      <c r="Z400" s="4">
        <f>Games[[#This Row],[K]]*Games[[#This Row],[POMult]]</f>
        <v>84.719999999999985</v>
      </c>
      <c r="AA400" s="4">
        <f>(Games[[#This Row],[Keff]]*Games[[#This Row],[MOVMult]])*(Games[[#This Row],[Result]]-Games[[#This Row],[ExpectedWin%]])</f>
        <v>-8.8047790470470577</v>
      </c>
      <c r="AB400" s="4">
        <f>Games[[#This Row],[PreGmRate]]+Games[[#This Row],[RatingChange]]</f>
        <v>1573.1034985233041</v>
      </c>
      <c r="AC400" s="2">
        <f>IF(Games[[#This Row],[Type]]="R",IF(Games[[#This Row],[Result]]&gt;0.5,1,0),0)</f>
        <v>0</v>
      </c>
      <c r="AD400" s="2">
        <f>IF(Games[[#This Row],[Type]]="R",IF(Games[[#This Row],[Result]]&lt;0.5,1,0),0)</f>
        <v>0</v>
      </c>
      <c r="AE400" s="2">
        <f>IF(AND(Games[[#This Row],[Type]]="P",Games[[#This Row],[Round]]=1),IF(Games[[#This Row],[Result]]&gt;0.5,1,0),0)</f>
        <v>0</v>
      </c>
      <c r="AF400" s="2">
        <f>IF(AND(Games[[#This Row],[Type]]="P",Games[[#This Row],[Round]]=1),IF(Games[[#This Row],[Result]]&lt;0.5,1,0),0)</f>
        <v>0</v>
      </c>
      <c r="AG400" s="2">
        <f>IF(AND(Games[[#This Row],[Type]]="P",Games[[#This Row],[Round]]=2),IF(Games[[#This Row],[Result]]&gt;0.5,1,0),0)</f>
        <v>0</v>
      </c>
      <c r="AH400" s="2">
        <f>IF(AND(Games[[#This Row],[Type]]="P",Games[[#This Row],[Round]]=2),IF(Games[[#This Row],[Result]]&lt;0.5,1,0),0)</f>
        <v>1</v>
      </c>
      <c r="AI400" s="2">
        <f>IF(AND(Games[[#This Row],[Type]]="P",Games[[#This Row],[Round]]=3),IF(Games[[#This Row],[Result]]&gt;0.5,1,0),0)</f>
        <v>0</v>
      </c>
      <c r="AJ400" s="2">
        <f>IF(AND(Games[[#This Row],[Type]]="P",Games[[#This Row],[Round]]=3),IF(Games[[#This Row],[Result]]&lt;0.5,1,0),0)</f>
        <v>0</v>
      </c>
      <c r="AK400" s="2">
        <f>IF(AND(Games[[#This Row],[Type]]="P",Games[[#This Row],[Round]]=4),IF(Games[[#This Row],[Result]]&gt;0.5,1,0),0)</f>
        <v>0</v>
      </c>
      <c r="AL400" s="2">
        <f>IF(AND(Games[[#This Row],[Type]]="P",Games[[#This Row],[Round]]=4),IF(Games[[#This Row],[Result]]&lt;0.5,1,0),0)</f>
        <v>0</v>
      </c>
    </row>
    <row r="401" spans="1:38" x14ac:dyDescent="0.35">
      <c r="A401" s="10">
        <v>44469</v>
      </c>
      <c r="B401" s="2">
        <v>2021</v>
      </c>
      <c r="C401" s="2">
        <f>COUNTIFS(Games[Team],Games[[#This Row],[Team]],Games[Season],Games[[#This Row],[Season]],Games[Date],"&lt;=" &amp; Games[[#This Row],[Date]])</f>
        <v>35</v>
      </c>
      <c r="D401" s="2" t="s">
        <v>87</v>
      </c>
      <c r="E401" s="2">
        <v>2</v>
      </c>
      <c r="F401" s="1" t="s">
        <v>74</v>
      </c>
      <c r="G401" s="1" t="s">
        <v>75</v>
      </c>
      <c r="H401" s="1" t="s">
        <v>82</v>
      </c>
      <c r="I401" s="2" cm="1">
        <f t="array" ref="I40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1" s="2" cm="1">
        <f t="array" ref="J40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1" s="2">
        <f>Games[[#This Row],[DaysOff]]-Games[[#This Row],[OppDaysOff]]</f>
        <v>0</v>
      </c>
      <c r="L401" s="2">
        <f>Games[[#This Row],[OppDaysOff]]-Games[[#This Row],[DaysOff]]</f>
        <v>0</v>
      </c>
      <c r="M401" s="1">
        <f>MAX(-16, MIN(16, Games[[#This Row],[RestDiff]]*8))</f>
        <v>0</v>
      </c>
      <c r="N401" s="1">
        <f>MAX(-16, MIN(16, Games[[#This Row],[OppRestDiff]]*8))</f>
        <v>0</v>
      </c>
      <c r="O401" s="4" cm="1">
        <f t="array" ref="O40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1683.0549755769343</v>
      </c>
      <c r="P401" s="4" cm="1">
        <f t="array" ref="P40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1581.9082775703512</v>
      </c>
      <c r="Q401" s="4">
        <f>1/(1+10^(((Games[[#This Row],[OppPreGmRate]]+IF(Games[[#This Row],[HomeAway]]="A",HCA,0)+Games[[#This Row],[OppRestAdj]])-(Games[[#This Row],[PreGmRate]]+IF(Games[[#This Row],[HomeAway]]="H",HCA,0)+Games[[#This Row],[RestAdj]]))/400))</f>
        <v>0.7437954789178437</v>
      </c>
      <c r="R401" s="1">
        <v>79</v>
      </c>
      <c r="S401" s="1">
        <v>68</v>
      </c>
      <c r="T401" s="1">
        <v>0</v>
      </c>
      <c r="U401" s="1">
        <f>Games[[#This Row],[PointsFor]]-Games[[#This Row],[PointsAgainst]]</f>
        <v>11</v>
      </c>
      <c r="V401" s="1">
        <f>IF(Games[[#This Row],[MOV]]&gt;0,1,IF(Games[[#This Row],[MOV]]=0,0.5,0))</f>
        <v>1</v>
      </c>
      <c r="W401" s="4">
        <f>((ABS(Games[[#This Row],[MOV]])+5)^0.6)/(12+0.01*(ABS(Games[[#This Row],[PreGmRate]]-Games[[#This Row],[OppPreGmRate]])))*IF(Games[[#This Row],[OT]]=1,0.9,1)</f>
        <v>0.40564462494334919</v>
      </c>
      <c r="X401" s="7" cm="1">
        <f t="array" ref="X40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1" s="9">
        <f>MAX(kmin, kmax - 0.15 * MIN(Games[[#This Row],[GamesPlayed]], 82))</f>
        <v>70.75</v>
      </c>
      <c r="Z401" s="4">
        <f>Games[[#This Row],[K]]*Games[[#This Row],[POMult]]</f>
        <v>84.899999999999991</v>
      </c>
      <c r="AA401" s="4">
        <f>(Games[[#This Row],[Keff]]*Games[[#This Row],[MOVMult]])*(Games[[#This Row],[Result]]-Games[[#This Row],[ExpectedWin%]])</f>
        <v>8.8234860846824272</v>
      </c>
      <c r="AB401" s="4">
        <f>Games[[#This Row],[PreGmRate]]+Games[[#This Row],[RatingChange]]</f>
        <v>1691.8784616616167</v>
      </c>
      <c r="AC401" s="2">
        <f>IF(Games[[#This Row],[Type]]="R",IF(Games[[#This Row],[Result]]&gt;0.5,1,0),0)</f>
        <v>0</v>
      </c>
      <c r="AD401" s="2">
        <f>IF(Games[[#This Row],[Type]]="R",IF(Games[[#This Row],[Result]]&lt;0.5,1,0),0)</f>
        <v>0</v>
      </c>
      <c r="AE401" s="2">
        <f>IF(AND(Games[[#This Row],[Type]]="P",Games[[#This Row],[Round]]=1),IF(Games[[#This Row],[Result]]&gt;0.5,1,0),0)</f>
        <v>0</v>
      </c>
      <c r="AF401" s="2">
        <f>IF(AND(Games[[#This Row],[Type]]="P",Games[[#This Row],[Round]]=1),IF(Games[[#This Row],[Result]]&lt;0.5,1,0),0)</f>
        <v>0</v>
      </c>
      <c r="AG401" s="2">
        <f>IF(AND(Games[[#This Row],[Type]]="P",Games[[#This Row],[Round]]=2),IF(Games[[#This Row],[Result]]&gt;0.5,1,0),0)</f>
        <v>1</v>
      </c>
      <c r="AH401" s="2">
        <f>IF(AND(Games[[#This Row],[Type]]="P",Games[[#This Row],[Round]]=2),IF(Games[[#This Row],[Result]]&lt;0.5,1,0),0)</f>
        <v>0</v>
      </c>
      <c r="AI401" s="2">
        <f>IF(AND(Games[[#This Row],[Type]]="P",Games[[#This Row],[Round]]=3),IF(Games[[#This Row],[Result]]&gt;0.5,1,0),0)</f>
        <v>0</v>
      </c>
      <c r="AJ401" s="2">
        <f>IF(AND(Games[[#This Row],[Type]]="P",Games[[#This Row],[Round]]=3),IF(Games[[#This Row],[Result]]&lt;0.5,1,0),0)</f>
        <v>0</v>
      </c>
      <c r="AK401" s="2">
        <f>IF(AND(Games[[#This Row],[Type]]="P",Games[[#This Row],[Round]]=4),IF(Games[[#This Row],[Result]]&gt;0.5,1,0),0)</f>
        <v>0</v>
      </c>
      <c r="AL401" s="2">
        <f>IF(AND(Games[[#This Row],[Type]]="P",Games[[#This Row],[Round]]=4),IF(Games[[#This Row],[Result]]&lt;0.5,1,0),0)</f>
        <v>0</v>
      </c>
    </row>
    <row r="402" spans="1:38" x14ac:dyDescent="0.35">
      <c r="A402" s="10">
        <v>44469</v>
      </c>
      <c r="B402" s="2">
        <v>2021</v>
      </c>
      <c r="C402" s="2">
        <f>COUNTIFS(Games[Team],Games[[#This Row],[Team]],Games[Season],Games[[#This Row],[Season]],Games[Date],"&lt;=" &amp; Games[[#This Row],[Date]])</f>
        <v>36</v>
      </c>
      <c r="D402" s="2" t="s">
        <v>87</v>
      </c>
      <c r="E402" s="2">
        <v>2</v>
      </c>
      <c r="F402" s="1" t="s">
        <v>40</v>
      </c>
      <c r="G402" s="1" t="s">
        <v>85</v>
      </c>
      <c r="H402" s="1" t="s">
        <v>81</v>
      </c>
      <c r="I402" s="2" cm="1">
        <f t="array" ref="I40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2" s="2" cm="1">
        <f t="array" ref="J40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2" s="2">
        <f>Games[[#This Row],[DaysOff]]-Games[[#This Row],[OppDaysOff]]</f>
        <v>0</v>
      </c>
      <c r="L402" s="2">
        <f>Games[[#This Row],[OppDaysOff]]-Games[[#This Row],[DaysOff]]</f>
        <v>0</v>
      </c>
      <c r="M402" s="1">
        <f>MAX(-16, MIN(16, Games[[#This Row],[RestDiff]]*8))</f>
        <v>0</v>
      </c>
      <c r="N402" s="1">
        <f>MAX(-16, MIN(16, Games[[#This Row],[OppRestDiff]]*8))</f>
        <v>0</v>
      </c>
      <c r="O402" s="4" cm="1">
        <f t="array" ref="O40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1570.245210571549</v>
      </c>
      <c r="P402" s="4" cm="1">
        <f t="array" ref="P40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1689.9785498263768</v>
      </c>
      <c r="Q402" s="4">
        <f>1/(1+10^(((Games[[#This Row],[OppPreGmRate]]+IF(Games[[#This Row],[HomeAway]]="A",HCA,0)+Games[[#This Row],[OppRestAdj]])-(Games[[#This Row],[PreGmRate]]+IF(Games[[#This Row],[HomeAway]]="H",HCA,0)+Games[[#This Row],[RestAdj]]))/400))</f>
        <v>0.23635224474360703</v>
      </c>
      <c r="R402" s="1">
        <v>117</v>
      </c>
      <c r="S402" s="1">
        <v>91</v>
      </c>
      <c r="T402" s="1">
        <v>0</v>
      </c>
      <c r="U402" s="1">
        <f>Games[[#This Row],[PointsFor]]-Games[[#This Row],[PointsAgainst]]</f>
        <v>26</v>
      </c>
      <c r="V402" s="1">
        <f>IF(Games[[#This Row],[MOV]]&gt;0,1,IF(Games[[#This Row],[MOV]]=0,0.5,0))</f>
        <v>1</v>
      </c>
      <c r="W402" s="4">
        <f>((ABS(Games[[#This Row],[MOV]])+5)^0.6)/(12+0.01*(ABS(Games[[#This Row],[PreGmRate]]-Games[[#This Row],[OppPreGmRate]])))*IF(Games[[#This Row],[OT]]=1,0.9,1)</f>
        <v>0.59474503922390176</v>
      </c>
      <c r="X402" s="7" cm="1">
        <f t="array" ref="X40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2" s="9">
        <f>MAX(kmin, kmax - 0.15 * MIN(Games[[#This Row],[GamesPlayed]], 82))</f>
        <v>70.599999999999994</v>
      </c>
      <c r="Z402" s="4">
        <f>Games[[#This Row],[K]]*Games[[#This Row],[POMult]]</f>
        <v>84.719999999999985</v>
      </c>
      <c r="AA402" s="4">
        <f>(Games[[#This Row],[Keff]]*Games[[#This Row],[MOVMult]])*(Games[[#This Row],[Result]]-Games[[#This Row],[ExpectedWin%]])</f>
        <v>38.477766503059769</v>
      </c>
      <c r="AB402" s="4">
        <f>Games[[#This Row],[PreGmRate]]+Games[[#This Row],[RatingChange]]</f>
        <v>1608.7229770746087</v>
      </c>
      <c r="AC402" s="2">
        <f>IF(Games[[#This Row],[Type]]="R",IF(Games[[#This Row],[Result]]&gt;0.5,1,0),0)</f>
        <v>0</v>
      </c>
      <c r="AD402" s="2">
        <f>IF(Games[[#This Row],[Type]]="R",IF(Games[[#This Row],[Result]]&lt;0.5,1,0),0)</f>
        <v>0</v>
      </c>
      <c r="AE402" s="2">
        <f>IF(AND(Games[[#This Row],[Type]]="P",Games[[#This Row],[Round]]=1),IF(Games[[#This Row],[Result]]&gt;0.5,1,0),0)</f>
        <v>0</v>
      </c>
      <c r="AF402" s="2">
        <f>IF(AND(Games[[#This Row],[Type]]="P",Games[[#This Row],[Round]]=1),IF(Games[[#This Row],[Result]]&lt;0.5,1,0),0)</f>
        <v>0</v>
      </c>
      <c r="AG402" s="2">
        <f>IF(AND(Games[[#This Row],[Type]]="P",Games[[#This Row],[Round]]=2),IF(Games[[#This Row],[Result]]&gt;0.5,1,0),0)</f>
        <v>1</v>
      </c>
      <c r="AH402" s="2">
        <f>IF(AND(Games[[#This Row],[Type]]="P",Games[[#This Row],[Round]]=2),IF(Games[[#This Row],[Result]]&lt;0.5,1,0),0)</f>
        <v>0</v>
      </c>
      <c r="AI402" s="2">
        <f>IF(AND(Games[[#This Row],[Type]]="P",Games[[#This Row],[Round]]=3),IF(Games[[#This Row],[Result]]&gt;0.5,1,0),0)</f>
        <v>0</v>
      </c>
      <c r="AJ402" s="2">
        <f>IF(AND(Games[[#This Row],[Type]]="P",Games[[#This Row],[Round]]=3),IF(Games[[#This Row],[Result]]&lt;0.5,1,0),0)</f>
        <v>0</v>
      </c>
      <c r="AK402" s="2">
        <f>IF(AND(Games[[#This Row],[Type]]="P",Games[[#This Row],[Round]]=4),IF(Games[[#This Row],[Result]]&gt;0.5,1,0),0)</f>
        <v>0</v>
      </c>
      <c r="AL402" s="2">
        <f>IF(AND(Games[[#This Row],[Type]]="P",Games[[#This Row],[Round]]=4),IF(Games[[#This Row],[Result]]&lt;0.5,1,0),0)</f>
        <v>0</v>
      </c>
    </row>
    <row r="403" spans="1:38" x14ac:dyDescent="0.35">
      <c r="A403" s="10">
        <v>44469</v>
      </c>
      <c r="B403" s="2">
        <v>2021</v>
      </c>
      <c r="C403" s="2">
        <f>COUNTIFS(Games[Team],Games[[#This Row],[Team]],Games[Season],Games[[#This Row],[Season]],Games[Date],"&lt;=" &amp; Games[[#This Row],[Date]])</f>
        <v>34</v>
      </c>
      <c r="D403" s="2" t="s">
        <v>87</v>
      </c>
      <c r="E403" s="2">
        <v>2</v>
      </c>
      <c r="F403" s="1" t="s">
        <v>85</v>
      </c>
      <c r="G403" s="1" t="s">
        <v>40</v>
      </c>
      <c r="H403" s="1" t="s">
        <v>82</v>
      </c>
      <c r="I403" s="2" cm="1">
        <f t="array" ref="I40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03" s="2" cm="1">
        <f t="array" ref="J40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03" s="2">
        <f>Games[[#This Row],[DaysOff]]-Games[[#This Row],[OppDaysOff]]</f>
        <v>0</v>
      </c>
      <c r="L403" s="2">
        <f>Games[[#This Row],[OppDaysOff]]-Games[[#This Row],[DaysOff]]</f>
        <v>0</v>
      </c>
      <c r="M403" s="1">
        <f>MAX(-16, MIN(16, Games[[#This Row],[RestDiff]]*8))</f>
        <v>0</v>
      </c>
      <c r="N403" s="1">
        <f>MAX(-16, MIN(16, Games[[#This Row],[OppRestDiff]]*8))</f>
        <v>0</v>
      </c>
      <c r="O403" s="4" cm="1">
        <f t="array" ref="O40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1689.9785498263768</v>
      </c>
      <c r="P403" s="4" cm="1">
        <f t="array" ref="P40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1570.245210571549</v>
      </c>
      <c r="Q403" s="4">
        <f>1/(1+10^(((Games[[#This Row],[OppPreGmRate]]+IF(Games[[#This Row],[HomeAway]]="A",HCA,0)+Games[[#This Row],[OppRestAdj]])-(Games[[#This Row],[PreGmRate]]+IF(Games[[#This Row],[HomeAway]]="H",HCA,0)+Games[[#This Row],[RestAdj]]))/400))</f>
        <v>0.76364775525639295</v>
      </c>
      <c r="R403" s="1">
        <v>91</v>
      </c>
      <c r="S403" s="1">
        <v>117</v>
      </c>
      <c r="T403" s="1">
        <v>0</v>
      </c>
      <c r="U403" s="1">
        <f>Games[[#This Row],[PointsFor]]-Games[[#This Row],[PointsAgainst]]</f>
        <v>-26</v>
      </c>
      <c r="V403" s="1">
        <f>IF(Games[[#This Row],[MOV]]&gt;0,1,IF(Games[[#This Row],[MOV]]=0,0.5,0))</f>
        <v>0</v>
      </c>
      <c r="W403" s="4">
        <f>((ABS(Games[[#This Row],[MOV]])+5)^0.6)/(12+0.01*(ABS(Games[[#This Row],[PreGmRate]]-Games[[#This Row],[OppPreGmRate]])))*IF(Games[[#This Row],[OT]]=1,0.9,1)</f>
        <v>0.59474503922390176</v>
      </c>
      <c r="X403" s="7" cm="1">
        <f t="array" ref="X40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3" s="9">
        <f>MAX(kmin, kmax - 0.15 * MIN(Games[[#This Row],[GamesPlayed]], 82))</f>
        <v>70.900000000000006</v>
      </c>
      <c r="Z403" s="4">
        <f>Games[[#This Row],[K]]*Games[[#This Row],[POMult]]</f>
        <v>85.08</v>
      </c>
      <c r="AA403" s="4">
        <f>(Games[[#This Row],[Keff]]*Games[[#This Row],[MOVMult]])*(Games[[#This Row],[Result]]-Games[[#This Row],[ExpectedWin%]])</f>
        <v>-38.641269760154934</v>
      </c>
      <c r="AB403" s="4">
        <f>Games[[#This Row],[PreGmRate]]+Games[[#This Row],[RatingChange]]</f>
        <v>1651.3372800662219</v>
      </c>
      <c r="AC403" s="2">
        <f>IF(Games[[#This Row],[Type]]="R",IF(Games[[#This Row],[Result]]&gt;0.5,1,0),0)</f>
        <v>0</v>
      </c>
      <c r="AD403" s="2">
        <f>IF(Games[[#This Row],[Type]]="R",IF(Games[[#This Row],[Result]]&lt;0.5,1,0),0)</f>
        <v>0</v>
      </c>
      <c r="AE403" s="2">
        <f>IF(AND(Games[[#This Row],[Type]]="P",Games[[#This Row],[Round]]=1),IF(Games[[#This Row],[Result]]&gt;0.5,1,0),0)</f>
        <v>0</v>
      </c>
      <c r="AF403" s="2">
        <f>IF(AND(Games[[#This Row],[Type]]="P",Games[[#This Row],[Round]]=1),IF(Games[[#This Row],[Result]]&lt;0.5,1,0),0)</f>
        <v>0</v>
      </c>
      <c r="AG403" s="2">
        <f>IF(AND(Games[[#This Row],[Type]]="P",Games[[#This Row],[Round]]=2),IF(Games[[#This Row],[Result]]&gt;0.5,1,0),0)</f>
        <v>0</v>
      </c>
      <c r="AH403" s="2">
        <f>IF(AND(Games[[#This Row],[Type]]="P",Games[[#This Row],[Round]]=2),IF(Games[[#This Row],[Result]]&lt;0.5,1,0),0)</f>
        <v>1</v>
      </c>
      <c r="AI403" s="2">
        <f>IF(AND(Games[[#This Row],[Type]]="P",Games[[#This Row],[Round]]=3),IF(Games[[#This Row],[Result]]&gt;0.5,1,0),0)</f>
        <v>0</v>
      </c>
      <c r="AJ403" s="2">
        <f>IF(AND(Games[[#This Row],[Type]]="P",Games[[#This Row],[Round]]=3),IF(Games[[#This Row],[Result]]&lt;0.5,1,0),0)</f>
        <v>0</v>
      </c>
      <c r="AK403" s="2">
        <f>IF(AND(Games[[#This Row],[Type]]="P",Games[[#This Row],[Round]]=4),IF(Games[[#This Row],[Result]]&gt;0.5,1,0),0)</f>
        <v>0</v>
      </c>
      <c r="AL403" s="2">
        <f>IF(AND(Games[[#This Row],[Type]]="P",Games[[#This Row],[Round]]=4),IF(Games[[#This Row],[Result]]&lt;0.5,1,0),0)</f>
        <v>0</v>
      </c>
    </row>
    <row r="404" spans="1:38" x14ac:dyDescent="0.35">
      <c r="A404" s="10">
        <v>44472</v>
      </c>
      <c r="B404" s="2">
        <v>2021</v>
      </c>
      <c r="C404" s="2">
        <f>COUNTIFS(Games[Team],Games[[#This Row],[Team]],Games[Season],Games[[#This Row],[Season]],Games[Date],"&lt;=" &amp; Games[[#This Row],[Date]])</f>
        <v>36</v>
      </c>
      <c r="D404" s="2" t="s">
        <v>87</v>
      </c>
      <c r="E404" s="2">
        <v>2</v>
      </c>
      <c r="F404" s="1" t="s">
        <v>74</v>
      </c>
      <c r="G404" s="1" t="s">
        <v>75</v>
      </c>
      <c r="H404" s="1" t="s">
        <v>81</v>
      </c>
      <c r="I404" s="2" cm="1">
        <f t="array" ref="I404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4" s="2" cm="1">
        <f t="array" ref="J404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4" s="2">
        <f>Games[[#This Row],[DaysOff]]-Games[[#This Row],[OppDaysOff]]</f>
        <v>0</v>
      </c>
      <c r="L404" s="2">
        <f>Games[[#This Row],[OppDaysOff]]-Games[[#This Row],[DaysOff]]</f>
        <v>0</v>
      </c>
      <c r="M404" s="1">
        <f>MAX(-16, MIN(16, Games[[#This Row],[RestDiff]]*8))</f>
        <v>0</v>
      </c>
      <c r="N404" s="1">
        <f>MAX(-16, MIN(16, Games[[#This Row],[OppRestDiff]]*8))</f>
        <v>0</v>
      </c>
      <c r="O404" s="4" cm="1">
        <f t="array" ref="O40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1691.8784616616167</v>
      </c>
      <c r="P404" s="4" cm="1">
        <f t="array" ref="P40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1573.1034985233041</v>
      </c>
      <c r="Q404" s="4">
        <f>1/(1+10^(((Games[[#This Row],[OppPreGmRate]]+IF(Games[[#This Row],[HomeAway]]="A",HCA,0)+Games[[#This Row],[OppRestAdj]])-(Games[[#This Row],[PreGmRate]]+IF(Games[[#This Row],[HomeAway]]="H",HCA,0)+Games[[#This Row],[RestAdj]]))/400))</f>
        <v>0.54987874278923665</v>
      </c>
      <c r="R404" s="1">
        <v>83</v>
      </c>
      <c r="S404" s="1">
        <v>86</v>
      </c>
      <c r="T404" s="1">
        <v>0</v>
      </c>
      <c r="U404" s="1">
        <f>Games[[#This Row],[PointsFor]]-Games[[#This Row],[PointsAgainst]]</f>
        <v>-3</v>
      </c>
      <c r="V404" s="1">
        <f>IF(Games[[#This Row],[MOV]]&gt;0,1,IF(Games[[#This Row],[MOV]]=0,0.5,0))</f>
        <v>0</v>
      </c>
      <c r="W404" s="4">
        <f>((ABS(Games[[#This Row],[MOV]])+5)^0.6)/(12+0.01*(ABS(Games[[#This Row],[PreGmRate]]-Games[[#This Row],[OppPreGmRate]])))*IF(Games[[#This Row],[OT]]=1,0.9,1)</f>
        <v>0.26404825315289859</v>
      </c>
      <c r="X404" s="7" cm="1">
        <f t="array" ref="X40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4" s="9">
        <f>MAX(kmin, kmax - 0.15 * MIN(Games[[#This Row],[GamesPlayed]], 82))</f>
        <v>70.599999999999994</v>
      </c>
      <c r="Z404" s="4">
        <f>Games[[#This Row],[K]]*Games[[#This Row],[POMult]]</f>
        <v>84.719999999999985</v>
      </c>
      <c r="AA404" s="4">
        <f>(Games[[#This Row],[Keff]]*Games[[#This Row],[MOVMult]])*(Games[[#This Row],[Result]]-Games[[#This Row],[ExpectedWin%]])</f>
        <v>-12.300879859735611</v>
      </c>
      <c r="AB404" s="4">
        <f>Games[[#This Row],[PreGmRate]]+Games[[#This Row],[RatingChange]]</f>
        <v>1679.577581801881</v>
      </c>
      <c r="AC404" s="2">
        <f>IF(Games[[#This Row],[Type]]="R",IF(Games[[#This Row],[Result]]&gt;0.5,1,0),0)</f>
        <v>0</v>
      </c>
      <c r="AD404" s="2">
        <f>IF(Games[[#This Row],[Type]]="R",IF(Games[[#This Row],[Result]]&lt;0.5,1,0),0)</f>
        <v>0</v>
      </c>
      <c r="AE404" s="2">
        <f>IF(AND(Games[[#This Row],[Type]]="P",Games[[#This Row],[Round]]=1),IF(Games[[#This Row],[Result]]&gt;0.5,1,0),0)</f>
        <v>0</v>
      </c>
      <c r="AF404" s="2">
        <f>IF(AND(Games[[#This Row],[Type]]="P",Games[[#This Row],[Round]]=1),IF(Games[[#This Row],[Result]]&lt;0.5,1,0),0)</f>
        <v>0</v>
      </c>
      <c r="AG404" s="2">
        <f>IF(AND(Games[[#This Row],[Type]]="P",Games[[#This Row],[Round]]=2),IF(Games[[#This Row],[Result]]&gt;0.5,1,0),0)</f>
        <v>0</v>
      </c>
      <c r="AH404" s="2">
        <f>IF(AND(Games[[#This Row],[Type]]="P",Games[[#This Row],[Round]]=2),IF(Games[[#This Row],[Result]]&lt;0.5,1,0),0)</f>
        <v>1</v>
      </c>
      <c r="AI404" s="2">
        <f>IF(AND(Games[[#This Row],[Type]]="P",Games[[#This Row],[Round]]=3),IF(Games[[#This Row],[Result]]&gt;0.5,1,0),0)</f>
        <v>0</v>
      </c>
      <c r="AJ404" s="2">
        <f>IF(AND(Games[[#This Row],[Type]]="P",Games[[#This Row],[Round]]=3),IF(Games[[#This Row],[Result]]&lt;0.5,1,0),0)</f>
        <v>0</v>
      </c>
      <c r="AK404" s="2">
        <f>IF(AND(Games[[#This Row],[Type]]="P",Games[[#This Row],[Round]]=4),IF(Games[[#This Row],[Result]]&gt;0.5,1,0),0)</f>
        <v>0</v>
      </c>
      <c r="AL404" s="2">
        <f>IF(AND(Games[[#This Row],[Type]]="P",Games[[#This Row],[Round]]=4),IF(Games[[#This Row],[Result]]&lt;0.5,1,0),0)</f>
        <v>0</v>
      </c>
    </row>
    <row r="405" spans="1:38" x14ac:dyDescent="0.35">
      <c r="A405" s="10">
        <v>44472</v>
      </c>
      <c r="B405" s="2">
        <v>2021</v>
      </c>
      <c r="C405" s="2">
        <f>COUNTIFS(Games[Team],Games[[#This Row],[Team]],Games[Season],Games[[#This Row],[Season]],Games[Date],"&lt;=" &amp; Games[[#This Row],[Date]])</f>
        <v>37</v>
      </c>
      <c r="D405" s="2" t="s">
        <v>87</v>
      </c>
      <c r="E405" s="2">
        <v>2</v>
      </c>
      <c r="F405" s="1" t="s">
        <v>75</v>
      </c>
      <c r="G405" s="1" t="s">
        <v>74</v>
      </c>
      <c r="H405" s="1" t="s">
        <v>82</v>
      </c>
      <c r="I405" s="2" cm="1">
        <f t="array" ref="I405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5" s="2" cm="1">
        <f t="array" ref="J405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5" s="2">
        <f>Games[[#This Row],[DaysOff]]-Games[[#This Row],[OppDaysOff]]</f>
        <v>0</v>
      </c>
      <c r="L405" s="2">
        <f>Games[[#This Row],[OppDaysOff]]-Games[[#This Row],[DaysOff]]</f>
        <v>0</v>
      </c>
      <c r="M405" s="1">
        <f>MAX(-16, MIN(16, Games[[#This Row],[RestDiff]]*8))</f>
        <v>0</v>
      </c>
      <c r="N405" s="1">
        <f>MAX(-16, MIN(16, Games[[#This Row],[OppRestDiff]]*8))</f>
        <v>0</v>
      </c>
      <c r="O405" s="4" cm="1">
        <f t="array" ref="O40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1573.1034985233041</v>
      </c>
      <c r="P405" s="4" cm="1">
        <f t="array" ref="P40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1691.8784616616167</v>
      </c>
      <c r="Q405" s="4">
        <f>1/(1+10^(((Games[[#This Row],[OppPreGmRate]]+IF(Games[[#This Row],[HomeAway]]="A",HCA,0)+Games[[#This Row],[OppRestAdj]])-(Games[[#This Row],[PreGmRate]]+IF(Games[[#This Row],[HomeAway]]="H",HCA,0)+Games[[#This Row],[RestAdj]]))/400))</f>
        <v>0.4501212572107634</v>
      </c>
      <c r="R405" s="1">
        <v>86</v>
      </c>
      <c r="S405" s="1">
        <v>83</v>
      </c>
      <c r="T405" s="1">
        <v>0</v>
      </c>
      <c r="U405" s="1">
        <f>Games[[#This Row],[PointsFor]]-Games[[#This Row],[PointsAgainst]]</f>
        <v>3</v>
      </c>
      <c r="V405" s="1">
        <f>IF(Games[[#This Row],[MOV]]&gt;0,1,IF(Games[[#This Row],[MOV]]=0,0.5,0))</f>
        <v>1</v>
      </c>
      <c r="W405" s="4">
        <f>((ABS(Games[[#This Row],[MOV]])+5)^0.6)/(12+0.01*(ABS(Games[[#This Row],[PreGmRate]]-Games[[#This Row],[OppPreGmRate]])))*IF(Games[[#This Row],[OT]]=1,0.9,1)</f>
        <v>0.26404825315289859</v>
      </c>
      <c r="X405" s="7" cm="1">
        <f t="array" ref="X40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5" s="9">
        <f>MAX(kmin, kmax - 0.15 * MIN(Games[[#This Row],[GamesPlayed]], 82))</f>
        <v>70.45</v>
      </c>
      <c r="Z405" s="4">
        <f>Games[[#This Row],[K]]*Games[[#This Row],[POMult]]</f>
        <v>84.54</v>
      </c>
      <c r="AA405" s="4">
        <f>(Games[[#This Row],[Keff]]*Games[[#This Row],[MOVMult]])*(Games[[#This Row],[Result]]-Games[[#This Row],[ExpectedWin%]])</f>
        <v>12.27474484586932</v>
      </c>
      <c r="AB405" s="4">
        <f>Games[[#This Row],[PreGmRate]]+Games[[#This Row],[RatingChange]]</f>
        <v>1585.3782433691733</v>
      </c>
      <c r="AC405" s="2">
        <f>IF(Games[[#This Row],[Type]]="R",IF(Games[[#This Row],[Result]]&gt;0.5,1,0),0)</f>
        <v>0</v>
      </c>
      <c r="AD405" s="2">
        <f>IF(Games[[#This Row],[Type]]="R",IF(Games[[#This Row],[Result]]&lt;0.5,1,0),0)</f>
        <v>0</v>
      </c>
      <c r="AE405" s="2">
        <f>IF(AND(Games[[#This Row],[Type]]="P",Games[[#This Row],[Round]]=1),IF(Games[[#This Row],[Result]]&gt;0.5,1,0),0)</f>
        <v>0</v>
      </c>
      <c r="AF405" s="2">
        <f>IF(AND(Games[[#This Row],[Type]]="P",Games[[#This Row],[Round]]=1),IF(Games[[#This Row],[Result]]&lt;0.5,1,0),0)</f>
        <v>0</v>
      </c>
      <c r="AG405" s="2">
        <f>IF(AND(Games[[#This Row],[Type]]="P",Games[[#This Row],[Round]]=2),IF(Games[[#This Row],[Result]]&gt;0.5,1,0),0)</f>
        <v>1</v>
      </c>
      <c r="AH405" s="2">
        <f>IF(AND(Games[[#This Row],[Type]]="P",Games[[#This Row],[Round]]=2),IF(Games[[#This Row],[Result]]&lt;0.5,1,0),0)</f>
        <v>0</v>
      </c>
      <c r="AI405" s="2">
        <f>IF(AND(Games[[#This Row],[Type]]="P",Games[[#This Row],[Round]]=3),IF(Games[[#This Row],[Result]]&gt;0.5,1,0),0)</f>
        <v>0</v>
      </c>
      <c r="AJ405" s="2">
        <f>IF(AND(Games[[#This Row],[Type]]="P",Games[[#This Row],[Round]]=3),IF(Games[[#This Row],[Result]]&lt;0.5,1,0),0)</f>
        <v>0</v>
      </c>
      <c r="AK405" s="2">
        <f>IF(AND(Games[[#This Row],[Type]]="P",Games[[#This Row],[Round]]=4),IF(Games[[#This Row],[Result]]&gt;0.5,1,0),0)</f>
        <v>0</v>
      </c>
      <c r="AL405" s="2">
        <f>IF(AND(Games[[#This Row],[Type]]="P",Games[[#This Row],[Round]]=4),IF(Games[[#This Row],[Result]]&lt;0.5,1,0),0)</f>
        <v>0</v>
      </c>
    </row>
    <row r="406" spans="1:38" x14ac:dyDescent="0.35">
      <c r="A406" s="10">
        <v>44472</v>
      </c>
      <c r="B406" s="2">
        <v>2021</v>
      </c>
      <c r="C406" s="2">
        <f>COUNTIFS(Games[Team],Games[[#This Row],[Team]],Games[Season],Games[[#This Row],[Season]],Games[Date],"&lt;=" &amp; Games[[#This Row],[Date]])</f>
        <v>35</v>
      </c>
      <c r="D406" s="2" t="s">
        <v>87</v>
      </c>
      <c r="E406" s="2">
        <v>2</v>
      </c>
      <c r="F406" s="1" t="s">
        <v>85</v>
      </c>
      <c r="G406" s="1" t="s">
        <v>40</v>
      </c>
      <c r="H406" s="1" t="s">
        <v>81</v>
      </c>
      <c r="I406" s="2" cm="1">
        <f t="array" ref="I40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6" s="2" cm="1">
        <f t="array" ref="J40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6" s="2">
        <f>Games[[#This Row],[DaysOff]]-Games[[#This Row],[OppDaysOff]]</f>
        <v>0</v>
      </c>
      <c r="L406" s="2">
        <f>Games[[#This Row],[OppDaysOff]]-Games[[#This Row],[DaysOff]]</f>
        <v>0</v>
      </c>
      <c r="M406" s="1">
        <f>MAX(-16, MIN(16, Games[[#This Row],[RestDiff]]*8))</f>
        <v>0</v>
      </c>
      <c r="N406" s="1">
        <f>MAX(-16, MIN(16, Games[[#This Row],[OppRestDiff]]*8))</f>
        <v>0</v>
      </c>
      <c r="O406" s="4" cm="1">
        <f t="array" ref="O40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1651.3372800662219</v>
      </c>
      <c r="P406" s="4" cm="1">
        <f t="array" ref="P40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1608.7229770746087</v>
      </c>
      <c r="Q406" s="4">
        <f>1/(1+10^(((Games[[#This Row],[OppPreGmRate]]+IF(Games[[#This Row],[HomeAway]]="A",HCA,0)+Games[[#This Row],[OppRestAdj]])-(Games[[#This Row],[PreGmRate]]+IF(Games[[#This Row],[HomeAway]]="H",HCA,0)+Games[[#This Row],[RestAdj]]))/400))</f>
        <v>0.44072129813125821</v>
      </c>
      <c r="R406" s="1">
        <v>60</v>
      </c>
      <c r="S406" s="1">
        <v>87</v>
      </c>
      <c r="T406" s="1">
        <v>0</v>
      </c>
      <c r="U406" s="1">
        <f>Games[[#This Row],[PointsFor]]-Games[[#This Row],[PointsAgainst]]</f>
        <v>-27</v>
      </c>
      <c r="V406" s="1">
        <f>IF(Games[[#This Row],[MOV]]&gt;0,1,IF(Games[[#This Row],[MOV]]=0,0.5,0))</f>
        <v>0</v>
      </c>
      <c r="W406" s="4">
        <f>((ABS(Games[[#This Row],[MOV]])+5)^0.6)/(12+0.01*(ABS(Games[[#This Row],[PreGmRate]]-Games[[#This Row],[OppPreGmRate]])))*IF(Games[[#This Row],[OT]]=1,0.9,1)</f>
        <v>0.64380395274220448</v>
      </c>
      <c r="X406" s="7" cm="1">
        <f t="array" ref="X40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6" s="9">
        <f>MAX(kmin, kmax - 0.15 * MIN(Games[[#This Row],[GamesPlayed]], 82))</f>
        <v>70.75</v>
      </c>
      <c r="Z406" s="4">
        <f>Games[[#This Row],[K]]*Games[[#This Row],[POMult]]</f>
        <v>84.899999999999991</v>
      </c>
      <c r="AA406" s="4">
        <f>(Games[[#This Row],[Keff]]*Games[[#This Row],[MOVMult]])*(Games[[#This Row],[Result]]-Games[[#This Row],[ExpectedWin%]])</f>
        <v>-24.089365861159802</v>
      </c>
      <c r="AB406" s="4">
        <f>Games[[#This Row],[PreGmRate]]+Games[[#This Row],[RatingChange]]</f>
        <v>1627.247914205062</v>
      </c>
      <c r="AC406" s="2">
        <f>IF(Games[[#This Row],[Type]]="R",IF(Games[[#This Row],[Result]]&gt;0.5,1,0),0)</f>
        <v>0</v>
      </c>
      <c r="AD406" s="2">
        <f>IF(Games[[#This Row],[Type]]="R",IF(Games[[#This Row],[Result]]&lt;0.5,1,0),0)</f>
        <v>0</v>
      </c>
      <c r="AE406" s="2">
        <f>IF(AND(Games[[#This Row],[Type]]="P",Games[[#This Row],[Round]]=1),IF(Games[[#This Row],[Result]]&gt;0.5,1,0),0)</f>
        <v>0</v>
      </c>
      <c r="AF406" s="2">
        <f>IF(AND(Games[[#This Row],[Type]]="P",Games[[#This Row],[Round]]=1),IF(Games[[#This Row],[Result]]&lt;0.5,1,0),0)</f>
        <v>0</v>
      </c>
      <c r="AG406" s="2">
        <f>IF(AND(Games[[#This Row],[Type]]="P",Games[[#This Row],[Round]]=2),IF(Games[[#This Row],[Result]]&gt;0.5,1,0),0)</f>
        <v>0</v>
      </c>
      <c r="AH406" s="2">
        <f>IF(AND(Games[[#This Row],[Type]]="P",Games[[#This Row],[Round]]=2),IF(Games[[#This Row],[Result]]&lt;0.5,1,0),0)</f>
        <v>1</v>
      </c>
      <c r="AI406" s="2">
        <f>IF(AND(Games[[#This Row],[Type]]="P",Games[[#This Row],[Round]]=3),IF(Games[[#This Row],[Result]]&gt;0.5,1,0),0)</f>
        <v>0</v>
      </c>
      <c r="AJ406" s="2">
        <f>IF(AND(Games[[#This Row],[Type]]="P",Games[[#This Row],[Round]]=3),IF(Games[[#This Row],[Result]]&lt;0.5,1,0),0)</f>
        <v>0</v>
      </c>
      <c r="AK406" s="2">
        <f>IF(AND(Games[[#This Row],[Type]]="P",Games[[#This Row],[Round]]=4),IF(Games[[#This Row],[Result]]&gt;0.5,1,0),0)</f>
        <v>0</v>
      </c>
      <c r="AL406" s="2">
        <f>IF(AND(Games[[#This Row],[Type]]="P",Games[[#This Row],[Round]]=4),IF(Games[[#This Row],[Result]]&lt;0.5,1,0),0)</f>
        <v>0</v>
      </c>
    </row>
    <row r="407" spans="1:38" x14ac:dyDescent="0.35">
      <c r="A407" s="10">
        <v>44472</v>
      </c>
      <c r="B407" s="2">
        <v>2021</v>
      </c>
      <c r="C407" s="2">
        <f>COUNTIFS(Games[Team],Games[[#This Row],[Team]],Games[Season],Games[[#This Row],[Season]],Games[Date],"&lt;=" &amp; Games[[#This Row],[Date]])</f>
        <v>37</v>
      </c>
      <c r="D407" s="2" t="s">
        <v>87</v>
      </c>
      <c r="E407" s="2">
        <v>2</v>
      </c>
      <c r="F407" s="1" t="s">
        <v>40</v>
      </c>
      <c r="G407" s="1" t="s">
        <v>85</v>
      </c>
      <c r="H407" s="1" t="s">
        <v>82</v>
      </c>
      <c r="I407" s="2" cm="1">
        <f t="array" ref="I40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7" s="2" cm="1">
        <f t="array" ref="J40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7" s="2">
        <f>Games[[#This Row],[DaysOff]]-Games[[#This Row],[OppDaysOff]]</f>
        <v>0</v>
      </c>
      <c r="L407" s="2">
        <f>Games[[#This Row],[OppDaysOff]]-Games[[#This Row],[DaysOff]]</f>
        <v>0</v>
      </c>
      <c r="M407" s="1">
        <f>MAX(-16, MIN(16, Games[[#This Row],[RestDiff]]*8))</f>
        <v>0</v>
      </c>
      <c r="N407" s="1">
        <f>MAX(-16, MIN(16, Games[[#This Row],[OppRestDiff]]*8))</f>
        <v>0</v>
      </c>
      <c r="O407" s="4" cm="1">
        <f t="array" ref="O40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1608.7229770746087</v>
      </c>
      <c r="P407" s="4" cm="1">
        <f t="array" ref="P40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1651.3372800662219</v>
      </c>
      <c r="Q407" s="4">
        <f>1/(1+10^(((Games[[#This Row],[OppPreGmRate]]+IF(Games[[#This Row],[HomeAway]]="A",HCA,0)+Games[[#This Row],[OppRestAdj]])-(Games[[#This Row],[PreGmRate]]+IF(Games[[#This Row],[HomeAway]]="H",HCA,0)+Games[[#This Row],[RestAdj]]))/400))</f>
        <v>0.55927870186874173</v>
      </c>
      <c r="R407" s="1">
        <v>87</v>
      </c>
      <c r="S407" s="1">
        <v>60</v>
      </c>
      <c r="T407" s="1">
        <v>0</v>
      </c>
      <c r="U407" s="1">
        <f>Games[[#This Row],[PointsFor]]-Games[[#This Row],[PointsAgainst]]</f>
        <v>27</v>
      </c>
      <c r="V407" s="1">
        <f>IF(Games[[#This Row],[MOV]]&gt;0,1,IF(Games[[#This Row],[MOV]]=0,0.5,0))</f>
        <v>1</v>
      </c>
      <c r="W407" s="4">
        <f>((ABS(Games[[#This Row],[MOV]])+5)^0.6)/(12+0.01*(ABS(Games[[#This Row],[PreGmRate]]-Games[[#This Row],[OppPreGmRate]])))*IF(Games[[#This Row],[OT]]=1,0.9,1)</f>
        <v>0.64380395274220448</v>
      </c>
      <c r="X407" s="7" cm="1">
        <f t="array" ref="X40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7" s="9">
        <f>MAX(kmin, kmax - 0.15 * MIN(Games[[#This Row],[GamesPlayed]], 82))</f>
        <v>70.45</v>
      </c>
      <c r="Z407" s="4">
        <f>Games[[#This Row],[K]]*Games[[#This Row],[POMult]]</f>
        <v>84.54</v>
      </c>
      <c r="AA407" s="4">
        <f>(Games[[#This Row],[Keff]]*Games[[#This Row],[MOVMult]])*(Games[[#This Row],[Result]]-Games[[#This Row],[ExpectedWin%]])</f>
        <v>23.987220140193759</v>
      </c>
      <c r="AB407" s="4">
        <f>Games[[#This Row],[PreGmRate]]+Games[[#This Row],[RatingChange]]</f>
        <v>1632.7101972148025</v>
      </c>
      <c r="AC407" s="2">
        <f>IF(Games[[#This Row],[Type]]="R",IF(Games[[#This Row],[Result]]&gt;0.5,1,0),0)</f>
        <v>0</v>
      </c>
      <c r="AD407" s="2">
        <f>IF(Games[[#This Row],[Type]]="R",IF(Games[[#This Row],[Result]]&lt;0.5,1,0),0)</f>
        <v>0</v>
      </c>
      <c r="AE407" s="2">
        <f>IF(AND(Games[[#This Row],[Type]]="P",Games[[#This Row],[Round]]=1),IF(Games[[#This Row],[Result]]&gt;0.5,1,0),0)</f>
        <v>0</v>
      </c>
      <c r="AF407" s="2">
        <f>IF(AND(Games[[#This Row],[Type]]="P",Games[[#This Row],[Round]]=1),IF(Games[[#This Row],[Result]]&lt;0.5,1,0),0)</f>
        <v>0</v>
      </c>
      <c r="AG407" s="2">
        <f>IF(AND(Games[[#This Row],[Type]]="P",Games[[#This Row],[Round]]=2),IF(Games[[#This Row],[Result]]&gt;0.5,1,0),0)</f>
        <v>1</v>
      </c>
      <c r="AH407" s="2">
        <f>IF(AND(Games[[#This Row],[Type]]="P",Games[[#This Row],[Round]]=2),IF(Games[[#This Row],[Result]]&lt;0.5,1,0),0)</f>
        <v>0</v>
      </c>
      <c r="AI407" s="2">
        <f>IF(AND(Games[[#This Row],[Type]]="P",Games[[#This Row],[Round]]=3),IF(Games[[#This Row],[Result]]&gt;0.5,1,0),0)</f>
        <v>0</v>
      </c>
      <c r="AJ407" s="2">
        <f>IF(AND(Games[[#This Row],[Type]]="P",Games[[#This Row],[Round]]=3),IF(Games[[#This Row],[Result]]&lt;0.5,1,0),0)</f>
        <v>0</v>
      </c>
      <c r="AK407" s="2">
        <f>IF(AND(Games[[#This Row],[Type]]="P",Games[[#This Row],[Round]]=4),IF(Games[[#This Row],[Result]]&gt;0.5,1,0),0)</f>
        <v>0</v>
      </c>
      <c r="AL407" s="2">
        <f>IF(AND(Games[[#This Row],[Type]]="P",Games[[#This Row],[Round]]=4),IF(Games[[#This Row],[Result]]&lt;0.5,1,0),0)</f>
        <v>0</v>
      </c>
    </row>
    <row r="408" spans="1:38" x14ac:dyDescent="0.35">
      <c r="A408" s="10">
        <v>44475</v>
      </c>
      <c r="B408" s="2">
        <v>2021</v>
      </c>
      <c r="C408" s="2">
        <f>COUNTIFS(Games[Team],Games[[#This Row],[Team]],Games[Season],Games[[#This Row],[Season]],Games[Date],"&lt;=" &amp; Games[[#This Row],[Date]])</f>
        <v>37</v>
      </c>
      <c r="D408" s="2" t="s">
        <v>87</v>
      </c>
      <c r="E408" s="2">
        <v>2</v>
      </c>
      <c r="F408" s="1" t="s">
        <v>74</v>
      </c>
      <c r="G408" s="1" t="s">
        <v>75</v>
      </c>
      <c r="H408" s="1" t="s">
        <v>81</v>
      </c>
      <c r="I408" s="2" cm="1">
        <f t="array" ref="I408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8" s="2" cm="1">
        <f t="array" ref="J408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8" s="2">
        <f>Games[[#This Row],[DaysOff]]-Games[[#This Row],[OppDaysOff]]</f>
        <v>0</v>
      </c>
      <c r="L408" s="2">
        <f>Games[[#This Row],[OppDaysOff]]-Games[[#This Row],[DaysOff]]</f>
        <v>0</v>
      </c>
      <c r="M408" s="1">
        <f>MAX(-16, MIN(16, Games[[#This Row],[RestDiff]]*8))</f>
        <v>0</v>
      </c>
      <c r="N408" s="1">
        <f>MAX(-16, MIN(16, Games[[#This Row],[OppRestDiff]]*8))</f>
        <v>0</v>
      </c>
      <c r="O408" s="4" cm="1">
        <f t="array" ref="O40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1679.577581801881</v>
      </c>
      <c r="P408" s="4" cm="1">
        <f t="array" ref="P40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1585.3782433691733</v>
      </c>
      <c r="Q408" s="4">
        <f>1/(1+10^(((Games[[#This Row],[OppPreGmRate]]+IF(Games[[#This Row],[HomeAway]]="A",HCA,0)+Games[[#This Row],[OppRestAdj]])-(Games[[#This Row],[PreGmRate]]+IF(Games[[#This Row],[HomeAway]]="H",HCA,0)+Games[[#This Row],[RestAdj]]))/400))</f>
        <v>0.5146738129483398</v>
      </c>
      <c r="R408" s="1">
        <v>69</v>
      </c>
      <c r="S408" s="1">
        <v>79</v>
      </c>
      <c r="T408" s="1">
        <v>0</v>
      </c>
      <c r="U408" s="1">
        <f>Games[[#This Row],[PointsFor]]-Games[[#This Row],[PointsAgainst]]</f>
        <v>-10</v>
      </c>
      <c r="V408" s="1">
        <f>IF(Games[[#This Row],[MOV]]&gt;0,1,IF(Games[[#This Row],[MOV]]=0,0.5,0))</f>
        <v>0</v>
      </c>
      <c r="W408" s="4">
        <f>((ABS(Games[[#This Row],[MOV]])+5)^0.6)/(12+0.01*(ABS(Games[[#This Row],[PreGmRate]]-Games[[#This Row],[OppPreGmRate]])))*IF(Games[[#This Row],[OT]]=1,0.9,1)</f>
        <v>0.3923318642811543</v>
      </c>
      <c r="X408" s="7" cm="1">
        <f t="array" ref="X40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8" s="9">
        <f>MAX(kmin, kmax - 0.15 * MIN(Games[[#This Row],[GamesPlayed]], 82))</f>
        <v>70.45</v>
      </c>
      <c r="Z408" s="4">
        <f>Games[[#This Row],[K]]*Games[[#This Row],[POMult]]</f>
        <v>84.54</v>
      </c>
      <c r="AA408" s="4">
        <f>(Games[[#This Row],[Keff]]*Games[[#This Row],[MOVMult]])*(Games[[#This Row],[Result]]-Games[[#This Row],[ExpectedWin%]])</f>
        <v>-17.070565054306414</v>
      </c>
      <c r="AB408" s="4">
        <f>Games[[#This Row],[PreGmRate]]+Games[[#This Row],[RatingChange]]</f>
        <v>1662.5070167475747</v>
      </c>
      <c r="AC408" s="2">
        <f>IF(Games[[#This Row],[Type]]="R",IF(Games[[#This Row],[Result]]&gt;0.5,1,0),0)</f>
        <v>0</v>
      </c>
      <c r="AD408" s="2">
        <f>IF(Games[[#This Row],[Type]]="R",IF(Games[[#This Row],[Result]]&lt;0.5,1,0),0)</f>
        <v>0</v>
      </c>
      <c r="AE408" s="2">
        <f>IF(AND(Games[[#This Row],[Type]]="P",Games[[#This Row],[Round]]=1),IF(Games[[#This Row],[Result]]&gt;0.5,1,0),0)</f>
        <v>0</v>
      </c>
      <c r="AF408" s="2">
        <f>IF(AND(Games[[#This Row],[Type]]="P",Games[[#This Row],[Round]]=1),IF(Games[[#This Row],[Result]]&lt;0.5,1,0),0)</f>
        <v>0</v>
      </c>
      <c r="AG408" s="2">
        <f>IF(AND(Games[[#This Row],[Type]]="P",Games[[#This Row],[Round]]=2),IF(Games[[#This Row],[Result]]&gt;0.5,1,0),0)</f>
        <v>0</v>
      </c>
      <c r="AH408" s="2">
        <f>IF(AND(Games[[#This Row],[Type]]="P",Games[[#This Row],[Round]]=2),IF(Games[[#This Row],[Result]]&lt;0.5,1,0),0)</f>
        <v>1</v>
      </c>
      <c r="AI408" s="2">
        <f>IF(AND(Games[[#This Row],[Type]]="P",Games[[#This Row],[Round]]=3),IF(Games[[#This Row],[Result]]&gt;0.5,1,0),0)</f>
        <v>0</v>
      </c>
      <c r="AJ408" s="2">
        <f>IF(AND(Games[[#This Row],[Type]]="P",Games[[#This Row],[Round]]=3),IF(Games[[#This Row],[Result]]&lt;0.5,1,0),0)</f>
        <v>0</v>
      </c>
      <c r="AK408" s="2">
        <f>IF(AND(Games[[#This Row],[Type]]="P",Games[[#This Row],[Round]]=4),IF(Games[[#This Row],[Result]]&gt;0.5,1,0),0)</f>
        <v>0</v>
      </c>
      <c r="AL408" s="2">
        <f>IF(AND(Games[[#This Row],[Type]]="P",Games[[#This Row],[Round]]=4),IF(Games[[#This Row],[Result]]&lt;0.5,1,0),0)</f>
        <v>0</v>
      </c>
    </row>
    <row r="409" spans="1:38" x14ac:dyDescent="0.35">
      <c r="A409" s="10">
        <v>44475</v>
      </c>
      <c r="B409" s="2">
        <v>2021</v>
      </c>
      <c r="C409" s="2">
        <f>COUNTIFS(Games[Team],Games[[#This Row],[Team]],Games[Season],Games[[#This Row],[Season]],Games[Date],"&lt;=" &amp; Games[[#This Row],[Date]])</f>
        <v>38</v>
      </c>
      <c r="D409" s="2" t="s">
        <v>87</v>
      </c>
      <c r="E409" s="2">
        <v>2</v>
      </c>
      <c r="F409" s="1" t="s">
        <v>75</v>
      </c>
      <c r="G409" s="1" t="s">
        <v>74</v>
      </c>
      <c r="H409" s="1" t="s">
        <v>82</v>
      </c>
      <c r="I409" s="2" cm="1">
        <f t="array" ref="I409">IFERROR(
    Games[[#This Row],[Date]]
    - LOOKUP(
        2,
        1/((Games[Team]=Games[[#This Row],[Team]]) * (Games[Date] &lt; Games[[#This Row],[Date]])),
        Games[Date]
    )
    - 1,
Games[[#This Row],[Date]]-$A$2)</f>
        <v>2</v>
      </c>
      <c r="J409" s="2" cm="1">
        <f t="array" ref="J409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09" s="2">
        <f>Games[[#This Row],[DaysOff]]-Games[[#This Row],[OppDaysOff]]</f>
        <v>0</v>
      </c>
      <c r="L409" s="2">
        <f>Games[[#This Row],[OppDaysOff]]-Games[[#This Row],[DaysOff]]</f>
        <v>0</v>
      </c>
      <c r="M409" s="1">
        <f>MAX(-16, MIN(16, Games[[#This Row],[RestDiff]]*8))</f>
        <v>0</v>
      </c>
      <c r="N409" s="1">
        <f>MAX(-16, MIN(16, Games[[#This Row],[OppRestDiff]]*8))</f>
        <v>0</v>
      </c>
      <c r="O409" s="4" cm="1">
        <f t="array" ref="O40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1585.3782433691733</v>
      </c>
      <c r="P409" s="4" cm="1">
        <f t="array" ref="P40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1679.577581801881</v>
      </c>
      <c r="Q409" s="4">
        <f>1/(1+10^(((Games[[#This Row],[OppPreGmRate]]+IF(Games[[#This Row],[HomeAway]]="A",HCA,0)+Games[[#This Row],[OppRestAdj]])-(Games[[#This Row],[PreGmRate]]+IF(Games[[#This Row],[HomeAway]]="H",HCA,0)+Games[[#This Row],[RestAdj]]))/400))</f>
        <v>0.48532618705166009</v>
      </c>
      <c r="R409" s="1">
        <v>79</v>
      </c>
      <c r="S409" s="1">
        <v>69</v>
      </c>
      <c r="T409" s="1">
        <v>0</v>
      </c>
      <c r="U409" s="1">
        <f>Games[[#This Row],[PointsFor]]-Games[[#This Row],[PointsAgainst]]</f>
        <v>10</v>
      </c>
      <c r="V409" s="1">
        <f>IF(Games[[#This Row],[MOV]]&gt;0,1,IF(Games[[#This Row],[MOV]]=0,0.5,0))</f>
        <v>1</v>
      </c>
      <c r="W409" s="4">
        <f>((ABS(Games[[#This Row],[MOV]])+5)^0.6)/(12+0.01*(ABS(Games[[#This Row],[PreGmRate]]-Games[[#This Row],[OppPreGmRate]])))*IF(Games[[#This Row],[OT]]=1,0.9,1)</f>
        <v>0.3923318642811543</v>
      </c>
      <c r="X409" s="7" cm="1">
        <f t="array" ref="X40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09" s="9">
        <f>MAX(kmin, kmax - 0.15 * MIN(Games[[#This Row],[GamesPlayed]], 82))</f>
        <v>70.3</v>
      </c>
      <c r="Z409" s="4">
        <f>Games[[#This Row],[K]]*Games[[#This Row],[POMult]]</f>
        <v>84.36</v>
      </c>
      <c r="AA409" s="4">
        <f>(Games[[#This Row],[Keff]]*Games[[#This Row],[MOVMult]])*(Games[[#This Row],[Result]]-Games[[#This Row],[ExpectedWin%]])</f>
        <v>17.034218925730887</v>
      </c>
      <c r="AB409" s="4">
        <f>Games[[#This Row],[PreGmRate]]+Games[[#This Row],[RatingChange]]</f>
        <v>1602.4124622949041</v>
      </c>
      <c r="AC409" s="2">
        <f>IF(Games[[#This Row],[Type]]="R",IF(Games[[#This Row],[Result]]&gt;0.5,1,0),0)</f>
        <v>0</v>
      </c>
      <c r="AD409" s="2">
        <f>IF(Games[[#This Row],[Type]]="R",IF(Games[[#This Row],[Result]]&lt;0.5,1,0),0)</f>
        <v>0</v>
      </c>
      <c r="AE409" s="2">
        <f>IF(AND(Games[[#This Row],[Type]]="P",Games[[#This Row],[Round]]=1),IF(Games[[#This Row],[Result]]&gt;0.5,1,0),0)</f>
        <v>0</v>
      </c>
      <c r="AF409" s="2">
        <f>IF(AND(Games[[#This Row],[Type]]="P",Games[[#This Row],[Round]]=1),IF(Games[[#This Row],[Result]]&lt;0.5,1,0),0)</f>
        <v>0</v>
      </c>
      <c r="AG409" s="2">
        <f>IF(AND(Games[[#This Row],[Type]]="P",Games[[#This Row],[Round]]=2),IF(Games[[#This Row],[Result]]&gt;0.5,1,0),0)</f>
        <v>1</v>
      </c>
      <c r="AH409" s="2">
        <f>IF(AND(Games[[#This Row],[Type]]="P",Games[[#This Row],[Round]]=2),IF(Games[[#This Row],[Result]]&lt;0.5,1,0),0)</f>
        <v>0</v>
      </c>
      <c r="AI409" s="2">
        <f>IF(AND(Games[[#This Row],[Type]]="P",Games[[#This Row],[Round]]=3),IF(Games[[#This Row],[Result]]&gt;0.5,1,0),0)</f>
        <v>0</v>
      </c>
      <c r="AJ409" s="2">
        <f>IF(AND(Games[[#This Row],[Type]]="P",Games[[#This Row],[Round]]=3),IF(Games[[#This Row],[Result]]&lt;0.5,1,0),0)</f>
        <v>0</v>
      </c>
      <c r="AK409" s="2">
        <f>IF(AND(Games[[#This Row],[Type]]="P",Games[[#This Row],[Round]]=4),IF(Games[[#This Row],[Result]]&gt;0.5,1,0),0)</f>
        <v>0</v>
      </c>
      <c r="AL409" s="2">
        <f>IF(AND(Games[[#This Row],[Type]]="P",Games[[#This Row],[Round]]=4),IF(Games[[#This Row],[Result]]&lt;0.5,1,0),0)</f>
        <v>0</v>
      </c>
    </row>
    <row r="410" spans="1:38" x14ac:dyDescent="0.35">
      <c r="A410" s="10">
        <v>44475</v>
      </c>
      <c r="B410" s="2">
        <v>2021</v>
      </c>
      <c r="C410" s="2">
        <f>COUNTIFS(Games[Team],Games[[#This Row],[Team]],Games[Season],Games[[#This Row],[Season]],Games[Date],"&lt;=" &amp; Games[[#This Row],[Date]])</f>
        <v>36</v>
      </c>
      <c r="D410" s="2" t="s">
        <v>87</v>
      </c>
      <c r="E410" s="2">
        <v>2</v>
      </c>
      <c r="F410" s="1" t="s">
        <v>85</v>
      </c>
      <c r="G410" s="1" t="s">
        <v>40</v>
      </c>
      <c r="H410" s="1" t="s">
        <v>81</v>
      </c>
      <c r="I410" s="2" cm="1">
        <f t="array" ref="I410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0" s="2" cm="1">
        <f t="array" ref="J410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0" s="2">
        <f>Games[[#This Row],[DaysOff]]-Games[[#This Row],[OppDaysOff]]</f>
        <v>0</v>
      </c>
      <c r="L410" s="2">
        <f>Games[[#This Row],[OppDaysOff]]-Games[[#This Row],[DaysOff]]</f>
        <v>0</v>
      </c>
      <c r="M410" s="1">
        <f>MAX(-16, MIN(16, Games[[#This Row],[RestDiff]]*8))</f>
        <v>0</v>
      </c>
      <c r="N410" s="1">
        <f>MAX(-16, MIN(16, Games[[#This Row],[OppRestDiff]]*8))</f>
        <v>0</v>
      </c>
      <c r="O410" s="4" cm="1">
        <f t="array" ref="O41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1627.247914205062</v>
      </c>
      <c r="P410" s="4" cm="1">
        <f t="array" ref="P41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1632.7101972148025</v>
      </c>
      <c r="Q410" s="4">
        <f>1/(1+10^(((Games[[#This Row],[OppPreGmRate]]+IF(Games[[#This Row],[HomeAway]]="A",HCA,0)+Games[[#This Row],[OppRestAdj]])-(Games[[#This Row],[PreGmRate]]+IF(Games[[#This Row],[HomeAway]]="H",HCA,0)+Games[[#This Row],[RestAdj]]))/400))</f>
        <v>0.37402535025700173</v>
      </c>
      <c r="R410" s="1">
        <v>93</v>
      </c>
      <c r="S410" s="1">
        <v>76</v>
      </c>
      <c r="T410" s="1">
        <v>0</v>
      </c>
      <c r="U410" s="1">
        <f>Games[[#This Row],[PointsFor]]-Games[[#This Row],[PointsAgainst]]</f>
        <v>17</v>
      </c>
      <c r="V410" s="1">
        <f>IF(Games[[#This Row],[MOV]]&gt;0,1,IF(Games[[#This Row],[MOV]]=0,0.5,0))</f>
        <v>1</v>
      </c>
      <c r="W410" s="4">
        <f>((ABS(Games[[#This Row],[MOV]])+5)^0.6)/(12+0.01*(ABS(Games[[#This Row],[PreGmRate]]-Games[[#This Row],[OppPreGmRate]])))*IF(Games[[#This Row],[OT]]=1,0.9,1)</f>
        <v>0.53002942680474885</v>
      </c>
      <c r="X410" s="7" cm="1">
        <f t="array" ref="X41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10" s="9">
        <f>MAX(kmin, kmax - 0.15 * MIN(Games[[#This Row],[GamesPlayed]], 82))</f>
        <v>70.599999999999994</v>
      </c>
      <c r="Z410" s="4">
        <f>Games[[#This Row],[K]]*Games[[#This Row],[POMult]]</f>
        <v>84.719999999999985</v>
      </c>
      <c r="AA410" s="4">
        <f>(Games[[#This Row],[Keff]]*Games[[#This Row],[MOVMult]])*(Games[[#This Row],[Result]]-Games[[#This Row],[ExpectedWin%]])</f>
        <v>28.108823912051385</v>
      </c>
      <c r="AB410" s="4">
        <f>Games[[#This Row],[PreGmRate]]+Games[[#This Row],[RatingChange]]</f>
        <v>1655.3567381171133</v>
      </c>
      <c r="AC410" s="2">
        <f>IF(Games[[#This Row],[Type]]="R",IF(Games[[#This Row],[Result]]&gt;0.5,1,0),0)</f>
        <v>0</v>
      </c>
      <c r="AD410" s="2">
        <f>IF(Games[[#This Row],[Type]]="R",IF(Games[[#This Row],[Result]]&lt;0.5,1,0),0)</f>
        <v>0</v>
      </c>
      <c r="AE410" s="2">
        <f>IF(AND(Games[[#This Row],[Type]]="P",Games[[#This Row],[Round]]=1),IF(Games[[#This Row],[Result]]&gt;0.5,1,0),0)</f>
        <v>0</v>
      </c>
      <c r="AF410" s="2">
        <f>IF(AND(Games[[#This Row],[Type]]="P",Games[[#This Row],[Round]]=1),IF(Games[[#This Row],[Result]]&lt;0.5,1,0),0)</f>
        <v>0</v>
      </c>
      <c r="AG410" s="2">
        <f>IF(AND(Games[[#This Row],[Type]]="P",Games[[#This Row],[Round]]=2),IF(Games[[#This Row],[Result]]&gt;0.5,1,0),0)</f>
        <v>1</v>
      </c>
      <c r="AH410" s="2">
        <f>IF(AND(Games[[#This Row],[Type]]="P",Games[[#This Row],[Round]]=2),IF(Games[[#This Row],[Result]]&lt;0.5,1,0),0)</f>
        <v>0</v>
      </c>
      <c r="AI410" s="2">
        <f>IF(AND(Games[[#This Row],[Type]]="P",Games[[#This Row],[Round]]=3),IF(Games[[#This Row],[Result]]&gt;0.5,1,0),0)</f>
        <v>0</v>
      </c>
      <c r="AJ410" s="2">
        <f>IF(AND(Games[[#This Row],[Type]]="P",Games[[#This Row],[Round]]=3),IF(Games[[#This Row],[Result]]&lt;0.5,1,0),0)</f>
        <v>0</v>
      </c>
      <c r="AK410" s="2">
        <f>IF(AND(Games[[#This Row],[Type]]="P",Games[[#This Row],[Round]]=4),IF(Games[[#This Row],[Result]]&gt;0.5,1,0),0)</f>
        <v>0</v>
      </c>
      <c r="AL410" s="2">
        <f>IF(AND(Games[[#This Row],[Type]]="P",Games[[#This Row],[Round]]=4),IF(Games[[#This Row],[Result]]&lt;0.5,1,0),0)</f>
        <v>0</v>
      </c>
    </row>
    <row r="411" spans="1:38" x14ac:dyDescent="0.35">
      <c r="A411" s="10">
        <v>44475</v>
      </c>
      <c r="B411" s="2">
        <v>2021</v>
      </c>
      <c r="C411" s="2">
        <f>COUNTIFS(Games[Team],Games[[#This Row],[Team]],Games[Season],Games[[#This Row],[Season]],Games[Date],"&lt;=" &amp; Games[[#This Row],[Date]])</f>
        <v>38</v>
      </c>
      <c r="D411" s="2" t="s">
        <v>87</v>
      </c>
      <c r="E411" s="2">
        <v>2</v>
      </c>
      <c r="F411" s="1" t="s">
        <v>40</v>
      </c>
      <c r="G411" s="1" t="s">
        <v>85</v>
      </c>
      <c r="H411" s="1" t="s">
        <v>82</v>
      </c>
      <c r="I411" s="2" cm="1">
        <f t="array" ref="I411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1" s="2" cm="1">
        <f t="array" ref="J411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1" s="2">
        <f>Games[[#This Row],[DaysOff]]-Games[[#This Row],[OppDaysOff]]</f>
        <v>0</v>
      </c>
      <c r="L411" s="2">
        <f>Games[[#This Row],[OppDaysOff]]-Games[[#This Row],[DaysOff]]</f>
        <v>0</v>
      </c>
      <c r="M411" s="1">
        <f>MAX(-16, MIN(16, Games[[#This Row],[RestDiff]]*8))</f>
        <v>0</v>
      </c>
      <c r="N411" s="1">
        <f>MAX(-16, MIN(16, Games[[#This Row],[OppRestDiff]]*8))</f>
        <v>0</v>
      </c>
      <c r="O411" s="4" cm="1">
        <f t="array" ref="O41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1632.7101972148025</v>
      </c>
      <c r="P411" s="4" cm="1">
        <f t="array" ref="P41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1627.247914205062</v>
      </c>
      <c r="Q411" s="4">
        <f>1/(1+10^(((Games[[#This Row],[OppPreGmRate]]+IF(Games[[#This Row],[HomeAway]]="A",HCA,0)+Games[[#This Row],[OppRestAdj]])-(Games[[#This Row],[PreGmRate]]+IF(Games[[#This Row],[HomeAway]]="H",HCA,0)+Games[[#This Row],[RestAdj]]))/400))</f>
        <v>0.62597464974299832</v>
      </c>
      <c r="R411" s="1">
        <v>76</v>
      </c>
      <c r="S411" s="1">
        <v>93</v>
      </c>
      <c r="T411" s="1">
        <v>0</v>
      </c>
      <c r="U411" s="1">
        <f>Games[[#This Row],[PointsFor]]-Games[[#This Row],[PointsAgainst]]</f>
        <v>-17</v>
      </c>
      <c r="V411" s="1">
        <f>IF(Games[[#This Row],[MOV]]&gt;0,1,IF(Games[[#This Row],[MOV]]=0,0.5,0))</f>
        <v>0</v>
      </c>
      <c r="W411" s="4">
        <f>((ABS(Games[[#This Row],[MOV]])+5)^0.6)/(12+0.01*(ABS(Games[[#This Row],[PreGmRate]]-Games[[#This Row],[OppPreGmRate]])))*IF(Games[[#This Row],[OT]]=1,0.9,1)</f>
        <v>0.53002942680474885</v>
      </c>
      <c r="X411" s="7" cm="1">
        <f t="array" ref="X41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11" s="9">
        <f>MAX(kmin, kmax - 0.15 * MIN(Games[[#This Row],[GamesPlayed]], 82))</f>
        <v>70.3</v>
      </c>
      <c r="Z411" s="4">
        <f>Games[[#This Row],[K]]*Games[[#This Row],[POMult]]</f>
        <v>84.36</v>
      </c>
      <c r="AA411" s="4">
        <f>(Games[[#This Row],[Keff]]*Games[[#This Row],[MOVMult]])*(Games[[#This Row],[Result]]-Games[[#This Row],[ExpectedWin%]])</f>
        <v>-27.989381317524252</v>
      </c>
      <c r="AB411" s="4">
        <f>Games[[#This Row],[PreGmRate]]+Games[[#This Row],[RatingChange]]</f>
        <v>1604.7208158972783</v>
      </c>
      <c r="AC411" s="2">
        <f>IF(Games[[#This Row],[Type]]="R",IF(Games[[#This Row],[Result]]&gt;0.5,1,0),0)</f>
        <v>0</v>
      </c>
      <c r="AD411" s="2">
        <f>IF(Games[[#This Row],[Type]]="R",IF(Games[[#This Row],[Result]]&lt;0.5,1,0),0)</f>
        <v>0</v>
      </c>
      <c r="AE411" s="2">
        <f>IF(AND(Games[[#This Row],[Type]]="P",Games[[#This Row],[Round]]=1),IF(Games[[#This Row],[Result]]&gt;0.5,1,0),0)</f>
        <v>0</v>
      </c>
      <c r="AF411" s="2">
        <f>IF(AND(Games[[#This Row],[Type]]="P",Games[[#This Row],[Round]]=1),IF(Games[[#This Row],[Result]]&lt;0.5,1,0),0)</f>
        <v>0</v>
      </c>
      <c r="AG411" s="2">
        <f>IF(AND(Games[[#This Row],[Type]]="P",Games[[#This Row],[Round]]=2),IF(Games[[#This Row],[Result]]&gt;0.5,1,0),0)</f>
        <v>0</v>
      </c>
      <c r="AH411" s="2">
        <f>IF(AND(Games[[#This Row],[Type]]="P",Games[[#This Row],[Round]]=2),IF(Games[[#This Row],[Result]]&lt;0.5,1,0),0)</f>
        <v>1</v>
      </c>
      <c r="AI411" s="2">
        <f>IF(AND(Games[[#This Row],[Type]]="P",Games[[#This Row],[Round]]=3),IF(Games[[#This Row],[Result]]&gt;0.5,1,0),0)</f>
        <v>0</v>
      </c>
      <c r="AJ411" s="2">
        <f>IF(AND(Games[[#This Row],[Type]]="P",Games[[#This Row],[Round]]=3),IF(Games[[#This Row],[Result]]&lt;0.5,1,0),0)</f>
        <v>0</v>
      </c>
      <c r="AK411" s="2">
        <f>IF(AND(Games[[#This Row],[Type]]="P",Games[[#This Row],[Round]]=4),IF(Games[[#This Row],[Result]]&gt;0.5,1,0),0)</f>
        <v>0</v>
      </c>
      <c r="AL411" s="2">
        <f>IF(AND(Games[[#This Row],[Type]]="P",Games[[#This Row],[Round]]=4),IF(Games[[#This Row],[Result]]&lt;0.5,1,0),0)</f>
        <v>0</v>
      </c>
    </row>
    <row r="412" spans="1:38" x14ac:dyDescent="0.35">
      <c r="A412" s="10">
        <v>44477</v>
      </c>
      <c r="B412" s="2">
        <v>2021</v>
      </c>
      <c r="C412" s="2">
        <f>COUNTIFS(Games[Team],Games[[#This Row],[Team]],Games[Season],Games[[#This Row],[Season]],Games[Date],"&lt;=" &amp; Games[[#This Row],[Date]])</f>
        <v>39</v>
      </c>
      <c r="D412" s="2" t="s">
        <v>87</v>
      </c>
      <c r="E412" s="2">
        <v>2</v>
      </c>
      <c r="F412" s="1" t="s">
        <v>40</v>
      </c>
      <c r="G412" s="1" t="s">
        <v>85</v>
      </c>
      <c r="H412" s="1" t="s">
        <v>81</v>
      </c>
      <c r="I412" s="2" cm="1">
        <f t="array" ref="I412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2" s="2" cm="1">
        <f t="array" ref="J412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2" s="2">
        <f>Games[[#This Row],[DaysOff]]-Games[[#This Row],[OppDaysOff]]</f>
        <v>0</v>
      </c>
      <c r="L412" s="2">
        <f>Games[[#This Row],[OppDaysOff]]-Games[[#This Row],[DaysOff]]</f>
        <v>0</v>
      </c>
      <c r="M412" s="1">
        <f>MAX(-16, MIN(16, Games[[#This Row],[RestDiff]]*8))</f>
        <v>0</v>
      </c>
      <c r="N412" s="1">
        <f>MAX(-16, MIN(16, Games[[#This Row],[OppRestDiff]]*8))</f>
        <v>0</v>
      </c>
      <c r="O412" s="4" cm="1">
        <f t="array" ref="O412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1604.7208158972783</v>
      </c>
      <c r="P412" s="4" cm="1">
        <f t="array" ref="P412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1655.3567381171133</v>
      </c>
      <c r="Q412" s="4">
        <f>1/(1+10^(((Games[[#This Row],[OppPreGmRate]]+IF(Games[[#This Row],[HomeAway]]="A",HCA,0)+Games[[#This Row],[OppRestAdj]])-(Games[[#This Row],[PreGmRate]]+IF(Games[[#This Row],[HomeAway]]="H",HCA,0)+Games[[#This Row],[RestAdj]]))/400))</f>
        <v>0.31539274133560369</v>
      </c>
      <c r="R412" s="1">
        <v>87</v>
      </c>
      <c r="S412" s="1">
        <v>84</v>
      </c>
      <c r="T412" s="1">
        <v>0</v>
      </c>
      <c r="U412" s="1">
        <f>Games[[#This Row],[PointsFor]]-Games[[#This Row],[PointsAgainst]]</f>
        <v>3</v>
      </c>
      <c r="V412" s="1">
        <f>IF(Games[[#This Row],[MOV]]&gt;0,1,IF(Games[[#This Row],[MOV]]=0,0.5,0))</f>
        <v>1</v>
      </c>
      <c r="W412" s="4">
        <f>((ABS(Games[[#This Row],[MOV]])+5)^0.6)/(12+0.01*(ABS(Games[[#This Row],[PreGmRate]]-Games[[#This Row],[OppPreGmRate]])))*IF(Games[[#This Row],[OT]]=1,0.9,1)</f>
        <v>0.27843453009119629</v>
      </c>
      <c r="X412" s="7" cm="1">
        <f t="array" ref="X412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12" s="9">
        <f>MAX(kmin, kmax - 0.15 * MIN(Games[[#This Row],[GamesPlayed]], 82))</f>
        <v>70.150000000000006</v>
      </c>
      <c r="Z412" s="4">
        <f>Games[[#This Row],[K]]*Games[[#This Row],[POMult]]</f>
        <v>84.18</v>
      </c>
      <c r="AA412" s="4">
        <f>(Games[[#This Row],[Keff]]*Games[[#This Row],[MOVMult]])*(Games[[#This Row],[Result]]-Games[[#This Row],[ExpectedWin%]])</f>
        <v>16.04624852457782</v>
      </c>
      <c r="AB412" s="4">
        <f>Games[[#This Row],[PreGmRate]]+Games[[#This Row],[RatingChange]]</f>
        <v>1620.767064421856</v>
      </c>
      <c r="AC412" s="2">
        <f>IF(Games[[#This Row],[Type]]="R",IF(Games[[#This Row],[Result]]&gt;0.5,1,0),0)</f>
        <v>0</v>
      </c>
      <c r="AD412" s="2">
        <f>IF(Games[[#This Row],[Type]]="R",IF(Games[[#This Row],[Result]]&lt;0.5,1,0),0)</f>
        <v>0</v>
      </c>
      <c r="AE412" s="2">
        <f>IF(AND(Games[[#This Row],[Type]]="P",Games[[#This Row],[Round]]=1),IF(Games[[#This Row],[Result]]&gt;0.5,1,0),0)</f>
        <v>0</v>
      </c>
      <c r="AF412" s="2">
        <f>IF(AND(Games[[#This Row],[Type]]="P",Games[[#This Row],[Round]]=1),IF(Games[[#This Row],[Result]]&lt;0.5,1,0),0)</f>
        <v>0</v>
      </c>
      <c r="AG412" s="2">
        <f>IF(AND(Games[[#This Row],[Type]]="P",Games[[#This Row],[Round]]=2),IF(Games[[#This Row],[Result]]&gt;0.5,1,0),0)</f>
        <v>1</v>
      </c>
      <c r="AH412" s="2">
        <f>IF(AND(Games[[#This Row],[Type]]="P",Games[[#This Row],[Round]]=2),IF(Games[[#This Row],[Result]]&lt;0.5,1,0),0)</f>
        <v>0</v>
      </c>
      <c r="AI412" s="2">
        <f>IF(AND(Games[[#This Row],[Type]]="P",Games[[#This Row],[Round]]=3),IF(Games[[#This Row],[Result]]&gt;0.5,1,0),0)</f>
        <v>0</v>
      </c>
      <c r="AJ412" s="2">
        <f>IF(AND(Games[[#This Row],[Type]]="P",Games[[#This Row],[Round]]=3),IF(Games[[#This Row],[Result]]&lt;0.5,1,0),0)</f>
        <v>0</v>
      </c>
      <c r="AK412" s="2">
        <f>IF(AND(Games[[#This Row],[Type]]="P",Games[[#This Row],[Round]]=4),IF(Games[[#This Row],[Result]]&gt;0.5,1,0),0)</f>
        <v>0</v>
      </c>
      <c r="AL412" s="2">
        <f>IF(AND(Games[[#This Row],[Type]]="P",Games[[#This Row],[Round]]=4),IF(Games[[#This Row],[Result]]&lt;0.5,1,0),0)</f>
        <v>0</v>
      </c>
    </row>
    <row r="413" spans="1:38" x14ac:dyDescent="0.35">
      <c r="A413" s="10">
        <v>44477</v>
      </c>
      <c r="B413" s="2">
        <v>2021</v>
      </c>
      <c r="C413" s="2">
        <f>COUNTIFS(Games[Team],Games[[#This Row],[Team]],Games[Season],Games[[#This Row],[Season]],Games[Date],"&lt;=" &amp; Games[[#This Row],[Date]])</f>
        <v>37</v>
      </c>
      <c r="D413" s="2" t="s">
        <v>87</v>
      </c>
      <c r="E413" s="2">
        <v>2</v>
      </c>
      <c r="F413" s="1" t="s">
        <v>85</v>
      </c>
      <c r="G413" s="1" t="s">
        <v>40</v>
      </c>
      <c r="H413" s="1" t="s">
        <v>82</v>
      </c>
      <c r="I413" s="2" cm="1">
        <f t="array" ref="I413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3" s="2" cm="1">
        <f t="array" ref="J413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3" s="2">
        <f>Games[[#This Row],[DaysOff]]-Games[[#This Row],[OppDaysOff]]</f>
        <v>0</v>
      </c>
      <c r="L413" s="2">
        <f>Games[[#This Row],[OppDaysOff]]-Games[[#This Row],[DaysOff]]</f>
        <v>0</v>
      </c>
      <c r="M413" s="1">
        <f>MAX(-16, MIN(16, Games[[#This Row],[RestDiff]]*8))</f>
        <v>0</v>
      </c>
      <c r="N413" s="1">
        <f>MAX(-16, MIN(16, Games[[#This Row],[OppRestDiff]]*8))</f>
        <v>0</v>
      </c>
      <c r="O413" s="4" cm="1">
        <f t="array" ref="O413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1655.3567381171133</v>
      </c>
      <c r="P413" s="4" cm="1">
        <f t="array" ref="P413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1604.7208158972783</v>
      </c>
      <c r="Q413" s="4">
        <f>1/(1+10^(((Games[[#This Row],[OppPreGmRate]]+IF(Games[[#This Row],[HomeAway]]="A",HCA,0)+Games[[#This Row],[OppRestAdj]])-(Games[[#This Row],[PreGmRate]]+IF(Games[[#This Row],[HomeAway]]="H",HCA,0)+Games[[#This Row],[RestAdj]]))/400))</f>
        <v>0.68460725866439631</v>
      </c>
      <c r="R413" s="1">
        <v>84</v>
      </c>
      <c r="S413" s="1">
        <v>87</v>
      </c>
      <c r="T413" s="1">
        <v>0</v>
      </c>
      <c r="U413" s="1">
        <f>Games[[#This Row],[PointsFor]]-Games[[#This Row],[PointsAgainst]]</f>
        <v>-3</v>
      </c>
      <c r="V413" s="1">
        <f>IF(Games[[#This Row],[MOV]]&gt;0,1,IF(Games[[#This Row],[MOV]]=0,0.5,0))</f>
        <v>0</v>
      </c>
      <c r="W413" s="4">
        <f>((ABS(Games[[#This Row],[MOV]])+5)^0.6)/(12+0.01*(ABS(Games[[#This Row],[PreGmRate]]-Games[[#This Row],[OppPreGmRate]])))*IF(Games[[#This Row],[OT]]=1,0.9,1)</f>
        <v>0.27843453009119629</v>
      </c>
      <c r="X413" s="7" cm="1">
        <f t="array" ref="X413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1.2</v>
      </c>
      <c r="Y413" s="9">
        <f>MAX(kmin, kmax - 0.15 * MIN(Games[[#This Row],[GamesPlayed]], 82))</f>
        <v>70.45</v>
      </c>
      <c r="Z413" s="4">
        <f>Games[[#This Row],[K]]*Games[[#This Row],[POMult]]</f>
        <v>84.54</v>
      </c>
      <c r="AA413" s="4">
        <f>(Games[[#This Row],[Keff]]*Games[[#This Row],[MOVMult]])*(Games[[#This Row],[Result]]-Games[[#This Row],[ExpectedWin%]])</f>
        <v>-16.114871112708585</v>
      </c>
      <c r="AB413" s="4">
        <f>Games[[#This Row],[PreGmRate]]+Games[[#This Row],[RatingChange]]</f>
        <v>1639.2418670044046</v>
      </c>
      <c r="AC413" s="2">
        <f>IF(Games[[#This Row],[Type]]="R",IF(Games[[#This Row],[Result]]&gt;0.5,1,0),0)</f>
        <v>0</v>
      </c>
      <c r="AD413" s="2">
        <f>IF(Games[[#This Row],[Type]]="R",IF(Games[[#This Row],[Result]]&lt;0.5,1,0),0)</f>
        <v>0</v>
      </c>
      <c r="AE413" s="2">
        <f>IF(AND(Games[[#This Row],[Type]]="P",Games[[#This Row],[Round]]=1),IF(Games[[#This Row],[Result]]&gt;0.5,1,0),0)</f>
        <v>0</v>
      </c>
      <c r="AF413" s="2">
        <f>IF(AND(Games[[#This Row],[Type]]="P",Games[[#This Row],[Round]]=1),IF(Games[[#This Row],[Result]]&lt;0.5,1,0),0)</f>
        <v>0</v>
      </c>
      <c r="AG413" s="2">
        <f>IF(AND(Games[[#This Row],[Type]]="P",Games[[#This Row],[Round]]=2),IF(Games[[#This Row],[Result]]&gt;0.5,1,0),0)</f>
        <v>0</v>
      </c>
      <c r="AH413" s="2">
        <f>IF(AND(Games[[#This Row],[Type]]="P",Games[[#This Row],[Round]]=2),IF(Games[[#This Row],[Result]]&lt;0.5,1,0),0)</f>
        <v>1</v>
      </c>
      <c r="AI413" s="2">
        <f>IF(AND(Games[[#This Row],[Type]]="P",Games[[#This Row],[Round]]=3),IF(Games[[#This Row],[Result]]&gt;0.5,1,0),0)</f>
        <v>0</v>
      </c>
      <c r="AJ413" s="2">
        <f>IF(AND(Games[[#This Row],[Type]]="P",Games[[#This Row],[Round]]=3),IF(Games[[#This Row],[Result]]&lt;0.5,1,0),0)</f>
        <v>0</v>
      </c>
      <c r="AK413" s="2">
        <f>IF(AND(Games[[#This Row],[Type]]="P",Games[[#This Row],[Round]]=4),IF(Games[[#This Row],[Result]]&gt;0.5,1,0),0)</f>
        <v>0</v>
      </c>
      <c r="AL413" s="2">
        <f>IF(AND(Games[[#This Row],[Type]]="P",Games[[#This Row],[Round]]=4),IF(Games[[#This Row],[Result]]&lt;0.5,1,0),0)</f>
        <v>0</v>
      </c>
    </row>
    <row r="414" spans="1:38" x14ac:dyDescent="0.35">
      <c r="A414" s="10">
        <v>44479</v>
      </c>
      <c r="B414" s="2">
        <v>2021</v>
      </c>
      <c r="C414" s="2">
        <f>COUNTIFS(Games[Team],Games[[#This Row],[Team]],Games[Season],Games[[#This Row],[Season]],Games[Date],"&lt;=" &amp; Games[[#This Row],[Date]])</f>
        <v>39</v>
      </c>
      <c r="D414" s="2" t="s">
        <v>87</v>
      </c>
      <c r="E414" s="2">
        <v>3</v>
      </c>
      <c r="F414" s="1" t="s">
        <v>75</v>
      </c>
      <c r="G414" s="1" t="s">
        <v>40</v>
      </c>
      <c r="H414" s="1" t="s">
        <v>81</v>
      </c>
      <c r="I414" s="2" cm="1">
        <f t="array" ref="I414">IFERROR(
    Games[[#This Row],[Date]]
    - LOOKUP(
        2,
        1/((Games[Team]=Games[[#This Row],[Team]]) * (Games[Date] &lt; Games[[#This Row],[Date]])),
        Games[Date]
    )
    - 1,
Games[[#This Row],[Date]]-$A$2)</f>
        <v>3</v>
      </c>
      <c r="J414" s="2" cm="1">
        <f t="array" ref="J414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4" s="2">
        <f>Games[[#This Row],[DaysOff]]-Games[[#This Row],[OppDaysOff]]</f>
        <v>2</v>
      </c>
      <c r="L414" s="2">
        <f>Games[[#This Row],[OppDaysOff]]-Games[[#This Row],[DaysOff]]</f>
        <v>-2</v>
      </c>
      <c r="M414" s="1">
        <f>MAX(-16, MIN(16, Games[[#This Row],[RestDiff]]*8))</f>
        <v>16</v>
      </c>
      <c r="N414" s="1">
        <f>MAX(-16, MIN(16, Games[[#This Row],[OppRestDiff]]*8))</f>
        <v>-16</v>
      </c>
      <c r="O414" s="4" cm="1">
        <f t="array" ref="O414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1602.4124622949041</v>
      </c>
      <c r="P414" s="4" cm="1">
        <f t="array" ref="P414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1620.767064421856</v>
      </c>
      <c r="Q414" s="4">
        <f>1/(1+10^(((Games[[#This Row],[OppPreGmRate]]+IF(Games[[#This Row],[HomeAway]]="A",HCA,0)+Games[[#This Row],[OppRestAdj]])-(Games[[#This Row],[PreGmRate]]+IF(Games[[#This Row],[HomeAway]]="H",HCA,0)+Games[[#This Row],[RestAdj]]))/400))</f>
        <v>0.40011315643014134</v>
      </c>
      <c r="R414" s="1">
        <v>91</v>
      </c>
      <c r="S414" s="1">
        <v>77</v>
      </c>
      <c r="T414" s="1">
        <v>0</v>
      </c>
      <c r="U414" s="1">
        <f>Games[[#This Row],[PointsFor]]-Games[[#This Row],[PointsAgainst]]</f>
        <v>14</v>
      </c>
      <c r="V414" s="1">
        <f>IF(Games[[#This Row],[MOV]]&gt;0,1,IF(Games[[#This Row],[MOV]]=0,0.5,0))</f>
        <v>1</v>
      </c>
      <c r="W414" s="4">
        <f>((ABS(Games[[#This Row],[MOV]])+5)^0.6)/(12+0.01*(ABS(Games[[#This Row],[PreGmRate]]-Games[[#This Row],[OppPreGmRate]])))*IF(Games[[#This Row],[OT]]=1,0.9,1)</f>
        <v>0.4802622514163174</v>
      </c>
      <c r="X414" s="7" cm="1">
        <f t="array" ref="X414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14" s="9">
        <f>MAX(kmin, kmax - 0.15 * MIN(Games[[#This Row],[GamesPlayed]], 82))</f>
        <v>70.150000000000006</v>
      </c>
      <c r="Z414" s="4">
        <f>Games[[#This Row],[K]]*Games[[#This Row],[POMult]]</f>
        <v>94.702500000000015</v>
      </c>
      <c r="AA414" s="4">
        <f>(Games[[#This Row],[Keff]]*Games[[#This Row],[MOVMult]])*(Games[[#This Row],[Result]]-Games[[#This Row],[ExpectedWin%]])</f>
        <v>27.284074934038266</v>
      </c>
      <c r="AB414" s="4">
        <f>Games[[#This Row],[PreGmRate]]+Games[[#This Row],[RatingChange]]</f>
        <v>1629.6965372289424</v>
      </c>
      <c r="AC414" s="2">
        <f>IF(Games[[#This Row],[Type]]="R",IF(Games[[#This Row],[Result]]&gt;0.5,1,0),0)</f>
        <v>0</v>
      </c>
      <c r="AD414" s="2">
        <f>IF(Games[[#This Row],[Type]]="R",IF(Games[[#This Row],[Result]]&lt;0.5,1,0),0)</f>
        <v>0</v>
      </c>
      <c r="AE414" s="2">
        <f>IF(AND(Games[[#This Row],[Type]]="P",Games[[#This Row],[Round]]=1),IF(Games[[#This Row],[Result]]&gt;0.5,1,0),0)</f>
        <v>0</v>
      </c>
      <c r="AF414" s="2">
        <f>IF(AND(Games[[#This Row],[Type]]="P",Games[[#This Row],[Round]]=1),IF(Games[[#This Row],[Result]]&lt;0.5,1,0),0)</f>
        <v>0</v>
      </c>
      <c r="AG414" s="2">
        <f>IF(AND(Games[[#This Row],[Type]]="P",Games[[#This Row],[Round]]=2),IF(Games[[#This Row],[Result]]&gt;0.5,1,0),0)</f>
        <v>0</v>
      </c>
      <c r="AH414" s="2">
        <f>IF(AND(Games[[#This Row],[Type]]="P",Games[[#This Row],[Round]]=2),IF(Games[[#This Row],[Result]]&lt;0.5,1,0),0)</f>
        <v>0</v>
      </c>
      <c r="AI414" s="2">
        <f>IF(AND(Games[[#This Row],[Type]]="P",Games[[#This Row],[Round]]=3),IF(Games[[#This Row],[Result]]&gt;0.5,1,0),0)</f>
        <v>1</v>
      </c>
      <c r="AJ414" s="2">
        <f>IF(AND(Games[[#This Row],[Type]]="P",Games[[#This Row],[Round]]=3),IF(Games[[#This Row],[Result]]&lt;0.5,1,0),0)</f>
        <v>0</v>
      </c>
      <c r="AK414" s="2">
        <f>IF(AND(Games[[#This Row],[Type]]="P",Games[[#This Row],[Round]]=4),IF(Games[[#This Row],[Result]]&gt;0.5,1,0),0)</f>
        <v>0</v>
      </c>
      <c r="AL414" s="2">
        <f>IF(AND(Games[[#This Row],[Type]]="P",Games[[#This Row],[Round]]=4),IF(Games[[#This Row],[Result]]&lt;0.5,1,0),0)</f>
        <v>0</v>
      </c>
    </row>
    <row r="415" spans="1:38" x14ac:dyDescent="0.35">
      <c r="A415" s="10">
        <v>44479</v>
      </c>
      <c r="B415" s="2">
        <v>2021</v>
      </c>
      <c r="C415" s="2">
        <f>COUNTIFS(Games[Team],Games[[#This Row],[Team]],Games[Season],Games[[#This Row],[Season]],Games[Date],"&lt;=" &amp; Games[[#This Row],[Date]])</f>
        <v>40</v>
      </c>
      <c r="D415" s="2" t="s">
        <v>87</v>
      </c>
      <c r="E415" s="2">
        <v>3</v>
      </c>
      <c r="F415" s="1" t="s">
        <v>40</v>
      </c>
      <c r="G415" s="1" t="s">
        <v>75</v>
      </c>
      <c r="H415" s="1" t="s">
        <v>82</v>
      </c>
      <c r="I415" s="2" cm="1">
        <f t="array" ref="I415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5" s="2" cm="1">
        <f t="array" ref="J415">IFERROR(
    Games[[#This Row],[Date]]
    - LOOKUP(
        2,
        1/((Games[Opponent]=Games[[#This Row],[Opponent]]) * (Games[Date] &lt; Games[[#This Row],[Date]])),
        Games[Date]
    )
    - 1,
Games[[#This Row],[Date]]-$A$2)</f>
        <v>3</v>
      </c>
      <c r="K415" s="2">
        <f>Games[[#This Row],[DaysOff]]-Games[[#This Row],[OppDaysOff]]</f>
        <v>-2</v>
      </c>
      <c r="L415" s="2">
        <f>Games[[#This Row],[OppDaysOff]]-Games[[#This Row],[DaysOff]]</f>
        <v>2</v>
      </c>
      <c r="M415" s="1">
        <f>MAX(-16, MIN(16, Games[[#This Row],[RestDiff]]*8))</f>
        <v>-16</v>
      </c>
      <c r="N415" s="1">
        <f>MAX(-16, MIN(16, Games[[#This Row],[OppRestDiff]]*8))</f>
        <v>16</v>
      </c>
      <c r="O415" s="4" cm="1">
        <f t="array" ref="O415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1620.767064421856</v>
      </c>
      <c r="P415" s="4" cm="1">
        <f t="array" ref="P415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1602.4124622949041</v>
      </c>
      <c r="Q415" s="4">
        <f>1/(1+10^(((Games[[#This Row],[OppPreGmRate]]+IF(Games[[#This Row],[HomeAway]]="A",HCA,0)+Games[[#This Row],[OppRestAdj]])-(Games[[#This Row],[PreGmRate]]+IF(Games[[#This Row],[HomeAway]]="H",HCA,0)+Games[[#This Row],[RestAdj]]))/400))</f>
        <v>0.59988684356985866</v>
      </c>
      <c r="R415" s="1">
        <v>77</v>
      </c>
      <c r="S415" s="1">
        <v>91</v>
      </c>
      <c r="T415" s="1">
        <v>0</v>
      </c>
      <c r="U415" s="1">
        <f>Games[[#This Row],[PointsFor]]-Games[[#This Row],[PointsAgainst]]</f>
        <v>-14</v>
      </c>
      <c r="V415" s="1">
        <f>IF(Games[[#This Row],[MOV]]&gt;0,1,IF(Games[[#This Row],[MOV]]=0,0.5,0))</f>
        <v>0</v>
      </c>
      <c r="W415" s="4">
        <f>((ABS(Games[[#This Row],[MOV]])+5)^0.6)/(12+0.01*(ABS(Games[[#This Row],[PreGmRate]]-Games[[#This Row],[OppPreGmRate]])))*IF(Games[[#This Row],[OT]]=1,0.9,1)</f>
        <v>0.4802622514163174</v>
      </c>
      <c r="X415" s="7" cm="1">
        <f t="array" ref="X415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15" s="9">
        <f>MAX(kmin, kmax - 0.15 * MIN(Games[[#This Row],[GamesPlayed]], 82))</f>
        <v>70</v>
      </c>
      <c r="Z415" s="4">
        <f>Games[[#This Row],[K]]*Games[[#This Row],[POMult]]</f>
        <v>94.5</v>
      </c>
      <c r="AA415" s="4">
        <f>(Games[[#This Row],[Keff]]*Games[[#This Row],[MOVMult]])*(Games[[#This Row],[Result]]-Games[[#This Row],[ExpectedWin%]])</f>
        <v>-27.225734075305464</v>
      </c>
      <c r="AB415" s="4">
        <f>Games[[#This Row],[PreGmRate]]+Games[[#This Row],[RatingChange]]</f>
        <v>1593.5413303465507</v>
      </c>
      <c r="AC415" s="2">
        <f>IF(Games[[#This Row],[Type]]="R",IF(Games[[#This Row],[Result]]&gt;0.5,1,0),0)</f>
        <v>0</v>
      </c>
      <c r="AD415" s="2">
        <f>IF(Games[[#This Row],[Type]]="R",IF(Games[[#This Row],[Result]]&lt;0.5,1,0),0)</f>
        <v>0</v>
      </c>
      <c r="AE415" s="2">
        <f>IF(AND(Games[[#This Row],[Type]]="P",Games[[#This Row],[Round]]=1),IF(Games[[#This Row],[Result]]&gt;0.5,1,0),0)</f>
        <v>0</v>
      </c>
      <c r="AF415" s="2">
        <f>IF(AND(Games[[#This Row],[Type]]="P",Games[[#This Row],[Round]]=1),IF(Games[[#This Row],[Result]]&lt;0.5,1,0),0)</f>
        <v>0</v>
      </c>
      <c r="AG415" s="2">
        <f>IF(AND(Games[[#This Row],[Type]]="P",Games[[#This Row],[Round]]=2),IF(Games[[#This Row],[Result]]&gt;0.5,1,0),0)</f>
        <v>0</v>
      </c>
      <c r="AH415" s="2">
        <f>IF(AND(Games[[#This Row],[Type]]="P",Games[[#This Row],[Round]]=2),IF(Games[[#This Row],[Result]]&lt;0.5,1,0),0)</f>
        <v>0</v>
      </c>
      <c r="AI415" s="2">
        <f>IF(AND(Games[[#This Row],[Type]]="P",Games[[#This Row],[Round]]=3),IF(Games[[#This Row],[Result]]&gt;0.5,1,0),0)</f>
        <v>0</v>
      </c>
      <c r="AJ415" s="2">
        <f>IF(AND(Games[[#This Row],[Type]]="P",Games[[#This Row],[Round]]=3),IF(Games[[#This Row],[Result]]&lt;0.5,1,0),0)</f>
        <v>1</v>
      </c>
      <c r="AK415" s="2">
        <f>IF(AND(Games[[#This Row],[Type]]="P",Games[[#This Row],[Round]]=4),IF(Games[[#This Row],[Result]]&gt;0.5,1,0),0)</f>
        <v>0</v>
      </c>
      <c r="AL415" s="2">
        <f>IF(AND(Games[[#This Row],[Type]]="P",Games[[#This Row],[Round]]=4),IF(Games[[#This Row],[Result]]&lt;0.5,1,0),0)</f>
        <v>0</v>
      </c>
    </row>
    <row r="416" spans="1:38" x14ac:dyDescent="0.35">
      <c r="A416" s="10">
        <v>44482</v>
      </c>
      <c r="B416" s="2">
        <v>2021</v>
      </c>
      <c r="C416" s="2">
        <f>COUNTIFS(Games[Team],Games[[#This Row],[Team]],Games[Season],Games[[#This Row],[Season]],Games[Date],"&lt;=" &amp; Games[[#This Row],[Date]])</f>
        <v>40</v>
      </c>
      <c r="D416" s="2" t="s">
        <v>87</v>
      </c>
      <c r="E416" s="2">
        <v>3</v>
      </c>
      <c r="F416" s="1" t="s">
        <v>75</v>
      </c>
      <c r="G416" s="1" t="s">
        <v>40</v>
      </c>
      <c r="H416" s="1" t="s">
        <v>81</v>
      </c>
      <c r="I416" s="2" cm="1">
        <f t="array" ref="I416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6" s="2" cm="1">
        <f t="array" ref="J416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6" s="2">
        <f>Games[[#This Row],[DaysOff]]-Games[[#This Row],[OppDaysOff]]</f>
        <v>0</v>
      </c>
      <c r="L416" s="2">
        <f>Games[[#This Row],[OppDaysOff]]-Games[[#This Row],[DaysOff]]</f>
        <v>0</v>
      </c>
      <c r="M416" s="1">
        <f>MAX(-16, MIN(16, Games[[#This Row],[RestDiff]]*8))</f>
        <v>0</v>
      </c>
      <c r="N416" s="1">
        <f>MAX(-16, MIN(16, Games[[#This Row],[OppRestDiff]]*8))</f>
        <v>0</v>
      </c>
      <c r="O416" s="4" cm="1">
        <f t="array" ref="O416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1629.6965372289424</v>
      </c>
      <c r="P416" s="4" cm="1">
        <f t="array" ref="P416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1593.5413303465507</v>
      </c>
      <c r="Q416" s="4">
        <f>1/(1+10^(((Games[[#This Row],[OppPreGmRate]]+IF(Games[[#This Row],[HomeAway]]="A",HCA,0)+Games[[#This Row],[OppRestAdj]])-(Games[[#This Row],[PreGmRate]]+IF(Games[[#This Row],[HomeAway]]="H",HCA,0)+Games[[#This Row],[RestAdj]]))/400))</f>
        <v>0.43157777262040448</v>
      </c>
      <c r="R416" s="1">
        <v>86</v>
      </c>
      <c r="S416" s="1">
        <v>91</v>
      </c>
      <c r="T416" s="1">
        <v>1</v>
      </c>
      <c r="U416" s="1">
        <f>Games[[#This Row],[PointsFor]]-Games[[#This Row],[PointsAgainst]]</f>
        <v>-5</v>
      </c>
      <c r="V416" s="1">
        <f>IF(Games[[#This Row],[MOV]]&gt;0,1,IF(Games[[#This Row],[MOV]]=0,0.5,0))</f>
        <v>0</v>
      </c>
      <c r="W416" s="4">
        <f>((ABS(Games[[#This Row],[MOV]])+5)^0.6)/(12+0.01*(ABS(Games[[#This Row],[PreGmRate]]-Games[[#This Row],[OppPreGmRate]])))*IF(Games[[#This Row],[OT]]=1,0.9,1)</f>
        <v>0.28984746535330169</v>
      </c>
      <c r="X416" s="7" cm="1">
        <f t="array" ref="X416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16" s="9">
        <f>MAX(kmin, kmax - 0.15 * MIN(Games[[#This Row],[GamesPlayed]], 82))</f>
        <v>70</v>
      </c>
      <c r="Z416" s="4">
        <f>Games[[#This Row],[K]]*Games[[#This Row],[POMult]]</f>
        <v>94.5</v>
      </c>
      <c r="AA416" s="4">
        <f>(Games[[#This Row],[Keff]]*Games[[#This Row],[MOVMult]])*(Games[[#This Row],[Result]]-Games[[#This Row],[ExpectedWin%]])</f>
        <v>-11.821167870452118</v>
      </c>
      <c r="AB416" s="4">
        <f>Games[[#This Row],[PreGmRate]]+Games[[#This Row],[RatingChange]]</f>
        <v>1617.8753693584902</v>
      </c>
      <c r="AC416" s="2">
        <f>IF(Games[[#This Row],[Type]]="R",IF(Games[[#This Row],[Result]]&gt;0.5,1,0),0)</f>
        <v>0</v>
      </c>
      <c r="AD416" s="2">
        <f>IF(Games[[#This Row],[Type]]="R",IF(Games[[#This Row],[Result]]&lt;0.5,1,0),0)</f>
        <v>0</v>
      </c>
      <c r="AE416" s="2">
        <f>IF(AND(Games[[#This Row],[Type]]="P",Games[[#This Row],[Round]]=1),IF(Games[[#This Row],[Result]]&gt;0.5,1,0),0)</f>
        <v>0</v>
      </c>
      <c r="AF416" s="2">
        <f>IF(AND(Games[[#This Row],[Type]]="P",Games[[#This Row],[Round]]=1),IF(Games[[#This Row],[Result]]&lt;0.5,1,0),0)</f>
        <v>0</v>
      </c>
      <c r="AG416" s="2">
        <f>IF(AND(Games[[#This Row],[Type]]="P",Games[[#This Row],[Round]]=2),IF(Games[[#This Row],[Result]]&gt;0.5,1,0),0)</f>
        <v>0</v>
      </c>
      <c r="AH416" s="2">
        <f>IF(AND(Games[[#This Row],[Type]]="P",Games[[#This Row],[Round]]=2),IF(Games[[#This Row],[Result]]&lt;0.5,1,0),0)</f>
        <v>0</v>
      </c>
      <c r="AI416" s="2">
        <f>IF(AND(Games[[#This Row],[Type]]="P",Games[[#This Row],[Round]]=3),IF(Games[[#This Row],[Result]]&gt;0.5,1,0),0)</f>
        <v>0</v>
      </c>
      <c r="AJ416" s="2">
        <f>IF(AND(Games[[#This Row],[Type]]="P",Games[[#This Row],[Round]]=3),IF(Games[[#This Row],[Result]]&lt;0.5,1,0),0)</f>
        <v>1</v>
      </c>
      <c r="AK416" s="2">
        <f>IF(AND(Games[[#This Row],[Type]]="P",Games[[#This Row],[Round]]=4),IF(Games[[#This Row],[Result]]&gt;0.5,1,0),0)</f>
        <v>0</v>
      </c>
      <c r="AL416" s="2">
        <f>IF(AND(Games[[#This Row],[Type]]="P",Games[[#This Row],[Round]]=4),IF(Games[[#This Row],[Result]]&lt;0.5,1,0),0)</f>
        <v>0</v>
      </c>
    </row>
    <row r="417" spans="1:38" x14ac:dyDescent="0.35">
      <c r="A417" s="10">
        <v>44482</v>
      </c>
      <c r="B417" s="2">
        <v>2021</v>
      </c>
      <c r="C417" s="2">
        <f>COUNTIFS(Games[Team],Games[[#This Row],[Team]],Games[Season],Games[[#This Row],[Season]],Games[Date],"&lt;=" &amp; Games[[#This Row],[Date]])</f>
        <v>41</v>
      </c>
      <c r="D417" s="2" t="s">
        <v>87</v>
      </c>
      <c r="E417" s="2">
        <v>3</v>
      </c>
      <c r="F417" s="1" t="s">
        <v>40</v>
      </c>
      <c r="G417" s="1" t="s">
        <v>75</v>
      </c>
      <c r="H417" s="1" t="s">
        <v>82</v>
      </c>
      <c r="I417" s="2" cm="1">
        <f t="array" ref="I417">IFERROR(
    Games[[#This Row],[Date]]
    - LOOKUP(
        2,
        1/((Games[Team]=Games[[#This Row],[Team]]) * (Games[Date] &lt; Games[[#This Row],[Date]])),
        Games[Date]
    )
    - 1,
Games[[#This Row],[Date]]-$A$2)</f>
        <v>2</v>
      </c>
      <c r="J417" s="2" cm="1">
        <f t="array" ref="J417">IFERROR(
    Games[[#This Row],[Date]]
    - LOOKUP(
        2,
        1/((Games[Opponent]=Games[[#This Row],[Opponent]]) * (Games[Date] &lt; Games[[#This Row],[Date]])),
        Games[Date]
    )
    - 1,
Games[[#This Row],[Date]]-$A$2)</f>
        <v>2</v>
      </c>
      <c r="K417" s="2">
        <f>Games[[#This Row],[DaysOff]]-Games[[#This Row],[OppDaysOff]]</f>
        <v>0</v>
      </c>
      <c r="L417" s="2">
        <f>Games[[#This Row],[OppDaysOff]]-Games[[#This Row],[DaysOff]]</f>
        <v>0</v>
      </c>
      <c r="M417" s="1">
        <f>MAX(-16, MIN(16, Games[[#This Row],[RestDiff]]*8))</f>
        <v>0</v>
      </c>
      <c r="N417" s="1">
        <f>MAX(-16, MIN(16, Games[[#This Row],[OppRestDiff]]*8))</f>
        <v>0</v>
      </c>
      <c r="O417" s="4" cm="1">
        <f t="array" ref="O417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1593.5413303465507</v>
      </c>
      <c r="P417" s="4" cm="1">
        <f t="array" ref="P417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1629.6965372289424</v>
      </c>
      <c r="Q417" s="4">
        <f>1/(1+10^(((Games[[#This Row],[OppPreGmRate]]+IF(Games[[#This Row],[HomeAway]]="A",HCA,0)+Games[[#This Row],[OppRestAdj]])-(Games[[#This Row],[PreGmRate]]+IF(Games[[#This Row],[HomeAway]]="H",HCA,0)+Games[[#This Row],[RestAdj]]))/400))</f>
        <v>0.56842222737959547</v>
      </c>
      <c r="R417" s="1">
        <v>91</v>
      </c>
      <c r="S417" s="1">
        <v>86</v>
      </c>
      <c r="T417" s="1">
        <v>1</v>
      </c>
      <c r="U417" s="1">
        <f>Games[[#This Row],[PointsFor]]-Games[[#This Row],[PointsAgainst]]</f>
        <v>5</v>
      </c>
      <c r="V417" s="1">
        <f>IF(Games[[#This Row],[MOV]]&gt;0,1,IF(Games[[#This Row],[MOV]]=0,0.5,0))</f>
        <v>1</v>
      </c>
      <c r="W417" s="4">
        <f>((ABS(Games[[#This Row],[MOV]])+5)^0.6)/(12+0.01*(ABS(Games[[#This Row],[PreGmRate]]-Games[[#This Row],[OppPreGmRate]])))*IF(Games[[#This Row],[OT]]=1,0.9,1)</f>
        <v>0.28984746535330169</v>
      </c>
      <c r="X417" s="7" cm="1">
        <f t="array" ref="X417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17" s="9">
        <f>MAX(kmin, kmax - 0.15 * MIN(Games[[#This Row],[GamesPlayed]], 82))</f>
        <v>69.849999999999994</v>
      </c>
      <c r="Z417" s="4">
        <f>Games[[#This Row],[K]]*Games[[#This Row],[POMult]]</f>
        <v>94.297499999999999</v>
      </c>
      <c r="AA417" s="4">
        <f>(Games[[#This Row],[Keff]]*Games[[#This Row],[MOVMult]])*(Games[[#This Row],[Result]]-Games[[#This Row],[ExpectedWin%]])</f>
        <v>11.795836796444007</v>
      </c>
      <c r="AB417" s="4">
        <f>Games[[#This Row],[PreGmRate]]+Games[[#This Row],[RatingChange]]</f>
        <v>1605.3371671429948</v>
      </c>
      <c r="AC417" s="2">
        <f>IF(Games[[#This Row],[Type]]="R",IF(Games[[#This Row],[Result]]&gt;0.5,1,0),0)</f>
        <v>0</v>
      </c>
      <c r="AD417" s="2">
        <f>IF(Games[[#This Row],[Type]]="R",IF(Games[[#This Row],[Result]]&lt;0.5,1,0),0)</f>
        <v>0</v>
      </c>
      <c r="AE417" s="2">
        <f>IF(AND(Games[[#This Row],[Type]]="P",Games[[#This Row],[Round]]=1),IF(Games[[#This Row],[Result]]&gt;0.5,1,0),0)</f>
        <v>0</v>
      </c>
      <c r="AF417" s="2">
        <f>IF(AND(Games[[#This Row],[Type]]="P",Games[[#This Row],[Round]]=1),IF(Games[[#This Row],[Result]]&lt;0.5,1,0),0)</f>
        <v>0</v>
      </c>
      <c r="AG417" s="2">
        <f>IF(AND(Games[[#This Row],[Type]]="P",Games[[#This Row],[Round]]=2),IF(Games[[#This Row],[Result]]&gt;0.5,1,0),0)</f>
        <v>0</v>
      </c>
      <c r="AH417" s="2">
        <f>IF(AND(Games[[#This Row],[Type]]="P",Games[[#This Row],[Round]]=2),IF(Games[[#This Row],[Result]]&lt;0.5,1,0),0)</f>
        <v>0</v>
      </c>
      <c r="AI417" s="2">
        <f>IF(AND(Games[[#This Row],[Type]]="P",Games[[#This Row],[Round]]=3),IF(Games[[#This Row],[Result]]&gt;0.5,1,0),0)</f>
        <v>1</v>
      </c>
      <c r="AJ417" s="2">
        <f>IF(AND(Games[[#This Row],[Type]]="P",Games[[#This Row],[Round]]=3),IF(Games[[#This Row],[Result]]&lt;0.5,1,0),0)</f>
        <v>0</v>
      </c>
      <c r="AK417" s="2">
        <f>IF(AND(Games[[#This Row],[Type]]="P",Games[[#This Row],[Round]]=4),IF(Games[[#This Row],[Result]]&gt;0.5,1,0),0)</f>
        <v>0</v>
      </c>
      <c r="AL417" s="2">
        <f>IF(AND(Games[[#This Row],[Type]]="P",Games[[#This Row],[Round]]=4),IF(Games[[#This Row],[Result]]&lt;0.5,1,0),0)</f>
        <v>0</v>
      </c>
    </row>
    <row r="418" spans="1:38" x14ac:dyDescent="0.35">
      <c r="A418" s="10">
        <v>44484</v>
      </c>
      <c r="B418" s="2">
        <v>2021</v>
      </c>
      <c r="C418" s="2">
        <f>COUNTIFS(Games[Team],Games[[#This Row],[Team]],Games[Season],Games[[#This Row],[Season]],Games[Date],"&lt;=" &amp; Games[[#This Row],[Date]])</f>
        <v>42</v>
      </c>
      <c r="D418" s="2" t="s">
        <v>87</v>
      </c>
      <c r="E418" s="2">
        <v>3</v>
      </c>
      <c r="F418" s="1" t="s">
        <v>40</v>
      </c>
      <c r="G418" s="1" t="s">
        <v>75</v>
      </c>
      <c r="H418" s="1" t="s">
        <v>81</v>
      </c>
      <c r="I418" s="2" cm="1">
        <f t="array" ref="I418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8" s="2" cm="1">
        <f t="array" ref="J418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8" s="2">
        <f>Games[[#This Row],[DaysOff]]-Games[[#This Row],[OppDaysOff]]</f>
        <v>0</v>
      </c>
      <c r="L418" s="2">
        <f>Games[[#This Row],[OppDaysOff]]-Games[[#This Row],[DaysOff]]</f>
        <v>0</v>
      </c>
      <c r="M418" s="1">
        <f>MAX(-16, MIN(16, Games[[#This Row],[RestDiff]]*8))</f>
        <v>0</v>
      </c>
      <c r="N418" s="1">
        <f>MAX(-16, MIN(16, Games[[#This Row],[OppRestDiff]]*8))</f>
        <v>0</v>
      </c>
      <c r="O418" s="4" cm="1">
        <f t="array" ref="O418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1605.3371671429948</v>
      </c>
      <c r="P418" s="4" cm="1">
        <f t="array" ref="P418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1617.8753693584902</v>
      </c>
      <c r="Q418" s="4">
        <f>1/(1+10^(((Games[[#This Row],[OppPreGmRate]]+IF(Games[[#This Row],[HomeAway]]="A",HCA,0)+Games[[#This Row],[OppRestAdj]])-(Games[[#This Row],[PreGmRate]]+IF(Games[[#This Row],[HomeAway]]="H",HCA,0)+Games[[#This Row],[RestAdj]]))/400))</f>
        <v>0.36453867912293325</v>
      </c>
      <c r="R418" s="1">
        <v>50</v>
      </c>
      <c r="S418" s="1">
        <v>86</v>
      </c>
      <c r="T418" s="1">
        <v>0</v>
      </c>
      <c r="U418" s="1">
        <f>Games[[#This Row],[PointsFor]]-Games[[#This Row],[PointsAgainst]]</f>
        <v>-36</v>
      </c>
      <c r="V418" s="1">
        <f>IF(Games[[#This Row],[MOV]]&gt;0,1,IF(Games[[#This Row],[MOV]]=0,0.5,0))</f>
        <v>0</v>
      </c>
      <c r="W418" s="4">
        <f>((ABS(Games[[#This Row],[MOV]])+5)^0.6)/(12+0.01*(ABS(Games[[#This Row],[PreGmRate]]-Games[[#This Row],[OppPreGmRate]])))*IF(Games[[#This Row],[OT]]=1,0.9,1)</f>
        <v>0.76555233182640414</v>
      </c>
      <c r="X418" s="7" cm="1">
        <f t="array" ref="X418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18" s="9">
        <f>MAX(kmin, kmax - 0.15 * MIN(Games[[#This Row],[GamesPlayed]], 82))</f>
        <v>69.7</v>
      </c>
      <c r="Z418" s="4">
        <f>Games[[#This Row],[K]]*Games[[#This Row],[POMult]]</f>
        <v>94.095000000000013</v>
      </c>
      <c r="AA418" s="4">
        <f>(Games[[#This Row],[Keff]]*Games[[#This Row],[MOVMult]])*(Games[[#This Row],[Result]]-Games[[#This Row],[ExpectedWin%]])</f>
        <v>-26.259414945692146</v>
      </c>
      <c r="AB418" s="4">
        <f>Games[[#This Row],[PreGmRate]]+Games[[#This Row],[RatingChange]]</f>
        <v>1579.0777521973025</v>
      </c>
      <c r="AC418" s="2">
        <f>IF(Games[[#This Row],[Type]]="R",IF(Games[[#This Row],[Result]]&gt;0.5,1,0),0)</f>
        <v>0</v>
      </c>
      <c r="AD418" s="2">
        <f>IF(Games[[#This Row],[Type]]="R",IF(Games[[#This Row],[Result]]&lt;0.5,1,0),0)</f>
        <v>0</v>
      </c>
      <c r="AE418" s="2">
        <f>IF(AND(Games[[#This Row],[Type]]="P",Games[[#This Row],[Round]]=1),IF(Games[[#This Row],[Result]]&gt;0.5,1,0),0)</f>
        <v>0</v>
      </c>
      <c r="AF418" s="2">
        <f>IF(AND(Games[[#This Row],[Type]]="P",Games[[#This Row],[Round]]=1),IF(Games[[#This Row],[Result]]&lt;0.5,1,0),0)</f>
        <v>0</v>
      </c>
      <c r="AG418" s="2">
        <f>IF(AND(Games[[#This Row],[Type]]="P",Games[[#This Row],[Round]]=2),IF(Games[[#This Row],[Result]]&gt;0.5,1,0),0)</f>
        <v>0</v>
      </c>
      <c r="AH418" s="2">
        <f>IF(AND(Games[[#This Row],[Type]]="P",Games[[#This Row],[Round]]=2),IF(Games[[#This Row],[Result]]&lt;0.5,1,0),0)</f>
        <v>0</v>
      </c>
      <c r="AI418" s="2">
        <f>IF(AND(Games[[#This Row],[Type]]="P",Games[[#This Row],[Round]]=3),IF(Games[[#This Row],[Result]]&gt;0.5,1,0),0)</f>
        <v>0</v>
      </c>
      <c r="AJ418" s="2">
        <f>IF(AND(Games[[#This Row],[Type]]="P",Games[[#This Row],[Round]]=3),IF(Games[[#This Row],[Result]]&lt;0.5,1,0),0)</f>
        <v>1</v>
      </c>
      <c r="AK418" s="2">
        <f>IF(AND(Games[[#This Row],[Type]]="P",Games[[#This Row],[Round]]=4),IF(Games[[#This Row],[Result]]&gt;0.5,1,0),0)</f>
        <v>0</v>
      </c>
      <c r="AL418" s="2">
        <f>IF(AND(Games[[#This Row],[Type]]="P",Games[[#This Row],[Round]]=4),IF(Games[[#This Row],[Result]]&lt;0.5,1,0),0)</f>
        <v>0</v>
      </c>
    </row>
    <row r="419" spans="1:38" x14ac:dyDescent="0.35">
      <c r="A419" s="10">
        <v>44484</v>
      </c>
      <c r="B419" s="2">
        <v>2021</v>
      </c>
      <c r="C419" s="2">
        <f>COUNTIFS(Games[Team],Games[[#This Row],[Team]],Games[Season],Games[[#This Row],[Season]],Games[Date],"&lt;=" &amp; Games[[#This Row],[Date]])</f>
        <v>41</v>
      </c>
      <c r="D419" s="2" t="s">
        <v>87</v>
      </c>
      <c r="E419" s="2">
        <v>3</v>
      </c>
      <c r="F419" s="1" t="s">
        <v>75</v>
      </c>
      <c r="G419" s="1" t="s">
        <v>40</v>
      </c>
      <c r="H419" s="1" t="s">
        <v>82</v>
      </c>
      <c r="I419" s="2" cm="1">
        <f t="array" ref="I419">IFERROR(
    Games[[#This Row],[Date]]
    - LOOKUP(
        2,
        1/((Games[Team]=Games[[#This Row],[Team]]) * (Games[Date] &lt; Games[[#This Row],[Date]])),
        Games[Date]
    )
    - 1,
Games[[#This Row],[Date]]-$A$2)</f>
        <v>1</v>
      </c>
      <c r="J419" s="2" cm="1">
        <f t="array" ref="J419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19" s="2">
        <f>Games[[#This Row],[DaysOff]]-Games[[#This Row],[OppDaysOff]]</f>
        <v>0</v>
      </c>
      <c r="L419" s="2">
        <f>Games[[#This Row],[OppDaysOff]]-Games[[#This Row],[DaysOff]]</f>
        <v>0</v>
      </c>
      <c r="M419" s="1">
        <f>MAX(-16, MIN(16, Games[[#This Row],[RestDiff]]*8))</f>
        <v>0</v>
      </c>
      <c r="N419" s="1">
        <f>MAX(-16, MIN(16, Games[[#This Row],[OppRestDiff]]*8))</f>
        <v>0</v>
      </c>
      <c r="O419" s="4" cm="1">
        <f t="array" ref="O419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1617.8753693584902</v>
      </c>
      <c r="P419" s="4" cm="1">
        <f t="array" ref="P419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1605.3371671429948</v>
      </c>
      <c r="Q419" s="4">
        <f>1/(1+10^(((Games[[#This Row],[OppPreGmRate]]+IF(Games[[#This Row],[HomeAway]]="A",HCA,0)+Games[[#This Row],[OppRestAdj]])-(Games[[#This Row],[PreGmRate]]+IF(Games[[#This Row],[HomeAway]]="H",HCA,0)+Games[[#This Row],[RestAdj]]))/400))</f>
        <v>0.63546132087706686</v>
      </c>
      <c r="R419" s="1">
        <v>86</v>
      </c>
      <c r="S419" s="1">
        <v>50</v>
      </c>
      <c r="T419" s="1">
        <v>0</v>
      </c>
      <c r="U419" s="1">
        <f>Games[[#This Row],[PointsFor]]-Games[[#This Row],[PointsAgainst]]</f>
        <v>36</v>
      </c>
      <c r="V419" s="1">
        <f>IF(Games[[#This Row],[MOV]]&gt;0,1,IF(Games[[#This Row],[MOV]]=0,0.5,0))</f>
        <v>1</v>
      </c>
      <c r="W419" s="4">
        <f>((ABS(Games[[#This Row],[MOV]])+5)^0.6)/(12+0.01*(ABS(Games[[#This Row],[PreGmRate]]-Games[[#This Row],[OppPreGmRate]])))*IF(Games[[#This Row],[OT]]=1,0.9,1)</f>
        <v>0.76555233182640414</v>
      </c>
      <c r="X419" s="7" cm="1">
        <f t="array" ref="X419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19" s="9">
        <f>MAX(kmin, kmax - 0.15 * MIN(Games[[#This Row],[GamesPlayed]], 82))</f>
        <v>69.849999999999994</v>
      </c>
      <c r="Z419" s="4">
        <f>Games[[#This Row],[K]]*Games[[#This Row],[POMult]]</f>
        <v>94.297499999999999</v>
      </c>
      <c r="AA419" s="4">
        <f>(Games[[#This Row],[Keff]]*Games[[#This Row],[MOVMult]])*(Games[[#This Row],[Result]]-Games[[#This Row],[ExpectedWin%]])</f>
        <v>26.315927316450441</v>
      </c>
      <c r="AB419" s="4">
        <f>Games[[#This Row],[PreGmRate]]+Games[[#This Row],[RatingChange]]</f>
        <v>1644.1912966749405</v>
      </c>
      <c r="AC419" s="2">
        <f>IF(Games[[#This Row],[Type]]="R",IF(Games[[#This Row],[Result]]&gt;0.5,1,0),0)</f>
        <v>0</v>
      </c>
      <c r="AD419" s="2">
        <f>IF(Games[[#This Row],[Type]]="R",IF(Games[[#This Row],[Result]]&lt;0.5,1,0),0)</f>
        <v>0</v>
      </c>
      <c r="AE419" s="2">
        <f>IF(AND(Games[[#This Row],[Type]]="P",Games[[#This Row],[Round]]=1),IF(Games[[#This Row],[Result]]&gt;0.5,1,0),0)</f>
        <v>0</v>
      </c>
      <c r="AF419" s="2">
        <f>IF(AND(Games[[#This Row],[Type]]="P",Games[[#This Row],[Round]]=1),IF(Games[[#This Row],[Result]]&lt;0.5,1,0),0)</f>
        <v>0</v>
      </c>
      <c r="AG419" s="2">
        <f>IF(AND(Games[[#This Row],[Type]]="P",Games[[#This Row],[Round]]=2),IF(Games[[#This Row],[Result]]&gt;0.5,1,0),0)</f>
        <v>0</v>
      </c>
      <c r="AH419" s="2">
        <f>IF(AND(Games[[#This Row],[Type]]="P",Games[[#This Row],[Round]]=2),IF(Games[[#This Row],[Result]]&lt;0.5,1,0),0)</f>
        <v>0</v>
      </c>
      <c r="AI419" s="2">
        <f>IF(AND(Games[[#This Row],[Type]]="P",Games[[#This Row],[Round]]=3),IF(Games[[#This Row],[Result]]&gt;0.5,1,0),0)</f>
        <v>1</v>
      </c>
      <c r="AJ419" s="2">
        <f>IF(AND(Games[[#This Row],[Type]]="P",Games[[#This Row],[Round]]=3),IF(Games[[#This Row],[Result]]&lt;0.5,1,0),0)</f>
        <v>0</v>
      </c>
      <c r="AK419" s="2">
        <f>IF(AND(Games[[#This Row],[Type]]="P",Games[[#This Row],[Round]]=4),IF(Games[[#This Row],[Result]]&gt;0.5,1,0),0)</f>
        <v>0</v>
      </c>
      <c r="AL419" s="2">
        <f>IF(AND(Games[[#This Row],[Type]]="P",Games[[#This Row],[Round]]=4),IF(Games[[#This Row],[Result]]&lt;0.5,1,0),0)</f>
        <v>0</v>
      </c>
    </row>
    <row r="420" spans="1:38" x14ac:dyDescent="0.35">
      <c r="A420" s="10">
        <v>44486</v>
      </c>
      <c r="B420" s="2">
        <v>2021</v>
      </c>
      <c r="C420" s="2">
        <f>COUNTIFS(Games[Team],Games[[#This Row],[Team]],Games[Season],Games[[#This Row],[Season]],Games[Date],"&lt;=" &amp; Games[[#This Row],[Date]])</f>
        <v>43</v>
      </c>
      <c r="D420" s="2" t="s">
        <v>87</v>
      </c>
      <c r="E420" s="2">
        <v>3</v>
      </c>
      <c r="F420" s="1" t="s">
        <v>40</v>
      </c>
      <c r="G420" s="1" t="s">
        <v>75</v>
      </c>
      <c r="H420" s="1" t="s">
        <v>81</v>
      </c>
      <c r="I420" s="2" cm="1">
        <f t="array" ref="I420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0" s="2" cm="1">
        <f t="array" ref="J420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0" s="2">
        <f>Games[[#This Row],[DaysOff]]-Games[[#This Row],[OppDaysOff]]</f>
        <v>0</v>
      </c>
      <c r="L420" s="2">
        <f>Games[[#This Row],[OppDaysOff]]-Games[[#This Row],[DaysOff]]</f>
        <v>0</v>
      </c>
      <c r="M420" s="1">
        <f>MAX(-16, MIN(16, Games[[#This Row],[RestDiff]]*8))</f>
        <v>0</v>
      </c>
      <c r="N420" s="1">
        <f>MAX(-16, MIN(16, Games[[#This Row],[OppRestDiff]]*8))</f>
        <v>0</v>
      </c>
      <c r="O420" s="4" cm="1">
        <f t="array" ref="O420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1579.0777521973025</v>
      </c>
      <c r="P420" s="4" cm="1">
        <f t="array" ref="P420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1644.1912966749405</v>
      </c>
      <c r="Q420" s="4">
        <f>1/(1+10^(((Games[[#This Row],[OppPreGmRate]]+IF(Games[[#This Row],[HomeAway]]="A",HCA,0)+Games[[#This Row],[OppRestAdj]])-(Games[[#This Row],[PreGmRate]]+IF(Games[[#This Row],[HomeAway]]="H",HCA,0)+Games[[#This Row],[RestAdj]]))/400))</f>
        <v>0.29768073066436557</v>
      </c>
      <c r="R420" s="1">
        <v>74</v>
      </c>
      <c r="S420" s="1">
        <v>80</v>
      </c>
      <c r="T420" s="1">
        <v>0</v>
      </c>
      <c r="U420" s="1">
        <f>Games[[#This Row],[PointsFor]]-Games[[#This Row],[PointsAgainst]]</f>
        <v>-6</v>
      </c>
      <c r="V420" s="1">
        <f>IF(Games[[#This Row],[MOV]]&gt;0,1,IF(Games[[#This Row],[MOV]]=0,0.5,0))</f>
        <v>0</v>
      </c>
      <c r="W420" s="4">
        <f>((ABS(Games[[#This Row],[MOV]])+5)^0.6)/(12+0.01*(ABS(Games[[#This Row],[PreGmRate]]-Games[[#This Row],[OppPreGmRate]])))*IF(Games[[#This Row],[OT]]=1,0.9,1)</f>
        <v>0.33320085390694437</v>
      </c>
      <c r="X420" s="7" cm="1">
        <f t="array" ref="X420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20" s="9">
        <f>MAX(kmin, kmax - 0.15 * MIN(Games[[#This Row],[GamesPlayed]], 82))</f>
        <v>69.55</v>
      </c>
      <c r="Z420" s="4">
        <f>Games[[#This Row],[K]]*Games[[#This Row],[POMult]]</f>
        <v>93.892499999999998</v>
      </c>
      <c r="AA420" s="4">
        <f>(Games[[#This Row],[Keff]]*Games[[#This Row],[MOVMult]])*(Games[[#This Row],[Result]]-Games[[#This Row],[ExpectedWin%]])</f>
        <v>-9.3129598695896458</v>
      </c>
      <c r="AB420" s="4">
        <f>Games[[#This Row],[PreGmRate]]+Games[[#This Row],[RatingChange]]</f>
        <v>1569.7647923277129</v>
      </c>
      <c r="AC420" s="2">
        <f>IF(Games[[#This Row],[Type]]="R",IF(Games[[#This Row],[Result]]&gt;0.5,1,0),0)</f>
        <v>0</v>
      </c>
      <c r="AD420" s="2">
        <f>IF(Games[[#This Row],[Type]]="R",IF(Games[[#This Row],[Result]]&lt;0.5,1,0),0)</f>
        <v>0</v>
      </c>
      <c r="AE420" s="2">
        <f>IF(AND(Games[[#This Row],[Type]]="P",Games[[#This Row],[Round]]=1),IF(Games[[#This Row],[Result]]&gt;0.5,1,0),0)</f>
        <v>0</v>
      </c>
      <c r="AF420" s="2">
        <f>IF(AND(Games[[#This Row],[Type]]="P",Games[[#This Row],[Round]]=1),IF(Games[[#This Row],[Result]]&lt;0.5,1,0),0)</f>
        <v>0</v>
      </c>
      <c r="AG420" s="2">
        <f>IF(AND(Games[[#This Row],[Type]]="P",Games[[#This Row],[Round]]=2),IF(Games[[#This Row],[Result]]&gt;0.5,1,0),0)</f>
        <v>0</v>
      </c>
      <c r="AH420" s="2">
        <f>IF(AND(Games[[#This Row],[Type]]="P",Games[[#This Row],[Round]]=2),IF(Games[[#This Row],[Result]]&lt;0.5,1,0),0)</f>
        <v>0</v>
      </c>
      <c r="AI420" s="2">
        <f>IF(AND(Games[[#This Row],[Type]]="P",Games[[#This Row],[Round]]=3),IF(Games[[#This Row],[Result]]&gt;0.5,1,0),0)</f>
        <v>0</v>
      </c>
      <c r="AJ420" s="2">
        <f>IF(AND(Games[[#This Row],[Type]]="P",Games[[#This Row],[Round]]=3),IF(Games[[#This Row],[Result]]&lt;0.5,1,0),0)</f>
        <v>1</v>
      </c>
      <c r="AK420" s="2">
        <f>IF(AND(Games[[#This Row],[Type]]="P",Games[[#This Row],[Round]]=4),IF(Games[[#This Row],[Result]]&gt;0.5,1,0),0)</f>
        <v>0</v>
      </c>
      <c r="AL420" s="2">
        <f>IF(AND(Games[[#This Row],[Type]]="P",Games[[#This Row],[Round]]=4),IF(Games[[#This Row],[Result]]&lt;0.5,1,0),0)</f>
        <v>0</v>
      </c>
    </row>
    <row r="421" spans="1:38" x14ac:dyDescent="0.35">
      <c r="A421" s="10">
        <v>44486</v>
      </c>
      <c r="B421" s="2">
        <v>2021</v>
      </c>
      <c r="C421" s="2">
        <f>COUNTIFS(Games[Team],Games[[#This Row],[Team]],Games[Season],Games[[#This Row],[Season]],Games[Date],"&lt;=" &amp; Games[[#This Row],[Date]])</f>
        <v>42</v>
      </c>
      <c r="D421" s="2" t="s">
        <v>87</v>
      </c>
      <c r="E421" s="2">
        <v>3</v>
      </c>
      <c r="F421" s="1" t="s">
        <v>75</v>
      </c>
      <c r="G421" s="1" t="s">
        <v>40</v>
      </c>
      <c r="H421" s="1" t="s">
        <v>82</v>
      </c>
      <c r="I421" s="2" cm="1">
        <f t="array" ref="I421">IFERROR(
    Games[[#This Row],[Date]]
    - LOOKUP(
        2,
        1/((Games[Team]=Games[[#This Row],[Team]]) * (Games[Date] &lt; Games[[#This Row],[Date]])),
        Games[Date]
    )
    - 1,
Games[[#This Row],[Date]]-$A$2)</f>
        <v>1</v>
      </c>
      <c r="J421" s="2" cm="1">
        <f t="array" ref="J421">IFERROR(
    Games[[#This Row],[Date]]
    - LOOKUP(
        2,
        1/((Games[Opponent]=Games[[#This Row],[Opponent]]) * (Games[Date] &lt; Games[[#This Row],[Date]])),
        Games[Date]
    )
    - 1,
Games[[#This Row],[Date]]-$A$2)</f>
        <v>1</v>
      </c>
      <c r="K421" s="2">
        <f>Games[[#This Row],[DaysOff]]-Games[[#This Row],[OppDaysOff]]</f>
        <v>0</v>
      </c>
      <c r="L421" s="2">
        <f>Games[[#This Row],[OppDaysOff]]-Games[[#This Row],[DaysOff]]</f>
        <v>0</v>
      </c>
      <c r="M421" s="1">
        <f>MAX(-16, MIN(16, Games[[#This Row],[RestDiff]]*8))</f>
        <v>0</v>
      </c>
      <c r="N421" s="1">
        <f>MAX(-16, MIN(16, Games[[#This Row],[OppRestDiff]]*8))</f>
        <v>0</v>
      </c>
      <c r="O421" s="4" cm="1">
        <f t="array" ref="O421">IFERROR(
    LOOKUP(
        2,
        1/((Games[Team]=Games[[#This Row],[Team]]) * (Games[Season]=Games[[#This Row],[Season]]) * (Games[Date] &lt; Games[[#This Row],[Date]])),
        Games[PostGmRate]
    ),
    IFERROR(
        alpha * _xlfn.XLOOKUP(Games[[#This Row],[Team]], ConfDiv[TeamID], ConfDiv[PreSeasonElo], base)
        + (1 - alpha) * base,
        base
    )
)</f>
        <v>1644.1912966749405</v>
      </c>
      <c r="P421" s="4" cm="1">
        <f t="array" ref="P421">IFERROR(
    LOOKUP(
        2,
        1/((Games[Team]=Games[[#This Row],[Opponent]]) * (Games[Season]=Games[[#This Row],[Season]]) * (Games[Date] &lt; Games[[#This Row],[Date]])),
        Games[PostGmRate]
    ),
    IFERROR(
        alpha * _xlfn.XLOOKUP(Games[[#This Row],[Opponent]], ConfDiv[TeamID], ConfDiv[PreSeasonElo], base)
        + (1 - alpha) * base,
        base
    )
)</f>
        <v>1579.0777521973025</v>
      </c>
      <c r="Q421" s="4">
        <f>1/(1+10^(((Games[[#This Row],[OppPreGmRate]]+IF(Games[[#This Row],[HomeAway]]="A",HCA,0)+Games[[#This Row],[OppRestAdj]])-(Games[[#This Row],[PreGmRate]]+IF(Games[[#This Row],[HomeAway]]="H",HCA,0)+Games[[#This Row],[RestAdj]]))/400))</f>
        <v>0.70231926933563438</v>
      </c>
      <c r="R421" s="1">
        <v>80</v>
      </c>
      <c r="S421" s="1">
        <v>74</v>
      </c>
      <c r="T421" s="1">
        <v>0</v>
      </c>
      <c r="U421" s="1">
        <f>Games[[#This Row],[PointsFor]]-Games[[#This Row],[PointsAgainst]]</f>
        <v>6</v>
      </c>
      <c r="V421" s="1">
        <f>IF(Games[[#This Row],[MOV]]&gt;0,1,IF(Games[[#This Row],[MOV]]=0,0.5,0))</f>
        <v>1</v>
      </c>
      <c r="W421" s="4">
        <f>((ABS(Games[[#This Row],[MOV]])+5)^0.6)/(12+0.01*(ABS(Games[[#This Row],[PreGmRate]]-Games[[#This Row],[OppPreGmRate]])))*IF(Games[[#This Row],[OT]]=1,0.9,1)</f>
        <v>0.33320085390694437</v>
      </c>
      <c r="X421" s="7" cm="1">
        <f t="array" ref="X421">IF(Games[[#This Row],[Type]]="P",
    _xlfn.IFS(
        Games[[#This Row],[Round]]=1,1.1,
        Games[[#This Row],[Round]]=2,1.2,
        Games[[#This Row],[Round]]=3,1.35,
        Games[[#This Row],[Round]]=4,1.5,Games[[#This Row],[Round]]=0.5,1.05,Games[[#This Row],[Round]]=0.1,1.02,
        TRUE,1
    ),
1)</f>
        <v>1.35</v>
      </c>
      <c r="Y421" s="9">
        <f>MAX(kmin, kmax - 0.15 * MIN(Games[[#This Row],[GamesPlayed]], 82))</f>
        <v>69.7</v>
      </c>
      <c r="Z421" s="4">
        <f>Games[[#This Row],[K]]*Games[[#This Row],[POMult]]</f>
        <v>94.095000000000013</v>
      </c>
      <c r="AA421" s="4">
        <f>(Games[[#This Row],[Keff]]*Games[[#This Row],[MOVMult]])*(Games[[#This Row],[Result]]-Games[[#This Row],[ExpectedWin%]])</f>
        <v>9.3330453330035734</v>
      </c>
      <c r="AB421" s="4">
        <f>Games[[#This Row],[PreGmRate]]+Games[[#This Row],[RatingChange]]</f>
        <v>1653.5243420079441</v>
      </c>
      <c r="AC421" s="2">
        <f>IF(Games[[#This Row],[Type]]="R",IF(Games[[#This Row],[Result]]&gt;0.5,1,0),0)</f>
        <v>0</v>
      </c>
      <c r="AD421" s="2">
        <f>IF(Games[[#This Row],[Type]]="R",IF(Games[[#This Row],[Result]]&lt;0.5,1,0),0)</f>
        <v>0</v>
      </c>
      <c r="AE421" s="2">
        <f>IF(AND(Games[[#This Row],[Type]]="P",Games[[#This Row],[Round]]=1),IF(Games[[#This Row],[Result]]&gt;0.5,1,0),0)</f>
        <v>0</v>
      </c>
      <c r="AF421" s="2">
        <f>IF(AND(Games[[#This Row],[Type]]="P",Games[[#This Row],[Round]]=1),IF(Games[[#This Row],[Result]]&lt;0.5,1,0),0)</f>
        <v>0</v>
      </c>
      <c r="AG421" s="2">
        <f>IF(AND(Games[[#This Row],[Type]]="P",Games[[#This Row],[Round]]=2),IF(Games[[#This Row],[Result]]&gt;0.5,1,0),0)</f>
        <v>0</v>
      </c>
      <c r="AH421" s="2">
        <f>IF(AND(Games[[#This Row],[Type]]="P",Games[[#This Row],[Round]]=2),IF(Games[[#This Row],[Result]]&lt;0.5,1,0),0)</f>
        <v>0</v>
      </c>
      <c r="AI421" s="2">
        <f>IF(AND(Games[[#This Row],[Type]]="P",Games[[#This Row],[Round]]=3),IF(Games[[#This Row],[Result]]&gt;0.5,1,0),0)</f>
        <v>1</v>
      </c>
      <c r="AJ421" s="2">
        <f>IF(AND(Games[[#This Row],[Type]]="P",Games[[#This Row],[Round]]=3),IF(Games[[#This Row],[Result]]&lt;0.5,1,0),0)</f>
        <v>0</v>
      </c>
      <c r="AK421" s="2">
        <f>IF(AND(Games[[#This Row],[Type]]="P",Games[[#This Row],[Round]]=4),IF(Games[[#This Row],[Result]]&gt;0.5,1,0),0)</f>
        <v>0</v>
      </c>
      <c r="AL421" s="2">
        <f>IF(AND(Games[[#This Row],[Type]]="P",Games[[#This Row],[Round]]=4),IF(Games[[#This Row],[Result]]&lt;0.5,1,0),0)</f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DataTable</vt:lpstr>
      <vt:lpstr>StandingsRaw</vt:lpstr>
      <vt:lpstr>StandingsPivot</vt:lpstr>
      <vt:lpstr>Sheet1</vt:lpstr>
      <vt:lpstr>RawData</vt:lpstr>
      <vt:lpstr>alpha</vt:lpstr>
      <vt:lpstr>base</vt:lpstr>
      <vt:lpstr>HCA</vt:lpstr>
      <vt:lpstr>HFA</vt:lpstr>
      <vt:lpstr>kmax</vt:lpstr>
      <vt:lpstr>kmin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Sutton</dc:creator>
  <cp:lastModifiedBy>Tj Sutton</cp:lastModifiedBy>
  <dcterms:created xsi:type="dcterms:W3CDTF">2025-12-07T03:29:45Z</dcterms:created>
  <dcterms:modified xsi:type="dcterms:W3CDTF">2026-08-25T21:22:14Z</dcterms:modified>
</cp:coreProperties>
</file>
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\WNBA_Elo\Ratings\"/>
    </mc:Choice>
  </mc:AlternateContent>
  <xr:revisionPtr revIDLastSave="0" documentId="13_ncr:1_{429B61C2-65AA-45B0-8C2A-5CE23507A195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4" i="2" l="1"/>
  <c r="C445" i="2"/>
  <c r="I444" i="2" a="1"/>
  <c r="I445" i="2" a="1"/>
  <c r="J444" i="2" a="1"/>
  <c r="J445" i="2" a="1"/>
  <c r="K444" i="2"/>
  <c r="L444" i="2"/>
  <c r="M444" i="2"/>
  <c r="N444" i="2"/>
  <c r="U444" i="2"/>
  <c r="U445" i="2"/>
  <c r="V444" i="2"/>
  <c r="V445" i="2"/>
  <c r="X444" i="2" a="1"/>
  <c r="Z444" i="2" s="1"/>
  <c r="X445" i="2" a="1"/>
  <c r="Z445" i="2" s="1"/>
  <c r="Y444" i="2"/>
  <c r="Y445" i="2"/>
  <c r="AC444" i="2"/>
  <c r="AC445" i="2"/>
  <c r="AD444" i="2"/>
  <c r="AD445" i="2"/>
  <c r="AE444" i="2"/>
  <c r="AE445" i="2"/>
  <c r="AF444" i="2"/>
  <c r="AF445" i="2"/>
  <c r="AG444" i="2"/>
  <c r="AG445" i="2"/>
  <c r="AH444" i="2"/>
  <c r="AH445" i="2"/>
  <c r="AI444" i="2"/>
  <c r="AI445" i="2"/>
  <c r="AJ444" i="2"/>
  <c r="AJ445" i="2"/>
  <c r="AK444" i="2"/>
  <c r="AK445" i="2"/>
  <c r="AL444" i="2"/>
  <c r="AL445" i="2"/>
  <c r="C442" i="2"/>
  <c r="Y442" i="2" s="1"/>
  <c r="C443" i="2"/>
  <c r="Y443" i="2" s="1"/>
  <c r="I442" i="2" a="1"/>
  <c r="I443" i="2" a="1"/>
  <c r="J442" i="2" a="1"/>
  <c r="J443" i="2" a="1"/>
  <c r="U442" i="2"/>
  <c r="U443" i="2"/>
  <c r="V442" i="2"/>
  <c r="V443" i="2"/>
  <c r="X442" i="2" a="1"/>
  <c r="X443" i="2" a="1"/>
  <c r="AC442" i="2"/>
  <c r="AC443" i="2"/>
  <c r="AD442" i="2"/>
  <c r="AD443" i="2"/>
  <c r="AE442" i="2"/>
  <c r="AE443" i="2"/>
  <c r="AF442" i="2"/>
  <c r="AF443" i="2"/>
  <c r="AG442" i="2"/>
  <c r="AG443" i="2"/>
  <c r="AH442" i="2"/>
  <c r="AH443" i="2"/>
  <c r="AI442" i="2"/>
  <c r="AI443" i="2"/>
  <c r="AJ442" i="2"/>
  <c r="AJ443" i="2"/>
  <c r="AK442" i="2"/>
  <c r="AK443" i="2"/>
  <c r="AL442" i="2"/>
  <c r="AL443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L414" i="2" s="1"/>
  <c r="N414" i="2" s="1"/>
  <c r="J415" i="2" a="1"/>
  <c r="L415" i="2" s="1"/>
  <c r="N415" i="2" s="1"/>
  <c r="J416" i="2" a="1"/>
  <c r="J417" i="2" a="1"/>
  <c r="L417" i="2" s="1"/>
  <c r="N417" i="2" s="1"/>
  <c r="J418" i="2" a="1"/>
  <c r="L418" i="2" s="1"/>
  <c r="N418" i="2" s="1"/>
  <c r="J419" i="2" a="1"/>
  <c r="L419" i="2" s="1"/>
  <c r="N419" i="2" s="1"/>
  <c r="J420" i="2" a="1"/>
  <c r="L420" i="2" s="1"/>
  <c r="N420" i="2" s="1"/>
  <c r="J421" i="2" a="1"/>
  <c r="L421" i="2" s="1"/>
  <c r="N421" i="2" s="1"/>
  <c r="J422" i="2" a="1"/>
  <c r="L422" i="2" s="1"/>
  <c r="N422" i="2" s="1"/>
  <c r="J423" i="2" a="1"/>
  <c r="L423" i="2" s="1"/>
  <c r="N423" i="2" s="1"/>
  <c r="J424" i="2" a="1"/>
  <c r="L424" i="2" s="1"/>
  <c r="N424" i="2" s="1"/>
  <c r="J425" i="2" a="1"/>
  <c r="L425" i="2" s="1"/>
  <c r="N425" i="2" s="1"/>
  <c r="J426" i="2" a="1"/>
  <c r="L426" i="2" s="1"/>
  <c r="N426" i="2" s="1"/>
  <c r="J427" i="2" a="1"/>
  <c r="L427" i="2" s="1"/>
  <c r="N427" i="2" s="1"/>
  <c r="J428" i="2" a="1"/>
  <c r="L428" i="2" s="1"/>
  <c r="N428" i="2" s="1"/>
  <c r="J429" i="2" a="1"/>
  <c r="L429" i="2" s="1"/>
  <c r="N429" i="2" s="1"/>
  <c r="J430" i="2" a="1"/>
  <c r="L430" i="2" s="1"/>
  <c r="N430" i="2" s="1"/>
  <c r="J431" i="2" a="1"/>
  <c r="L431" i="2" s="1"/>
  <c r="N431" i="2" s="1"/>
  <c r="J432" i="2" a="1"/>
  <c r="L432" i="2" s="1"/>
  <c r="N432" i="2" s="1"/>
  <c r="J433" i="2" a="1"/>
  <c r="L433" i="2" s="1"/>
  <c r="N433" i="2" s="1"/>
  <c r="J434" i="2" a="1"/>
  <c r="L434" i="2" s="1"/>
  <c r="N434" i="2" s="1"/>
  <c r="J435" i="2" a="1"/>
  <c r="L435" i="2" s="1"/>
  <c r="N435" i="2" s="1"/>
  <c r="J436" i="2" a="1"/>
  <c r="L436" i="2" s="1"/>
  <c r="N436" i="2" s="1"/>
  <c r="J437" i="2" a="1"/>
  <c r="L437" i="2" s="1"/>
  <c r="N437" i="2" s="1"/>
  <c r="J438" i="2" a="1"/>
  <c r="L438" i="2" s="1"/>
  <c r="N438" i="2" s="1"/>
  <c r="J439" i="2" a="1"/>
  <c r="J440" i="2" a="1"/>
  <c r="J441" i="2" a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M414" i="2" s="1"/>
  <c r="K415" i="2"/>
  <c r="M415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M422" i="2" s="1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E28" i="3"/>
  <c r="D28" i="3"/>
  <c r="C28" i="3"/>
  <c r="B28" i="3"/>
  <c r="E34" i="3"/>
  <c r="D34" i="3"/>
  <c r="C34" i="3"/>
  <c r="B34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AC386" i="2" s="1"/>
  <c r="U387" i="2"/>
  <c r="V387" i="2" s="1"/>
  <c r="AC387" i="2" s="1"/>
  <c r="U388" i="2"/>
  <c r="V388" i="2" s="1"/>
  <c r="AC388" i="2" s="1"/>
  <c r="U389" i="2"/>
  <c r="V389" i="2" s="1"/>
  <c r="AC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0" i="3"/>
  <c r="D30" i="3"/>
  <c r="C30" i="3"/>
  <c r="B30" i="3"/>
  <c r="E27" i="3"/>
  <c r="D27" i="3"/>
  <c r="C27" i="3"/>
  <c r="B27" i="3"/>
  <c r="E35" i="3"/>
  <c r="D35" i="3"/>
  <c r="C35" i="3"/>
  <c r="B35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K445" i="2" l="1"/>
  <c r="M445" i="2" s="1"/>
  <c r="L445" i="2"/>
  <c r="N445" i="2" s="1"/>
  <c r="Z442" i="2"/>
  <c r="Z443" i="2"/>
  <c r="L439" i="2"/>
  <c r="N439" i="2" s="1"/>
  <c r="K439" i="2"/>
  <c r="M439" i="2" s="1"/>
  <c r="K442" i="2"/>
  <c r="M442" i="2" s="1"/>
  <c r="L442" i="2"/>
  <c r="N442" i="2" s="1"/>
  <c r="K443" i="2"/>
  <c r="M443" i="2" s="1"/>
  <c r="L443" i="2"/>
  <c r="N443" i="2" s="1"/>
  <c r="L440" i="2"/>
  <c r="N440" i="2" s="1"/>
  <c r="K440" i="2"/>
  <c r="M440" i="2" s="1"/>
  <c r="F26" i="3"/>
  <c r="L416" i="2"/>
  <c r="N416" i="2" s="1"/>
  <c r="K416" i="2"/>
  <c r="M416" i="2" s="1"/>
  <c r="F28" i="3"/>
  <c r="AD318" i="2"/>
  <c r="AC318" i="2"/>
  <c r="AD319" i="2"/>
  <c r="AC319" i="2"/>
  <c r="AD320" i="2"/>
  <c r="AC320" i="2"/>
  <c r="AD321" i="2"/>
  <c r="AC321" i="2"/>
  <c r="AD322" i="2"/>
  <c r="AC322" i="2"/>
  <c r="AD323" i="2"/>
  <c r="AC323" i="2"/>
  <c r="AD324" i="2"/>
  <c r="AC324" i="2"/>
  <c r="AD325" i="2"/>
  <c r="AC325" i="2"/>
  <c r="AD326" i="2"/>
  <c r="AC326" i="2"/>
  <c r="AD327" i="2"/>
  <c r="AC327" i="2"/>
  <c r="AD328" i="2"/>
  <c r="AC328" i="2"/>
  <c r="AD329" i="2"/>
  <c r="AC329" i="2"/>
  <c r="L441" i="2"/>
  <c r="N441" i="2" s="1"/>
  <c r="K441" i="2"/>
  <c r="M441" i="2" s="1"/>
  <c r="Z19" i="2"/>
  <c r="Z20" i="2"/>
  <c r="Z21" i="2"/>
  <c r="Z22" i="2"/>
  <c r="Z23" i="2"/>
  <c r="Z24" i="2"/>
  <c r="Z25" i="2"/>
  <c r="Z26" i="2"/>
  <c r="F25" i="3"/>
  <c r="AD376" i="2"/>
  <c r="AC376" i="2"/>
  <c r="AD377" i="2"/>
  <c r="AC377" i="2"/>
  <c r="AD378" i="2"/>
  <c r="AC378" i="2"/>
  <c r="AD379" i="2"/>
  <c r="AC379" i="2"/>
  <c r="AD380" i="2"/>
  <c r="AC380" i="2"/>
  <c r="AD381" i="2"/>
  <c r="AC381" i="2"/>
  <c r="AD382" i="2"/>
  <c r="AC382" i="2"/>
  <c r="AD383" i="2"/>
  <c r="AC383" i="2"/>
  <c r="AD384" i="2"/>
  <c r="AC384" i="2"/>
  <c r="AD385" i="2"/>
  <c r="AC385" i="2"/>
  <c r="AD390" i="2"/>
  <c r="AC390" i="2"/>
  <c r="AD391" i="2"/>
  <c r="AC391" i="2"/>
  <c r="AD392" i="2"/>
  <c r="AC392" i="2"/>
  <c r="AD393" i="2"/>
  <c r="AC393" i="2"/>
  <c r="AD394" i="2"/>
  <c r="AC394" i="2"/>
  <c r="AD395" i="2"/>
  <c r="AC395" i="2"/>
  <c r="AD396" i="2"/>
  <c r="AC396" i="2"/>
  <c r="AD397" i="2"/>
  <c r="AC397" i="2"/>
  <c r="AD398" i="2"/>
  <c r="AC398" i="2"/>
  <c r="AD399" i="2"/>
  <c r="AC399" i="2"/>
  <c r="AD400" i="2"/>
  <c r="AC400" i="2"/>
  <c r="AD401" i="2"/>
  <c r="AC401" i="2"/>
  <c r="AD402" i="2"/>
  <c r="AC402" i="2"/>
  <c r="AD403" i="2"/>
  <c r="AC403" i="2"/>
  <c r="AD404" i="2"/>
  <c r="AC404" i="2"/>
  <c r="AD405" i="2"/>
  <c r="AC405" i="2"/>
  <c r="AD406" i="2"/>
  <c r="AC406" i="2"/>
  <c r="AD407" i="2"/>
  <c r="AC407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D337" i="2"/>
  <c r="AC337" i="2"/>
  <c r="AD338" i="2"/>
  <c r="AC338" i="2"/>
  <c r="AD339" i="2"/>
  <c r="AC339" i="2"/>
  <c r="AC340" i="2"/>
  <c r="AD340" i="2"/>
  <c r="AC341" i="2"/>
  <c r="AD341" i="2"/>
  <c r="AC342" i="2"/>
  <c r="AD342" i="2"/>
  <c r="AC343" i="2"/>
  <c r="AD343" i="2"/>
  <c r="AC344" i="2"/>
  <c r="AD344" i="2"/>
  <c r="AD345" i="2"/>
  <c r="AC345" i="2"/>
  <c r="AC346" i="2"/>
  <c r="AD346" i="2"/>
  <c r="AD347" i="2"/>
  <c r="AC347" i="2"/>
  <c r="AD348" i="2"/>
  <c r="AC348" i="2"/>
  <c r="AD349" i="2"/>
  <c r="AC349" i="2"/>
  <c r="AC350" i="2"/>
  <c r="AD350" i="2"/>
  <c r="AD351" i="2"/>
  <c r="AC351" i="2"/>
  <c r="AD352" i="2"/>
  <c r="AC352" i="2"/>
  <c r="AD353" i="2"/>
  <c r="AC353" i="2"/>
  <c r="AD354" i="2"/>
  <c r="AC354" i="2"/>
  <c r="AD355" i="2"/>
  <c r="AC355" i="2"/>
  <c r="AD356" i="2"/>
  <c r="AC356" i="2"/>
  <c r="AD357" i="2"/>
  <c r="AC357" i="2"/>
  <c r="AD358" i="2"/>
  <c r="AC358" i="2"/>
  <c r="AD359" i="2"/>
  <c r="AC359" i="2"/>
  <c r="AD360" i="2"/>
  <c r="AC360" i="2"/>
  <c r="AD361" i="2"/>
  <c r="AC361" i="2"/>
  <c r="AD362" i="2"/>
  <c r="AC362" i="2"/>
  <c r="AD363" i="2"/>
  <c r="AC363" i="2"/>
  <c r="AD364" i="2"/>
  <c r="AC364" i="2"/>
  <c r="AD365" i="2"/>
  <c r="AC365" i="2"/>
  <c r="AD366" i="2"/>
  <c r="AC366" i="2"/>
  <c r="AD367" i="2"/>
  <c r="AC367" i="2"/>
  <c r="AD368" i="2"/>
  <c r="AC368" i="2"/>
  <c r="AD369" i="2"/>
  <c r="AC369" i="2"/>
  <c r="AD370" i="2"/>
  <c r="AC370" i="2"/>
  <c r="AD371" i="2"/>
  <c r="AC371" i="2"/>
  <c r="AD372" i="2"/>
  <c r="AC372" i="2"/>
  <c r="AD373" i="2"/>
  <c r="AC373" i="2"/>
  <c r="AD374" i="2"/>
  <c r="AC374" i="2"/>
  <c r="AD375" i="2"/>
  <c r="AC375" i="2"/>
  <c r="F35" i="3"/>
  <c r="AE386" i="2"/>
  <c r="AD386" i="2"/>
  <c r="AE387" i="2"/>
  <c r="AD387" i="2"/>
  <c r="AE388" i="2"/>
  <c r="AD388" i="2"/>
  <c r="AE389" i="2"/>
  <c r="AD389" i="2"/>
  <c r="F34" i="3"/>
  <c r="F36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7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0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2" i="3"/>
  <c r="B32" i="3"/>
  <c r="C33" i="3"/>
  <c r="B33" i="3"/>
  <c r="C29" i="3"/>
  <c r="B29" i="3"/>
  <c r="C31" i="3"/>
  <c r="B31" i="3"/>
  <c r="Q16" i="2" l="1"/>
  <c r="Q17" i="2"/>
  <c r="W16" i="2"/>
  <c r="W17" i="2"/>
  <c r="AA16" i="2" l="1"/>
  <c r="AB16" i="2" s="1"/>
  <c r="AA17" i="2"/>
  <c r="AB17" i="2" s="1"/>
  <c r="E32" i="3"/>
  <c r="D32" i="3"/>
  <c r="E33" i="3"/>
  <c r="D33" i="3"/>
  <c r="E29" i="3"/>
  <c r="D29" i="3"/>
  <c r="E31" i="3"/>
  <c r="D31" i="3"/>
  <c r="O19" i="2" l="1" a="1"/>
  <c r="O18" i="2" a="1"/>
  <c r="P19" i="2" a="1"/>
  <c r="P18" i="2" a="1"/>
  <c r="F29" i="3"/>
  <c r="F32" i="3"/>
  <c r="F33" i="3"/>
  <c r="F31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O29" i="2" a="1"/>
  <c r="P29" i="2" a="1"/>
  <c r="Q29" i="2" s="1"/>
  <c r="O28" i="2" a="1"/>
  <c r="P28" i="2" a="1"/>
  <c r="O30" i="2" a="1"/>
  <c r="P31" i="2" a="1"/>
  <c r="P30" i="2" a="1"/>
  <c r="O31" i="2" a="1"/>
  <c r="Q26" i="2" l="1"/>
  <c r="W28" i="2"/>
  <c r="Q27" i="2"/>
  <c r="W26" i="2"/>
  <c r="AA26" i="2" s="1"/>
  <c r="AB26" i="2" s="1"/>
  <c r="W27" i="2"/>
  <c r="AA27" i="2" s="1"/>
  <c r="AB27" i="2" s="1"/>
  <c r="W29" i="2"/>
  <c r="AA29" i="2" s="1"/>
  <c r="AB29" i="2" s="1"/>
  <c r="Q28" i="2"/>
  <c r="AA28" i="2" s="1"/>
  <c r="AB28" i="2" s="1"/>
  <c r="Q30" i="2"/>
  <c r="W30" i="2"/>
  <c r="Q31" i="2"/>
  <c r="W31" i="2"/>
  <c r="AA30" i="2" l="1"/>
  <c r="AB30" i="2" s="1"/>
  <c r="AA31" i="2"/>
  <c r="AB31" i="2" s="1"/>
  <c r="O33" i="2" l="1" a="1"/>
  <c r="P33" i="2" a="1"/>
  <c r="P32" i="2" a="1"/>
  <c r="O32" i="2" a="1"/>
  <c r="Q32" i="2" l="1"/>
  <c r="Q33" i="2"/>
  <c r="W33" i="2"/>
  <c r="W32" i="2"/>
  <c r="AA32" i="2" l="1"/>
  <c r="AB32" i="2" s="1"/>
  <c r="AA33" i="2"/>
  <c r="AB33" i="2" s="1"/>
  <c r="O34" i="2" a="1"/>
  <c r="O35" i="2" a="1"/>
  <c r="P34" i="2" a="1"/>
  <c r="P35" i="2" a="1"/>
  <c r="Q34" i="2" l="1"/>
  <c r="W34" i="2"/>
  <c r="W35" i="2"/>
  <c r="Q35" i="2"/>
  <c r="P36" i="2" a="1"/>
  <c r="O36" i="2" a="1"/>
  <c r="O37" i="2" a="1"/>
  <c r="P37" i="2" a="1"/>
  <c r="AA35" i="2" l="1"/>
  <c r="AB35" i="2" s="1"/>
  <c r="AA34" i="2"/>
  <c r="AB34" i="2" s="1"/>
  <c r="Q37" i="2"/>
  <c r="Q36" i="2"/>
  <c r="W36" i="2"/>
  <c r="W37" i="2"/>
  <c r="AA36" i="2" l="1"/>
  <c r="AB36" i="2" s="1"/>
  <c r="AA37" i="2"/>
  <c r="AB37" i="2" s="1"/>
  <c r="P39" i="2" a="1"/>
  <c r="P38" i="2" a="1"/>
  <c r="O38" i="2" a="1"/>
  <c r="O39" i="2" a="1"/>
  <c r="Q38" i="2" l="1"/>
  <c r="Q39" i="2"/>
  <c r="W38" i="2"/>
  <c r="W39" i="2"/>
  <c r="AA38" i="2" l="1"/>
  <c r="AB38" i="2" s="1"/>
  <c r="AA39" i="2"/>
  <c r="AB39" i="2" s="1"/>
  <c r="O41" i="2" l="1" a="1"/>
  <c r="P41" i="2" a="1"/>
  <c r="P40" i="2" a="1"/>
  <c r="O40" i="2" a="1"/>
  <c r="Q41" i="2" l="1"/>
  <c r="Q40" i="2"/>
  <c r="W41" i="2"/>
  <c r="W40" i="2"/>
  <c r="AA41" i="2" l="1"/>
  <c r="AB41" i="2" s="1"/>
  <c r="AA40" i="2"/>
  <c r="AB40" i="2" s="1"/>
  <c r="O43" i="2" l="1" a="1"/>
  <c r="O42" i="2" a="1"/>
  <c r="P43" i="2" a="1"/>
  <c r="P42" i="2" a="1"/>
  <c r="Q43" i="2" l="1"/>
  <c r="Q42" i="2"/>
  <c r="W43" i="2"/>
  <c r="W42" i="2"/>
  <c r="AA43" i="2" l="1"/>
  <c r="AB43" i="2" s="1"/>
  <c r="P45" i="2" a="1"/>
  <c r="O44" i="2" a="1"/>
  <c r="W44" i="2" s="1"/>
  <c r="P44" i="2" a="1"/>
  <c r="O45" i="2" a="1"/>
  <c r="AA42" i="2"/>
  <c r="AB42" i="2" s="1"/>
  <c r="W45" i="2" l="1"/>
  <c r="Q44" i="2"/>
  <c r="AA44" i="2" s="1"/>
  <c r="AB44" i="2" s="1"/>
  <c r="Q45" i="2"/>
  <c r="AA45" i="2" s="1"/>
  <c r="AB45" i="2" s="1"/>
  <c r="O46" i="2" l="1" a="1"/>
  <c r="W46" i="2" s="1"/>
  <c r="P46" i="2" a="1"/>
  <c r="O47" i="2" a="1"/>
  <c r="P47" i="2" a="1"/>
  <c r="Q47" i="2" l="1"/>
  <c r="Q46" i="2"/>
  <c r="AA46" i="2" s="1"/>
  <c r="AB46" i="2" s="1"/>
  <c r="W47" i="2"/>
  <c r="AA47" i="2" l="1"/>
  <c r="AB47" i="2" s="1"/>
  <c r="P49" i="2" a="1"/>
  <c r="O49" i="2" a="1"/>
  <c r="P48" i="2" a="1"/>
  <c r="O48" i="2" a="1"/>
  <c r="W48" i="2" l="1"/>
  <c r="Q49" i="2"/>
  <c r="W49" i="2"/>
  <c r="AA49" i="2" s="1"/>
  <c r="AB49" i="2" s="1"/>
  <c r="Q48" i="2"/>
  <c r="AA48" i="2" l="1"/>
  <c r="AB48" i="2" s="1"/>
  <c r="P50" i="2" a="1"/>
  <c r="P51" i="2" a="1"/>
  <c r="O51" i="2" a="1"/>
  <c r="O50" i="2" a="1"/>
  <c r="Q50" i="2" l="1"/>
  <c r="Q51" i="2"/>
  <c r="W51" i="2"/>
  <c r="AA51" i="2" s="1"/>
  <c r="AB51" i="2" s="1"/>
  <c r="W50" i="2"/>
  <c r="AA50" i="2" l="1"/>
  <c r="AB50" i="2" s="1"/>
  <c r="O53" i="2" a="1"/>
  <c r="P53" i="2" a="1"/>
  <c r="O52" i="2" a="1"/>
  <c r="P52" i="2" a="1"/>
  <c r="O54" i="2" a="1"/>
  <c r="O55" i="2" a="1"/>
  <c r="P54" i="2" a="1"/>
  <c r="P55" i="2" a="1"/>
  <c r="O58" i="2" a="1"/>
  <c r="P59" i="2" a="1"/>
  <c r="P57" i="2" a="1"/>
  <c r="O61" i="2" a="1"/>
  <c r="O57" i="2" a="1"/>
  <c r="P60" i="2" a="1"/>
  <c r="Q60" i="2" s="1"/>
  <c r="O56" i="2" a="1"/>
  <c r="O60" i="2" a="1"/>
  <c r="P58" i="2" a="1"/>
  <c r="P61" i="2" a="1"/>
  <c r="O59" i="2" a="1"/>
  <c r="P56" i="2" a="1"/>
  <c r="Q56" i="2" s="1"/>
  <c r="Q53" i="2" l="1"/>
  <c r="Q55" i="2"/>
  <c r="W52" i="2"/>
  <c r="Q54" i="2"/>
  <c r="W58" i="2"/>
  <c r="Q57" i="2"/>
  <c r="W61" i="2"/>
  <c r="W59" i="2"/>
  <c r="Q52" i="2"/>
  <c r="AA52" i="2" s="1"/>
  <c r="AB52" i="2" s="1"/>
  <c r="W54" i="2"/>
  <c r="AA54" i="2" s="1"/>
  <c r="AB54" i="2" s="1"/>
  <c r="Q59" i="2"/>
  <c r="AA59" i="2" s="1"/>
  <c r="AB59" i="2" s="1"/>
  <c r="W55" i="2"/>
  <c r="AA55" i="2" s="1"/>
  <c r="AB55" i="2" s="1"/>
  <c r="W56" i="2"/>
  <c r="AA56" i="2" s="1"/>
  <c r="AB56" i="2" s="1"/>
  <c r="W57" i="2"/>
  <c r="W60" i="2"/>
  <c r="AA60" i="2" s="1"/>
  <c r="AB60" i="2" s="1"/>
  <c r="Q58" i="2"/>
  <c r="Q61" i="2"/>
  <c r="AA61" i="2" s="1"/>
  <c r="AB61" i="2" s="1"/>
  <c r="W53" i="2"/>
  <c r="AA53" i="2" s="1"/>
  <c r="AB53" i="2" s="1"/>
  <c r="P63" i="2" a="1"/>
  <c r="P62" i="2" a="1"/>
  <c r="Q62" i="2" s="1"/>
  <c r="O62" i="2" a="1"/>
  <c r="O63" i="2" a="1"/>
  <c r="W63" i="2" s="1"/>
  <c r="AA57" i="2" l="1"/>
  <c r="AB57" i="2" s="1"/>
  <c r="AA58" i="2"/>
  <c r="AB58" i="2" s="1"/>
  <c r="W62" i="2"/>
  <c r="AA62" i="2" s="1"/>
  <c r="AB62" i="2" s="1"/>
  <c r="Q63" i="2"/>
  <c r="AA63" i="2" s="1"/>
  <c r="AB63" i="2" s="1"/>
  <c r="P64" i="2" l="1" a="1"/>
  <c r="O64" i="2" a="1"/>
  <c r="W64" i="2" s="1"/>
  <c r="P65" i="2" a="1"/>
  <c r="O65" i="2" a="1"/>
  <c r="P66" i="2" a="1"/>
  <c r="P67" i="2" a="1"/>
  <c r="O67" i="2" a="1"/>
  <c r="O66" i="2" a="1"/>
  <c r="O68" i="2" a="1"/>
  <c r="O69" i="2" a="1"/>
  <c r="P69" i="2" a="1"/>
  <c r="P68" i="2" a="1"/>
  <c r="Q65" i="2" l="1"/>
  <c r="Q64" i="2"/>
  <c r="AA64" i="2" s="1"/>
  <c r="AB64" i="2" s="1"/>
  <c r="W65" i="2"/>
  <c r="W66" i="2"/>
  <c r="Q67" i="2"/>
  <c r="W68" i="2"/>
  <c r="W69" i="2"/>
  <c r="Q68" i="2"/>
  <c r="Q66" i="2"/>
  <c r="W67" i="2"/>
  <c r="Q69" i="2"/>
  <c r="O71" i="2" a="1"/>
  <c r="O70" i="2" a="1"/>
  <c r="P70" i="2" a="1"/>
  <c r="P71" i="2" a="1"/>
  <c r="AA65" i="2" l="1"/>
  <c r="AB65" i="2" s="1"/>
  <c r="AA66" i="2"/>
  <c r="AB66" i="2" s="1"/>
  <c r="AA67" i="2"/>
  <c r="AB67" i="2" s="1"/>
  <c r="AA68" i="2"/>
  <c r="AB68" i="2" s="1"/>
  <c r="AA69" i="2"/>
  <c r="AB69" i="2" s="1"/>
  <c r="Q70" i="2"/>
  <c r="Q71" i="2"/>
  <c r="W71" i="2"/>
  <c r="W70" i="2"/>
  <c r="AA70" i="2" l="1"/>
  <c r="AB70" i="2" s="1"/>
  <c r="AA71" i="2"/>
  <c r="AB71" i="2" s="1"/>
  <c r="P73" i="2" a="1"/>
  <c r="O72" i="2" a="1"/>
  <c r="O73" i="2" a="1"/>
  <c r="P72" i="2" a="1"/>
  <c r="Q73" i="2" l="1"/>
  <c r="W72" i="2"/>
  <c r="W73" i="2"/>
  <c r="Q72" i="2"/>
  <c r="AA72" i="2" l="1"/>
  <c r="AB72" i="2" s="1"/>
  <c r="AA73" i="2"/>
  <c r="AB73" i="2" s="1"/>
  <c r="P74" i="2" l="1" a="1"/>
  <c r="O74" i="2" a="1"/>
  <c r="P75" i="2" a="1"/>
  <c r="O75" i="2" a="1"/>
  <c r="W74" i="2" l="1"/>
  <c r="Q75" i="2"/>
  <c r="Q74" i="2"/>
  <c r="W75" i="2"/>
  <c r="AA75" i="2" l="1"/>
  <c r="AB75" i="2" s="1"/>
  <c r="AA74" i="2"/>
  <c r="AB74" i="2" s="1"/>
  <c r="P76" i="2" a="1"/>
  <c r="P77" i="2" a="1"/>
  <c r="O77" i="2" a="1"/>
  <c r="O76" i="2" a="1"/>
  <c r="W76" i="2" l="1"/>
  <c r="W77" i="2"/>
  <c r="Q77" i="2"/>
  <c r="AA77" i="2" s="1"/>
  <c r="AB77" i="2" s="1"/>
  <c r="Q76" i="2"/>
  <c r="AA76" i="2" l="1"/>
  <c r="AB76" i="2" s="1"/>
  <c r="O78" i="2" a="1"/>
  <c r="P78" i="2" a="1"/>
  <c r="O79" i="2" a="1"/>
  <c r="P79" i="2" a="1"/>
  <c r="Q78" i="2" l="1"/>
  <c r="W79" i="2"/>
  <c r="W78" i="2"/>
  <c r="Q79" i="2"/>
  <c r="AA78" i="2" l="1"/>
  <c r="AB78" i="2" s="1"/>
  <c r="AA79" i="2"/>
  <c r="AB79" i="2" s="1"/>
  <c r="O80" i="2" a="1"/>
  <c r="P81" i="2" a="1"/>
  <c r="O81" i="2" a="1"/>
  <c r="P80" i="2" a="1"/>
  <c r="P83" i="2" a="1"/>
  <c r="O82" i="2" a="1"/>
  <c r="O85" i="2" a="1"/>
  <c r="P82" i="2" a="1"/>
  <c r="P84" i="2" a="1"/>
  <c r="P85" i="2" a="1"/>
  <c r="O84" i="2" a="1"/>
  <c r="O83" i="2" a="1"/>
  <c r="W83" i="2" l="1"/>
  <c r="Q80" i="2"/>
  <c r="W81" i="2"/>
  <c r="W82" i="2"/>
  <c r="Q84" i="2"/>
  <c r="Q85" i="2"/>
  <c r="Q83" i="2"/>
  <c r="W85" i="2"/>
  <c r="Q82" i="2"/>
  <c r="W84" i="2"/>
  <c r="W80" i="2"/>
  <c r="Q81" i="2"/>
  <c r="AA83" i="2" l="1"/>
  <c r="AB83" i="2" s="1"/>
  <c r="AA80" i="2"/>
  <c r="AB80" i="2" s="1"/>
  <c r="AA82" i="2"/>
  <c r="AB82" i="2" s="1"/>
  <c r="AA85" i="2"/>
  <c r="AB85" i="2" s="1"/>
  <c r="AA84" i="2"/>
  <c r="AB84" i="2" s="1"/>
  <c r="AA81" i="2"/>
  <c r="AB81" i="2" s="1"/>
  <c r="P87" i="2" a="1"/>
  <c r="O87" i="2" a="1"/>
  <c r="P86" i="2" a="1"/>
  <c r="O86" i="2" a="1"/>
  <c r="W87" i="2" l="1"/>
  <c r="Q86" i="2"/>
  <c r="Q87" i="2"/>
  <c r="W86" i="2"/>
  <c r="AA87" i="2" l="1"/>
  <c r="AB87" i="2" s="1"/>
  <c r="AA86" i="2"/>
  <c r="AB86" i="2" s="1"/>
  <c r="P90" i="2" a="1"/>
  <c r="O92" i="2" a="1"/>
  <c r="O91" i="2" a="1"/>
  <c r="P91" i="2" a="1"/>
  <c r="O90" i="2" a="1"/>
  <c r="O93" i="2" a="1"/>
  <c r="P93" i="2" a="1"/>
  <c r="P92" i="2" a="1"/>
  <c r="O88" i="2" l="1" a="1"/>
  <c r="P88" i="2" a="1"/>
  <c r="Q88" i="2" s="1"/>
  <c r="O89" i="2" a="1"/>
  <c r="P89" i="2" a="1"/>
  <c r="W91" i="2"/>
  <c r="W90" i="2"/>
  <c r="W93" i="2"/>
  <c r="Q92" i="2"/>
  <c r="Q90" i="2"/>
  <c r="W92" i="2"/>
  <c r="Q91" i="2"/>
  <c r="Q93" i="2"/>
  <c r="Q89" i="2" l="1"/>
  <c r="W88" i="2"/>
  <c r="AA88" i="2" s="1"/>
  <c r="AB88" i="2" s="1"/>
  <c r="W89" i="2"/>
  <c r="AA92" i="2"/>
  <c r="AB92" i="2" s="1"/>
  <c r="AA90" i="2"/>
  <c r="AB90" i="2" s="1"/>
  <c r="AA91" i="2"/>
  <c r="AB91" i="2" s="1"/>
  <c r="AA93" i="2"/>
  <c r="AB93" i="2" s="1"/>
  <c r="AA89" i="2" l="1"/>
  <c r="AB89" i="2" s="1"/>
  <c r="P97" i="2" a="1"/>
  <c r="P95" i="2" a="1"/>
  <c r="O96" i="2" a="1"/>
  <c r="P96" i="2" a="1"/>
  <c r="O95" i="2" a="1"/>
  <c r="P94" i="2" a="1"/>
  <c r="O97" i="2" a="1"/>
  <c r="O94" i="2" a="1"/>
  <c r="W97" i="2" l="1"/>
  <c r="W94" i="2"/>
  <c r="Q96" i="2"/>
  <c r="W95" i="2"/>
  <c r="Q97" i="2"/>
  <c r="Q95" i="2"/>
  <c r="AA95" i="2" s="1"/>
  <c r="AB95" i="2" s="1"/>
  <c r="W96" i="2"/>
  <c r="Q94" i="2"/>
  <c r="AA94" i="2" s="1"/>
  <c r="AB94" i="2" s="1"/>
  <c r="AA97" i="2" l="1"/>
  <c r="AB97" i="2" s="1"/>
  <c r="AA96" i="2"/>
  <c r="AB96" i="2" s="1"/>
  <c r="O100" i="2" a="1"/>
  <c r="P99" i="2" a="1"/>
  <c r="O98" i="2" a="1"/>
  <c r="O99" i="2" a="1"/>
  <c r="W99" i="2" s="1"/>
  <c r="O101" i="2" a="1"/>
  <c r="P100" i="2" a="1"/>
  <c r="P101" i="2" a="1"/>
  <c r="P98" i="2" a="1"/>
  <c r="O102" i="2" a="1"/>
  <c r="O103" i="2" a="1"/>
  <c r="P103" i="2" a="1"/>
  <c r="P102" i="2" a="1"/>
  <c r="W98" i="2" l="1"/>
  <c r="W100" i="2"/>
  <c r="Q101" i="2"/>
  <c r="W101" i="2"/>
  <c r="Q100" i="2"/>
  <c r="Q98" i="2"/>
  <c r="AA98" i="2" s="1"/>
  <c r="AB98" i="2" s="1"/>
  <c r="Q99" i="2"/>
  <c r="AA99" i="2" s="1"/>
  <c r="AB99" i="2" s="1"/>
  <c r="Q103" i="2"/>
  <c r="Q102" i="2"/>
  <c r="W102" i="2"/>
  <c r="W103" i="2"/>
  <c r="AA101" i="2" l="1"/>
  <c r="AB101" i="2" s="1"/>
  <c r="AA100" i="2"/>
  <c r="AB100" i="2" s="1"/>
  <c r="AA102" i="2"/>
  <c r="AB102" i="2" s="1"/>
  <c r="AA103" i="2"/>
  <c r="AB103" i="2" s="1"/>
  <c r="O104" i="2" a="1"/>
  <c r="P105" i="2" a="1"/>
  <c r="P104" i="2" a="1"/>
  <c r="O105" i="2" a="1"/>
  <c r="W104" i="2" l="1"/>
  <c r="Q105" i="2"/>
  <c r="W105" i="2"/>
  <c r="Q104" i="2"/>
  <c r="AA104" i="2" l="1"/>
  <c r="AB104" i="2" s="1"/>
  <c r="AA105" i="2"/>
  <c r="AB105" i="2" s="1"/>
  <c r="P106" i="2" a="1"/>
  <c r="O107" i="2" a="1"/>
  <c r="P107" i="2" l="1" a="1"/>
  <c r="O106" i="2" a="1"/>
  <c r="Q107" i="2" l="1"/>
  <c r="W107" i="2"/>
  <c r="Q106" i="2"/>
  <c r="W106" i="2"/>
  <c r="AA106" i="2" l="1"/>
  <c r="AB106" i="2" s="1"/>
  <c r="AA107" i="2"/>
  <c r="AB107" i="2" s="1"/>
  <c r="P111" i="2" l="1" a="1"/>
  <c r="P108" i="2" a="1"/>
  <c r="O110" i="2" a="1"/>
  <c r="W110" i="2" s="1"/>
  <c r="P109" i="2" a="1"/>
  <c r="P110" i="2" a="1"/>
  <c r="P112" i="2" a="1"/>
  <c r="Q112" i="2" s="1"/>
  <c r="O111" i="2" a="1"/>
  <c r="W111" i="2" s="1"/>
  <c r="O109" i="2" a="1"/>
  <c r="W109" i="2" s="1"/>
  <c r="O108" i="2" a="1"/>
  <c r="O112" i="2" a="1"/>
  <c r="P113" i="2" a="1"/>
  <c r="O113" i="2" a="1"/>
  <c r="W113" i="2" s="1"/>
  <c r="O116" i="2" a="1"/>
  <c r="O114" i="2" a="1"/>
  <c r="O117" i="2" a="1"/>
  <c r="P114" i="2" a="1"/>
  <c r="Q114" i="2" s="1"/>
  <c r="O115" i="2" a="1"/>
  <c r="P115" i="2" a="1"/>
  <c r="Q115" i="2" s="1"/>
  <c r="P117" i="2" a="1"/>
  <c r="P116" i="2" a="1"/>
  <c r="Q117" i="2" l="1"/>
  <c r="Q116" i="2"/>
  <c r="W108" i="2"/>
  <c r="Q111" i="2"/>
  <c r="AA111" i="2" s="1"/>
  <c r="AB111" i="2" s="1"/>
  <c r="Q108" i="2"/>
  <c r="AA108" i="2" s="1"/>
  <c r="AB108" i="2" s="1"/>
  <c r="Q109" i="2"/>
  <c r="AA109" i="2" s="1"/>
  <c r="AB109" i="2" s="1"/>
  <c r="Q110" i="2"/>
  <c r="AA110" i="2" s="1"/>
  <c r="AB110" i="2" s="1"/>
  <c r="W112" i="2"/>
  <c r="AA112" i="2" s="1"/>
  <c r="AB112" i="2" s="1"/>
  <c r="Q113" i="2"/>
  <c r="AA113" i="2" s="1"/>
  <c r="AB113" i="2" s="1"/>
  <c r="W115" i="2"/>
  <c r="AA115" i="2" s="1"/>
  <c r="AB115" i="2" s="1"/>
  <c r="W116" i="2"/>
  <c r="AA116" i="2" s="1"/>
  <c r="AB116" i="2" s="1"/>
  <c r="W114" i="2"/>
  <c r="AA114" i="2" s="1"/>
  <c r="AB114" i="2" s="1"/>
  <c r="W117" i="2"/>
  <c r="AA117" i="2" s="1"/>
  <c r="AB117" i="2" s="1"/>
  <c r="O119" i="2" a="1"/>
  <c r="O118" i="2" a="1"/>
  <c r="P118" i="2" a="1"/>
  <c r="P119" i="2" a="1"/>
  <c r="W119" i="2" l="1"/>
  <c r="Q118" i="2"/>
  <c r="W118" i="2"/>
  <c r="Q119" i="2"/>
  <c r="AA118" i="2" l="1"/>
  <c r="AB118" i="2" s="1"/>
  <c r="AA119" i="2"/>
  <c r="AB119" i="2" s="1"/>
  <c r="P122" i="2" l="1" a="1"/>
  <c r="O121" i="2" a="1"/>
  <c r="P123" i="2" a="1"/>
  <c r="O123" i="2" a="1"/>
  <c r="P121" i="2" a="1"/>
  <c r="O120" i="2" a="1"/>
  <c r="O122" i="2" a="1"/>
  <c r="P120" i="2" a="1"/>
  <c r="O126" i="2" a="1"/>
  <c r="P127" i="2" a="1"/>
  <c r="P124" i="2" a="1"/>
  <c r="O127" i="2" a="1"/>
  <c r="P125" i="2" a="1"/>
  <c r="P126" i="2" a="1"/>
  <c r="O124" i="2" a="1"/>
  <c r="W124" i="2" s="1"/>
  <c r="O125" i="2" a="1"/>
  <c r="Q120" i="2" l="1"/>
  <c r="Q126" i="2"/>
  <c r="W123" i="2"/>
  <c r="Q121" i="2"/>
  <c r="W122" i="2"/>
  <c r="Q127" i="2"/>
  <c r="W125" i="2"/>
  <c r="Q122" i="2"/>
  <c r="W121" i="2"/>
  <c r="Q123" i="2"/>
  <c r="W120" i="2"/>
  <c r="AA120" i="2" s="1"/>
  <c r="AB120" i="2" s="1"/>
  <c r="W126" i="2"/>
  <c r="AA126" i="2" s="1"/>
  <c r="AB126" i="2" s="1"/>
  <c r="Q124" i="2"/>
  <c r="AA124" i="2" s="1"/>
  <c r="AB124" i="2" s="1"/>
  <c r="W127" i="2"/>
  <c r="AA127" i="2" s="1"/>
  <c r="AB127" i="2" s="1"/>
  <c r="Q125" i="2"/>
  <c r="AA125" i="2" l="1"/>
  <c r="AB125" i="2" s="1"/>
  <c r="AA122" i="2"/>
  <c r="AB122" i="2" s="1"/>
  <c r="AA121" i="2"/>
  <c r="AB121" i="2" s="1"/>
  <c r="AA123" i="2"/>
  <c r="AB123" i="2" s="1"/>
  <c r="P128" i="2" a="1"/>
  <c r="P129" i="2" a="1"/>
  <c r="O128" i="2" a="1"/>
  <c r="W128" i="2" s="1"/>
  <c r="O129" i="2" a="1"/>
  <c r="P131" i="2" a="1"/>
  <c r="P130" i="2" a="1"/>
  <c r="O130" i="2" a="1"/>
  <c r="O131" i="2" a="1"/>
  <c r="W129" i="2" l="1"/>
  <c r="Q128" i="2"/>
  <c r="AA128" i="2" s="1"/>
  <c r="AB128" i="2" s="1"/>
  <c r="Q129" i="2"/>
  <c r="AA129" i="2" s="1"/>
  <c r="AB129" i="2" s="1"/>
  <c r="W130" i="2"/>
  <c r="W131" i="2"/>
  <c r="Q131" i="2"/>
  <c r="Q130" i="2"/>
  <c r="AA131" i="2" l="1"/>
  <c r="AB131" i="2" s="1"/>
  <c r="AA130" i="2"/>
  <c r="AB130" i="2" s="1"/>
  <c r="P132" i="2" l="1" a="1"/>
  <c r="O133" i="2" a="1"/>
  <c r="O132" i="2" a="1"/>
  <c r="P133" i="2" a="1"/>
  <c r="W133" i="2" l="1"/>
  <c r="W132" i="2"/>
  <c r="Q133" i="2"/>
  <c r="Q132" i="2"/>
  <c r="AA133" i="2" l="1"/>
  <c r="AB133" i="2" s="1"/>
  <c r="AA132" i="2"/>
  <c r="AB132" i="2" s="1"/>
  <c r="P136" i="2" a="1"/>
  <c r="O137" i="2" a="1"/>
  <c r="O136" i="2" a="1"/>
  <c r="P137" i="2" a="1"/>
  <c r="P135" i="2" a="1"/>
  <c r="O134" i="2" a="1"/>
  <c r="O135" i="2" a="1"/>
  <c r="P134" i="2" a="1"/>
  <c r="W136" i="2" l="1"/>
  <c r="W135" i="2"/>
  <c r="W137" i="2"/>
  <c r="Q134" i="2"/>
  <c r="Q136" i="2"/>
  <c r="AA136" i="2" s="1"/>
  <c r="AB136" i="2" s="1"/>
  <c r="Q137" i="2"/>
  <c r="Q135" i="2"/>
  <c r="W134" i="2"/>
  <c r="AA135" i="2" l="1"/>
  <c r="AB135" i="2" s="1"/>
  <c r="AA137" i="2"/>
  <c r="AB137" i="2" s="1"/>
  <c r="AA134" i="2"/>
  <c r="AB134" i="2" s="1"/>
  <c r="O140" i="2" a="1"/>
  <c r="P141" i="2" a="1"/>
  <c r="P140" i="2" a="1"/>
  <c r="O141" i="2" a="1"/>
  <c r="P138" i="2" l="1" a="1"/>
  <c r="P139" i="2" a="1"/>
  <c r="O138" i="2" a="1"/>
  <c r="O139" i="2" a="1"/>
  <c r="Q140" i="2"/>
  <c r="Q141" i="2"/>
  <c r="W140" i="2"/>
  <c r="W141" i="2"/>
  <c r="Q139" i="2" l="1"/>
  <c r="Q138" i="2"/>
  <c r="W138" i="2"/>
  <c r="W139" i="2"/>
  <c r="AA139" i="2" s="1"/>
  <c r="AB139" i="2" s="1"/>
  <c r="AA140" i="2"/>
  <c r="AB140" i="2" s="1"/>
  <c r="AA141" i="2"/>
  <c r="AB141" i="2" s="1"/>
  <c r="AA138" i="2" l="1"/>
  <c r="AB138" i="2" s="1"/>
  <c r="O148" i="2" s="1" a="1"/>
  <c r="P142" i="2" a="1"/>
  <c r="P143" i="2" a="1"/>
  <c r="Q143" i="2" s="1"/>
  <c r="O143" i="2" a="1"/>
  <c r="O142" i="2" a="1"/>
  <c r="O146" i="2" a="1"/>
  <c r="O144" i="2" a="1"/>
  <c r="P145" i="2" a="1"/>
  <c r="P147" i="2" a="1"/>
  <c r="P144" i="2" a="1"/>
  <c r="O145" i="2" a="1"/>
  <c r="O147" i="2" a="1"/>
  <c r="P146" i="2" a="1"/>
  <c r="O149" i="2" a="1"/>
  <c r="P149" i="2" a="1"/>
  <c r="P148" i="2" a="1"/>
  <c r="Q142" i="2" l="1"/>
  <c r="W143" i="2"/>
  <c r="AA143" i="2" s="1"/>
  <c r="AB143" i="2" s="1"/>
  <c r="W142" i="2"/>
  <c r="AA142" i="2" s="1"/>
  <c r="AB142" i="2" s="1"/>
  <c r="W144" i="2"/>
  <c r="Q144" i="2"/>
  <c r="Q145" i="2"/>
  <c r="W145" i="2"/>
  <c r="W147" i="2"/>
  <c r="Q147" i="2"/>
  <c r="W146" i="2"/>
  <c r="Q146" i="2"/>
  <c r="W148" i="2"/>
  <c r="W149" i="2"/>
  <c r="Q149" i="2"/>
  <c r="Q148" i="2"/>
  <c r="AA148" i="2" l="1"/>
  <c r="AB148" i="2" s="1"/>
  <c r="AA144" i="2"/>
  <c r="AB144" i="2" s="1"/>
  <c r="AA145" i="2"/>
  <c r="AB145" i="2" s="1"/>
  <c r="AA147" i="2"/>
  <c r="AB147" i="2" s="1"/>
  <c r="AA146" i="2"/>
  <c r="AB146" i="2" s="1"/>
  <c r="AA149" i="2"/>
  <c r="AB149" i="2" s="1"/>
  <c r="O150" i="2" l="1" a="1"/>
  <c r="O151" i="2" a="1"/>
  <c r="W151" i="2" s="1"/>
  <c r="P150" i="2" a="1"/>
  <c r="P151" i="2" a="1"/>
  <c r="Q151" i="2" l="1"/>
  <c r="AA151" i="2" s="1"/>
  <c r="AB151" i="2" s="1"/>
  <c r="W150" i="2"/>
  <c r="Q150" i="2"/>
  <c r="P153" i="2" a="1"/>
  <c r="O152" i="2" a="1"/>
  <c r="P152" i="2" a="1"/>
  <c r="O153" i="2" a="1"/>
  <c r="AA150" i="2" l="1"/>
  <c r="AB150" i="2" s="1"/>
  <c r="Q153" i="2"/>
  <c r="W152" i="2"/>
  <c r="Q152" i="2"/>
  <c r="W153" i="2"/>
  <c r="AA153" i="2" l="1"/>
  <c r="AB153" i="2" s="1"/>
  <c r="AA152" i="2"/>
  <c r="AB152" i="2" s="1"/>
  <c r="O155" i="2" a="1"/>
  <c r="P154" i="2" a="1"/>
  <c r="P155" i="2" a="1"/>
  <c r="O154" i="2" a="1"/>
  <c r="Q155" i="2" l="1"/>
  <c r="W154" i="2"/>
  <c r="Q154" i="2"/>
  <c r="W155" i="2"/>
  <c r="AA154" i="2" l="1"/>
  <c r="AB154" i="2" s="1"/>
  <c r="AA155" i="2"/>
  <c r="AB155" i="2" s="1"/>
  <c r="P156" i="2" l="1" a="1"/>
  <c r="O156" i="2" a="1"/>
  <c r="P158" i="2" a="1"/>
  <c r="O157" i="2" a="1"/>
  <c r="P159" i="2" a="1"/>
  <c r="O158" i="2" a="1"/>
  <c r="O159" i="2" a="1"/>
  <c r="P157" i="2" a="1"/>
  <c r="W158" i="2" l="1"/>
  <c r="W156" i="2"/>
  <c r="W159" i="2"/>
  <c r="Q157" i="2"/>
  <c r="Q156" i="2"/>
  <c r="Q158" i="2"/>
  <c r="W157" i="2"/>
  <c r="Q159" i="2"/>
  <c r="AA156" i="2" l="1"/>
  <c r="AB156" i="2" s="1"/>
  <c r="AA158" i="2"/>
  <c r="AB158" i="2" s="1"/>
  <c r="AA159" i="2"/>
  <c r="AB159" i="2" s="1"/>
  <c r="AA157" i="2"/>
  <c r="AB157" i="2" s="1"/>
  <c r="O160" i="2" a="1"/>
  <c r="P161" i="2" a="1"/>
  <c r="O161" i="2" a="1"/>
  <c r="P160" i="2" a="1"/>
  <c r="P163" i="2" l="1" a="1"/>
  <c r="O162" i="2" a="1"/>
  <c r="P162" i="2" a="1"/>
  <c r="O163" i="2" a="1"/>
  <c r="W160" i="2"/>
  <c r="W161" i="2"/>
  <c r="Q161" i="2"/>
  <c r="Q160" i="2"/>
  <c r="Q163" i="2" l="1"/>
  <c r="W162" i="2"/>
  <c r="Q162" i="2"/>
  <c r="W163" i="2"/>
  <c r="AA161" i="2"/>
  <c r="AB161" i="2" s="1"/>
  <c r="AA160" i="2"/>
  <c r="AB160" i="2" s="1"/>
  <c r="O167" i="2" a="1"/>
  <c r="O164" i="2" a="1"/>
  <c r="P167" i="2" a="1"/>
  <c r="O165" i="2" a="1"/>
  <c r="O166" i="2" a="1"/>
  <c r="P164" i="2" a="1"/>
  <c r="P165" i="2" a="1"/>
  <c r="P166" i="2" a="1"/>
  <c r="AA162" i="2" l="1"/>
  <c r="AB162" i="2" s="1"/>
  <c r="AA163" i="2"/>
  <c r="AB163" i="2" s="1"/>
  <c r="W164" i="2"/>
  <c r="Q165" i="2"/>
  <c r="Q167" i="2"/>
  <c r="Q166" i="2"/>
  <c r="W167" i="2"/>
  <c r="W165" i="2"/>
  <c r="Q164" i="2"/>
  <c r="W166" i="2"/>
  <c r="AA164" i="2" l="1"/>
  <c r="AB164" i="2" s="1"/>
  <c r="AA166" i="2"/>
  <c r="AB166" i="2" s="1"/>
  <c r="AA165" i="2"/>
  <c r="AB165" i="2" s="1"/>
  <c r="AA167" i="2"/>
  <c r="AB167" i="2" s="1"/>
  <c r="O168" i="2" l="1" a="1"/>
  <c r="P168" i="2" a="1"/>
  <c r="O169" i="2" a="1"/>
  <c r="P169" i="2" a="1"/>
  <c r="W168" i="2" l="1"/>
  <c r="W169" i="2"/>
  <c r="Q168" i="2"/>
  <c r="AA168" i="2" s="1"/>
  <c r="AB168" i="2" s="1"/>
  <c r="Q169" i="2"/>
  <c r="AA169" i="2" s="1"/>
  <c r="AB169" i="2" s="1"/>
  <c r="O172" i="2" a="1"/>
  <c r="O174" i="2" a="1"/>
  <c r="P172" i="2" a="1"/>
  <c r="O175" i="2" a="1"/>
  <c r="P174" i="2" a="1"/>
  <c r="P173" i="2" a="1"/>
  <c r="P175" i="2" a="1"/>
  <c r="O173" i="2" a="1"/>
  <c r="P171" i="2" l="1" a="1"/>
  <c r="O170" i="2" a="1"/>
  <c r="O171" i="2" a="1"/>
  <c r="W171" i="2" s="1"/>
  <c r="P170" i="2" a="1"/>
  <c r="W172" i="2"/>
  <c r="W174" i="2"/>
  <c r="W175" i="2"/>
  <c r="W173" i="2"/>
  <c r="Q172" i="2"/>
  <c r="Q174" i="2"/>
  <c r="Q173" i="2"/>
  <c r="Q175" i="2"/>
  <c r="Q170" i="2" l="1"/>
  <c r="Q171" i="2"/>
  <c r="AA171" i="2" s="1"/>
  <c r="AB171" i="2" s="1"/>
  <c r="W170" i="2"/>
  <c r="AA172" i="2"/>
  <c r="AB172" i="2" s="1"/>
  <c r="AA174" i="2"/>
  <c r="AB174" i="2" s="1"/>
  <c r="AA173" i="2"/>
  <c r="AB173" i="2" s="1"/>
  <c r="AA175" i="2"/>
  <c r="AB175" i="2" s="1"/>
  <c r="P177" i="2" a="1"/>
  <c r="O176" i="2" a="1"/>
  <c r="O177" i="2" a="1"/>
  <c r="P176" i="2" a="1"/>
  <c r="AA170" i="2" l="1"/>
  <c r="AB170" i="2" s="1"/>
  <c r="W176" i="2"/>
  <c r="W177" i="2"/>
  <c r="Q177" i="2"/>
  <c r="Q176" i="2"/>
  <c r="AA177" i="2" l="1"/>
  <c r="AB177" i="2" s="1"/>
  <c r="AA176" i="2"/>
  <c r="AB176" i="2" s="1"/>
  <c r="P179" i="2" l="1" a="1"/>
  <c r="O178" i="2" a="1"/>
  <c r="P178" i="2" a="1"/>
  <c r="O179" i="2" a="1"/>
  <c r="W178" i="2" l="1"/>
  <c r="W179" i="2"/>
  <c r="Q179" i="2"/>
  <c r="Q178" i="2"/>
  <c r="P187" i="2" a="1"/>
  <c r="O186" i="2" a="1"/>
  <c r="O189" i="2" a="1"/>
  <c r="O188" i="2" a="1"/>
  <c r="P189" i="2" a="1"/>
  <c r="P188" i="2" a="1"/>
  <c r="AA179" i="2" l="1"/>
  <c r="AB179" i="2" s="1"/>
  <c r="AA178" i="2"/>
  <c r="AB178" i="2" s="1"/>
  <c r="O182" i="2" a="1"/>
  <c r="P182" i="2" a="1"/>
  <c r="P184" i="2" a="1"/>
  <c r="P180" i="2" a="1"/>
  <c r="P183" i="2" a="1"/>
  <c r="O181" i="2" a="1"/>
  <c r="O185" i="2" a="1"/>
  <c r="W185" i="2" s="1"/>
  <c r="P181" i="2" a="1"/>
  <c r="Q181" i="2" s="1"/>
  <c r="P185" i="2" a="1"/>
  <c r="O184" i="2" a="1"/>
  <c r="W184" i="2" s="1"/>
  <c r="O180" i="2" a="1"/>
  <c r="O183" i="2" a="1"/>
  <c r="Q188" i="2"/>
  <c r="W189" i="2"/>
  <c r="W188" i="2"/>
  <c r="Q189" i="2"/>
  <c r="P186" i="2" l="1" a="1"/>
  <c r="O187" i="2" a="1"/>
  <c r="W180" i="2"/>
  <c r="W183" i="2"/>
  <c r="Q182" i="2"/>
  <c r="W182" i="2"/>
  <c r="Q184" i="2"/>
  <c r="AA184" i="2" s="1"/>
  <c r="AB184" i="2" s="1"/>
  <c r="W181" i="2"/>
  <c r="AA181" i="2" s="1"/>
  <c r="AB181" i="2" s="1"/>
  <c r="Q185" i="2"/>
  <c r="AA185" i="2" s="1"/>
  <c r="AB185" i="2" s="1"/>
  <c r="Q180" i="2"/>
  <c r="Q183" i="2"/>
  <c r="AA188" i="2"/>
  <c r="AB188" i="2" s="1"/>
  <c r="AA189" i="2"/>
  <c r="AB189" i="2" s="1"/>
  <c r="P193" i="2" a="1"/>
  <c r="P192" i="2" a="1"/>
  <c r="O192" i="2" a="1"/>
  <c r="O193" i="2" a="1"/>
  <c r="O195" i="2" a="1"/>
  <c r="P194" i="2" a="1"/>
  <c r="P195" i="2" a="1"/>
  <c r="Q195" i="2" s="1"/>
  <c r="O194" i="2" a="1"/>
  <c r="O197" i="2" a="1"/>
  <c r="P196" i="2" a="1"/>
  <c r="Q186" i="2" l="1"/>
  <c r="W186" i="2"/>
  <c r="AA186" i="2" s="1"/>
  <c r="AB186" i="2" s="1"/>
  <c r="Q187" i="2"/>
  <c r="W187" i="2"/>
  <c r="AA187" i="2" s="1"/>
  <c r="AB187" i="2" s="1"/>
  <c r="AA182" i="2"/>
  <c r="AB182" i="2" s="1"/>
  <c r="AA180" i="2"/>
  <c r="AB180" i="2" s="1"/>
  <c r="AA183" i="2"/>
  <c r="AB183" i="2" s="1"/>
  <c r="P191" i="2" a="1"/>
  <c r="O190" i="2" a="1"/>
  <c r="O191" i="2" a="1"/>
  <c r="P190" i="2" a="1"/>
  <c r="Q190" i="2" s="1"/>
  <c r="Q194" i="2"/>
  <c r="Q193" i="2"/>
  <c r="Q192" i="2"/>
  <c r="W192" i="2"/>
  <c r="W193" i="2"/>
  <c r="W195" i="2"/>
  <c r="AA195" i="2" s="1"/>
  <c r="AB195" i="2" s="1"/>
  <c r="W194" i="2"/>
  <c r="O196" i="2" l="1" a="1"/>
  <c r="P197" i="2" a="1"/>
  <c r="W191" i="2"/>
  <c r="Q191" i="2"/>
  <c r="AA191" i="2" s="1"/>
  <c r="AB191" i="2" s="1"/>
  <c r="W190" i="2"/>
  <c r="AA190" i="2" s="1"/>
  <c r="AB190" i="2" s="1"/>
  <c r="AA194" i="2"/>
  <c r="AB194" i="2" s="1"/>
  <c r="AA192" i="2"/>
  <c r="AB192" i="2" s="1"/>
  <c r="AA193" i="2"/>
  <c r="AB193" i="2" s="1"/>
  <c r="Q196" i="2" l="1"/>
  <c r="W196" i="2"/>
  <c r="W197" i="2"/>
  <c r="AA197" i="2" s="1"/>
  <c r="AB197" i="2" s="1"/>
  <c r="Q197" i="2"/>
  <c r="O198" i="2" a="1"/>
  <c r="P199" i="2" a="1"/>
  <c r="O199" i="2" a="1"/>
  <c r="P198" i="2" a="1"/>
  <c r="AA196" i="2" l="1"/>
  <c r="AB196" i="2" s="1"/>
  <c r="Q198" i="2"/>
  <c r="W199" i="2"/>
  <c r="W198" i="2"/>
  <c r="Q199" i="2"/>
  <c r="AA198" i="2" l="1"/>
  <c r="AB198" i="2" s="1"/>
  <c r="AA199" i="2"/>
  <c r="AB199" i="2" s="1"/>
  <c r="P201" i="2" l="1" a="1"/>
  <c r="O201" i="2" a="1"/>
  <c r="P200" i="2" a="1"/>
  <c r="O200" i="2" a="1"/>
  <c r="W200" i="2" l="1"/>
  <c r="W201" i="2"/>
  <c r="Q201" i="2"/>
  <c r="Q200" i="2"/>
  <c r="AA201" i="2" l="1"/>
  <c r="AB201" i="2" s="1"/>
  <c r="AA200" i="2"/>
  <c r="AB200" i="2" s="1"/>
  <c r="P203" i="2" l="1" a="1"/>
  <c r="O202" i="2" a="1"/>
  <c r="P202" i="2" a="1"/>
  <c r="O203" i="2" a="1"/>
  <c r="P205" i="2" a="1"/>
  <c r="O205" i="2" a="1"/>
  <c r="O204" i="2" a="1"/>
  <c r="P204" i="2" a="1"/>
  <c r="Q204" i="2" s="1"/>
  <c r="O207" i="2" a="1"/>
  <c r="P207" i="2" a="1"/>
  <c r="P206" i="2" a="1"/>
  <c r="O206" i="2" a="1"/>
  <c r="W205" i="2" l="1"/>
  <c r="Q203" i="2"/>
  <c r="W202" i="2"/>
  <c r="Q202" i="2"/>
  <c r="AA202" i="2" s="1"/>
  <c r="AB202" i="2" s="1"/>
  <c r="W203" i="2"/>
  <c r="Q205" i="2"/>
  <c r="W204" i="2"/>
  <c r="AA204" i="2" s="1"/>
  <c r="AB204" i="2" s="1"/>
  <c r="W207" i="2"/>
  <c r="W206" i="2"/>
  <c r="Q207" i="2"/>
  <c r="Q206" i="2"/>
  <c r="AA205" i="2" l="1"/>
  <c r="AB205" i="2" s="1"/>
  <c r="AA203" i="2"/>
  <c r="AB203" i="2" s="1"/>
  <c r="AA207" i="2"/>
  <c r="AB207" i="2" s="1"/>
  <c r="AA206" i="2"/>
  <c r="AB206" i="2" s="1"/>
  <c r="P211" i="2" a="1"/>
  <c r="O211" i="2" a="1"/>
  <c r="O210" i="2" a="1"/>
  <c r="P210" i="2" a="1"/>
  <c r="O209" i="2" l="1" a="1"/>
  <c r="O208" i="2" a="1"/>
  <c r="P208" i="2" a="1"/>
  <c r="P209" i="2" a="1"/>
  <c r="Q209" i="2" s="1"/>
  <c r="W211" i="2"/>
  <c r="W210" i="2"/>
  <c r="Q210" i="2"/>
  <c r="Q211" i="2"/>
  <c r="W209" i="2" l="1"/>
  <c r="AA209" i="2" s="1"/>
  <c r="AB209" i="2" s="1"/>
  <c r="W208" i="2"/>
  <c r="Q208" i="2"/>
  <c r="AA211" i="2"/>
  <c r="AB211" i="2" s="1"/>
  <c r="AA210" i="2"/>
  <c r="AB210" i="2" s="1"/>
  <c r="AA208" i="2" l="1"/>
  <c r="AB208" i="2" s="1"/>
  <c r="P213" i="2" a="1"/>
  <c r="O213" i="2" a="1"/>
  <c r="O212" i="2" a="1"/>
  <c r="P212" i="2" a="1"/>
  <c r="Q212" i="2" l="1"/>
  <c r="W213" i="2"/>
  <c r="Q213" i="2"/>
  <c r="W212" i="2"/>
  <c r="AA212" i="2" l="1"/>
  <c r="AB212" i="2" s="1"/>
  <c r="AA213" i="2"/>
  <c r="AB213" i="2" s="1"/>
  <c r="O214" i="2" l="1" a="1"/>
  <c r="P214" i="2" a="1"/>
  <c r="O215" i="2" a="1"/>
  <c r="P215" i="2" a="1"/>
  <c r="W215" i="2" l="1"/>
  <c r="Q214" i="2"/>
  <c r="W214" i="2"/>
  <c r="Q215" i="2"/>
  <c r="AA215" i="2" l="1"/>
  <c r="AB215" i="2" s="1"/>
  <c r="AA214" i="2"/>
  <c r="AB214" i="2" s="1"/>
  <c r="O216" i="2" l="1" a="1"/>
  <c r="W216" i="2" s="1"/>
  <c r="P216" i="2" a="1"/>
  <c r="P217" i="2" a="1"/>
  <c r="O217" i="2" a="1"/>
  <c r="W217" i="2" s="1"/>
  <c r="P218" i="2" a="1"/>
  <c r="O218" i="2" a="1"/>
  <c r="P219" i="2" a="1"/>
  <c r="O219" i="2" a="1"/>
  <c r="Q216" i="2" l="1"/>
  <c r="AA216" i="2" s="1"/>
  <c r="AB216" i="2" s="1"/>
  <c r="Q217" i="2"/>
  <c r="AA217" i="2" s="1"/>
  <c r="AB217" i="2" s="1"/>
  <c r="W219" i="2"/>
  <c r="W218" i="2"/>
  <c r="Q219" i="2"/>
  <c r="Q218" i="2"/>
  <c r="AA219" i="2" l="1"/>
  <c r="AB219" i="2" s="1"/>
  <c r="AA218" i="2"/>
  <c r="AB218" i="2" s="1"/>
  <c r="P225" i="2" a="1"/>
  <c r="O225" i="2" a="1"/>
  <c r="O224" i="2" a="1"/>
  <c r="P224" i="2" a="1"/>
  <c r="O223" i="2" l="1" a="1"/>
  <c r="O222" i="2" a="1"/>
  <c r="P220" i="2" a="1"/>
  <c r="P223" i="2" a="1"/>
  <c r="P222" i="2" a="1"/>
  <c r="O221" i="2" a="1"/>
  <c r="W221" i="2" s="1"/>
  <c r="O220" i="2" a="1"/>
  <c r="P221" i="2" a="1"/>
  <c r="W225" i="2"/>
  <c r="W224" i="2"/>
  <c r="Q225" i="2"/>
  <c r="Q224" i="2"/>
  <c r="Q223" i="2" l="1"/>
  <c r="W220" i="2"/>
  <c r="W222" i="2"/>
  <c r="W223" i="2"/>
  <c r="Q220" i="2"/>
  <c r="AA220" i="2" s="1"/>
  <c r="AB220" i="2" s="1"/>
  <c r="Q222" i="2"/>
  <c r="Q221" i="2"/>
  <c r="AA221" i="2" s="1"/>
  <c r="AB221" i="2" s="1"/>
  <c r="AA225" i="2"/>
  <c r="AB225" i="2" s="1"/>
  <c r="AA224" i="2"/>
  <c r="AB224" i="2" s="1"/>
  <c r="AA222" i="2" l="1"/>
  <c r="AB222" i="2" s="1"/>
  <c r="AA223" i="2"/>
  <c r="AB223" i="2" s="1"/>
  <c r="P226" i="2" a="1"/>
  <c r="O229" i="2" a="1"/>
  <c r="P229" i="2" a="1"/>
  <c r="Q229" i="2" s="1"/>
  <c r="P227" i="2" a="1"/>
  <c r="Q227" i="2" s="1"/>
  <c r="O228" i="2" a="1"/>
  <c r="O226" i="2" a="1"/>
  <c r="W226" i="2" s="1"/>
  <c r="O227" i="2" a="1"/>
  <c r="P228" i="2" a="1"/>
  <c r="P230" i="2" a="1"/>
  <c r="O230" i="2" a="1"/>
  <c r="O231" i="2" a="1"/>
  <c r="P231" i="2" a="1"/>
  <c r="Q231" i="2" s="1"/>
  <c r="W228" i="2" l="1"/>
  <c r="W230" i="2"/>
  <c r="Q226" i="2"/>
  <c r="AA226" i="2" s="1"/>
  <c r="AB226" i="2" s="1"/>
  <c r="W229" i="2"/>
  <c r="AA229" i="2" s="1"/>
  <c r="AB229" i="2" s="1"/>
  <c r="W227" i="2"/>
  <c r="AA227" i="2" s="1"/>
  <c r="AB227" i="2" s="1"/>
  <c r="Q228" i="2"/>
  <c r="AA228" i="2" s="1"/>
  <c r="AB228" i="2" s="1"/>
  <c r="Q230" i="2"/>
  <c r="AA230" i="2" s="1"/>
  <c r="AB230" i="2" s="1"/>
  <c r="W231" i="2"/>
  <c r="AA231" i="2" s="1"/>
  <c r="AB231" i="2" s="1"/>
  <c r="P233" i="2" l="1" a="1"/>
  <c r="O233" i="2" a="1"/>
  <c r="P232" i="2" a="1"/>
  <c r="Q232" i="2" s="1"/>
  <c r="O232" i="2" a="1"/>
  <c r="O235" i="2" a="1"/>
  <c r="P235" i="2" a="1"/>
  <c r="Q235" i="2" s="1"/>
  <c r="P234" i="2" a="1"/>
  <c r="O234" i="2" a="1"/>
  <c r="W234" i="2" s="1"/>
  <c r="W233" i="2" l="1"/>
  <c r="W232" i="2"/>
  <c r="AA232" i="2" s="1"/>
  <c r="AB232" i="2" s="1"/>
  <c r="W235" i="2"/>
  <c r="AA235" i="2" s="1"/>
  <c r="AB235" i="2" s="1"/>
  <c r="Q234" i="2"/>
  <c r="AA234" i="2" s="1"/>
  <c r="AB234" i="2" s="1"/>
  <c r="Q233" i="2"/>
  <c r="O236" i="2" a="1"/>
  <c r="O237" i="2" a="1"/>
  <c r="P236" i="2" a="1"/>
  <c r="P237" i="2" a="1"/>
  <c r="AA233" i="2" l="1"/>
  <c r="AB233" i="2" s="1"/>
  <c r="W237" i="2"/>
  <c r="Q236" i="2"/>
  <c r="W236" i="2"/>
  <c r="Q237" i="2"/>
  <c r="P240" i="2" a="1"/>
  <c r="O241" i="2" a="1"/>
  <c r="P241" i="2" a="1"/>
  <c r="O240" i="2" a="1"/>
  <c r="O239" i="2" a="1"/>
  <c r="P239" i="2" a="1"/>
  <c r="O238" i="2" a="1"/>
  <c r="P238" i="2" a="1"/>
  <c r="AA236" i="2" l="1"/>
  <c r="AB236" i="2" s="1"/>
  <c r="AA237" i="2"/>
  <c r="AB237" i="2" s="1"/>
  <c r="W241" i="2"/>
  <c r="Q239" i="2"/>
  <c r="Q238" i="2"/>
  <c r="Q240" i="2"/>
  <c r="Q241" i="2"/>
  <c r="W240" i="2"/>
  <c r="W239" i="2"/>
  <c r="W238" i="2"/>
  <c r="AA241" i="2" l="1"/>
  <c r="AB241" i="2" s="1"/>
  <c r="AA240" i="2"/>
  <c r="AB240" i="2" s="1"/>
  <c r="AA238" i="2"/>
  <c r="AB238" i="2" s="1"/>
  <c r="AA239" i="2"/>
  <c r="AB239" i="2" s="1"/>
  <c r="P242" i="2" l="1" a="1"/>
  <c r="P245" i="2" a="1"/>
  <c r="O243" i="2" a="1"/>
  <c r="O242" i="2" a="1"/>
  <c r="O245" i="2" a="1"/>
  <c r="P244" i="2" a="1"/>
  <c r="O244" i="2" a="1"/>
  <c r="P243" i="2" a="1"/>
  <c r="Q242" i="2" l="1"/>
  <c r="Q243" i="2"/>
  <c r="Q245" i="2"/>
  <c r="Q244" i="2"/>
  <c r="W243" i="2"/>
  <c r="W242" i="2"/>
  <c r="W245" i="2"/>
  <c r="W244" i="2"/>
  <c r="AA243" i="2" l="1"/>
  <c r="AB243" i="2" s="1"/>
  <c r="AA242" i="2"/>
  <c r="AB242" i="2" s="1"/>
  <c r="AA245" i="2"/>
  <c r="AB245" i="2" s="1"/>
  <c r="AA244" i="2"/>
  <c r="AB244" i="2" s="1"/>
  <c r="P249" i="2" a="1"/>
  <c r="O248" i="2" a="1"/>
  <c r="O249" i="2" a="1"/>
  <c r="P248" i="2" a="1"/>
  <c r="W249" i="2" l="1"/>
  <c r="O247" i="2" a="1"/>
  <c r="P246" i="2" a="1"/>
  <c r="O246" i="2" a="1"/>
  <c r="P247" i="2" a="1"/>
  <c r="W248" i="2"/>
  <c r="Q249" i="2"/>
  <c r="Q248" i="2"/>
  <c r="W246" i="2" l="1"/>
  <c r="Q247" i="2"/>
  <c r="AA249" i="2"/>
  <c r="AB249" i="2" s="1"/>
  <c r="W247" i="2"/>
  <c r="Q246" i="2"/>
  <c r="P250" i="2" a="1"/>
  <c r="O251" i="2" a="1"/>
  <c r="O253" i="2" a="1"/>
  <c r="P253" i="2" a="1"/>
  <c r="P251" i="2" a="1"/>
  <c r="O252" i="2" a="1"/>
  <c r="O250" i="2" a="1"/>
  <c r="P252" i="2" a="1"/>
  <c r="AA248" i="2"/>
  <c r="AB248" i="2" s="1"/>
  <c r="AA246" i="2" l="1"/>
  <c r="AB246" i="2" s="1"/>
  <c r="AA247" i="2"/>
  <c r="AB247" i="2" s="1"/>
  <c r="Q253" i="2"/>
  <c r="Q251" i="2"/>
  <c r="W250" i="2"/>
  <c r="W251" i="2"/>
  <c r="Q252" i="2"/>
  <c r="Q250" i="2"/>
  <c r="W252" i="2"/>
  <c r="W253" i="2"/>
  <c r="AA253" i="2" l="1"/>
  <c r="AB253" i="2" s="1"/>
  <c r="AA251" i="2"/>
  <c r="AB251" i="2" s="1"/>
  <c r="AA250" i="2"/>
  <c r="AB250" i="2" s="1"/>
  <c r="AA252" i="2"/>
  <c r="AB252" i="2" s="1"/>
  <c r="O257" i="2" a="1"/>
  <c r="P256" i="2" a="1"/>
  <c r="O256" i="2" a="1"/>
  <c r="P257" i="2" a="1"/>
  <c r="P254" i="2" l="1" a="1"/>
  <c r="P255" i="2" a="1"/>
  <c r="Q255" i="2" s="1"/>
  <c r="O254" i="2" a="1"/>
  <c r="W254" i="2" s="1"/>
  <c r="O255" i="2" a="1"/>
  <c r="O258" i="2" a="1"/>
  <c r="O259" i="2" a="1"/>
  <c r="W259" i="2" s="1"/>
  <c r="P258" i="2" a="1"/>
  <c r="P259" i="2" a="1"/>
  <c r="W257" i="2"/>
  <c r="Q256" i="2"/>
  <c r="W256" i="2"/>
  <c r="Q257" i="2"/>
  <c r="Q258" i="2" l="1"/>
  <c r="Q254" i="2"/>
  <c r="AA254" i="2" s="1"/>
  <c r="AB254" i="2" s="1"/>
  <c r="W255" i="2"/>
  <c r="AA255" i="2" s="1"/>
  <c r="AB255" i="2" s="1"/>
  <c r="W258" i="2"/>
  <c r="AA258" i="2" s="1"/>
  <c r="AB258" i="2" s="1"/>
  <c r="Q259" i="2"/>
  <c r="AA259" i="2" s="1"/>
  <c r="AB259" i="2" s="1"/>
  <c r="AA257" i="2"/>
  <c r="AB257" i="2" s="1"/>
  <c r="AA256" i="2"/>
  <c r="AB256" i="2" s="1"/>
  <c r="P261" i="2" a="1"/>
  <c r="O260" i="2" a="1"/>
  <c r="P260" i="2" a="1"/>
  <c r="O261" i="2" a="1"/>
  <c r="O263" i="2" a="1"/>
  <c r="P263" i="2" a="1"/>
  <c r="O262" i="2" a="1"/>
  <c r="P262" i="2" a="1"/>
  <c r="W263" i="2" l="1"/>
  <c r="W260" i="2"/>
  <c r="Q263" i="2"/>
  <c r="W262" i="2"/>
  <c r="W261" i="2"/>
  <c r="Q261" i="2"/>
  <c r="Q260" i="2"/>
  <c r="Q262" i="2"/>
  <c r="AA263" i="2" l="1"/>
  <c r="AB263" i="2" s="1"/>
  <c r="AA262" i="2"/>
  <c r="AB262" i="2" s="1"/>
  <c r="AA260" i="2"/>
  <c r="AB260" i="2" s="1"/>
  <c r="AA261" i="2"/>
  <c r="AB261" i="2" s="1"/>
  <c r="P264" i="2" l="1" a="1"/>
  <c r="Q264" i="2" s="1"/>
  <c r="O265" i="2" a="1"/>
  <c r="P265" i="2" a="1"/>
  <c r="O264" i="2" a="1"/>
  <c r="W265" i="2" l="1"/>
  <c r="Q265" i="2"/>
  <c r="W264" i="2"/>
  <c r="AA264" i="2" s="1"/>
  <c r="AB264" i="2" s="1"/>
  <c r="O269" i="2" a="1"/>
  <c r="O268" i="2" a="1"/>
  <c r="P268" i="2" a="1"/>
  <c r="P269" i="2" a="1"/>
  <c r="P267" i="2" a="1"/>
  <c r="O267" i="2" a="1"/>
  <c r="O266" i="2" a="1"/>
  <c r="P266" i="2" a="1"/>
  <c r="AA265" i="2" l="1"/>
  <c r="AB265" i="2" s="1"/>
  <c r="Q267" i="2"/>
  <c r="Q268" i="2"/>
  <c r="Q269" i="2"/>
  <c r="W266" i="2"/>
  <c r="W269" i="2"/>
  <c r="W268" i="2"/>
  <c r="W267" i="2"/>
  <c r="Q266" i="2"/>
  <c r="AA267" i="2" l="1"/>
  <c r="AB267" i="2" s="1"/>
  <c r="AA268" i="2"/>
  <c r="AB268" i="2" s="1"/>
  <c r="AA269" i="2"/>
  <c r="AB269" i="2" s="1"/>
  <c r="AA266" i="2"/>
  <c r="AB266" i="2" s="1"/>
  <c r="O271" i="2" a="1"/>
  <c r="O270" i="2" a="1"/>
  <c r="P270" i="2" a="1"/>
  <c r="P271" i="2" a="1"/>
  <c r="Q270" i="2" l="1"/>
  <c r="W271" i="2"/>
  <c r="W270" i="2"/>
  <c r="Q271" i="2"/>
  <c r="AA271" i="2" l="1"/>
  <c r="AB271" i="2" s="1"/>
  <c r="AA270" i="2"/>
  <c r="AB270" i="2" s="1"/>
  <c r="P272" i="2" a="1"/>
  <c r="O273" i="2" a="1"/>
  <c r="O272" i="2" a="1"/>
  <c r="P273" i="2" a="1"/>
  <c r="P275" i="2" a="1"/>
  <c r="P274" i="2" a="1"/>
  <c r="O275" i="2" a="1"/>
  <c r="W275" i="2" s="1"/>
  <c r="O274" i="2" a="1"/>
  <c r="W274" i="2" l="1"/>
  <c r="Q272" i="2"/>
  <c r="Q273" i="2"/>
  <c r="Q275" i="2"/>
  <c r="AA275" i="2" s="1"/>
  <c r="AB275" i="2" s="1"/>
  <c r="W272" i="2"/>
  <c r="Q274" i="2"/>
  <c r="W273" i="2"/>
  <c r="P277" i="2" a="1"/>
  <c r="P276" i="2" a="1"/>
  <c r="O276" i="2" a="1"/>
  <c r="O277" i="2" a="1"/>
  <c r="AA274" i="2" l="1"/>
  <c r="AB274" i="2" s="1"/>
  <c r="AA272" i="2"/>
  <c r="AB272" i="2" s="1"/>
  <c r="O279" i="2" s="1" a="1"/>
  <c r="W276" i="2"/>
  <c r="AA273" i="2"/>
  <c r="AB273" i="2" s="1"/>
  <c r="W277" i="2"/>
  <c r="Q277" i="2"/>
  <c r="AA277" i="2" s="1"/>
  <c r="AB277" i="2" s="1"/>
  <c r="Q276" i="2"/>
  <c r="P279" i="2" a="1"/>
  <c r="P278" i="2" a="1"/>
  <c r="O278" i="2" a="1"/>
  <c r="AA276" i="2" l="1"/>
  <c r="AB276" i="2" s="1"/>
  <c r="Q279" i="2"/>
  <c r="Q278" i="2"/>
  <c r="W278" i="2"/>
  <c r="W279" i="2"/>
  <c r="AA279" i="2" l="1"/>
  <c r="AB279" i="2" s="1"/>
  <c r="AA278" i="2"/>
  <c r="AB278" i="2" s="1"/>
  <c r="O283" i="2" a="1"/>
  <c r="P282" i="2" a="1"/>
  <c r="O282" i="2" a="1"/>
  <c r="P283" i="2" a="1"/>
  <c r="O280" i="2" l="1" a="1"/>
  <c r="P281" i="2" a="1"/>
  <c r="O281" i="2" a="1"/>
  <c r="P280" i="2" a="1"/>
  <c r="Q283" i="2"/>
  <c r="Q282" i="2"/>
  <c r="W283" i="2"/>
  <c r="W282" i="2"/>
  <c r="W281" i="2" l="1"/>
  <c r="Q280" i="2"/>
  <c r="W280" i="2"/>
  <c r="Q281" i="2"/>
  <c r="AA281" i="2" s="1"/>
  <c r="AB281" i="2" s="1"/>
  <c r="AA283" i="2"/>
  <c r="AB283" i="2" s="1"/>
  <c r="AA282" i="2"/>
  <c r="AB282" i="2" s="1"/>
  <c r="O287" i="2" a="1"/>
  <c r="P286" i="2" a="1"/>
  <c r="AA280" i="2" l="1"/>
  <c r="AB280" i="2" s="1"/>
  <c r="O285" i="2" a="1"/>
  <c r="P284" i="2" a="1"/>
  <c r="Q284" i="2" s="1"/>
  <c r="O284" i="2" a="1"/>
  <c r="P285" i="2" a="1"/>
  <c r="P287" i="2" l="1" a="1"/>
  <c r="O286" i="2" a="1"/>
  <c r="W285" i="2"/>
  <c r="Q285" i="2"/>
  <c r="W284" i="2"/>
  <c r="AA284" i="2" s="1"/>
  <c r="AB284" i="2" s="1"/>
  <c r="Q287" i="2" l="1"/>
  <c r="W287" i="2"/>
  <c r="AA287" i="2" s="1"/>
  <c r="AB287" i="2" s="1"/>
  <c r="Q286" i="2"/>
  <c r="W286" i="2"/>
  <c r="AA286" i="2" s="1"/>
  <c r="AB286" i="2" s="1"/>
  <c r="AA285" i="2"/>
  <c r="AB285" i="2" s="1"/>
  <c r="O288" i="2" a="1"/>
  <c r="W288" i="2" s="1"/>
  <c r="P289" i="2" a="1"/>
  <c r="P288" i="2" a="1"/>
  <c r="O289" i="2" a="1"/>
  <c r="O293" i="2" a="1"/>
  <c r="P291" i="2" a="1"/>
  <c r="P290" i="2" a="1"/>
  <c r="P293" i="2" a="1"/>
  <c r="O292" i="2" a="1"/>
  <c r="P292" i="2" a="1"/>
  <c r="O291" i="2" a="1"/>
  <c r="O290" i="2" a="1"/>
  <c r="W289" i="2" l="1"/>
  <c r="Q292" i="2"/>
  <c r="Q289" i="2"/>
  <c r="AA289" i="2" s="1"/>
  <c r="AB289" i="2" s="1"/>
  <c r="Q288" i="2"/>
  <c r="AA288" i="2" s="1"/>
  <c r="AB288" i="2" s="1"/>
  <c r="Q293" i="2"/>
  <c r="Q291" i="2"/>
  <c r="W290" i="2"/>
  <c r="W293" i="2"/>
  <c r="Q290" i="2"/>
  <c r="W292" i="2"/>
  <c r="AA292" i="2" s="1"/>
  <c r="AB292" i="2" s="1"/>
  <c r="W291" i="2"/>
  <c r="AA293" i="2" l="1"/>
  <c r="AB293" i="2" s="1"/>
  <c r="AA291" i="2"/>
  <c r="AB291" i="2" s="1"/>
  <c r="AA290" i="2"/>
  <c r="AB290" i="2" s="1"/>
  <c r="P295" i="2" l="1" a="1"/>
  <c r="P294" i="2" a="1"/>
  <c r="O295" i="2" a="1"/>
  <c r="W295" i="2" s="1"/>
  <c r="O294" i="2" a="1"/>
  <c r="O297" i="2" a="1"/>
  <c r="P296" i="2" a="1"/>
  <c r="O296" i="2" a="1"/>
  <c r="P297" i="2" a="1"/>
  <c r="W294" i="2" l="1"/>
  <c r="Q295" i="2"/>
  <c r="AA295" i="2" s="1"/>
  <c r="AB295" i="2" s="1"/>
  <c r="Q294" i="2"/>
  <c r="W296" i="2"/>
  <c r="Q297" i="2"/>
  <c r="Q296" i="2"/>
  <c r="W297" i="2"/>
  <c r="P298" i="2" a="1"/>
  <c r="P299" i="2" a="1"/>
  <c r="O299" i="2" a="1"/>
  <c r="O298" i="2" a="1"/>
  <c r="AA294" i="2" l="1"/>
  <c r="AB294" i="2" s="1"/>
  <c r="AA296" i="2"/>
  <c r="AB296" i="2" s="1"/>
  <c r="AA297" i="2"/>
  <c r="AB297" i="2" s="1"/>
  <c r="W299" i="2"/>
  <c r="Q298" i="2"/>
  <c r="Q299" i="2"/>
  <c r="W298" i="2"/>
  <c r="AA298" i="2" l="1"/>
  <c r="AB298" i="2" s="1"/>
  <c r="AA299" i="2"/>
  <c r="AB299" i="2" s="1"/>
  <c r="O301" i="2" l="1" a="1"/>
  <c r="P300" i="2" a="1"/>
  <c r="O300" i="2" a="1"/>
  <c r="P301" i="2" a="1"/>
  <c r="W300" i="2" l="1"/>
  <c r="W301" i="2"/>
  <c r="Q300" i="2"/>
  <c r="Q301" i="2"/>
  <c r="AA300" i="2" l="1"/>
  <c r="AB300" i="2" s="1"/>
  <c r="AA301" i="2"/>
  <c r="AB301" i="2" s="1"/>
  <c r="P303" i="2" a="1"/>
  <c r="O302" i="2" a="1"/>
  <c r="O303" i="2" a="1"/>
  <c r="P302" i="2" a="1"/>
  <c r="Q303" i="2" l="1"/>
  <c r="W302" i="2"/>
  <c r="W303" i="2"/>
  <c r="Q302" i="2"/>
  <c r="AA303" i="2" l="1"/>
  <c r="AB303" i="2" s="1"/>
  <c r="AA302" i="2"/>
  <c r="AB302" i="2" s="1"/>
  <c r="P304" i="2" l="1" a="1"/>
  <c r="O305" i="2" a="1"/>
  <c r="P305" i="2" a="1"/>
  <c r="O304" i="2" a="1"/>
  <c r="W305" i="2" l="1"/>
  <c r="W304" i="2"/>
  <c r="Q304" i="2"/>
  <c r="Q305" i="2"/>
  <c r="AA304" i="2" l="1"/>
  <c r="AB304" i="2" s="1"/>
  <c r="AA305" i="2"/>
  <c r="AB305" i="2" s="1"/>
  <c r="P306" i="2" a="1"/>
  <c r="O307" i="2" a="1"/>
  <c r="O306" i="2" a="1"/>
  <c r="P307" i="2" a="1"/>
  <c r="W306" i="2" l="1"/>
  <c r="Q307" i="2"/>
  <c r="W307" i="2"/>
  <c r="Q306" i="2"/>
  <c r="AA307" i="2" l="1"/>
  <c r="AB307" i="2" s="1"/>
  <c r="AA306" i="2"/>
  <c r="AB306" i="2" s="1"/>
  <c r="P311" i="2" a="1"/>
  <c r="P308" i="2" a="1"/>
  <c r="O311" i="2" a="1"/>
  <c r="O309" i="2" a="1"/>
  <c r="P310" i="2" a="1"/>
  <c r="P309" i="2" a="1"/>
  <c r="O310" i="2" a="1"/>
  <c r="O308" i="2" a="1"/>
  <c r="O314" i="2" a="1"/>
  <c r="O315" i="2" a="1"/>
  <c r="P314" i="2" a="1"/>
  <c r="O313" i="2" a="1"/>
  <c r="P312" i="2" a="1"/>
  <c r="O312" i="2" a="1"/>
  <c r="W312" i="2" s="1"/>
  <c r="P315" i="2" a="1"/>
  <c r="P313" i="2" a="1"/>
  <c r="W309" i="2" l="1"/>
  <c r="Q308" i="2"/>
  <c r="W314" i="2"/>
  <c r="W315" i="2"/>
  <c r="W311" i="2"/>
  <c r="Q310" i="2"/>
  <c r="W313" i="2"/>
  <c r="Q311" i="2"/>
  <c r="Q309" i="2"/>
  <c r="W310" i="2"/>
  <c r="W308" i="2"/>
  <c r="Q314" i="2"/>
  <c r="Q312" i="2"/>
  <c r="AA312" i="2" s="1"/>
  <c r="AB312" i="2" s="1"/>
  <c r="Q315" i="2"/>
  <c r="Q313" i="2"/>
  <c r="AA309" i="2" l="1"/>
  <c r="AB309" i="2" s="1"/>
  <c r="AA308" i="2"/>
  <c r="AB308" i="2" s="1"/>
  <c r="AA314" i="2"/>
  <c r="AB314" i="2" s="1"/>
  <c r="AA315" i="2"/>
  <c r="AB315" i="2" s="1"/>
  <c r="AA310" i="2"/>
  <c r="AB310" i="2" s="1"/>
  <c r="AA313" i="2"/>
  <c r="AB313" i="2" s="1"/>
  <c r="AA311" i="2"/>
  <c r="AB311" i="2" s="1"/>
  <c r="O317" i="2" a="1"/>
  <c r="P316" i="2" a="1"/>
  <c r="O316" i="2" a="1"/>
  <c r="P317" i="2" a="1"/>
  <c r="Q317" i="2" s="1"/>
  <c r="W316" i="2" l="1"/>
  <c r="W317" i="2"/>
  <c r="AA317" i="2" s="1"/>
  <c r="AB317" i="2" s="1"/>
  <c r="Q316" i="2"/>
  <c r="O318" i="2" l="1" a="1"/>
  <c r="P318" i="2" a="1"/>
  <c r="Q318" i="2" s="1"/>
  <c r="P319" i="2" a="1"/>
  <c r="O319" i="2" a="1"/>
  <c r="W319" i="2" s="1"/>
  <c r="AA316" i="2"/>
  <c r="AB316" i="2" s="1"/>
  <c r="O321" i="2" a="1"/>
  <c r="P320" i="2" a="1"/>
  <c r="P321" i="2" a="1"/>
  <c r="O320" i="2" a="1"/>
  <c r="O325" i="2" a="1"/>
  <c r="O324" i="2" a="1"/>
  <c r="P325" i="2" a="1"/>
  <c r="P324" i="2" a="1"/>
  <c r="O322" i="2" a="1"/>
  <c r="P322" i="2" a="1"/>
  <c r="P323" i="2" a="1"/>
  <c r="O323" i="2" a="1"/>
  <c r="Q319" i="2" l="1"/>
  <c r="AA319" i="2" s="1"/>
  <c r="AB319" i="2" s="1"/>
  <c r="Q321" i="2"/>
  <c r="W318" i="2"/>
  <c r="AA318" i="2" s="1"/>
  <c r="AB318" i="2" s="1"/>
  <c r="W325" i="2"/>
  <c r="Q322" i="2"/>
  <c r="W320" i="2"/>
  <c r="Q324" i="2"/>
  <c r="Q323" i="2"/>
  <c r="W321" i="2"/>
  <c r="W324" i="2"/>
  <c r="Q325" i="2"/>
  <c r="W322" i="2"/>
  <c r="W323" i="2"/>
  <c r="Q320" i="2"/>
  <c r="AA321" i="2" l="1"/>
  <c r="AB321" i="2" s="1"/>
  <c r="AA325" i="2"/>
  <c r="AB325" i="2" s="1"/>
  <c r="AA322" i="2"/>
  <c r="AB322" i="2" s="1"/>
  <c r="AA324" i="2"/>
  <c r="AB324" i="2" s="1"/>
  <c r="AA323" i="2"/>
  <c r="AB323" i="2" s="1"/>
  <c r="AA320" i="2"/>
  <c r="AB320" i="2" s="1"/>
  <c r="O326" i="2" l="1" a="1"/>
  <c r="P327" i="2" a="1"/>
  <c r="P326" i="2" a="1"/>
  <c r="O327" i="2" a="1"/>
  <c r="W326" i="2" l="1"/>
  <c r="Q326" i="2"/>
  <c r="Q327" i="2"/>
  <c r="W327" i="2"/>
  <c r="AA327" i="2" l="1"/>
  <c r="AB327" i="2" s="1"/>
  <c r="AA326" i="2"/>
  <c r="AB326" i="2" s="1"/>
  <c r="O328" i="2" l="1" a="1"/>
  <c r="W328" i="2" s="1"/>
  <c r="P329" i="2" a="1"/>
  <c r="P330" i="2" a="1"/>
  <c r="O331" i="2" a="1"/>
  <c r="P331" i="2" a="1"/>
  <c r="O330" i="2" a="1"/>
  <c r="O329" i="2" a="1"/>
  <c r="W329" i="2" s="1"/>
  <c r="P328" i="2" a="1"/>
  <c r="Q330" i="2" l="1"/>
  <c r="Q331" i="2"/>
  <c r="Q329" i="2"/>
  <c r="AA329" i="2" s="1"/>
  <c r="AB329" i="2" s="1"/>
  <c r="W331" i="2"/>
  <c r="W330" i="2"/>
  <c r="Q328" i="2"/>
  <c r="AA328" i="2" s="1"/>
  <c r="AB328" i="2" s="1"/>
  <c r="P336" i="2" a="1"/>
  <c r="O339" i="2" a="1"/>
  <c r="O337" i="2" a="1"/>
  <c r="P337" i="2" a="1"/>
  <c r="O336" i="2" a="1"/>
  <c r="P338" i="2" a="1"/>
  <c r="P339" i="2" a="1"/>
  <c r="O338" i="2" a="1"/>
  <c r="AA331" i="2" l="1"/>
  <c r="AB331" i="2" s="1"/>
  <c r="AA330" i="2"/>
  <c r="AB330" i="2" s="1"/>
  <c r="O335" i="2" a="1"/>
  <c r="O334" i="2" a="1"/>
  <c r="P335" i="2" a="1"/>
  <c r="O332" i="2" a="1"/>
  <c r="W332" i="2" s="1"/>
  <c r="O333" i="2" a="1"/>
  <c r="P332" i="2" a="1"/>
  <c r="P333" i="2" a="1"/>
  <c r="P334" i="2" a="1"/>
  <c r="W339" i="2"/>
  <c r="Q337" i="2"/>
  <c r="W336" i="2"/>
  <c r="Q338" i="2"/>
  <c r="Q336" i="2"/>
  <c r="W337" i="2"/>
  <c r="Q339" i="2"/>
  <c r="W338" i="2"/>
  <c r="Q335" i="2" l="1"/>
  <c r="Q334" i="2"/>
  <c r="W335" i="2"/>
  <c r="AA335" i="2" s="1"/>
  <c r="AB335" i="2" s="1"/>
  <c r="W333" i="2"/>
  <c r="Q332" i="2"/>
  <c r="AA332" i="2" s="1"/>
  <c r="AB332" i="2" s="1"/>
  <c r="Q333" i="2"/>
  <c r="W334" i="2"/>
  <c r="AA336" i="2"/>
  <c r="AB336" i="2" s="1"/>
  <c r="AA337" i="2"/>
  <c r="AB337" i="2" s="1"/>
  <c r="AA339" i="2"/>
  <c r="AB339" i="2" s="1"/>
  <c r="AA338" i="2"/>
  <c r="AB338" i="2" s="1"/>
  <c r="O347" i="2" a="1"/>
  <c r="P346" i="2" a="1"/>
  <c r="O342" i="2" a="1"/>
  <c r="P342" i="2" a="1"/>
  <c r="O340" i="2" a="1"/>
  <c r="O341" i="2" a="1"/>
  <c r="O343" i="2" a="1"/>
  <c r="P340" i="2" a="1"/>
  <c r="P341" i="2" a="1"/>
  <c r="P343" i="2" a="1"/>
  <c r="P344" i="2" a="1"/>
  <c r="P345" i="2" a="1"/>
  <c r="O345" i="2" a="1"/>
  <c r="O344" i="2" a="1"/>
  <c r="AA334" i="2" l="1"/>
  <c r="AB334" i="2" s="1"/>
  <c r="AA333" i="2"/>
  <c r="AB333" i="2" s="1"/>
  <c r="Q343" i="2"/>
  <c r="W345" i="2"/>
  <c r="Q341" i="2"/>
  <c r="W342" i="2"/>
  <c r="W340" i="2"/>
  <c r="W344" i="2"/>
  <c r="Q342" i="2"/>
  <c r="W341" i="2"/>
  <c r="W343" i="2"/>
  <c r="Q344" i="2"/>
  <c r="Q340" i="2"/>
  <c r="Q345" i="2"/>
  <c r="O346" i="2" l="1" a="1"/>
  <c r="P347" i="2" a="1"/>
  <c r="AA341" i="2"/>
  <c r="AB341" i="2" s="1"/>
  <c r="AA343" i="2"/>
  <c r="AB343" i="2" s="1"/>
  <c r="AA345" i="2"/>
  <c r="AB345" i="2" s="1"/>
  <c r="AA344" i="2"/>
  <c r="AB344" i="2" s="1"/>
  <c r="AA342" i="2"/>
  <c r="AB342" i="2" s="1"/>
  <c r="AA340" i="2"/>
  <c r="AB340" i="2" s="1"/>
  <c r="P348" i="2" a="1"/>
  <c r="O348" i="2" a="1"/>
  <c r="P349" i="2" a="1"/>
  <c r="O349" i="2" a="1"/>
  <c r="W346" i="2" l="1"/>
  <c r="Q346" i="2"/>
  <c r="Q347" i="2"/>
  <c r="W347" i="2"/>
  <c r="AA347" i="2" s="1"/>
  <c r="AB347" i="2" s="1"/>
  <c r="Q348" i="2"/>
  <c r="W349" i="2"/>
  <c r="W348" i="2"/>
  <c r="Q349" i="2"/>
  <c r="AA346" i="2" l="1"/>
  <c r="AB346" i="2" s="1"/>
  <c r="AA348" i="2"/>
  <c r="AB348" i="2" s="1"/>
  <c r="AA349" i="2"/>
  <c r="AB349" i="2" s="1"/>
  <c r="P350" i="2" a="1"/>
  <c r="P351" i="2" a="1"/>
  <c r="O351" i="2" a="1"/>
  <c r="O350" i="2" a="1"/>
  <c r="W350" i="2" l="1"/>
  <c r="W351" i="2"/>
  <c r="Q351" i="2"/>
  <c r="Q350" i="2"/>
  <c r="AA351" i="2" l="1"/>
  <c r="AB351" i="2" s="1"/>
  <c r="AA350" i="2"/>
  <c r="AB350" i="2" s="1"/>
  <c r="P355" i="2" a="1"/>
  <c r="P354" i="2" a="1"/>
  <c r="O352" i="2" a="1"/>
  <c r="O355" i="2" a="1"/>
  <c r="O354" i="2" a="1"/>
  <c r="P353" i="2" a="1"/>
  <c r="P352" i="2" a="1"/>
  <c r="O353" i="2" a="1"/>
  <c r="Q354" i="2" l="1"/>
  <c r="Q352" i="2"/>
  <c r="Q355" i="2"/>
  <c r="W353" i="2"/>
  <c r="W352" i="2"/>
  <c r="W354" i="2"/>
  <c r="W355" i="2"/>
  <c r="Q353" i="2"/>
  <c r="AA352" i="2" l="1"/>
  <c r="AB352" i="2" s="1"/>
  <c r="AA353" i="2"/>
  <c r="AB353" i="2" s="1"/>
  <c r="AA354" i="2"/>
  <c r="AB354" i="2" s="1"/>
  <c r="AA355" i="2"/>
  <c r="AB355" i="2" s="1"/>
  <c r="P357" i="2" a="1"/>
  <c r="O357" i="2" a="1"/>
  <c r="P356" i="2" a="1"/>
  <c r="O356" i="2" a="1"/>
  <c r="P358" i="2" a="1"/>
  <c r="P363" i="2" a="1"/>
  <c r="P361" i="2" a="1"/>
  <c r="O358" i="2" a="1"/>
  <c r="O359" i="2" a="1"/>
  <c r="O360" i="2" a="1"/>
  <c r="P359" i="2" a="1"/>
  <c r="P362" i="2" a="1"/>
  <c r="O362" i="2" a="1"/>
  <c r="O363" i="2" a="1"/>
  <c r="O361" i="2" a="1"/>
  <c r="P360" i="2" a="1"/>
  <c r="Q360" i="2" s="1"/>
  <c r="W359" i="2" l="1"/>
  <c r="W357" i="2"/>
  <c r="Q356" i="2"/>
  <c r="Q363" i="2"/>
  <c r="W358" i="2"/>
  <c r="W362" i="2"/>
  <c r="W361" i="2"/>
  <c r="W356" i="2"/>
  <c r="Q358" i="2"/>
  <c r="Q361" i="2"/>
  <c r="W360" i="2"/>
  <c r="AA360" i="2" s="1"/>
  <c r="AB360" i="2" s="1"/>
  <c r="Q359" i="2"/>
  <c r="Q362" i="2"/>
  <c r="W363" i="2"/>
  <c r="Q357" i="2"/>
  <c r="AA356" i="2" l="1"/>
  <c r="AB356" i="2" s="1"/>
  <c r="AA359" i="2"/>
  <c r="AB359" i="2" s="1"/>
  <c r="AA357" i="2"/>
  <c r="AB357" i="2" s="1"/>
  <c r="AA358" i="2"/>
  <c r="AB358" i="2" s="1"/>
  <c r="AA361" i="2"/>
  <c r="AB361" i="2" s="1"/>
  <c r="AA362" i="2"/>
  <c r="AB362" i="2" s="1"/>
  <c r="AA363" i="2"/>
  <c r="AB363" i="2" s="1"/>
  <c r="O365" i="2" l="1" a="1"/>
  <c r="W365" i="2" s="1"/>
  <c r="O364" i="2" a="1"/>
  <c r="P364" i="2" a="1"/>
  <c r="P365" i="2" a="1"/>
  <c r="W364" i="2" l="1"/>
  <c r="Q364" i="2"/>
  <c r="AA364" i="2" s="1"/>
  <c r="AB364" i="2" s="1"/>
  <c r="Q365" i="2"/>
  <c r="AA365" i="2" s="1"/>
  <c r="AB365" i="2" s="1"/>
  <c r="P371" i="2" a="1"/>
  <c r="O370" i="2" a="1"/>
  <c r="P370" i="2" a="1"/>
  <c r="O371" i="2" a="1"/>
  <c r="O374" i="2" a="1"/>
  <c r="P373" i="2" a="1"/>
  <c r="P374" i="2" a="1"/>
  <c r="P375" i="2" a="1"/>
  <c r="O373" i="2" a="1"/>
  <c r="P372" i="2" a="1"/>
  <c r="O372" i="2" a="1"/>
  <c r="O375" i="2" a="1"/>
  <c r="P368" i="2" l="1" a="1"/>
  <c r="P366" i="2" a="1"/>
  <c r="O366" i="2" a="1"/>
  <c r="P367" i="2" a="1"/>
  <c r="P369" i="2" a="1"/>
  <c r="O367" i="2" a="1"/>
  <c r="O369" i="2" a="1"/>
  <c r="O368" i="2" a="1"/>
  <c r="W370" i="2"/>
  <c r="Q374" i="2"/>
  <c r="W372" i="2"/>
  <c r="W371" i="2"/>
  <c r="Q375" i="2"/>
  <c r="W373" i="2"/>
  <c r="Q371" i="2"/>
  <c r="Q370" i="2"/>
  <c r="W374" i="2"/>
  <c r="Q373" i="2"/>
  <c r="Q372" i="2"/>
  <c r="W375" i="2"/>
  <c r="Q368" i="2" l="1"/>
  <c r="Q369" i="2"/>
  <c r="Q367" i="2"/>
  <c r="Q366" i="2"/>
  <c r="W367" i="2"/>
  <c r="W369" i="2"/>
  <c r="W368" i="2"/>
  <c r="W366" i="2"/>
  <c r="AA371" i="2"/>
  <c r="AB371" i="2" s="1"/>
  <c r="AA370" i="2"/>
  <c r="AB370" i="2" s="1"/>
  <c r="AA374" i="2"/>
  <c r="AB374" i="2" s="1"/>
  <c r="AA372" i="2"/>
  <c r="AB372" i="2" s="1"/>
  <c r="AA373" i="2"/>
  <c r="AB373" i="2" s="1"/>
  <c r="AA375" i="2"/>
  <c r="AB375" i="2" s="1"/>
  <c r="O377" i="2" a="1"/>
  <c r="P377" i="2" a="1"/>
  <c r="O376" i="2" a="1"/>
  <c r="P376" i="2" a="1"/>
  <c r="O379" i="2" a="1"/>
  <c r="P379" i="2" a="1"/>
  <c r="P378" i="2" a="1"/>
  <c r="O378" i="2" a="1"/>
  <c r="AA367" i="2" l="1"/>
  <c r="AB367" i="2" s="1"/>
  <c r="AA369" i="2"/>
  <c r="AB369" i="2" s="1"/>
  <c r="AA368" i="2"/>
  <c r="AB368" i="2" s="1"/>
  <c r="AA366" i="2"/>
  <c r="AB366" i="2" s="1"/>
  <c r="W376" i="2"/>
  <c r="Q377" i="2"/>
  <c r="W377" i="2"/>
  <c r="Q376" i="2"/>
  <c r="Q378" i="2"/>
  <c r="W379" i="2"/>
  <c r="Q379" i="2"/>
  <c r="W378" i="2"/>
  <c r="AA377" i="2" l="1"/>
  <c r="AB377" i="2" s="1"/>
  <c r="AA376" i="2"/>
  <c r="AB376" i="2" s="1"/>
  <c r="AA378" i="2"/>
  <c r="AB378" i="2" s="1"/>
  <c r="AA379" i="2"/>
  <c r="AB379" i="2" s="1"/>
  <c r="O380" i="2" l="1" a="1"/>
  <c r="P380" i="2" a="1"/>
  <c r="O381" i="2" a="1"/>
  <c r="P381" i="2" a="1"/>
  <c r="O382" i="2" a="1"/>
  <c r="P382" i="2" a="1"/>
  <c r="P383" i="2" a="1"/>
  <c r="O383" i="2" a="1"/>
  <c r="W380" i="2" l="1"/>
  <c r="W381" i="2"/>
  <c r="Q381" i="2"/>
  <c r="AA381" i="2" s="1"/>
  <c r="AB381" i="2" s="1"/>
  <c r="Q380" i="2"/>
  <c r="AA380" i="2" s="1"/>
  <c r="AB380" i="2" s="1"/>
  <c r="Q383" i="2"/>
  <c r="W382" i="2"/>
  <c r="Q382" i="2"/>
  <c r="W383" i="2"/>
  <c r="AA382" i="2" l="1"/>
  <c r="AB382" i="2" s="1"/>
  <c r="AA383" i="2"/>
  <c r="AB383" i="2" s="1"/>
  <c r="P385" i="2" l="1" a="1"/>
  <c r="P384" i="2" a="1"/>
  <c r="O384" i="2" a="1"/>
  <c r="O385" i="2" a="1"/>
  <c r="Q384" i="2" l="1"/>
  <c r="W385" i="2"/>
  <c r="Q385" i="2"/>
  <c r="AA385" i="2" s="1"/>
  <c r="AB385" i="2" s="1"/>
  <c r="W384" i="2"/>
  <c r="P391" i="2" a="1"/>
  <c r="O390" i="2" a="1"/>
  <c r="P390" i="2" a="1"/>
  <c r="O391" i="2" a="1"/>
  <c r="AA384" i="2" l="1"/>
  <c r="AB384" i="2" s="1"/>
  <c r="P388" i="2" a="1"/>
  <c r="P389" i="2" a="1"/>
  <c r="O388" i="2" a="1"/>
  <c r="P386" i="2" a="1"/>
  <c r="P387" i="2" a="1"/>
  <c r="O387" i="2" a="1"/>
  <c r="O389" i="2" a="1"/>
  <c r="W389" i="2" s="1"/>
  <c r="O386" i="2" a="1"/>
  <c r="W386" i="2" s="1"/>
  <c r="O393" i="2" a="1"/>
  <c r="O392" i="2" a="1"/>
  <c r="P393" i="2" a="1"/>
  <c r="P392" i="2" a="1"/>
  <c r="W391" i="2"/>
  <c r="W390" i="2"/>
  <c r="Q390" i="2"/>
  <c r="Q391" i="2"/>
  <c r="Q393" i="2" l="1"/>
  <c r="W388" i="2"/>
  <c r="Q387" i="2"/>
  <c r="W392" i="2"/>
  <c r="Q388" i="2"/>
  <c r="AA388" i="2" s="1"/>
  <c r="AB388" i="2" s="1"/>
  <c r="Q386" i="2"/>
  <c r="AA386" i="2" s="1"/>
  <c r="AB386" i="2" s="1"/>
  <c r="W387" i="2"/>
  <c r="W393" i="2"/>
  <c r="Q392" i="2"/>
  <c r="Q389" i="2"/>
  <c r="AA389" i="2" s="1"/>
  <c r="AB389" i="2" s="1"/>
  <c r="AA391" i="2"/>
  <c r="AB391" i="2" s="1"/>
  <c r="AA390" i="2"/>
  <c r="AB390" i="2" s="1"/>
  <c r="P399" i="2" a="1"/>
  <c r="P398" i="2" a="1"/>
  <c r="O399" i="2" a="1"/>
  <c r="O398" i="2" a="1"/>
  <c r="O400" i="2" a="1"/>
  <c r="O401" i="2" a="1"/>
  <c r="P400" i="2" a="1"/>
  <c r="P401" i="2" a="1"/>
  <c r="AA393" i="2" l="1"/>
  <c r="AB393" i="2" s="1"/>
  <c r="AA387" i="2"/>
  <c r="AB387" i="2" s="1"/>
  <c r="AA392" i="2"/>
  <c r="AB392" i="2" s="1"/>
  <c r="P397" i="2" a="1"/>
  <c r="O396" i="2" a="1"/>
  <c r="O394" i="2" a="1"/>
  <c r="O395" i="2" a="1"/>
  <c r="P394" i="2" a="1"/>
  <c r="P395" i="2" a="1"/>
  <c r="Q395" i="2" s="1"/>
  <c r="O397" i="2" a="1"/>
  <c r="W397" i="2" s="1"/>
  <c r="P396" i="2" a="1"/>
  <c r="Q398" i="2"/>
  <c r="W399" i="2"/>
  <c r="W400" i="2"/>
  <c r="Q399" i="2"/>
  <c r="W401" i="2"/>
  <c r="Q400" i="2"/>
  <c r="W398" i="2"/>
  <c r="Q401" i="2"/>
  <c r="W396" i="2" l="1"/>
  <c r="Q394" i="2"/>
  <c r="Q397" i="2"/>
  <c r="AA397" i="2" s="1"/>
  <c r="AB397" i="2" s="1"/>
  <c r="W394" i="2"/>
  <c r="W395" i="2"/>
  <c r="AA395" i="2" s="1"/>
  <c r="AB395" i="2" s="1"/>
  <c r="Q396" i="2"/>
  <c r="AA399" i="2"/>
  <c r="AB399" i="2" s="1"/>
  <c r="AA400" i="2"/>
  <c r="AB400" i="2" s="1"/>
  <c r="AA398" i="2"/>
  <c r="AB398" i="2" s="1"/>
  <c r="AA401" i="2"/>
  <c r="AB401" i="2" s="1"/>
  <c r="P405" i="2" a="1"/>
  <c r="O404" i="2" a="1"/>
  <c r="P403" i="2" a="1"/>
  <c r="O402" i="2" a="1"/>
  <c r="P404" i="2" a="1"/>
  <c r="O405" i="2" a="1"/>
  <c r="P406" i="2" a="1"/>
  <c r="O407" i="2" a="1"/>
  <c r="P408" i="2" a="1"/>
  <c r="O409" i="2" a="1"/>
  <c r="O408" i="2" a="1"/>
  <c r="P409" i="2" a="1"/>
  <c r="O406" i="2" a="1"/>
  <c r="P407" i="2" a="1"/>
  <c r="AA394" i="2" l="1"/>
  <c r="AB394" i="2" s="1"/>
  <c r="AA396" i="2"/>
  <c r="AB396" i="2" s="1"/>
  <c r="W409" i="2"/>
  <c r="Q406" i="2"/>
  <c r="Q408" i="2"/>
  <c r="Q405" i="2"/>
  <c r="Q404" i="2"/>
  <c r="Q407" i="2"/>
  <c r="W405" i="2"/>
  <c r="W407" i="2"/>
  <c r="W408" i="2"/>
  <c r="Q409" i="2"/>
  <c r="W406" i="2"/>
  <c r="W404" i="2"/>
  <c r="O403" i="2" l="1" a="1"/>
  <c r="P402" i="2" a="1"/>
  <c r="AA409" i="2"/>
  <c r="AB409" i="2" s="1"/>
  <c r="AA408" i="2"/>
  <c r="AB408" i="2" s="1"/>
  <c r="AA406" i="2"/>
  <c r="AB406" i="2" s="1"/>
  <c r="AA405" i="2"/>
  <c r="AB405" i="2" s="1"/>
  <c r="AA404" i="2"/>
  <c r="AB404" i="2" s="1"/>
  <c r="AA407" i="2"/>
  <c r="AB407" i="2" s="1"/>
  <c r="P410" i="2" a="1"/>
  <c r="O411" i="2" a="1"/>
  <c r="O410" i="2" a="1"/>
  <c r="P411" i="2" a="1"/>
  <c r="W403" i="2" l="1"/>
  <c r="AA403" i="2" s="1"/>
  <c r="AB403" i="2" s="1"/>
  <c r="Q403" i="2"/>
  <c r="W402" i="2"/>
  <c r="Q402" i="2"/>
  <c r="O413" i="2" a="1"/>
  <c r="P412" i="2" a="1"/>
  <c r="W411" i="2"/>
  <c r="W410" i="2"/>
  <c r="Q411" i="2"/>
  <c r="Q410" i="2"/>
  <c r="AA402" i="2" l="1"/>
  <c r="AB402" i="2" s="1"/>
  <c r="AA411" i="2"/>
  <c r="AB411" i="2" s="1"/>
  <c r="AA410" i="2"/>
  <c r="AB410" i="2" s="1"/>
  <c r="P413" i="2" l="1" a="1"/>
  <c r="O412" i="2" a="1"/>
  <c r="Q413" i="2" l="1"/>
  <c r="W413" i="2"/>
  <c r="AA413" i="2" s="1"/>
  <c r="AB413" i="2" s="1"/>
  <c r="Q412" i="2"/>
  <c r="W412" i="2"/>
  <c r="AA412" i="2" s="1"/>
  <c r="AB412" i="2" s="1"/>
  <c r="P415" i="2" a="1"/>
  <c r="O417" i="2" a="1"/>
  <c r="P414" i="2" a="1"/>
  <c r="P416" i="2" a="1"/>
  <c r="P417" i="2" a="1"/>
  <c r="Q417" i="2" s="1"/>
  <c r="O414" i="2" a="1"/>
  <c r="O415" i="2" a="1"/>
  <c r="O416" i="2" a="1"/>
  <c r="W416" i="2" s="1"/>
  <c r="Q414" i="2" l="1"/>
  <c r="W415" i="2"/>
  <c r="Q415" i="2"/>
  <c r="W417" i="2"/>
  <c r="AA417" i="2" s="1"/>
  <c r="AB417" i="2" s="1"/>
  <c r="Q416" i="2"/>
  <c r="AA416" i="2" s="1"/>
  <c r="AB416" i="2" s="1"/>
  <c r="W414" i="2"/>
  <c r="AA414" i="2" l="1"/>
  <c r="AB414" i="2" s="1"/>
  <c r="AA415" i="2"/>
  <c r="AB415" i="2" s="1"/>
  <c r="P418" i="2" a="1"/>
  <c r="Q418" i="2" s="1"/>
  <c r="P419" i="2" a="1"/>
  <c r="Q419" i="2" s="1"/>
  <c r="O418" i="2" a="1"/>
  <c r="O419" i="2" a="1"/>
  <c r="P420" i="2" a="1"/>
  <c r="O420" i="2" a="1"/>
  <c r="O421" i="2" a="1"/>
  <c r="P421" i="2" a="1"/>
  <c r="W418" i="2" l="1"/>
  <c r="AA418" i="2" s="1"/>
  <c r="AB418" i="2" s="1"/>
  <c r="W419" i="2"/>
  <c r="AA419" i="2" s="1"/>
  <c r="AB419" i="2" s="1"/>
  <c r="Q421" i="2"/>
  <c r="Q420" i="2"/>
  <c r="W420" i="2"/>
  <c r="W421" i="2"/>
  <c r="AA421" i="2" l="1"/>
  <c r="AB421" i="2" s="1"/>
  <c r="AA420" i="2"/>
  <c r="AB420" i="2" s="1"/>
  <c r="P425" i="2" a="1"/>
  <c r="O425" i="2" a="1"/>
  <c r="P424" i="2" a="1"/>
  <c r="O424" i="2" a="1"/>
  <c r="P423" i="2" l="1" a="1"/>
  <c r="P422" i="2" a="1"/>
  <c r="O422" i="2" a="1"/>
  <c r="O423" i="2" a="1"/>
  <c r="W424" i="2"/>
  <c r="W425" i="2"/>
  <c r="Q425" i="2"/>
  <c r="Q424" i="2"/>
  <c r="Q422" i="2" l="1"/>
  <c r="Q423" i="2"/>
  <c r="W423" i="2"/>
  <c r="W422" i="2"/>
  <c r="AA424" i="2"/>
  <c r="AB424" i="2" s="1"/>
  <c r="AA425" i="2"/>
  <c r="AB425" i="2" s="1"/>
  <c r="AA422" i="2" l="1"/>
  <c r="AB422" i="2" s="1"/>
  <c r="AA423" i="2"/>
  <c r="AB423" i="2" s="1"/>
  <c r="P426" i="2" l="1" a="1"/>
  <c r="O427" i="2" a="1"/>
  <c r="P427" i="2" a="1"/>
  <c r="O426" i="2" a="1"/>
  <c r="W426" i="2" l="1"/>
  <c r="W427" i="2"/>
  <c r="Q426" i="2"/>
  <c r="Q427" i="2"/>
  <c r="AA426" i="2" l="1"/>
  <c r="AB426" i="2" s="1"/>
  <c r="AA427" i="2"/>
  <c r="AB427" i="2" s="1"/>
  <c r="P429" i="2" l="1" a="1"/>
  <c r="O429" i="2" a="1"/>
  <c r="O428" i="2" a="1"/>
  <c r="W428" i="2" s="1"/>
  <c r="P428" i="2" a="1"/>
  <c r="W429" i="2" l="1"/>
  <c r="Q428" i="2"/>
  <c r="AA428" i="2" s="1"/>
  <c r="AB428" i="2" s="1"/>
  <c r="Q429" i="2"/>
  <c r="AA429" i="2" l="1"/>
  <c r="AB429" i="2" s="1"/>
  <c r="P430" i="2" a="1"/>
  <c r="O431" i="2" a="1"/>
  <c r="O430" i="2" a="1"/>
  <c r="P431" i="2" a="1"/>
  <c r="Q431" i="2" s="1"/>
  <c r="W430" i="2" l="1"/>
  <c r="Q430" i="2"/>
  <c r="AA430" i="2" s="1"/>
  <c r="AB430" i="2" s="1"/>
  <c r="W431" i="2"/>
  <c r="AA431" i="2" s="1"/>
  <c r="AB431" i="2" s="1"/>
  <c r="O432" i="2" l="1" a="1"/>
  <c r="P433" i="2" a="1"/>
  <c r="O433" i="2" a="1"/>
  <c r="P432" i="2" a="1"/>
  <c r="Q432" i="2" s="1"/>
  <c r="W433" i="2" l="1"/>
  <c r="W432" i="2"/>
  <c r="AA432" i="2" s="1"/>
  <c r="AB432" i="2" s="1"/>
  <c r="Q433" i="2"/>
  <c r="AA433" i="2" s="1"/>
  <c r="AB433" i="2" s="1"/>
  <c r="O434" i="2" l="1" a="1"/>
  <c r="W434" i="2" s="1"/>
  <c r="O435" i="2" a="1"/>
  <c r="P435" i="2" a="1"/>
  <c r="P434" i="2" a="1"/>
  <c r="W435" i="2" l="1"/>
  <c r="Q434" i="2"/>
  <c r="AA434" i="2" s="1"/>
  <c r="AB434" i="2" s="1"/>
  <c r="Q435" i="2"/>
  <c r="P437" i="2" a="1"/>
  <c r="Q437" i="2" s="1"/>
  <c r="O437" i="2" a="1"/>
  <c r="P436" i="2" a="1"/>
  <c r="Q436" i="2" s="1"/>
  <c r="O436" i="2" a="1"/>
  <c r="AA435" i="2" l="1"/>
  <c r="AB435" i="2" s="1"/>
  <c r="W437" i="2"/>
  <c r="AA437" i="2" s="1"/>
  <c r="AB437" i="2" s="1"/>
  <c r="W436" i="2"/>
  <c r="AA436" i="2" s="1"/>
  <c r="AB436" i="2" s="1"/>
  <c r="P439" i="2" a="1"/>
  <c r="O439" i="2" a="1"/>
  <c r="O438" i="2" a="1"/>
  <c r="P438" i="2" a="1"/>
  <c r="Q439" i="2" l="1"/>
  <c r="W438" i="2"/>
  <c r="W439" i="2"/>
  <c r="Q438" i="2"/>
  <c r="AA439" i="2" l="1"/>
  <c r="AB439" i="2" s="1"/>
  <c r="AA438" i="2"/>
  <c r="AB438" i="2" s="1"/>
  <c r="P440" i="2" a="1"/>
  <c r="O440" i="2" a="1"/>
  <c r="O441" i="2" a="1"/>
  <c r="P441" i="2" a="1"/>
  <c r="W441" i="2" l="1"/>
  <c r="W440" i="2"/>
  <c r="Q440" i="2"/>
  <c r="Q441" i="2"/>
  <c r="AA441" i="2" l="1"/>
  <c r="AB441" i="2" s="1"/>
  <c r="AA440" i="2"/>
  <c r="AB440" i="2" s="1"/>
  <c r="O443" i="2" a="1"/>
  <c r="O442" i="2" a="1"/>
  <c r="P443" i="2" a="1"/>
  <c r="P442" i="2" a="1"/>
  <c r="AX5" i="3" a="1"/>
  <c r="W443" i="2" l="1"/>
  <c r="Q442" i="2"/>
  <c r="Q443" i="2"/>
  <c r="W442" i="2"/>
  <c r="AA443" i="2" l="1"/>
  <c r="AB443" i="2" s="1"/>
  <c r="AA442" i="2"/>
  <c r="AB442" i="2" s="1"/>
  <c r="O445" i="2" l="1" a="1"/>
  <c r="P445" i="2" a="1"/>
  <c r="O444" i="2" a="1"/>
  <c r="P444" i="2" a="1"/>
  <c r="Q445" i="2" l="1"/>
  <c r="W445" i="2"/>
  <c r="W444" i="2"/>
  <c r="Q444" i="2"/>
  <c r="AA445" i="2" l="1"/>
  <c r="AB445" i="2" s="1"/>
  <c r="G26" i="3" s="1" a="1"/>
  <c r="AA444" i="2"/>
  <c r="AB444" i="2" s="1"/>
  <c r="AX2" i="3" a="1"/>
  <c r="AX9" i="3" l="1" a="1"/>
  <c r="AX4" i="3" l="1" a="1"/>
  <c r="G25" i="3" l="1" a="1"/>
  <c r="G30" i="3" a="1"/>
  <c r="G36" i="3" a="1"/>
  <c r="AX6" i="3" l="1" a="1"/>
  <c r="G32" i="3" a="1"/>
  <c r="G27" i="3" l="1" a="1"/>
  <c r="G28" i="3" l="1" a="1"/>
  <c r="G34" i="3" a="1"/>
  <c r="AX8" i="3" l="1" a="1"/>
  <c r="AX7" i="3" l="1" a="1"/>
  <c r="G29" i="3" a="1"/>
  <c r="AX3" i="3" l="1" a="1"/>
  <c r="G31" i="3" a="1"/>
  <c r="G35" i="3" l="1" a="1"/>
  <c r="G33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<sst xmlns="http://schemas.openxmlformats.org/spreadsheetml/2006/main" count="2296" uniqueCount="88">
  <si>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</si>
  <si>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</si>
  <si>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</si>
  <si>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</si>
  <si>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</si>
  <si>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</si>
  <si>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</si>
  <si>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</si>
  <si>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</si>
  <si>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</si>
  <si>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</si>
  <si>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</si>
  <si>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</si>
  <si>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</si>
  <si>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</si>
  <si>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</si>
  <si>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</si>
  <si>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</si>
  <si>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</si>
  <si>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</si>
  <si>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</si>
  <si>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</si>
  <si>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</si>
  <si>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</si>
  <si>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</si>
  <si>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</si>
  <si>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</si>
  <si>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</si>
  <si>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</si>
  <si>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</si>
  <si>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</si>
  <si>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</si>
  <si>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</si>
  <si>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</si>
  <si>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</si>
  <si>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</si>
  <si>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</si>
  <si>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</si>
  <si>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</si>
  <si>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</si>
  <si>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</si>
  <si>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</si>
  <si>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</si>
  <si>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</si>
  <si>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</si>
  <si>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</si>
  <si>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</si>
  <si>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</si>
  <si>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</si>
  <si>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</si>
  <si>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</si>
  <si>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</si>
  <si>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</si>
  <si>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</si>
  <si>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</si>
  <si>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</si>
  <si>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</si>
  <si>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</si>
  <si>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</si>
  <si>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</si>
  <si>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</si>
  <si>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</si>
  <si>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</si>
  <si>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</si>
  <si>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</si>
  <si>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</si>
  <si>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</si>
  <si>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</si>
  <si>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</si>
  <si>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</si>
  <si>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</si>
  <si>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</si>
  <si>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</si>
  <si>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</si>
  <si>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</si>
  <si>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</si>
  <si>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</si>
  <si>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</si>
  <si>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</si>
  <si>
    <t>ATL</t>
  </si>
  <si>
    <t>Atlanta Dream</t>
  </si>
  <si>
    <t>TUL</t>
  </si>
  <si>
    <t>Tulsa Shock</t>
  </si>
  <si>
    <t>R</t>
  </si>
  <si>
    <t>RS</t>
  </si>
  <si>
    <t>A</t>
  </si>
  <si>
    <t>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</si>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</sst>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1.612987037035" createdVersion="8" refreshedVersion="8" minRefreshableVersion="3" recordCount="444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14-05-16T00:00:00" maxDate="2014-09-13T00:00:00"/>
    </cacheField>
    <cacheField name="Season" numFmtId="1">
      <sharedItems containsSemiMixedTypes="0" containsString="0" containsNumber="1" containsInteger="1" minValue="2014" maxValue="2014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8">
        <s v="SAS"/>
        <s v="ATL"/>
        <s v="IND"/>
        <s v="CHI"/>
        <s v="NYL"/>
        <s v="CON"/>
        <s v="LAS"/>
        <s v="SEA"/>
        <s v="MIN"/>
        <s v="WAS"/>
        <s v="PHX"/>
        <s v="TUL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7"/>
    </cacheField>
    <cacheField name="OppDaysOff" numFmtId="1">
      <sharedItems containsSemiMixedTypes="0" containsString="0" containsNumber="1" containsInteger="1" minValue="0" maxValue="7"/>
    </cacheField>
    <cacheField name="RestDiff" numFmtId="1">
      <sharedItems containsSemiMixedTypes="0" containsString="0" containsNumber="1" containsInteger="1" minValue="-6" maxValue="6"/>
    </cacheField>
    <cacheField name="OppRestDiff" numFmtId="1">
      <sharedItems containsSemiMixedTypes="0" containsString="0" containsNumber="1" containsInteger="1" minValue="-6" maxValue="6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77.0874060179801" maxValue="1752.4166124076971"/>
    </cacheField>
    <cacheField name="OppPreGmRate" numFmtId="165">
      <sharedItems containsSemiMixedTypes="0" containsString="0" containsNumber="1" minValue="1377.0874060179801" maxValue="1752.4166124076971"/>
    </cacheField>
    <cacheField name="ExpectedWin%" numFmtId="165">
      <sharedItems containsSemiMixedTypes="0" containsString="0" containsNumber="1" minValue="0.12449517225246826" maxValue="0.87550482774753169"/>
    </cacheField>
    <cacheField name="PointsFor" numFmtId="0">
      <sharedItems containsSemiMixedTypes="0" containsString="0" containsNumber="1" containsInteger="1" minValue="46" maxValue="112"/>
    </cacheField>
    <cacheField name="PointsAgainst" numFmtId="0">
      <sharedItems containsSemiMixedTypes="0" containsString="0" containsNumber="1" containsInteger="1" minValue="46" maxValue="112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8" maxValue="38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998121375907444" maxValue="0.76460629718527195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55" maxValue="75.849999999999994"/>
    </cacheField>
    <cacheField name="Keff" numFmtId="165">
      <sharedItems containsSemiMixedTypes="0" containsString="0" containsNumber="1" minValue="70.900000000000006" maxValue="94.5"/>
    </cacheField>
    <cacheField name="RatingChange" numFmtId="165">
      <sharedItems containsSemiMixedTypes="0" containsString="0" containsNumber="1" minValue="-29.697133158024062" maxValue="29.7586603676056"/>
    </cacheField>
    <cacheField name="PostGmRate" numFmtId="165">
      <sharedItems containsSemiMixedTypes="0" containsString="0" containsNumber="1" minValue="1377.0874060179801" maxValue="1759.1143828583213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d v="2014-05-16T00:00:00"/>
    <n v="2014"/>
    <x v="0"/>
    <s v="R"/>
    <s v="RS"/>
    <x v="0"/>
    <s v="ATL"/>
    <s v="A"/>
    <n v="0"/>
    <n v="0"/>
    <n v="0"/>
    <n v="0"/>
    <n v="0"/>
    <n v="0"/>
    <n v="1459.8407331930002"/>
    <n v="1502.7577154435821"/>
    <n v="0.32506463780998945"/>
    <n v="75"/>
    <n v="79"/>
    <n v="0"/>
    <n v="-4"/>
    <n v="0"/>
    <n v="0.30067919838696872"/>
    <n v="1"/>
    <n v="75.849999999999994"/>
    <n v="75.849999999999994"/>
    <n v="-7.4135922525619051"/>
    <n v="1452.4271409404382"/>
    <n v="0"/>
    <n v="1"/>
    <n v="0"/>
    <n v="0"/>
    <n v="0"/>
    <n v="0"/>
    <n v="0"/>
    <n v="0"/>
    <n v="0"/>
    <n v="0"/>
  </r>
  <r>
    <d v="2014-05-16T00:00:00"/>
    <n v="2014"/>
    <x v="0"/>
    <s v="R"/>
    <s v="RS"/>
    <x v="1"/>
    <s v="SAS"/>
    <s v="H"/>
    <n v="0"/>
    <n v="0"/>
    <n v="0"/>
    <n v="0"/>
    <n v="0"/>
    <n v="0"/>
    <n v="1502.7577154435821"/>
    <n v="1459.8407331930002"/>
    <n v="0.6749353621900106"/>
    <n v="79"/>
    <n v="75"/>
    <n v="0"/>
    <n v="4"/>
    <n v="1"/>
    <n v="0.30067919838696872"/>
    <n v="1"/>
    <n v="75.849999999999994"/>
    <n v="75.849999999999994"/>
    <n v="7.4135922525619042"/>
    <n v="1510.1713076961441"/>
    <n v="1"/>
    <n v="0"/>
    <n v="0"/>
    <n v="0"/>
    <n v="0"/>
    <n v="0"/>
    <n v="0"/>
    <n v="0"/>
    <n v="0"/>
    <n v="0"/>
  </r>
  <r>
    <d v="2014-05-16T00:00:00"/>
    <n v="2014"/>
    <x v="0"/>
    <s v="R"/>
    <s v="RS"/>
    <x v="2"/>
    <s v="CHI"/>
    <s v="A"/>
    <n v="0"/>
    <n v="0"/>
    <n v="0"/>
    <n v="0"/>
    <n v="0"/>
    <n v="0"/>
    <n v="1517.5596514648842"/>
    <n v="1538.556778954046"/>
    <n v="0.35333493585138054"/>
    <n v="71"/>
    <n v="74"/>
    <n v="0"/>
    <n v="-3"/>
    <n v="0"/>
    <n v="0.2851933206710518"/>
    <n v="1"/>
    <n v="75.849999999999994"/>
    <n v="75.849999999999994"/>
    <n v="-7.6433107239559863"/>
    <n v="1509.9163407409283"/>
    <n v="0"/>
    <n v="1"/>
    <n v="0"/>
    <n v="0"/>
    <n v="0"/>
    <n v="0"/>
    <n v="0"/>
    <n v="0"/>
    <n v="0"/>
    <n v="0"/>
  </r>
  <r>
    <d v="2014-05-16T00:00:00"/>
    <n v="2014"/>
    <x v="0"/>
    <s v="R"/>
    <s v="RS"/>
    <x v="3"/>
    <s v="IND"/>
    <s v="H"/>
    <n v="0"/>
    <n v="0"/>
    <n v="0"/>
    <n v="0"/>
    <n v="0"/>
    <n v="0"/>
    <n v="1538.556778954046"/>
    <n v="1517.5596514648842"/>
    <n v="0.64666506414861946"/>
    <n v="74"/>
    <n v="71"/>
    <n v="0"/>
    <n v="3"/>
    <n v="1"/>
    <n v="0.2851933206710518"/>
    <n v="1"/>
    <n v="75.849999999999994"/>
    <n v="75.849999999999994"/>
    <n v="7.6433107239559863"/>
    <n v="1546.2000896780019"/>
    <n v="1"/>
    <n v="0"/>
    <n v="0"/>
    <n v="0"/>
    <n v="0"/>
    <n v="0"/>
    <n v="0"/>
    <n v="0"/>
    <n v="0"/>
    <n v="0"/>
  </r>
  <r>
    <d v="2014-05-16T00:00:00"/>
    <n v="2014"/>
    <x v="0"/>
    <s v="R"/>
    <s v="RS"/>
    <x v="4"/>
    <s v="CON"/>
    <s v="A"/>
    <n v="0"/>
    <n v="0"/>
    <n v="0"/>
    <n v="0"/>
    <n v="0"/>
    <n v="0"/>
    <n v="1423.7610395887548"/>
    <n v="1441.9839168134331"/>
    <n v="0.35699236960188763"/>
    <n v="75"/>
    <n v="54"/>
    <n v="0"/>
    <n v="21"/>
    <n v="1"/>
    <n v="0.57977202737641775"/>
    <n v="1"/>
    <n v="75.849999999999994"/>
    <n v="75.849999999999994"/>
    <n v="28.276715973951752"/>
    <n v="1452.0377555627065"/>
    <n v="1"/>
    <n v="0"/>
    <n v="0"/>
    <n v="0"/>
    <n v="0"/>
    <n v="0"/>
    <n v="0"/>
    <n v="0"/>
    <n v="0"/>
    <n v="0"/>
  </r>
  <r>
    <d v="2014-05-16T00:00:00"/>
    <n v="2014"/>
    <x v="0"/>
    <s v="R"/>
    <s v="RS"/>
    <x v="5"/>
    <s v="NYL"/>
    <s v="H"/>
    <n v="0"/>
    <n v="0"/>
    <n v="0"/>
    <n v="0"/>
    <n v="0"/>
    <n v="0"/>
    <n v="1441.9839168134331"/>
    <n v="1423.7610395887548"/>
    <n v="0.64300763039811226"/>
    <n v="54"/>
    <n v="75"/>
    <n v="0"/>
    <n v="-21"/>
    <n v="0"/>
    <n v="0.57977202737641775"/>
    <n v="1"/>
    <n v="75.849999999999994"/>
    <n v="75.849999999999994"/>
    <n v="-28.276715973951745"/>
    <n v="1413.7072008394814"/>
    <n v="0"/>
    <n v="1"/>
    <n v="0"/>
    <n v="0"/>
    <n v="0"/>
    <n v="0"/>
    <n v="0"/>
    <n v="0"/>
    <n v="0"/>
    <n v="0"/>
  </r>
  <r>
    <d v="2014-05-16T00:00:00"/>
    <n v="2014"/>
    <x v="0"/>
    <s v="R"/>
    <s v="RS"/>
    <x v="6"/>
    <s v="SEA"/>
    <s v="A"/>
    <n v="0"/>
    <n v="0"/>
    <n v="0"/>
    <n v="0"/>
    <n v="0"/>
    <n v="0"/>
    <n v="1561.6259663799683"/>
    <n v="1495.8169604344473"/>
    <n v="0.47384495083378353"/>
    <n v="80"/>
    <n v="69"/>
    <n v="0"/>
    <n v="11"/>
    <n v="1"/>
    <n v="0.41696903863857776"/>
    <n v="1"/>
    <n v="75.849999999999994"/>
    <n v="75.849999999999994"/>
    <n v="16.640759187197137"/>
    <n v="1578.2667255671654"/>
    <n v="1"/>
    <n v="0"/>
    <n v="0"/>
    <n v="0"/>
    <n v="0"/>
    <n v="0"/>
    <n v="0"/>
    <n v="0"/>
    <n v="0"/>
    <n v="0"/>
  </r>
  <r>
    <d v="2014-05-16T00:00:00"/>
    <n v="2014"/>
    <x v="0"/>
    <s v="R"/>
    <s v="RS"/>
    <x v="7"/>
    <s v="LAS"/>
    <s v="H"/>
    <n v="0"/>
    <n v="0"/>
    <n v="0"/>
    <n v="0"/>
    <n v="0"/>
    <n v="0"/>
    <n v="1495.8169604344473"/>
    <n v="1561.6259663799683"/>
    <n v="0.52615504916621647"/>
    <n v="69"/>
    <n v="80"/>
    <n v="0"/>
    <n v="-11"/>
    <n v="0"/>
    <n v="0.41696903863857776"/>
    <n v="1"/>
    <n v="75.849999999999994"/>
    <n v="75.849999999999994"/>
    <n v="-16.640759187197137"/>
    <n v="1479.1762012472502"/>
    <n v="0"/>
    <n v="1"/>
    <n v="0"/>
    <n v="0"/>
    <n v="0"/>
    <n v="0"/>
    <n v="0"/>
    <n v="0"/>
    <n v="0"/>
    <n v="0"/>
  </r>
  <r>
    <d v="2014-05-16T00:00:00"/>
    <n v="2014"/>
    <x v="0"/>
    <s v="R"/>
    <s v="RS"/>
    <x v="8"/>
    <s v="WAS"/>
    <s v="A"/>
    <n v="0"/>
    <n v="0"/>
    <n v="0"/>
    <n v="0"/>
    <n v="0"/>
    <n v="0"/>
    <n v="1626.0890385647945"/>
    <n v="1473.7575572996384"/>
    <n v="0.5970883115342448"/>
    <n v="89"/>
    <n v="77"/>
    <n v="0"/>
    <n v="12"/>
    <n v="1"/>
    <n v="0.40474938228885843"/>
    <n v="1"/>
    <n v="75.849999999999994"/>
    <n v="75.849999999999994"/>
    <n v="12.369485795230608"/>
    <n v="1638.458524360025"/>
    <n v="1"/>
    <n v="0"/>
    <n v="0"/>
    <n v="0"/>
    <n v="0"/>
    <n v="0"/>
    <n v="0"/>
    <n v="0"/>
    <n v="0"/>
    <n v="0"/>
  </r>
  <r>
    <d v="2014-05-16T00:00:00"/>
    <n v="2014"/>
    <x v="0"/>
    <s v="R"/>
    <s v="RS"/>
    <x v="9"/>
    <s v="MIN"/>
    <s v="H"/>
    <n v="0"/>
    <n v="0"/>
    <n v="0"/>
    <n v="0"/>
    <n v="0"/>
    <n v="0"/>
    <n v="1473.7575572996384"/>
    <n v="1626.0890385647945"/>
    <n v="0.4029116884657552"/>
    <n v="77"/>
    <n v="89"/>
    <n v="0"/>
    <n v="-12"/>
    <n v="0"/>
    <n v="0.40474938228885843"/>
    <n v="1"/>
    <n v="75.849999999999994"/>
    <n v="75.849999999999994"/>
    <n v="-12.369485795230608"/>
    <n v="1461.3880715044079"/>
    <n v="0"/>
    <n v="1"/>
    <n v="0"/>
    <n v="0"/>
    <n v="0"/>
    <n v="0"/>
    <n v="0"/>
    <n v="0"/>
    <n v="0"/>
    <n v="0"/>
  </r>
  <r>
    <d v="2014-05-17T00:00:00"/>
    <n v="2014"/>
    <x v="1"/>
    <s v="R"/>
    <s v="RS"/>
    <x v="1"/>
    <s v="IND"/>
    <s v="A"/>
    <n v="0"/>
    <n v="0"/>
    <n v="0"/>
    <n v="0"/>
    <n v="0"/>
    <n v="0"/>
    <n v="1510.1713076961441"/>
    <n v="1509.9163407409283"/>
    <n v="0.3817622258819986"/>
    <n v="90"/>
    <n v="88"/>
    <n v="1"/>
    <n v="2"/>
    <n v="1"/>
    <n v="0.24100598159427294"/>
    <n v="1"/>
    <n v="75.7"/>
    <n v="75.7"/>
    <n v="11.279224421874526"/>
    <n v="1521.4505321180186"/>
    <n v="1"/>
    <n v="0"/>
    <n v="0"/>
    <n v="0"/>
    <n v="0"/>
    <n v="0"/>
    <n v="0"/>
    <n v="0"/>
    <n v="0"/>
    <n v="0"/>
  </r>
  <r>
    <d v="2014-05-17T00:00:00"/>
    <n v="2014"/>
    <x v="1"/>
    <s v="R"/>
    <s v="RS"/>
    <x v="2"/>
    <s v="ATL"/>
    <s v="H"/>
    <n v="0"/>
    <n v="0"/>
    <n v="0"/>
    <n v="0"/>
    <n v="0"/>
    <n v="0"/>
    <n v="1509.9163407409283"/>
    <n v="1510.1713076961441"/>
    <n v="0.6182377741180014"/>
    <n v="88"/>
    <n v="90"/>
    <n v="1"/>
    <n v="-2"/>
    <n v="0"/>
    <n v="0.24100598159427294"/>
    <n v="1"/>
    <n v="75.7"/>
    <n v="75.7"/>
    <n v="-11.279224421874526"/>
    <n v="1498.6371163190538"/>
    <n v="0"/>
    <n v="1"/>
    <n v="0"/>
    <n v="0"/>
    <n v="0"/>
    <n v="0"/>
    <n v="0"/>
    <n v="0"/>
    <n v="0"/>
    <n v="0"/>
  </r>
  <r>
    <d v="2014-05-17T00:00:00"/>
    <n v="2014"/>
    <x v="1"/>
    <s v="R"/>
    <s v="RS"/>
    <x v="3"/>
    <s v="NYL"/>
    <s v="A"/>
    <n v="0"/>
    <n v="0"/>
    <n v="0"/>
    <n v="0"/>
    <n v="0"/>
    <n v="0"/>
    <n v="1546.2000896780019"/>
    <n v="1452.0377555627065"/>
    <n v="0.51462060515503327"/>
    <n v="79"/>
    <n v="65"/>
    <n v="0"/>
    <n v="14"/>
    <n v="1"/>
    <n v="0.45213008354235795"/>
    <n v="1"/>
    <n v="75.7"/>
    <n v="75.7"/>
    <n v="16.612715214013242"/>
    <n v="1562.812804892015"/>
    <n v="1"/>
    <n v="0"/>
    <n v="0"/>
    <n v="0"/>
    <n v="0"/>
    <n v="0"/>
    <n v="0"/>
    <n v="0"/>
    <n v="0"/>
    <n v="0"/>
  </r>
  <r>
    <d v="2014-05-17T00:00:00"/>
    <n v="2014"/>
    <x v="1"/>
    <s v="R"/>
    <s v="RS"/>
    <x v="4"/>
    <s v="CHI"/>
    <s v="H"/>
    <n v="0"/>
    <n v="0"/>
    <n v="0"/>
    <n v="0"/>
    <n v="0"/>
    <n v="0"/>
    <n v="1452.0377555627065"/>
    <n v="1546.2000896780019"/>
    <n v="0.48537939484496684"/>
    <n v="65"/>
    <n v="79"/>
    <n v="0"/>
    <n v="-14"/>
    <n v="0"/>
    <n v="0.45213008354235795"/>
    <n v="1"/>
    <n v="75.7"/>
    <n v="75.7"/>
    <n v="-16.612715214013246"/>
    <n v="1435.4250403486933"/>
    <n v="0"/>
    <n v="1"/>
    <n v="0"/>
    <n v="0"/>
    <n v="0"/>
    <n v="0"/>
    <n v="0"/>
    <n v="0"/>
    <n v="0"/>
    <n v="0"/>
  </r>
  <r>
    <d v="2014-05-17T00:00:00"/>
    <n v="2014"/>
    <x v="1"/>
    <s v="R"/>
    <s v="RS"/>
    <x v="7"/>
    <s v="PHX"/>
    <s v="A"/>
    <n v="0"/>
    <n v="1"/>
    <n v="-1"/>
    <n v="1"/>
    <n v="-8"/>
    <n v="8"/>
    <n v="1479.1762012472502"/>
    <n v="1505.0930960506003"/>
    <n v="0.32632897228497737"/>
    <n v="64"/>
    <n v="81"/>
    <n v="0"/>
    <n v="-17"/>
    <n v="0"/>
    <n v="0.52118580436146777"/>
    <n v="1"/>
    <n v="75.7"/>
    <n v="75.7"/>
    <n v="-12.874906712544538"/>
    <n v="1466.3012945347057"/>
    <n v="0"/>
    <n v="1"/>
    <n v="0"/>
    <n v="0"/>
    <n v="0"/>
    <n v="0"/>
    <n v="0"/>
    <n v="0"/>
    <n v="0"/>
    <n v="0"/>
  </r>
  <r>
    <d v="2014-05-17T00:00:00"/>
    <n v="2014"/>
    <x v="0"/>
    <s v="R"/>
    <s v="RS"/>
    <x v="10"/>
    <s v="SEA"/>
    <s v="H"/>
    <n v="1"/>
    <n v="0"/>
    <n v="1"/>
    <n v="-1"/>
    <n v="8"/>
    <n v="-8"/>
    <n v="1505.0930960506003"/>
    <n v="1479.1762012472502"/>
    <n v="0.67367102771502263"/>
    <n v="81"/>
    <n v="64"/>
    <n v="0"/>
    <n v="17"/>
    <n v="1"/>
    <n v="0.52118580436146777"/>
    <n v="1"/>
    <n v="75.849999999999994"/>
    <n v="75.849999999999994"/>
    <n v="12.900418416730556"/>
    <n v="1517.9935144673309"/>
    <n v="1"/>
    <n v="0"/>
    <n v="0"/>
    <n v="0"/>
    <n v="0"/>
    <n v="0"/>
    <n v="0"/>
    <n v="0"/>
    <n v="0"/>
    <n v="0"/>
  </r>
  <r>
    <d v="2014-05-17T00:00:00"/>
    <n v="2014"/>
    <x v="0"/>
    <s v="R"/>
    <s v="RS"/>
    <x v="11"/>
    <s v="SAS"/>
    <s v="A"/>
    <n v="1"/>
    <n v="0"/>
    <n v="1"/>
    <n v="-1"/>
    <n v="8"/>
    <n v="-8"/>
    <n v="1455.0224765594101"/>
    <n v="1452.4271409404382"/>
    <n v="0.4069714486151581"/>
    <n v="76"/>
    <n v="80"/>
    <n v="0"/>
    <n v="-4"/>
    <n v="0"/>
    <n v="0.31076062813124344"/>
    <n v="1"/>
    <n v="75.849999999999994"/>
    <n v="75.849999999999994"/>
    <n v="-9.5928028227873039"/>
    <n v="1445.4296737366228"/>
    <n v="0"/>
    <n v="1"/>
    <n v="0"/>
    <n v="0"/>
    <n v="0"/>
    <n v="0"/>
    <n v="0"/>
    <n v="0"/>
    <n v="0"/>
    <n v="0"/>
  </r>
  <r>
    <d v="2014-05-17T00:00:00"/>
    <n v="2014"/>
    <x v="1"/>
    <s v="R"/>
    <s v="RS"/>
    <x v="0"/>
    <s v="TUL"/>
    <s v="H"/>
    <n v="0"/>
    <n v="1"/>
    <n v="-1"/>
    <n v="1"/>
    <n v="-8"/>
    <n v="8"/>
    <n v="1452.4271409404382"/>
    <n v="1455.0224765594101"/>
    <n v="0.5930285513848419"/>
    <n v="80"/>
    <n v="76"/>
    <n v="0"/>
    <n v="4"/>
    <n v="1"/>
    <n v="0.31076062813124344"/>
    <n v="1"/>
    <n v="75.7"/>
    <n v="75.7"/>
    <n v="9.573832217336836"/>
    <n v="1462.000973157775"/>
    <n v="1"/>
    <n v="0"/>
    <n v="0"/>
    <n v="0"/>
    <n v="0"/>
    <n v="0"/>
    <n v="0"/>
    <n v="0"/>
    <n v="0"/>
    <n v="0"/>
  </r>
  <r>
    <d v="2014-05-18T00:00:00"/>
    <n v="2014"/>
    <x v="1"/>
    <s v="R"/>
    <s v="RS"/>
    <x v="10"/>
    <s v="LAS"/>
    <s v="A"/>
    <n v="0"/>
    <n v="1"/>
    <n v="-1"/>
    <n v="1"/>
    <n v="-8"/>
    <n v="8"/>
    <n v="1517.9935144673309"/>
    <n v="1578.2667255671654"/>
    <n v="0.28442704548925457"/>
    <n v="74"/>
    <n v="69"/>
    <n v="0"/>
    <n v="5"/>
    <n v="1"/>
    <n v="0.31588957620234664"/>
    <n v="1"/>
    <n v="75.7"/>
    <n v="75.7"/>
    <n v="17.111382226809116"/>
    <n v="1535.1048966941401"/>
    <n v="1"/>
    <n v="0"/>
    <n v="0"/>
    <n v="0"/>
    <n v="0"/>
    <n v="0"/>
    <n v="0"/>
    <n v="0"/>
    <n v="0"/>
    <n v="0"/>
  </r>
  <r>
    <d v="2014-05-18T00:00:00"/>
    <n v="2014"/>
    <x v="1"/>
    <s v="R"/>
    <s v="RS"/>
    <x v="6"/>
    <s v="PHX"/>
    <s v="H"/>
    <n v="1"/>
    <n v="0"/>
    <n v="1"/>
    <n v="-1"/>
    <n v="8"/>
    <n v="-8"/>
    <n v="1578.2667255671654"/>
    <n v="1517.9935144673309"/>
    <n v="0.71557295451074532"/>
    <n v="69"/>
    <n v="74"/>
    <n v="0"/>
    <n v="-5"/>
    <n v="0"/>
    <n v="0.31588957620234664"/>
    <n v="1"/>
    <n v="75.7"/>
    <n v="75.7"/>
    <n v="-17.111382226809113"/>
    <n v="1561.1553433403562"/>
    <n v="0"/>
    <n v="1"/>
    <n v="0"/>
    <n v="0"/>
    <n v="0"/>
    <n v="0"/>
    <n v="0"/>
    <n v="0"/>
    <n v="0"/>
    <n v="0"/>
  </r>
  <r>
    <d v="2014-05-18T00:00:00"/>
    <n v="2014"/>
    <x v="1"/>
    <s v="R"/>
    <s v="RS"/>
    <x v="5"/>
    <s v="MIN"/>
    <s v="A"/>
    <n v="1"/>
    <n v="1"/>
    <n v="0"/>
    <n v="0"/>
    <n v="0"/>
    <n v="0"/>
    <n v="1413.7072008394814"/>
    <n v="1638.458524360025"/>
    <n v="0.14463493362797483"/>
    <n v="87"/>
    <n v="90"/>
    <n v="1"/>
    <n v="-3"/>
    <n v="0"/>
    <n v="0.2199669497496598"/>
    <n v="1"/>
    <n v="75.7"/>
    <n v="75.7"/>
    <n v="-2.4083883219284323"/>
    <n v="1411.298812517553"/>
    <n v="0"/>
    <n v="1"/>
    <n v="0"/>
    <n v="0"/>
    <n v="0"/>
    <n v="0"/>
    <n v="0"/>
    <n v="0"/>
    <n v="0"/>
    <n v="0"/>
  </r>
  <r>
    <d v="2014-05-18T00:00:00"/>
    <n v="2014"/>
    <x v="1"/>
    <s v="R"/>
    <s v="RS"/>
    <x v="8"/>
    <s v="CON"/>
    <s v="H"/>
    <n v="1"/>
    <n v="1"/>
    <n v="0"/>
    <n v="0"/>
    <n v="0"/>
    <n v="0"/>
    <n v="1638.458524360025"/>
    <n v="1413.7072008394814"/>
    <n v="0.85536506637202525"/>
    <n v="90"/>
    <n v="87"/>
    <n v="1"/>
    <n v="3"/>
    <n v="1"/>
    <n v="0.2199669497496598"/>
    <n v="1"/>
    <n v="75.7"/>
    <n v="75.7"/>
    <n v="2.408388321928431"/>
    <n v="1640.8669126819534"/>
    <n v="1"/>
    <n v="0"/>
    <n v="0"/>
    <n v="0"/>
    <n v="0"/>
    <n v="0"/>
    <n v="0"/>
    <n v="0"/>
    <n v="0"/>
    <n v="0"/>
  </r>
  <r>
    <d v="2014-05-21T00:00:00"/>
    <n v="2014"/>
    <x v="2"/>
    <s v="R"/>
    <s v="RS"/>
    <x v="5"/>
    <s v="CHI"/>
    <s v="A"/>
    <n v="2"/>
    <n v="3"/>
    <n v="-1"/>
    <n v="1"/>
    <n v="-8"/>
    <n v="8"/>
    <n v="1411.298812517553"/>
    <n v="1562.812804892015"/>
    <n v="0.19033561343410743"/>
    <n v="68"/>
    <n v="78"/>
    <n v="0"/>
    <n v="-10"/>
    <n v="0"/>
    <n v="0.37569395660245419"/>
    <n v="1"/>
    <n v="75.55"/>
    <n v="75.55"/>
    <n v="-5.4024248438375073"/>
    <n v="1405.8963876737155"/>
    <n v="0"/>
    <n v="1"/>
    <n v="0"/>
    <n v="0"/>
    <n v="0"/>
    <n v="0"/>
    <n v="0"/>
    <n v="0"/>
    <n v="0"/>
    <n v="0"/>
  </r>
  <r>
    <d v="2014-05-21T00:00:00"/>
    <n v="2014"/>
    <x v="2"/>
    <s v="R"/>
    <s v="RS"/>
    <x v="3"/>
    <s v="CON"/>
    <s v="H"/>
    <n v="3"/>
    <n v="2"/>
    <n v="1"/>
    <n v="-1"/>
    <n v="8"/>
    <n v="-8"/>
    <n v="1562.812804892015"/>
    <n v="1411.298812517553"/>
    <n v="0.80966438656589268"/>
    <n v="78"/>
    <n v="68"/>
    <n v="0"/>
    <n v="10"/>
    <n v="1"/>
    <n v="0.37569395660245419"/>
    <n v="1"/>
    <n v="75.55"/>
    <n v="75.55"/>
    <n v="5.4024248438375038"/>
    <n v="1568.2152297358525"/>
    <n v="1"/>
    <n v="0"/>
    <n v="0"/>
    <n v="0"/>
    <n v="0"/>
    <n v="0"/>
    <n v="0"/>
    <n v="0"/>
    <n v="0"/>
    <n v="0"/>
  </r>
  <r>
    <d v="2014-05-23T00:00:00"/>
    <n v="2014"/>
    <x v="2"/>
    <s v="R"/>
    <s v="RS"/>
    <x v="7"/>
    <s v="CON"/>
    <s v="A"/>
    <n v="5"/>
    <n v="1"/>
    <n v="4"/>
    <n v="-4"/>
    <n v="16"/>
    <n v="-16"/>
    <n v="1466.3012945347057"/>
    <n v="1405.8963876737155"/>
    <n v="0.5120932743060983"/>
    <n v="59"/>
    <n v="71"/>
    <n v="0"/>
    <n v="-12"/>
    <n v="0"/>
    <n v="0.43426943890199926"/>
    <n v="1"/>
    <n v="75.55"/>
    <n v="75.55"/>
    <n v="-16.801296969773883"/>
    <n v="1449.4999975649318"/>
    <n v="0"/>
    <n v="1"/>
    <n v="0"/>
    <n v="0"/>
    <n v="0"/>
    <n v="0"/>
    <n v="0"/>
    <n v="0"/>
    <n v="0"/>
    <n v="0"/>
  </r>
  <r>
    <d v="2014-05-23T00:00:00"/>
    <n v="2014"/>
    <x v="3"/>
    <s v="R"/>
    <s v="RS"/>
    <x v="5"/>
    <s v="SEA"/>
    <s v="H"/>
    <n v="1"/>
    <n v="5"/>
    <n v="-4"/>
    <n v="4"/>
    <n v="-16"/>
    <n v="16"/>
    <n v="1405.8963876737155"/>
    <n v="1466.3012945347057"/>
    <n v="0.4879067256939017"/>
    <n v="71"/>
    <n v="59"/>
    <n v="0"/>
    <n v="12"/>
    <n v="1"/>
    <n v="0.43426943890199926"/>
    <n v="1"/>
    <n v="75.400000000000006"/>
    <n v="75.400000000000006"/>
    <n v="16.767939000939126"/>
    <n v="1422.6643266746546"/>
    <n v="1"/>
    <n v="0"/>
    <n v="0"/>
    <n v="0"/>
    <n v="0"/>
    <n v="0"/>
    <n v="0"/>
    <n v="0"/>
    <n v="0"/>
    <n v="0"/>
  </r>
  <r>
    <d v="2014-05-23T00:00:00"/>
    <n v="2014"/>
    <x v="1"/>
    <s v="R"/>
    <s v="RS"/>
    <x v="9"/>
    <s v="IND"/>
    <s v="A"/>
    <n v="6"/>
    <n v="5"/>
    <n v="1"/>
    <n v="-1"/>
    <n v="8"/>
    <n v="-8"/>
    <n v="1461.3880715044079"/>
    <n v="1498.6371163190538"/>
    <n v="0.35300366190715055"/>
    <n v="79"/>
    <n v="63"/>
    <n v="0"/>
    <n v="16"/>
    <n v="1"/>
    <n v="0.50219738810075909"/>
    <n v="1"/>
    <n v="75.7"/>
    <n v="75.7"/>
    <n v="24.596434242344539"/>
    <n v="1485.9845057467523"/>
    <n v="1"/>
    <n v="0"/>
    <n v="0"/>
    <n v="0"/>
    <n v="0"/>
    <n v="0"/>
    <n v="0"/>
    <n v="0"/>
    <n v="0"/>
    <n v="0"/>
  </r>
  <r>
    <d v="2014-05-23T00:00:00"/>
    <n v="2014"/>
    <x v="2"/>
    <s v="R"/>
    <s v="RS"/>
    <x v="2"/>
    <s v="WAS"/>
    <s v="H"/>
    <n v="5"/>
    <n v="6"/>
    <n v="-1"/>
    <n v="1"/>
    <n v="-8"/>
    <n v="8"/>
    <n v="1498.6371163190538"/>
    <n v="1461.3880715044079"/>
    <n v="0.64699633809284951"/>
    <n v="63"/>
    <n v="79"/>
    <n v="0"/>
    <n v="-16"/>
    <n v="0"/>
    <n v="0.50219738810075909"/>
    <n v="1"/>
    <n v="75.55"/>
    <n v="75.55"/>
    <n v="-24.547696261679391"/>
    <n v="1474.0894200573744"/>
    <n v="0"/>
    <n v="1"/>
    <n v="0"/>
    <n v="0"/>
    <n v="0"/>
    <n v="0"/>
    <n v="0"/>
    <n v="0"/>
    <n v="0"/>
    <n v="0"/>
  </r>
  <r>
    <d v="2014-05-23T00:00:00"/>
    <n v="2014"/>
    <x v="2"/>
    <s v="R"/>
    <s v="RS"/>
    <x v="0"/>
    <s v="PHX"/>
    <s v="A"/>
    <n v="5"/>
    <n v="4"/>
    <n v="1"/>
    <n v="-1"/>
    <n v="8"/>
    <n v="-8"/>
    <n v="1462.000973157775"/>
    <n v="1535.1048966941401"/>
    <n v="0.30740922390253117"/>
    <n v="78"/>
    <n v="74"/>
    <n v="0"/>
    <n v="4"/>
    <n v="1"/>
    <n v="0.29354970554686238"/>
    <n v="1"/>
    <n v="75.55"/>
    <n v="75.55"/>
    <n v="15.360056779204701"/>
    <n v="1477.3610299369798"/>
    <n v="1"/>
    <n v="0"/>
    <n v="0"/>
    <n v="0"/>
    <n v="0"/>
    <n v="0"/>
    <n v="0"/>
    <n v="0"/>
    <n v="0"/>
    <n v="0"/>
  </r>
  <r>
    <d v="2014-05-23T00:00:00"/>
    <n v="2014"/>
    <x v="2"/>
    <s v="R"/>
    <s v="RS"/>
    <x v="10"/>
    <s v="SAS"/>
    <s v="H"/>
    <n v="4"/>
    <n v="5"/>
    <n v="-1"/>
    <n v="1"/>
    <n v="-8"/>
    <n v="8"/>
    <n v="1535.1048966941401"/>
    <n v="1462.000973157775"/>
    <n v="0.69259077609746889"/>
    <n v="74"/>
    <n v="78"/>
    <n v="0"/>
    <n v="-4"/>
    <n v="0"/>
    <n v="0.29354970554686238"/>
    <n v="1"/>
    <n v="75.55"/>
    <n v="75.55"/>
    <n v="-15.360056779204703"/>
    <n v="1519.7448399149353"/>
    <n v="0"/>
    <n v="1"/>
    <n v="0"/>
    <n v="0"/>
    <n v="0"/>
    <n v="0"/>
    <n v="0"/>
    <n v="0"/>
    <n v="0"/>
    <n v="0"/>
  </r>
  <r>
    <d v="2014-05-23T00:00:00"/>
    <n v="2014"/>
    <x v="2"/>
    <s v="R"/>
    <s v="RS"/>
    <x v="8"/>
    <s v="TUL"/>
    <s v="A"/>
    <n v="4"/>
    <n v="5"/>
    <n v="-1"/>
    <n v="1"/>
    <n v="-8"/>
    <n v="8"/>
    <n v="1640.8669126819534"/>
    <n v="1445.4296737366228"/>
    <n v="0.6339919453078755"/>
    <n v="94"/>
    <n v="93"/>
    <n v="0"/>
    <n v="1"/>
    <n v="1"/>
    <n v="0.20998121375907444"/>
    <n v="1"/>
    <n v="75.55"/>
    <n v="75.55"/>
    <n v="5.8063813163021676"/>
    <n v="1646.6732939982555"/>
    <n v="1"/>
    <n v="0"/>
    <n v="0"/>
    <n v="0"/>
    <n v="0"/>
    <n v="0"/>
    <n v="0"/>
    <n v="0"/>
    <n v="0"/>
    <n v="0"/>
  </r>
  <r>
    <d v="2014-05-23T00:00:00"/>
    <n v="2014"/>
    <x v="1"/>
    <s v="R"/>
    <s v="RS"/>
    <x v="11"/>
    <s v="MIN"/>
    <s v="H"/>
    <n v="5"/>
    <n v="4"/>
    <n v="1"/>
    <n v="-1"/>
    <n v="8"/>
    <n v="-8"/>
    <n v="1445.4296737366228"/>
    <n v="1640.8669126819534"/>
    <n v="0.3660080546921245"/>
    <n v="93"/>
    <n v="94"/>
    <n v="0"/>
    <n v="-1"/>
    <n v="0"/>
    <n v="0.20998121375907444"/>
    <n v="1"/>
    <n v="75.7"/>
    <n v="75.7"/>
    <n v="-5.8179095386376458"/>
    <n v="1439.6117641979852"/>
    <n v="0"/>
    <n v="1"/>
    <n v="0"/>
    <n v="0"/>
    <n v="0"/>
    <n v="0"/>
    <n v="0"/>
    <n v="0"/>
    <n v="0"/>
    <n v="0"/>
  </r>
  <r>
    <d v="2014-05-24T00:00:00"/>
    <n v="2014"/>
    <x v="2"/>
    <s v="R"/>
    <s v="RS"/>
    <x v="1"/>
    <s v="CHI"/>
    <s v="A"/>
    <n v="6"/>
    <n v="2"/>
    <n v="4"/>
    <n v="-4"/>
    <n v="16"/>
    <n v="-16"/>
    <n v="1521.4505321180186"/>
    <n v="1568.2152297358525"/>
    <n v="0.36157486511825587"/>
    <n v="73"/>
    <n v="87"/>
    <n v="0"/>
    <n v="-14"/>
    <n v="0"/>
    <n v="0.46931848917355146"/>
    <n v="1"/>
    <n v="75.55"/>
    <n v="75.55"/>
    <n v="-12.820364279713523"/>
    <n v="1508.6301678383052"/>
    <n v="0"/>
    <n v="1"/>
    <n v="0"/>
    <n v="0"/>
    <n v="0"/>
    <n v="0"/>
    <n v="0"/>
    <n v="0"/>
    <n v="0"/>
    <n v="0"/>
  </r>
  <r>
    <d v="2014-05-24T00:00:00"/>
    <n v="2014"/>
    <x v="3"/>
    <s v="R"/>
    <s v="RS"/>
    <x v="3"/>
    <s v="ATL"/>
    <s v="H"/>
    <n v="2"/>
    <n v="6"/>
    <n v="-4"/>
    <n v="4"/>
    <n v="-16"/>
    <n v="16"/>
    <n v="1568.2152297358525"/>
    <n v="1521.4505321180186"/>
    <n v="0.63842513488174413"/>
    <n v="87"/>
    <n v="73"/>
    <n v="0"/>
    <n v="14"/>
    <n v="1"/>
    <n v="0.46931848917355146"/>
    <n v="1"/>
    <n v="75.400000000000006"/>
    <n v="75.400000000000006"/>
    <n v="12.794910214300462"/>
    <n v="1581.010139950153"/>
    <n v="1"/>
    <n v="0"/>
    <n v="0"/>
    <n v="0"/>
    <n v="0"/>
    <n v="0"/>
    <n v="0"/>
    <n v="0"/>
    <n v="0"/>
    <n v="0"/>
  </r>
  <r>
    <d v="2014-05-24T00:00:00"/>
    <n v="2014"/>
    <x v="2"/>
    <s v="R"/>
    <s v="RS"/>
    <x v="4"/>
    <s v="MIN"/>
    <s v="A"/>
    <n v="6"/>
    <n v="0"/>
    <n v="6"/>
    <n v="-6"/>
    <n v="16"/>
    <n v="-16"/>
    <n v="1435.4250403486933"/>
    <n v="1646.6732939982555"/>
    <n v="0.18014302855622011"/>
    <n v="82"/>
    <n v="87"/>
    <n v="0"/>
    <n v="-5"/>
    <n v="0"/>
    <n v="0.28209577551219012"/>
    <n v="1"/>
    <n v="75.55"/>
    <n v="75.55"/>
    <n v="-3.8392687238151386"/>
    <n v="1431.5857716248781"/>
    <n v="0"/>
    <n v="1"/>
    <n v="0"/>
    <n v="0"/>
    <n v="0"/>
    <n v="0"/>
    <n v="0"/>
    <n v="0"/>
    <n v="0"/>
    <n v="0"/>
  </r>
  <r>
    <d v="2014-05-24T00:00:00"/>
    <n v="2014"/>
    <x v="3"/>
    <s v="R"/>
    <s v="RS"/>
    <x v="8"/>
    <s v="NYL"/>
    <s v="H"/>
    <n v="0"/>
    <n v="6"/>
    <n v="-6"/>
    <n v="6"/>
    <n v="-16"/>
    <n v="16"/>
    <n v="1646.6732939982555"/>
    <n v="1435.4250403486933"/>
    <n v="0.81985697144378"/>
    <n v="87"/>
    <n v="82"/>
    <n v="0"/>
    <n v="5"/>
    <n v="1"/>
    <n v="0.28209577551219012"/>
    <n v="1"/>
    <n v="75.400000000000006"/>
    <n v="75.400000000000006"/>
    <n v="3.8316460857135843"/>
    <n v="1650.5049400839691"/>
    <n v="1"/>
    <n v="0"/>
    <n v="0"/>
    <n v="0"/>
    <n v="0"/>
    <n v="0"/>
    <n v="0"/>
    <n v="0"/>
    <n v="0"/>
    <n v="0"/>
  </r>
  <r>
    <d v="2014-05-24T00:00:00"/>
    <n v="2014"/>
    <x v="3"/>
    <s v="R"/>
    <s v="RS"/>
    <x v="7"/>
    <s v="WAS"/>
    <s v="A"/>
    <n v="0"/>
    <n v="0"/>
    <n v="0"/>
    <n v="0"/>
    <n v="0"/>
    <n v="0"/>
    <n v="1449.4999975649318"/>
    <n v="1485.9845057467523"/>
    <n v="0.3332405840912781"/>
    <n v="73"/>
    <n v="65"/>
    <n v="0"/>
    <n v="8"/>
    <n v="1"/>
    <n v="0.37685764675596417"/>
    <n v="1"/>
    <n v="75.400000000000006"/>
    <n v="75.400000000000006"/>
    <n v="18.946013186153358"/>
    <n v="1468.4460107510852"/>
    <n v="1"/>
    <n v="0"/>
    <n v="0"/>
    <n v="0"/>
    <n v="0"/>
    <n v="0"/>
    <n v="0"/>
    <n v="0"/>
    <n v="0"/>
    <n v="0"/>
  </r>
  <r>
    <d v="2014-05-24T00:00:00"/>
    <n v="2014"/>
    <x v="2"/>
    <s v="R"/>
    <s v="RS"/>
    <x v="9"/>
    <s v="SEA"/>
    <s v="H"/>
    <n v="0"/>
    <n v="0"/>
    <n v="0"/>
    <n v="0"/>
    <n v="0"/>
    <n v="0"/>
    <n v="1485.9845057467523"/>
    <n v="1449.4999975649318"/>
    <n v="0.66675941590872179"/>
    <n v="65"/>
    <n v="73"/>
    <n v="0"/>
    <n v="-8"/>
    <n v="0"/>
    <n v="0.37685764675596417"/>
    <n v="1"/>
    <n v="75.55"/>
    <n v="75.55"/>
    <n v="-18.983704193818113"/>
    <n v="1467.0008015529343"/>
    <n v="0"/>
    <n v="1"/>
    <n v="0"/>
    <n v="0"/>
    <n v="0"/>
    <n v="0"/>
    <n v="0"/>
    <n v="0"/>
    <n v="0"/>
    <n v="0"/>
  </r>
  <r>
    <d v="2014-05-25T00:00:00"/>
    <n v="2014"/>
    <x v="3"/>
    <s v="R"/>
    <s v="RS"/>
    <x v="2"/>
    <s v="ATL"/>
    <s v="A"/>
    <n v="1"/>
    <n v="0"/>
    <n v="1"/>
    <n v="-1"/>
    <n v="8"/>
    <n v="-8"/>
    <n v="1474.0894200573744"/>
    <n v="1508.6301678383052"/>
    <n v="0.35657244887805684"/>
    <n v="82"/>
    <n v="77"/>
    <n v="1"/>
    <n v="5"/>
    <n v="1"/>
    <n v="0.29022651066170174"/>
    <n v="1"/>
    <n v="75.400000000000006"/>
    <n v="75.400000000000006"/>
    <n v="14.080175870139687"/>
    <n v="1488.1695959275141"/>
    <n v="1"/>
    <n v="0"/>
    <n v="0"/>
    <n v="0"/>
    <n v="0"/>
    <n v="0"/>
    <n v="0"/>
    <n v="0"/>
    <n v="0"/>
    <n v="0"/>
  </r>
  <r>
    <d v="2014-05-25T00:00:00"/>
    <n v="2014"/>
    <x v="3"/>
    <s v="R"/>
    <s v="RS"/>
    <x v="1"/>
    <s v="IND"/>
    <s v="H"/>
    <n v="0"/>
    <n v="1"/>
    <n v="-1"/>
    <n v="1"/>
    <n v="-8"/>
    <n v="8"/>
    <n v="1508.6301678383052"/>
    <n v="1474.0894200573744"/>
    <n v="0.64342755112194316"/>
    <n v="77"/>
    <n v="82"/>
    <n v="1"/>
    <n v="-5"/>
    <n v="0"/>
    <n v="0.29022651066170174"/>
    <n v="1"/>
    <n v="75.400000000000006"/>
    <n v="75.400000000000006"/>
    <n v="-14.080175870139687"/>
    <n v="1494.5499919681654"/>
    <n v="0"/>
    <n v="1"/>
    <n v="0"/>
    <n v="0"/>
    <n v="0"/>
    <n v="0"/>
    <n v="0"/>
    <n v="0"/>
    <n v="0"/>
    <n v="0"/>
  </r>
  <r>
    <d v="2014-05-25T00:00:00"/>
    <n v="2014"/>
    <x v="3"/>
    <s v="R"/>
    <s v="RS"/>
    <x v="0"/>
    <s v="LAS"/>
    <s v="A"/>
    <n v="1"/>
    <n v="6"/>
    <n v="-5"/>
    <n v="5"/>
    <n v="-16"/>
    <n v="16"/>
    <n v="1477.3610299369798"/>
    <n v="1561.1553433403562"/>
    <n v="0.24046926212143252"/>
    <n v="62"/>
    <n v="83"/>
    <n v="0"/>
    <n v="-21"/>
    <n v="0"/>
    <n v="0.55015942970839693"/>
    <n v="1"/>
    <n v="75.400000000000006"/>
    <n v="75.400000000000006"/>
    <n v="-9.9751509811789258"/>
    <n v="1467.3858789558008"/>
    <n v="0"/>
    <n v="1"/>
    <n v="0"/>
    <n v="0"/>
    <n v="0"/>
    <n v="0"/>
    <n v="0"/>
    <n v="0"/>
    <n v="0"/>
    <n v="0"/>
  </r>
  <r>
    <d v="2014-05-25T00:00:00"/>
    <n v="2014"/>
    <x v="2"/>
    <s v="R"/>
    <s v="RS"/>
    <x v="6"/>
    <s v="SAS"/>
    <s v="H"/>
    <n v="6"/>
    <n v="1"/>
    <n v="5"/>
    <n v="-5"/>
    <n v="16"/>
    <n v="-16"/>
    <n v="1561.1553433403562"/>
    <n v="1477.3610299369798"/>
    <n v="0.7595307378785674"/>
    <n v="83"/>
    <n v="62"/>
    <n v="0"/>
    <n v="21"/>
    <n v="1"/>
    <n v="0.55015942970839693"/>
    <n v="1"/>
    <n v="75.55"/>
    <n v="75.55"/>
    <n v="9.9949954459955972"/>
    <n v="1571.1503387863518"/>
    <n v="1"/>
    <n v="0"/>
    <n v="0"/>
    <n v="0"/>
    <n v="0"/>
    <n v="0"/>
    <n v="0"/>
    <n v="0"/>
    <n v="0"/>
    <n v="0"/>
  </r>
  <r>
    <d v="2014-05-26T00:00:00"/>
    <n v="2014"/>
    <x v="4"/>
    <s v="R"/>
    <s v="RS"/>
    <x v="8"/>
    <s v="CHI"/>
    <s v="A"/>
    <n v="1"/>
    <n v="1"/>
    <n v="0"/>
    <n v="0"/>
    <n v="0"/>
    <n v="0"/>
    <n v="1650.5049400839691"/>
    <n v="1581.010139950153"/>
    <n v="0.47913745915424039"/>
    <n v="75"/>
    <n v="72"/>
    <n v="0"/>
    <n v="3"/>
    <n v="1"/>
    <n v="0.27429826832039333"/>
    <n v="1"/>
    <n v="75.25"/>
    <n v="75.25"/>
    <n v="10.751094897268139"/>
    <n v="1661.2560349812372"/>
    <n v="1"/>
    <n v="0"/>
    <n v="0"/>
    <n v="0"/>
    <n v="0"/>
    <n v="0"/>
    <n v="0"/>
    <n v="0"/>
    <n v="0"/>
    <n v="0"/>
  </r>
  <r>
    <d v="2014-05-26T00:00:00"/>
    <n v="2014"/>
    <x v="4"/>
    <s v="R"/>
    <s v="RS"/>
    <x v="3"/>
    <s v="MIN"/>
    <s v="H"/>
    <n v="1"/>
    <n v="1"/>
    <n v="0"/>
    <n v="0"/>
    <n v="0"/>
    <n v="0"/>
    <n v="1581.010139950153"/>
    <n v="1650.5049400839691"/>
    <n v="0.52086254084575967"/>
    <n v="72"/>
    <n v="75"/>
    <n v="0"/>
    <n v="-3"/>
    <n v="0"/>
    <n v="0.27429826832039333"/>
    <n v="1"/>
    <n v="75.25"/>
    <n v="75.25"/>
    <n v="-10.751094897268139"/>
    <n v="1570.2590450528849"/>
    <n v="0"/>
    <n v="1"/>
    <n v="0"/>
    <n v="0"/>
    <n v="0"/>
    <n v="0"/>
    <n v="0"/>
    <n v="0"/>
    <n v="0"/>
    <n v="0"/>
  </r>
  <r>
    <d v="2014-05-27T00:00:00"/>
    <n v="2014"/>
    <x v="4"/>
    <s v="R"/>
    <s v="RS"/>
    <x v="7"/>
    <s v="NYL"/>
    <s v="A"/>
    <n v="2"/>
    <n v="2"/>
    <n v="0"/>
    <n v="0"/>
    <n v="0"/>
    <n v="0"/>
    <n v="1468.4460107510852"/>
    <n v="1431.5857716248781"/>
    <n v="0.43257367052428791"/>
    <n v="64"/>
    <n v="70"/>
    <n v="0"/>
    <n v="-6"/>
    <n v="0"/>
    <n v="0.34081208205624686"/>
    <n v="1"/>
    <n v="75.25"/>
    <n v="75.25"/>
    <n v="-11.093831580380687"/>
    <n v="1457.3521791707044"/>
    <n v="0"/>
    <n v="1"/>
    <n v="0"/>
    <n v="0"/>
    <n v="0"/>
    <n v="0"/>
    <n v="0"/>
    <n v="0"/>
    <n v="0"/>
    <n v="0"/>
  </r>
  <r>
    <d v="2014-05-27T00:00:00"/>
    <n v="2014"/>
    <x v="3"/>
    <s v="R"/>
    <s v="RS"/>
    <x v="4"/>
    <s v="SEA"/>
    <s v="H"/>
    <n v="2"/>
    <n v="2"/>
    <n v="0"/>
    <n v="0"/>
    <n v="0"/>
    <n v="0"/>
    <n v="1431.5857716248781"/>
    <n v="1468.4460107510852"/>
    <n v="0.56742632947571214"/>
    <n v="70"/>
    <n v="64"/>
    <n v="0"/>
    <n v="6"/>
    <n v="1"/>
    <n v="0.34081208205624686"/>
    <n v="1"/>
    <n v="75.400000000000006"/>
    <n v="75.400000000000006"/>
    <n v="11.1159455303748"/>
    <n v="1442.7017171552529"/>
    <n v="1"/>
    <n v="0"/>
    <n v="0"/>
    <n v="0"/>
    <n v="0"/>
    <n v="0"/>
    <n v="0"/>
    <n v="0"/>
    <n v="0"/>
    <n v="0"/>
  </r>
  <r>
    <d v="2014-05-28T00:00:00"/>
    <n v="2014"/>
    <x v="2"/>
    <s v="R"/>
    <s v="RS"/>
    <x v="11"/>
    <s v="SAS"/>
    <s v="A"/>
    <n v="4"/>
    <n v="2"/>
    <n v="2"/>
    <n v="-2"/>
    <n v="16"/>
    <n v="-16"/>
    <n v="1439.6117641979852"/>
    <n v="1467.3858789558008"/>
    <n v="0.38717165641674839"/>
    <n v="79"/>
    <n v="82"/>
    <n v="0"/>
    <n v="-3"/>
    <n v="0"/>
    <n v="0.28361912922975879"/>
    <n v="1"/>
    <n v="75.55"/>
    <n v="75.55"/>
    <n v="-8.2960917125825624"/>
    <n v="1431.3156724854025"/>
    <n v="0"/>
    <n v="1"/>
    <n v="0"/>
    <n v="0"/>
    <n v="0"/>
    <n v="0"/>
    <n v="0"/>
    <n v="0"/>
    <n v="0"/>
    <n v="0"/>
  </r>
  <r>
    <d v="2014-05-28T00:00:00"/>
    <n v="2014"/>
    <x v="4"/>
    <s v="R"/>
    <s v="RS"/>
    <x v="0"/>
    <s v="TUL"/>
    <s v="H"/>
    <n v="2"/>
    <n v="4"/>
    <n v="-2"/>
    <n v="2"/>
    <n v="-16"/>
    <n v="16"/>
    <n v="1467.3858789558008"/>
    <n v="1439.6117641979852"/>
    <n v="0.61282834358325167"/>
    <n v="82"/>
    <n v="79"/>
    <n v="0"/>
    <n v="3"/>
    <n v="1"/>
    <n v="0.28361912922975879"/>
    <n v="1"/>
    <n v="75.25"/>
    <n v="75.25"/>
    <n v="8.2631489261659539"/>
    <n v="1475.6490278819667"/>
    <n v="1"/>
    <n v="0"/>
    <n v="0"/>
    <n v="0"/>
    <n v="0"/>
    <n v="0"/>
    <n v="0"/>
    <n v="0"/>
    <n v="0"/>
    <n v="0"/>
  </r>
  <r>
    <d v="2014-05-29T00:00:00"/>
    <n v="2014"/>
    <x v="4"/>
    <s v="R"/>
    <s v="RS"/>
    <x v="5"/>
    <s v="IND"/>
    <s v="A"/>
    <n v="5"/>
    <n v="3"/>
    <n v="2"/>
    <n v="-2"/>
    <n v="16"/>
    <n v="-16"/>
    <n v="1422.6643266746546"/>
    <n v="1488.1695959275141"/>
    <n v="0.3370619728434544"/>
    <n v="65"/>
    <n v="79"/>
    <n v="0"/>
    <n v="-14"/>
    <n v="0"/>
    <n v="0.462368461402279"/>
    <n v="1"/>
    <n v="75.25"/>
    <n v="75.25"/>
    <n v="-11.727473640008569"/>
    <n v="1410.936853034646"/>
    <n v="0"/>
    <n v="1"/>
    <n v="0"/>
    <n v="0"/>
    <n v="0"/>
    <n v="0"/>
    <n v="0"/>
    <n v="0"/>
    <n v="0"/>
    <n v="0"/>
  </r>
  <r>
    <d v="2014-05-29T00:00:00"/>
    <n v="2014"/>
    <x v="4"/>
    <s v="R"/>
    <s v="RS"/>
    <x v="2"/>
    <s v="CON"/>
    <s v="H"/>
    <n v="3"/>
    <n v="5"/>
    <n v="-2"/>
    <n v="2"/>
    <n v="-16"/>
    <n v="16"/>
    <n v="1488.1695959275141"/>
    <n v="1422.6643266746546"/>
    <n v="0.6629380271565456"/>
    <n v="79"/>
    <n v="65"/>
    <n v="0"/>
    <n v="14"/>
    <n v="1"/>
    <n v="0.462368461402279"/>
    <n v="1"/>
    <n v="75.25"/>
    <n v="75.25"/>
    <n v="11.727473640008569"/>
    <n v="1499.8970695675227"/>
    <n v="1"/>
    <n v="0"/>
    <n v="0"/>
    <n v="0"/>
    <n v="0"/>
    <n v="0"/>
    <n v="0"/>
    <n v="0"/>
    <n v="0"/>
    <n v="0"/>
  </r>
  <r>
    <d v="2014-05-30T00:00:00"/>
    <n v="2014"/>
    <x v="5"/>
    <s v="R"/>
    <s v="RS"/>
    <x v="7"/>
    <s v="ATL"/>
    <s v="A"/>
    <n v="2"/>
    <n v="4"/>
    <n v="-2"/>
    <n v="2"/>
    <n v="-16"/>
    <n v="16"/>
    <n v="1457.3521791707044"/>
    <n v="1494.5499919681654"/>
    <n v="0.29278886589711001"/>
    <n v="69"/>
    <n v="80"/>
    <n v="0"/>
    <n v="-11"/>
    <n v="0"/>
    <n v="0.42661178256994159"/>
    <n v="1"/>
    <n v="75.099999999999994"/>
    <n v="75.099999999999994"/>
    <n v="-9.3805292177745265"/>
    <n v="1447.97164995293"/>
    <n v="0"/>
    <n v="1"/>
    <n v="0"/>
    <n v="0"/>
    <n v="0"/>
    <n v="0"/>
    <n v="0"/>
    <n v="0"/>
    <n v="0"/>
    <n v="0"/>
  </r>
  <r>
    <d v="2014-05-30T00:00:00"/>
    <n v="2014"/>
    <x v="4"/>
    <s v="R"/>
    <s v="RS"/>
    <x v="1"/>
    <s v="SEA"/>
    <s v="H"/>
    <n v="4"/>
    <n v="2"/>
    <n v="2"/>
    <n v="-2"/>
    <n v="16"/>
    <n v="-16"/>
    <n v="1494.5499919681654"/>
    <n v="1457.3521791707044"/>
    <n v="0.70721113410289005"/>
    <n v="80"/>
    <n v="69"/>
    <n v="0"/>
    <n v="11"/>
    <n v="1"/>
    <n v="0.42661178256994159"/>
    <n v="1"/>
    <n v="75.25"/>
    <n v="75.25"/>
    <n v="9.3992652947740734"/>
    <n v="1503.9492572629395"/>
    <n v="1"/>
    <n v="0"/>
    <n v="0"/>
    <n v="0"/>
    <n v="0"/>
    <n v="0"/>
    <n v="0"/>
    <n v="0"/>
    <n v="0"/>
    <n v="0"/>
  </r>
  <r>
    <d v="2014-05-30T00:00:00"/>
    <n v="2014"/>
    <x v="5"/>
    <s v="R"/>
    <s v="RS"/>
    <x v="5"/>
    <s v="CHI"/>
    <s v="A"/>
    <n v="0"/>
    <n v="3"/>
    <n v="-3"/>
    <n v="3"/>
    <n v="-16"/>
    <n v="16"/>
    <n v="1410.936853034646"/>
    <n v="1570.2590450528849"/>
    <n v="0.17010519136087809"/>
    <n v="82"/>
    <n v="101"/>
    <n v="0"/>
    <n v="-19"/>
    <n v="0"/>
    <n v="0.49522702654345196"/>
    <n v="1"/>
    <n v="75.099999999999994"/>
    <n v="75.099999999999994"/>
    <n v="-6.3264756776056652"/>
    <n v="1404.6103773570403"/>
    <n v="0"/>
    <n v="1"/>
    <n v="0"/>
    <n v="0"/>
    <n v="0"/>
    <n v="0"/>
    <n v="0"/>
    <n v="0"/>
    <n v="0"/>
    <n v="0"/>
  </r>
  <r>
    <d v="2014-05-30T00:00:00"/>
    <n v="2014"/>
    <x v="5"/>
    <s v="R"/>
    <s v="RS"/>
    <x v="3"/>
    <s v="CON"/>
    <s v="H"/>
    <n v="3"/>
    <n v="0"/>
    <n v="3"/>
    <n v="-3"/>
    <n v="16"/>
    <n v="-16"/>
    <n v="1570.2590450528849"/>
    <n v="1410.936853034646"/>
    <n v="0.82989480863912179"/>
    <n v="101"/>
    <n v="82"/>
    <n v="0"/>
    <n v="19"/>
    <n v="1"/>
    <n v="0.49522702654345196"/>
    <n v="1"/>
    <n v="75.099999999999994"/>
    <n v="75.099999999999994"/>
    <n v="6.3264756776056696"/>
    <n v="1576.5855207304905"/>
    <n v="1"/>
    <n v="0"/>
    <n v="0"/>
    <n v="0"/>
    <n v="0"/>
    <n v="0"/>
    <n v="0"/>
    <n v="0"/>
    <n v="0"/>
    <n v="0"/>
  </r>
  <r>
    <d v="2014-05-30T00:00:00"/>
    <n v="2014"/>
    <x v="5"/>
    <s v="R"/>
    <s v="RS"/>
    <x v="0"/>
    <s v="MIN"/>
    <s v="A"/>
    <n v="1"/>
    <n v="3"/>
    <n v="-2"/>
    <n v="2"/>
    <n v="-16"/>
    <n v="16"/>
    <n v="1475.6490278819667"/>
    <n v="1661.2560349812372"/>
    <n v="0.14979758636879673"/>
    <n v="72"/>
    <n v="88"/>
    <n v="0"/>
    <n v="-16"/>
    <n v="0"/>
    <n v="0.44842674405698835"/>
    <n v="1"/>
    <n v="75.099999999999994"/>
    <n v="75.099999999999994"/>
    <n v="-5.0447106186139212"/>
    <n v="1470.6043172633529"/>
    <n v="0"/>
    <n v="1"/>
    <n v="0"/>
    <n v="0"/>
    <n v="0"/>
    <n v="0"/>
    <n v="0"/>
    <n v="0"/>
    <n v="0"/>
    <n v="0"/>
  </r>
  <r>
    <d v="2014-05-30T00:00:00"/>
    <n v="2014"/>
    <x v="5"/>
    <s v="R"/>
    <s v="RS"/>
    <x v="8"/>
    <s v="SAS"/>
    <s v="H"/>
    <n v="3"/>
    <n v="1"/>
    <n v="2"/>
    <n v="-2"/>
    <n v="16"/>
    <n v="-16"/>
    <n v="1661.2560349812372"/>
    <n v="1475.6490278819667"/>
    <n v="0.8502024136312033"/>
    <n v="88"/>
    <n v="72"/>
    <n v="0"/>
    <n v="16"/>
    <n v="1"/>
    <n v="0.44842674405698835"/>
    <n v="1"/>
    <n v="75.099999999999994"/>
    <n v="75.099999999999994"/>
    <n v="5.0447106186139203"/>
    <n v="1666.3007455998511"/>
    <n v="1"/>
    <n v="0"/>
    <n v="0"/>
    <n v="0"/>
    <n v="0"/>
    <n v="0"/>
    <n v="0"/>
    <n v="0"/>
    <n v="0"/>
    <n v="0"/>
  </r>
  <r>
    <d v="2014-05-30T00:00:00"/>
    <n v="2014"/>
    <x v="3"/>
    <s v="R"/>
    <s v="RS"/>
    <x v="11"/>
    <s v="PHX"/>
    <s v="A"/>
    <n v="1"/>
    <n v="6"/>
    <n v="-5"/>
    <n v="5"/>
    <n v="-16"/>
    <n v="16"/>
    <n v="1431.3156724854025"/>
    <n v="1519.7448399149353"/>
    <n v="0.23563005461805026"/>
    <n v="78"/>
    <n v="100"/>
    <n v="0"/>
    <n v="-22"/>
    <n v="0"/>
    <n v="0.56073505928584233"/>
    <n v="1"/>
    <n v="75.400000000000006"/>
    <n v="75.400000000000006"/>
    <n v="-9.9623028614917128"/>
    <n v="1421.3533696239108"/>
    <n v="0"/>
    <n v="1"/>
    <n v="0"/>
    <n v="0"/>
    <n v="0"/>
    <n v="0"/>
    <n v="0"/>
    <n v="0"/>
    <n v="0"/>
    <n v="0"/>
  </r>
  <r>
    <d v="2014-05-30T00:00:00"/>
    <n v="2014"/>
    <x v="3"/>
    <s v="R"/>
    <s v="RS"/>
    <x v="10"/>
    <s v="TUL"/>
    <s v="H"/>
    <n v="6"/>
    <n v="1"/>
    <n v="5"/>
    <n v="-5"/>
    <n v="16"/>
    <n v="-16"/>
    <n v="1519.7448399149353"/>
    <n v="1431.3156724854025"/>
    <n v="0.76436994538194969"/>
    <n v="100"/>
    <n v="78"/>
    <n v="0"/>
    <n v="22"/>
    <n v="1"/>
    <n v="0.56073505928584233"/>
    <n v="1"/>
    <n v="75.400000000000006"/>
    <n v="75.400000000000006"/>
    <n v="9.9623028614917146"/>
    <n v="1529.707142776427"/>
    <n v="1"/>
    <n v="0"/>
    <n v="0"/>
    <n v="0"/>
    <n v="0"/>
    <n v="0"/>
    <n v="0"/>
    <n v="0"/>
    <n v="0"/>
    <n v="0"/>
  </r>
  <r>
    <d v="2014-05-30T00:00:00"/>
    <n v="2014"/>
    <x v="4"/>
    <s v="R"/>
    <s v="RS"/>
    <x v="4"/>
    <s v="WAS"/>
    <s v="A"/>
    <n v="2"/>
    <n v="5"/>
    <n v="-3"/>
    <n v="3"/>
    <n v="-16"/>
    <n v="16"/>
    <n v="1442.7017171552529"/>
    <n v="1467.0008015529343"/>
    <n v="0.30839651515642291"/>
    <n v="60"/>
    <n v="68"/>
    <n v="0"/>
    <n v="-8"/>
    <n v="0"/>
    <n v="0.3806085032178671"/>
    <n v="1"/>
    <n v="75.25"/>
    <n v="75.25"/>
    <n v="-8.8327197863547529"/>
    <n v="1433.8689973688981"/>
    <n v="0"/>
    <n v="1"/>
    <n v="0"/>
    <n v="0"/>
    <n v="0"/>
    <n v="0"/>
    <n v="0"/>
    <n v="0"/>
    <n v="0"/>
    <n v="0"/>
  </r>
  <r>
    <d v="2014-05-30T00:00:00"/>
    <n v="2014"/>
    <x v="3"/>
    <s v="R"/>
    <s v="RS"/>
    <x v="9"/>
    <s v="NYL"/>
    <s v="H"/>
    <n v="5"/>
    <n v="2"/>
    <n v="3"/>
    <n v="-3"/>
    <n v="16"/>
    <n v="-16"/>
    <n v="1467.0008015529343"/>
    <n v="1442.7017171552529"/>
    <n v="0.69160348484357714"/>
    <n v="68"/>
    <n v="60"/>
    <n v="0"/>
    <n v="8"/>
    <n v="1"/>
    <n v="0.3806085032178671"/>
    <n v="1"/>
    <n v="75.400000000000006"/>
    <n v="75.400000000000006"/>
    <n v="8.8503265367594448"/>
    <n v="1475.8511280896937"/>
    <n v="1"/>
    <n v="0"/>
    <n v="0"/>
    <n v="0"/>
    <n v="0"/>
    <n v="0"/>
    <n v="0"/>
    <n v="0"/>
    <n v="0"/>
    <n v="0"/>
  </r>
  <r>
    <d v="2014-05-31T00:00:00"/>
    <n v="2014"/>
    <x v="5"/>
    <s v="R"/>
    <s v="RS"/>
    <x v="4"/>
    <s v="IND"/>
    <s v="A"/>
    <n v="0"/>
    <n v="1"/>
    <n v="-1"/>
    <n v="1"/>
    <n v="-8"/>
    <n v="8"/>
    <n v="1433.8689973688981"/>
    <n v="1499.8970695675227"/>
    <n v="0.27773304933530402"/>
    <n v="66"/>
    <n v="70"/>
    <n v="0"/>
    <n v="-4"/>
    <n v="0"/>
    <n v="0.29519035959103374"/>
    <n v="1"/>
    <n v="75.099999999999994"/>
    <n v="75.099999999999994"/>
    <n v="-6.1570073146405626"/>
    <n v="1427.7119900542575"/>
    <n v="0"/>
    <n v="1"/>
    <n v="0"/>
    <n v="0"/>
    <n v="0"/>
    <n v="0"/>
    <n v="0"/>
    <n v="0"/>
    <n v="0"/>
    <n v="0"/>
  </r>
  <r>
    <d v="2014-05-31T00:00:00"/>
    <n v="2014"/>
    <x v="5"/>
    <s v="R"/>
    <s v="RS"/>
    <x v="2"/>
    <s v="NYL"/>
    <s v="H"/>
    <n v="1"/>
    <n v="0"/>
    <n v="1"/>
    <n v="-1"/>
    <n v="8"/>
    <n v="-8"/>
    <n v="1499.8970695675227"/>
    <n v="1433.8689973688981"/>
    <n v="0.72226695066469604"/>
    <n v="70"/>
    <n v="66"/>
    <n v="0"/>
    <n v="4"/>
    <n v="1"/>
    <n v="0.29519035959103374"/>
    <n v="1"/>
    <n v="75.099999999999994"/>
    <n v="75.099999999999994"/>
    <n v="6.1570073146405608"/>
    <n v="1506.0540768821634"/>
    <n v="1"/>
    <n v="0"/>
    <n v="0"/>
    <n v="0"/>
    <n v="0"/>
    <n v="0"/>
    <n v="0"/>
    <n v="0"/>
    <n v="0"/>
    <n v="0"/>
  </r>
  <r>
    <d v="2014-06-01T00:00:00"/>
    <n v="2014"/>
    <x v="5"/>
    <s v="R"/>
    <s v="RS"/>
    <x v="1"/>
    <s v="CON"/>
    <s v="A"/>
    <n v="1"/>
    <n v="1"/>
    <n v="0"/>
    <n v="0"/>
    <n v="0"/>
    <n v="0"/>
    <n v="1503.9492572629395"/>
    <n v="1404.6103773570403"/>
    <n v="0.52206009190340763"/>
    <n v="76"/>
    <n v="85"/>
    <n v="0"/>
    <n v="-9"/>
    <n v="0"/>
    <n v="0.3749336220986268"/>
    <n v="1"/>
    <n v="75.099999999999994"/>
    <n v="75.099999999999994"/>
    <n v="-14.699914878907542"/>
    <n v="1489.2493423840319"/>
    <n v="0"/>
    <n v="1"/>
    <n v="0"/>
    <n v="0"/>
    <n v="0"/>
    <n v="0"/>
    <n v="0"/>
    <n v="0"/>
    <n v="0"/>
    <n v="0"/>
  </r>
  <r>
    <d v="2014-06-01T00:00:00"/>
    <n v="2014"/>
    <x v="6"/>
    <s v="R"/>
    <s v="RS"/>
    <x v="5"/>
    <s v="ATL"/>
    <s v="H"/>
    <n v="1"/>
    <n v="1"/>
    <n v="0"/>
    <n v="0"/>
    <n v="0"/>
    <n v="0"/>
    <n v="1404.6103773570403"/>
    <n v="1503.9492572629395"/>
    <n v="0.47793990809659243"/>
    <n v="85"/>
    <n v="76"/>
    <n v="0"/>
    <n v="9"/>
    <n v="1"/>
    <n v="0.3749336220986268"/>
    <n v="1"/>
    <n v="74.95"/>
    <n v="74.95"/>
    <n v="14.670554196725968"/>
    <n v="1419.2809315537663"/>
    <n v="1"/>
    <n v="0"/>
    <n v="0"/>
    <n v="0"/>
    <n v="0"/>
    <n v="0"/>
    <n v="0"/>
    <n v="0"/>
    <n v="0"/>
    <n v="0"/>
  </r>
  <r>
    <d v="2014-06-01T00:00:00"/>
    <n v="2014"/>
    <x v="6"/>
    <s v="R"/>
    <s v="RS"/>
    <x v="8"/>
    <s v="SAS"/>
    <s v="A"/>
    <n v="1"/>
    <n v="1"/>
    <n v="0"/>
    <n v="0"/>
    <n v="0"/>
    <n v="0"/>
    <n v="1666.3007455998511"/>
    <n v="1470.6043172633529"/>
    <n v="0.65542595316316787"/>
    <n v="87"/>
    <n v="79"/>
    <n v="0"/>
    <n v="8"/>
    <n v="1"/>
    <n v="0.33386819120759442"/>
    <n v="1"/>
    <n v="74.95"/>
    <n v="74.95"/>
    <n v="8.6224214158993302"/>
    <n v="1674.9231670157503"/>
    <n v="1"/>
    <n v="0"/>
    <n v="0"/>
    <n v="0"/>
    <n v="0"/>
    <n v="0"/>
    <n v="0"/>
    <n v="0"/>
    <n v="0"/>
    <n v="0"/>
  </r>
  <r>
    <d v="2014-06-01T00:00:00"/>
    <n v="2014"/>
    <x v="6"/>
    <s v="R"/>
    <s v="RS"/>
    <x v="0"/>
    <s v="MIN"/>
    <s v="H"/>
    <n v="1"/>
    <n v="1"/>
    <n v="0"/>
    <n v="0"/>
    <n v="0"/>
    <n v="0"/>
    <n v="1470.6043172633529"/>
    <n v="1666.3007455998511"/>
    <n v="0.34457404683683207"/>
    <n v="79"/>
    <n v="87"/>
    <n v="0"/>
    <n v="-8"/>
    <n v="0"/>
    <n v="0.33386819120759442"/>
    <n v="1"/>
    <n v="74.95"/>
    <n v="74.95"/>
    <n v="-8.6224214158993284"/>
    <n v="1461.9818958474536"/>
    <n v="0"/>
    <n v="1"/>
    <n v="0"/>
    <n v="0"/>
    <n v="0"/>
    <n v="0"/>
    <n v="0"/>
    <n v="0"/>
    <n v="0"/>
    <n v="0"/>
  </r>
  <r>
    <d v="2014-06-01T00:00:00"/>
    <n v="2014"/>
    <x v="4"/>
    <s v="R"/>
    <s v="RS"/>
    <x v="11"/>
    <s v="SEA"/>
    <s v="A"/>
    <n v="1"/>
    <n v="1"/>
    <n v="0"/>
    <n v="0"/>
    <n v="0"/>
    <n v="0"/>
    <n v="1421.3533696239108"/>
    <n v="1447.97164995293"/>
    <n v="0.34597704795467576"/>
    <n v="60"/>
    <n v="62"/>
    <n v="0"/>
    <n v="-2"/>
    <n v="0"/>
    <n v="0.26202901923603428"/>
    <n v="1"/>
    <n v="75.25"/>
    <n v="75.25"/>
    <n v="-6.8218659981690921"/>
    <n v="1414.5315036257416"/>
    <n v="0"/>
    <n v="1"/>
    <n v="0"/>
    <n v="0"/>
    <n v="0"/>
    <n v="0"/>
    <n v="0"/>
    <n v="0"/>
    <n v="0"/>
    <n v="0"/>
  </r>
  <r>
    <d v="2014-06-01T00:00:00"/>
    <n v="2014"/>
    <x v="6"/>
    <s v="R"/>
    <s v="RS"/>
    <x v="7"/>
    <s v="TUL"/>
    <s v="H"/>
    <n v="1"/>
    <n v="1"/>
    <n v="0"/>
    <n v="0"/>
    <n v="0"/>
    <n v="0"/>
    <n v="1447.97164995293"/>
    <n v="1421.3533696239108"/>
    <n v="0.65402295204532424"/>
    <n v="62"/>
    <n v="60"/>
    <n v="0"/>
    <n v="2"/>
    <n v="1"/>
    <n v="0.26202901923603428"/>
    <n v="1"/>
    <n v="74.95"/>
    <n v="74.95"/>
    <n v="6.7946691902029697"/>
    <n v="1454.7663191431329"/>
    <n v="1"/>
    <n v="0"/>
    <n v="0"/>
    <n v="0"/>
    <n v="0"/>
    <n v="0"/>
    <n v="0"/>
    <n v="0"/>
    <n v="0"/>
    <n v="0"/>
  </r>
  <r>
    <d v="2014-06-01T00:00:00"/>
    <n v="2014"/>
    <x v="3"/>
    <s v="R"/>
    <s v="RS"/>
    <x v="6"/>
    <s v="WAS"/>
    <s v="A"/>
    <n v="6"/>
    <n v="1"/>
    <n v="5"/>
    <n v="-5"/>
    <n v="16"/>
    <n v="-16"/>
    <n v="1571.1503387863518"/>
    <n v="1475.8511280896937"/>
    <n v="0.56199196377904015"/>
    <n v="84"/>
    <n v="92"/>
    <n v="1"/>
    <n v="-8"/>
    <n v="0"/>
    <n v="0.32377135285806896"/>
    <n v="1"/>
    <n v="75.400000000000006"/>
    <n v="75.400000000000006"/>
    <n v="-13.719550139970947"/>
    <n v="1557.4307886463807"/>
    <n v="0"/>
    <n v="1"/>
    <n v="0"/>
    <n v="0"/>
    <n v="0"/>
    <n v="0"/>
    <n v="0"/>
    <n v="0"/>
    <n v="0"/>
    <n v="0"/>
  </r>
  <r>
    <d v="2014-06-01T00:00:00"/>
    <n v="2014"/>
    <x v="4"/>
    <s v="R"/>
    <s v="RS"/>
    <x v="9"/>
    <s v="LAS"/>
    <s v="H"/>
    <n v="1"/>
    <n v="6"/>
    <n v="-5"/>
    <n v="5"/>
    <n v="-16"/>
    <n v="16"/>
    <n v="1475.8511280896937"/>
    <n v="1571.1503387863518"/>
    <n v="0.43800803622095991"/>
    <n v="92"/>
    <n v="84"/>
    <n v="1"/>
    <n v="8"/>
    <n v="1"/>
    <n v="0.32377135285806896"/>
    <n v="1"/>
    <n v="75.25"/>
    <n v="75.25"/>
    <n v="13.692256605209728"/>
    <n v="1489.5433846949034"/>
    <n v="1"/>
    <n v="0"/>
    <n v="0"/>
    <n v="0"/>
    <n v="0"/>
    <n v="0"/>
    <n v="0"/>
    <n v="0"/>
    <n v="0"/>
    <n v="0"/>
  </r>
  <r>
    <d v="2014-06-03T00:00:00"/>
    <n v="2014"/>
    <x v="4"/>
    <s v="R"/>
    <s v="RS"/>
    <x v="6"/>
    <s v="ATL"/>
    <s v="A"/>
    <n v="1"/>
    <n v="1"/>
    <n v="0"/>
    <n v="0"/>
    <n v="0"/>
    <n v="0"/>
    <n v="1557.4307886463807"/>
    <n v="1489.2493423840319"/>
    <n v="0.47725098810778627"/>
    <n v="85"/>
    <n v="93"/>
    <n v="0"/>
    <n v="-8"/>
    <n v="0"/>
    <n v="0.36743846346038528"/>
    <n v="1"/>
    <n v="75.25"/>
    <n v="75.25"/>
    <n v="-13.195867824084489"/>
    <n v="1544.2349208222963"/>
    <n v="0"/>
    <n v="1"/>
    <n v="0"/>
    <n v="0"/>
    <n v="0"/>
    <n v="0"/>
    <n v="0"/>
    <n v="0"/>
    <n v="0"/>
    <n v="0"/>
  </r>
  <r>
    <d v="2014-06-03T00:00:00"/>
    <n v="2014"/>
    <x v="6"/>
    <s v="R"/>
    <s v="RS"/>
    <x v="1"/>
    <s v="LAS"/>
    <s v="H"/>
    <n v="1"/>
    <n v="1"/>
    <n v="0"/>
    <n v="0"/>
    <n v="0"/>
    <n v="0"/>
    <n v="1489.2493423840319"/>
    <n v="1557.4307886463807"/>
    <n v="0.52274901189221379"/>
    <n v="93"/>
    <n v="85"/>
    <n v="0"/>
    <n v="8"/>
    <n v="1"/>
    <n v="0.36743846346038528"/>
    <n v="1"/>
    <n v="74.95"/>
    <n v="74.95"/>
    <n v="13.143259713157905"/>
    <n v="1502.3926020971899"/>
    <n v="1"/>
    <n v="0"/>
    <n v="0"/>
    <n v="0"/>
    <n v="0"/>
    <n v="0"/>
    <n v="0"/>
    <n v="0"/>
    <n v="0"/>
    <n v="0"/>
  </r>
  <r>
    <d v="2014-06-03T00:00:00"/>
    <n v="2014"/>
    <x v="7"/>
    <s v="R"/>
    <s v="RS"/>
    <x v="7"/>
    <s v="PHX"/>
    <s v="A"/>
    <n v="1"/>
    <n v="3"/>
    <n v="-2"/>
    <n v="2"/>
    <n v="-16"/>
    <n v="16"/>
    <n v="1454.7663191431329"/>
    <n v="1529.707142776427"/>
    <n v="0.24990036698594872"/>
    <n v="72"/>
    <n v="87"/>
    <n v="0"/>
    <n v="-15"/>
    <n v="0"/>
    <n v="0.47329069904194609"/>
    <n v="1"/>
    <n v="74.8"/>
    <n v="74.8"/>
    <n v="-8.8470088497450661"/>
    <n v="1445.9193102933878"/>
    <n v="0"/>
    <n v="1"/>
    <n v="0"/>
    <n v="0"/>
    <n v="0"/>
    <n v="0"/>
    <n v="0"/>
    <n v="0"/>
    <n v="0"/>
    <n v="0"/>
  </r>
  <r>
    <d v="2014-06-03T00:00:00"/>
    <n v="2014"/>
    <x v="4"/>
    <s v="R"/>
    <s v="RS"/>
    <x v="10"/>
    <s v="SEA"/>
    <s v="H"/>
    <n v="3"/>
    <n v="1"/>
    <n v="2"/>
    <n v="-2"/>
    <n v="16"/>
    <n v="-16"/>
    <n v="1529.707142776427"/>
    <n v="1454.7663191431329"/>
    <n v="0.75009963301405125"/>
    <n v="87"/>
    <n v="72"/>
    <n v="0"/>
    <n v="15"/>
    <n v="1"/>
    <n v="0.47329069904194609"/>
    <n v="1"/>
    <n v="75.25"/>
    <n v="75.25"/>
    <n v="8.9002328334667968"/>
    <n v="1538.6073756098938"/>
    <n v="1"/>
    <n v="0"/>
    <n v="0"/>
    <n v="0"/>
    <n v="0"/>
    <n v="0"/>
    <n v="0"/>
    <n v="0"/>
    <n v="0"/>
    <n v="0"/>
  </r>
  <r>
    <d v="2014-06-05T00:00:00"/>
    <n v="2014"/>
    <x v="5"/>
    <s v="R"/>
    <s v="RS"/>
    <x v="9"/>
    <s v="CON"/>
    <s v="A"/>
    <n v="3"/>
    <n v="3"/>
    <n v="0"/>
    <n v="0"/>
    <n v="0"/>
    <n v="0"/>
    <n v="1489.5433846949034"/>
    <n v="1419.2809315537663"/>
    <n v="0.48024037718495965"/>
    <n v="74"/>
    <n v="66"/>
    <n v="0"/>
    <n v="8"/>
    <n v="1"/>
    <n v="0.36683650756685982"/>
    <n v="1"/>
    <n v="75.099999999999994"/>
    <n v="75.099999999999994"/>
    <n v="14.319077041061103"/>
    <n v="1503.8624617359644"/>
    <n v="1"/>
    <n v="0"/>
    <n v="0"/>
    <n v="0"/>
    <n v="0"/>
    <n v="0"/>
    <n v="0"/>
    <n v="0"/>
    <n v="0"/>
    <n v="0"/>
  </r>
  <r>
    <d v="2014-06-05T00:00:00"/>
    <n v="2014"/>
    <x v="7"/>
    <s v="R"/>
    <s v="RS"/>
    <x v="5"/>
    <s v="WAS"/>
    <s v="H"/>
    <n v="3"/>
    <n v="3"/>
    <n v="0"/>
    <n v="0"/>
    <n v="0"/>
    <n v="0"/>
    <n v="1419.2809315537663"/>
    <n v="1489.5433846949034"/>
    <n v="0.5197596228150404"/>
    <n v="66"/>
    <n v="74"/>
    <n v="0"/>
    <n v="-8"/>
    <n v="0"/>
    <n v="0.36683650756685982"/>
    <n v="1"/>
    <n v="74.8"/>
    <n v="74.8"/>
    <n v="-14.261876999618783"/>
    <n v="1405.0190545541475"/>
    <n v="0"/>
    <n v="1"/>
    <n v="0"/>
    <n v="0"/>
    <n v="0"/>
    <n v="0"/>
    <n v="0"/>
    <n v="0"/>
    <n v="0"/>
    <n v="0"/>
  </r>
  <r>
    <d v="2014-06-05T00:00:00"/>
    <n v="2014"/>
    <x v="7"/>
    <s v="R"/>
    <s v="RS"/>
    <x v="0"/>
    <s v="NYL"/>
    <s v="A"/>
    <n v="3"/>
    <n v="4"/>
    <n v="-1"/>
    <n v="1"/>
    <n v="-8"/>
    <n v="8"/>
    <n v="1461.9818958474536"/>
    <n v="1427.7119900542575"/>
    <n v="0.40651940869447978"/>
    <n v="87"/>
    <n v="75"/>
    <n v="0"/>
    <n v="12"/>
    <n v="1"/>
    <n v="0.44346486058095558"/>
    <n v="1"/>
    <n v="74.8"/>
    <n v="74.8"/>
    <n v="19.686446518524257"/>
    <n v="1481.6683423659779"/>
    <n v="1"/>
    <n v="0"/>
    <n v="0"/>
    <n v="0"/>
    <n v="0"/>
    <n v="0"/>
    <n v="0"/>
    <n v="0"/>
    <n v="0"/>
    <n v="0"/>
  </r>
  <r>
    <d v="2014-06-05T00:00:00"/>
    <n v="2014"/>
    <x v="6"/>
    <s v="R"/>
    <s v="RS"/>
    <x v="4"/>
    <s v="SAS"/>
    <s v="H"/>
    <n v="4"/>
    <n v="3"/>
    <n v="1"/>
    <n v="-1"/>
    <n v="8"/>
    <n v="-8"/>
    <n v="1427.7119900542575"/>
    <n v="1461.9818958474536"/>
    <n v="0.59348059130552033"/>
    <n v="75"/>
    <n v="87"/>
    <n v="0"/>
    <n v="-12"/>
    <n v="0"/>
    <n v="0.44346486058095558"/>
    <n v="1"/>
    <n v="74.95"/>
    <n v="74.95"/>
    <n v="-19.725924686676386"/>
    <n v="1407.9860653675812"/>
    <n v="0"/>
    <n v="1"/>
    <n v="0"/>
    <n v="0"/>
    <n v="0"/>
    <n v="0"/>
    <n v="0"/>
    <n v="0"/>
    <n v="0"/>
    <n v="0"/>
  </r>
  <r>
    <d v="2014-06-06T00:00:00"/>
    <n v="2014"/>
    <x v="5"/>
    <s v="R"/>
    <s v="RS"/>
    <x v="6"/>
    <s v="CHI"/>
    <s v="A"/>
    <n v="2"/>
    <n v="6"/>
    <n v="-4"/>
    <n v="4"/>
    <n v="-16"/>
    <n v="16"/>
    <n v="1544.2349208222963"/>
    <n v="1576.5855207304905"/>
    <n v="0.29859973880730101"/>
    <n v="102"/>
    <n v="88"/>
    <n v="0"/>
    <n v="14"/>
    <n v="1"/>
    <n v="0.4748078381951627"/>
    <n v="1"/>
    <n v="75.099999999999994"/>
    <n v="75.099999999999994"/>
    <n v="25.010578663654737"/>
    <n v="1569.2454994859511"/>
    <n v="1"/>
    <n v="0"/>
    <n v="0"/>
    <n v="0"/>
    <n v="0"/>
    <n v="0"/>
    <n v="0"/>
    <n v="0"/>
    <n v="0"/>
    <n v="0"/>
  </r>
  <r>
    <d v="2014-06-06T00:00:00"/>
    <n v="2014"/>
    <x v="6"/>
    <s v="R"/>
    <s v="RS"/>
    <x v="3"/>
    <s v="LAS"/>
    <s v="H"/>
    <n v="6"/>
    <n v="2"/>
    <n v="4"/>
    <n v="-4"/>
    <n v="16"/>
    <n v="-16"/>
    <n v="1576.5855207304905"/>
    <n v="1544.2349208222963"/>
    <n v="0.70140026119269894"/>
    <n v="88"/>
    <n v="102"/>
    <n v="0"/>
    <n v="-14"/>
    <n v="0"/>
    <n v="0.4748078381951627"/>
    <n v="1"/>
    <n v="74.95"/>
    <n v="74.95"/>
    <n v="-24.96062411239577"/>
    <n v="1551.6248966180947"/>
    <n v="0"/>
    <n v="1"/>
    <n v="0"/>
    <n v="0"/>
    <n v="0"/>
    <n v="0"/>
    <n v="0"/>
    <n v="0"/>
    <n v="0"/>
    <n v="0"/>
  </r>
  <r>
    <d v="2014-06-06T00:00:00"/>
    <n v="2014"/>
    <x v="7"/>
    <s v="R"/>
    <s v="RS"/>
    <x v="8"/>
    <s v="SEA"/>
    <s v="A"/>
    <n v="4"/>
    <n v="2"/>
    <n v="2"/>
    <n v="-2"/>
    <n v="16"/>
    <n v="-16"/>
    <n v="1674.9231670157503"/>
    <n v="1445.9193102933878"/>
    <n v="0.73476141604241385"/>
    <n v="62"/>
    <n v="65"/>
    <n v="0"/>
    <n v="-3"/>
    <n v="0"/>
    <n v="0.243680395738851"/>
    <n v="1"/>
    <n v="74.8"/>
    <n v="74.8"/>
    <n v="-13.392712057087076"/>
    <n v="1661.5304549586633"/>
    <n v="0"/>
    <n v="1"/>
    <n v="0"/>
    <n v="0"/>
    <n v="0"/>
    <n v="0"/>
    <n v="0"/>
    <n v="0"/>
    <n v="0"/>
    <n v="0"/>
  </r>
  <r>
    <d v="2014-06-06T00:00:00"/>
    <n v="2014"/>
    <x v="8"/>
    <s v="R"/>
    <s v="RS"/>
    <x v="7"/>
    <s v="MIN"/>
    <s v="H"/>
    <n v="2"/>
    <n v="4"/>
    <n v="-2"/>
    <n v="2"/>
    <n v="-16"/>
    <n v="16"/>
    <n v="1445.9193102933878"/>
    <n v="1674.9231670157503"/>
    <n v="0.26523858395758609"/>
    <n v="65"/>
    <n v="62"/>
    <n v="0"/>
    <n v="3"/>
    <n v="1"/>
    <n v="0.243680395738851"/>
    <n v="1"/>
    <n v="74.650000000000006"/>
    <n v="74.650000000000006"/>
    <n v="13.365855014191849"/>
    <n v="1459.2851653075795"/>
    <n v="1"/>
    <n v="0"/>
    <n v="0"/>
    <n v="0"/>
    <n v="0"/>
    <n v="0"/>
    <n v="0"/>
    <n v="0"/>
    <n v="0"/>
    <n v="0"/>
  </r>
  <r>
    <d v="2014-06-06T00:00:00"/>
    <n v="2014"/>
    <x v="5"/>
    <s v="R"/>
    <s v="RS"/>
    <x v="10"/>
    <s v="TUL"/>
    <s v="A"/>
    <n v="2"/>
    <n v="4"/>
    <n v="-2"/>
    <n v="2"/>
    <n v="-16"/>
    <n v="16"/>
    <n v="1538.6073756098938"/>
    <n v="1414.5315036257416"/>
    <n v="0.51162002135950835"/>
    <n v="78"/>
    <n v="94"/>
    <n v="0"/>
    <n v="-16"/>
    <n v="0"/>
    <n v="0.46926558506423049"/>
    <n v="1"/>
    <n v="75.099999999999994"/>
    <n v="75.099999999999994"/>
    <n v="-18.030433715903666"/>
    <n v="1520.5769418939901"/>
    <n v="0"/>
    <n v="1"/>
    <n v="0"/>
    <n v="0"/>
    <n v="0"/>
    <n v="0"/>
    <n v="0"/>
    <n v="0"/>
    <n v="0"/>
    <n v="0"/>
  </r>
  <r>
    <d v="2014-06-06T00:00:00"/>
    <n v="2014"/>
    <x v="5"/>
    <s v="R"/>
    <s v="RS"/>
    <x v="11"/>
    <s v="PHX"/>
    <s v="H"/>
    <n v="4"/>
    <n v="2"/>
    <n v="2"/>
    <n v="-2"/>
    <n v="16"/>
    <n v="-16"/>
    <n v="1414.5315036257416"/>
    <n v="1538.6073756098938"/>
    <n v="0.48837997864049171"/>
    <n v="94"/>
    <n v="78"/>
    <n v="0"/>
    <n v="16"/>
    <n v="1"/>
    <n v="0.46926558506423049"/>
    <n v="1"/>
    <n v="75.099999999999994"/>
    <n v="75.099999999999994"/>
    <n v="18.030433715903666"/>
    <n v="1432.5619373416453"/>
    <n v="1"/>
    <n v="0"/>
    <n v="0"/>
    <n v="0"/>
    <n v="0"/>
    <n v="0"/>
    <n v="0"/>
    <n v="0"/>
    <n v="0"/>
    <n v="0"/>
  </r>
  <r>
    <d v="2014-06-06T00:00:00"/>
    <n v="2014"/>
    <x v="6"/>
    <s v="R"/>
    <s v="RS"/>
    <x v="2"/>
    <s v="WAS"/>
    <s v="A"/>
    <n v="5"/>
    <n v="0"/>
    <n v="5"/>
    <n v="-5"/>
    <n v="16"/>
    <n v="-16"/>
    <n v="1506.0540768821634"/>
    <n v="1503.8624617359644"/>
    <n v="0.42880702709480117"/>
    <n v="64"/>
    <n v="61"/>
    <n v="0"/>
    <n v="3"/>
    <n v="1"/>
    <n v="0.28965451175277285"/>
    <n v="1"/>
    <n v="74.95"/>
    <n v="74.95"/>
    <n v="12.40037419517609"/>
    <n v="1518.4544510773394"/>
    <n v="1"/>
    <n v="0"/>
    <n v="0"/>
    <n v="0"/>
    <n v="0"/>
    <n v="0"/>
    <n v="0"/>
    <n v="0"/>
    <n v="0"/>
    <n v="0"/>
  </r>
  <r>
    <d v="2014-06-06T00:00:00"/>
    <n v="2014"/>
    <x v="6"/>
    <s v="R"/>
    <s v="RS"/>
    <x v="9"/>
    <s v="IND"/>
    <s v="H"/>
    <n v="0"/>
    <n v="5"/>
    <n v="-5"/>
    <n v="5"/>
    <n v="-16"/>
    <n v="16"/>
    <n v="1503.8624617359644"/>
    <n v="1506.0540768821634"/>
    <n v="0.57119297290519899"/>
    <n v="61"/>
    <n v="64"/>
    <n v="0"/>
    <n v="-3"/>
    <n v="0"/>
    <n v="0.28965451175277285"/>
    <n v="1"/>
    <n v="74.95"/>
    <n v="74.95"/>
    <n v="-12.400374195176095"/>
    <n v="1491.4620875407884"/>
    <n v="0"/>
    <n v="1"/>
    <n v="0"/>
    <n v="0"/>
    <n v="0"/>
    <n v="0"/>
    <n v="0"/>
    <n v="0"/>
    <n v="0"/>
    <n v="0"/>
  </r>
  <r>
    <d v="2014-06-07T00:00:00"/>
    <n v="2014"/>
    <x v="7"/>
    <s v="R"/>
    <s v="RS"/>
    <x v="3"/>
    <s v="ATL"/>
    <s v="A"/>
    <n v="0"/>
    <n v="3"/>
    <n v="-3"/>
    <n v="3"/>
    <n v="-16"/>
    <n v="16"/>
    <n v="1551.6248966180947"/>
    <n v="1502.3926020971899"/>
    <n v="0.40507917001470783"/>
    <n v="59"/>
    <n v="97"/>
    <n v="0"/>
    <n v="-38"/>
    <n v="0"/>
    <n v="0.76460629718527195"/>
    <n v="1"/>
    <n v="74.8"/>
    <n v="74.8"/>
    <n v="-23.167511102036809"/>
    <n v="1528.4573855160579"/>
    <n v="0"/>
    <n v="1"/>
    <n v="0"/>
    <n v="0"/>
    <n v="0"/>
    <n v="0"/>
    <n v="0"/>
    <n v="0"/>
    <n v="0"/>
    <n v="0"/>
  </r>
  <r>
    <d v="2014-06-07T00:00:00"/>
    <n v="2014"/>
    <x v="7"/>
    <s v="R"/>
    <s v="RS"/>
    <x v="1"/>
    <s v="CHI"/>
    <s v="H"/>
    <n v="3"/>
    <n v="0"/>
    <n v="3"/>
    <n v="-3"/>
    <n v="16"/>
    <n v="-16"/>
    <n v="1502.3926020971899"/>
    <n v="1551.6248966180947"/>
    <n v="0.59492082998529217"/>
    <n v="97"/>
    <n v="59"/>
    <n v="0"/>
    <n v="38"/>
    <n v="1"/>
    <n v="0.76460629718527195"/>
    <n v="1"/>
    <n v="74.8"/>
    <n v="74.8"/>
    <n v="23.167511102036809"/>
    <n v="1525.5601131992266"/>
    <n v="1"/>
    <n v="0"/>
    <n v="0"/>
    <n v="0"/>
    <n v="0"/>
    <n v="0"/>
    <n v="0"/>
    <n v="0"/>
    <n v="0"/>
    <n v="0"/>
  </r>
  <r>
    <d v="2014-06-07T00:00:00"/>
    <n v="2014"/>
    <x v="7"/>
    <s v="R"/>
    <s v="RS"/>
    <x v="2"/>
    <s v="CON"/>
    <s v="A"/>
    <n v="0"/>
    <n v="1"/>
    <n v="-1"/>
    <n v="1"/>
    <n v="-8"/>
    <n v="8"/>
    <n v="1518.4544510773394"/>
    <n v="1405.0190545541475"/>
    <n v="0.51932545781995043"/>
    <n v="71"/>
    <n v="88"/>
    <n v="0"/>
    <n v="-17"/>
    <n v="0"/>
    <n v="0.48645748743312084"/>
    <n v="1"/>
    <n v="74.8"/>
    <n v="74.8"/>
    <n v="-18.89670585136189"/>
    <n v="1499.5577452259774"/>
    <n v="0"/>
    <n v="1"/>
    <n v="0"/>
    <n v="0"/>
    <n v="0"/>
    <n v="0"/>
    <n v="0"/>
    <n v="0"/>
    <n v="0"/>
    <n v="0"/>
  </r>
  <r>
    <d v="2014-06-07T00:00:00"/>
    <n v="2014"/>
    <x v="8"/>
    <s v="R"/>
    <s v="RS"/>
    <x v="5"/>
    <s v="IND"/>
    <s v="H"/>
    <n v="1"/>
    <n v="0"/>
    <n v="1"/>
    <n v="-1"/>
    <n v="8"/>
    <n v="-8"/>
    <n v="1405.0190545541475"/>
    <n v="1518.4544510773394"/>
    <n v="0.48067454218004957"/>
    <n v="88"/>
    <n v="71"/>
    <n v="0"/>
    <n v="17"/>
    <n v="1"/>
    <n v="0.48645748743312084"/>
    <n v="1"/>
    <n v="74.650000000000006"/>
    <n v="74.650000000000006"/>
    <n v="18.858811387756219"/>
    <n v="1423.8778659419038"/>
    <n v="1"/>
    <n v="0"/>
    <n v="0"/>
    <n v="0"/>
    <n v="0"/>
    <n v="0"/>
    <n v="0"/>
    <n v="0"/>
    <n v="0"/>
    <n v="0"/>
  </r>
  <r>
    <d v="2014-06-07T00:00:00"/>
    <n v="2014"/>
    <x v="6"/>
    <s v="R"/>
    <s v="RS"/>
    <x v="10"/>
    <s v="SAS"/>
    <s v="A"/>
    <n v="0"/>
    <n v="1"/>
    <n v="-1"/>
    <n v="1"/>
    <n v="-8"/>
    <n v="8"/>
    <n v="1520.5769418939901"/>
    <n v="1481.6683423659779"/>
    <n v="0.41297741937775512"/>
    <n v="91"/>
    <n v="79"/>
    <n v="1"/>
    <n v="12"/>
    <n v="1"/>
    <n v="0.39762400447485602"/>
    <n v="1"/>
    <n v="74.95"/>
    <n v="74.95"/>
    <n v="17.494399478352367"/>
    <n v="1538.0713413723424"/>
    <n v="1"/>
    <n v="0"/>
    <n v="0"/>
    <n v="0"/>
    <n v="0"/>
    <n v="0"/>
    <n v="0"/>
    <n v="0"/>
    <n v="0"/>
    <n v="0"/>
  </r>
  <r>
    <d v="2014-06-07T00:00:00"/>
    <n v="2014"/>
    <x v="8"/>
    <s v="R"/>
    <s v="RS"/>
    <x v="0"/>
    <s v="PHX"/>
    <s v="H"/>
    <n v="1"/>
    <n v="0"/>
    <n v="1"/>
    <n v="-1"/>
    <n v="8"/>
    <n v="-8"/>
    <n v="1481.6683423659779"/>
    <n v="1520.5769418939901"/>
    <n v="0.58702258062224488"/>
    <n v="79"/>
    <n v="91"/>
    <n v="1"/>
    <n v="-12"/>
    <n v="0"/>
    <n v="0.39762400447485602"/>
    <n v="1"/>
    <n v="74.650000000000006"/>
    <n v="74.650000000000006"/>
    <n v="-17.424375197585114"/>
    <n v="1464.2439671683928"/>
    <n v="0"/>
    <n v="1"/>
    <n v="0"/>
    <n v="0"/>
    <n v="0"/>
    <n v="0"/>
    <n v="0"/>
    <n v="0"/>
    <n v="0"/>
    <n v="0"/>
  </r>
  <r>
    <d v="2014-06-08T00:00:00"/>
    <n v="2014"/>
    <x v="8"/>
    <s v="R"/>
    <s v="RS"/>
    <x v="8"/>
    <s v="LAS"/>
    <s v="A"/>
    <n v="1"/>
    <n v="1"/>
    <n v="0"/>
    <n v="0"/>
    <n v="0"/>
    <n v="0"/>
    <n v="1661.5304549586633"/>
    <n v="1569.2454994859511"/>
    <n v="0.51192074993135028"/>
    <n v="85"/>
    <n v="72"/>
    <n v="0"/>
    <n v="13"/>
    <n v="1"/>
    <n v="0.43833405657015889"/>
    <n v="1"/>
    <n v="74.650000000000006"/>
    <n v="74.650000000000006"/>
    <n v="15.970752205609811"/>
    <n v="1677.5012071642732"/>
    <n v="1"/>
    <n v="0"/>
    <n v="0"/>
    <n v="0"/>
    <n v="0"/>
    <n v="0"/>
    <n v="0"/>
    <n v="0"/>
    <n v="0"/>
    <n v="0"/>
  </r>
  <r>
    <d v="2014-06-08T00:00:00"/>
    <n v="2014"/>
    <x v="6"/>
    <s v="R"/>
    <s v="RS"/>
    <x v="6"/>
    <s v="MIN"/>
    <s v="H"/>
    <n v="1"/>
    <n v="1"/>
    <n v="0"/>
    <n v="0"/>
    <n v="0"/>
    <n v="0"/>
    <n v="1569.2454994859511"/>
    <n v="1661.5304549586633"/>
    <n v="0.48807925006864972"/>
    <n v="72"/>
    <n v="85"/>
    <n v="0"/>
    <n v="-13"/>
    <n v="0"/>
    <n v="0.43833405657015889"/>
    <n v="1"/>
    <n v="74.95"/>
    <n v="74.95"/>
    <n v="-16.0349347328929"/>
    <n v="1553.2105647530582"/>
    <n v="0"/>
    <n v="1"/>
    <n v="0"/>
    <n v="0"/>
    <n v="0"/>
    <n v="0"/>
    <n v="0"/>
    <n v="0"/>
    <n v="0"/>
    <n v="0"/>
  </r>
  <r>
    <d v="2014-06-08T00:00:00"/>
    <n v="2014"/>
    <x v="7"/>
    <s v="R"/>
    <s v="RS"/>
    <x v="9"/>
    <s v="NYL"/>
    <s v="A"/>
    <n v="1"/>
    <n v="2"/>
    <n v="-1"/>
    <n v="1"/>
    <n v="-8"/>
    <n v="8"/>
    <n v="1491.4620875407884"/>
    <n v="1407.9860653675812"/>
    <n v="0.47623799771591407"/>
    <n v="64"/>
    <n v="81"/>
    <n v="0"/>
    <n v="-17"/>
    <n v="0"/>
    <n v="0.49781255891056458"/>
    <n v="1"/>
    <n v="74.8"/>
    <n v="74.8"/>
    <n v="-17.73337877074653"/>
    <n v="1473.7287087700417"/>
    <n v="0"/>
    <n v="1"/>
    <n v="0"/>
    <n v="0"/>
    <n v="0"/>
    <n v="0"/>
    <n v="0"/>
    <n v="0"/>
    <n v="0"/>
    <n v="0"/>
  </r>
  <r>
    <d v="2014-06-08T00:00:00"/>
    <n v="2014"/>
    <x v="7"/>
    <s v="R"/>
    <s v="RS"/>
    <x v="4"/>
    <s v="WAS"/>
    <s v="H"/>
    <n v="2"/>
    <n v="1"/>
    <n v="1"/>
    <n v="-1"/>
    <n v="8"/>
    <n v="-8"/>
    <n v="1407.9860653675812"/>
    <n v="1491.4620875407884"/>
    <n v="0.52376200228408587"/>
    <n v="81"/>
    <n v="64"/>
    <n v="0"/>
    <n v="17"/>
    <n v="1"/>
    <n v="0.49781255891056458"/>
    <n v="1"/>
    <n v="74.8"/>
    <n v="74.8"/>
    <n v="17.73337877074653"/>
    <n v="1425.7194441383278"/>
    <n v="1"/>
    <n v="0"/>
    <n v="0"/>
    <n v="0"/>
    <n v="0"/>
    <n v="0"/>
    <n v="0"/>
    <n v="0"/>
    <n v="0"/>
    <n v="0"/>
  </r>
  <r>
    <d v="2014-06-10T00:00:00"/>
    <n v="2014"/>
    <x v="9"/>
    <s v="R"/>
    <s v="RS"/>
    <x v="7"/>
    <s v="CHI"/>
    <s v="A"/>
    <n v="3"/>
    <n v="2"/>
    <n v="1"/>
    <n v="-1"/>
    <n v="8"/>
    <n v="-8"/>
    <n v="1459.2851653075795"/>
    <n v="1528.4573855160579"/>
    <n v="0.31224881398814541"/>
    <n v="80"/>
    <n v="76"/>
    <n v="0"/>
    <n v="4"/>
    <n v="1"/>
    <n v="0.29445907807788835"/>
    <n v="1"/>
    <n v="74.5"/>
    <n v="74.5"/>
    <n v="15.087336223411862"/>
    <n v="1474.3725015309915"/>
    <n v="1"/>
    <n v="0"/>
    <n v="0"/>
    <n v="0"/>
    <n v="0"/>
    <n v="0"/>
    <n v="0"/>
    <n v="0"/>
    <n v="0"/>
    <n v="0"/>
  </r>
  <r>
    <d v="2014-06-10T00:00:00"/>
    <n v="2014"/>
    <x v="8"/>
    <s v="R"/>
    <s v="RS"/>
    <x v="3"/>
    <s v="SEA"/>
    <s v="H"/>
    <n v="2"/>
    <n v="3"/>
    <n v="-1"/>
    <n v="1"/>
    <n v="-8"/>
    <n v="8"/>
    <n v="1528.4573855160579"/>
    <n v="1459.2851653075795"/>
    <n v="0.68775118601185459"/>
    <n v="76"/>
    <n v="80"/>
    <n v="0"/>
    <n v="-4"/>
    <n v="0"/>
    <n v="0.29445907807788835"/>
    <n v="1"/>
    <n v="74.650000000000006"/>
    <n v="74.650000000000006"/>
    <n v="-15.117713410438869"/>
    <n v="1513.339672105619"/>
    <n v="0"/>
    <n v="1"/>
    <n v="0"/>
    <n v="0"/>
    <n v="0"/>
    <n v="0"/>
    <n v="0"/>
    <n v="0"/>
    <n v="0"/>
    <n v="0"/>
  </r>
  <r>
    <d v="2014-06-10T00:00:00"/>
    <n v="2014"/>
    <x v="8"/>
    <s v="R"/>
    <s v="RS"/>
    <x v="4"/>
    <s v="TUL"/>
    <s v="A"/>
    <n v="1"/>
    <n v="3"/>
    <n v="-2"/>
    <n v="2"/>
    <n v="-16"/>
    <n v="16"/>
    <n v="1425.7194441383278"/>
    <n v="1432.5619373416453"/>
    <n v="0.3302314939252356"/>
    <n v="57"/>
    <n v="72"/>
    <n v="0"/>
    <n v="-15"/>
    <n v="0"/>
    <n v="0.49999700628113208"/>
    <n v="1"/>
    <n v="74.650000000000006"/>
    <n v="74.650000000000006"/>
    <n v="-12.325816710257449"/>
    <n v="1413.3936274280704"/>
    <n v="0"/>
    <n v="1"/>
    <n v="0"/>
    <n v="0"/>
    <n v="0"/>
    <n v="0"/>
    <n v="0"/>
    <n v="0"/>
    <n v="0"/>
    <n v="0"/>
  </r>
  <r>
    <d v="2014-06-10T00:00:00"/>
    <n v="2014"/>
    <x v="6"/>
    <s v="R"/>
    <s v="RS"/>
    <x v="11"/>
    <s v="NYL"/>
    <s v="H"/>
    <n v="3"/>
    <n v="1"/>
    <n v="2"/>
    <n v="-2"/>
    <n v="16"/>
    <n v="-16"/>
    <n v="1432.5619373416453"/>
    <n v="1425.7194441383278"/>
    <n v="0.66976850607476435"/>
    <n v="72"/>
    <n v="57"/>
    <n v="0"/>
    <n v="15"/>
    <n v="1"/>
    <n v="0.49999700628113208"/>
    <n v="1"/>
    <n v="74.95"/>
    <n v="74.95"/>
    <n v="12.375351137760157"/>
    <n v="1444.9372884794054"/>
    <n v="1"/>
    <n v="0"/>
    <n v="0"/>
    <n v="0"/>
    <n v="0"/>
    <n v="0"/>
    <n v="0"/>
    <n v="0"/>
    <n v="0"/>
    <n v="0"/>
  </r>
  <r>
    <d v="2014-06-10T00:00:00"/>
    <n v="2014"/>
    <x v="7"/>
    <s v="R"/>
    <s v="RS"/>
    <x v="10"/>
    <s v="WAS"/>
    <s v="A"/>
    <n v="2"/>
    <n v="1"/>
    <n v="1"/>
    <n v="-1"/>
    <n v="8"/>
    <n v="-8"/>
    <n v="1538.0713413723424"/>
    <n v="1473.7287087700417"/>
    <n v="0.49473681962624677"/>
    <n v="81"/>
    <n v="66"/>
    <n v="0"/>
    <n v="15"/>
    <n v="1"/>
    <n v="0.47725799802585739"/>
    <n v="1"/>
    <n v="74.8"/>
    <n v="74.8"/>
    <n v="18.037338866813368"/>
    <n v="1556.1086802391558"/>
    <n v="1"/>
    <n v="0"/>
    <n v="0"/>
    <n v="0"/>
    <n v="0"/>
    <n v="0"/>
    <n v="0"/>
    <n v="0"/>
    <n v="0"/>
    <n v="0"/>
  </r>
  <r>
    <d v="2014-06-10T00:00:00"/>
    <n v="2014"/>
    <x v="8"/>
    <s v="R"/>
    <s v="RS"/>
    <x v="9"/>
    <s v="PHX"/>
    <s v="H"/>
    <n v="1"/>
    <n v="2"/>
    <n v="-1"/>
    <n v="1"/>
    <n v="-8"/>
    <n v="8"/>
    <n v="1473.7287087700417"/>
    <n v="1538.0713413723424"/>
    <n v="0.50526318037375328"/>
    <n v="66"/>
    <n v="81"/>
    <n v="0"/>
    <n v="-15"/>
    <n v="0"/>
    <n v="0.47725799802585739"/>
    <n v="1"/>
    <n v="74.650000000000006"/>
    <n v="74.650000000000006"/>
    <n v="-18.001167732722166"/>
    <n v="1455.7275410373195"/>
    <n v="0"/>
    <n v="1"/>
    <n v="0"/>
    <n v="0"/>
    <n v="0"/>
    <n v="0"/>
    <n v="0"/>
    <n v="0"/>
    <n v="0"/>
    <n v="0"/>
  </r>
  <r>
    <d v="2014-06-11T00:00:00"/>
    <n v="2014"/>
    <x v="10"/>
    <s v="R"/>
    <s v="RS"/>
    <x v="7"/>
    <s v="IND"/>
    <s v="A"/>
    <n v="0"/>
    <n v="3"/>
    <n v="-3"/>
    <n v="3"/>
    <n v="-16"/>
    <n v="16"/>
    <n v="1474.3725015309915"/>
    <n v="1499.5577452259774"/>
    <n v="0.30730956677793358"/>
    <n v="68"/>
    <n v="76"/>
    <n v="0"/>
    <n v="-8"/>
    <n v="0"/>
    <n v="0.38033321442746137"/>
    <n v="1"/>
    <n v="74.349999999999994"/>
    <n v="74.349999999999994"/>
    <n v="-8.6900306287901294"/>
    <n v="1465.6824709022014"/>
    <n v="0"/>
    <n v="1"/>
    <n v="0"/>
    <n v="0"/>
    <n v="0"/>
    <n v="0"/>
    <n v="0"/>
    <n v="0"/>
    <n v="0"/>
    <n v="0"/>
  </r>
  <r>
    <d v="2014-06-11T00:00:00"/>
    <n v="2014"/>
    <x v="8"/>
    <s v="R"/>
    <s v="RS"/>
    <x v="2"/>
    <s v="SEA"/>
    <s v="H"/>
    <n v="3"/>
    <n v="0"/>
    <n v="3"/>
    <n v="-3"/>
    <n v="16"/>
    <n v="-16"/>
    <n v="1499.5577452259774"/>
    <n v="1474.3725015309915"/>
    <n v="0.69269043322206647"/>
    <n v="76"/>
    <n v="68"/>
    <n v="0"/>
    <n v="8"/>
    <n v="1"/>
    <n v="0.38033321442746137"/>
    <n v="1"/>
    <n v="74.650000000000006"/>
    <n v="74.650000000000006"/>
    <n v="8.7250946393972182"/>
    <n v="1508.2828398653746"/>
    <n v="1"/>
    <n v="0"/>
    <n v="0"/>
    <n v="0"/>
    <n v="0"/>
    <n v="0"/>
    <n v="0"/>
    <n v="0"/>
    <n v="0"/>
    <n v="0"/>
  </r>
  <r>
    <d v="2014-06-12T00:00:00"/>
    <n v="2014"/>
    <x v="8"/>
    <s v="R"/>
    <s v="RS"/>
    <x v="10"/>
    <s v="CON"/>
    <s v="A"/>
    <n v="1"/>
    <n v="4"/>
    <n v="-3"/>
    <n v="3"/>
    <n v="-16"/>
    <n v="16"/>
    <n v="1556.1086802391558"/>
    <n v="1423.8778659419038"/>
    <n v="0.52334104213596677"/>
    <n v="95"/>
    <n v="96"/>
    <n v="0"/>
    <n v="-1"/>
    <n v="0"/>
    <n v="0.21994357285071281"/>
    <n v="1"/>
    <n v="74.650000000000006"/>
    <n v="74.650000000000006"/>
    <n v="-8.5926254724906173"/>
    <n v="1547.5160547666651"/>
    <n v="0"/>
    <n v="1"/>
    <n v="0"/>
    <n v="0"/>
    <n v="0"/>
    <n v="0"/>
    <n v="0"/>
    <n v="0"/>
    <n v="0"/>
    <n v="0"/>
  </r>
  <r>
    <d v="2014-06-12T00:00:00"/>
    <n v="2014"/>
    <x v="9"/>
    <s v="R"/>
    <s v="RS"/>
    <x v="5"/>
    <s v="PHX"/>
    <s v="H"/>
    <n v="4"/>
    <n v="1"/>
    <n v="3"/>
    <n v="-3"/>
    <n v="16"/>
    <n v="-16"/>
    <n v="1423.8778659419038"/>
    <n v="1556.1086802391558"/>
    <n v="0.47665895786403328"/>
    <n v="96"/>
    <n v="95"/>
    <n v="0"/>
    <n v="1"/>
    <n v="1"/>
    <n v="0.21994357285071281"/>
    <n v="1"/>
    <n v="74.5"/>
    <n v="74.5"/>
    <n v="8.5753596476965974"/>
    <n v="1432.4532255896004"/>
    <n v="1"/>
    <n v="0"/>
    <n v="0"/>
    <n v="0"/>
    <n v="0"/>
    <n v="0"/>
    <n v="0"/>
    <n v="0"/>
    <n v="0"/>
    <n v="0"/>
  </r>
  <r>
    <d v="2014-06-13T00:00:00"/>
    <n v="2014"/>
    <x v="9"/>
    <s v="R"/>
    <s v="RS"/>
    <x v="8"/>
    <s v="ATL"/>
    <s v="A"/>
    <n v="4"/>
    <n v="5"/>
    <n v="-1"/>
    <n v="1"/>
    <n v="-8"/>
    <n v="8"/>
    <n v="1677.5012071642732"/>
    <n v="1525.5601131992266"/>
    <n v="0.57419729991618451"/>
    <n v="82"/>
    <n v="85"/>
    <n v="0"/>
    <n v="-3"/>
    <n v="0"/>
    <n v="0.25757056048734367"/>
    <n v="1"/>
    <n v="74.5"/>
    <n v="74.5"/>
    <n v="-11.018275867544961"/>
    <n v="1666.4829312967281"/>
    <n v="0"/>
    <n v="1"/>
    <n v="0"/>
    <n v="0"/>
    <n v="0"/>
    <n v="0"/>
    <n v="0"/>
    <n v="0"/>
    <n v="0"/>
    <n v="0"/>
  </r>
  <r>
    <d v="2014-06-13T00:00:00"/>
    <n v="2014"/>
    <x v="8"/>
    <s v="R"/>
    <s v="RS"/>
    <x v="1"/>
    <s v="MIN"/>
    <s v="H"/>
    <n v="5"/>
    <n v="4"/>
    <n v="1"/>
    <n v="-1"/>
    <n v="8"/>
    <n v="-8"/>
    <n v="1525.5601131992266"/>
    <n v="1677.5012071642732"/>
    <n v="0.42580270008381554"/>
    <n v="85"/>
    <n v="82"/>
    <n v="0"/>
    <n v="3"/>
    <n v="1"/>
    <n v="0.25757056048734367"/>
    <n v="1"/>
    <n v="74.650000000000006"/>
    <n v="74.650000000000006"/>
    <n v="11.04046031560042"/>
    <n v="1536.6005735148271"/>
    <n v="1"/>
    <n v="0"/>
    <n v="0"/>
    <n v="0"/>
    <n v="0"/>
    <n v="0"/>
    <n v="0"/>
    <n v="0"/>
    <n v="0"/>
    <n v="0"/>
  </r>
  <r>
    <d v="2014-06-13T00:00:00"/>
    <n v="2014"/>
    <x v="10"/>
    <s v="R"/>
    <s v="RS"/>
    <x v="5"/>
    <s v="NYL"/>
    <s v="A"/>
    <n v="0"/>
    <n v="2"/>
    <n v="-2"/>
    <n v="2"/>
    <n v="-16"/>
    <n v="16"/>
    <n v="1432.4532255896004"/>
    <n v="1413.3936274280704"/>
    <n v="0.36400251998220601"/>
    <n v="83"/>
    <n v="75"/>
    <n v="0"/>
    <n v="8"/>
    <n v="1"/>
    <n v="0.38224434859981526"/>
    <n v="1"/>
    <n v="74.349999999999994"/>
    <n v="74.349999999999994"/>
    <n v="18.074963996940085"/>
    <n v="1450.5281895865405"/>
    <n v="1"/>
    <n v="0"/>
    <n v="0"/>
    <n v="0"/>
    <n v="0"/>
    <n v="0"/>
    <n v="0"/>
    <n v="0"/>
    <n v="0"/>
    <n v="0"/>
  </r>
  <r>
    <d v="2014-06-13T00:00:00"/>
    <n v="2014"/>
    <x v="9"/>
    <s v="R"/>
    <s v="RS"/>
    <x v="4"/>
    <s v="CON"/>
    <s v="H"/>
    <n v="2"/>
    <n v="0"/>
    <n v="2"/>
    <n v="-2"/>
    <n v="16"/>
    <n v="-16"/>
    <n v="1413.3936274280704"/>
    <n v="1432.4532255896004"/>
    <n v="0.63599748001779399"/>
    <n v="75"/>
    <n v="83"/>
    <n v="0"/>
    <n v="-8"/>
    <n v="0"/>
    <n v="0.38224434859981526"/>
    <n v="1"/>
    <n v="74.5"/>
    <n v="74.5"/>
    <n v="-18.111429963309163"/>
    <n v="1395.2821974647613"/>
    <n v="0"/>
    <n v="1"/>
    <n v="0"/>
    <n v="0"/>
    <n v="0"/>
    <n v="0"/>
    <n v="0"/>
    <n v="0"/>
    <n v="0"/>
    <n v="0"/>
  </r>
  <r>
    <d v="2014-06-13T00:00:00"/>
    <n v="2014"/>
    <x v="11"/>
    <s v="R"/>
    <s v="RS"/>
    <x v="7"/>
    <s v="SAS"/>
    <s v="A"/>
    <n v="1"/>
    <n v="5"/>
    <n v="-4"/>
    <n v="4"/>
    <n v="-16"/>
    <n v="16"/>
    <n v="1465.6824709022014"/>
    <n v="1464.2439671683928"/>
    <n v="0.34085890705039035"/>
    <n v="79"/>
    <n v="72"/>
    <n v="0"/>
    <n v="7"/>
    <n v="1"/>
    <n v="0.36966403657309904"/>
    <n v="1"/>
    <n v="74.2"/>
    <n v="74.2"/>
    <n v="18.079628176149008"/>
    <n v="1483.7620990783505"/>
    <n v="1"/>
    <n v="0"/>
    <n v="0"/>
    <n v="0"/>
    <n v="0"/>
    <n v="0"/>
    <n v="0"/>
    <n v="0"/>
    <n v="0"/>
    <n v="0"/>
  </r>
  <r>
    <d v="2014-06-13T00:00:00"/>
    <n v="2014"/>
    <x v="9"/>
    <s v="R"/>
    <s v="RS"/>
    <x v="0"/>
    <s v="SEA"/>
    <s v="H"/>
    <n v="5"/>
    <n v="1"/>
    <n v="4"/>
    <n v="-4"/>
    <n v="16"/>
    <n v="-16"/>
    <n v="1464.2439671683928"/>
    <n v="1465.6824709022014"/>
    <n v="0.65914109294960965"/>
    <n v="72"/>
    <n v="79"/>
    <n v="0"/>
    <n v="-7"/>
    <n v="0"/>
    <n v="0.36966403657309904"/>
    <n v="1"/>
    <n v="74.5"/>
    <n v="74.5"/>
    <n v="-18.152726403276294"/>
    <n v="1446.0912407651165"/>
    <n v="0"/>
    <n v="1"/>
    <n v="0"/>
    <n v="0"/>
    <n v="0"/>
    <n v="0"/>
    <n v="0"/>
    <n v="0"/>
    <n v="0"/>
    <n v="0"/>
  </r>
  <r>
    <d v="2014-06-13T00:00:00"/>
    <n v="2014"/>
    <x v="7"/>
    <s v="R"/>
    <s v="RS"/>
    <x v="6"/>
    <s v="TUL"/>
    <s v="A"/>
    <n v="4"/>
    <n v="2"/>
    <n v="2"/>
    <n v="-2"/>
    <n v="16"/>
    <n v="-16"/>
    <n v="1553.2105647530582"/>
    <n v="1444.9372884794054"/>
    <n v="0.58028294563148042"/>
    <n v="67"/>
    <n v="69"/>
    <n v="0"/>
    <n v="-2"/>
    <n v="0"/>
    <n v="0.24567465437119751"/>
    <n v="1"/>
    <n v="74.8"/>
    <n v="74.8"/>
    <n v="-10.663548745492474"/>
    <n v="1542.5470160075656"/>
    <n v="0"/>
    <n v="1"/>
    <n v="0"/>
    <n v="0"/>
    <n v="0"/>
    <n v="0"/>
    <n v="0"/>
    <n v="0"/>
    <n v="0"/>
    <n v="0"/>
  </r>
  <r>
    <d v="2014-06-13T00:00:00"/>
    <n v="2014"/>
    <x v="7"/>
    <s v="R"/>
    <s v="RS"/>
    <x v="11"/>
    <s v="LAS"/>
    <s v="H"/>
    <n v="2"/>
    <n v="4"/>
    <n v="-2"/>
    <n v="2"/>
    <n v="-16"/>
    <n v="16"/>
    <n v="1444.9372884794054"/>
    <n v="1553.2105647530582"/>
    <n v="0.41971705436851958"/>
    <n v="69"/>
    <n v="67"/>
    <n v="0"/>
    <n v="2"/>
    <n v="1"/>
    <n v="0.24567465437119751"/>
    <n v="1"/>
    <n v="74.8"/>
    <n v="74.8"/>
    <n v="10.663548745492474"/>
    <n v="1455.600837224898"/>
    <n v="1"/>
    <n v="0"/>
    <n v="0"/>
    <n v="0"/>
    <n v="0"/>
    <n v="0"/>
    <n v="0"/>
    <n v="0"/>
    <n v="0"/>
    <n v="0"/>
  </r>
  <r>
    <d v="2014-06-13T00:00:00"/>
    <n v="2014"/>
    <x v="9"/>
    <s v="R"/>
    <s v="RS"/>
    <x v="3"/>
    <s v="WAS"/>
    <s v="A"/>
    <n v="2"/>
    <n v="2"/>
    <n v="0"/>
    <n v="0"/>
    <n v="0"/>
    <n v="0"/>
    <n v="1513.339672105619"/>
    <n v="1455.7275410373195"/>
    <n v="0.46209765537703656"/>
    <n v="68"/>
    <n v="79"/>
    <n v="0"/>
    <n v="-11"/>
    <n v="0"/>
    <n v="0.41968676292968526"/>
    <n v="1"/>
    <n v="74.5"/>
    <n v="74.5"/>
    <n v="-14.448252051122639"/>
    <n v="1498.8914200544964"/>
    <n v="0"/>
    <n v="1"/>
    <n v="0"/>
    <n v="0"/>
    <n v="0"/>
    <n v="0"/>
    <n v="0"/>
    <n v="0"/>
    <n v="0"/>
    <n v="0"/>
  </r>
  <r>
    <d v="2014-06-13T00:00:00"/>
    <n v="2014"/>
    <x v="9"/>
    <s v="R"/>
    <s v="RS"/>
    <x v="9"/>
    <s v="CHI"/>
    <s v="H"/>
    <n v="2"/>
    <n v="2"/>
    <n v="0"/>
    <n v="0"/>
    <n v="0"/>
    <n v="0"/>
    <n v="1455.7275410373195"/>
    <n v="1513.339672105619"/>
    <n v="0.53790234462296349"/>
    <n v="79"/>
    <n v="68"/>
    <n v="0"/>
    <n v="11"/>
    <n v="1"/>
    <n v="0.41968676292968526"/>
    <n v="1"/>
    <n v="74.5"/>
    <n v="74.5"/>
    <n v="14.448252051122637"/>
    <n v="1470.1757930884421"/>
    <n v="1"/>
    <n v="0"/>
    <n v="0"/>
    <n v="0"/>
    <n v="0"/>
    <n v="0"/>
    <n v="0"/>
    <n v="0"/>
    <n v="0"/>
    <n v="0"/>
  </r>
  <r>
    <d v="2014-06-14T00:00:00"/>
    <n v="2014"/>
    <x v="8"/>
    <s v="R"/>
    <s v="RS"/>
    <x v="6"/>
    <s v="SAS"/>
    <s v="A"/>
    <n v="0"/>
    <n v="0"/>
    <n v="0"/>
    <n v="0"/>
    <n v="0"/>
    <n v="0"/>
    <n v="1542.5470160075656"/>
    <n v="1446.0912407651165"/>
    <n v="0.51791762585098144"/>
    <n v="74"/>
    <n v="101"/>
    <n v="0"/>
    <n v="-27"/>
    <n v="0"/>
    <n v="0.61706694148544516"/>
    <n v="1"/>
    <n v="74.650000000000006"/>
    <n v="74.650000000000006"/>
    <n v="-23.857381953531277"/>
    <n v="1518.6896340540343"/>
    <n v="0"/>
    <n v="1"/>
    <n v="0"/>
    <n v="0"/>
    <n v="0"/>
    <n v="0"/>
    <n v="0"/>
    <n v="0"/>
    <n v="0"/>
    <n v="0"/>
  </r>
  <r>
    <d v="2014-06-14T00:00:00"/>
    <n v="2014"/>
    <x v="10"/>
    <s v="R"/>
    <s v="RS"/>
    <x v="0"/>
    <s v="LAS"/>
    <s v="H"/>
    <n v="0"/>
    <n v="0"/>
    <n v="0"/>
    <n v="0"/>
    <n v="0"/>
    <n v="0"/>
    <n v="1446.0912407651165"/>
    <n v="1542.5470160075656"/>
    <n v="0.48208237414901861"/>
    <n v="101"/>
    <n v="74"/>
    <n v="0"/>
    <n v="27"/>
    <n v="1"/>
    <n v="0.61706694148544516"/>
    <n v="1"/>
    <n v="74.349999999999994"/>
    <n v="74.349999999999994"/>
    <n v="23.761504999933695"/>
    <n v="1469.8527457650503"/>
    <n v="1"/>
    <n v="0"/>
    <n v="0"/>
    <n v="0"/>
    <n v="0"/>
    <n v="0"/>
    <n v="0"/>
    <n v="0"/>
    <n v="0"/>
    <n v="0"/>
  </r>
  <r>
    <d v="2014-06-15T00:00:00"/>
    <n v="2014"/>
    <x v="10"/>
    <s v="R"/>
    <s v="RS"/>
    <x v="4"/>
    <s v="CON"/>
    <s v="A"/>
    <n v="1"/>
    <n v="1"/>
    <n v="0"/>
    <n v="0"/>
    <n v="0"/>
    <n v="0"/>
    <n v="1395.2821974647613"/>
    <n v="1450.5281895865405"/>
    <n v="0.30969098566829317"/>
    <n v="72"/>
    <n v="76"/>
    <n v="0"/>
    <n v="-4"/>
    <n v="0"/>
    <n v="0.29772593119612079"/>
    <n v="1"/>
    <n v="74.349999999999994"/>
    <n v="74.349999999999994"/>
    <n v="-6.8552958077260406"/>
    <n v="1388.4269016570354"/>
    <n v="0"/>
    <n v="1"/>
    <n v="0"/>
    <n v="0"/>
    <n v="0"/>
    <n v="0"/>
    <n v="0"/>
    <n v="0"/>
    <n v="0"/>
    <n v="0"/>
  </r>
  <r>
    <d v="2014-06-15T00:00:00"/>
    <n v="2014"/>
    <x v="11"/>
    <s v="R"/>
    <s v="RS"/>
    <x v="5"/>
    <s v="NYL"/>
    <s v="H"/>
    <n v="1"/>
    <n v="1"/>
    <n v="0"/>
    <n v="0"/>
    <n v="0"/>
    <n v="0"/>
    <n v="1450.5281895865405"/>
    <n v="1395.2821974647613"/>
    <n v="0.69030901433170677"/>
    <n v="76"/>
    <n v="72"/>
    <n v="0"/>
    <n v="4"/>
    <n v="1"/>
    <n v="0.29772593119612079"/>
    <n v="1"/>
    <n v="74.2"/>
    <n v="74.2"/>
    <n v="6.8414653521623725"/>
    <n v="1457.369654938703"/>
    <n v="1"/>
    <n v="0"/>
    <n v="0"/>
    <n v="0"/>
    <n v="0"/>
    <n v="0"/>
    <n v="0"/>
    <n v="0"/>
    <n v="0"/>
    <n v="0"/>
  </r>
  <r>
    <d v="2014-06-15T00:00:00"/>
    <n v="2014"/>
    <x v="9"/>
    <s v="R"/>
    <s v="RS"/>
    <x v="10"/>
    <s v="MIN"/>
    <s v="A"/>
    <n v="2"/>
    <n v="1"/>
    <n v="1"/>
    <n v="-1"/>
    <n v="8"/>
    <n v="-8"/>
    <n v="1547.5160547666651"/>
    <n v="1666.4829312967281"/>
    <n v="0.25421293959892788"/>
    <n v="80"/>
    <n v="72"/>
    <n v="0"/>
    <n v="8"/>
    <n v="1"/>
    <n v="0.35329063246038656"/>
    <n v="1"/>
    <n v="74.5"/>
    <n v="74.5"/>
    <n v="19.629228877615112"/>
    <n v="1567.1452836442802"/>
    <n v="1"/>
    <n v="0"/>
    <n v="0"/>
    <n v="0"/>
    <n v="0"/>
    <n v="0"/>
    <n v="0"/>
    <n v="0"/>
    <n v="0"/>
    <n v="0"/>
  </r>
  <r>
    <d v="2014-06-15T00:00:00"/>
    <n v="2014"/>
    <x v="10"/>
    <s v="R"/>
    <s v="RS"/>
    <x v="8"/>
    <s v="PHX"/>
    <s v="H"/>
    <n v="1"/>
    <n v="2"/>
    <n v="-1"/>
    <n v="1"/>
    <n v="-8"/>
    <n v="8"/>
    <n v="1666.4829312967281"/>
    <n v="1547.5160547666651"/>
    <n v="0.74578706040107223"/>
    <n v="72"/>
    <n v="80"/>
    <n v="0"/>
    <n v="-8"/>
    <n v="0"/>
    <n v="0.35329063246038656"/>
    <n v="1"/>
    <n v="74.349999999999994"/>
    <n v="74.349999999999994"/>
    <n v="-19.589706940277633"/>
    <n v="1646.8932243564504"/>
    <n v="0"/>
    <n v="1"/>
    <n v="0"/>
    <n v="0"/>
    <n v="0"/>
    <n v="0"/>
    <n v="0"/>
    <n v="0"/>
    <n v="0"/>
    <n v="0"/>
  </r>
  <r>
    <d v="2014-06-15T00:00:00"/>
    <n v="2014"/>
    <x v="12"/>
    <s v="R"/>
    <s v="RS"/>
    <x v="7"/>
    <s v="TUL"/>
    <s v="A"/>
    <n v="1"/>
    <n v="1"/>
    <n v="0"/>
    <n v="0"/>
    <n v="0"/>
    <n v="0"/>
    <n v="1483.7620990783505"/>
    <n v="1455.600837224898"/>
    <n v="0.42032640463589732"/>
    <n v="79"/>
    <n v="85"/>
    <n v="0"/>
    <n v="-6"/>
    <n v="0"/>
    <n v="0.34322602935141988"/>
    <n v="1"/>
    <n v="74.05"/>
    <n v="74.05"/>
    <n v="-10.682968602355295"/>
    <n v="1473.0791304759953"/>
    <n v="0"/>
    <n v="1"/>
    <n v="0"/>
    <n v="0"/>
    <n v="0"/>
    <n v="0"/>
    <n v="0"/>
    <n v="0"/>
    <n v="0"/>
    <n v="0"/>
  </r>
  <r>
    <d v="2014-06-15T00:00:00"/>
    <n v="2014"/>
    <x v="8"/>
    <s v="R"/>
    <s v="RS"/>
    <x v="11"/>
    <s v="SEA"/>
    <s v="H"/>
    <n v="1"/>
    <n v="1"/>
    <n v="0"/>
    <n v="0"/>
    <n v="0"/>
    <n v="0"/>
    <n v="1455.600837224898"/>
    <n v="1483.7620990783505"/>
    <n v="0.57967359536410268"/>
    <n v="85"/>
    <n v="79"/>
    <n v="0"/>
    <n v="6"/>
    <n v="1"/>
    <n v="0.34322602935141988"/>
    <n v="1"/>
    <n v="74.650000000000006"/>
    <n v="74.650000000000006"/>
    <n v="10.76952878009214"/>
    <n v="1466.37036600499"/>
    <n v="1"/>
    <n v="0"/>
    <n v="0"/>
    <n v="0"/>
    <n v="0"/>
    <n v="0"/>
    <n v="0"/>
    <n v="0"/>
    <n v="0"/>
    <n v="0"/>
  </r>
  <r>
    <d v="2014-06-15T00:00:00"/>
    <n v="2014"/>
    <x v="9"/>
    <s v="R"/>
    <s v="RS"/>
    <x v="1"/>
    <s v="WAS"/>
    <s v="A"/>
    <n v="1"/>
    <n v="1"/>
    <n v="0"/>
    <n v="0"/>
    <n v="0"/>
    <n v="0"/>
    <n v="1536.6005735148271"/>
    <n v="1470.1757930884421"/>
    <n v="0.47472877769179361"/>
    <n v="75"/>
    <n v="67"/>
    <n v="0"/>
    <n v="8"/>
    <n v="1"/>
    <n v="0.36794813968084156"/>
    <n v="1"/>
    <n v="74.5"/>
    <n v="74.5"/>
    <n v="14.398806396175878"/>
    <n v="1550.999379911003"/>
    <n v="1"/>
    <n v="0"/>
    <n v="0"/>
    <n v="0"/>
    <n v="0"/>
    <n v="0"/>
    <n v="0"/>
    <n v="0"/>
    <n v="0"/>
    <n v="0"/>
  </r>
  <r>
    <d v="2014-06-15T00:00:00"/>
    <n v="2014"/>
    <x v="10"/>
    <s v="R"/>
    <s v="RS"/>
    <x v="9"/>
    <s v="ATL"/>
    <s v="H"/>
    <n v="1"/>
    <n v="1"/>
    <n v="0"/>
    <n v="0"/>
    <n v="0"/>
    <n v="0"/>
    <n v="1470.1757930884421"/>
    <n v="1536.6005735148271"/>
    <n v="0.52527122230820633"/>
    <n v="67"/>
    <n v="75"/>
    <n v="0"/>
    <n v="-8"/>
    <n v="0"/>
    <n v="0.36794813968084156"/>
    <n v="1"/>
    <n v="74.349999999999994"/>
    <n v="74.349999999999994"/>
    <n v="-14.369815510814449"/>
    <n v="1455.8059775776276"/>
    <n v="0"/>
    <n v="1"/>
    <n v="0"/>
    <n v="0"/>
    <n v="0"/>
    <n v="0"/>
    <n v="0"/>
    <n v="0"/>
    <n v="0"/>
    <n v="0"/>
  </r>
  <r>
    <d v="2014-06-17T00:00:00"/>
    <n v="2014"/>
    <x v="9"/>
    <s v="R"/>
    <s v="RS"/>
    <x v="2"/>
    <s v="CON"/>
    <s v="A"/>
    <n v="5"/>
    <n v="1"/>
    <n v="4"/>
    <n v="-4"/>
    <n v="16"/>
    <n v="-16"/>
    <n v="1508.2828398653746"/>
    <n v="1457.369654938703"/>
    <n v="0.49843595248474093"/>
    <n v="67"/>
    <n v="89"/>
    <n v="0"/>
    <n v="-22"/>
    <n v="0"/>
    <n v="0.57755199504636978"/>
    <n v="1"/>
    <n v="74.5"/>
    <n v="74.5"/>
    <n v="-21.446514567649778"/>
    <n v="1486.8363252977249"/>
    <n v="0"/>
    <n v="1"/>
    <n v="0"/>
    <n v="0"/>
    <n v="0"/>
    <n v="0"/>
    <n v="0"/>
    <n v="0"/>
    <n v="0"/>
    <n v="0"/>
  </r>
  <r>
    <d v="2014-06-17T00:00:00"/>
    <n v="2014"/>
    <x v="12"/>
    <s v="R"/>
    <s v="RS"/>
    <x v="5"/>
    <s v="IND"/>
    <s v="H"/>
    <n v="1"/>
    <n v="5"/>
    <n v="-4"/>
    <n v="4"/>
    <n v="-16"/>
    <n v="16"/>
    <n v="1457.369654938703"/>
    <n v="1508.2828398653746"/>
    <n v="0.50156404751525907"/>
    <n v="89"/>
    <n v="67"/>
    <n v="0"/>
    <n v="22"/>
    <n v="1"/>
    <n v="0.57755199504636978"/>
    <n v="1"/>
    <n v="74.05"/>
    <n v="74.05"/>
    <n v="21.316971862207598"/>
    <n v="1478.6866268009105"/>
    <n v="1"/>
    <n v="0"/>
    <n v="0"/>
    <n v="0"/>
    <n v="0"/>
    <n v="0"/>
    <n v="0"/>
    <n v="0"/>
    <n v="0"/>
    <n v="0"/>
  </r>
  <r>
    <d v="2014-06-17T00:00:00"/>
    <n v="2014"/>
    <x v="11"/>
    <s v="R"/>
    <s v="RS"/>
    <x v="8"/>
    <s v="LAS"/>
    <s v="A"/>
    <n v="1"/>
    <n v="2"/>
    <n v="-1"/>
    <n v="1"/>
    <n v="-8"/>
    <n v="8"/>
    <n v="1646.8932243564504"/>
    <n v="1518.6896340540343"/>
    <n v="0.54049930986147909"/>
    <n v="94"/>
    <n v="77"/>
    <n v="0"/>
    <n v="17"/>
    <n v="1"/>
    <n v="0.4810486039665951"/>
    <n v="1"/>
    <n v="74.2"/>
    <n v="74.2"/>
    <n v="16.401328681051428"/>
    <n v="1663.2945530375018"/>
    <n v="1"/>
    <n v="0"/>
    <n v="0"/>
    <n v="0"/>
    <n v="0"/>
    <n v="0"/>
    <n v="0"/>
    <n v="0"/>
    <n v="0"/>
    <n v="0"/>
  </r>
  <r>
    <d v="2014-06-17T00:00:00"/>
    <n v="2014"/>
    <x v="9"/>
    <s v="R"/>
    <s v="RS"/>
    <x v="6"/>
    <s v="MIN"/>
    <s v="H"/>
    <n v="2"/>
    <n v="1"/>
    <n v="1"/>
    <n v="-1"/>
    <n v="8"/>
    <n v="-8"/>
    <n v="1518.6896340540343"/>
    <n v="1646.8932243564504"/>
    <n v="0.45950069013852091"/>
    <n v="77"/>
    <n v="94"/>
    <n v="0"/>
    <n v="-17"/>
    <n v="0"/>
    <n v="0.4810486039665951"/>
    <n v="1"/>
    <n v="74.5"/>
    <n v="74.5"/>
    <n v="-16.467641330705273"/>
    <n v="1502.2219927233291"/>
    <n v="0"/>
    <n v="1"/>
    <n v="0"/>
    <n v="0"/>
    <n v="0"/>
    <n v="0"/>
    <n v="0"/>
    <n v="0"/>
    <n v="0"/>
    <n v="0"/>
  </r>
  <r>
    <d v="2014-06-18T00:00:00"/>
    <n v="2014"/>
    <x v="11"/>
    <s v="R"/>
    <s v="RS"/>
    <x v="9"/>
    <s v="ATL"/>
    <s v="A"/>
    <n v="2"/>
    <n v="2"/>
    <n v="0"/>
    <n v="0"/>
    <n v="0"/>
    <n v="0"/>
    <n v="1455.8059775776276"/>
    <n v="1550.999379911003"/>
    <n v="0.26278949900471021"/>
    <n v="73"/>
    <n v="83"/>
    <n v="0"/>
    <n v="-10"/>
    <n v="0"/>
    <n v="0.39203074867736803"/>
    <n v="1"/>
    <n v="74.2"/>
    <n v="74.2"/>
    <n v="-7.6442000517210325"/>
    <n v="1448.1617775259065"/>
    <n v="0"/>
    <n v="1"/>
    <n v="0"/>
    <n v="0"/>
    <n v="0"/>
    <n v="0"/>
    <n v="0"/>
    <n v="0"/>
    <n v="0"/>
    <n v="0"/>
  </r>
  <r>
    <d v="2014-06-18T00:00:00"/>
    <n v="2014"/>
    <x v="10"/>
    <s v="R"/>
    <s v="RS"/>
    <x v="1"/>
    <s v="WAS"/>
    <s v="H"/>
    <n v="2"/>
    <n v="2"/>
    <n v="0"/>
    <n v="0"/>
    <n v="0"/>
    <n v="0"/>
    <n v="1550.999379911003"/>
    <n v="1455.8059775776276"/>
    <n v="0.73721050099528973"/>
    <n v="83"/>
    <n v="73"/>
    <n v="0"/>
    <n v="10"/>
    <n v="1"/>
    <n v="0.39203074867736803"/>
    <n v="1"/>
    <n v="74.349999999999994"/>
    <n v="74.349999999999994"/>
    <n v="7.6596532863269386"/>
    <n v="1558.6590331973298"/>
    <n v="1"/>
    <n v="0"/>
    <n v="0"/>
    <n v="0"/>
    <n v="0"/>
    <n v="0"/>
    <n v="0"/>
    <n v="0"/>
    <n v="0"/>
    <n v="0"/>
  </r>
  <r>
    <d v="2014-06-18T00:00:00"/>
    <n v="2014"/>
    <x v="11"/>
    <s v="R"/>
    <s v="RS"/>
    <x v="4"/>
    <s v="CHI"/>
    <s v="A"/>
    <n v="2"/>
    <n v="4"/>
    <n v="-2"/>
    <n v="2"/>
    <n v="-16"/>
    <n v="16"/>
    <n v="1388.4269016570354"/>
    <n v="1498.8914200544964"/>
    <n v="0.21355396188464029"/>
    <n v="100"/>
    <n v="105"/>
    <n v="1"/>
    <n v="-5"/>
    <n v="0"/>
    <n v="0.27341179289333273"/>
    <n v="1"/>
    <n v="74.2"/>
    <n v="74.2"/>
    <n v="-4.3324023325978622"/>
    <n v="1384.0944993244375"/>
    <n v="0"/>
    <n v="1"/>
    <n v="0"/>
    <n v="0"/>
    <n v="0"/>
    <n v="0"/>
    <n v="0"/>
    <n v="0"/>
    <n v="0"/>
    <n v="0"/>
  </r>
  <r>
    <d v="2014-06-18T00:00:00"/>
    <n v="2014"/>
    <x v="10"/>
    <s v="R"/>
    <s v="RS"/>
    <x v="3"/>
    <s v="NYL"/>
    <s v="H"/>
    <n v="4"/>
    <n v="2"/>
    <n v="2"/>
    <n v="-2"/>
    <n v="16"/>
    <n v="-16"/>
    <n v="1498.8914200544964"/>
    <n v="1388.4269016570354"/>
    <n v="0.78644603811535974"/>
    <n v="105"/>
    <n v="100"/>
    <n v="1"/>
    <n v="5"/>
    <n v="1"/>
    <n v="0.27341179289333273"/>
    <n v="1"/>
    <n v="74.349999999999994"/>
    <n v="74.349999999999994"/>
    <n v="4.3411605583376147"/>
    <n v="1503.232580612834"/>
    <n v="1"/>
    <n v="0"/>
    <n v="0"/>
    <n v="0"/>
    <n v="0"/>
    <n v="0"/>
    <n v="0"/>
    <n v="0"/>
    <n v="0"/>
    <n v="0"/>
  </r>
  <r>
    <d v="2014-06-18T00:00:00"/>
    <n v="2014"/>
    <x v="12"/>
    <s v="R"/>
    <s v="RS"/>
    <x v="8"/>
    <s v="PHX"/>
    <s v="A"/>
    <n v="0"/>
    <n v="2"/>
    <n v="-2"/>
    <n v="2"/>
    <n v="-16"/>
    <n v="16"/>
    <n v="1663.2945530375018"/>
    <n v="1567.1452836442802"/>
    <n v="0.4714635470458049"/>
    <n v="79"/>
    <n v="92"/>
    <n v="0"/>
    <n v="-13"/>
    <n v="0"/>
    <n v="0.43702721604134354"/>
    <n v="1"/>
    <n v="74.05"/>
    <n v="74.05"/>
    <n v="-15.257439825921498"/>
    <n v="1648.0371132115804"/>
    <n v="0"/>
    <n v="1"/>
    <n v="0"/>
    <n v="0"/>
    <n v="0"/>
    <n v="0"/>
    <n v="0"/>
    <n v="0"/>
    <n v="0"/>
    <n v="0"/>
  </r>
  <r>
    <d v="2014-06-18T00:00:00"/>
    <n v="2014"/>
    <x v="10"/>
    <s v="R"/>
    <s v="RS"/>
    <x v="10"/>
    <s v="MIN"/>
    <s v="H"/>
    <n v="2"/>
    <n v="0"/>
    <n v="2"/>
    <n v="-2"/>
    <n v="16"/>
    <n v="-16"/>
    <n v="1567.1452836442802"/>
    <n v="1663.2945530375018"/>
    <n v="0.52853645295419516"/>
    <n v="92"/>
    <n v="79"/>
    <n v="0"/>
    <n v="13"/>
    <n v="1"/>
    <n v="0.43702721604134354"/>
    <n v="1"/>
    <n v="74.349999999999994"/>
    <n v="74.349999999999994"/>
    <n v="15.319252546350619"/>
    <n v="1582.4645361906307"/>
    <n v="1"/>
    <n v="0"/>
    <n v="0"/>
    <n v="0"/>
    <n v="0"/>
    <n v="0"/>
    <n v="0"/>
    <n v="0"/>
    <n v="0"/>
    <n v="0"/>
  </r>
  <r>
    <d v="2014-06-19T00:00:00"/>
    <n v="2014"/>
    <x v="9"/>
    <s v="R"/>
    <s v="RS"/>
    <x v="11"/>
    <s v="LAS"/>
    <s v="A"/>
    <n v="3"/>
    <n v="1"/>
    <n v="2"/>
    <n v="-2"/>
    <n v="16"/>
    <n v="-16"/>
    <n v="1466.37036600499"/>
    <n v="1502.2219927233291"/>
    <n v="0.37619865581766238"/>
    <n v="77"/>
    <n v="87"/>
    <n v="0"/>
    <n v="-10"/>
    <n v="0"/>
    <n v="0.41085485362593815"/>
    <n v="1"/>
    <n v="74.5"/>
    <n v="74.5"/>
    <n v="-11.514946753432907"/>
    <n v="1454.8554192515571"/>
    <n v="0"/>
    <n v="1"/>
    <n v="0"/>
    <n v="0"/>
    <n v="0"/>
    <n v="0"/>
    <n v="0"/>
    <n v="0"/>
    <n v="0"/>
    <n v="0"/>
  </r>
  <r>
    <d v="2014-06-19T00:00:00"/>
    <n v="2014"/>
    <x v="10"/>
    <s v="R"/>
    <s v="RS"/>
    <x v="6"/>
    <s v="TUL"/>
    <s v="H"/>
    <n v="1"/>
    <n v="3"/>
    <n v="-2"/>
    <n v="2"/>
    <n v="-16"/>
    <n v="16"/>
    <n v="1502.2219927233291"/>
    <n v="1466.37036600499"/>
    <n v="0.62380134418233757"/>
    <n v="87"/>
    <n v="77"/>
    <n v="0"/>
    <n v="10"/>
    <n v="1"/>
    <n v="0.41085485362593815"/>
    <n v="1"/>
    <n v="74.349999999999994"/>
    <n v="74.349999999999994"/>
    <n v="11.491762296882372"/>
    <n v="1513.7137550202115"/>
    <n v="1"/>
    <n v="0"/>
    <n v="0"/>
    <n v="0"/>
    <n v="0"/>
    <n v="0"/>
    <n v="0"/>
    <n v="0"/>
    <n v="0"/>
    <n v="0"/>
  </r>
  <r>
    <d v="2014-06-19T00:00:00"/>
    <n v="2014"/>
    <x v="11"/>
    <s v="R"/>
    <s v="RS"/>
    <x v="0"/>
    <s v="SEA"/>
    <s v="A"/>
    <n v="4"/>
    <n v="3"/>
    <n v="1"/>
    <n v="-1"/>
    <n v="8"/>
    <n v="-8"/>
    <n v="1469.8527457650503"/>
    <n v="1473.0791304759953"/>
    <n v="0.39890923678865869"/>
    <n v="87"/>
    <n v="82"/>
    <n v="1"/>
    <n v="5"/>
    <n v="1"/>
    <n v="0.29777975121799072"/>
    <n v="1"/>
    <n v="74.2"/>
    <n v="74.2"/>
    <n v="13.281255218295101"/>
    <n v="1483.1340009833455"/>
    <n v="1"/>
    <n v="0"/>
    <n v="0"/>
    <n v="0"/>
    <n v="0"/>
    <n v="0"/>
    <n v="0"/>
    <n v="0"/>
    <n v="0"/>
    <n v="0"/>
  </r>
  <r>
    <d v="2014-06-19T00:00:00"/>
    <n v="2014"/>
    <x v="13"/>
    <s v="R"/>
    <s v="RS"/>
    <x v="7"/>
    <s v="SAS"/>
    <s v="H"/>
    <n v="3"/>
    <n v="4"/>
    <n v="-1"/>
    <n v="1"/>
    <n v="-8"/>
    <n v="8"/>
    <n v="1473.0791304759953"/>
    <n v="1469.8527457650503"/>
    <n v="0.60109076321134136"/>
    <n v="82"/>
    <n v="87"/>
    <n v="1"/>
    <n v="-5"/>
    <n v="0"/>
    <n v="0.29777975121799072"/>
    <n v="1"/>
    <n v="73.900000000000006"/>
    <n v="73.900000000000006"/>
    <n v="-13.227557420916549"/>
    <n v="1459.8515730550787"/>
    <n v="0"/>
    <n v="1"/>
    <n v="0"/>
    <n v="0"/>
    <n v="0"/>
    <n v="0"/>
    <n v="0"/>
    <n v="0"/>
    <n v="0"/>
    <n v="0"/>
  </r>
  <r>
    <d v="2014-06-20T00:00:00"/>
    <n v="2014"/>
    <x v="12"/>
    <s v="R"/>
    <s v="RS"/>
    <x v="4"/>
    <s v="ATL"/>
    <s v="A"/>
    <n v="1"/>
    <n v="1"/>
    <n v="0"/>
    <n v="0"/>
    <n v="0"/>
    <n v="0"/>
    <n v="1384.0944993244375"/>
    <n v="1558.6590331973298"/>
    <n v="0.18415943044430372"/>
    <n v="64"/>
    <n v="85"/>
    <n v="0"/>
    <n v="-21"/>
    <n v="0"/>
    <n v="0.51382931097085627"/>
    <n v="1"/>
    <n v="74.05"/>
    <n v="74.05"/>
    <n v="-7.0070933064573602"/>
    <n v="1377.0874060179801"/>
    <n v="0"/>
    <n v="1"/>
    <n v="0"/>
    <n v="0"/>
    <n v="0"/>
    <n v="0"/>
    <n v="0"/>
    <n v="0"/>
    <n v="0"/>
    <n v="0"/>
  </r>
  <r>
    <d v="2014-06-20T00:00:00"/>
    <n v="2014"/>
    <x v="11"/>
    <s v="R"/>
    <s v="RS"/>
    <x v="1"/>
    <s v="NYL"/>
    <s v="H"/>
    <n v="1"/>
    <n v="1"/>
    <n v="0"/>
    <n v="0"/>
    <n v="0"/>
    <n v="0"/>
    <n v="1558.6590331973298"/>
    <n v="1384.0944993244375"/>
    <n v="0.81584056955569628"/>
    <n v="85"/>
    <n v="64"/>
    <n v="0"/>
    <n v="21"/>
    <n v="1"/>
    <n v="0.51382931097085627"/>
    <n v="1"/>
    <n v="74.2"/>
    <n v="74.2"/>
    <n v="7.0212872834454583"/>
    <n v="1565.6803204807752"/>
    <n v="1"/>
    <n v="0"/>
    <n v="0"/>
    <n v="0"/>
    <n v="0"/>
    <n v="0"/>
    <n v="0"/>
    <n v="0"/>
    <n v="0"/>
    <n v="0"/>
  </r>
  <r>
    <d v="2014-06-20T00:00:00"/>
    <n v="2014"/>
    <x v="10"/>
    <s v="R"/>
    <s v="RS"/>
    <x v="2"/>
    <s v="CHI"/>
    <s v="A"/>
    <n v="2"/>
    <n v="1"/>
    <n v="1"/>
    <n v="-1"/>
    <n v="8"/>
    <n v="-8"/>
    <n v="1486.8363252977249"/>
    <n v="1503.232580612834"/>
    <n v="0.38087784271265368"/>
    <n v="83"/>
    <n v="75"/>
    <n v="0"/>
    <n v="8"/>
    <n v="1"/>
    <n v="0.38308128619065357"/>
    <n v="1"/>
    <n v="74.349999999999994"/>
    <n v="74.349999999999994"/>
    <n v="17.633895251197856"/>
    <n v="1504.4702205489227"/>
    <n v="1"/>
    <n v="0"/>
    <n v="0"/>
    <n v="0"/>
    <n v="0"/>
    <n v="0"/>
    <n v="0"/>
    <n v="0"/>
    <n v="0"/>
    <n v="0"/>
  </r>
  <r>
    <d v="2014-06-20T00:00:00"/>
    <n v="2014"/>
    <x v="11"/>
    <s v="R"/>
    <s v="RS"/>
    <x v="3"/>
    <s v="IND"/>
    <s v="H"/>
    <n v="1"/>
    <n v="2"/>
    <n v="-1"/>
    <n v="1"/>
    <n v="-8"/>
    <n v="8"/>
    <n v="1503.232580612834"/>
    <n v="1486.8363252977249"/>
    <n v="0.61912215728734632"/>
    <n v="75"/>
    <n v="83"/>
    <n v="0"/>
    <n v="-8"/>
    <n v="0"/>
    <n v="0.38308128619065357"/>
    <n v="1"/>
    <n v="74.2"/>
    <n v="74.2"/>
    <n v="-17.598319134349442"/>
    <n v="1485.6342614784846"/>
    <n v="0"/>
    <n v="1"/>
    <n v="0"/>
    <n v="0"/>
    <n v="0"/>
    <n v="0"/>
    <n v="0"/>
    <n v="0"/>
    <n v="0"/>
    <n v="0"/>
  </r>
  <r>
    <d v="2014-06-20T00:00:00"/>
    <n v="2014"/>
    <x v="12"/>
    <s v="R"/>
    <s v="RS"/>
    <x v="9"/>
    <s v="MIN"/>
    <s v="A"/>
    <n v="1"/>
    <n v="1"/>
    <n v="0"/>
    <n v="0"/>
    <n v="0"/>
    <n v="0"/>
    <n v="1448.1617775259065"/>
    <n v="1648.0371132115804"/>
    <n v="0.1632670457837388"/>
    <n v="65"/>
    <n v="75"/>
    <n v="0"/>
    <n v="-10"/>
    <n v="0"/>
    <n v="0.36271489771625742"/>
    <n v="1"/>
    <n v="74.05"/>
    <n v="74.05"/>
    <n v="-4.385195815570035"/>
    <n v="1443.7765817103364"/>
    <n v="0"/>
    <n v="1"/>
    <n v="0"/>
    <n v="0"/>
    <n v="0"/>
    <n v="0"/>
    <n v="0"/>
    <n v="0"/>
    <n v="0"/>
    <n v="0"/>
  </r>
  <r>
    <d v="2014-06-20T00:00:00"/>
    <n v="2014"/>
    <x v="13"/>
    <s v="R"/>
    <s v="RS"/>
    <x v="8"/>
    <s v="WAS"/>
    <s v="H"/>
    <n v="1"/>
    <n v="1"/>
    <n v="0"/>
    <n v="0"/>
    <n v="0"/>
    <n v="0"/>
    <n v="1648.0371132115804"/>
    <n v="1448.1617775259065"/>
    <n v="0.83673295421626126"/>
    <n v="75"/>
    <n v="65"/>
    <n v="0"/>
    <n v="10"/>
    <n v="1"/>
    <n v="0.36271489771625742"/>
    <n v="1"/>
    <n v="73.900000000000006"/>
    <n v="73.900000000000006"/>
    <n v="4.3763129070982512"/>
    <n v="1652.4134261186787"/>
    <n v="1"/>
    <n v="0"/>
    <n v="0"/>
    <n v="0"/>
    <n v="0"/>
    <n v="0"/>
    <n v="0"/>
    <n v="0"/>
    <n v="0"/>
    <n v="0"/>
  </r>
  <r>
    <d v="2014-06-20T00:00:00"/>
    <n v="2014"/>
    <x v="10"/>
    <s v="R"/>
    <s v="RS"/>
    <x v="11"/>
    <s v="PHX"/>
    <s v="A"/>
    <n v="0"/>
    <n v="1"/>
    <n v="-1"/>
    <n v="1"/>
    <n v="-8"/>
    <n v="8"/>
    <n v="1454.8554192515571"/>
    <n v="1582.4645361906307"/>
    <n v="0.21244946374811363"/>
    <n v="80"/>
    <n v="91"/>
    <n v="0"/>
    <n v="-11"/>
    <n v="0"/>
    <n v="0.39755915922455931"/>
    <n v="1"/>
    <n v="74.349999999999994"/>
    <n v="74.349999999999994"/>
    <n v="-6.2796924642851248"/>
    <n v="1448.5757267872721"/>
    <n v="0"/>
    <n v="1"/>
    <n v="0"/>
    <n v="0"/>
    <n v="0"/>
    <n v="0"/>
    <n v="0"/>
    <n v="0"/>
    <n v="0"/>
    <n v="0"/>
  </r>
  <r>
    <d v="2014-06-20T00:00:00"/>
    <n v="2014"/>
    <x v="11"/>
    <s v="R"/>
    <s v="RS"/>
    <x v="10"/>
    <s v="TUL"/>
    <s v="H"/>
    <n v="1"/>
    <n v="0"/>
    <n v="1"/>
    <n v="-1"/>
    <n v="8"/>
    <n v="-8"/>
    <n v="1582.4645361906307"/>
    <n v="1454.8554192515571"/>
    <n v="0.78755053625188642"/>
    <n v="91"/>
    <n v="80"/>
    <n v="0"/>
    <n v="11"/>
    <n v="1"/>
    <n v="0.39755915922455931"/>
    <n v="1"/>
    <n v="74.2"/>
    <n v="74.2"/>
    <n v="6.2670232797573133"/>
    <n v="1588.731559470388"/>
    <n v="1"/>
    <n v="0"/>
    <n v="0"/>
    <n v="0"/>
    <n v="0"/>
    <n v="0"/>
    <n v="0"/>
    <n v="0"/>
    <n v="0"/>
    <n v="0"/>
  </r>
  <r>
    <d v="2014-06-22T00:00:00"/>
    <n v="2014"/>
    <x v="11"/>
    <s v="R"/>
    <s v="RS"/>
    <x v="11"/>
    <s v="CHI"/>
    <s v="A"/>
    <n v="1"/>
    <n v="1"/>
    <n v="0"/>
    <n v="0"/>
    <n v="0"/>
    <n v="0"/>
    <n v="1448.5757267872721"/>
    <n v="1485.6342614784846"/>
    <n v="0.33250678857927185"/>
    <n v="105"/>
    <n v="99"/>
    <n v="1"/>
    <n v="6"/>
    <n v="1"/>
    <n v="0.30668170611099699"/>
    <n v="1"/>
    <n v="74.2"/>
    <n v="74.2"/>
    <n v="15.189330401684487"/>
    <n v="1463.7650571889565"/>
    <n v="1"/>
    <n v="0"/>
    <n v="0"/>
    <n v="0"/>
    <n v="0"/>
    <n v="0"/>
    <n v="0"/>
    <n v="0"/>
    <n v="0"/>
    <n v="0"/>
  </r>
  <r>
    <d v="2014-06-22T00:00:00"/>
    <n v="2014"/>
    <x v="12"/>
    <s v="R"/>
    <s v="RS"/>
    <x v="3"/>
    <s v="TUL"/>
    <s v="H"/>
    <n v="1"/>
    <n v="1"/>
    <n v="0"/>
    <n v="0"/>
    <n v="0"/>
    <n v="0"/>
    <n v="1485.6342614784846"/>
    <n v="1448.5757267872721"/>
    <n v="0.66749321142072815"/>
    <n v="99"/>
    <n v="105"/>
    <n v="1"/>
    <n v="-6"/>
    <n v="0"/>
    <n v="0.30668170611099699"/>
    <n v="1"/>
    <n v="74.05"/>
    <n v="74.05"/>
    <n v="-15.158624208150083"/>
    <n v="1470.4756372703346"/>
    <n v="0"/>
    <n v="1"/>
    <n v="0"/>
    <n v="0"/>
    <n v="0"/>
    <n v="0"/>
    <n v="0"/>
    <n v="0"/>
    <n v="0"/>
    <n v="0"/>
  </r>
  <r>
    <d v="2014-06-22T00:00:00"/>
    <n v="2014"/>
    <x v="12"/>
    <s v="R"/>
    <s v="RS"/>
    <x v="0"/>
    <s v="LAS"/>
    <s v="A"/>
    <n v="2"/>
    <n v="2"/>
    <n v="0"/>
    <n v="0"/>
    <n v="0"/>
    <n v="0"/>
    <n v="1483.1340009833455"/>
    <n v="1513.7137550202115"/>
    <n v="0.34083529415648067"/>
    <n v="72"/>
    <n v="69"/>
    <n v="0"/>
    <n v="3"/>
    <n v="1"/>
    <n v="0.28297249664325097"/>
    <n v="1"/>
    <n v="74.05"/>
    <n v="74.05"/>
    <n v="13.812211979988035"/>
    <n v="1496.9462129633334"/>
    <n v="1"/>
    <n v="0"/>
    <n v="0"/>
    <n v="0"/>
    <n v="0"/>
    <n v="0"/>
    <n v="0"/>
    <n v="0"/>
    <n v="0"/>
    <n v="0"/>
  </r>
  <r>
    <d v="2014-06-22T00:00:00"/>
    <n v="2014"/>
    <x v="11"/>
    <s v="R"/>
    <s v="RS"/>
    <x v="6"/>
    <s v="SAS"/>
    <s v="H"/>
    <n v="2"/>
    <n v="2"/>
    <n v="0"/>
    <n v="0"/>
    <n v="0"/>
    <n v="0"/>
    <n v="1513.7137550202115"/>
    <n v="1483.1340009833455"/>
    <n v="0.65916470584351927"/>
    <n v="69"/>
    <n v="72"/>
    <n v="0"/>
    <n v="-3"/>
    <n v="0"/>
    <n v="0.28297249664325097"/>
    <n v="1"/>
    <n v="74.2"/>
    <n v="74.2"/>
    <n v="-13.840190802364784"/>
    <n v="1499.8735642178467"/>
    <n v="0"/>
    <n v="1"/>
    <n v="0"/>
    <n v="0"/>
    <n v="0"/>
    <n v="0"/>
    <n v="0"/>
    <n v="0"/>
    <n v="0"/>
    <n v="0"/>
  </r>
  <r>
    <d v="2014-06-22T00:00:00"/>
    <n v="2014"/>
    <x v="11"/>
    <s v="R"/>
    <s v="RS"/>
    <x v="2"/>
    <s v="MIN"/>
    <s v="A"/>
    <n v="1"/>
    <n v="1"/>
    <n v="0"/>
    <n v="0"/>
    <n v="0"/>
    <n v="0"/>
    <n v="1504.4702205489227"/>
    <n v="1652.4134261186787"/>
    <n v="0.20830507353500941"/>
    <n v="77"/>
    <n v="83"/>
    <n v="0"/>
    <n v="-6"/>
    <n v="0"/>
    <n v="0.31272601958849777"/>
    <n v="1"/>
    <n v="74.2"/>
    <n v="74.2"/>
    <n v="-4.8335673047966079"/>
    <n v="1499.6366532441261"/>
    <n v="0"/>
    <n v="1"/>
    <n v="0"/>
    <n v="0"/>
    <n v="0"/>
    <n v="0"/>
    <n v="0"/>
    <n v="0"/>
    <n v="0"/>
    <n v="0"/>
  </r>
  <r>
    <d v="2014-06-22T00:00:00"/>
    <n v="2014"/>
    <x v="14"/>
    <s v="R"/>
    <s v="RS"/>
    <x v="8"/>
    <s v="IND"/>
    <s v="H"/>
    <n v="1"/>
    <n v="1"/>
    <n v="0"/>
    <n v="0"/>
    <n v="0"/>
    <n v="0"/>
    <n v="1652.4134261186787"/>
    <n v="1504.4702205489227"/>
    <n v="0.79169492646499062"/>
    <n v="83"/>
    <n v="77"/>
    <n v="0"/>
    <n v="6"/>
    <n v="1"/>
    <n v="0.31272601958849777"/>
    <n v="1"/>
    <n v="73.75"/>
    <n v="73.75"/>
    <n v="4.8042532173685943"/>
    <n v="1657.2176793360472"/>
    <n v="1"/>
    <n v="0"/>
    <n v="0"/>
    <n v="0"/>
    <n v="0"/>
    <n v="0"/>
    <n v="0"/>
    <n v="0"/>
    <n v="0"/>
    <n v="0"/>
  </r>
  <r>
    <d v="2014-06-22T00:00:00"/>
    <n v="2014"/>
    <x v="12"/>
    <s v="R"/>
    <s v="RS"/>
    <x v="1"/>
    <s v="NYL"/>
    <s v="A"/>
    <n v="1"/>
    <n v="1"/>
    <n v="0"/>
    <n v="0"/>
    <n v="0"/>
    <n v="0"/>
    <n v="1565.6803204807752"/>
    <n v="1377.0874060179801"/>
    <n v="0.64613322534490147"/>
    <n v="78"/>
    <n v="85"/>
    <n v="0"/>
    <n v="-7"/>
    <n v="0"/>
    <n v="0.31984075560143849"/>
    <n v="1"/>
    <n v="74.05"/>
    <n v="74.05"/>
    <n v="-15.303153673950254"/>
    <n v="1550.377166806825"/>
    <n v="0"/>
    <n v="1"/>
    <n v="0"/>
    <n v="0"/>
    <n v="0"/>
    <n v="0"/>
    <n v="0"/>
    <n v="0"/>
    <n v="0"/>
    <n v="0"/>
  </r>
  <r>
    <d v="2014-06-22T00:00:00"/>
    <n v="2014"/>
    <x v="13"/>
    <s v="R"/>
    <s v="RS"/>
    <x v="4"/>
    <s v="ATL"/>
    <s v="H"/>
    <n v="1"/>
    <n v="1"/>
    <n v="0"/>
    <n v="0"/>
    <n v="0"/>
    <n v="0"/>
    <n v="1377.0874060179801"/>
    <n v="1565.6803204807752"/>
    <n v="0.35386677465509853"/>
    <n v="85"/>
    <n v="78"/>
    <n v="0"/>
    <n v="7"/>
    <n v="1"/>
    <n v="0.31984075560143849"/>
    <n v="1"/>
    <n v="73.900000000000006"/>
    <n v="73.900000000000006"/>
    <n v="15.272154713098228"/>
    <n v="1392.3595607310783"/>
    <n v="1"/>
    <n v="0"/>
    <n v="0"/>
    <n v="0"/>
    <n v="0"/>
    <n v="0"/>
    <n v="0"/>
    <n v="0"/>
    <n v="0"/>
    <n v="0"/>
  </r>
  <r>
    <d v="2014-06-22T00:00:00"/>
    <n v="2014"/>
    <x v="13"/>
    <s v="R"/>
    <s v="RS"/>
    <x v="9"/>
    <s v="SEA"/>
    <s v="A"/>
    <n v="1"/>
    <n v="2"/>
    <n v="-1"/>
    <n v="1"/>
    <n v="-8"/>
    <n v="8"/>
    <n v="1443.7765817103364"/>
    <n v="1459.8515730550787"/>
    <n v="0.33890418383478177"/>
    <n v="86"/>
    <n v="89"/>
    <n v="1"/>
    <n v="-3"/>
    <n v="0"/>
    <n v="0.25771289189990437"/>
    <n v="1"/>
    <n v="73.900000000000006"/>
    <n v="73.900000000000006"/>
    <n v="-6.4544243219555408"/>
    <n v="1437.3221573883809"/>
    <n v="0"/>
    <n v="1"/>
    <n v="0"/>
    <n v="0"/>
    <n v="0"/>
    <n v="0"/>
    <n v="0"/>
    <n v="0"/>
    <n v="0"/>
    <n v="0"/>
  </r>
  <r>
    <d v="2014-06-22T00:00:00"/>
    <n v="2014"/>
    <x v="14"/>
    <s v="R"/>
    <s v="RS"/>
    <x v="7"/>
    <s v="WAS"/>
    <s v="H"/>
    <n v="2"/>
    <n v="1"/>
    <n v="1"/>
    <n v="-1"/>
    <n v="8"/>
    <n v="-8"/>
    <n v="1459.8515730550787"/>
    <n v="1443.7765817103364"/>
    <n v="0.66109581616521818"/>
    <n v="89"/>
    <n v="86"/>
    <n v="1"/>
    <n v="3"/>
    <n v="1"/>
    <n v="0.25771289189990437"/>
    <n v="1"/>
    <n v="73.75"/>
    <n v="73.75"/>
    <n v="6.4413233253615862"/>
    <n v="1466.2928963804402"/>
    <n v="1"/>
    <n v="0"/>
    <n v="0"/>
    <n v="0"/>
    <n v="0"/>
    <n v="0"/>
    <n v="0"/>
    <n v="0"/>
    <n v="0"/>
    <n v="0"/>
  </r>
  <r>
    <d v="2014-06-24T00:00:00"/>
    <n v="2014"/>
    <x v="15"/>
    <s v="R"/>
    <s v="RS"/>
    <x v="7"/>
    <s v="LAS"/>
    <s v="A"/>
    <n v="1"/>
    <n v="1"/>
    <n v="0"/>
    <n v="0"/>
    <n v="0"/>
    <n v="0"/>
    <n v="1466.2928963804402"/>
    <n v="1499.8735642178467"/>
    <n v="0.33696499537088953"/>
    <n v="57"/>
    <n v="65"/>
    <n v="0"/>
    <n v="-8"/>
    <n v="0"/>
    <n v="0.37774476704512155"/>
    <n v="1"/>
    <n v="73.599999999999994"/>
    <n v="73.599999999999994"/>
    <n v="-9.3683058067550515"/>
    <n v="1456.9245905736852"/>
    <n v="0"/>
    <n v="1"/>
    <n v="0"/>
    <n v="0"/>
    <n v="0"/>
    <n v="0"/>
    <n v="0"/>
    <n v="0"/>
    <n v="0"/>
    <n v="0"/>
  </r>
  <r>
    <d v="2014-06-24T00:00:00"/>
    <n v="2014"/>
    <x v="12"/>
    <s v="R"/>
    <s v="RS"/>
    <x v="6"/>
    <s v="SEA"/>
    <s v="H"/>
    <n v="1"/>
    <n v="1"/>
    <n v="0"/>
    <n v="0"/>
    <n v="0"/>
    <n v="0"/>
    <n v="1499.8735642178467"/>
    <n v="1466.2928963804402"/>
    <n v="0.66303500462911047"/>
    <n v="65"/>
    <n v="57"/>
    <n v="0"/>
    <n v="8"/>
    <n v="1"/>
    <n v="0.37774476704512155"/>
    <n v="1"/>
    <n v="74.05"/>
    <n v="74.05"/>
    <n v="9.425584850410484"/>
    <n v="1509.2991490682573"/>
    <n v="1"/>
    <n v="0"/>
    <n v="0"/>
    <n v="0"/>
    <n v="0"/>
    <n v="0"/>
    <n v="0"/>
    <n v="0"/>
    <n v="0"/>
    <n v="0"/>
  </r>
  <r>
    <d v="2014-06-24T00:00:00"/>
    <n v="2014"/>
    <x v="14"/>
    <s v="R"/>
    <s v="RS"/>
    <x v="9"/>
    <s v="SAS"/>
    <s v="A"/>
    <n v="1"/>
    <n v="1"/>
    <n v="0"/>
    <n v="0"/>
    <n v="0"/>
    <n v="0"/>
    <n v="1437.3221573883809"/>
    <n v="1496.9462129633334"/>
    <n v="0.30432920556661813"/>
    <n v="81"/>
    <n v="70"/>
    <n v="0"/>
    <n v="11"/>
    <n v="1"/>
    <n v="0.41901642158480623"/>
    <n v="1"/>
    <n v="73.75"/>
    <n v="73.75"/>
    <n v="21.497939657734456"/>
    <n v="1458.8200970461153"/>
    <n v="1"/>
    <n v="0"/>
    <n v="0"/>
    <n v="0"/>
    <n v="0"/>
    <n v="0"/>
    <n v="0"/>
    <n v="0"/>
    <n v="0"/>
    <n v="0"/>
  </r>
  <r>
    <d v="2014-06-24T00:00:00"/>
    <n v="2014"/>
    <x v="13"/>
    <s v="R"/>
    <s v="RS"/>
    <x v="0"/>
    <s v="WAS"/>
    <s v="H"/>
    <n v="1"/>
    <n v="1"/>
    <n v="0"/>
    <n v="0"/>
    <n v="0"/>
    <n v="0"/>
    <n v="1496.9462129633334"/>
    <n v="1437.3221573883809"/>
    <n v="0.69567079443338187"/>
    <n v="70"/>
    <n v="81"/>
    <n v="0"/>
    <n v="-11"/>
    <n v="0"/>
    <n v="0.41901642158480623"/>
    <n v="1"/>
    <n v="73.900000000000006"/>
    <n v="73.900000000000006"/>
    <n v="-21.54166428076714"/>
    <n v="1475.4045486825662"/>
    <n v="0"/>
    <n v="1"/>
    <n v="0"/>
    <n v="0"/>
    <n v="0"/>
    <n v="0"/>
    <n v="0"/>
    <n v="0"/>
    <n v="0"/>
    <n v="0"/>
  </r>
  <r>
    <d v="2014-06-25T00:00:00"/>
    <n v="2014"/>
    <x v="13"/>
    <s v="R"/>
    <s v="RS"/>
    <x v="3"/>
    <s v="CON"/>
    <s v="A"/>
    <n v="2"/>
    <n v="7"/>
    <n v="-5"/>
    <n v="5"/>
    <n v="-16"/>
    <n v="16"/>
    <n v="1470.4756372703346"/>
    <n v="1478.6866268009105"/>
    <n v="0.32849145136403002"/>
    <n v="69"/>
    <n v="79"/>
    <n v="0"/>
    <n v="-10"/>
    <n v="0"/>
    <n v="0.42025411422223374"/>
    <n v="1"/>
    <n v="73.900000000000006"/>
    <n v="73.900000000000006"/>
    <n v="-10.201886421877658"/>
    <n v="1460.273750848457"/>
    <n v="0"/>
    <n v="1"/>
    <n v="0"/>
    <n v="0"/>
    <n v="0"/>
    <n v="0"/>
    <n v="0"/>
    <n v="0"/>
    <n v="0"/>
    <n v="0"/>
  </r>
  <r>
    <d v="2014-06-25T00:00:00"/>
    <n v="2014"/>
    <x v="13"/>
    <s v="R"/>
    <s v="RS"/>
    <x v="5"/>
    <s v="CHI"/>
    <s v="H"/>
    <n v="7"/>
    <n v="2"/>
    <n v="5"/>
    <n v="-5"/>
    <n v="16"/>
    <n v="-16"/>
    <n v="1478.6866268009105"/>
    <n v="1470.4756372703346"/>
    <n v="0.67150854863596998"/>
    <n v="79"/>
    <n v="69"/>
    <n v="0"/>
    <n v="10"/>
    <n v="1"/>
    <n v="0.42025411422223374"/>
    <n v="1"/>
    <n v="73.900000000000006"/>
    <n v="73.900000000000006"/>
    <n v="10.201886421877658"/>
    <n v="1488.8885132227881"/>
    <n v="1"/>
    <n v="0"/>
    <n v="0"/>
    <n v="0"/>
    <n v="0"/>
    <n v="0"/>
    <n v="0"/>
    <n v="0"/>
    <n v="0"/>
    <n v="0"/>
  </r>
  <r>
    <d v="2014-06-25T00:00:00"/>
    <n v="2014"/>
    <x v="12"/>
    <s v="R"/>
    <s v="RS"/>
    <x v="11"/>
    <s v="IND"/>
    <s v="A"/>
    <n v="2"/>
    <n v="2"/>
    <n v="0"/>
    <n v="0"/>
    <n v="0"/>
    <n v="0"/>
    <n v="1463.7650571889565"/>
    <n v="1499.6366532441261"/>
    <n v="0.33402498141372111"/>
    <n v="107"/>
    <n v="102"/>
    <n v="1"/>
    <n v="5"/>
    <n v="1"/>
    <n v="0.2899139802563705"/>
    <n v="1"/>
    <n v="74.05"/>
    <n v="74.05"/>
    <n v="14.297238434254208"/>
    <n v="1478.0622956232107"/>
    <n v="1"/>
    <n v="0"/>
    <n v="0"/>
    <n v="0"/>
    <n v="0"/>
    <n v="0"/>
    <n v="0"/>
    <n v="0"/>
    <n v="0"/>
    <n v="0"/>
  </r>
  <r>
    <d v="2014-06-25T00:00:00"/>
    <n v="2014"/>
    <x v="12"/>
    <s v="R"/>
    <s v="RS"/>
    <x v="2"/>
    <s v="TUL"/>
    <s v="H"/>
    <n v="2"/>
    <n v="2"/>
    <n v="0"/>
    <n v="0"/>
    <n v="0"/>
    <n v="0"/>
    <n v="1499.6366532441261"/>
    <n v="1463.7650571889565"/>
    <n v="0.66597501858627894"/>
    <n v="102"/>
    <n v="107"/>
    <n v="1"/>
    <n v="-5"/>
    <n v="0"/>
    <n v="0.2899139802563705"/>
    <n v="1"/>
    <n v="74.05"/>
    <n v="74.05"/>
    <n v="-14.297238434254208"/>
    <n v="1485.3394148098719"/>
    <n v="0"/>
    <n v="1"/>
    <n v="0"/>
    <n v="0"/>
    <n v="0"/>
    <n v="0"/>
    <n v="0"/>
    <n v="0"/>
    <n v="0"/>
    <n v="0"/>
  </r>
  <r>
    <d v="2014-06-26T00:00:00"/>
    <n v="2014"/>
    <x v="13"/>
    <s v="R"/>
    <s v="RS"/>
    <x v="1"/>
    <s v="SAS"/>
    <s v="A"/>
    <n v="3"/>
    <n v="1"/>
    <n v="2"/>
    <n v="-2"/>
    <n v="16"/>
    <n v="-16"/>
    <n v="1550.377166806825"/>
    <n v="1475.4045486825662"/>
    <n v="0.53301216017955988"/>
    <n v="81"/>
    <n v="79"/>
    <n v="0"/>
    <n v="2"/>
    <n v="1"/>
    <n v="0.25209136290664969"/>
    <n v="1"/>
    <n v="73.900000000000006"/>
    <n v="73.900000000000006"/>
    <n v="8.6997741139862388"/>
    <n v="1559.0769409208112"/>
    <n v="1"/>
    <n v="0"/>
    <n v="0"/>
    <n v="0"/>
    <n v="0"/>
    <n v="0"/>
    <n v="0"/>
    <n v="0"/>
    <n v="0"/>
    <n v="0"/>
  </r>
  <r>
    <d v="2014-06-26T00:00:00"/>
    <n v="2014"/>
    <x v="14"/>
    <s v="R"/>
    <s v="RS"/>
    <x v="0"/>
    <s v="ATL"/>
    <s v="H"/>
    <n v="1"/>
    <n v="3"/>
    <n v="-2"/>
    <n v="2"/>
    <n v="-16"/>
    <n v="16"/>
    <n v="1475.4045486825662"/>
    <n v="1550.377166806825"/>
    <n v="0.46698783982044018"/>
    <n v="79"/>
    <n v="81"/>
    <n v="0"/>
    <n v="-2"/>
    <n v="0"/>
    <n v="0.25209136290664969"/>
    <n v="1"/>
    <n v="73.75"/>
    <n v="73.75"/>
    <n v="-8.6821155738360645"/>
    <n v="1466.7224331087302"/>
    <n v="0"/>
    <n v="1"/>
    <n v="0"/>
    <n v="0"/>
    <n v="0"/>
    <n v="0"/>
    <n v="0"/>
    <n v="0"/>
    <n v="0"/>
    <n v="0"/>
  </r>
  <r>
    <d v="2014-06-27T00:00:00"/>
    <n v="2014"/>
    <x v="12"/>
    <s v="R"/>
    <s v="RS"/>
    <x v="10"/>
    <s v="IND"/>
    <s v="A"/>
    <n v="6"/>
    <n v="1"/>
    <n v="5"/>
    <n v="-5"/>
    <n v="16"/>
    <n v="-16"/>
    <n v="1588.731559470388"/>
    <n v="1485.3394148098719"/>
    <n v="0.57342451440597442"/>
    <n v="81"/>
    <n v="76"/>
    <n v="0"/>
    <n v="5"/>
    <n v="1"/>
    <n v="0.30543928946049387"/>
    <n v="1"/>
    <n v="74.05"/>
    <n v="74.05"/>
    <n v="9.648190224022775"/>
    <n v="1598.3797496944107"/>
    <n v="1"/>
    <n v="0"/>
    <n v="0"/>
    <n v="0"/>
    <n v="0"/>
    <n v="0"/>
    <n v="0"/>
    <n v="0"/>
    <n v="0"/>
    <n v="0"/>
  </r>
  <r>
    <d v="2014-06-27T00:00:00"/>
    <n v="2014"/>
    <x v="13"/>
    <s v="R"/>
    <s v="RS"/>
    <x v="2"/>
    <s v="PHX"/>
    <s v="H"/>
    <n v="1"/>
    <n v="6"/>
    <n v="-5"/>
    <n v="5"/>
    <n v="-16"/>
    <n v="16"/>
    <n v="1485.3394148098719"/>
    <n v="1588.731559470388"/>
    <n v="0.42657548559402558"/>
    <n v="76"/>
    <n v="81"/>
    <n v="0"/>
    <n v="-5"/>
    <n v="0"/>
    <n v="0.30543928946049387"/>
    <n v="1"/>
    <n v="73.900000000000006"/>
    <n v="73.900000000000006"/>
    <n v="-9.6286462870396097"/>
    <n v="1475.7107685228323"/>
    <n v="0"/>
    <n v="1"/>
    <n v="0"/>
    <n v="0"/>
    <n v="0"/>
    <n v="0"/>
    <n v="0"/>
    <n v="0"/>
    <n v="0"/>
    <n v="0"/>
  </r>
  <r>
    <d v="2014-06-27T00:00:00"/>
    <n v="2014"/>
    <x v="14"/>
    <s v="R"/>
    <s v="RS"/>
    <x v="3"/>
    <s v="NYL"/>
    <s v="A"/>
    <n v="1"/>
    <n v="4"/>
    <n v="-3"/>
    <n v="3"/>
    <n v="-16"/>
    <n v="16"/>
    <n v="1460.273750848457"/>
    <n v="1392.3595607310783"/>
    <n v="0.43123744924757118"/>
    <n v="73"/>
    <n v="69"/>
    <n v="0"/>
    <n v="4"/>
    <n v="1"/>
    <n v="0.29475124168304934"/>
    <n v="1"/>
    <n v="73.75"/>
    <n v="73.75"/>
    <n v="12.363705769210885"/>
    <n v="1472.6374566176678"/>
    <n v="1"/>
    <n v="0"/>
    <n v="0"/>
    <n v="0"/>
    <n v="0"/>
    <n v="0"/>
    <n v="0"/>
    <n v="0"/>
    <n v="0"/>
    <n v="0"/>
  </r>
  <r>
    <d v="2014-06-27T00:00:00"/>
    <n v="2014"/>
    <x v="14"/>
    <s v="R"/>
    <s v="RS"/>
    <x v="4"/>
    <s v="CHI"/>
    <s v="H"/>
    <n v="4"/>
    <n v="1"/>
    <n v="3"/>
    <n v="-3"/>
    <n v="16"/>
    <n v="-16"/>
    <n v="1392.3595607310783"/>
    <n v="1460.273750848457"/>
    <n v="0.56876255075242876"/>
    <n v="69"/>
    <n v="73"/>
    <n v="0"/>
    <n v="-4"/>
    <n v="0"/>
    <n v="0.29475124168304934"/>
    <n v="1"/>
    <n v="73.75"/>
    <n v="73.75"/>
    <n v="-12.363705769210885"/>
    <n v="1379.9958549618675"/>
    <n v="0"/>
    <n v="1"/>
    <n v="0"/>
    <n v="0"/>
    <n v="0"/>
    <n v="0"/>
    <n v="0"/>
    <n v="0"/>
    <n v="0"/>
    <n v="0"/>
  </r>
  <r>
    <d v="2014-06-27T00:00:00"/>
    <n v="2014"/>
    <x v="15"/>
    <s v="R"/>
    <s v="RS"/>
    <x v="8"/>
    <s v="SEA"/>
    <s v="A"/>
    <n v="4"/>
    <n v="2"/>
    <n v="2"/>
    <n v="-2"/>
    <n v="16"/>
    <n v="-16"/>
    <n v="1657.2176793360472"/>
    <n v="1456.9245905736852"/>
    <n v="0.70133091988647578"/>
    <n v="71"/>
    <n v="81"/>
    <n v="0"/>
    <n v="-10"/>
    <n v="0"/>
    <n v="0.36260668803808532"/>
    <n v="1"/>
    <n v="73.599999999999994"/>
    <n v="73.599999999999994"/>
    <n v="-18.71701596099517"/>
    <n v="1638.500663375052"/>
    <n v="0"/>
    <n v="1"/>
    <n v="0"/>
    <n v="0"/>
    <n v="0"/>
    <n v="0"/>
    <n v="0"/>
    <n v="0"/>
    <n v="0"/>
    <n v="0"/>
  </r>
  <r>
    <d v="2014-06-27T00:00:00"/>
    <n v="2014"/>
    <x v="16"/>
    <s v="R"/>
    <s v="RS"/>
    <x v="7"/>
    <s v="MIN"/>
    <s v="H"/>
    <n v="2"/>
    <n v="4"/>
    <n v="-2"/>
    <n v="2"/>
    <n v="-16"/>
    <n v="16"/>
    <n v="1456.9245905736852"/>
    <n v="1657.2176793360472"/>
    <n v="0.29866908011352417"/>
    <n v="81"/>
    <n v="71"/>
    <n v="0"/>
    <n v="10"/>
    <n v="1"/>
    <n v="0.36260668803808532"/>
    <n v="1"/>
    <n v="73.45"/>
    <n v="73.45"/>
    <n v="18.678869868683364"/>
    <n v="1475.6034604423685"/>
    <n v="1"/>
    <n v="0"/>
    <n v="0"/>
    <n v="0"/>
    <n v="0"/>
    <n v="0"/>
    <n v="0"/>
    <n v="0"/>
    <n v="0"/>
    <n v="0"/>
  </r>
  <r>
    <d v="2014-06-27T00:00:00"/>
    <n v="2014"/>
    <x v="14"/>
    <s v="R"/>
    <s v="RS"/>
    <x v="5"/>
    <s v="WAS"/>
    <s v="A"/>
    <n v="1"/>
    <n v="2"/>
    <n v="-1"/>
    <n v="1"/>
    <n v="-8"/>
    <n v="8"/>
    <n v="1488.8885132227881"/>
    <n v="1458.8200970461153"/>
    <n v="0.4006977748019645"/>
    <n v="63"/>
    <n v="69"/>
    <n v="0"/>
    <n v="-6"/>
    <n v="0"/>
    <n v="0.34269387601985651"/>
    <n v="1"/>
    <n v="73.75"/>
    <n v="73.75"/>
    <n v="-10.12710467500699"/>
    <n v="1478.7614085477812"/>
    <n v="0"/>
    <n v="1"/>
    <n v="0"/>
    <n v="0"/>
    <n v="0"/>
    <n v="0"/>
    <n v="0"/>
    <n v="0"/>
    <n v="0"/>
    <n v="0"/>
  </r>
  <r>
    <d v="2014-06-27T00:00:00"/>
    <n v="2014"/>
    <x v="15"/>
    <s v="R"/>
    <s v="RS"/>
    <x v="9"/>
    <s v="CON"/>
    <s v="H"/>
    <n v="2"/>
    <n v="1"/>
    <n v="1"/>
    <n v="-1"/>
    <n v="8"/>
    <n v="-8"/>
    <n v="1458.8200970461153"/>
    <n v="1488.8885132227881"/>
    <n v="0.59930222519803544"/>
    <n v="69"/>
    <n v="63"/>
    <n v="0"/>
    <n v="6"/>
    <n v="1"/>
    <n v="0.34269387601985651"/>
    <n v="1"/>
    <n v="73.599999999999994"/>
    <n v="73.599999999999994"/>
    <n v="10.106507173973078"/>
    <n v="1468.9266042200884"/>
    <n v="1"/>
    <n v="0"/>
    <n v="0"/>
    <n v="0"/>
    <n v="0"/>
    <n v="0"/>
    <n v="0"/>
    <n v="0"/>
    <n v="0"/>
    <n v="0"/>
  </r>
  <r>
    <d v="2014-06-28T00:00:00"/>
    <n v="2014"/>
    <x v="13"/>
    <s v="R"/>
    <s v="RS"/>
    <x v="6"/>
    <s v="TUL"/>
    <s v="A"/>
    <n v="3"/>
    <n v="2"/>
    <n v="1"/>
    <n v="-1"/>
    <n v="8"/>
    <n v="-8"/>
    <n v="1509.2991490682573"/>
    <n v="1478.0622956232107"/>
    <n v="0.44729015198509564"/>
    <n v="92"/>
    <n v="89"/>
    <n v="1"/>
    <n v="3"/>
    <n v="1"/>
    <n v="0.25453932921980432"/>
    <n v="1"/>
    <n v="73.900000000000006"/>
    <n v="73.900000000000006"/>
    <n v="10.396724514153451"/>
    <n v="1519.6958735824107"/>
    <n v="1"/>
    <n v="0"/>
    <n v="0"/>
    <n v="0"/>
    <n v="0"/>
    <n v="0"/>
    <n v="0"/>
    <n v="0"/>
    <n v="0"/>
    <n v="0"/>
  </r>
  <r>
    <d v="2014-06-28T00:00:00"/>
    <n v="2014"/>
    <x v="13"/>
    <s v="R"/>
    <s v="RS"/>
    <x v="11"/>
    <s v="LAS"/>
    <s v="H"/>
    <n v="2"/>
    <n v="3"/>
    <n v="-1"/>
    <n v="1"/>
    <n v="-8"/>
    <n v="8"/>
    <n v="1478.0622956232107"/>
    <n v="1509.2991490682573"/>
    <n v="0.5527098480149043"/>
    <n v="89"/>
    <n v="92"/>
    <n v="1"/>
    <n v="-3"/>
    <n v="0"/>
    <n v="0.25453932921980432"/>
    <n v="1"/>
    <n v="73.900000000000006"/>
    <n v="73.900000000000006"/>
    <n v="-10.396724514153449"/>
    <n v="1467.6655711090573"/>
    <n v="0"/>
    <n v="1"/>
    <n v="0"/>
    <n v="0"/>
    <n v="0"/>
    <n v="0"/>
    <n v="0"/>
    <n v="0"/>
    <n v="0"/>
    <n v="0"/>
  </r>
  <r>
    <d v="2014-06-29T00:00:00"/>
    <n v="2014"/>
    <x v="14"/>
    <s v="R"/>
    <s v="RS"/>
    <x v="1"/>
    <s v="IND"/>
    <s v="A"/>
    <n v="2"/>
    <n v="1"/>
    <n v="1"/>
    <n v="-1"/>
    <n v="8"/>
    <n v="-8"/>
    <n v="1559.0769409208112"/>
    <n v="1475.7107685228323"/>
    <n v="0.52209929236450503"/>
    <n v="76"/>
    <n v="68"/>
    <n v="0"/>
    <n v="8"/>
    <n v="1"/>
    <n v="0.3630909494309969"/>
    <n v="1"/>
    <n v="73.75"/>
    <n v="73.75"/>
    <n v="12.797204848097389"/>
    <n v="1571.8741457689086"/>
    <n v="1"/>
    <n v="0"/>
    <n v="0"/>
    <n v="0"/>
    <n v="0"/>
    <n v="0"/>
    <n v="0"/>
    <n v="0"/>
    <n v="0"/>
    <n v="0"/>
  </r>
  <r>
    <d v="2014-06-29T00:00:00"/>
    <n v="2014"/>
    <x v="14"/>
    <s v="R"/>
    <s v="RS"/>
    <x v="2"/>
    <s v="ATL"/>
    <s v="H"/>
    <n v="1"/>
    <n v="2"/>
    <n v="-1"/>
    <n v="1"/>
    <n v="-8"/>
    <n v="8"/>
    <n v="1475.7107685228323"/>
    <n v="1559.0769409208112"/>
    <n v="0.47790070763549508"/>
    <n v="68"/>
    <n v="76"/>
    <n v="0"/>
    <n v="-8"/>
    <n v="0"/>
    <n v="0.3630909494309969"/>
    <n v="1"/>
    <n v="73.75"/>
    <n v="73.75"/>
    <n v="-12.797204848097392"/>
    <n v="1462.9135636747349"/>
    <n v="0"/>
    <n v="1"/>
    <n v="0"/>
    <n v="0"/>
    <n v="0"/>
    <n v="0"/>
    <n v="0"/>
    <n v="0"/>
    <n v="0"/>
    <n v="0"/>
  </r>
  <r>
    <d v="2014-06-29T00:00:00"/>
    <n v="2014"/>
    <x v="17"/>
    <s v="R"/>
    <s v="RS"/>
    <x v="7"/>
    <s v="MIN"/>
    <s v="A"/>
    <n v="1"/>
    <n v="1"/>
    <n v="0"/>
    <n v="0"/>
    <n v="0"/>
    <n v="0"/>
    <n v="1475.6034604423685"/>
    <n v="1638.500663375052"/>
    <n v="0.19446498546758303"/>
    <n v="69"/>
    <n v="74"/>
    <n v="0"/>
    <n v="-5"/>
    <n v="0"/>
    <n v="0.29210359350422754"/>
    <n v="1"/>
    <n v="73.3"/>
    <n v="73.3"/>
    <n v="-4.163727414125221"/>
    <n v="1471.4397330282432"/>
    <n v="0"/>
    <n v="1"/>
    <n v="0"/>
    <n v="0"/>
    <n v="0"/>
    <n v="0"/>
    <n v="0"/>
    <n v="0"/>
    <n v="0"/>
    <n v="0"/>
  </r>
  <r>
    <d v="2014-06-29T00:00:00"/>
    <n v="2014"/>
    <x v="16"/>
    <s v="R"/>
    <s v="RS"/>
    <x v="8"/>
    <s v="SEA"/>
    <s v="H"/>
    <n v="1"/>
    <n v="1"/>
    <n v="0"/>
    <n v="0"/>
    <n v="0"/>
    <n v="0"/>
    <n v="1638.500663375052"/>
    <n v="1475.6034604423685"/>
    <n v="0.80553501453241694"/>
    <n v="74"/>
    <n v="69"/>
    <n v="0"/>
    <n v="5"/>
    <n v="1"/>
    <n v="0.29210359350422754"/>
    <n v="1"/>
    <n v="73.45"/>
    <n v="73.45"/>
    <n v="4.1722480022850963"/>
    <n v="1642.6729113773372"/>
    <n v="1"/>
    <n v="0"/>
    <n v="0"/>
    <n v="0"/>
    <n v="0"/>
    <n v="0"/>
    <n v="0"/>
    <n v="0"/>
    <n v="0"/>
    <n v="0"/>
  </r>
  <r>
    <d v="2014-06-29T00:00:00"/>
    <n v="2014"/>
    <x v="15"/>
    <s v="R"/>
    <s v="RS"/>
    <x v="5"/>
    <s v="NYL"/>
    <s v="A"/>
    <n v="1"/>
    <n v="1"/>
    <n v="0"/>
    <n v="0"/>
    <n v="0"/>
    <n v="0"/>
    <n v="1478.7614085477812"/>
    <n v="1379.9958549618675"/>
    <n v="0.52123655589286144"/>
    <n v="65"/>
    <n v="67"/>
    <n v="0"/>
    <n v="-2"/>
    <n v="0"/>
    <n v="0.24747313638261081"/>
    <n v="1"/>
    <n v="73.599999999999994"/>
    <n v="73.599999999999994"/>
    <n v="-9.4938145329080257"/>
    <n v="1469.2675940148731"/>
    <n v="0"/>
    <n v="1"/>
    <n v="0"/>
    <n v="0"/>
    <n v="0"/>
    <n v="0"/>
    <n v="0"/>
    <n v="0"/>
    <n v="0"/>
    <n v="0"/>
  </r>
  <r>
    <d v="2014-06-29T00:00:00"/>
    <n v="2014"/>
    <x v="15"/>
    <s v="R"/>
    <s v="RS"/>
    <x v="4"/>
    <s v="CON"/>
    <s v="H"/>
    <n v="1"/>
    <n v="1"/>
    <n v="0"/>
    <n v="0"/>
    <n v="0"/>
    <n v="0"/>
    <n v="1379.9958549618675"/>
    <n v="1478.7614085477812"/>
    <n v="0.47876344410713861"/>
    <n v="67"/>
    <n v="65"/>
    <n v="0"/>
    <n v="2"/>
    <n v="1"/>
    <n v="0.24747313638261081"/>
    <n v="1"/>
    <n v="73.599999999999994"/>
    <n v="73.599999999999994"/>
    <n v="9.4938145329080239"/>
    <n v="1389.4896694947756"/>
    <n v="1"/>
    <n v="0"/>
    <n v="0"/>
    <n v="0"/>
    <n v="0"/>
    <n v="0"/>
    <n v="0"/>
    <n v="0"/>
    <n v="0"/>
    <n v="0"/>
  </r>
  <r>
    <d v="2014-06-29T00:00:00"/>
    <n v="2014"/>
    <x v="13"/>
    <s v="R"/>
    <s v="RS"/>
    <x v="10"/>
    <s v="TUL"/>
    <s v="A"/>
    <n v="1"/>
    <n v="0"/>
    <n v="1"/>
    <n v="-1"/>
    <n v="8"/>
    <n v="-8"/>
    <n v="1598.3797496944107"/>
    <n v="1467.6655711090573"/>
    <n v="0.58928534792480503"/>
    <n v="80"/>
    <n v="77"/>
    <n v="0"/>
    <n v="3"/>
    <n v="1"/>
    <n v="0.26167920273355261"/>
    <n v="1"/>
    <n v="73.900000000000006"/>
    <n v="73.900000000000006"/>
    <n v="7.942438171975283"/>
    <n v="1606.322187866386"/>
    <n v="1"/>
    <n v="0"/>
    <n v="0"/>
    <n v="0"/>
    <n v="0"/>
    <n v="0"/>
    <n v="0"/>
    <n v="0"/>
    <n v="0"/>
    <n v="0"/>
  </r>
  <r>
    <d v="2014-06-29T00:00:00"/>
    <n v="2014"/>
    <x v="14"/>
    <s v="R"/>
    <s v="RS"/>
    <x v="11"/>
    <s v="PHX"/>
    <s v="H"/>
    <n v="0"/>
    <n v="1"/>
    <n v="-1"/>
    <n v="1"/>
    <n v="-8"/>
    <n v="8"/>
    <n v="1467.6655711090573"/>
    <n v="1598.3797496944107"/>
    <n v="0.41071465207519497"/>
    <n v="77"/>
    <n v="80"/>
    <n v="0"/>
    <n v="-3"/>
    <n v="0"/>
    <n v="0.26167920273355261"/>
    <n v="1"/>
    <n v="73.75"/>
    <n v="73.75"/>
    <n v="-7.9263168495693783"/>
    <n v="1459.739254259488"/>
    <n v="0"/>
    <n v="1"/>
    <n v="0"/>
    <n v="0"/>
    <n v="0"/>
    <n v="0"/>
    <n v="0"/>
    <n v="0"/>
    <n v="0"/>
    <n v="0"/>
  </r>
  <r>
    <d v="2014-06-29T00:00:00"/>
    <n v="2014"/>
    <x v="15"/>
    <s v="R"/>
    <s v="RS"/>
    <x v="0"/>
    <s v="WAS"/>
    <s v="A"/>
    <n v="2"/>
    <n v="1"/>
    <n v="1"/>
    <n v="-1"/>
    <n v="8"/>
    <n v="-8"/>
    <n v="1466.7224331087302"/>
    <n v="1468.9266042200884"/>
    <n v="0.40032102211182791"/>
    <n v="73"/>
    <n v="65"/>
    <n v="0"/>
    <n v="8"/>
    <n v="1"/>
    <n v="0.38760358115613602"/>
    <n v="1"/>
    <n v="73.599999999999994"/>
    <n v="73.599999999999994"/>
    <n v="17.107416145890102"/>
    <n v="1483.8298492546203"/>
    <n v="1"/>
    <n v="0"/>
    <n v="0"/>
    <n v="0"/>
    <n v="0"/>
    <n v="0"/>
    <n v="0"/>
    <n v="0"/>
    <n v="0"/>
    <n v="0"/>
  </r>
  <r>
    <d v="2014-06-29T00:00:00"/>
    <n v="2014"/>
    <x v="16"/>
    <s v="R"/>
    <s v="RS"/>
    <x v="9"/>
    <s v="SAS"/>
    <s v="H"/>
    <n v="1"/>
    <n v="2"/>
    <n v="-1"/>
    <n v="1"/>
    <n v="-8"/>
    <n v="8"/>
    <n v="1468.9266042200884"/>
    <n v="1466.7224331087302"/>
    <n v="0.59967897788817204"/>
    <n v="65"/>
    <n v="73"/>
    <n v="0"/>
    <n v="-8"/>
    <n v="0"/>
    <n v="0.38760358115613602"/>
    <n v="1"/>
    <n v="73.45"/>
    <n v="73.45"/>
    <n v="-17.072550487984074"/>
    <n v="1451.8540537321044"/>
    <n v="0"/>
    <n v="1"/>
    <n v="0"/>
    <n v="0"/>
    <n v="0"/>
    <n v="0"/>
    <n v="0"/>
    <n v="0"/>
    <n v="0"/>
    <n v="0"/>
  </r>
  <r>
    <d v="2014-07-01T00:00:00"/>
    <n v="2014"/>
    <x v="15"/>
    <s v="R"/>
    <s v="RS"/>
    <x v="2"/>
    <s v="ATL"/>
    <s v="A"/>
    <n v="1"/>
    <n v="1"/>
    <n v="0"/>
    <n v="0"/>
    <n v="0"/>
    <n v="0"/>
    <n v="1462.9135636747349"/>
    <n v="1571.8741457689086"/>
    <n v="0.24772729014884076"/>
    <n v="77"/>
    <n v="70"/>
    <n v="0"/>
    <n v="7"/>
    <n v="1"/>
    <n v="0.3392986871109851"/>
    <n v="1"/>
    <n v="73.599999999999994"/>
    <n v="73.599999999999994"/>
    <n v="18.78604251022141"/>
    <n v="1481.6996061849563"/>
    <n v="1"/>
    <n v="0"/>
    <n v="0"/>
    <n v="0"/>
    <n v="0"/>
    <n v="0"/>
    <n v="0"/>
    <n v="0"/>
    <n v="0"/>
    <n v="0"/>
  </r>
  <r>
    <d v="2014-07-01T00:00:00"/>
    <n v="2014"/>
    <x v="15"/>
    <s v="R"/>
    <s v="RS"/>
    <x v="1"/>
    <s v="IND"/>
    <s v="H"/>
    <n v="1"/>
    <n v="1"/>
    <n v="0"/>
    <n v="0"/>
    <n v="0"/>
    <n v="0"/>
    <n v="1571.8741457689086"/>
    <n v="1462.9135636747349"/>
    <n v="0.75227270985115924"/>
    <n v="70"/>
    <n v="77"/>
    <n v="0"/>
    <n v="-7"/>
    <n v="0"/>
    <n v="0.3392986871109851"/>
    <n v="1"/>
    <n v="73.599999999999994"/>
    <n v="73.599999999999994"/>
    <n v="-18.78604251022141"/>
    <n v="1553.0881032586872"/>
    <n v="0"/>
    <n v="1"/>
    <n v="0"/>
    <n v="0"/>
    <n v="0"/>
    <n v="0"/>
    <n v="0"/>
    <n v="0"/>
    <n v="0"/>
    <n v="0"/>
  </r>
  <r>
    <d v="2014-07-01T00:00:00"/>
    <n v="2014"/>
    <x v="16"/>
    <s v="R"/>
    <s v="RS"/>
    <x v="0"/>
    <s v="CON"/>
    <s v="A"/>
    <n v="1"/>
    <n v="1"/>
    <n v="0"/>
    <n v="0"/>
    <n v="0"/>
    <n v="0"/>
    <n v="1483.8298492546203"/>
    <n v="1469.2675940148731"/>
    <n v="0.40138062632330068"/>
    <n v="74"/>
    <n v="71"/>
    <n v="0"/>
    <n v="3"/>
    <n v="1"/>
    <n v="0.28670430339506403"/>
    <n v="1"/>
    <n v="73.45"/>
    <n v="73.45"/>
    <n v="12.605984826337982"/>
    <n v="1496.4358340809583"/>
    <n v="1"/>
    <n v="0"/>
    <n v="0"/>
    <n v="0"/>
    <n v="0"/>
    <n v="0"/>
    <n v="0"/>
    <n v="0"/>
    <n v="0"/>
    <n v="0"/>
  </r>
  <r>
    <d v="2014-07-01T00:00:00"/>
    <n v="2014"/>
    <x v="16"/>
    <s v="R"/>
    <s v="RS"/>
    <x v="5"/>
    <s v="SAS"/>
    <s v="H"/>
    <n v="1"/>
    <n v="1"/>
    <n v="0"/>
    <n v="0"/>
    <n v="0"/>
    <n v="0"/>
    <n v="1469.2675940148731"/>
    <n v="1483.8298492546203"/>
    <n v="0.59861937367669926"/>
    <n v="71"/>
    <n v="74"/>
    <n v="0"/>
    <n v="-3"/>
    <n v="0"/>
    <n v="0.28670430339506403"/>
    <n v="1"/>
    <n v="73.45"/>
    <n v="73.45"/>
    <n v="-12.605984826337979"/>
    <n v="1456.6616091885351"/>
    <n v="0"/>
    <n v="1"/>
    <n v="0"/>
    <n v="0"/>
    <n v="0"/>
    <n v="0"/>
    <n v="0"/>
    <n v="0"/>
    <n v="0"/>
    <n v="0"/>
  </r>
  <r>
    <d v="2014-07-01T00:00:00"/>
    <n v="2014"/>
    <x v="15"/>
    <s v="R"/>
    <s v="RS"/>
    <x v="3"/>
    <s v="LAS"/>
    <s v="A"/>
    <n v="3"/>
    <n v="2"/>
    <n v="1"/>
    <n v="-1"/>
    <n v="8"/>
    <n v="-8"/>
    <n v="1472.6374566176678"/>
    <n v="1519.6958735824107"/>
    <n v="0.34021651838851774"/>
    <n v="90"/>
    <n v="83"/>
    <n v="0"/>
    <n v="7"/>
    <n v="1"/>
    <n v="0.35614098020008034"/>
    <n v="1"/>
    <n v="73.599999999999994"/>
    <n v="73.599999999999994"/>
    <n v="17.294228879364812"/>
    <n v="1489.9316854970325"/>
    <n v="1"/>
    <n v="0"/>
    <n v="0"/>
    <n v="0"/>
    <n v="0"/>
    <n v="0"/>
    <n v="0"/>
    <n v="0"/>
    <n v="0"/>
    <n v="0"/>
  </r>
  <r>
    <d v="2014-07-01T00:00:00"/>
    <n v="2014"/>
    <x v="14"/>
    <s v="R"/>
    <s v="RS"/>
    <x v="6"/>
    <s v="CHI"/>
    <s v="H"/>
    <n v="2"/>
    <n v="3"/>
    <n v="-1"/>
    <n v="1"/>
    <n v="-8"/>
    <n v="8"/>
    <n v="1519.6958735824107"/>
    <n v="1472.6374566176678"/>
    <n v="0.65978348161148226"/>
    <n v="83"/>
    <n v="90"/>
    <n v="0"/>
    <n v="-7"/>
    <n v="0"/>
    <n v="0.35614098020008034"/>
    <n v="1"/>
    <n v="73.75"/>
    <n v="73.75"/>
    <n v="-17.329475269743952"/>
    <n v="1502.3663983126669"/>
    <n v="0"/>
    <n v="1"/>
    <n v="0"/>
    <n v="0"/>
    <n v="0"/>
    <n v="0"/>
    <n v="0"/>
    <n v="0"/>
    <n v="0"/>
    <n v="0"/>
  </r>
  <r>
    <d v="2014-07-01T00:00:00"/>
    <n v="2014"/>
    <x v="15"/>
    <s v="R"/>
    <s v="RS"/>
    <x v="11"/>
    <s v="NYL"/>
    <s v="A"/>
    <n v="1"/>
    <n v="1"/>
    <n v="0"/>
    <n v="0"/>
    <n v="0"/>
    <n v="0"/>
    <n v="1459.739254259488"/>
    <n v="1389.4896694947756"/>
    <n v="0.48022188705226504"/>
    <n v="74"/>
    <n v="90"/>
    <n v="0"/>
    <n v="-16"/>
    <n v="0"/>
    <n v="0.48915051513373681"/>
    <n v="1"/>
    <n v="73.599999999999994"/>
    <n v="73.599999999999994"/>
    <n v="-17.28869766045614"/>
    <n v="1442.4505565990319"/>
    <n v="0"/>
    <n v="1"/>
    <n v="0"/>
    <n v="0"/>
    <n v="0"/>
    <n v="0"/>
    <n v="0"/>
    <n v="0"/>
    <n v="0"/>
    <n v="0"/>
  </r>
  <r>
    <d v="2014-07-01T00:00:00"/>
    <n v="2014"/>
    <x v="16"/>
    <s v="R"/>
    <s v="RS"/>
    <x v="4"/>
    <s v="TUL"/>
    <s v="H"/>
    <n v="1"/>
    <n v="1"/>
    <n v="0"/>
    <n v="0"/>
    <n v="0"/>
    <n v="0"/>
    <n v="1389.4896694947756"/>
    <n v="1459.739254259488"/>
    <n v="0.5197781129477349"/>
    <n v="90"/>
    <n v="74"/>
    <n v="0"/>
    <n v="16"/>
    <n v="1"/>
    <n v="0.48915051513373681"/>
    <n v="1"/>
    <n v="73.45"/>
    <n v="73.45"/>
    <n v="17.253462542941627"/>
    <n v="1406.7431320377173"/>
    <n v="1"/>
    <n v="0"/>
    <n v="0"/>
    <n v="0"/>
    <n v="0"/>
    <n v="0"/>
    <n v="0"/>
    <n v="0"/>
    <n v="0"/>
    <n v="0"/>
  </r>
  <r>
    <d v="2014-07-02T00:00:00"/>
    <n v="2014"/>
    <x v="16"/>
    <s v="R"/>
    <s v="RS"/>
    <x v="3"/>
    <s v="PHX"/>
    <s v="A"/>
    <n v="0"/>
    <n v="2"/>
    <n v="-2"/>
    <n v="2"/>
    <n v="-16"/>
    <n v="16"/>
    <n v="1489.9316854970325"/>
    <n v="1606.322187866386"/>
    <n v="0.2078807638986466"/>
    <n v="69"/>
    <n v="87"/>
    <n v="0"/>
    <n v="-18"/>
    <n v="0"/>
    <n v="0.49848484729303244"/>
    <n v="1"/>
    <n v="73.45"/>
    <n v="73.45"/>
    <n v="-7.6112864267250604"/>
    <n v="1482.3203990703075"/>
    <n v="0"/>
    <n v="1"/>
    <n v="0"/>
    <n v="0"/>
    <n v="0"/>
    <n v="0"/>
    <n v="0"/>
    <n v="0"/>
    <n v="0"/>
    <n v="0"/>
  </r>
  <r>
    <d v="2014-07-02T00:00:00"/>
    <n v="2014"/>
    <x v="14"/>
    <s v="R"/>
    <s v="RS"/>
    <x v="10"/>
    <s v="CHI"/>
    <s v="H"/>
    <n v="2"/>
    <n v="0"/>
    <n v="2"/>
    <n v="-2"/>
    <n v="16"/>
    <n v="-16"/>
    <n v="1606.322187866386"/>
    <n v="1489.9316854970325"/>
    <n v="0.79211923610135337"/>
    <n v="87"/>
    <n v="69"/>
    <n v="0"/>
    <n v="18"/>
    <n v="1"/>
    <n v="0.49848484729303244"/>
    <n v="1"/>
    <n v="73.75"/>
    <n v="73.75"/>
    <n v="7.6423740499792139"/>
    <n v="1613.9645619163653"/>
    <n v="1"/>
    <n v="0"/>
    <n v="0"/>
    <n v="0"/>
    <n v="0"/>
    <n v="0"/>
    <n v="0"/>
    <n v="0"/>
    <n v="0"/>
    <n v="0"/>
  </r>
  <r>
    <d v="2014-07-02T00:00:00"/>
    <n v="2014"/>
    <x v="16"/>
    <s v="R"/>
    <s v="RS"/>
    <x v="2"/>
    <s v="WAS"/>
    <s v="A"/>
    <n v="0"/>
    <n v="2"/>
    <n v="-2"/>
    <n v="2"/>
    <n v="-16"/>
    <n v="16"/>
    <n v="1481.6996061849563"/>
    <n v="1451.8540537321044"/>
    <n v="0.37849411237699698"/>
    <n v="80"/>
    <n v="77"/>
    <n v="0"/>
    <n v="3"/>
    <n v="1"/>
    <n v="0.28314142749383908"/>
    <n v="1"/>
    <n v="73.45"/>
    <n v="73.45"/>
    <n v="12.925295016768223"/>
    <n v="1494.6249012017245"/>
    <n v="1"/>
    <n v="0"/>
    <n v="0"/>
    <n v="0"/>
    <n v="0"/>
    <n v="0"/>
    <n v="0"/>
    <n v="0"/>
    <n v="0"/>
    <n v="0"/>
  </r>
  <r>
    <d v="2014-07-02T00:00:00"/>
    <n v="2014"/>
    <x v="17"/>
    <s v="R"/>
    <s v="RS"/>
    <x v="9"/>
    <s v="IND"/>
    <s v="H"/>
    <n v="2"/>
    <n v="0"/>
    <n v="2"/>
    <n v="-2"/>
    <n v="16"/>
    <n v="-16"/>
    <n v="1451.8540537321044"/>
    <n v="1481.6996061849563"/>
    <n v="0.62150588762300296"/>
    <n v="77"/>
    <n v="80"/>
    <n v="0"/>
    <n v="-3"/>
    <n v="0"/>
    <n v="0.28314142749383908"/>
    <n v="1"/>
    <n v="73.3"/>
    <n v="73.3"/>
    <n v="-12.89889890713561"/>
    <n v="1438.9551548249688"/>
    <n v="0"/>
    <n v="1"/>
    <n v="0"/>
    <n v="0"/>
    <n v="0"/>
    <n v="0"/>
    <n v="0"/>
    <n v="0"/>
    <n v="0"/>
    <n v="0"/>
  </r>
  <r>
    <d v="2014-07-03T00:00:00"/>
    <n v="2014"/>
    <x v="16"/>
    <s v="R"/>
    <s v="RS"/>
    <x v="11"/>
    <s v="CON"/>
    <s v="A"/>
    <n v="1"/>
    <n v="1"/>
    <n v="0"/>
    <n v="0"/>
    <n v="0"/>
    <n v="0"/>
    <n v="1442.4505565990319"/>
    <n v="1456.6616091885351"/>
    <n v="0.36231087997695671"/>
    <n v="96"/>
    <n v="83"/>
    <n v="0"/>
    <n v="13"/>
    <n v="1"/>
    <n v="0.46651898413285625"/>
    <n v="1"/>
    <n v="73.45"/>
    <n v="73.45"/>
    <n v="21.850940210207515"/>
    <n v="1464.3014968092393"/>
    <n v="1"/>
    <n v="0"/>
    <n v="0"/>
    <n v="0"/>
    <n v="0"/>
    <n v="0"/>
    <n v="0"/>
    <n v="0"/>
    <n v="0"/>
    <n v="0"/>
  </r>
  <r>
    <d v="2014-07-03T00:00:00"/>
    <n v="2014"/>
    <x v="17"/>
    <s v="R"/>
    <s v="RS"/>
    <x v="5"/>
    <s v="TUL"/>
    <s v="H"/>
    <n v="1"/>
    <n v="1"/>
    <n v="0"/>
    <n v="0"/>
    <n v="0"/>
    <n v="0"/>
    <n v="1456.6616091885351"/>
    <n v="1442.4505565990319"/>
    <n v="0.63768912002304323"/>
    <n v="83"/>
    <n v="96"/>
    <n v="0"/>
    <n v="-13"/>
    <n v="0"/>
    <n v="0.46651898413285625"/>
    <n v="1"/>
    <n v="73.3"/>
    <n v="73.3"/>
    <n v="-21.806316098137653"/>
    <n v="1434.8552930903975"/>
    <n v="0"/>
    <n v="1"/>
    <n v="0"/>
    <n v="0"/>
    <n v="0"/>
    <n v="0"/>
    <n v="0"/>
    <n v="0"/>
    <n v="0"/>
    <n v="0"/>
  </r>
  <r>
    <d v="2014-07-03T00:00:00"/>
    <n v="2014"/>
    <x v="17"/>
    <s v="R"/>
    <s v="RS"/>
    <x v="0"/>
    <s v="MIN"/>
    <s v="A"/>
    <n v="1"/>
    <n v="3"/>
    <n v="-2"/>
    <n v="2"/>
    <n v="-16"/>
    <n v="16"/>
    <n v="1496.4358340809583"/>
    <n v="1642.6729113773372"/>
    <n v="0.18100431232065337"/>
    <n v="84"/>
    <n v="91"/>
    <n v="0"/>
    <n v="-7"/>
    <n v="0"/>
    <n v="0.32990371047907746"/>
    <n v="1"/>
    <n v="73.3"/>
    <n v="73.3"/>
    <n v="-4.3770357783268947"/>
    <n v="1492.0587983026314"/>
    <n v="0"/>
    <n v="1"/>
    <n v="0"/>
    <n v="0"/>
    <n v="0"/>
    <n v="0"/>
    <n v="0"/>
    <n v="0"/>
    <n v="0"/>
    <n v="0"/>
  </r>
  <r>
    <d v="2014-07-03T00:00:00"/>
    <n v="2014"/>
    <x v="17"/>
    <s v="R"/>
    <s v="RS"/>
    <x v="8"/>
    <s v="SAS"/>
    <s v="H"/>
    <n v="3"/>
    <n v="1"/>
    <n v="2"/>
    <n v="-2"/>
    <n v="16"/>
    <n v="-16"/>
    <n v="1642.6729113773372"/>
    <n v="1496.4358340809583"/>
    <n v="0.81899568767934672"/>
    <n v="91"/>
    <n v="84"/>
    <n v="0"/>
    <n v="7"/>
    <n v="1"/>
    <n v="0.32990371047907746"/>
    <n v="1"/>
    <n v="73.3"/>
    <n v="73.3"/>
    <n v="4.3770357783268929"/>
    <n v="1647.0499471556641"/>
    <n v="1"/>
    <n v="0"/>
    <n v="0"/>
    <n v="0"/>
    <n v="0"/>
    <n v="0"/>
    <n v="0"/>
    <n v="0"/>
    <n v="0"/>
    <n v="0"/>
  </r>
  <r>
    <d v="2014-07-03T00:00:00"/>
    <n v="2014"/>
    <x v="15"/>
    <s v="R"/>
    <s v="RS"/>
    <x v="6"/>
    <s v="SEA"/>
    <s v="A"/>
    <n v="1"/>
    <n v="3"/>
    <n v="-2"/>
    <n v="2"/>
    <n v="-16"/>
    <n v="16"/>
    <n v="1502.3663983126669"/>
    <n v="1471.4397330282432"/>
    <n v="0.37995918185299932"/>
    <n v="70"/>
    <n v="56"/>
    <n v="0"/>
    <n v="14"/>
    <n v="1"/>
    <n v="0.47535709538449128"/>
    <n v="1"/>
    <n v="73.599999999999994"/>
    <n v="73.599999999999994"/>
    <n v="21.692923051795781"/>
    <n v="1524.0593213644627"/>
    <n v="1"/>
    <n v="0"/>
    <n v="0"/>
    <n v="0"/>
    <n v="0"/>
    <n v="0"/>
    <n v="0"/>
    <n v="0"/>
    <n v="0"/>
    <n v="0"/>
  </r>
  <r>
    <d v="2014-07-03T00:00:00"/>
    <n v="2014"/>
    <x v="18"/>
    <s v="R"/>
    <s v="RS"/>
    <x v="7"/>
    <s v="LAS"/>
    <s v="H"/>
    <n v="3"/>
    <n v="1"/>
    <n v="2"/>
    <n v="-2"/>
    <n v="16"/>
    <n v="-16"/>
    <n v="1471.4397330282432"/>
    <n v="1502.3663983126669"/>
    <n v="0.62004081814700063"/>
    <n v="56"/>
    <n v="70"/>
    <n v="0"/>
    <n v="-14"/>
    <n v="0"/>
    <n v="0.47535709538449128"/>
    <n v="1"/>
    <n v="73.150000000000006"/>
    <n v="73.150000000000006"/>
    <n v="-21.5602896907454"/>
    <n v="1449.8794433374978"/>
    <n v="0"/>
    <n v="1"/>
    <n v="0"/>
    <n v="0"/>
    <n v="0"/>
    <n v="0"/>
    <n v="0"/>
    <n v="0"/>
    <n v="0"/>
    <n v="0"/>
  </r>
  <r>
    <d v="2014-07-05T00:00:00"/>
    <n v="2014"/>
    <x v="18"/>
    <s v="R"/>
    <s v="RS"/>
    <x v="9"/>
    <s v="ATL"/>
    <s v="A"/>
    <n v="2"/>
    <n v="3"/>
    <n v="-1"/>
    <n v="1"/>
    <n v="-8"/>
    <n v="8"/>
    <n v="1438.9551548249688"/>
    <n v="1553.0881032586872"/>
    <n v="0.22571824089111928"/>
    <n v="73"/>
    <n v="86"/>
    <n v="0"/>
    <n v="-13"/>
    <n v="0"/>
    <n v="0.43104657519779971"/>
    <n v="1"/>
    <n v="73.150000000000006"/>
    <n v="73.150000000000006"/>
    <n v="-7.1171347139969594"/>
    <n v="1431.8380201109719"/>
    <n v="0"/>
    <n v="1"/>
    <n v="0"/>
    <n v="0"/>
    <n v="0"/>
    <n v="0"/>
    <n v="0"/>
    <n v="0"/>
    <n v="0"/>
    <n v="0"/>
  </r>
  <r>
    <d v="2014-07-05T00:00:00"/>
    <n v="2014"/>
    <x v="16"/>
    <s v="R"/>
    <s v="RS"/>
    <x v="1"/>
    <s v="WAS"/>
    <s v="H"/>
    <n v="3"/>
    <n v="2"/>
    <n v="1"/>
    <n v="-1"/>
    <n v="8"/>
    <n v="-8"/>
    <n v="1553.0881032586872"/>
    <n v="1438.9551548249688"/>
    <n v="0.77428175910888075"/>
    <n v="86"/>
    <n v="73"/>
    <n v="0"/>
    <n v="13"/>
    <n v="1"/>
    <n v="0.43104657519779971"/>
    <n v="1"/>
    <n v="73.45"/>
    <n v="73.45"/>
    <n v="7.1463232364056957"/>
    <n v="1560.234426495093"/>
    <n v="1"/>
    <n v="0"/>
    <n v="0"/>
    <n v="0"/>
    <n v="0"/>
    <n v="0"/>
    <n v="0"/>
    <n v="0"/>
    <n v="0"/>
    <n v="0"/>
  </r>
  <r>
    <d v="2014-07-05T00:00:00"/>
    <n v="2014"/>
    <x v="18"/>
    <s v="R"/>
    <s v="RS"/>
    <x v="0"/>
    <s v="IND"/>
    <s v="A"/>
    <n v="1"/>
    <n v="2"/>
    <n v="-1"/>
    <n v="1"/>
    <n v="-8"/>
    <n v="8"/>
    <n v="1492.0587983026314"/>
    <n v="1494.6249012017245"/>
    <n v="0.35653896315502076"/>
    <n v="71"/>
    <n v="70"/>
    <n v="0"/>
    <n v="1"/>
    <n v="1"/>
    <n v="0.24365862670830576"/>
    <n v="1"/>
    <n v="73.150000000000006"/>
    <n v="73.150000000000006"/>
    <n v="11.468810503077057"/>
    <n v="1503.5276088057085"/>
    <n v="1"/>
    <n v="0"/>
    <n v="0"/>
    <n v="0"/>
    <n v="0"/>
    <n v="0"/>
    <n v="0"/>
    <n v="0"/>
    <n v="0"/>
    <n v="0"/>
  </r>
  <r>
    <d v="2014-07-05T00:00:00"/>
    <n v="2014"/>
    <x v="17"/>
    <s v="R"/>
    <s v="RS"/>
    <x v="2"/>
    <s v="SAS"/>
    <s v="H"/>
    <n v="2"/>
    <n v="1"/>
    <n v="1"/>
    <n v="-1"/>
    <n v="8"/>
    <n v="-8"/>
    <n v="1494.6249012017245"/>
    <n v="1492.0587983026314"/>
    <n v="0.64346103684497924"/>
    <n v="70"/>
    <n v="71"/>
    <n v="0"/>
    <n v="-1"/>
    <n v="0"/>
    <n v="0.24365862670830576"/>
    <n v="1"/>
    <n v="73.3"/>
    <n v="73.3"/>
    <n v="-11.492328227963748"/>
    <n v="1483.1325729737607"/>
    <n v="0"/>
    <n v="1"/>
    <n v="0"/>
    <n v="0"/>
    <n v="0"/>
    <n v="0"/>
    <n v="0"/>
    <n v="0"/>
    <n v="0"/>
    <n v="0"/>
  </r>
  <r>
    <d v="2014-07-05T00:00:00"/>
    <n v="2014"/>
    <x v="17"/>
    <s v="R"/>
    <s v="RS"/>
    <x v="3"/>
    <s v="SEA"/>
    <s v="A"/>
    <n v="2"/>
    <n v="1"/>
    <n v="1"/>
    <n v="-1"/>
    <n v="8"/>
    <n v="-8"/>
    <n v="1482.3203990703075"/>
    <n v="1449.8794433374978"/>
    <n v="0.4490043562757135"/>
    <n v="73"/>
    <n v="80"/>
    <n v="0"/>
    <n v="-7"/>
    <n v="0"/>
    <n v="0.36036501782797781"/>
    <n v="1"/>
    <n v="73.3"/>
    <n v="73.3"/>
    <n v="-11.860340427208255"/>
    <n v="1470.4600586430993"/>
    <n v="0"/>
    <n v="1"/>
    <n v="0"/>
    <n v="0"/>
    <n v="0"/>
    <n v="0"/>
    <n v="0"/>
    <n v="0"/>
    <n v="0"/>
    <n v="0"/>
  </r>
  <r>
    <d v="2014-07-05T00:00:00"/>
    <n v="2014"/>
    <x v="19"/>
    <s v="R"/>
    <s v="RS"/>
    <x v="7"/>
    <s v="CHI"/>
    <s v="H"/>
    <n v="1"/>
    <n v="2"/>
    <n v="-1"/>
    <n v="1"/>
    <n v="-8"/>
    <n v="8"/>
    <n v="1449.8794433374978"/>
    <n v="1482.3203990703075"/>
    <n v="0.55099564372428655"/>
    <n v="80"/>
    <n v="73"/>
    <n v="0"/>
    <n v="7"/>
    <n v="1"/>
    <n v="0.36036501782797781"/>
    <n v="1"/>
    <n v="73"/>
    <n v="73"/>
    <n v="11.811798788352014"/>
    <n v="1461.6912421258498"/>
    <n v="1"/>
    <n v="0"/>
    <n v="0"/>
    <n v="0"/>
    <n v="0"/>
    <n v="0"/>
    <n v="0"/>
    <n v="0"/>
    <n v="0"/>
    <n v="0"/>
  </r>
  <r>
    <d v="2014-07-05T00:00:00"/>
    <n v="2014"/>
    <x v="18"/>
    <s v="R"/>
    <s v="RS"/>
    <x v="5"/>
    <s v="TUL"/>
    <s v="A"/>
    <n v="1"/>
    <n v="1"/>
    <n v="0"/>
    <n v="0"/>
    <n v="0"/>
    <n v="0"/>
    <n v="1434.8552930903975"/>
    <n v="1464.3014968092393"/>
    <n v="0.34230281659825074"/>
    <n v="78"/>
    <n v="76"/>
    <n v="0"/>
    <n v="2"/>
    <n v="1"/>
    <n v="0.2614263104797922"/>
    <n v="1"/>
    <n v="73.150000000000006"/>
    <n v="73.150000000000006"/>
    <n v="12.5773633112964"/>
    <n v="1447.432656401694"/>
    <n v="1"/>
    <n v="0"/>
    <n v="0"/>
    <n v="0"/>
    <n v="0"/>
    <n v="0"/>
    <n v="0"/>
    <n v="0"/>
    <n v="0"/>
    <n v="0"/>
  </r>
  <r>
    <d v="2014-07-05T00:00:00"/>
    <n v="2014"/>
    <x v="17"/>
    <s v="R"/>
    <s v="RS"/>
    <x v="11"/>
    <s v="CON"/>
    <s v="H"/>
    <n v="1"/>
    <n v="1"/>
    <n v="0"/>
    <n v="0"/>
    <n v="0"/>
    <n v="0"/>
    <n v="1464.3014968092393"/>
    <n v="1434.8552930903975"/>
    <n v="0.65769718340174932"/>
    <n v="76"/>
    <n v="78"/>
    <n v="0"/>
    <n v="-2"/>
    <n v="0"/>
    <n v="0.2614263104797922"/>
    <n v="1"/>
    <n v="73.3"/>
    <n v="73.3"/>
    <n v="-12.603154213506851"/>
    <n v="1451.6983425957326"/>
    <n v="0"/>
    <n v="1"/>
    <n v="0"/>
    <n v="0"/>
    <n v="0"/>
    <n v="0"/>
    <n v="0"/>
    <n v="0"/>
    <n v="0"/>
    <n v="0"/>
  </r>
  <r>
    <d v="2014-07-06T00:00:00"/>
    <n v="2014"/>
    <x v="15"/>
    <s v="R"/>
    <s v="RS"/>
    <x v="10"/>
    <s v="LAS"/>
    <s v="A"/>
    <n v="3"/>
    <n v="2"/>
    <n v="1"/>
    <n v="-1"/>
    <n v="8"/>
    <n v="-8"/>
    <n v="1613.9645619163653"/>
    <n v="1524.0593213644627"/>
    <n v="0.53148247100570079"/>
    <n v="94"/>
    <n v="89"/>
    <n v="0"/>
    <n v="5"/>
    <n v="1"/>
    <n v="0.30863288095733449"/>
    <n v="1"/>
    <n v="73.599999999999994"/>
    <n v="73.599999999999994"/>
    <n v="10.642553725785623"/>
    <n v="1624.6071156421508"/>
    <n v="1"/>
    <n v="0"/>
    <n v="0"/>
    <n v="0"/>
    <n v="0"/>
    <n v="0"/>
    <n v="0"/>
    <n v="0"/>
    <n v="0"/>
    <n v="0"/>
  </r>
  <r>
    <d v="2014-07-06T00:00:00"/>
    <n v="2014"/>
    <x v="16"/>
    <s v="R"/>
    <s v="RS"/>
    <x v="6"/>
    <s v="PHX"/>
    <s v="H"/>
    <n v="2"/>
    <n v="3"/>
    <n v="-1"/>
    <n v="1"/>
    <n v="-8"/>
    <n v="8"/>
    <n v="1524.0593213644627"/>
    <n v="1613.9645619163653"/>
    <n v="0.46851752899429916"/>
    <n v="89"/>
    <n v="94"/>
    <n v="0"/>
    <n v="-5"/>
    <n v="0"/>
    <n v="0.30863288095733449"/>
    <n v="1"/>
    <n v="73.45"/>
    <n v="73.45"/>
    <n v="-10.620863738572746"/>
    <n v="1513.4384576258899"/>
    <n v="0"/>
    <n v="1"/>
    <n v="0"/>
    <n v="0"/>
    <n v="0"/>
    <n v="0"/>
    <n v="0"/>
    <n v="0"/>
    <n v="0"/>
    <n v="0"/>
  </r>
  <r>
    <d v="2014-07-06T00:00:00"/>
    <n v="2014"/>
    <x v="18"/>
    <s v="R"/>
    <s v="RS"/>
    <x v="8"/>
    <s v="NYL"/>
    <s v="A"/>
    <n v="2"/>
    <n v="4"/>
    <n v="-2"/>
    <n v="2"/>
    <n v="-16"/>
    <n v="16"/>
    <n v="1647.0499471556641"/>
    <n v="1406.7431320377173"/>
    <n v="0.67163021533039857"/>
    <n v="80"/>
    <n v="87"/>
    <n v="0"/>
    <n v="-7"/>
    <n v="0"/>
    <n v="0.30835694334211305"/>
    <n v="1"/>
    <n v="73.150000000000006"/>
    <n v="73.150000000000006"/>
    <n v="-15.149499614688867"/>
    <n v="1631.9004475409752"/>
    <n v="0"/>
    <n v="1"/>
    <n v="0"/>
    <n v="0"/>
    <n v="0"/>
    <n v="0"/>
    <n v="0"/>
    <n v="0"/>
    <n v="0"/>
    <n v="0"/>
  </r>
  <r>
    <d v="2014-07-06T00:00:00"/>
    <n v="2014"/>
    <x v="17"/>
    <s v="R"/>
    <s v="RS"/>
    <x v="4"/>
    <s v="MIN"/>
    <s v="H"/>
    <n v="4"/>
    <n v="2"/>
    <n v="2"/>
    <n v="-2"/>
    <n v="16"/>
    <n v="-16"/>
    <n v="1406.7431320377173"/>
    <n v="1647.0499471556641"/>
    <n v="0.32836978466960137"/>
    <n v="87"/>
    <n v="80"/>
    <n v="0"/>
    <n v="7"/>
    <n v="1"/>
    <n v="0.30835694334211305"/>
    <n v="1"/>
    <n v="73.3"/>
    <n v="73.3"/>
    <n v="15.18056489072719"/>
    <n v="1421.9236969284445"/>
    <n v="1"/>
    <n v="0"/>
    <n v="0"/>
    <n v="0"/>
    <n v="0"/>
    <n v="0"/>
    <n v="0"/>
    <n v="0"/>
    <n v="0"/>
    <n v="0"/>
  </r>
  <r>
    <d v="2014-07-08T00:00:00"/>
    <n v="2014"/>
    <x v="19"/>
    <s v="R"/>
    <s v="RS"/>
    <x v="5"/>
    <s v="ATL"/>
    <s v="A"/>
    <n v="2"/>
    <n v="2"/>
    <n v="0"/>
    <n v="0"/>
    <n v="0"/>
    <n v="0"/>
    <n v="1447.432656401694"/>
    <n v="1560.234426495093"/>
    <n v="0.24362962007256472"/>
    <n v="71"/>
    <n v="83"/>
    <n v="0"/>
    <n v="-12"/>
    <n v="0"/>
    <n v="0.41693677153779846"/>
    <n v="1"/>
    <n v="73"/>
    <n v="73"/>
    <n v="-7.4152047488145953"/>
    <n v="1440.0174516528793"/>
    <n v="0"/>
    <n v="1"/>
    <n v="0"/>
    <n v="0"/>
    <n v="0"/>
    <n v="0"/>
    <n v="0"/>
    <n v="0"/>
    <n v="0"/>
    <n v="0"/>
  </r>
  <r>
    <d v="2014-07-08T00:00:00"/>
    <n v="2014"/>
    <x v="17"/>
    <s v="R"/>
    <s v="RS"/>
    <x v="1"/>
    <s v="CON"/>
    <s v="H"/>
    <n v="2"/>
    <n v="2"/>
    <n v="0"/>
    <n v="0"/>
    <n v="0"/>
    <n v="0"/>
    <n v="1560.234426495093"/>
    <n v="1447.432656401694"/>
    <n v="0.75637037992743528"/>
    <n v="83"/>
    <n v="71"/>
    <n v="0"/>
    <n v="12"/>
    <n v="1"/>
    <n v="0.41693677153779846"/>
    <n v="1"/>
    <n v="73.3"/>
    <n v="73.3"/>
    <n v="7.4456781929878053"/>
    <n v="1567.6801046880807"/>
    <n v="1"/>
    <n v="0"/>
    <n v="0"/>
    <n v="0"/>
    <n v="0"/>
    <n v="0"/>
    <n v="0"/>
    <n v="0"/>
    <n v="0"/>
    <n v="0"/>
  </r>
  <r>
    <d v="2014-07-08T00:00:00"/>
    <n v="2014"/>
    <x v="17"/>
    <s v="R"/>
    <s v="RS"/>
    <x v="6"/>
    <s v="MIN"/>
    <s v="A"/>
    <n v="1"/>
    <n v="1"/>
    <n v="0"/>
    <n v="0"/>
    <n v="0"/>
    <n v="0"/>
    <n v="1513.4384576258899"/>
    <n v="1631.9004475409752"/>
    <n v="0.23767570300222576"/>
    <n v="72"/>
    <n v="83"/>
    <n v="0"/>
    <n v="-11"/>
    <n v="0"/>
    <n v="0.40031731543747462"/>
    <n v="1"/>
    <n v="73.3"/>
    <n v="73.3"/>
    <n v="-6.9741797638624545"/>
    <n v="1506.4642778620275"/>
    <n v="0"/>
    <n v="1"/>
    <n v="0"/>
    <n v="0"/>
    <n v="0"/>
    <n v="0"/>
    <n v="0"/>
    <n v="0"/>
    <n v="0"/>
    <n v="0"/>
  </r>
  <r>
    <d v="2014-07-08T00:00:00"/>
    <n v="2014"/>
    <x v="19"/>
    <s v="R"/>
    <s v="RS"/>
    <x v="8"/>
    <s v="LAS"/>
    <s v="H"/>
    <n v="1"/>
    <n v="1"/>
    <n v="0"/>
    <n v="0"/>
    <n v="0"/>
    <n v="0"/>
    <n v="1631.9004475409752"/>
    <n v="1513.4384576258899"/>
    <n v="0.76232429699777426"/>
    <n v="83"/>
    <n v="72"/>
    <n v="0"/>
    <n v="11"/>
    <n v="1"/>
    <n v="0.40031731543747462"/>
    <n v="1"/>
    <n v="73"/>
    <n v="73"/>
    <n v="6.9456360540512847"/>
    <n v="1638.8460835950264"/>
    <n v="1"/>
    <n v="0"/>
    <n v="0"/>
    <n v="0"/>
    <n v="0"/>
    <n v="0"/>
    <n v="0"/>
    <n v="0"/>
    <n v="0"/>
    <n v="0"/>
  </r>
  <r>
    <d v="2014-07-08T00:00:00"/>
    <n v="2014"/>
    <x v="18"/>
    <s v="R"/>
    <s v="RS"/>
    <x v="2"/>
    <s v="TUL"/>
    <s v="A"/>
    <n v="2"/>
    <n v="2"/>
    <n v="0"/>
    <n v="0"/>
    <n v="0"/>
    <n v="0"/>
    <n v="1483.1325729737607"/>
    <n v="1451.6983425957326"/>
    <n v="0.42492375141840155"/>
    <n v="78"/>
    <n v="76"/>
    <n v="0"/>
    <n v="2"/>
    <n v="1"/>
    <n v="0.26100426400599314"/>
    <n v="1"/>
    <n v="73.150000000000006"/>
    <n v="73.150000000000006"/>
    <n v="10.979621372562095"/>
    <n v="1494.1121943463229"/>
    <n v="1"/>
    <n v="0"/>
    <n v="0"/>
    <n v="0"/>
    <n v="0"/>
    <n v="0"/>
    <n v="0"/>
    <n v="0"/>
    <n v="0"/>
    <n v="0"/>
  </r>
  <r>
    <d v="2014-07-08T00:00:00"/>
    <n v="2014"/>
    <x v="18"/>
    <s v="R"/>
    <s v="RS"/>
    <x v="11"/>
    <s v="IND"/>
    <s v="H"/>
    <n v="2"/>
    <n v="2"/>
    <n v="0"/>
    <n v="0"/>
    <n v="0"/>
    <n v="0"/>
    <n v="1451.6983425957326"/>
    <n v="1483.1325729737607"/>
    <n v="0.57507624858159845"/>
    <n v="76"/>
    <n v="78"/>
    <n v="0"/>
    <n v="-2"/>
    <n v="0"/>
    <n v="0.26100426400599314"/>
    <n v="1"/>
    <n v="73.150000000000006"/>
    <n v="73.150000000000006"/>
    <n v="-10.979621372562095"/>
    <n v="1440.7187212231704"/>
    <n v="0"/>
    <n v="1"/>
    <n v="0"/>
    <n v="0"/>
    <n v="0"/>
    <n v="0"/>
    <n v="0"/>
    <n v="0"/>
    <n v="0"/>
    <n v="0"/>
  </r>
  <r>
    <d v="2014-07-09T00:00:00"/>
    <n v="2014"/>
    <x v="19"/>
    <s v="R"/>
    <s v="RS"/>
    <x v="9"/>
    <s v="CHI"/>
    <s v="A"/>
    <n v="3"/>
    <n v="3"/>
    <n v="0"/>
    <n v="0"/>
    <n v="0"/>
    <n v="0"/>
    <n v="1431.8380201109719"/>
    <n v="1470.4600586430993"/>
    <n v="0.33051223873223357"/>
    <n v="72"/>
    <n v="65"/>
    <n v="0"/>
    <n v="7"/>
    <n v="1"/>
    <n v="0.35856669199178326"/>
    <n v="1"/>
    <n v="73"/>
    <n v="73"/>
    <n v="17.524088867734044"/>
    <n v="1449.3621089787059"/>
    <n v="1"/>
    <n v="0"/>
    <n v="0"/>
    <n v="0"/>
    <n v="0"/>
    <n v="0"/>
    <n v="0"/>
    <n v="0"/>
    <n v="0"/>
    <n v="0"/>
  </r>
  <r>
    <d v="2014-07-09T00:00:00"/>
    <n v="2014"/>
    <x v="18"/>
    <s v="R"/>
    <s v="RS"/>
    <x v="3"/>
    <s v="WAS"/>
    <s v="H"/>
    <n v="3"/>
    <n v="3"/>
    <n v="0"/>
    <n v="0"/>
    <n v="0"/>
    <n v="0"/>
    <n v="1470.4600586430993"/>
    <n v="1431.8380201109719"/>
    <n v="0.66948776126776643"/>
    <n v="65"/>
    <n v="72"/>
    <n v="0"/>
    <n v="-7"/>
    <n v="0"/>
    <n v="0.35856669199178326"/>
    <n v="1"/>
    <n v="73.150000000000006"/>
    <n v="73.150000000000006"/>
    <n v="-17.560097269517062"/>
    <n v="1452.8999613735823"/>
    <n v="0"/>
    <n v="1"/>
    <n v="0"/>
    <n v="0"/>
    <n v="0"/>
    <n v="0"/>
    <n v="0"/>
    <n v="0"/>
    <n v="0"/>
    <n v="0"/>
  </r>
  <r>
    <d v="2014-07-09T00:00:00"/>
    <n v="2014"/>
    <x v="20"/>
    <s v="R"/>
    <s v="RS"/>
    <x v="7"/>
    <s v="PHX"/>
    <s v="A"/>
    <n v="3"/>
    <n v="2"/>
    <n v="1"/>
    <n v="-1"/>
    <n v="8"/>
    <n v="-8"/>
    <n v="1461.6912421258498"/>
    <n v="1624.6071156421508"/>
    <n v="0.20928202456145323"/>
    <n v="58"/>
    <n v="78"/>
    <n v="0"/>
    <n v="-20"/>
    <n v="0"/>
    <n v="0.50616831466696999"/>
    <n v="1"/>
    <n v="72.849999999999994"/>
    <n v="72.849999999999994"/>
    <n v="-7.7171410759030854"/>
    <n v="1453.9741010499467"/>
    <n v="0"/>
    <n v="1"/>
    <n v="0"/>
    <n v="0"/>
    <n v="0"/>
    <n v="0"/>
    <n v="0"/>
    <n v="0"/>
    <n v="0"/>
    <n v="0"/>
  </r>
  <r>
    <d v="2014-07-09T00:00:00"/>
    <n v="2014"/>
    <x v="16"/>
    <s v="R"/>
    <s v="RS"/>
    <x v="10"/>
    <s v="SEA"/>
    <s v="H"/>
    <n v="2"/>
    <n v="3"/>
    <n v="-1"/>
    <n v="1"/>
    <n v="-8"/>
    <n v="8"/>
    <n v="1624.6071156421508"/>
    <n v="1461.6912421258498"/>
    <n v="0.79071797543854672"/>
    <n v="78"/>
    <n v="58"/>
    <n v="0"/>
    <n v="20"/>
    <n v="1"/>
    <n v="0.50616831466696999"/>
    <n v="1"/>
    <n v="73.45"/>
    <n v="73.45"/>
    <n v="7.7807002337005065"/>
    <n v="1632.3878158758514"/>
    <n v="1"/>
    <n v="0"/>
    <n v="0"/>
    <n v="0"/>
    <n v="0"/>
    <n v="0"/>
    <n v="0"/>
    <n v="0"/>
    <n v="0"/>
    <n v="0"/>
  </r>
  <r>
    <d v="2014-07-09T00:00:00"/>
    <n v="2014"/>
    <x v="18"/>
    <s v="R"/>
    <s v="RS"/>
    <x v="4"/>
    <s v="SAS"/>
    <s v="A"/>
    <n v="2"/>
    <n v="3"/>
    <n v="-1"/>
    <n v="1"/>
    <n v="-8"/>
    <n v="8"/>
    <n v="1421.9236969284445"/>
    <n v="1503.5276088057085"/>
    <n v="0.2601101457326836"/>
    <n v="66"/>
    <n v="80"/>
    <n v="0"/>
    <n v="-14"/>
    <n v="0"/>
    <n v="0.45656050111756991"/>
    <n v="1"/>
    <n v="73.150000000000006"/>
    <n v="73.150000000000006"/>
    <n v="-8.6870027519201276"/>
    <n v="1413.2366941765245"/>
    <n v="0"/>
    <n v="1"/>
    <n v="0"/>
    <n v="0"/>
    <n v="0"/>
    <n v="0"/>
    <n v="0"/>
    <n v="0"/>
    <n v="0"/>
    <n v="0"/>
  </r>
  <r>
    <d v="2014-07-09T00:00:00"/>
    <n v="2014"/>
    <x v="19"/>
    <s v="R"/>
    <s v="RS"/>
    <x v="0"/>
    <s v="NYL"/>
    <s v="H"/>
    <n v="3"/>
    <n v="2"/>
    <n v="1"/>
    <n v="-1"/>
    <n v="8"/>
    <n v="-8"/>
    <n v="1503.5276088057085"/>
    <n v="1421.9236969284445"/>
    <n v="0.73988985426731646"/>
    <n v="80"/>
    <n v="66"/>
    <n v="0"/>
    <n v="14"/>
    <n v="1"/>
    <n v="0.45656050111756991"/>
    <n v="1"/>
    <n v="73"/>
    <n v="73"/>
    <n v="8.6691893491479046"/>
    <n v="1512.1967981548564"/>
    <n v="1"/>
    <n v="0"/>
    <n v="0"/>
    <n v="0"/>
    <n v="0"/>
    <n v="0"/>
    <n v="0"/>
    <n v="0"/>
    <n v="0"/>
    <n v="0"/>
  </r>
  <r>
    <d v="2014-07-10T00:00:00"/>
    <n v="2014"/>
    <x v="20"/>
    <s v="R"/>
    <s v="RS"/>
    <x v="5"/>
    <s v="IND"/>
    <s v="A"/>
    <n v="1"/>
    <n v="1"/>
    <n v="0"/>
    <n v="0"/>
    <n v="0"/>
    <n v="0"/>
    <n v="1440.0174516528793"/>
    <n v="1494.1121943463229"/>
    <n v="0.31110953263986707"/>
    <n v="68"/>
    <n v="72"/>
    <n v="0"/>
    <n v="-4"/>
    <n v="0"/>
    <n v="0.29799924133483813"/>
    <n v="1"/>
    <n v="72.849999999999994"/>
    <n v="72.849999999999994"/>
    <n v="-6.7539529823014917"/>
    <n v="1433.2634986705777"/>
    <n v="0"/>
    <n v="1"/>
    <n v="0"/>
    <n v="0"/>
    <n v="0"/>
    <n v="0"/>
    <n v="0"/>
    <n v="0"/>
    <n v="0"/>
    <n v="0"/>
  </r>
  <r>
    <d v="2014-07-10T00:00:00"/>
    <n v="2014"/>
    <x v="19"/>
    <s v="R"/>
    <s v="RS"/>
    <x v="2"/>
    <s v="CON"/>
    <s v="H"/>
    <n v="1"/>
    <n v="1"/>
    <n v="0"/>
    <n v="0"/>
    <n v="0"/>
    <n v="0"/>
    <n v="1494.1121943463229"/>
    <n v="1440.0174516528793"/>
    <n v="0.68889046736013282"/>
    <n v="72"/>
    <n v="68"/>
    <n v="0"/>
    <n v="4"/>
    <n v="1"/>
    <n v="0.29799924133483813"/>
    <n v="1"/>
    <n v="73"/>
    <n v="73"/>
    <n v="6.7678595430063027"/>
    <n v="1500.8800538893292"/>
    <n v="1"/>
    <n v="0"/>
    <n v="0"/>
    <n v="0"/>
    <n v="0"/>
    <n v="0"/>
    <n v="0"/>
    <n v="0"/>
    <n v="0"/>
    <n v="0"/>
  </r>
  <r>
    <d v="2014-07-10T00:00:00"/>
    <n v="2014"/>
    <x v="20"/>
    <s v="R"/>
    <s v="RS"/>
    <x v="8"/>
    <s v="TUL"/>
    <s v="A"/>
    <n v="1"/>
    <n v="1"/>
    <n v="0"/>
    <n v="0"/>
    <n v="0"/>
    <n v="0"/>
    <n v="1638.8460835950264"/>
    <n v="1440.7187212231704"/>
    <n v="0.65857939226151141"/>
    <n v="91"/>
    <n v="85"/>
    <n v="0"/>
    <n v="6"/>
    <n v="1"/>
    <n v="0.30150108255808172"/>
    <n v="1"/>
    <n v="72.849999999999994"/>
    <n v="72.849999999999994"/>
    <n v="7.4990830449517318"/>
    <n v="1646.3451666399781"/>
    <n v="1"/>
    <n v="0"/>
    <n v="0"/>
    <n v="0"/>
    <n v="0"/>
    <n v="0"/>
    <n v="0"/>
    <n v="0"/>
    <n v="0"/>
    <n v="0"/>
  </r>
  <r>
    <d v="2014-07-10T00:00:00"/>
    <n v="2014"/>
    <x v="19"/>
    <s v="R"/>
    <s v="RS"/>
    <x v="11"/>
    <s v="MIN"/>
    <s v="H"/>
    <n v="1"/>
    <n v="1"/>
    <n v="0"/>
    <n v="0"/>
    <n v="0"/>
    <n v="0"/>
    <n v="1440.7187212231704"/>
    <n v="1638.8460835950264"/>
    <n v="0.34142060773848859"/>
    <n v="85"/>
    <n v="91"/>
    <n v="0"/>
    <n v="-6"/>
    <n v="0"/>
    <n v="0.30150108255808172"/>
    <n v="1"/>
    <n v="73"/>
    <n v="73"/>
    <n v="-7.514523847377852"/>
    <n v="1433.2041973757925"/>
    <n v="0"/>
    <n v="1"/>
    <n v="0"/>
    <n v="0"/>
    <n v="0"/>
    <n v="0"/>
    <n v="0"/>
    <n v="0"/>
    <n v="0"/>
    <n v="0"/>
  </r>
  <r>
    <d v="2014-07-11T00:00:00"/>
    <n v="2014"/>
    <x v="17"/>
    <s v="R"/>
    <s v="RS"/>
    <x v="10"/>
    <s v="CHI"/>
    <s v="A"/>
    <n v="1"/>
    <n v="1"/>
    <n v="0"/>
    <n v="0"/>
    <n v="0"/>
    <n v="0"/>
    <n v="1632.3878158758514"/>
    <n v="1452.8999613735823"/>
    <n v="0.63405955316059559"/>
    <n v="72"/>
    <n v="66"/>
    <n v="0"/>
    <n v="6"/>
    <n v="1"/>
    <n v="0.3055749363311967"/>
    <n v="1"/>
    <n v="73.3"/>
    <n v="73.3"/>
    <n v="8.1965693669323176"/>
    <n v="1640.5843852427838"/>
    <n v="1"/>
    <n v="0"/>
    <n v="0"/>
    <n v="0"/>
    <n v="0"/>
    <n v="0"/>
    <n v="0"/>
    <n v="0"/>
    <n v="0"/>
    <n v="0"/>
  </r>
  <r>
    <d v="2014-07-11T00:00:00"/>
    <n v="2014"/>
    <x v="19"/>
    <s v="R"/>
    <s v="RS"/>
    <x v="3"/>
    <s v="PHX"/>
    <s v="H"/>
    <n v="1"/>
    <n v="1"/>
    <n v="0"/>
    <n v="0"/>
    <n v="0"/>
    <n v="0"/>
    <n v="1452.8999613735823"/>
    <n v="1632.3878158758514"/>
    <n v="0.36594044683940441"/>
    <n v="66"/>
    <n v="72"/>
    <n v="0"/>
    <n v="-6"/>
    <n v="0"/>
    <n v="0.3055749363311967"/>
    <n v="1"/>
    <n v="73"/>
    <n v="73"/>
    <n v="-8.1630226983091294"/>
    <n v="1444.7369386752732"/>
    <n v="0"/>
    <n v="1"/>
    <n v="0"/>
    <n v="0"/>
    <n v="0"/>
    <n v="0"/>
    <n v="0"/>
    <n v="0"/>
    <n v="0"/>
    <n v="0"/>
  </r>
  <r>
    <d v="2014-07-11T00:00:00"/>
    <n v="2014"/>
    <x v="18"/>
    <s v="R"/>
    <s v="RS"/>
    <x v="6"/>
    <s v="NYL"/>
    <s v="A"/>
    <n v="2"/>
    <n v="1"/>
    <n v="1"/>
    <n v="-1"/>
    <n v="8"/>
    <n v="-8"/>
    <n v="1506.4642778620275"/>
    <n v="1413.2366941765245"/>
    <n v="0.53624174088030951"/>
    <n v="68"/>
    <n v="54"/>
    <n v="0"/>
    <n v="14"/>
    <n v="1"/>
    <n v="0.45245688510091187"/>
    <n v="1"/>
    <n v="73.150000000000006"/>
    <n v="73.150000000000006"/>
    <n v="15.349109659965688"/>
    <n v="1521.8133875219933"/>
    <n v="1"/>
    <n v="0"/>
    <n v="0"/>
    <n v="0"/>
    <n v="0"/>
    <n v="0"/>
    <n v="0"/>
    <n v="0"/>
    <n v="0"/>
    <n v="0"/>
  </r>
  <r>
    <d v="2014-07-11T00:00:00"/>
    <n v="2014"/>
    <x v="19"/>
    <s v="R"/>
    <s v="RS"/>
    <x v="4"/>
    <s v="LAS"/>
    <s v="H"/>
    <n v="1"/>
    <n v="2"/>
    <n v="-1"/>
    <n v="1"/>
    <n v="-8"/>
    <n v="8"/>
    <n v="1413.2366941765245"/>
    <n v="1506.4642778620275"/>
    <n v="0.46375825911969054"/>
    <n v="54"/>
    <n v="68"/>
    <n v="0"/>
    <n v="-14"/>
    <n v="0"/>
    <n v="0.45245688510091187"/>
    <n v="1"/>
    <n v="73"/>
    <n v="73"/>
    <n v="-15.317635067361522"/>
    <n v="1397.9190591091628"/>
    <n v="0"/>
    <n v="1"/>
    <n v="0"/>
    <n v="0"/>
    <n v="0"/>
    <n v="0"/>
    <n v="0"/>
    <n v="0"/>
    <n v="0"/>
    <n v="0"/>
  </r>
  <r>
    <d v="2014-07-11T00:00:00"/>
    <n v="2014"/>
    <x v="21"/>
    <s v="R"/>
    <s v="RS"/>
    <x v="7"/>
    <s v="SAS"/>
    <s v="A"/>
    <n v="1"/>
    <n v="1"/>
    <n v="0"/>
    <n v="0"/>
    <n v="0"/>
    <n v="0"/>
    <n v="1453.9741010499467"/>
    <n v="1512.1967981548564"/>
    <n v="0.30603975661239224"/>
    <n v="88"/>
    <n v="67"/>
    <n v="0"/>
    <n v="21"/>
    <n v="1"/>
    <n v="0.56134065054621607"/>
    <n v="1"/>
    <n v="72.7"/>
    <n v="72.7"/>
    <n v="28.32014646843502"/>
    <n v="1482.2942475183818"/>
    <n v="1"/>
    <n v="0"/>
    <n v="0"/>
    <n v="0"/>
    <n v="0"/>
    <n v="0"/>
    <n v="0"/>
    <n v="0"/>
    <n v="0"/>
    <n v="0"/>
  </r>
  <r>
    <d v="2014-07-11T00:00:00"/>
    <n v="2014"/>
    <x v="20"/>
    <s v="R"/>
    <s v="RS"/>
    <x v="0"/>
    <s v="SEA"/>
    <s v="H"/>
    <n v="1"/>
    <n v="1"/>
    <n v="0"/>
    <n v="0"/>
    <n v="0"/>
    <n v="0"/>
    <n v="1512.1967981548564"/>
    <n v="1453.9741010499467"/>
    <n v="0.69396024338760776"/>
    <n v="67"/>
    <n v="88"/>
    <n v="0"/>
    <n v="-21"/>
    <n v="0"/>
    <n v="0.56134065054621607"/>
    <n v="1"/>
    <n v="72.849999999999994"/>
    <n v="72.849999999999994"/>
    <n v="-28.378578682606477"/>
    <n v="1483.8182194722499"/>
    <n v="0"/>
    <n v="1"/>
    <n v="0"/>
    <n v="0"/>
    <n v="0"/>
    <n v="0"/>
    <n v="0"/>
    <n v="0"/>
    <n v="0"/>
    <n v="0"/>
  </r>
  <r>
    <d v="2014-07-12T00:00:00"/>
    <n v="2014"/>
    <x v="18"/>
    <s v="R"/>
    <s v="RS"/>
    <x v="1"/>
    <s v="IND"/>
    <s v="A"/>
    <n v="3"/>
    <n v="1"/>
    <n v="2"/>
    <n v="-2"/>
    <n v="16"/>
    <n v="-16"/>
    <n v="1567.6801046880807"/>
    <n v="1500.8800538893292"/>
    <n v="0.5212861116050117"/>
    <n v="93"/>
    <n v="74"/>
    <n v="0"/>
    <n v="19"/>
    <n v="1"/>
    <n v="0.53139647953381908"/>
    <n v="1"/>
    <n v="73.150000000000006"/>
    <n v="73.150000000000006"/>
    <n v="18.60839990603365"/>
    <n v="1586.2885045941143"/>
    <n v="1"/>
    <n v="0"/>
    <n v="0"/>
    <n v="0"/>
    <n v="0"/>
    <n v="0"/>
    <n v="0"/>
    <n v="0"/>
    <n v="0"/>
    <n v="0"/>
  </r>
  <r>
    <d v="2014-07-12T00:00:00"/>
    <n v="2014"/>
    <x v="20"/>
    <s v="R"/>
    <s v="RS"/>
    <x v="2"/>
    <s v="ATL"/>
    <s v="H"/>
    <n v="1"/>
    <n v="3"/>
    <n v="-2"/>
    <n v="2"/>
    <n v="-16"/>
    <n v="16"/>
    <n v="1500.8800538893292"/>
    <n v="1567.6801046880807"/>
    <n v="0.4787138883949883"/>
    <n v="74"/>
    <n v="93"/>
    <n v="0"/>
    <n v="-19"/>
    <n v="0"/>
    <n v="0.53139647953381908"/>
    <n v="1"/>
    <n v="72.849999999999994"/>
    <n v="72.849999999999994"/>
    <n v="-18.532083843534533"/>
    <n v="1482.3479700457947"/>
    <n v="0"/>
    <n v="1"/>
    <n v="0"/>
    <n v="0"/>
    <n v="0"/>
    <n v="0"/>
    <n v="0"/>
    <n v="0"/>
    <n v="0"/>
    <n v="0"/>
  </r>
  <r>
    <d v="2014-07-12T00:00:00"/>
    <n v="2014"/>
    <x v="20"/>
    <s v="R"/>
    <s v="RS"/>
    <x v="9"/>
    <s v="TUL"/>
    <s v="A"/>
    <n v="2"/>
    <n v="1"/>
    <n v="1"/>
    <n v="-1"/>
    <n v="8"/>
    <n v="-8"/>
    <n v="1449.3621089787059"/>
    <n v="1433.2041973757925"/>
    <n v="0.4259420488819643"/>
    <n v="91"/>
    <n v="74"/>
    <n v="0"/>
    <n v="17"/>
    <n v="1"/>
    <n v="0.52536802729530185"/>
    <n v="1"/>
    <n v="72.849999999999994"/>
    <n v="72.849999999999994"/>
    <n v="21.970954859240951"/>
    <n v="1471.3330638379468"/>
    <n v="1"/>
    <n v="0"/>
    <n v="0"/>
    <n v="0"/>
    <n v="0"/>
    <n v="0"/>
    <n v="0"/>
    <n v="0"/>
    <n v="0"/>
    <n v="0"/>
  </r>
  <r>
    <d v="2014-07-12T00:00:00"/>
    <n v="2014"/>
    <x v="20"/>
    <s v="R"/>
    <s v="RS"/>
    <x v="11"/>
    <s v="WAS"/>
    <s v="H"/>
    <n v="1"/>
    <n v="2"/>
    <n v="-1"/>
    <n v="1"/>
    <n v="-8"/>
    <n v="8"/>
    <n v="1433.2041973757925"/>
    <n v="1449.3621089787059"/>
    <n v="0.5740579511180357"/>
    <n v="74"/>
    <n v="91"/>
    <n v="0"/>
    <n v="-17"/>
    <n v="0"/>
    <n v="0.52536802729530185"/>
    <n v="1"/>
    <n v="72.849999999999994"/>
    <n v="72.849999999999994"/>
    <n v="-21.970954859240951"/>
    <n v="1411.2332425165516"/>
    <n v="0"/>
    <n v="1"/>
    <n v="0"/>
    <n v="0"/>
    <n v="0"/>
    <n v="0"/>
    <n v="0"/>
    <n v="0"/>
    <n v="0"/>
    <n v="0"/>
  </r>
  <r>
    <d v="2014-07-13T00:00:00"/>
    <n v="2014"/>
    <x v="20"/>
    <s v="R"/>
    <s v="RS"/>
    <x v="3"/>
    <s v="ATL"/>
    <s v="A"/>
    <n v="1"/>
    <n v="0"/>
    <n v="1"/>
    <n v="-1"/>
    <n v="8"/>
    <n v="-8"/>
    <n v="1444.7369386752732"/>
    <n v="1586.2885045941143"/>
    <n v="0.23036067206451727"/>
    <n v="79"/>
    <n v="81"/>
    <n v="1"/>
    <n v="-2"/>
    <n v="0"/>
    <n v="0.21562244331347838"/>
    <n v="1"/>
    <n v="72.849999999999994"/>
    <n v="72.849999999999994"/>
    <n v="-3.6185273199906063"/>
    <n v="1441.1184113552827"/>
    <n v="0"/>
    <n v="1"/>
    <n v="0"/>
    <n v="0"/>
    <n v="0"/>
    <n v="0"/>
    <n v="0"/>
    <n v="0"/>
    <n v="0"/>
    <n v="0"/>
  </r>
  <r>
    <d v="2014-07-13T00:00:00"/>
    <n v="2014"/>
    <x v="19"/>
    <s v="R"/>
    <s v="RS"/>
    <x v="1"/>
    <s v="CHI"/>
    <s v="H"/>
    <n v="0"/>
    <n v="1"/>
    <n v="-1"/>
    <n v="1"/>
    <n v="-8"/>
    <n v="8"/>
    <n v="1586.2885045941143"/>
    <n v="1444.7369386752732"/>
    <n v="0.76963932793548284"/>
    <n v="81"/>
    <n v="79"/>
    <n v="1"/>
    <n v="2"/>
    <n v="1"/>
    <n v="0.21562244331347838"/>
    <n v="1"/>
    <n v="73"/>
    <n v="73"/>
    <n v="3.6259779596336874"/>
    <n v="1589.914482553748"/>
    <n v="1"/>
    <n v="0"/>
    <n v="0"/>
    <n v="0"/>
    <n v="0"/>
    <n v="0"/>
    <n v="0"/>
    <n v="0"/>
    <n v="0"/>
    <n v="0"/>
  </r>
  <r>
    <d v="2014-07-13T00:00:00"/>
    <n v="2014"/>
    <x v="19"/>
    <s v="R"/>
    <s v="RS"/>
    <x v="6"/>
    <s v="CON"/>
    <s v="A"/>
    <n v="1"/>
    <n v="2"/>
    <n v="-1"/>
    <n v="1"/>
    <n v="-8"/>
    <n v="8"/>
    <n v="1521.8133875219933"/>
    <n v="1433.2634986705777"/>
    <n v="0.48352792849345294"/>
    <n v="90"/>
    <n v="64"/>
    <n v="0"/>
    <n v="26"/>
    <n v="1"/>
    <n v="0.60913811984404431"/>
    <n v="1"/>
    <n v="73"/>
    <n v="73"/>
    <n v="22.966006341030351"/>
    <n v="1544.7793938630236"/>
    <n v="1"/>
    <n v="0"/>
    <n v="0"/>
    <n v="0"/>
    <n v="0"/>
    <n v="0"/>
    <n v="0"/>
    <n v="0"/>
    <n v="0"/>
    <n v="0"/>
  </r>
  <r>
    <d v="2014-07-13T00:00:00"/>
    <n v="2014"/>
    <x v="21"/>
    <s v="R"/>
    <s v="RS"/>
    <x v="5"/>
    <s v="LAS"/>
    <s v="H"/>
    <n v="2"/>
    <n v="1"/>
    <n v="1"/>
    <n v="-1"/>
    <n v="8"/>
    <n v="-8"/>
    <n v="1433.2634986705777"/>
    <n v="1521.8133875219933"/>
    <n v="0.51647207150654706"/>
    <n v="64"/>
    <n v="90"/>
    <n v="0"/>
    <n v="-26"/>
    <n v="0"/>
    <n v="0.60913811984404431"/>
    <n v="1"/>
    <n v="72.7"/>
    <n v="72.7"/>
    <n v="-22.871625493053514"/>
    <n v="1410.3918731775243"/>
    <n v="0"/>
    <n v="1"/>
    <n v="0"/>
    <n v="0"/>
    <n v="0"/>
    <n v="0"/>
    <n v="0"/>
    <n v="0"/>
    <n v="0"/>
    <n v="0"/>
  </r>
  <r>
    <d v="2014-07-13T00:00:00"/>
    <n v="2014"/>
    <x v="22"/>
    <s v="R"/>
    <s v="RS"/>
    <x v="7"/>
    <s v="MIN"/>
    <s v="A"/>
    <n v="1"/>
    <n v="2"/>
    <n v="-1"/>
    <n v="1"/>
    <n v="-8"/>
    <n v="8"/>
    <n v="1482.2942475183818"/>
    <n v="1646.3451666399781"/>
    <n v="0.17946162610810304"/>
    <n v="60"/>
    <n v="77"/>
    <n v="0"/>
    <n v="-17"/>
    <n v="0"/>
    <n v="0.46840662173362774"/>
    <n v="1"/>
    <n v="72.55"/>
    <n v="72.55"/>
    <n v="-6.0986265668695019"/>
    <n v="1476.1956209515122"/>
    <n v="0"/>
    <n v="1"/>
    <n v="0"/>
    <n v="0"/>
    <n v="0"/>
    <n v="0"/>
    <n v="0"/>
    <n v="0"/>
    <n v="0"/>
    <n v="0"/>
  </r>
  <r>
    <d v="2014-07-13T00:00:00"/>
    <n v="2014"/>
    <x v="21"/>
    <s v="R"/>
    <s v="RS"/>
    <x v="8"/>
    <s v="SEA"/>
    <s v="H"/>
    <n v="2"/>
    <n v="1"/>
    <n v="1"/>
    <n v="-1"/>
    <n v="8"/>
    <n v="-8"/>
    <n v="1646.3451666399781"/>
    <n v="1482.2942475183818"/>
    <n v="0.82053837389189699"/>
    <n v="77"/>
    <n v="60"/>
    <n v="0"/>
    <n v="17"/>
    <n v="1"/>
    <n v="0.46840662173362774"/>
    <n v="1"/>
    <n v="72.7"/>
    <n v="72.7"/>
    <n v="6.11123571897192"/>
    <n v="1652.4564023589501"/>
    <n v="1"/>
    <n v="0"/>
    <n v="0"/>
    <n v="0"/>
    <n v="0"/>
    <n v="0"/>
    <n v="0"/>
    <n v="0"/>
    <n v="0"/>
    <n v="0"/>
  </r>
  <r>
    <d v="2014-07-13T00:00:00"/>
    <n v="2014"/>
    <x v="21"/>
    <s v="R"/>
    <s v="RS"/>
    <x v="0"/>
    <s v="PHX"/>
    <s v="A"/>
    <n v="1"/>
    <n v="1"/>
    <n v="0"/>
    <n v="0"/>
    <n v="0"/>
    <n v="0"/>
    <n v="1483.8182194722499"/>
    <n v="1640.5843852427838"/>
    <n v="0.20005326941849141"/>
    <n v="61"/>
    <n v="90"/>
    <n v="0"/>
    <n v="-29"/>
    <n v="0"/>
    <n v="0.61148012453712897"/>
    <n v="1"/>
    <n v="72.7"/>
    <n v="72.7"/>
    <n v="-8.8932890817303392"/>
    <n v="1474.9249303905196"/>
    <n v="0"/>
    <n v="1"/>
    <n v="0"/>
    <n v="0"/>
    <n v="0"/>
    <n v="0"/>
    <n v="0"/>
    <n v="0"/>
    <n v="0"/>
    <n v="0"/>
  </r>
  <r>
    <d v="2014-07-13T00:00:00"/>
    <n v="2014"/>
    <x v="18"/>
    <s v="R"/>
    <s v="RS"/>
    <x v="10"/>
    <s v="SAS"/>
    <s v="H"/>
    <n v="1"/>
    <n v="1"/>
    <n v="0"/>
    <n v="0"/>
    <n v="0"/>
    <n v="0"/>
    <n v="1640.5843852427838"/>
    <n v="1483.8182194722499"/>
    <n v="0.79994673058150867"/>
    <n v="90"/>
    <n v="61"/>
    <n v="0"/>
    <n v="29"/>
    <n v="1"/>
    <n v="0.61148012453712897"/>
    <n v="1"/>
    <n v="73.150000000000006"/>
    <n v="73.150000000000006"/>
    <n v="8.9483369508744719"/>
    <n v="1649.5327221936582"/>
    <n v="1"/>
    <n v="0"/>
    <n v="0"/>
    <n v="0"/>
    <n v="0"/>
    <n v="0"/>
    <n v="0"/>
    <n v="0"/>
    <n v="0"/>
    <n v="0"/>
  </r>
  <r>
    <d v="2014-07-15T00:00:00"/>
    <n v="2014"/>
    <x v="20"/>
    <s v="R"/>
    <s v="RS"/>
    <x v="6"/>
    <s v="IND"/>
    <s v="A"/>
    <n v="1"/>
    <n v="2"/>
    <n v="-1"/>
    <n v="1"/>
    <n v="-8"/>
    <n v="8"/>
    <n v="1544.7793938630236"/>
    <n v="1482.3479700457947"/>
    <n v="0.4461442091919478"/>
    <n v="86"/>
    <n v="78"/>
    <n v="0"/>
    <n v="8"/>
    <n v="1"/>
    <n v="0.3691120430087374"/>
    <n v="1"/>
    <n v="72.849999999999994"/>
    <n v="72.849999999999994"/>
    <n v="14.893078274477132"/>
    <n v="1559.6724721375008"/>
    <n v="1"/>
    <n v="0"/>
    <n v="0"/>
    <n v="0"/>
    <n v="0"/>
    <n v="0"/>
    <n v="0"/>
    <n v="0"/>
    <n v="0"/>
    <n v="0"/>
  </r>
  <r>
    <d v="2014-07-15T00:00:00"/>
    <n v="2014"/>
    <x v="21"/>
    <s v="R"/>
    <s v="RS"/>
    <x v="2"/>
    <s v="LAS"/>
    <s v="H"/>
    <n v="2"/>
    <n v="1"/>
    <n v="1"/>
    <n v="-1"/>
    <n v="8"/>
    <n v="-8"/>
    <n v="1482.3479700457947"/>
    <n v="1544.7793938630236"/>
    <n v="0.55385579080805225"/>
    <n v="78"/>
    <n v="86"/>
    <n v="0"/>
    <n v="-8"/>
    <n v="0"/>
    <n v="0.3691120430087374"/>
    <n v="1"/>
    <n v="72.7"/>
    <n v="72.7"/>
    <n v="-14.862413048105529"/>
    <n v="1467.4855569976892"/>
    <n v="0"/>
    <n v="1"/>
    <n v="0"/>
    <n v="0"/>
    <n v="0"/>
    <n v="0"/>
    <n v="0"/>
    <n v="0"/>
    <n v="0"/>
    <n v="0"/>
  </r>
  <r>
    <d v="2014-07-15T00:00:00"/>
    <n v="2014"/>
    <x v="21"/>
    <s v="R"/>
    <s v="RS"/>
    <x v="9"/>
    <s v="PHX"/>
    <s v="A"/>
    <n v="2"/>
    <n v="1"/>
    <n v="1"/>
    <n v="-1"/>
    <n v="8"/>
    <n v="-8"/>
    <n v="1471.3330638379468"/>
    <n v="1649.5327221936582"/>
    <n v="0.19509476139475021"/>
    <n v="78"/>
    <n v="90"/>
    <n v="0"/>
    <n v="-12"/>
    <n v="0"/>
    <n v="0.39715242154745711"/>
    <n v="1"/>
    <n v="72.7"/>
    <n v="72.7"/>
    <n v="-5.6329673480220883"/>
    <n v="1465.7000964899248"/>
    <n v="0"/>
    <n v="1"/>
    <n v="0"/>
    <n v="0"/>
    <n v="0"/>
    <n v="0"/>
    <n v="0"/>
    <n v="0"/>
    <n v="0"/>
    <n v="0"/>
  </r>
  <r>
    <d v="2014-07-15T00:00:00"/>
    <n v="2014"/>
    <x v="19"/>
    <s v="R"/>
    <s v="RS"/>
    <x v="10"/>
    <s v="WAS"/>
    <s v="H"/>
    <n v="1"/>
    <n v="2"/>
    <n v="-1"/>
    <n v="1"/>
    <n v="-8"/>
    <n v="8"/>
    <n v="1649.5327221936582"/>
    <n v="1471.3330638379468"/>
    <n v="0.80490523860524976"/>
    <n v="90"/>
    <n v="78"/>
    <n v="0"/>
    <n v="12"/>
    <n v="1"/>
    <n v="0.39715242154745711"/>
    <n v="1"/>
    <n v="73"/>
    <n v="73"/>
    <n v="5.6562120550978339"/>
    <n v="1655.1889342487559"/>
    <n v="1"/>
    <n v="0"/>
    <n v="0"/>
    <n v="0"/>
    <n v="0"/>
    <n v="0"/>
    <n v="0"/>
    <n v="0"/>
    <n v="0"/>
    <n v="0"/>
  </r>
  <r>
    <d v="2014-07-15T00:00:00"/>
    <n v="2014"/>
    <x v="22"/>
    <s v="R"/>
    <s v="RS"/>
    <x v="5"/>
    <s v="SEA"/>
    <s v="A"/>
    <n v="1"/>
    <n v="1"/>
    <n v="0"/>
    <n v="0"/>
    <n v="0"/>
    <n v="0"/>
    <n v="1410.3918731775243"/>
    <n v="1476.1956209515122"/>
    <n v="0.29685074899753938"/>
    <n v="86"/>
    <n v="63"/>
    <n v="0"/>
    <n v="23"/>
    <n v="1"/>
    <n v="0.58334897836482469"/>
    <n v="1"/>
    <n v="72.55"/>
    <n v="72.55"/>
    <n v="29.7586603676056"/>
    <n v="1440.15053354513"/>
    <n v="1"/>
    <n v="0"/>
    <n v="0"/>
    <n v="0"/>
    <n v="0"/>
    <n v="0"/>
    <n v="0"/>
    <n v="0"/>
    <n v="0"/>
    <n v="0"/>
  </r>
  <r>
    <d v="2014-07-15T00:00:00"/>
    <n v="2014"/>
    <x v="23"/>
    <s v="R"/>
    <s v="RS"/>
    <x v="7"/>
    <s v="CON"/>
    <s v="H"/>
    <n v="1"/>
    <n v="1"/>
    <n v="0"/>
    <n v="0"/>
    <n v="0"/>
    <n v="0"/>
    <n v="1476.1956209515122"/>
    <n v="1410.3918731775243"/>
    <n v="0.70314925100246062"/>
    <n v="63"/>
    <n v="86"/>
    <n v="0"/>
    <n v="-23"/>
    <n v="0"/>
    <n v="0.58334897836482469"/>
    <n v="1"/>
    <n v="72.400000000000006"/>
    <n v="72.400000000000006"/>
    <n v="-29.697133158024062"/>
    <n v="1446.498487793488"/>
    <n v="0"/>
    <n v="1"/>
    <n v="0"/>
    <n v="0"/>
    <n v="0"/>
    <n v="0"/>
    <n v="0"/>
    <n v="0"/>
    <n v="0"/>
    <n v="0"/>
  </r>
  <r>
    <d v="2014-07-16T00:00:00"/>
    <n v="2014"/>
    <x v="21"/>
    <s v="R"/>
    <s v="RS"/>
    <x v="11"/>
    <s v="MIN"/>
    <s v="A"/>
    <n v="3"/>
    <n v="2"/>
    <n v="1"/>
    <n v="-1"/>
    <n v="8"/>
    <n v="-8"/>
    <n v="1411.2332425165516"/>
    <n v="1652.4564023589501"/>
    <n v="0.14429923271123005"/>
    <n v="82"/>
    <n v="93"/>
    <n v="0"/>
    <n v="-11"/>
    <n v="0"/>
    <n v="0.36621890281507435"/>
    <n v="1"/>
    <n v="72.7"/>
    <n v="72.7"/>
    <n v="-3.8418392556769851"/>
    <n v="1407.3914032608745"/>
    <n v="0"/>
    <n v="1"/>
    <n v="0"/>
    <n v="0"/>
    <n v="0"/>
    <n v="0"/>
    <n v="0"/>
    <n v="0"/>
    <n v="0"/>
    <n v="0"/>
  </r>
  <r>
    <d v="2014-07-16T00:00:00"/>
    <n v="2014"/>
    <x v="22"/>
    <s v="R"/>
    <s v="RS"/>
    <x v="8"/>
    <s v="TUL"/>
    <s v="H"/>
    <n v="2"/>
    <n v="3"/>
    <n v="-1"/>
    <n v="1"/>
    <n v="-8"/>
    <n v="8"/>
    <n v="1652.4564023589501"/>
    <n v="1411.2332425165516"/>
    <n v="0.85570076728876998"/>
    <n v="93"/>
    <n v="82"/>
    <n v="0"/>
    <n v="11"/>
    <n v="1"/>
    <n v="0.36621890281507435"/>
    <n v="1"/>
    <n v="72.55"/>
    <n v="72.55"/>
    <n v="3.8339124896748995"/>
    <n v="1656.290314848625"/>
    <n v="1"/>
    <n v="0"/>
    <n v="0"/>
    <n v="0"/>
    <n v="0"/>
    <n v="0"/>
    <n v="0"/>
    <n v="0"/>
    <n v="0"/>
    <n v="0"/>
  </r>
  <r>
    <d v="2014-07-16T00:00:00"/>
    <n v="2014"/>
    <x v="20"/>
    <s v="R"/>
    <s v="RS"/>
    <x v="1"/>
    <s v="NYL"/>
    <s v="A"/>
    <n v="2"/>
    <n v="4"/>
    <n v="-2"/>
    <n v="2"/>
    <n v="-16"/>
    <n v="16"/>
    <n v="1589.914482553748"/>
    <n v="1397.9190591091628"/>
    <n v="0.60765478327606082"/>
    <n v="75"/>
    <n v="77"/>
    <n v="0"/>
    <n v="-2"/>
    <n v="0"/>
    <n v="0.23089844949077093"/>
    <n v="1"/>
    <n v="72.849999999999994"/>
    <n v="72.849999999999994"/>
    <n v="-10.221331969646165"/>
    <n v="1579.6931505841019"/>
    <n v="0"/>
    <n v="1"/>
    <n v="0"/>
    <n v="0"/>
    <n v="0"/>
    <n v="0"/>
    <n v="0"/>
    <n v="0"/>
    <n v="0"/>
    <n v="0"/>
  </r>
  <r>
    <d v="2014-07-16T00:00:00"/>
    <n v="2014"/>
    <x v="20"/>
    <s v="R"/>
    <s v="RS"/>
    <x v="4"/>
    <s v="ATL"/>
    <s v="H"/>
    <n v="4"/>
    <n v="2"/>
    <n v="2"/>
    <n v="-2"/>
    <n v="16"/>
    <n v="-16"/>
    <n v="1397.9190591091628"/>
    <n v="1589.914482553748"/>
    <n v="0.39234521672393918"/>
    <n v="77"/>
    <n v="75"/>
    <n v="0"/>
    <n v="2"/>
    <n v="1"/>
    <n v="0.23089844949077093"/>
    <n v="1"/>
    <n v="72.849999999999994"/>
    <n v="72.849999999999994"/>
    <n v="10.221331969646165"/>
    <n v="1408.140391078809"/>
    <n v="1"/>
    <n v="0"/>
    <n v="0"/>
    <n v="0"/>
    <n v="0"/>
    <n v="0"/>
    <n v="0"/>
    <n v="0"/>
    <n v="0"/>
    <n v="0"/>
  </r>
  <r>
    <d v="2014-07-17T00:00:00"/>
    <n v="2014"/>
    <x v="21"/>
    <s v="R"/>
    <s v="RS"/>
    <x v="3"/>
    <s v="IND"/>
    <s v="A"/>
    <n v="3"/>
    <n v="1"/>
    <n v="2"/>
    <n v="-2"/>
    <n v="16"/>
    <n v="-16"/>
    <n v="1441.1184113552827"/>
    <n v="1467.4855569976892"/>
    <n v="0.38909509060775532"/>
    <n v="64"/>
    <n v="82"/>
    <n v="0"/>
    <n v="-18"/>
    <n v="0"/>
    <n v="0.53507689021451121"/>
    <n v="1"/>
    <n v="72.7"/>
    <n v="72.7"/>
    <n v="-15.135834011525537"/>
    <n v="1425.9825773437572"/>
    <n v="0"/>
    <n v="1"/>
    <n v="0"/>
    <n v="0"/>
    <n v="0"/>
    <n v="0"/>
    <n v="0"/>
    <n v="0"/>
    <n v="0"/>
    <n v="0"/>
  </r>
  <r>
    <d v="2014-07-17T00:00:00"/>
    <n v="2014"/>
    <x v="22"/>
    <s v="R"/>
    <s v="RS"/>
    <x v="2"/>
    <s v="CHI"/>
    <s v="H"/>
    <n v="1"/>
    <n v="3"/>
    <n v="-2"/>
    <n v="2"/>
    <n v="-16"/>
    <n v="16"/>
    <n v="1467.4855569976892"/>
    <n v="1441.1184113552827"/>
    <n v="0.61090490939224462"/>
    <n v="82"/>
    <n v="64"/>
    <n v="0"/>
    <n v="18"/>
    <n v="1"/>
    <n v="0.53507689021451121"/>
    <n v="1"/>
    <n v="72.55"/>
    <n v="72.55"/>
    <n v="15.104604642863519"/>
    <n v="1482.5901616405527"/>
    <n v="1"/>
    <n v="0"/>
    <n v="0"/>
    <n v="0"/>
    <n v="0"/>
    <n v="0"/>
    <n v="0"/>
    <n v="0"/>
    <n v="0"/>
    <n v="0"/>
  </r>
  <r>
    <d v="2014-07-17T00:00:00"/>
    <n v="2014"/>
    <x v="22"/>
    <s v="R"/>
    <s v="RS"/>
    <x v="9"/>
    <s v="LAS"/>
    <s v="A"/>
    <n v="1"/>
    <n v="1"/>
    <n v="0"/>
    <n v="0"/>
    <n v="0"/>
    <n v="0"/>
    <n v="1465.7000964899248"/>
    <n v="1559.6724721375008"/>
    <n v="0.2641534641954113"/>
    <n v="79"/>
    <n v="75"/>
    <n v="0"/>
    <n v="4"/>
    <n v="1"/>
    <n v="0.28881550249295335"/>
    <n v="1"/>
    <n v="72.55"/>
    <n v="72.55"/>
    <n v="15.418608001567147"/>
    <n v="1481.1187044914921"/>
    <n v="1"/>
    <n v="0"/>
    <n v="0"/>
    <n v="0"/>
    <n v="0"/>
    <n v="0"/>
    <n v="0"/>
    <n v="0"/>
    <n v="0"/>
    <n v="0"/>
  </r>
  <r>
    <d v="2014-07-17T00:00:00"/>
    <n v="2014"/>
    <x v="21"/>
    <s v="R"/>
    <s v="RS"/>
    <x v="6"/>
    <s v="WAS"/>
    <s v="H"/>
    <n v="1"/>
    <n v="1"/>
    <n v="0"/>
    <n v="0"/>
    <n v="0"/>
    <n v="0"/>
    <n v="1559.6724721375008"/>
    <n v="1465.7000964899248"/>
    <n v="0.7358465358045887"/>
    <n v="75"/>
    <n v="79"/>
    <n v="0"/>
    <n v="-4"/>
    <n v="0"/>
    <n v="0.28881550249295335"/>
    <n v="1"/>
    <n v="72.7"/>
    <n v="72.7"/>
    <n v="-15.450486584616563"/>
    <n v="1544.2219855528842"/>
    <n v="0"/>
    <n v="1"/>
    <n v="0"/>
    <n v="0"/>
    <n v="0"/>
    <n v="0"/>
    <n v="0"/>
    <n v="0"/>
    <n v="0"/>
    <n v="0"/>
  </r>
  <r>
    <d v="2014-07-17T00:00:00"/>
    <n v="2014"/>
    <x v="23"/>
    <s v="R"/>
    <s v="RS"/>
    <x v="5"/>
    <s v="PHX"/>
    <s v="A"/>
    <n v="1"/>
    <n v="1"/>
    <n v="0"/>
    <n v="0"/>
    <n v="0"/>
    <n v="0"/>
    <n v="1440.15053354513"/>
    <n v="1655.1889342487559"/>
    <n v="0.1516904839911947"/>
    <n v="85"/>
    <n v="101"/>
    <n v="0"/>
    <n v="-16"/>
    <n v="0"/>
    <n v="0.4390999130674561"/>
    <n v="1"/>
    <n v="72.400000000000006"/>
    <n v="72.400000000000006"/>
    <n v="-4.8223669513594407"/>
    <n v="1435.3281665937704"/>
    <n v="0"/>
    <n v="1"/>
    <n v="0"/>
    <n v="0"/>
    <n v="0"/>
    <n v="0"/>
    <n v="0"/>
    <n v="0"/>
    <n v="0"/>
    <n v="0"/>
  </r>
  <r>
    <d v="2014-07-17T00:00:00"/>
    <n v="2014"/>
    <x v="20"/>
    <s v="R"/>
    <s v="RS"/>
    <x v="10"/>
    <s v="CON"/>
    <s v="H"/>
    <n v="1"/>
    <n v="1"/>
    <n v="0"/>
    <n v="0"/>
    <n v="0"/>
    <n v="0"/>
    <n v="1655.1889342487559"/>
    <n v="1440.15053354513"/>
    <n v="0.84830951600880533"/>
    <n v="101"/>
    <n v="85"/>
    <n v="0"/>
    <n v="16"/>
    <n v="1"/>
    <n v="0.4390999130674561"/>
    <n v="1"/>
    <n v="72.849999999999994"/>
    <n v="72.849999999999994"/>
    <n v="4.8523402266096021"/>
    <n v="1660.0412744753655"/>
    <n v="1"/>
    <n v="0"/>
    <n v="0"/>
    <n v="0"/>
    <n v="0"/>
    <n v="0"/>
    <n v="0"/>
    <n v="0"/>
    <n v="0"/>
    <n v="0"/>
  </r>
  <r>
    <d v="2014-07-17T00:00:00"/>
    <n v="2014"/>
    <x v="22"/>
    <s v="R"/>
    <s v="RS"/>
    <x v="0"/>
    <s v="TUL"/>
    <s v="A"/>
    <n v="3"/>
    <n v="0"/>
    <n v="3"/>
    <n v="-3"/>
    <n v="16"/>
    <n v="-16"/>
    <n v="1474.9249303905196"/>
    <n v="1407.3914032608745"/>
    <n v="0.52233965955749162"/>
    <n v="90"/>
    <n v="95"/>
    <n v="0"/>
    <n v="-5"/>
    <n v="0"/>
    <n v="0.31408018962229656"/>
    <n v="1"/>
    <n v="72.55"/>
    <n v="72.55"/>
    <n v="-11.902301927743105"/>
    <n v="1463.0226284627765"/>
    <n v="0"/>
    <n v="1"/>
    <n v="0"/>
    <n v="0"/>
    <n v="0"/>
    <n v="0"/>
    <n v="0"/>
    <n v="0"/>
    <n v="0"/>
    <n v="0"/>
  </r>
  <r>
    <d v="2014-07-17T00:00:00"/>
    <n v="2014"/>
    <x v="22"/>
    <s v="R"/>
    <s v="RS"/>
    <x v="11"/>
    <s v="SAS"/>
    <s v="H"/>
    <n v="0"/>
    <n v="3"/>
    <n v="-3"/>
    <n v="3"/>
    <n v="-16"/>
    <n v="16"/>
    <n v="1407.3914032608745"/>
    <n v="1474.9249303905196"/>
    <n v="0.47766034044250838"/>
    <n v="95"/>
    <n v="90"/>
    <n v="0"/>
    <n v="5"/>
    <n v="1"/>
    <n v="0.31408018962229656"/>
    <n v="1"/>
    <n v="72.55"/>
    <n v="72.55"/>
    <n v="11.902301927743105"/>
    <n v="1419.2937051886177"/>
    <n v="1"/>
    <n v="0"/>
    <n v="0"/>
    <n v="0"/>
    <n v="0"/>
    <n v="0"/>
    <n v="0"/>
    <n v="0"/>
    <n v="0"/>
    <n v="0"/>
  </r>
  <r>
    <d v="2014-07-22T00:00:00"/>
    <n v="2014"/>
    <x v="23"/>
    <s v="R"/>
    <s v="RS"/>
    <x v="2"/>
    <s v="CHI"/>
    <s v="A"/>
    <n v="4"/>
    <n v="4"/>
    <n v="0"/>
    <n v="0"/>
    <n v="0"/>
    <n v="0"/>
    <n v="1482.5901616405527"/>
    <n v="1425.9825773437572"/>
    <n v="0.46066062259444795"/>
    <n v="57"/>
    <n v="60"/>
    <n v="0"/>
    <n v="-3"/>
    <n v="0"/>
    <n v="0.27711135096587503"/>
    <n v="1"/>
    <n v="72.400000000000006"/>
    <n v="72.400000000000006"/>
    <n v="-9.242170412388429"/>
    <n v="1473.3479912281641"/>
    <n v="0"/>
    <n v="1"/>
    <n v="0"/>
    <n v="0"/>
    <n v="0"/>
    <n v="0"/>
    <n v="0"/>
    <n v="0"/>
    <n v="0"/>
    <n v="0"/>
  </r>
  <r>
    <d v="2014-07-22T00:00:00"/>
    <n v="2014"/>
    <x v="22"/>
    <s v="R"/>
    <s v="RS"/>
    <x v="3"/>
    <s v="IND"/>
    <s v="H"/>
    <n v="4"/>
    <n v="4"/>
    <n v="0"/>
    <n v="0"/>
    <n v="0"/>
    <n v="0"/>
    <n v="1425.9825773437572"/>
    <n v="1482.5901616405527"/>
    <n v="0.53933937740555205"/>
    <n v="60"/>
    <n v="57"/>
    <n v="0"/>
    <n v="3"/>
    <n v="1"/>
    <n v="0.27711135096587503"/>
    <n v="1"/>
    <n v="72.55"/>
    <n v="72.55"/>
    <n v="9.2613185555080157"/>
    <n v="1435.2438958992652"/>
    <n v="1"/>
    <n v="0"/>
    <n v="0"/>
    <n v="0"/>
    <n v="0"/>
    <n v="0"/>
    <n v="0"/>
    <n v="0"/>
    <n v="0"/>
    <n v="0"/>
  </r>
  <r>
    <d v="2014-07-22T00:00:00"/>
    <n v="2014"/>
    <x v="21"/>
    <s v="R"/>
    <s v="RS"/>
    <x v="1"/>
    <s v="MIN"/>
    <s v="A"/>
    <n v="5"/>
    <n v="5"/>
    <n v="0"/>
    <n v="0"/>
    <n v="0"/>
    <n v="0"/>
    <n v="1579.6931505841019"/>
    <n v="1656.290314848625"/>
    <n v="0.28404765359094203"/>
    <n v="108"/>
    <n v="112"/>
    <n v="1"/>
    <n v="-4"/>
    <n v="0"/>
    <n v="0.26347180074613996"/>
    <n v="1"/>
    <n v="72.7"/>
    <n v="72.7"/>
    <n v="-5.4407623515836558"/>
    <n v="1574.2523882325183"/>
    <n v="0"/>
    <n v="1"/>
    <n v="0"/>
    <n v="0"/>
    <n v="0"/>
    <n v="0"/>
    <n v="0"/>
    <n v="0"/>
    <n v="0"/>
    <n v="0"/>
  </r>
  <r>
    <d v="2014-07-22T00:00:00"/>
    <n v="2014"/>
    <x v="23"/>
    <s v="R"/>
    <s v="RS"/>
    <x v="8"/>
    <s v="ATL"/>
    <s v="H"/>
    <n v="5"/>
    <n v="5"/>
    <n v="0"/>
    <n v="0"/>
    <n v="0"/>
    <n v="0"/>
    <n v="1656.290314848625"/>
    <n v="1579.6931505841019"/>
    <n v="0.71595234640905803"/>
    <n v="112"/>
    <n v="108"/>
    <n v="1"/>
    <n v="4"/>
    <n v="1"/>
    <n v="0.26347180074613996"/>
    <n v="1"/>
    <n v="72.400000000000006"/>
    <n v="72.400000000000006"/>
    <n v="5.4183107875468588"/>
    <n v="1661.708625636172"/>
    <n v="1"/>
    <n v="0"/>
    <n v="0"/>
    <n v="0"/>
    <n v="0"/>
    <n v="0"/>
    <n v="0"/>
    <n v="0"/>
    <n v="0"/>
    <n v="0"/>
  </r>
  <r>
    <d v="2014-07-22T00:00:00"/>
    <n v="2014"/>
    <x v="23"/>
    <s v="R"/>
    <s v="RS"/>
    <x v="11"/>
    <s v="SAS"/>
    <s v="A"/>
    <n v="4"/>
    <n v="4"/>
    <n v="0"/>
    <n v="0"/>
    <n v="0"/>
    <n v="0"/>
    <n v="1419.2937051886177"/>
    <n v="1463.0226284627765"/>
    <n v="0.32404003308442919"/>
    <n v="93"/>
    <n v="95"/>
    <n v="0"/>
    <n v="-2"/>
    <n v="0"/>
    <n v="0.25842414609566378"/>
    <n v="1"/>
    <n v="72.400000000000006"/>
    <n v="72.400000000000006"/>
    <n v="-6.0627592647873687"/>
    <n v="1413.2309459238302"/>
    <n v="0"/>
    <n v="1"/>
    <n v="0"/>
    <n v="0"/>
    <n v="0"/>
    <n v="0"/>
    <n v="0"/>
    <n v="0"/>
    <n v="0"/>
    <n v="0"/>
  </r>
  <r>
    <d v="2014-07-22T00:00:00"/>
    <n v="2014"/>
    <x v="23"/>
    <s v="R"/>
    <s v="RS"/>
    <x v="0"/>
    <s v="TUL"/>
    <s v="H"/>
    <n v="4"/>
    <n v="4"/>
    <n v="0"/>
    <n v="0"/>
    <n v="0"/>
    <n v="0"/>
    <n v="1463.0226284627765"/>
    <n v="1419.2937051886177"/>
    <n v="0.67595996691557081"/>
    <n v="95"/>
    <n v="93"/>
    <n v="0"/>
    <n v="2"/>
    <n v="1"/>
    <n v="0.25842414609566378"/>
    <n v="1"/>
    <n v="72.400000000000006"/>
    <n v="72.400000000000006"/>
    <n v="6.0627592647873687"/>
    <n v="1469.085387727564"/>
    <n v="1"/>
    <n v="0"/>
    <n v="0"/>
    <n v="0"/>
    <n v="0"/>
    <n v="0"/>
    <n v="0"/>
    <n v="0"/>
    <n v="0"/>
    <n v="0"/>
  </r>
  <r>
    <d v="2014-07-22T00:00:00"/>
    <n v="2014"/>
    <x v="21"/>
    <s v="R"/>
    <s v="RS"/>
    <x v="10"/>
    <s v="SEA"/>
    <s v="A"/>
    <n v="4"/>
    <n v="6"/>
    <n v="-2"/>
    <n v="2"/>
    <n v="-16"/>
    <n v="16"/>
    <n v="1660.0412744753655"/>
    <n v="1446.498487793488"/>
    <n v="0.63679986783265285"/>
    <n v="89"/>
    <n v="71"/>
    <n v="0"/>
    <n v="18"/>
    <n v="1"/>
    <n v="0.46422416408910983"/>
    <n v="1"/>
    <n v="72.7"/>
    <n v="72.7"/>
    <n v="12.257676392602457"/>
    <n v="1672.298950867968"/>
    <n v="1"/>
    <n v="0"/>
    <n v="0"/>
    <n v="0"/>
    <n v="0"/>
    <n v="0"/>
    <n v="0"/>
    <n v="0"/>
    <n v="0"/>
    <n v="0"/>
  </r>
  <r>
    <d v="2014-07-22T00:00:00"/>
    <n v="2014"/>
    <x v="24"/>
    <s v="R"/>
    <s v="RS"/>
    <x v="7"/>
    <s v="PHX"/>
    <s v="H"/>
    <n v="6"/>
    <n v="4"/>
    <n v="2"/>
    <n v="-2"/>
    <n v="16"/>
    <n v="-16"/>
    <n v="1446.498487793488"/>
    <n v="1660.0412744753655"/>
    <n v="0.36320013216734709"/>
    <n v="71"/>
    <n v="89"/>
    <n v="0"/>
    <n v="-18"/>
    <n v="0"/>
    <n v="0.46422416408910983"/>
    <n v="1"/>
    <n v="72.25"/>
    <n v="72.25"/>
    <n v="-12.181803567613855"/>
    <n v="1434.3166842258743"/>
    <n v="0"/>
    <n v="1"/>
    <n v="0"/>
    <n v="0"/>
    <n v="0"/>
    <n v="0"/>
    <n v="0"/>
    <n v="0"/>
    <n v="0"/>
    <n v="0"/>
  </r>
  <r>
    <d v="2014-07-23T00:00:00"/>
    <n v="2014"/>
    <x v="21"/>
    <s v="R"/>
    <s v="RS"/>
    <x v="4"/>
    <s v="LAS"/>
    <s v="A"/>
    <n v="6"/>
    <n v="5"/>
    <n v="1"/>
    <n v="-1"/>
    <n v="8"/>
    <n v="-8"/>
    <n v="1408.140391078809"/>
    <n v="1544.2219855528842"/>
    <n v="0.23599060469782099"/>
    <n v="66"/>
    <n v="64"/>
    <n v="0"/>
    <n v="2"/>
    <n v="1"/>
    <n v="0.24056134468203719"/>
    <n v="1"/>
    <n v="72.7"/>
    <n v="72.7"/>
    <n v="13.361614968057888"/>
    <n v="1421.5020060468669"/>
    <n v="1"/>
    <n v="0"/>
    <n v="0"/>
    <n v="0"/>
    <n v="0"/>
    <n v="0"/>
    <n v="0"/>
    <n v="0"/>
    <n v="0"/>
    <n v="0"/>
  </r>
  <r>
    <d v="2014-07-23T00:00:00"/>
    <n v="2014"/>
    <x v="22"/>
    <s v="R"/>
    <s v="RS"/>
    <x v="6"/>
    <s v="NYL"/>
    <s v="H"/>
    <n v="5"/>
    <n v="6"/>
    <n v="-1"/>
    <n v="1"/>
    <n v="-8"/>
    <n v="8"/>
    <n v="1544.2219855528842"/>
    <n v="1408.140391078809"/>
    <n v="0.76400939530217893"/>
    <n v="64"/>
    <n v="66"/>
    <n v="0"/>
    <n v="-2"/>
    <n v="0"/>
    <n v="0.24056134468203719"/>
    <n v="1"/>
    <n v="72.55"/>
    <n v="72.55"/>
    <n v="-13.334046298935345"/>
    <n v="1530.8879392539488"/>
    <n v="0"/>
    <n v="1"/>
    <n v="0"/>
    <n v="0"/>
    <n v="0"/>
    <n v="0"/>
    <n v="0"/>
    <n v="0"/>
    <n v="0"/>
    <n v="0"/>
  </r>
  <r>
    <d v="2014-07-23T00:00:00"/>
    <n v="2014"/>
    <x v="24"/>
    <s v="R"/>
    <s v="RS"/>
    <x v="5"/>
    <s v="WAS"/>
    <s v="A"/>
    <n v="5"/>
    <n v="5"/>
    <n v="0"/>
    <n v="0"/>
    <n v="0"/>
    <n v="0"/>
    <n v="1435.3281665937704"/>
    <n v="1481.1187044914921"/>
    <n v="0.32144602226993269"/>
    <n v="75"/>
    <n v="89"/>
    <n v="0"/>
    <n v="-14"/>
    <n v="0"/>
    <n v="0.46968547796833576"/>
    <n v="1"/>
    <n v="72.25"/>
    <n v="72.25"/>
    <n v="-10.90819869213562"/>
    <n v="1424.4199679016349"/>
    <n v="0"/>
    <n v="1"/>
    <n v="0"/>
    <n v="0"/>
    <n v="0"/>
    <n v="0"/>
    <n v="0"/>
    <n v="0"/>
    <n v="0"/>
    <n v="0"/>
  </r>
  <r>
    <d v="2014-07-23T00:00:00"/>
    <n v="2014"/>
    <x v="23"/>
    <s v="R"/>
    <s v="RS"/>
    <x v="9"/>
    <s v="CON"/>
    <s v="H"/>
    <n v="5"/>
    <n v="5"/>
    <n v="0"/>
    <n v="0"/>
    <n v="0"/>
    <n v="0"/>
    <n v="1481.1187044914921"/>
    <n v="1435.3281665937704"/>
    <n v="0.67855397773006731"/>
    <n v="89"/>
    <n v="75"/>
    <n v="0"/>
    <n v="14"/>
    <n v="1"/>
    <n v="0.46968547796833576"/>
    <n v="1"/>
    <n v="72.400000000000006"/>
    <n v="72.400000000000006"/>
    <n v="10.930845471427252"/>
    <n v="1492.0495499629194"/>
    <n v="1"/>
    <n v="0"/>
    <n v="0"/>
    <n v="0"/>
    <n v="0"/>
    <n v="0"/>
    <n v="0"/>
    <n v="0"/>
    <n v="0"/>
    <n v="0"/>
  </r>
  <r>
    <d v="2014-07-24T00:00:00"/>
    <n v="2014"/>
    <x v="22"/>
    <s v="R"/>
    <s v="RS"/>
    <x v="10"/>
    <s v="LAS"/>
    <s v="A"/>
    <n v="1"/>
    <n v="0"/>
    <n v="1"/>
    <n v="-1"/>
    <n v="8"/>
    <n v="-8"/>
    <n v="1672.298950867968"/>
    <n v="1530.8879392539488"/>
    <n v="0.60410231018913496"/>
    <n v="93"/>
    <n v="73"/>
    <n v="0"/>
    <n v="20"/>
    <n v="1"/>
    <n v="0.51428296380282779"/>
    <n v="1"/>
    <n v="72.55"/>
    <n v="72.55"/>
    <n v="14.771429374564187"/>
    <n v="1687.0703802425321"/>
    <n v="1"/>
    <n v="0"/>
    <n v="0"/>
    <n v="0"/>
    <n v="0"/>
    <n v="0"/>
    <n v="0"/>
    <n v="0"/>
    <n v="0"/>
    <n v="0"/>
  </r>
  <r>
    <d v="2014-07-24T00:00:00"/>
    <n v="2014"/>
    <x v="23"/>
    <s v="R"/>
    <s v="RS"/>
    <x v="6"/>
    <s v="PHX"/>
    <s v="H"/>
    <n v="0"/>
    <n v="1"/>
    <n v="-1"/>
    <n v="1"/>
    <n v="-8"/>
    <n v="8"/>
    <n v="1530.8879392539488"/>
    <n v="1672.298950867968"/>
    <n v="0.39589768981086504"/>
    <n v="73"/>
    <n v="93"/>
    <n v="0"/>
    <n v="-20"/>
    <n v="0"/>
    <n v="0.51428296380282779"/>
    <n v="1"/>
    <n v="72.400000000000006"/>
    <n v="72.400000000000006"/>
    <n v="-14.740888858972395"/>
    <n v="1516.1470503949765"/>
    <n v="0"/>
    <n v="1"/>
    <n v="0"/>
    <n v="0"/>
    <n v="0"/>
    <n v="0"/>
    <n v="0"/>
    <n v="0"/>
    <n v="0"/>
    <n v="0"/>
  </r>
  <r>
    <d v="2014-07-24T00:00:00"/>
    <n v="2014"/>
    <x v="22"/>
    <s v="R"/>
    <s v="RS"/>
    <x v="4"/>
    <s v="SEA"/>
    <s v="A"/>
    <n v="0"/>
    <n v="1"/>
    <n v="-1"/>
    <n v="1"/>
    <n v="-8"/>
    <n v="8"/>
    <n v="1421.5020060468669"/>
    <n v="1434.3166842258743"/>
    <n v="0.34312171804454683"/>
    <n v="84"/>
    <n v="80"/>
    <n v="1"/>
    <n v="4"/>
    <n v="1"/>
    <n v="0.27732790487100784"/>
    <n v="1"/>
    <n v="72.55"/>
    <n v="72.55"/>
    <n v="13.216482666407538"/>
    <n v="1434.7184887132744"/>
    <n v="1"/>
    <n v="0"/>
    <n v="0"/>
    <n v="0"/>
    <n v="0"/>
    <n v="0"/>
    <n v="0"/>
    <n v="0"/>
    <n v="0"/>
    <n v="0"/>
  </r>
  <r>
    <d v="2014-07-24T00:00:00"/>
    <n v="2014"/>
    <x v="25"/>
    <s v="R"/>
    <s v="RS"/>
    <x v="7"/>
    <s v="NYL"/>
    <s v="H"/>
    <n v="1"/>
    <n v="0"/>
    <n v="1"/>
    <n v="-1"/>
    <n v="8"/>
    <n v="-8"/>
    <n v="1434.3166842258743"/>
    <n v="1421.5020060468669"/>
    <n v="0.65687828195545306"/>
    <n v="80"/>
    <n v="84"/>
    <n v="1"/>
    <n v="-4"/>
    <n v="0"/>
    <n v="0.27732790487100784"/>
    <n v="1"/>
    <n v="72.099999999999994"/>
    <n v="72.099999999999994"/>
    <n v="-13.134505861447048"/>
    <n v="1421.1821783644273"/>
    <n v="0"/>
    <n v="1"/>
    <n v="0"/>
    <n v="0"/>
    <n v="0"/>
    <n v="0"/>
    <n v="0"/>
    <n v="0"/>
    <n v="0"/>
    <n v="0"/>
  </r>
  <r>
    <d v="2014-07-25T00:00:00"/>
    <n v="2014"/>
    <x v="23"/>
    <s v="R"/>
    <s v="RS"/>
    <x v="3"/>
    <s v="ATL"/>
    <s v="A"/>
    <n v="2"/>
    <n v="2"/>
    <n v="0"/>
    <n v="0"/>
    <n v="0"/>
    <n v="0"/>
    <n v="1435.2438958992652"/>
    <n v="1574.2523882325183"/>
    <n v="0.21691425261319885"/>
    <n v="79"/>
    <n v="75"/>
    <n v="0"/>
    <n v="4"/>
    <n v="1"/>
    <n v="0.2791015023612291"/>
    <n v="1"/>
    <n v="72.400000000000006"/>
    <n v="72.400000000000006"/>
    <n v="15.823773580708522"/>
    <n v="1451.0676694799738"/>
    <n v="1"/>
    <n v="0"/>
    <n v="0"/>
    <n v="0"/>
    <n v="0"/>
    <n v="0"/>
    <n v="0"/>
    <n v="0"/>
    <n v="0"/>
    <n v="0"/>
  </r>
  <r>
    <d v="2014-07-25T00:00:00"/>
    <n v="2014"/>
    <x v="22"/>
    <s v="R"/>
    <s v="RS"/>
    <x v="1"/>
    <s v="CHI"/>
    <s v="H"/>
    <n v="2"/>
    <n v="2"/>
    <n v="0"/>
    <n v="0"/>
    <n v="0"/>
    <n v="0"/>
    <n v="1574.2523882325183"/>
    <n v="1435.2438958992652"/>
    <n v="0.78308574738680103"/>
    <n v="75"/>
    <n v="79"/>
    <n v="0"/>
    <n v="-4"/>
    <n v="0"/>
    <n v="0.2791015023612291"/>
    <n v="1"/>
    <n v="72.55"/>
    <n v="72.55"/>
    <n v="-15.856557641994518"/>
    <n v="1558.3958305905239"/>
    <n v="0"/>
    <n v="1"/>
    <n v="0"/>
    <n v="0"/>
    <n v="0"/>
    <n v="0"/>
    <n v="0"/>
    <n v="0"/>
    <n v="0"/>
    <n v="0"/>
  </r>
  <r>
    <d v="2014-07-25T00:00:00"/>
    <n v="2014"/>
    <x v="24"/>
    <s v="R"/>
    <s v="RS"/>
    <x v="0"/>
    <s v="MIN"/>
    <s v="A"/>
    <n v="2"/>
    <n v="2"/>
    <n v="0"/>
    <n v="0"/>
    <n v="0"/>
    <n v="0"/>
    <n v="1469.085387727564"/>
    <n v="1661.708625636172"/>
    <n v="0.1690505247284618"/>
    <n v="78"/>
    <n v="88"/>
    <n v="0"/>
    <n v="-10"/>
    <n v="0"/>
    <n v="0.36460373874075952"/>
    <n v="1"/>
    <n v="72.25"/>
    <n v="72.25"/>
    <n v="-4.4532337546880969"/>
    <n v="1464.6321539728758"/>
    <n v="0"/>
    <n v="1"/>
    <n v="0"/>
    <n v="0"/>
    <n v="0"/>
    <n v="0"/>
    <n v="0"/>
    <n v="0"/>
    <n v="0"/>
    <n v="0"/>
  </r>
  <r>
    <d v="2014-07-25T00:00:00"/>
    <n v="2014"/>
    <x v="24"/>
    <s v="R"/>
    <s v="RS"/>
    <x v="8"/>
    <s v="SAS"/>
    <s v="H"/>
    <n v="2"/>
    <n v="2"/>
    <n v="0"/>
    <n v="0"/>
    <n v="0"/>
    <n v="0"/>
    <n v="1661.708625636172"/>
    <n v="1469.085387727564"/>
    <n v="0.83094947527153828"/>
    <n v="88"/>
    <n v="78"/>
    <n v="0"/>
    <n v="10"/>
    <n v="1"/>
    <n v="0.36460373874075952"/>
    <n v="1"/>
    <n v="72.25"/>
    <n v="72.25"/>
    <n v="4.4532337546880951"/>
    <n v="1666.1618593908602"/>
    <n v="1"/>
    <n v="0"/>
    <n v="0"/>
    <n v="0"/>
    <n v="0"/>
    <n v="0"/>
    <n v="0"/>
    <n v="0"/>
    <n v="0"/>
    <n v="0"/>
  </r>
  <r>
    <d v="2014-07-25T00:00:00"/>
    <n v="2014"/>
    <x v="24"/>
    <s v="R"/>
    <s v="RS"/>
    <x v="11"/>
    <s v="WAS"/>
    <s v="A"/>
    <n v="2"/>
    <n v="1"/>
    <n v="1"/>
    <n v="-1"/>
    <n v="8"/>
    <n v="-8"/>
    <n v="1413.2309459238302"/>
    <n v="1492.0495499629194"/>
    <n v="0.3004500205582859"/>
    <n v="77"/>
    <n v="82"/>
    <n v="0"/>
    <n v="-5"/>
    <n v="0"/>
    <n v="0.31130855407959679"/>
    <n v="1"/>
    <n v="72.25"/>
    <n v="72.25"/>
    <n v="-6.7577347914376249"/>
    <n v="1406.4732111323926"/>
    <n v="0"/>
    <n v="1"/>
    <n v="0"/>
    <n v="0"/>
    <n v="0"/>
    <n v="0"/>
    <n v="0"/>
    <n v="0"/>
    <n v="0"/>
    <n v="0"/>
  </r>
  <r>
    <d v="2014-07-25T00:00:00"/>
    <n v="2014"/>
    <x v="24"/>
    <s v="R"/>
    <s v="RS"/>
    <x v="9"/>
    <s v="TUL"/>
    <s v="H"/>
    <n v="1"/>
    <n v="2"/>
    <n v="-1"/>
    <n v="1"/>
    <n v="-8"/>
    <n v="8"/>
    <n v="1492.0495499629194"/>
    <n v="1413.2309459238302"/>
    <n v="0.69954997944171415"/>
    <n v="82"/>
    <n v="77"/>
    <n v="0"/>
    <n v="5"/>
    <n v="1"/>
    <n v="0.31130855407959679"/>
    <n v="1"/>
    <n v="72.25"/>
    <n v="72.25"/>
    <n v="6.757734791437624"/>
    <n v="1498.8072847543569"/>
    <n v="1"/>
    <n v="0"/>
    <n v="0"/>
    <n v="0"/>
    <n v="0"/>
    <n v="0"/>
    <n v="0"/>
    <n v="0"/>
    <n v="0"/>
    <n v="0"/>
  </r>
  <r>
    <d v="2014-07-26T00:00:00"/>
    <n v="2014"/>
    <x v="23"/>
    <s v="R"/>
    <s v="RS"/>
    <x v="4"/>
    <s v="PHX"/>
    <s v="A"/>
    <n v="1"/>
    <n v="1"/>
    <n v="0"/>
    <n v="0"/>
    <n v="0"/>
    <n v="0"/>
    <n v="1434.7184887132744"/>
    <n v="1687.0703802425321"/>
    <n v="0.12606623687358187"/>
    <n v="63"/>
    <n v="78"/>
    <n v="0"/>
    <n v="-15"/>
    <n v="0"/>
    <n v="0.41547619221891607"/>
    <n v="1"/>
    <n v="72.400000000000006"/>
    <n v="72.400000000000006"/>
    <n v="-3.7921324526049087"/>
    <n v="1430.9263562606695"/>
    <n v="0"/>
    <n v="1"/>
    <n v="0"/>
    <n v="0"/>
    <n v="0"/>
    <n v="0"/>
    <n v="0"/>
    <n v="0"/>
    <n v="0"/>
    <n v="0"/>
  </r>
  <r>
    <d v="2014-07-26T00:00:00"/>
    <n v="2014"/>
    <x v="23"/>
    <s v="R"/>
    <s v="RS"/>
    <x v="10"/>
    <s v="NYL"/>
    <s v="H"/>
    <n v="1"/>
    <n v="1"/>
    <n v="0"/>
    <n v="0"/>
    <n v="0"/>
    <n v="0"/>
    <n v="1687.0703802425321"/>
    <n v="1434.7184887132744"/>
    <n v="0.87393376312641813"/>
    <n v="78"/>
    <n v="63"/>
    <n v="0"/>
    <n v="15"/>
    <n v="1"/>
    <n v="0.41547619221891607"/>
    <n v="1"/>
    <n v="72.400000000000006"/>
    <n v="72.400000000000006"/>
    <n v="3.7921324526049087"/>
    <n v="1690.862512695137"/>
    <n v="1"/>
    <n v="0"/>
    <n v="0"/>
    <n v="0"/>
    <n v="0"/>
    <n v="0"/>
    <n v="0"/>
    <n v="0"/>
    <n v="0"/>
    <n v="0"/>
  </r>
  <r>
    <d v="2014-07-26T00:00:00"/>
    <n v="2014"/>
    <x v="24"/>
    <s v="R"/>
    <s v="RS"/>
    <x v="2"/>
    <s v="SAS"/>
    <s v="A"/>
    <n v="3"/>
    <n v="0"/>
    <n v="3"/>
    <n v="-3"/>
    <n v="16"/>
    <n v="-16"/>
    <n v="1473.3479912281641"/>
    <n v="1464.6321539728758"/>
    <n v="0.43802935918669345"/>
    <n v="75"/>
    <n v="68"/>
    <n v="0"/>
    <n v="7"/>
    <n v="1"/>
    <n v="0.36743839477862428"/>
    <n v="1"/>
    <n v="72.25"/>
    <n v="72.25"/>
    <n v="14.918872890010533"/>
    <n v="1488.2668641181747"/>
    <n v="1"/>
    <n v="0"/>
    <n v="0"/>
    <n v="0"/>
    <n v="0"/>
    <n v="0"/>
    <n v="0"/>
    <n v="0"/>
    <n v="0"/>
    <n v="0"/>
  </r>
  <r>
    <d v="2014-07-26T00:00:00"/>
    <n v="2014"/>
    <x v="25"/>
    <s v="R"/>
    <s v="RS"/>
    <x v="0"/>
    <s v="IND"/>
    <s v="H"/>
    <n v="0"/>
    <n v="3"/>
    <n v="-3"/>
    <n v="3"/>
    <n v="-16"/>
    <n v="16"/>
    <n v="1464.6321539728758"/>
    <n v="1473.3479912281641"/>
    <n v="0.56197064081330661"/>
    <n v="68"/>
    <n v="75"/>
    <n v="0"/>
    <n v="-7"/>
    <n v="0"/>
    <n v="0.36743839477862428"/>
    <n v="1"/>
    <n v="72.099999999999994"/>
    <n v="72.099999999999994"/>
    <n v="-14.887899451484563"/>
    <n v="1449.7442545213912"/>
    <n v="0"/>
    <n v="1"/>
    <n v="0"/>
    <n v="0"/>
    <n v="0"/>
    <n v="0"/>
    <n v="0"/>
    <n v="0"/>
    <n v="0"/>
    <n v="0"/>
  </r>
  <r>
    <d v="2014-07-26T00:00:00"/>
    <n v="2014"/>
    <x v="24"/>
    <s v="R"/>
    <s v="RS"/>
    <x v="6"/>
    <s v="SEA"/>
    <s v="A"/>
    <n v="1"/>
    <n v="1"/>
    <n v="0"/>
    <n v="0"/>
    <n v="0"/>
    <n v="0"/>
    <n v="1516.1470503949765"/>
    <n v="1421.1821783644273"/>
    <n v="0.51577448253174019"/>
    <n v="77"/>
    <n v="69"/>
    <n v="0"/>
    <n v="8"/>
    <n v="1"/>
    <n v="0.35983882811657747"/>
    <n v="1"/>
    <n v="72.25"/>
    <n v="72.25"/>
    <n v="12.58906706368186"/>
    <n v="1528.7361174586583"/>
    <n v="1"/>
    <n v="0"/>
    <n v="0"/>
    <n v="0"/>
    <n v="0"/>
    <n v="0"/>
    <n v="0"/>
    <n v="0"/>
    <n v="0"/>
    <n v="0"/>
  </r>
  <r>
    <d v="2014-07-26T00:00:00"/>
    <n v="2014"/>
    <x v="26"/>
    <s v="R"/>
    <s v="RS"/>
    <x v="7"/>
    <s v="LAS"/>
    <s v="H"/>
    <n v="1"/>
    <n v="1"/>
    <n v="0"/>
    <n v="0"/>
    <n v="0"/>
    <n v="0"/>
    <n v="1421.1821783644273"/>
    <n v="1516.1470503949765"/>
    <n v="0.48422551746825987"/>
    <n v="69"/>
    <n v="77"/>
    <n v="0"/>
    <n v="-8"/>
    <n v="0"/>
    <n v="0.35983882811657747"/>
    <n v="1"/>
    <n v="71.95"/>
    <n v="71.95"/>
    <n v="-12.536794120856884"/>
    <n v="1408.6453842435703"/>
    <n v="0"/>
    <n v="1"/>
    <n v="0"/>
    <n v="0"/>
    <n v="0"/>
    <n v="0"/>
    <n v="0"/>
    <n v="0"/>
    <n v="0"/>
    <n v="0"/>
  </r>
  <r>
    <d v="2014-07-27T00:00:00"/>
    <n v="2014"/>
    <x v="25"/>
    <s v="R"/>
    <s v="RS"/>
    <x v="8"/>
    <s v="CON"/>
    <s v="A"/>
    <n v="1"/>
    <n v="3"/>
    <n v="-2"/>
    <n v="2"/>
    <n v="-16"/>
    <n v="16"/>
    <n v="1666.1618593908602"/>
    <n v="1424.4199679016349"/>
    <n v="0.67344952378989731"/>
    <n v="76"/>
    <n v="65"/>
    <n v="0"/>
    <n v="11"/>
    <n v="1"/>
    <n v="0.36608713905369805"/>
    <n v="1"/>
    <n v="72.099999999999994"/>
    <n v="72.099999999999994"/>
    <n v="8.6192615236105379"/>
    <n v="1674.7811209144706"/>
    <n v="1"/>
    <n v="0"/>
    <n v="0"/>
    <n v="0"/>
    <n v="0"/>
    <n v="0"/>
    <n v="0"/>
    <n v="0"/>
    <n v="0"/>
    <n v="0"/>
  </r>
  <r>
    <d v="2014-07-27T00:00:00"/>
    <n v="2014"/>
    <x v="25"/>
    <s v="R"/>
    <s v="RS"/>
    <x v="5"/>
    <s v="MIN"/>
    <s v="H"/>
    <n v="3"/>
    <n v="1"/>
    <n v="2"/>
    <n v="-2"/>
    <n v="16"/>
    <n v="-16"/>
    <n v="1424.4199679016349"/>
    <n v="1666.1618593908602"/>
    <n v="0.32655047621010269"/>
    <n v="65"/>
    <n v="76"/>
    <n v="0"/>
    <n v="-11"/>
    <n v="0"/>
    <n v="0.36608713905369805"/>
    <n v="1"/>
    <n v="72.099999999999994"/>
    <n v="72.099999999999994"/>
    <n v="-8.6192615236105379"/>
    <n v="1415.8007063780244"/>
    <n v="0"/>
    <n v="1"/>
    <n v="0"/>
    <n v="0"/>
    <n v="0"/>
    <n v="0"/>
    <n v="0"/>
    <n v="0"/>
    <n v="0"/>
    <n v="0"/>
  </r>
  <r>
    <d v="2014-07-27T00:00:00"/>
    <n v="2014"/>
    <x v="24"/>
    <s v="R"/>
    <s v="RS"/>
    <x v="3"/>
    <s v="TUL"/>
    <s v="A"/>
    <n v="1"/>
    <n v="1"/>
    <n v="0"/>
    <n v="0"/>
    <n v="0"/>
    <n v="0"/>
    <n v="1451.0676694799738"/>
    <n v="1406.4732111323926"/>
    <n v="0.44353278544473995"/>
    <n v="69"/>
    <n v="79"/>
    <n v="0"/>
    <n v="-10"/>
    <n v="0"/>
    <n v="0.40796874499415331"/>
    <n v="1"/>
    <n v="72.25"/>
    <n v="72.25"/>
    <n v="-13.073457875059329"/>
    <n v="1437.9942116049144"/>
    <n v="0"/>
    <n v="1"/>
    <n v="0"/>
    <n v="0"/>
    <n v="0"/>
    <n v="0"/>
    <n v="0"/>
    <n v="0"/>
    <n v="0"/>
    <n v="0"/>
  </r>
  <r>
    <d v="2014-07-27T00:00:00"/>
    <n v="2014"/>
    <x v="25"/>
    <s v="R"/>
    <s v="RS"/>
    <x v="11"/>
    <s v="CHI"/>
    <s v="H"/>
    <n v="1"/>
    <n v="1"/>
    <n v="0"/>
    <n v="0"/>
    <n v="0"/>
    <n v="0"/>
    <n v="1406.4732111323926"/>
    <n v="1451.0676694799738"/>
    <n v="0.55646721455526005"/>
    <n v="79"/>
    <n v="69"/>
    <n v="0"/>
    <n v="10"/>
    <n v="1"/>
    <n v="0.40796874499415331"/>
    <n v="1"/>
    <n v="72.099999999999994"/>
    <n v="72.099999999999994"/>
    <n v="13.046315747983082"/>
    <n v="1419.5195268803757"/>
    <n v="1"/>
    <n v="0"/>
    <n v="0"/>
    <n v="0"/>
    <n v="0"/>
    <n v="0"/>
    <n v="0"/>
    <n v="0"/>
    <n v="0"/>
    <n v="0"/>
  </r>
  <r>
    <d v="2014-07-27T00:00:00"/>
    <n v="2014"/>
    <x v="23"/>
    <s v="R"/>
    <s v="RS"/>
    <x v="1"/>
    <s v="WAS"/>
    <s v="A"/>
    <n v="1"/>
    <n v="1"/>
    <n v="0"/>
    <n v="0"/>
    <n v="0"/>
    <n v="0"/>
    <n v="1558.3958305905239"/>
    <n v="1498.8072847543569"/>
    <n v="0.46492679004570114"/>
    <n v="67"/>
    <n v="77"/>
    <n v="0"/>
    <n v="-10"/>
    <n v="0"/>
    <n v="0.40311230272554721"/>
    <n v="1"/>
    <n v="72.400000000000006"/>
    <n v="72.400000000000006"/>
    <n v="-13.569042126830261"/>
    <n v="1544.8267884636937"/>
    <n v="0"/>
    <n v="1"/>
    <n v="0"/>
    <n v="0"/>
    <n v="0"/>
    <n v="0"/>
    <n v="0"/>
    <n v="0"/>
    <n v="0"/>
    <n v="0"/>
  </r>
  <r>
    <d v="2014-07-27T00:00:00"/>
    <n v="2014"/>
    <x v="25"/>
    <s v="R"/>
    <s v="RS"/>
    <x v="9"/>
    <s v="ATL"/>
    <s v="H"/>
    <n v="1"/>
    <n v="1"/>
    <n v="0"/>
    <n v="0"/>
    <n v="0"/>
    <n v="0"/>
    <n v="1498.8072847543569"/>
    <n v="1558.3958305905239"/>
    <n v="0.53507320995429897"/>
    <n v="77"/>
    <n v="67"/>
    <n v="0"/>
    <n v="10"/>
    <n v="1"/>
    <n v="0.40311230272554721"/>
    <n v="1"/>
    <n v="72.099999999999994"/>
    <n v="72.099999999999994"/>
    <n v="13.512816814150019"/>
    <n v="1512.320101568507"/>
    <n v="1"/>
    <n v="0"/>
    <n v="0"/>
    <n v="0"/>
    <n v="0"/>
    <n v="0"/>
    <n v="0"/>
    <n v="0"/>
    <n v="0"/>
    <n v="0"/>
  </r>
  <r>
    <d v="2014-07-28T00:00:00"/>
    <n v="2014"/>
    <x v="25"/>
    <s v="R"/>
    <s v="RS"/>
    <x v="2"/>
    <s v="LAS"/>
    <s v="A"/>
    <n v="1"/>
    <n v="1"/>
    <n v="0"/>
    <n v="0"/>
    <n v="0"/>
    <n v="0"/>
    <n v="1488.2668641181747"/>
    <n v="1528.7361174586583"/>
    <n v="0.3281635946614419"/>
    <n v="73"/>
    <n v="77"/>
    <n v="0"/>
    <n v="-4"/>
    <n v="0"/>
    <n v="0.30127250705993669"/>
    <n v="1"/>
    <n v="72.099999999999994"/>
    <n v="72.099999999999994"/>
    <n v="-7.1282868269295934"/>
    <n v="1481.1385772912452"/>
    <n v="0"/>
    <n v="1"/>
    <n v="0"/>
    <n v="0"/>
    <n v="0"/>
    <n v="0"/>
    <n v="0"/>
    <n v="0"/>
    <n v="0"/>
    <n v="0"/>
  </r>
  <r>
    <d v="2014-07-28T00:00:00"/>
    <n v="2014"/>
    <x v="25"/>
    <s v="R"/>
    <s v="RS"/>
    <x v="6"/>
    <s v="IND"/>
    <s v="H"/>
    <n v="1"/>
    <n v="1"/>
    <n v="0"/>
    <n v="0"/>
    <n v="0"/>
    <n v="0"/>
    <n v="1528.7361174586583"/>
    <n v="1488.2668641181747"/>
    <n v="0.67183640533855815"/>
    <n v="77"/>
    <n v="73"/>
    <n v="0"/>
    <n v="4"/>
    <n v="1"/>
    <n v="0.30127250705993669"/>
    <n v="1"/>
    <n v="72.099999999999994"/>
    <n v="72.099999999999994"/>
    <n v="7.1282868269295925"/>
    <n v="1535.8644042855879"/>
    <n v="1"/>
    <n v="0"/>
    <n v="0"/>
    <n v="0"/>
    <n v="0"/>
    <n v="0"/>
    <n v="0"/>
    <n v="0"/>
    <n v="0"/>
    <n v="0"/>
  </r>
  <r>
    <d v="2014-07-29T00:00:00"/>
    <n v="2014"/>
    <x v="26"/>
    <s v="R"/>
    <s v="RS"/>
    <x v="5"/>
    <s v="ATL"/>
    <s v="A"/>
    <n v="1"/>
    <n v="1"/>
    <n v="0"/>
    <n v="0"/>
    <n v="0"/>
    <n v="0"/>
    <n v="1415.8007063780244"/>
    <n v="1544.8267884636937"/>
    <n v="0.22683375416255405"/>
    <n v="80"/>
    <n v="89"/>
    <n v="0"/>
    <n v="-9"/>
    <n v="0"/>
    <n v="0.36655851916176962"/>
    <n v="1"/>
    <n v="71.95"/>
    <n v="71.95"/>
    <n v="-5.9824874493135249"/>
    <n v="1409.8182189287108"/>
    <n v="0"/>
    <n v="1"/>
    <n v="0"/>
    <n v="0"/>
    <n v="0"/>
    <n v="0"/>
    <n v="0"/>
    <n v="0"/>
    <n v="0"/>
    <n v="0"/>
  </r>
  <r>
    <d v="2014-07-29T00:00:00"/>
    <n v="2014"/>
    <x v="24"/>
    <s v="R"/>
    <s v="RS"/>
    <x v="1"/>
    <s v="CON"/>
    <s v="H"/>
    <n v="1"/>
    <n v="1"/>
    <n v="0"/>
    <n v="0"/>
    <n v="0"/>
    <n v="0"/>
    <n v="1544.8267884636937"/>
    <n v="1415.8007063780244"/>
    <n v="0.77316624583744598"/>
    <n v="89"/>
    <n v="80"/>
    <n v="0"/>
    <n v="9"/>
    <n v="1"/>
    <n v="0.36655851916176962"/>
    <n v="1"/>
    <n v="72.25"/>
    <n v="72.25"/>
    <n v="6.0074318028200429"/>
    <n v="1550.8342202665137"/>
    <n v="1"/>
    <n v="0"/>
    <n v="0"/>
    <n v="0"/>
    <n v="0"/>
    <n v="0"/>
    <n v="0"/>
    <n v="0"/>
    <n v="0"/>
    <n v="0"/>
  </r>
  <r>
    <d v="2014-07-29T00:00:00"/>
    <n v="2014"/>
    <x v="26"/>
    <s v="R"/>
    <s v="RS"/>
    <x v="9"/>
    <s v="NYL"/>
    <s v="A"/>
    <n v="1"/>
    <n v="2"/>
    <n v="-1"/>
    <n v="1"/>
    <n v="-8"/>
    <n v="8"/>
    <n v="1512.320101568507"/>
    <n v="1430.9263562606695"/>
    <n v="0.47324901554303106"/>
    <n v="76"/>
    <n v="80"/>
    <n v="1"/>
    <n v="-4"/>
    <n v="0"/>
    <n v="0.26248555912483157"/>
    <n v="1"/>
    <n v="71.95"/>
    <n v="71.95"/>
    <n v="-8.9377032847838755"/>
    <n v="1503.3823982837232"/>
    <n v="0"/>
    <n v="1"/>
    <n v="0"/>
    <n v="0"/>
    <n v="0"/>
    <n v="0"/>
    <n v="0"/>
    <n v="0"/>
    <n v="0"/>
    <n v="0"/>
  </r>
  <r>
    <d v="2014-07-29T00:00:00"/>
    <n v="2014"/>
    <x v="24"/>
    <s v="R"/>
    <s v="RS"/>
    <x v="4"/>
    <s v="WAS"/>
    <s v="H"/>
    <n v="2"/>
    <n v="1"/>
    <n v="1"/>
    <n v="-1"/>
    <n v="8"/>
    <n v="-8"/>
    <n v="1430.9263562606695"/>
    <n v="1512.320101568507"/>
    <n v="0.526750984456969"/>
    <n v="80"/>
    <n v="76"/>
    <n v="1"/>
    <n v="4"/>
    <n v="1"/>
    <n v="0.26248555912483157"/>
    <n v="1"/>
    <n v="72.25"/>
    <n v="72.25"/>
    <n v="8.9749695945189014"/>
    <n v="1439.9013258551884"/>
    <n v="1"/>
    <n v="0"/>
    <n v="0"/>
    <n v="0"/>
    <n v="0"/>
    <n v="0"/>
    <n v="0"/>
    <n v="0"/>
    <n v="0"/>
    <n v="0"/>
  </r>
  <r>
    <d v="2014-07-29T00:00:00"/>
    <n v="2014"/>
    <x v="26"/>
    <s v="R"/>
    <s v="RS"/>
    <x v="6"/>
    <s v="PHX"/>
    <s v="A"/>
    <n v="0"/>
    <n v="2"/>
    <n v="-2"/>
    <n v="2"/>
    <n v="-16"/>
    <n v="16"/>
    <n v="1535.8644042855879"/>
    <n v="1690.862512695137"/>
    <n v="0.17364800854203069"/>
    <n v="69"/>
    <n v="90"/>
    <n v="0"/>
    <n v="-21"/>
    <n v="0"/>
    <n v="0.52124910207727571"/>
    <n v="1"/>
    <n v="71.95"/>
    <n v="71.95"/>
    <n v="-6.5124728407364216"/>
    <n v="1529.3519314448515"/>
    <n v="0"/>
    <n v="1"/>
    <n v="0"/>
    <n v="0"/>
    <n v="0"/>
    <n v="0"/>
    <n v="0"/>
    <n v="0"/>
    <n v="0"/>
    <n v="0"/>
  </r>
  <r>
    <d v="2014-07-29T00:00:00"/>
    <n v="2014"/>
    <x v="24"/>
    <s v="R"/>
    <s v="RS"/>
    <x v="10"/>
    <s v="LAS"/>
    <s v="H"/>
    <n v="2"/>
    <n v="0"/>
    <n v="2"/>
    <n v="-2"/>
    <n v="16"/>
    <n v="-16"/>
    <n v="1690.862512695137"/>
    <n v="1535.8644042855879"/>
    <n v="0.82635199145796934"/>
    <n v="90"/>
    <n v="69"/>
    <n v="0"/>
    <n v="21"/>
    <n v="1"/>
    <n v="0.52124910207727571"/>
    <n v="1"/>
    <n v="72.25"/>
    <n v="72.25"/>
    <n v="6.5396270012954325"/>
    <n v="1697.4021396964324"/>
    <n v="1"/>
    <n v="0"/>
    <n v="0"/>
    <n v="0"/>
    <n v="0"/>
    <n v="0"/>
    <n v="0"/>
    <n v="0"/>
    <n v="0"/>
    <n v="0"/>
  </r>
  <r>
    <d v="2014-07-29T00:00:00"/>
    <n v="2014"/>
    <x v="25"/>
    <s v="R"/>
    <s v="RS"/>
    <x v="3"/>
    <s v="SAS"/>
    <s v="A"/>
    <n v="1"/>
    <n v="2"/>
    <n v="-1"/>
    <n v="1"/>
    <n v="-8"/>
    <n v="8"/>
    <n v="1437.9942116049144"/>
    <n v="1449.7442545213912"/>
    <n v="0.34450434825083009"/>
    <n v="74"/>
    <n v="92"/>
    <n v="0"/>
    <n v="-18"/>
    <n v="0"/>
    <n v="0.54153141762819479"/>
    <n v="1"/>
    <n v="72.099999999999994"/>
    <n v="72.099999999999994"/>
    <n v="-13.450970815097884"/>
    <n v="1424.5432407898165"/>
    <n v="0"/>
    <n v="1"/>
    <n v="0"/>
    <n v="0"/>
    <n v="0"/>
    <n v="0"/>
    <n v="0"/>
    <n v="0"/>
    <n v="0"/>
    <n v="0"/>
  </r>
  <r>
    <d v="2014-07-29T00:00:00"/>
    <n v="2014"/>
    <x v="26"/>
    <s v="R"/>
    <s v="RS"/>
    <x v="0"/>
    <s v="CHI"/>
    <s v="H"/>
    <n v="2"/>
    <n v="1"/>
    <n v="1"/>
    <n v="-1"/>
    <n v="8"/>
    <n v="-8"/>
    <n v="1449.7442545213912"/>
    <n v="1437.9942116049144"/>
    <n v="0.65549565174916991"/>
    <n v="92"/>
    <n v="74"/>
    <n v="0"/>
    <n v="18"/>
    <n v="1"/>
    <n v="0.54153141762819479"/>
    <n v="1"/>
    <n v="71.95"/>
    <n v="71.95"/>
    <n v="13.422986825884784"/>
    <n v="1463.1672413472761"/>
    <n v="1"/>
    <n v="0"/>
    <n v="0"/>
    <n v="0"/>
    <n v="0"/>
    <n v="0"/>
    <n v="0"/>
    <n v="0"/>
    <n v="0"/>
    <n v="0"/>
  </r>
  <r>
    <d v="2014-07-29T00:00:00"/>
    <n v="2014"/>
    <x v="27"/>
    <s v="R"/>
    <s v="RS"/>
    <x v="7"/>
    <s v="TUL"/>
    <s v="A"/>
    <n v="2"/>
    <n v="1"/>
    <n v="1"/>
    <n v="-1"/>
    <n v="8"/>
    <n v="-8"/>
    <n v="1408.6453842435703"/>
    <n v="1419.5195268803757"/>
    <n v="0.38840158561515276"/>
    <n v="74"/>
    <n v="80"/>
    <n v="0"/>
    <n v="-6"/>
    <n v="0"/>
    <n v="0.34812611688217998"/>
    <n v="1"/>
    <n v="71.8"/>
    <n v="71.8"/>
    <n v="-9.7082744297998822"/>
    <n v="1398.9371098137703"/>
    <n v="0"/>
    <n v="1"/>
    <n v="0"/>
    <n v="0"/>
    <n v="0"/>
    <n v="0"/>
    <n v="0"/>
    <n v="0"/>
    <n v="0"/>
    <n v="0"/>
  </r>
  <r>
    <d v="2014-07-29T00:00:00"/>
    <n v="2014"/>
    <x v="26"/>
    <s v="R"/>
    <s v="RS"/>
    <x v="11"/>
    <s v="SEA"/>
    <s v="H"/>
    <n v="1"/>
    <n v="2"/>
    <n v="-1"/>
    <n v="1"/>
    <n v="-8"/>
    <n v="8"/>
    <n v="1419.5195268803757"/>
    <n v="1408.6453842435703"/>
    <n v="0.6115984143848473"/>
    <n v="80"/>
    <n v="74"/>
    <n v="0"/>
    <n v="6"/>
    <n v="1"/>
    <n v="0.34812611688217998"/>
    <n v="1"/>
    <n v="71.95"/>
    <n v="71.95"/>
    <n v="9.7285563401685433"/>
    <n v="1429.2480832205442"/>
    <n v="1"/>
    <n v="0"/>
    <n v="0"/>
    <n v="0"/>
    <n v="0"/>
    <n v="0"/>
    <n v="0"/>
    <n v="0"/>
    <n v="0"/>
    <n v="0"/>
  </r>
  <r>
    <d v="2014-07-31T00:00:00"/>
    <n v="2014"/>
    <x v="25"/>
    <s v="R"/>
    <s v="RS"/>
    <x v="4"/>
    <s v="CHI"/>
    <s v="A"/>
    <n v="1"/>
    <n v="1"/>
    <n v="0"/>
    <n v="0"/>
    <n v="0"/>
    <n v="0"/>
    <n v="1439.9013258551884"/>
    <n v="1424.5432407898165"/>
    <n v="0.40248185770327549"/>
    <n v="74"/>
    <n v="87"/>
    <n v="0"/>
    <n v="-13"/>
    <n v="0"/>
    <n v="0.46607869214649827"/>
    <n v="1"/>
    <n v="72.099999999999994"/>
    <n v="72.099999999999994"/>
    <n v="-13.52511050705967"/>
    <n v="1426.3762153481287"/>
    <n v="0"/>
    <n v="1"/>
    <n v="0"/>
    <n v="0"/>
    <n v="0"/>
    <n v="0"/>
    <n v="0"/>
    <n v="0"/>
    <n v="0"/>
    <n v="0"/>
  </r>
  <r>
    <d v="2014-07-31T00:00:00"/>
    <n v="2014"/>
    <x v="26"/>
    <s v="R"/>
    <s v="RS"/>
    <x v="3"/>
    <s v="NYL"/>
    <s v="H"/>
    <n v="1"/>
    <n v="1"/>
    <n v="0"/>
    <n v="0"/>
    <n v="0"/>
    <n v="0"/>
    <n v="1424.5432407898165"/>
    <n v="1439.9013258551884"/>
    <n v="0.59751814229672451"/>
    <n v="87"/>
    <n v="74"/>
    <n v="0"/>
    <n v="13"/>
    <n v="1"/>
    <n v="0.46607869214649827"/>
    <n v="1"/>
    <n v="71.95"/>
    <n v="71.95"/>
    <n v="13.496972274382015"/>
    <n v="1438.0402130641985"/>
    <n v="1"/>
    <n v="0"/>
    <n v="0"/>
    <n v="0"/>
    <n v="0"/>
    <n v="0"/>
    <n v="0"/>
    <n v="0"/>
    <n v="0"/>
    <n v="0"/>
  </r>
  <r>
    <d v="2014-07-31T00:00:00"/>
    <n v="2014"/>
    <x v="25"/>
    <s v="R"/>
    <s v="RS"/>
    <x v="10"/>
    <s v="MIN"/>
    <s v="A"/>
    <n v="1"/>
    <n v="3"/>
    <n v="-2"/>
    <n v="2"/>
    <n v="-16"/>
    <n v="16"/>
    <n v="1697.4021396964324"/>
    <n v="1674.7811209144706"/>
    <n v="0.36876174292888453"/>
    <n v="67"/>
    <n v="75"/>
    <n v="0"/>
    <n v="-8"/>
    <n v="0"/>
    <n v="0.38113089407528639"/>
    <n v="1"/>
    <n v="72.099999999999994"/>
    <n v="72.099999999999994"/>
    <n v="-10.133402129672085"/>
    <n v="1687.2687375667604"/>
    <n v="0"/>
    <n v="1"/>
    <n v="0"/>
    <n v="0"/>
    <n v="0"/>
    <n v="0"/>
    <n v="0"/>
    <n v="0"/>
    <n v="0"/>
    <n v="0"/>
  </r>
  <r>
    <d v="2014-07-31T00:00:00"/>
    <n v="2014"/>
    <x v="26"/>
    <s v="R"/>
    <s v="RS"/>
    <x v="8"/>
    <s v="PHX"/>
    <s v="H"/>
    <n v="3"/>
    <n v="1"/>
    <n v="2"/>
    <n v="-2"/>
    <n v="16"/>
    <n v="-16"/>
    <n v="1674.7811209144706"/>
    <n v="1697.4021396964324"/>
    <n v="0.63123825707111547"/>
    <n v="75"/>
    <n v="67"/>
    <n v="0"/>
    <n v="8"/>
    <n v="1"/>
    <n v="0.38113089407528639"/>
    <n v="1"/>
    <n v="71.95"/>
    <n v="71.95"/>
    <n v="10.112320155754599"/>
    <n v="1684.8934410702252"/>
    <n v="1"/>
    <n v="0"/>
    <n v="0"/>
    <n v="0"/>
    <n v="0"/>
    <n v="0"/>
    <n v="0"/>
    <n v="0"/>
    <n v="0"/>
    <n v="0"/>
  </r>
  <r>
    <d v="2014-07-31T00:00:00"/>
    <n v="2014"/>
    <x v="26"/>
    <s v="R"/>
    <s v="RS"/>
    <x v="2"/>
    <s v="SEA"/>
    <s v="A"/>
    <n v="2"/>
    <n v="1"/>
    <n v="1"/>
    <n v="-1"/>
    <n v="8"/>
    <n v="-8"/>
    <n v="1481.1385772912452"/>
    <n v="1398.9371098137703"/>
    <n v="0.52042617998985952"/>
    <n v="76"/>
    <n v="67"/>
    <n v="0"/>
    <n v="9"/>
    <n v="1"/>
    <n v="0.37994484091108699"/>
    <n v="1"/>
    <n v="71.95"/>
    <n v="71.95"/>
    <n v="13.110124529981563"/>
    <n v="1494.2487018212266"/>
    <n v="1"/>
    <n v="0"/>
    <n v="0"/>
    <n v="0"/>
    <n v="0"/>
    <n v="0"/>
    <n v="0"/>
    <n v="0"/>
    <n v="0"/>
    <n v="0"/>
  </r>
  <r>
    <d v="2014-07-31T00:00:00"/>
    <n v="2014"/>
    <x v="28"/>
    <s v="R"/>
    <s v="RS"/>
    <x v="7"/>
    <s v="IND"/>
    <s v="H"/>
    <n v="1"/>
    <n v="2"/>
    <n v="-1"/>
    <n v="1"/>
    <n v="-8"/>
    <n v="8"/>
    <n v="1398.9371098137703"/>
    <n v="1481.1385772912452"/>
    <n v="0.47957382001014048"/>
    <n v="67"/>
    <n v="76"/>
    <n v="0"/>
    <n v="-9"/>
    <n v="0"/>
    <n v="0.37994484091108699"/>
    <n v="1"/>
    <n v="71.650000000000006"/>
    <n v="71.650000000000006"/>
    <n v="-13.055461050356902"/>
    <n v="1385.8816487634135"/>
    <n v="0"/>
    <n v="1"/>
    <n v="0"/>
    <n v="0"/>
    <n v="0"/>
    <n v="0"/>
    <n v="0"/>
    <n v="0"/>
    <n v="0"/>
    <n v="0"/>
  </r>
  <r>
    <d v="2014-07-31T00:00:00"/>
    <n v="2014"/>
    <x v="25"/>
    <s v="R"/>
    <s v="RS"/>
    <x v="1"/>
    <s v="TUL"/>
    <s v="A"/>
    <n v="1"/>
    <n v="1"/>
    <n v="0"/>
    <n v="0"/>
    <n v="0"/>
    <n v="0"/>
    <n v="1550.8342202665137"/>
    <n v="1429.2480832205442"/>
    <n v="0.5538807695840553"/>
    <n v="85"/>
    <n v="75"/>
    <n v="0"/>
    <n v="10"/>
    <n v="1"/>
    <n v="0.38420169897792988"/>
    <n v="1"/>
    <n v="72.099999999999994"/>
    <n v="72.099999999999994"/>
    <n v="12.357923148249593"/>
    <n v="1563.1921434147632"/>
    <n v="1"/>
    <n v="0"/>
    <n v="0"/>
    <n v="0"/>
    <n v="0"/>
    <n v="0"/>
    <n v="0"/>
    <n v="0"/>
    <n v="0"/>
    <n v="0"/>
  </r>
  <r>
    <d v="2014-07-31T00:00:00"/>
    <n v="2014"/>
    <x v="27"/>
    <s v="R"/>
    <s v="RS"/>
    <x v="11"/>
    <s v="ATL"/>
    <s v="H"/>
    <n v="1"/>
    <n v="1"/>
    <n v="0"/>
    <n v="0"/>
    <n v="0"/>
    <n v="0"/>
    <n v="1429.2480832205442"/>
    <n v="1550.8342202665137"/>
    <n v="0.4461192304159447"/>
    <n v="75"/>
    <n v="85"/>
    <n v="0"/>
    <n v="-10"/>
    <n v="0"/>
    <n v="0.38420169897792988"/>
    <n v="1"/>
    <n v="71.8"/>
    <n v="71.8"/>
    <n v="-12.306503218367833"/>
    <n v="1416.9415800021764"/>
    <n v="0"/>
    <n v="1"/>
    <n v="0"/>
    <n v="0"/>
    <n v="0"/>
    <n v="0"/>
    <n v="0"/>
    <n v="0"/>
    <n v="0"/>
    <n v="0"/>
  </r>
  <r>
    <d v="2014-08-01T00:00:00"/>
    <n v="2014"/>
    <x v="27"/>
    <s v="R"/>
    <s v="RS"/>
    <x v="5"/>
    <s v="SAS"/>
    <s v="A"/>
    <n v="2"/>
    <n v="2"/>
    <n v="0"/>
    <n v="0"/>
    <n v="0"/>
    <n v="0"/>
    <n v="1409.8182189287108"/>
    <n v="1463.1672413472761"/>
    <n v="0.31203029332200055"/>
    <n v="89"/>
    <n v="79"/>
    <n v="0"/>
    <n v="10"/>
    <n v="1"/>
    <n v="0.40511910897647152"/>
    <n v="1"/>
    <n v="71.8"/>
    <n v="71.8"/>
    <n v="20.011354634283645"/>
    <n v="1429.8295735629945"/>
    <n v="1"/>
    <n v="0"/>
    <n v="0"/>
    <n v="0"/>
    <n v="0"/>
    <n v="0"/>
    <n v="0"/>
    <n v="0"/>
    <n v="0"/>
    <n v="0"/>
  </r>
  <r>
    <d v="2014-08-01T00:00:00"/>
    <n v="2014"/>
    <x v="27"/>
    <s v="R"/>
    <s v="RS"/>
    <x v="0"/>
    <s v="CON"/>
    <s v="H"/>
    <n v="2"/>
    <n v="2"/>
    <n v="0"/>
    <n v="0"/>
    <n v="0"/>
    <n v="0"/>
    <n v="1463.1672413472761"/>
    <n v="1409.8182189287108"/>
    <n v="0.6879697066779995"/>
    <n v="79"/>
    <n v="89"/>
    <n v="0"/>
    <n v="-10"/>
    <n v="0"/>
    <n v="0.40511910897647152"/>
    <n v="1"/>
    <n v="71.8"/>
    <n v="71.8"/>
    <n v="-20.011354634283645"/>
    <n v="1443.1558867129925"/>
    <n v="0"/>
    <n v="1"/>
    <n v="0"/>
    <n v="0"/>
    <n v="0"/>
    <n v="0"/>
    <n v="0"/>
    <n v="0"/>
    <n v="0"/>
    <n v="0"/>
  </r>
  <r>
    <d v="2014-08-02T00:00:00"/>
    <n v="2014"/>
    <x v="27"/>
    <s v="R"/>
    <s v="RS"/>
    <x v="2"/>
    <s v="PHX"/>
    <s v="A"/>
    <n v="1"/>
    <n v="1"/>
    <n v="0"/>
    <n v="0"/>
    <n v="0"/>
    <n v="0"/>
    <n v="1494.2487018212266"/>
    <n v="1687.2687375667604"/>
    <n v="0.16872990682516331"/>
    <n v="69"/>
    <n v="79"/>
    <n v="0"/>
    <n v="-10"/>
    <n v="0"/>
    <n v="0.36449988239185216"/>
    <n v="1"/>
    <n v="71.8"/>
    <n v="71.8"/>
    <n v="-4.4158458397119826"/>
    <n v="1489.8328559815147"/>
    <n v="0"/>
    <n v="1"/>
    <n v="0"/>
    <n v="0"/>
    <n v="0"/>
    <n v="0"/>
    <n v="0"/>
    <n v="0"/>
    <n v="0"/>
    <n v="0"/>
  </r>
  <r>
    <d v="2014-08-02T00:00:00"/>
    <n v="2014"/>
    <x v="26"/>
    <s v="R"/>
    <s v="RS"/>
    <x v="10"/>
    <s v="IND"/>
    <s v="H"/>
    <n v="1"/>
    <n v="1"/>
    <n v="0"/>
    <n v="0"/>
    <n v="0"/>
    <n v="0"/>
    <n v="1687.2687375667604"/>
    <n v="1494.2487018212266"/>
    <n v="0.83127009317483669"/>
    <n v="79"/>
    <n v="69"/>
    <n v="0"/>
    <n v="10"/>
    <n v="1"/>
    <n v="0.36449988239185216"/>
    <n v="1"/>
    <n v="71.95"/>
    <n v="71.95"/>
    <n v="4.4250711443910467"/>
    <n v="1691.6938087111514"/>
    <n v="1"/>
    <n v="0"/>
    <n v="0"/>
    <n v="0"/>
    <n v="0"/>
    <n v="0"/>
    <n v="0"/>
    <n v="0"/>
    <n v="0"/>
    <n v="0"/>
  </r>
  <r>
    <d v="2014-08-02T00:00:00"/>
    <n v="2014"/>
    <x v="27"/>
    <s v="R"/>
    <s v="RS"/>
    <x v="8"/>
    <s v="TUL"/>
    <s v="A"/>
    <n v="1"/>
    <n v="1"/>
    <n v="0"/>
    <n v="0"/>
    <n v="0"/>
    <n v="0"/>
    <n v="1684.8934410702252"/>
    <n v="1416.9415800021764"/>
    <n v="0.74248257846815802"/>
    <n v="84"/>
    <n v="75"/>
    <n v="0"/>
    <n v="9"/>
    <n v="1"/>
    <n v="0.33186771684886207"/>
    <n v="1"/>
    <n v="71.8"/>
    <n v="71.8"/>
    <n v="6.1361514049991284"/>
    <n v="1691.0295924752243"/>
    <n v="1"/>
    <n v="0"/>
    <n v="0"/>
    <n v="0"/>
    <n v="0"/>
    <n v="0"/>
    <n v="0"/>
    <n v="0"/>
    <n v="0"/>
    <n v="0"/>
  </r>
  <r>
    <d v="2014-08-02T00:00:00"/>
    <n v="2014"/>
    <x v="28"/>
    <s v="R"/>
    <s v="RS"/>
    <x v="11"/>
    <s v="MIN"/>
    <s v="H"/>
    <n v="1"/>
    <n v="1"/>
    <n v="0"/>
    <n v="0"/>
    <n v="0"/>
    <n v="0"/>
    <n v="1416.9415800021764"/>
    <n v="1684.8934410702252"/>
    <n v="0.25751742153184198"/>
    <n v="75"/>
    <n v="84"/>
    <n v="0"/>
    <n v="-9"/>
    <n v="0"/>
    <n v="0.33186771684886207"/>
    <n v="1"/>
    <n v="71.650000000000006"/>
    <n v="71.650000000000006"/>
    <n v="-6.1233321471892426"/>
    <n v="1410.818247854987"/>
    <n v="0"/>
    <n v="1"/>
    <n v="0"/>
    <n v="0"/>
    <n v="0"/>
    <n v="0"/>
    <n v="0"/>
    <n v="0"/>
    <n v="0"/>
    <n v="0"/>
  </r>
  <r>
    <d v="2014-08-03T00:00:00"/>
    <n v="2014"/>
    <x v="26"/>
    <s v="R"/>
    <s v="RS"/>
    <x v="4"/>
    <s v="ATL"/>
    <s v="A"/>
    <n v="2"/>
    <n v="2"/>
    <n v="0"/>
    <n v="0"/>
    <n v="0"/>
    <n v="0"/>
    <n v="1426.3762153481287"/>
    <n v="1563.1921434147632"/>
    <n v="0.21906581597266581"/>
    <n v="83"/>
    <n v="76"/>
    <n v="0"/>
    <n v="7"/>
    <n v="1"/>
    <n v="0.33222869181915232"/>
    <n v="1"/>
    <n v="71.95"/>
    <n v="71.95"/>
    <n v="18.667337012532794"/>
    <n v="1445.0435523606614"/>
    <n v="1"/>
    <n v="0"/>
    <n v="0"/>
    <n v="0"/>
    <n v="0"/>
    <n v="0"/>
    <n v="0"/>
    <n v="0"/>
    <n v="0"/>
    <n v="0"/>
  </r>
  <r>
    <d v="2014-08-03T00:00:00"/>
    <n v="2014"/>
    <x v="26"/>
    <s v="R"/>
    <s v="RS"/>
    <x v="1"/>
    <s v="NYL"/>
    <s v="H"/>
    <n v="2"/>
    <n v="2"/>
    <n v="0"/>
    <n v="0"/>
    <n v="0"/>
    <n v="0"/>
    <n v="1563.1921434147632"/>
    <n v="1426.3762153481287"/>
    <n v="0.78093418402733417"/>
    <n v="76"/>
    <n v="83"/>
    <n v="0"/>
    <n v="-7"/>
    <n v="0"/>
    <n v="0.33222869181915232"/>
    <n v="1"/>
    <n v="71.95"/>
    <n v="71.95"/>
    <n v="-18.667337012532794"/>
    <n v="1544.5248064022305"/>
    <n v="0"/>
    <n v="1"/>
    <n v="0"/>
    <n v="0"/>
    <n v="0"/>
    <n v="0"/>
    <n v="0"/>
    <n v="0"/>
    <n v="0"/>
    <n v="0"/>
  </r>
  <r>
    <d v="2014-08-03T00:00:00"/>
    <n v="2014"/>
    <x v="27"/>
    <s v="R"/>
    <s v="RS"/>
    <x v="9"/>
    <s v="CHI"/>
    <s v="A"/>
    <n v="4"/>
    <n v="2"/>
    <n v="2"/>
    <n v="-2"/>
    <n v="16"/>
    <n v="-16"/>
    <n v="1503.3823982837232"/>
    <n v="1438.0402130641985"/>
    <n v="0.5191915149789107"/>
    <n v="65"/>
    <n v="76"/>
    <n v="0"/>
    <n v="-11"/>
    <n v="0"/>
    <n v="0.41712287037801471"/>
    <n v="1"/>
    <n v="71.8"/>
    <n v="71.8"/>
    <n v="-15.54948582928097"/>
    <n v="1487.8329124544423"/>
    <n v="0"/>
    <n v="1"/>
    <n v="0"/>
    <n v="0"/>
    <n v="0"/>
    <n v="0"/>
    <n v="0"/>
    <n v="0"/>
    <n v="0"/>
    <n v="0"/>
  </r>
  <r>
    <d v="2014-08-03T00:00:00"/>
    <n v="2014"/>
    <x v="27"/>
    <s v="R"/>
    <s v="RS"/>
    <x v="3"/>
    <s v="WAS"/>
    <s v="H"/>
    <n v="2"/>
    <n v="4"/>
    <n v="-2"/>
    <n v="2"/>
    <n v="-16"/>
    <n v="16"/>
    <n v="1438.0402130641985"/>
    <n v="1503.3823982837232"/>
    <n v="0.4808084850210893"/>
    <n v="76"/>
    <n v="65"/>
    <n v="0"/>
    <n v="11"/>
    <n v="1"/>
    <n v="0.41712287037801471"/>
    <n v="1"/>
    <n v="71.8"/>
    <n v="71.8"/>
    <n v="15.54948582928097"/>
    <n v="1453.5896988934794"/>
    <n v="1"/>
    <n v="0"/>
    <n v="0"/>
    <n v="0"/>
    <n v="0"/>
    <n v="0"/>
    <n v="0"/>
    <n v="0"/>
    <n v="0"/>
    <n v="0"/>
  </r>
  <r>
    <d v="2014-08-03T00:00:00"/>
    <n v="2014"/>
    <x v="28"/>
    <s v="R"/>
    <s v="RS"/>
    <x v="5"/>
    <s v="LAS"/>
    <s v="A"/>
    <n v="1"/>
    <n v="4"/>
    <n v="-3"/>
    <n v="3"/>
    <n v="-16"/>
    <n v="16"/>
    <n v="1429.8295735629945"/>
    <n v="1529.3519314448515"/>
    <n v="0.22432348681436232"/>
    <n v="69"/>
    <n v="70"/>
    <n v="0"/>
    <n v="-1"/>
    <n v="0"/>
    <n v="0.22547946434407626"/>
    <n v="1"/>
    <n v="71.650000000000006"/>
    <n v="71.650000000000006"/>
    <n v="-3.6240813356859025"/>
    <n v="1426.2054922273085"/>
    <n v="0"/>
    <n v="1"/>
    <n v="0"/>
    <n v="0"/>
    <n v="0"/>
    <n v="0"/>
    <n v="0"/>
    <n v="0"/>
    <n v="0"/>
    <n v="0"/>
  </r>
  <r>
    <d v="2014-08-03T00:00:00"/>
    <n v="2014"/>
    <x v="27"/>
    <s v="R"/>
    <s v="RS"/>
    <x v="6"/>
    <s v="CON"/>
    <s v="H"/>
    <n v="4"/>
    <n v="1"/>
    <n v="3"/>
    <n v="-3"/>
    <n v="16"/>
    <n v="-16"/>
    <n v="1529.3519314448515"/>
    <n v="1429.8295735629945"/>
    <n v="0.77567651318563779"/>
    <n v="70"/>
    <n v="69"/>
    <n v="0"/>
    <n v="1"/>
    <n v="1"/>
    <n v="0.22547946434407626"/>
    <n v="1"/>
    <n v="71.8"/>
    <n v="71.8"/>
    <n v="3.6316683866329051"/>
    <n v="1532.9835998314845"/>
    <n v="1"/>
    <n v="0"/>
    <n v="0"/>
    <n v="0"/>
    <n v="0"/>
    <n v="0"/>
    <n v="0"/>
    <n v="0"/>
    <n v="0"/>
    <n v="0"/>
  </r>
  <r>
    <d v="2014-08-03T00:00:00"/>
    <n v="2014"/>
    <x v="28"/>
    <s v="R"/>
    <s v="RS"/>
    <x v="0"/>
    <s v="SEA"/>
    <s v="A"/>
    <n v="1"/>
    <n v="2"/>
    <n v="-1"/>
    <n v="1"/>
    <n v="-8"/>
    <n v="8"/>
    <n v="1443.1558867129925"/>
    <n v="1385.8816487634135"/>
    <n v="0.43882077484793075"/>
    <n v="65"/>
    <n v="71"/>
    <n v="0"/>
    <n v="-6"/>
    <n v="0"/>
    <n v="0.33527841467319963"/>
    <n v="1"/>
    <n v="71.650000000000006"/>
    <n v="71.650000000000006"/>
    <n v="-10.541659130800072"/>
    <n v="1432.6142275821924"/>
    <n v="0"/>
    <n v="1"/>
    <n v="0"/>
    <n v="0"/>
    <n v="0"/>
    <n v="0"/>
    <n v="0"/>
    <n v="0"/>
    <n v="0"/>
    <n v="0"/>
  </r>
  <r>
    <d v="2014-08-03T00:00:00"/>
    <n v="2014"/>
    <x v="29"/>
    <s v="R"/>
    <s v="RS"/>
    <x v="7"/>
    <s v="SAS"/>
    <s v="H"/>
    <n v="2"/>
    <n v="1"/>
    <n v="1"/>
    <n v="-1"/>
    <n v="8"/>
    <n v="-8"/>
    <n v="1385.8816487634135"/>
    <n v="1443.1558867129925"/>
    <n v="0.56117922515206931"/>
    <n v="71"/>
    <n v="65"/>
    <n v="0"/>
    <n v="6"/>
    <n v="1"/>
    <n v="0.33527841467319963"/>
    <n v="1"/>
    <n v="71.5"/>
    <n v="71.5"/>
    <n v="10.519590060742569"/>
    <n v="1396.4012388241561"/>
    <n v="1"/>
    <n v="0"/>
    <n v="0"/>
    <n v="0"/>
    <n v="0"/>
    <n v="0"/>
    <n v="0"/>
    <n v="0"/>
    <n v="0"/>
    <n v="0"/>
  </r>
  <r>
    <d v="2014-08-05T00:00:00"/>
    <n v="2014"/>
    <x v="28"/>
    <s v="R"/>
    <s v="RS"/>
    <x v="3"/>
    <s v="CON"/>
    <s v="A"/>
    <n v="1"/>
    <n v="1"/>
    <n v="0"/>
    <n v="0"/>
    <n v="0"/>
    <n v="0"/>
    <n v="1453.5896988934794"/>
    <n v="1426.2054922273085"/>
    <n v="0.41923691706681615"/>
    <n v="82"/>
    <n v="66"/>
    <n v="0"/>
    <n v="16"/>
    <n v="1"/>
    <n v="0.50623369223869263"/>
    <n v="1"/>
    <n v="71.650000000000006"/>
    <n v="71.650000000000006"/>
    <n v="21.065231820895587"/>
    <n v="1474.654930714375"/>
    <n v="1"/>
    <n v="0"/>
    <n v="0"/>
    <n v="0"/>
    <n v="0"/>
    <n v="0"/>
    <n v="0"/>
    <n v="0"/>
    <n v="0"/>
    <n v="0"/>
  </r>
  <r>
    <d v="2014-08-05T00:00:00"/>
    <n v="2014"/>
    <x v="29"/>
    <s v="R"/>
    <s v="RS"/>
    <x v="5"/>
    <s v="CHI"/>
    <s v="H"/>
    <n v="1"/>
    <n v="1"/>
    <n v="0"/>
    <n v="0"/>
    <n v="0"/>
    <n v="0"/>
    <n v="1426.2054922273085"/>
    <n v="1453.5896988934794"/>
    <n v="0.58076308293318379"/>
    <n v="66"/>
    <n v="82"/>
    <n v="0"/>
    <n v="-16"/>
    <n v="0"/>
    <n v="0.50623369223869263"/>
    <n v="1"/>
    <n v="71.5"/>
    <n v="71.5"/>
    <n v="-21.021131544927208"/>
    <n v="1405.1843606823813"/>
    <n v="0"/>
    <n v="1"/>
    <n v="0"/>
    <n v="0"/>
    <n v="0"/>
    <n v="0"/>
    <n v="0"/>
    <n v="0"/>
    <n v="0"/>
    <n v="0"/>
  </r>
  <r>
    <d v="2014-08-05T00:00:00"/>
    <n v="2014"/>
    <x v="28"/>
    <s v="R"/>
    <s v="RS"/>
    <x v="8"/>
    <s v="IND"/>
    <s v="A"/>
    <n v="2"/>
    <n v="2"/>
    <n v="0"/>
    <n v="0"/>
    <n v="0"/>
    <n v="0"/>
    <n v="1691.0295924752243"/>
    <n v="1489.8328559815147"/>
    <n v="0.66254105024044785"/>
    <n v="66"/>
    <n v="64"/>
    <n v="0"/>
    <n v="2"/>
    <n v="1"/>
    <n v="0.22938219637585255"/>
    <n v="1"/>
    <n v="71.650000000000006"/>
    <n v="71.650000000000006"/>
    <n v="5.5462169296636015"/>
    <n v="1696.5758094048879"/>
    <n v="1"/>
    <n v="0"/>
    <n v="0"/>
    <n v="0"/>
    <n v="0"/>
    <n v="0"/>
    <n v="0"/>
    <n v="0"/>
    <n v="0"/>
    <n v="0"/>
  </r>
  <r>
    <d v="2014-08-05T00:00:00"/>
    <n v="2014"/>
    <x v="28"/>
    <s v="R"/>
    <s v="RS"/>
    <x v="2"/>
    <s v="MIN"/>
    <s v="H"/>
    <n v="2"/>
    <n v="2"/>
    <n v="0"/>
    <n v="0"/>
    <n v="0"/>
    <n v="0"/>
    <n v="1489.8328559815147"/>
    <n v="1691.0295924752243"/>
    <n v="0.33745894975955215"/>
    <n v="64"/>
    <n v="66"/>
    <n v="0"/>
    <n v="-2"/>
    <n v="0"/>
    <n v="0.22938219637585255"/>
    <n v="1"/>
    <n v="71.650000000000006"/>
    <n v="71.650000000000006"/>
    <n v="-5.5462169296636015"/>
    <n v="1484.2866390518511"/>
    <n v="0"/>
    <n v="1"/>
    <n v="0"/>
    <n v="0"/>
    <n v="0"/>
    <n v="0"/>
    <n v="0"/>
    <n v="0"/>
    <n v="0"/>
    <n v="0"/>
  </r>
  <r>
    <d v="2014-08-05T00:00:00"/>
    <n v="2014"/>
    <x v="29"/>
    <s v="R"/>
    <s v="RS"/>
    <x v="11"/>
    <s v="LAS"/>
    <s v="A"/>
    <n v="2"/>
    <n v="1"/>
    <n v="1"/>
    <n v="-1"/>
    <n v="8"/>
    <n v="-8"/>
    <n v="1410.818247854987"/>
    <n v="1532.9835998314845"/>
    <n v="0.25073807348582988"/>
    <n v="96"/>
    <n v="90"/>
    <n v="0"/>
    <n v="6"/>
    <n v="1"/>
    <n v="0.3188231431711902"/>
    <n v="1"/>
    <n v="71.5"/>
    <n v="71.5"/>
    <n v="17.080066036587059"/>
    <n v="1427.8983138915742"/>
    <n v="1"/>
    <n v="0"/>
    <n v="0"/>
    <n v="0"/>
    <n v="0"/>
    <n v="0"/>
    <n v="0"/>
    <n v="0"/>
    <n v="0"/>
    <n v="0"/>
  </r>
  <r>
    <d v="2014-08-05T00:00:00"/>
    <n v="2014"/>
    <x v="28"/>
    <s v="R"/>
    <s v="RS"/>
    <x v="6"/>
    <s v="TUL"/>
    <s v="H"/>
    <n v="1"/>
    <n v="2"/>
    <n v="-1"/>
    <n v="1"/>
    <n v="-8"/>
    <n v="8"/>
    <n v="1532.9835998314845"/>
    <n v="1410.818247854987"/>
    <n v="0.74926192651417012"/>
    <n v="90"/>
    <n v="96"/>
    <n v="0"/>
    <n v="-6"/>
    <n v="0"/>
    <n v="0.3188231431711902"/>
    <n v="1"/>
    <n v="71.650000000000006"/>
    <n v="71.650000000000006"/>
    <n v="-17.115898342957522"/>
    <n v="1515.867701488527"/>
    <n v="0"/>
    <n v="1"/>
    <n v="0"/>
    <n v="0"/>
    <n v="0"/>
    <n v="0"/>
    <n v="0"/>
    <n v="0"/>
    <n v="0"/>
    <n v="0"/>
  </r>
  <r>
    <d v="2014-08-05T00:00:00"/>
    <n v="2014"/>
    <x v="27"/>
    <s v="R"/>
    <s v="RS"/>
    <x v="1"/>
    <s v="PHX"/>
    <s v="A"/>
    <n v="1"/>
    <n v="2"/>
    <n v="-1"/>
    <n v="1"/>
    <n v="-8"/>
    <n v="8"/>
    <n v="1544.5248064022305"/>
    <n v="1691.6938087111514"/>
    <n v="0.19422001014292148"/>
    <n v="67"/>
    <n v="75"/>
    <n v="0"/>
    <n v="-8"/>
    <n v="0"/>
    <n v="0.3458947178898587"/>
    <n v="1"/>
    <n v="71.8"/>
    <n v="71.8"/>
    <n v="-4.8235007092971047"/>
    <n v="1539.7013056929334"/>
    <n v="0"/>
    <n v="1"/>
    <n v="0"/>
    <n v="0"/>
    <n v="0"/>
    <n v="0"/>
    <n v="0"/>
    <n v="0"/>
    <n v="0"/>
    <n v="0"/>
  </r>
  <r>
    <d v="2014-08-05T00:00:00"/>
    <n v="2014"/>
    <x v="27"/>
    <s v="R"/>
    <s v="RS"/>
    <x v="10"/>
    <s v="ATL"/>
    <s v="H"/>
    <n v="2"/>
    <n v="1"/>
    <n v="1"/>
    <n v="-1"/>
    <n v="8"/>
    <n v="-8"/>
    <n v="1691.6938087111514"/>
    <n v="1544.5248064022305"/>
    <n v="0.80577998985707855"/>
    <n v="75"/>
    <n v="67"/>
    <n v="0"/>
    <n v="8"/>
    <n v="1"/>
    <n v="0.3458947178898587"/>
    <n v="1"/>
    <n v="71.8"/>
    <n v="71.8"/>
    <n v="4.8235007092971038"/>
    <n v="1696.5173094204486"/>
    <n v="1"/>
    <n v="0"/>
    <n v="0"/>
    <n v="0"/>
    <n v="0"/>
    <n v="0"/>
    <n v="0"/>
    <n v="0"/>
    <n v="0"/>
    <n v="0"/>
  </r>
  <r>
    <d v="2014-08-05T00:00:00"/>
    <n v="2014"/>
    <x v="27"/>
    <s v="R"/>
    <s v="RS"/>
    <x v="4"/>
    <s v="WAS"/>
    <s v="A"/>
    <n v="1"/>
    <n v="1"/>
    <n v="0"/>
    <n v="0"/>
    <n v="0"/>
    <n v="0"/>
    <n v="1445.0435523606614"/>
    <n v="1487.8329124544423"/>
    <n v="0.32522583946103717"/>
    <n v="46"/>
    <n v="79"/>
    <n v="0"/>
    <n v="-33"/>
    <n v="0"/>
    <n v="0.71362923200654127"/>
    <n v="1"/>
    <n v="71.8"/>
    <n v="71.8"/>
    <n v="-16.664109821906255"/>
    <n v="1428.379442538755"/>
    <n v="0"/>
    <n v="1"/>
    <n v="0"/>
    <n v="0"/>
    <n v="0"/>
    <n v="0"/>
    <n v="0"/>
    <n v="0"/>
    <n v="0"/>
    <n v="0"/>
  </r>
  <r>
    <d v="2014-08-05T00:00:00"/>
    <n v="2014"/>
    <x v="28"/>
    <s v="R"/>
    <s v="RS"/>
    <x v="9"/>
    <s v="NYL"/>
    <s v="H"/>
    <n v="1"/>
    <n v="1"/>
    <n v="0"/>
    <n v="0"/>
    <n v="0"/>
    <n v="0"/>
    <n v="1487.8329124544423"/>
    <n v="1445.0435523606614"/>
    <n v="0.67477416053896278"/>
    <n v="79"/>
    <n v="46"/>
    <n v="0"/>
    <n v="33"/>
    <n v="1"/>
    <n v="0.71362923200654127"/>
    <n v="1"/>
    <n v="71.650000000000006"/>
    <n v="71.650000000000006"/>
    <n v="16.629296221999773"/>
    <n v="1504.4622086764421"/>
    <n v="1"/>
    <n v="0"/>
    <n v="0"/>
    <n v="0"/>
    <n v="0"/>
    <n v="0"/>
    <n v="0"/>
    <n v="0"/>
    <n v="0"/>
    <n v="0"/>
  </r>
  <r>
    <d v="2014-08-07T00:00:00"/>
    <n v="2014"/>
    <x v="29"/>
    <s v="R"/>
    <s v="RS"/>
    <x v="3"/>
    <s v="MIN"/>
    <s v="A"/>
    <n v="1"/>
    <n v="1"/>
    <n v="0"/>
    <n v="0"/>
    <n v="0"/>
    <n v="0"/>
    <n v="1474.654930714375"/>
    <n v="1696.5758094048879"/>
    <n v="0.14666237054034648"/>
    <n v="64"/>
    <n v="74"/>
    <n v="0"/>
    <n v="-10"/>
    <n v="0"/>
    <n v="0.35709134510096463"/>
    <n v="1"/>
    <n v="71.5"/>
    <n v="71.5"/>
    <n v="-3.7445882167943112"/>
    <n v="1470.9103424975808"/>
    <n v="0"/>
    <n v="1"/>
    <n v="0"/>
    <n v="0"/>
    <n v="0"/>
    <n v="0"/>
    <n v="0"/>
    <n v="0"/>
    <n v="0"/>
    <n v="0"/>
  </r>
  <r>
    <d v="2014-08-07T00:00:00"/>
    <n v="2014"/>
    <x v="29"/>
    <s v="R"/>
    <s v="RS"/>
    <x v="8"/>
    <s v="CHI"/>
    <s v="H"/>
    <n v="1"/>
    <n v="1"/>
    <n v="0"/>
    <n v="0"/>
    <n v="0"/>
    <n v="0"/>
    <n v="1696.5758094048879"/>
    <n v="1474.654930714375"/>
    <n v="0.85333762945965341"/>
    <n v="74"/>
    <n v="64"/>
    <n v="0"/>
    <n v="10"/>
    <n v="1"/>
    <n v="0.35709134510096463"/>
    <n v="1"/>
    <n v="71.5"/>
    <n v="71.5"/>
    <n v="3.7445882167943143"/>
    <n v="1700.3203976216821"/>
    <n v="1"/>
    <n v="0"/>
    <n v="0"/>
    <n v="0"/>
    <n v="0"/>
    <n v="0"/>
    <n v="0"/>
    <n v="0"/>
    <n v="0"/>
    <n v="0"/>
  </r>
  <r>
    <d v="2014-08-07T00:00:00"/>
    <n v="2014"/>
    <x v="28"/>
    <s v="R"/>
    <s v="RS"/>
    <x v="10"/>
    <s v="SAS"/>
    <s v="A"/>
    <n v="1"/>
    <n v="3"/>
    <n v="-2"/>
    <n v="2"/>
    <n v="-16"/>
    <n v="16"/>
    <n v="1696.5173094204486"/>
    <n v="1432.6142275821924"/>
    <n v="0.70086044393583891"/>
    <n v="78"/>
    <n v="73"/>
    <n v="1"/>
    <n v="5"/>
    <n v="1"/>
    <n v="0.24475421764139374"/>
    <n v="1"/>
    <n v="71.650000000000006"/>
    <n v="71.650000000000006"/>
    <n v="5.2459026129220598"/>
    <n v="1701.7632120333706"/>
    <n v="1"/>
    <n v="0"/>
    <n v="0"/>
    <n v="0"/>
    <n v="0"/>
    <n v="0"/>
    <n v="0"/>
    <n v="0"/>
    <n v="0"/>
    <n v="0"/>
  </r>
  <r>
    <d v="2014-08-07T00:00:00"/>
    <n v="2014"/>
    <x v="29"/>
    <s v="R"/>
    <s v="RS"/>
    <x v="0"/>
    <s v="PHX"/>
    <s v="H"/>
    <n v="3"/>
    <n v="1"/>
    <n v="2"/>
    <n v="-2"/>
    <n v="16"/>
    <n v="-16"/>
    <n v="1432.6142275821924"/>
    <n v="1696.5173094204486"/>
    <n v="0.29913955606416109"/>
    <n v="73"/>
    <n v="78"/>
    <n v="1"/>
    <n v="-5"/>
    <n v="0"/>
    <n v="0.24475421764139374"/>
    <n v="1"/>
    <n v="71.5"/>
    <n v="71.5"/>
    <n v="-5.2349202627205473"/>
    <n v="1427.3793073194718"/>
    <n v="0"/>
    <n v="1"/>
    <n v="0"/>
    <n v="0"/>
    <n v="0"/>
    <n v="0"/>
    <n v="0"/>
    <n v="0"/>
    <n v="0"/>
    <n v="0"/>
  </r>
  <r>
    <d v="2014-08-07T00:00:00"/>
    <n v="2014"/>
    <x v="28"/>
    <s v="R"/>
    <s v="RS"/>
    <x v="1"/>
    <s v="SEA"/>
    <s v="A"/>
    <n v="1"/>
    <n v="3"/>
    <n v="-2"/>
    <n v="2"/>
    <n v="-16"/>
    <n v="16"/>
    <n v="1539.7013056929334"/>
    <n v="1396.4012388241561"/>
    <n v="0.53920729669163237"/>
    <n v="68"/>
    <n v="88"/>
    <n v="0"/>
    <n v="-20"/>
    <n v="0"/>
    <n v="0.51355973824871248"/>
    <n v="1"/>
    <n v="71.650000000000006"/>
    <n v="71.650000000000006"/>
    <n v="-19.84097108150128"/>
    <n v="1519.8603346114321"/>
    <n v="0"/>
    <n v="1"/>
    <n v="0"/>
    <n v="0"/>
    <n v="0"/>
    <n v="0"/>
    <n v="0"/>
    <n v="0"/>
    <n v="0"/>
    <n v="0"/>
  </r>
  <r>
    <d v="2014-08-07T00:00:00"/>
    <n v="2014"/>
    <x v="30"/>
    <s v="R"/>
    <s v="RS"/>
    <x v="7"/>
    <s v="ATL"/>
    <s v="H"/>
    <n v="3"/>
    <n v="1"/>
    <n v="2"/>
    <n v="-2"/>
    <n v="16"/>
    <n v="-16"/>
    <n v="1396.4012388241561"/>
    <n v="1539.7013056929334"/>
    <n v="0.46079270330836763"/>
    <n v="88"/>
    <n v="68"/>
    <n v="0"/>
    <n v="20"/>
    <n v="1"/>
    <n v="0.51355973824871248"/>
    <n v="1"/>
    <n v="71.349999999999994"/>
    <n v="71.349999999999994"/>
    <n v="19.757896534056052"/>
    <n v="1416.1591353582121"/>
    <n v="1"/>
    <n v="0"/>
    <n v="0"/>
    <n v="0"/>
    <n v="0"/>
    <n v="0"/>
    <n v="0"/>
    <n v="0"/>
    <n v="0"/>
    <n v="0"/>
  </r>
  <r>
    <d v="2014-08-08T00:00:00"/>
    <n v="2014"/>
    <x v="29"/>
    <s v="R"/>
    <s v="RS"/>
    <x v="9"/>
    <s v="IND"/>
    <s v="A"/>
    <n v="2"/>
    <n v="2"/>
    <n v="0"/>
    <n v="0"/>
    <n v="0"/>
    <n v="0"/>
    <n v="1504.4622086764421"/>
    <n v="1484.2866390518511"/>
    <n v="0.40916870796539628"/>
    <n v="74"/>
    <n v="61"/>
    <n v="0"/>
    <n v="13"/>
    <n v="1"/>
    <n v="0.46423852507653501"/>
    <n v="1"/>
    <n v="71.5"/>
    <n v="71.5"/>
    <n v="19.611495302199369"/>
    <n v="1524.0737039786413"/>
    <n v="1"/>
    <n v="0"/>
    <n v="0"/>
    <n v="0"/>
    <n v="0"/>
    <n v="0"/>
    <n v="0"/>
    <n v="0"/>
    <n v="0"/>
    <n v="0"/>
  </r>
  <r>
    <d v="2014-08-08T00:00:00"/>
    <n v="2014"/>
    <x v="29"/>
    <s v="R"/>
    <s v="RS"/>
    <x v="2"/>
    <s v="WAS"/>
    <s v="H"/>
    <n v="2"/>
    <n v="2"/>
    <n v="0"/>
    <n v="0"/>
    <n v="0"/>
    <n v="0"/>
    <n v="1484.2866390518511"/>
    <n v="1504.4622086764421"/>
    <n v="0.59083129203460372"/>
    <n v="61"/>
    <n v="74"/>
    <n v="0"/>
    <n v="-13"/>
    <n v="0"/>
    <n v="0.46423852507653501"/>
    <n v="1"/>
    <n v="71.5"/>
    <n v="71.5"/>
    <n v="-19.611495302199369"/>
    <n v="1464.6751437496519"/>
    <n v="0"/>
    <n v="1"/>
    <n v="0"/>
    <n v="0"/>
    <n v="0"/>
    <n v="0"/>
    <n v="0"/>
    <n v="0"/>
    <n v="0"/>
    <n v="0"/>
  </r>
  <r>
    <d v="2014-08-08T00:00:00"/>
    <n v="2014"/>
    <x v="29"/>
    <s v="R"/>
    <s v="RS"/>
    <x v="1"/>
    <s v="LAS"/>
    <s v="A"/>
    <n v="0"/>
    <n v="2"/>
    <n v="-2"/>
    <n v="2"/>
    <n v="-16"/>
    <n v="16"/>
    <n v="1519.8603346114321"/>
    <n v="1515.867701488527"/>
    <n v="0.34416992200945556"/>
    <n v="77"/>
    <n v="80"/>
    <n v="1"/>
    <n v="-3"/>
    <n v="0"/>
    <n v="0.2602991033040753"/>
    <n v="1"/>
    <n v="71.5"/>
    <n v="71.5"/>
    <n v="-6.4054792289555786"/>
    <n v="1513.4548553824766"/>
    <n v="0"/>
    <n v="1"/>
    <n v="0"/>
    <n v="0"/>
    <n v="0"/>
    <n v="0"/>
    <n v="0"/>
    <n v="0"/>
    <n v="0"/>
    <n v="0"/>
  </r>
  <r>
    <d v="2014-08-08T00:00:00"/>
    <n v="2014"/>
    <x v="29"/>
    <s v="R"/>
    <s v="RS"/>
    <x v="6"/>
    <s v="ATL"/>
    <s v="H"/>
    <n v="2"/>
    <n v="0"/>
    <n v="2"/>
    <n v="-2"/>
    <n v="16"/>
    <n v="-16"/>
    <n v="1515.867701488527"/>
    <n v="1519.8603346114321"/>
    <n v="0.65583007799054449"/>
    <n v="80"/>
    <n v="77"/>
    <n v="1"/>
    <n v="3"/>
    <n v="1"/>
    <n v="0.2602991033040753"/>
    <n v="1"/>
    <n v="71.5"/>
    <n v="71.5"/>
    <n v="6.4054792289555778"/>
    <n v="1522.2731807174825"/>
    <n v="1"/>
    <n v="0"/>
    <n v="0"/>
    <n v="0"/>
    <n v="0"/>
    <n v="0"/>
    <n v="0"/>
    <n v="0"/>
    <n v="0"/>
    <n v="0"/>
  </r>
  <r>
    <d v="2014-08-08T00:00:00"/>
    <n v="2014"/>
    <x v="30"/>
    <s v="R"/>
    <s v="RS"/>
    <x v="5"/>
    <s v="NYL"/>
    <s v="A"/>
    <n v="2"/>
    <n v="2"/>
    <n v="0"/>
    <n v="0"/>
    <n v="0"/>
    <n v="0"/>
    <n v="1405.1843606823813"/>
    <n v="1428.379442538755"/>
    <n v="0.35044938053392211"/>
    <n v="66"/>
    <n v="71"/>
    <n v="0"/>
    <n v="-5"/>
    <n v="0"/>
    <n v="0.32546498629581849"/>
    <n v="1"/>
    <n v="71.349999999999994"/>
    <n v="71.349999999999994"/>
    <n v="-8.1381098521239199"/>
    <n v="1397.0462508302573"/>
    <n v="0"/>
    <n v="1"/>
    <n v="0"/>
    <n v="0"/>
    <n v="0"/>
    <n v="0"/>
    <n v="0"/>
    <n v="0"/>
    <n v="0"/>
    <n v="0"/>
  </r>
  <r>
    <d v="2014-08-08T00:00:00"/>
    <n v="2014"/>
    <x v="28"/>
    <s v="R"/>
    <s v="RS"/>
    <x v="4"/>
    <s v="CON"/>
    <s v="H"/>
    <n v="2"/>
    <n v="2"/>
    <n v="0"/>
    <n v="0"/>
    <n v="0"/>
    <n v="0"/>
    <n v="1428.379442538755"/>
    <n v="1405.1843606823813"/>
    <n v="0.64955061946607795"/>
    <n v="71"/>
    <n v="66"/>
    <n v="0"/>
    <n v="5"/>
    <n v="1"/>
    <n v="0.32546498629581849"/>
    <n v="1"/>
    <n v="71.650000000000006"/>
    <n v="71.650000000000006"/>
    <n v="8.1723275529737762"/>
    <n v="1436.5517700917287"/>
    <n v="1"/>
    <n v="0"/>
    <n v="0"/>
    <n v="0"/>
    <n v="0"/>
    <n v="0"/>
    <n v="0"/>
    <n v="0"/>
    <n v="0"/>
    <n v="0"/>
  </r>
  <r>
    <d v="2014-08-08T00:00:00"/>
    <n v="2014"/>
    <x v="30"/>
    <s v="R"/>
    <s v="RS"/>
    <x v="0"/>
    <s v="TUL"/>
    <s v="A"/>
    <n v="0"/>
    <n v="2"/>
    <n v="-2"/>
    <n v="2"/>
    <n v="-16"/>
    <n v="16"/>
    <n v="1427.3793073194718"/>
    <n v="1427.8983138915742"/>
    <n v="0.33833176241211704"/>
    <n v="62"/>
    <n v="79"/>
    <n v="0"/>
    <n v="-17"/>
    <n v="0"/>
    <n v="0.53221188452714685"/>
    <n v="1"/>
    <n v="71.349999999999994"/>
    <n v="71.349999999999994"/>
    <n v="-12.847579590384862"/>
    <n v="1414.5317277290869"/>
    <n v="0"/>
    <n v="1"/>
    <n v="0"/>
    <n v="0"/>
    <n v="0"/>
    <n v="0"/>
    <n v="0"/>
    <n v="0"/>
    <n v="0"/>
    <n v="0"/>
  </r>
  <r>
    <d v="2014-08-08T00:00:00"/>
    <n v="2014"/>
    <x v="30"/>
    <s v="R"/>
    <s v="RS"/>
    <x v="11"/>
    <s v="SAS"/>
    <s v="H"/>
    <n v="2"/>
    <n v="0"/>
    <n v="2"/>
    <n v="-2"/>
    <n v="16"/>
    <n v="-16"/>
    <n v="1427.8983138915742"/>
    <n v="1427.3793073194718"/>
    <n v="0.66166823758788285"/>
    <n v="79"/>
    <n v="62"/>
    <n v="0"/>
    <n v="17"/>
    <n v="1"/>
    <n v="0.53221188452714685"/>
    <n v="1"/>
    <n v="71.349999999999994"/>
    <n v="71.349999999999994"/>
    <n v="12.847579590384866"/>
    <n v="1440.745893481959"/>
    <n v="1"/>
    <n v="0"/>
    <n v="0"/>
    <n v="0"/>
    <n v="0"/>
    <n v="0"/>
    <n v="0"/>
    <n v="0"/>
    <n v="0"/>
    <n v="0"/>
  </r>
  <r>
    <d v="2014-08-09T00:00:00"/>
    <n v="2014"/>
    <x v="30"/>
    <s v="R"/>
    <s v="RS"/>
    <x v="8"/>
    <s v="PHX"/>
    <s v="A"/>
    <n v="1"/>
    <n v="1"/>
    <n v="0"/>
    <n v="0"/>
    <n v="0"/>
    <n v="0"/>
    <n v="1700.3203976216821"/>
    <n v="1701.7632120333706"/>
    <n v="0.37945823405896217"/>
    <n v="80"/>
    <n v="82"/>
    <n v="0"/>
    <n v="-2"/>
    <n v="0"/>
    <n v="0.26751966978052866"/>
    <n v="1"/>
    <n v="71.349999999999994"/>
    <n v="71.349999999999994"/>
    <n v="-7.2429198339527181"/>
    <n v="1693.0774777877293"/>
    <n v="0"/>
    <n v="1"/>
    <n v="0"/>
    <n v="0"/>
    <n v="0"/>
    <n v="0"/>
    <n v="0"/>
    <n v="0"/>
    <n v="0"/>
    <n v="0"/>
  </r>
  <r>
    <d v="2014-08-09T00:00:00"/>
    <n v="2014"/>
    <x v="29"/>
    <s v="R"/>
    <s v="RS"/>
    <x v="10"/>
    <s v="MIN"/>
    <s v="H"/>
    <n v="1"/>
    <n v="1"/>
    <n v="0"/>
    <n v="0"/>
    <n v="0"/>
    <n v="0"/>
    <n v="1701.7632120333706"/>
    <n v="1700.3203976216821"/>
    <n v="0.62054176594103783"/>
    <n v="82"/>
    <n v="80"/>
    <n v="0"/>
    <n v="2"/>
    <n v="1"/>
    <n v="0.26751966978052866"/>
    <n v="1"/>
    <n v="71.5"/>
    <n v="71.5"/>
    <n v="7.2581467151733623"/>
    <n v="1709.0213587485439"/>
    <n v="1"/>
    <n v="0"/>
    <n v="0"/>
    <n v="0"/>
    <n v="0"/>
    <n v="0"/>
    <n v="0"/>
    <n v="0"/>
    <n v="0"/>
    <n v="0"/>
  </r>
  <r>
    <d v="2014-08-10T00:00:00"/>
    <n v="2014"/>
    <x v="30"/>
    <s v="R"/>
    <s v="RS"/>
    <x v="1"/>
    <s v="CHI"/>
    <s v="A"/>
    <n v="1"/>
    <n v="2"/>
    <n v="-1"/>
    <n v="1"/>
    <n v="-8"/>
    <n v="8"/>
    <n v="1513.4548553824766"/>
    <n v="1470.9103424975808"/>
    <n v="0.41806049055799072"/>
    <n v="69"/>
    <n v="80"/>
    <n v="0"/>
    <n v="-11"/>
    <n v="0"/>
    <n v="0.42477606140944035"/>
    <n v="1"/>
    <n v="71.349999999999994"/>
    <n v="71.349999999999994"/>
    <n v="-12.670482022332191"/>
    <n v="1500.7843733601444"/>
    <n v="0"/>
    <n v="1"/>
    <n v="0"/>
    <n v="0"/>
    <n v="0"/>
    <n v="0"/>
    <n v="0"/>
    <n v="0"/>
    <n v="0"/>
    <n v="0"/>
  </r>
  <r>
    <d v="2014-08-10T00:00:00"/>
    <n v="2014"/>
    <x v="30"/>
    <s v="R"/>
    <s v="RS"/>
    <x v="3"/>
    <s v="ATL"/>
    <s v="H"/>
    <n v="2"/>
    <n v="1"/>
    <n v="1"/>
    <n v="-1"/>
    <n v="8"/>
    <n v="-8"/>
    <n v="1470.9103424975808"/>
    <n v="1513.4548553824766"/>
    <n v="0.58193950944200923"/>
    <n v="80"/>
    <n v="69"/>
    <n v="0"/>
    <n v="11"/>
    <n v="1"/>
    <n v="0.42477606140944035"/>
    <n v="1"/>
    <n v="71.349999999999994"/>
    <n v="71.349999999999994"/>
    <n v="12.670482022332193"/>
    <n v="1483.580824519913"/>
    <n v="1"/>
    <n v="0"/>
    <n v="0"/>
    <n v="0"/>
    <n v="0"/>
    <n v="0"/>
    <n v="0"/>
    <n v="0"/>
    <n v="0"/>
    <n v="0"/>
  </r>
  <r>
    <d v="2014-08-10T00:00:00"/>
    <n v="2014"/>
    <x v="30"/>
    <s v="R"/>
    <s v="RS"/>
    <x v="9"/>
    <s v="CON"/>
    <s v="A"/>
    <n v="1"/>
    <n v="1"/>
    <n v="0"/>
    <n v="0"/>
    <n v="0"/>
    <n v="0"/>
    <n v="1524.0737039786413"/>
    <n v="1397.0462508302573"/>
    <n v="0.56160684780963932"/>
    <n v="81"/>
    <n v="89"/>
    <n v="1"/>
    <n v="-8"/>
    <n v="0"/>
    <n v="0.31603021987846702"/>
    <n v="1"/>
    <n v="71.349999999999994"/>
    <n v="71.349999999999994"/>
    <n v="-12.663535884955335"/>
    <n v="1511.410168093686"/>
    <n v="0"/>
    <n v="1"/>
    <n v="0"/>
    <n v="0"/>
    <n v="0"/>
    <n v="0"/>
    <n v="0"/>
    <n v="0"/>
    <n v="0"/>
    <n v="0"/>
  </r>
  <r>
    <d v="2014-08-10T00:00:00"/>
    <n v="2014"/>
    <x v="31"/>
    <s v="R"/>
    <s v="RS"/>
    <x v="5"/>
    <s v="WAS"/>
    <s v="H"/>
    <n v="1"/>
    <n v="1"/>
    <n v="0"/>
    <n v="0"/>
    <n v="0"/>
    <n v="0"/>
    <n v="1397.0462508302573"/>
    <n v="1524.0737039786413"/>
    <n v="0.43839315219036079"/>
    <n v="89"/>
    <n v="81"/>
    <n v="1"/>
    <n v="8"/>
    <n v="1"/>
    <n v="0.31603021987846702"/>
    <n v="1"/>
    <n v="71.2"/>
    <n v="71.2"/>
    <n v="12.636913174615552"/>
    <n v="1409.6831640048729"/>
    <n v="1"/>
    <n v="0"/>
    <n v="0"/>
    <n v="0"/>
    <n v="0"/>
    <n v="0"/>
    <n v="0"/>
    <n v="0"/>
    <n v="0"/>
    <n v="0"/>
  </r>
  <r>
    <d v="2014-08-10T00:00:00"/>
    <n v="2014"/>
    <x v="30"/>
    <s v="R"/>
    <s v="RS"/>
    <x v="2"/>
    <s v="NYL"/>
    <s v="A"/>
    <n v="1"/>
    <n v="1"/>
    <n v="0"/>
    <n v="0"/>
    <n v="0"/>
    <n v="0"/>
    <n v="1464.6751437496519"/>
    <n v="1436.5517700917287"/>
    <n v="0.42027326454875452"/>
    <n v="90"/>
    <n v="76"/>
    <n v="0"/>
    <n v="14"/>
    <n v="1"/>
    <n v="0.47644213667079127"/>
    <n v="1"/>
    <n v="71.349999999999994"/>
    <n v="71.349999999999994"/>
    <n v="19.707315546756998"/>
    <n v="1484.3824592964088"/>
    <n v="1"/>
    <n v="0"/>
    <n v="0"/>
    <n v="0"/>
    <n v="0"/>
    <n v="0"/>
    <n v="0"/>
    <n v="0"/>
    <n v="0"/>
    <n v="0"/>
  </r>
  <r>
    <d v="2014-08-10T00:00:00"/>
    <n v="2014"/>
    <x v="29"/>
    <s v="R"/>
    <s v="RS"/>
    <x v="4"/>
    <s v="IND"/>
    <s v="H"/>
    <n v="1"/>
    <n v="1"/>
    <n v="0"/>
    <n v="0"/>
    <n v="0"/>
    <n v="0"/>
    <n v="1436.5517700917287"/>
    <n v="1464.6751437496519"/>
    <n v="0.57972673545124553"/>
    <n v="76"/>
    <n v="90"/>
    <n v="0"/>
    <n v="-14"/>
    <n v="0"/>
    <n v="0.47644213667079127"/>
    <n v="1"/>
    <n v="71.5"/>
    <n v="71.5"/>
    <n v="-19.748746483435539"/>
    <n v="1416.8030236082932"/>
    <n v="0"/>
    <n v="1"/>
    <n v="0"/>
    <n v="0"/>
    <n v="0"/>
    <n v="0"/>
    <n v="0"/>
    <n v="0"/>
    <n v="0"/>
    <n v="0"/>
  </r>
  <r>
    <d v="2014-08-10T00:00:00"/>
    <n v="2014"/>
    <x v="30"/>
    <s v="R"/>
    <s v="RS"/>
    <x v="6"/>
    <s v="SAS"/>
    <s v="A"/>
    <n v="1"/>
    <n v="1"/>
    <n v="0"/>
    <n v="0"/>
    <n v="0"/>
    <n v="0"/>
    <n v="1522.2731807174825"/>
    <n v="1414.5317277290869"/>
    <n v="0.5341136165496152"/>
    <n v="76"/>
    <n v="82"/>
    <n v="0"/>
    <n v="-6"/>
    <n v="0"/>
    <n v="0.32233964316563618"/>
    <n v="1"/>
    <n v="71.349999999999994"/>
    <n v="71.349999999999994"/>
    <n v="-12.284043569763217"/>
    <n v="1509.9891371477192"/>
    <n v="0"/>
    <n v="1"/>
    <n v="0"/>
    <n v="0"/>
    <n v="0"/>
    <n v="0"/>
    <n v="0"/>
    <n v="0"/>
    <n v="0"/>
    <n v="0"/>
  </r>
  <r>
    <d v="2014-08-10T00:00:00"/>
    <n v="2014"/>
    <x v="31"/>
    <s v="R"/>
    <s v="RS"/>
    <x v="0"/>
    <s v="LAS"/>
    <s v="H"/>
    <n v="1"/>
    <n v="1"/>
    <n v="0"/>
    <n v="0"/>
    <n v="0"/>
    <n v="0"/>
    <n v="1414.5317277290869"/>
    <n v="1522.2731807174825"/>
    <n v="0.46588638345038474"/>
    <n v="82"/>
    <n v="76"/>
    <n v="0"/>
    <n v="6"/>
    <n v="1"/>
    <n v="0.32233964316563618"/>
    <n v="1"/>
    <n v="71.2"/>
    <n v="71.2"/>
    <n v="12.258218670877939"/>
    <n v="1426.7899463999649"/>
    <n v="1"/>
    <n v="0"/>
    <n v="0"/>
    <n v="0"/>
    <n v="0"/>
    <n v="0"/>
    <n v="0"/>
    <n v="0"/>
    <n v="0"/>
    <n v="0"/>
  </r>
  <r>
    <d v="2014-08-10T00:00:00"/>
    <n v="2014"/>
    <x v="31"/>
    <s v="R"/>
    <s v="RS"/>
    <x v="11"/>
    <s v="SEA"/>
    <s v="A"/>
    <n v="1"/>
    <n v="2"/>
    <n v="-1"/>
    <n v="1"/>
    <n v="-8"/>
    <n v="8"/>
    <n v="1440.745893481959"/>
    <n v="1416.1591353582121"/>
    <n v="0.39314449082454372"/>
    <n v="68"/>
    <n v="74"/>
    <n v="0"/>
    <n v="-6"/>
    <n v="0"/>
    <n v="0.34422788790812064"/>
    <n v="1"/>
    <n v="71.2"/>
    <n v="71.2"/>
    <n v="-9.6355883976103307"/>
    <n v="1431.1103050843487"/>
    <n v="0"/>
    <n v="1"/>
    <n v="0"/>
    <n v="0"/>
    <n v="0"/>
    <n v="0"/>
    <n v="0"/>
    <n v="0"/>
    <n v="0"/>
    <n v="0"/>
  </r>
  <r>
    <d v="2014-08-10T00:00:00"/>
    <n v="2014"/>
    <x v="31"/>
    <s v="R"/>
    <s v="RS"/>
    <x v="7"/>
    <s v="TUL"/>
    <s v="H"/>
    <n v="2"/>
    <n v="1"/>
    <n v="1"/>
    <n v="-1"/>
    <n v="8"/>
    <n v="-8"/>
    <n v="1416.1591353582121"/>
    <n v="1440.745893481959"/>
    <n v="0.60685550917545628"/>
    <n v="74"/>
    <n v="68"/>
    <n v="0"/>
    <n v="6"/>
    <n v="1"/>
    <n v="0.34422788790812064"/>
    <n v="1"/>
    <n v="71.2"/>
    <n v="71.2"/>
    <n v="9.6355883976103307"/>
    <n v="1425.7947237558224"/>
    <n v="1"/>
    <n v="0"/>
    <n v="0"/>
    <n v="0"/>
    <n v="0"/>
    <n v="0"/>
    <n v="0"/>
    <n v="0"/>
    <n v="0"/>
    <n v="0"/>
  </r>
  <r>
    <d v="2014-08-12T00:00:00"/>
    <n v="2014"/>
    <x v="31"/>
    <s v="R"/>
    <s v="RS"/>
    <x v="6"/>
    <s v="MIN"/>
    <s v="A"/>
    <n v="1"/>
    <n v="2"/>
    <n v="-1"/>
    <n v="1"/>
    <n v="-8"/>
    <n v="8"/>
    <n v="1509.9891371477192"/>
    <n v="1693.0774777877293"/>
    <n v="0.16388687976774469"/>
    <n v="71"/>
    <n v="63"/>
    <n v="0"/>
    <n v="8"/>
    <n v="1"/>
    <n v="0.33691169848773339"/>
    <n v="1"/>
    <n v="71.2"/>
    <n v="71.2"/>
    <n v="20.056775952331325"/>
    <n v="1530.0459131000505"/>
    <n v="1"/>
    <n v="0"/>
    <n v="0"/>
    <n v="0"/>
    <n v="0"/>
    <n v="0"/>
    <n v="0"/>
    <n v="0"/>
    <n v="0"/>
    <n v="0"/>
  </r>
  <r>
    <d v="2014-08-12T00:00:00"/>
    <n v="2014"/>
    <x v="31"/>
    <s v="R"/>
    <s v="RS"/>
    <x v="8"/>
    <s v="LAS"/>
    <s v="H"/>
    <n v="2"/>
    <n v="1"/>
    <n v="1"/>
    <n v="-1"/>
    <n v="8"/>
    <n v="-8"/>
    <n v="1693.0774777877293"/>
    <n v="1509.9891371477192"/>
    <n v="0.83611312023225537"/>
    <n v="63"/>
    <n v="71"/>
    <n v="0"/>
    <n v="-8"/>
    <n v="0"/>
    <n v="0.33691169848773339"/>
    <n v="1"/>
    <n v="71.2"/>
    <n v="71.2"/>
    <n v="-20.056775952331325"/>
    <n v="1673.0207018353981"/>
    <n v="0"/>
    <n v="1"/>
    <n v="0"/>
    <n v="0"/>
    <n v="0"/>
    <n v="0"/>
    <n v="0"/>
    <n v="0"/>
    <n v="0"/>
    <n v="0"/>
  </r>
  <r>
    <d v="2014-08-12T00:00:00"/>
    <n v="2014"/>
    <x v="30"/>
    <s v="R"/>
    <s v="RS"/>
    <x v="10"/>
    <s v="NYL"/>
    <s v="A"/>
    <n v="2"/>
    <n v="1"/>
    <n v="1"/>
    <n v="-1"/>
    <n v="8"/>
    <n v="-8"/>
    <n v="1709.0213587485439"/>
    <n v="1416.8030236082932"/>
    <n v="0.78426640757861843"/>
    <n v="76"/>
    <n v="64"/>
    <n v="0"/>
    <n v="12"/>
    <n v="1"/>
    <n v="0.36680646444436293"/>
    <n v="1"/>
    <n v="71.349999999999994"/>
    <n v="71.349999999999994"/>
    <n v="5.6461021838600294"/>
    <n v="1714.6674609324039"/>
    <n v="1"/>
    <n v="0"/>
    <n v="0"/>
    <n v="0"/>
    <n v="0"/>
    <n v="0"/>
    <n v="0"/>
    <n v="0"/>
    <n v="0"/>
    <n v="0"/>
  </r>
  <r>
    <d v="2014-08-12T00:00:00"/>
    <n v="2014"/>
    <x v="30"/>
    <s v="R"/>
    <s v="RS"/>
    <x v="4"/>
    <s v="PHX"/>
    <s v="H"/>
    <n v="1"/>
    <n v="2"/>
    <n v="-1"/>
    <n v="1"/>
    <n v="-8"/>
    <n v="8"/>
    <n v="1416.8030236082932"/>
    <n v="1709.0213587485439"/>
    <n v="0.21573359242138149"/>
    <n v="64"/>
    <n v="76"/>
    <n v="0"/>
    <n v="-12"/>
    <n v="0"/>
    <n v="0.36680646444436293"/>
    <n v="1"/>
    <n v="71.349999999999994"/>
    <n v="71.349999999999994"/>
    <n v="-5.6461021838600276"/>
    <n v="1411.1569214244332"/>
    <n v="0"/>
    <n v="1"/>
    <n v="0"/>
    <n v="0"/>
    <n v="0"/>
    <n v="0"/>
    <n v="0"/>
    <n v="0"/>
    <n v="0"/>
    <n v="0"/>
  </r>
  <r>
    <d v="2014-08-13T00:00:00"/>
    <n v="2014"/>
    <x v="31"/>
    <s v="R"/>
    <s v="RS"/>
    <x v="10"/>
    <s v="ATL"/>
    <s v="A"/>
    <n v="0"/>
    <n v="2"/>
    <n v="-2"/>
    <n v="2"/>
    <n v="-16"/>
    <n v="16"/>
    <n v="1714.6674609324039"/>
    <n v="1500.7843733601444"/>
    <n v="0.63725281884976837"/>
    <n v="82"/>
    <n v="96"/>
    <n v="0"/>
    <n v="-14"/>
    <n v="0"/>
    <n v="0.4138459037979102"/>
    <n v="1"/>
    <n v="71.2"/>
    <n v="71.2"/>
    <n v="-18.777182176042963"/>
    <n v="1695.8902787563609"/>
    <n v="0"/>
    <n v="1"/>
    <n v="0"/>
    <n v="0"/>
    <n v="0"/>
    <n v="0"/>
    <n v="0"/>
    <n v="0"/>
    <n v="0"/>
    <n v="0"/>
  </r>
  <r>
    <d v="2014-08-13T00:00:00"/>
    <n v="2014"/>
    <x v="31"/>
    <s v="R"/>
    <s v="RS"/>
    <x v="1"/>
    <s v="PHX"/>
    <s v="H"/>
    <n v="2"/>
    <n v="0"/>
    <n v="2"/>
    <n v="-2"/>
    <n v="16"/>
    <n v="-16"/>
    <n v="1500.7843733601444"/>
    <n v="1714.6674609324039"/>
    <n v="0.36274718115023163"/>
    <n v="96"/>
    <n v="82"/>
    <n v="0"/>
    <n v="14"/>
    <n v="1"/>
    <n v="0.4138459037979102"/>
    <n v="1"/>
    <n v="71.2"/>
    <n v="71.2"/>
    <n v="18.777182176042963"/>
    <n v="1519.5615555361874"/>
    <n v="1"/>
    <n v="0"/>
    <n v="0"/>
    <n v="0"/>
    <n v="0"/>
    <n v="0"/>
    <n v="0"/>
    <n v="0"/>
    <n v="0"/>
    <n v="0"/>
  </r>
  <r>
    <d v="2014-08-13T00:00:00"/>
    <n v="2014"/>
    <x v="31"/>
    <s v="R"/>
    <s v="RS"/>
    <x v="3"/>
    <s v="WAS"/>
    <s v="A"/>
    <n v="2"/>
    <n v="2"/>
    <n v="0"/>
    <n v="0"/>
    <n v="0"/>
    <n v="0"/>
    <n v="1483.580824519913"/>
    <n v="1511.410168093686"/>
    <n v="0.34440127020567807"/>
    <n v="72"/>
    <n v="69"/>
    <n v="0"/>
    <n v="3"/>
    <n v="1"/>
    <n v="0.28360637179830289"/>
    <n v="1"/>
    <n v="71.2"/>
    <n v="71.2"/>
    <n v="13.238356770413105"/>
    <n v="1496.819181290326"/>
    <n v="1"/>
    <n v="0"/>
    <n v="0"/>
    <n v="0"/>
    <n v="0"/>
    <n v="0"/>
    <n v="0"/>
    <n v="0"/>
    <n v="0"/>
    <n v="0"/>
  </r>
  <r>
    <d v="2014-08-13T00:00:00"/>
    <n v="2014"/>
    <x v="31"/>
    <s v="R"/>
    <s v="RS"/>
    <x v="9"/>
    <s v="CHI"/>
    <s v="H"/>
    <n v="2"/>
    <n v="2"/>
    <n v="0"/>
    <n v="0"/>
    <n v="0"/>
    <n v="0"/>
    <n v="1511.410168093686"/>
    <n v="1483.580824519913"/>
    <n v="0.65559872979432188"/>
    <n v="69"/>
    <n v="72"/>
    <n v="0"/>
    <n v="-3"/>
    <n v="0"/>
    <n v="0.28360637179830289"/>
    <n v="1"/>
    <n v="71.2"/>
    <n v="71.2"/>
    <n v="-13.238356770413102"/>
    <n v="1498.171811323273"/>
    <n v="0"/>
    <n v="1"/>
    <n v="0"/>
    <n v="0"/>
    <n v="0"/>
    <n v="0"/>
    <n v="0"/>
    <n v="0"/>
    <n v="0"/>
    <n v="0"/>
  </r>
  <r>
    <d v="2014-08-14T00:00:00"/>
    <n v="2014"/>
    <x v="31"/>
    <s v="R"/>
    <s v="RS"/>
    <x v="4"/>
    <s v="IND"/>
    <s v="A"/>
    <n v="1"/>
    <n v="3"/>
    <n v="-2"/>
    <n v="2"/>
    <n v="-16"/>
    <n v="16"/>
    <n v="1411.1569214244332"/>
    <n v="1484.3824592964088"/>
    <n v="0.25175581288975918"/>
    <n v="63"/>
    <n v="76"/>
    <n v="0"/>
    <n v="-13"/>
    <n v="0"/>
    <n v="0.44489565275582665"/>
    <n v="1"/>
    <n v="71.2"/>
    <n v="71.2"/>
    <n v="-7.9747607497992181"/>
    <n v="1403.1821606746339"/>
    <n v="0"/>
    <n v="1"/>
    <n v="0"/>
    <n v="0"/>
    <n v="0"/>
    <n v="0"/>
    <n v="0"/>
    <n v="0"/>
    <n v="0"/>
    <n v="0"/>
  </r>
  <r>
    <d v="2014-08-14T00:00:00"/>
    <n v="2014"/>
    <x v="31"/>
    <s v="R"/>
    <s v="RS"/>
    <x v="2"/>
    <s v="NYL"/>
    <s v="H"/>
    <n v="3"/>
    <n v="1"/>
    <n v="2"/>
    <n v="-2"/>
    <n v="16"/>
    <n v="-16"/>
    <n v="1484.3824592964088"/>
    <n v="1411.1569214244332"/>
    <n v="0.74824418711024088"/>
    <n v="76"/>
    <n v="63"/>
    <n v="0"/>
    <n v="13"/>
    <n v="1"/>
    <n v="0.44489565275582665"/>
    <n v="1"/>
    <n v="71.2"/>
    <n v="71.2"/>
    <n v="7.9747607497992163"/>
    <n v="1492.3572200462081"/>
    <n v="1"/>
    <n v="0"/>
    <n v="0"/>
    <n v="0"/>
    <n v="0"/>
    <n v="0"/>
    <n v="0"/>
    <n v="0"/>
    <n v="0"/>
    <n v="0"/>
  </r>
  <r>
    <d v="2014-08-15T00:00:00"/>
    <n v="2014"/>
    <x v="32"/>
    <s v="R"/>
    <s v="RS"/>
    <x v="11"/>
    <s v="ATL"/>
    <s v="A"/>
    <n v="4"/>
    <n v="1"/>
    <n v="3"/>
    <n v="-3"/>
    <n v="16"/>
    <n v="-16"/>
    <n v="1431.1103050843487"/>
    <n v="1519.5615555361874"/>
    <n v="0.30820971931617147"/>
    <n v="76"/>
    <n v="92"/>
    <n v="0"/>
    <n v="-16"/>
    <n v="0"/>
    <n v="0.48224039405307684"/>
    <n v="1"/>
    <n v="71.05"/>
    <n v="71.05"/>
    <n v="-10.560245089900031"/>
    <n v="1420.5500599944487"/>
    <n v="0"/>
    <n v="1"/>
    <n v="0"/>
    <n v="0"/>
    <n v="0"/>
    <n v="0"/>
    <n v="0"/>
    <n v="0"/>
    <n v="0"/>
    <n v="0"/>
  </r>
  <r>
    <d v="2014-08-15T00:00:00"/>
    <n v="2014"/>
    <x v="32"/>
    <s v="R"/>
    <s v="RS"/>
    <x v="1"/>
    <s v="TUL"/>
    <s v="H"/>
    <n v="1"/>
    <n v="4"/>
    <n v="-3"/>
    <n v="3"/>
    <n v="-16"/>
    <n v="16"/>
    <n v="1519.5615555361874"/>
    <n v="1431.1103050843487"/>
    <n v="0.69179028068382853"/>
    <n v="92"/>
    <n v="76"/>
    <n v="0"/>
    <n v="16"/>
    <n v="1"/>
    <n v="0.48224039405307684"/>
    <n v="1"/>
    <n v="71.05"/>
    <n v="71.05"/>
    <n v="10.560245089900031"/>
    <n v="1530.1218006260874"/>
    <n v="1"/>
    <n v="0"/>
    <n v="0"/>
    <n v="0"/>
    <n v="0"/>
    <n v="0"/>
    <n v="0"/>
    <n v="0"/>
    <n v="0"/>
    <n v="0"/>
  </r>
  <r>
    <d v="2014-08-15T00:00:00"/>
    <n v="2014"/>
    <x v="32"/>
    <s v="R"/>
    <s v="RS"/>
    <x v="9"/>
    <s v="CON"/>
    <s v="A"/>
    <n v="1"/>
    <n v="4"/>
    <n v="-3"/>
    <n v="3"/>
    <n v="-16"/>
    <n v="16"/>
    <n v="1498.171811323273"/>
    <n v="1409.6831640048729"/>
    <n v="0.46049052267654389"/>
    <n v="71"/>
    <n v="67"/>
    <n v="0"/>
    <n v="4"/>
    <n v="1"/>
    <n v="0.29004468348435897"/>
    <n v="1"/>
    <n v="71.05"/>
    <n v="71.05"/>
    <n v="11.118035839463012"/>
    <n v="1509.2898471627361"/>
    <n v="1"/>
    <n v="0"/>
    <n v="0"/>
    <n v="0"/>
    <n v="0"/>
    <n v="0"/>
    <n v="0"/>
    <n v="0"/>
    <n v="0"/>
    <n v="0"/>
  </r>
  <r>
    <d v="2014-08-15T00:00:00"/>
    <n v="2014"/>
    <x v="32"/>
    <s v="R"/>
    <s v="RS"/>
    <x v="5"/>
    <s v="WAS"/>
    <s v="H"/>
    <n v="4"/>
    <n v="1"/>
    <n v="3"/>
    <n v="-3"/>
    <n v="16"/>
    <n v="-16"/>
    <n v="1409.6831640048729"/>
    <n v="1498.171811323273"/>
    <n v="0.53950947732345611"/>
    <n v="67"/>
    <n v="71"/>
    <n v="0"/>
    <n v="-4"/>
    <n v="0"/>
    <n v="0.29004468348435897"/>
    <n v="1"/>
    <n v="71.05"/>
    <n v="71.05"/>
    <n v="-11.118035839463012"/>
    <n v="1398.5651281654098"/>
    <n v="0"/>
    <n v="1"/>
    <n v="0"/>
    <n v="0"/>
    <n v="0"/>
    <n v="0"/>
    <n v="0"/>
    <n v="0"/>
    <n v="0"/>
    <n v="0"/>
  </r>
  <r>
    <d v="2014-08-15T00:00:00"/>
    <n v="2014"/>
    <x v="32"/>
    <s v="R"/>
    <s v="RS"/>
    <x v="7"/>
    <s v="LAS"/>
    <s v="A"/>
    <n v="4"/>
    <n v="2"/>
    <n v="2"/>
    <n v="-2"/>
    <n v="16"/>
    <n v="-16"/>
    <n v="1425.7947237558224"/>
    <n v="1530.0459131000505"/>
    <n v="0.28916268296850223"/>
    <n v="65"/>
    <n v="77"/>
    <n v="0"/>
    <n v="-12"/>
    <n v="0"/>
    <n v="0.41967018022583269"/>
    <n v="1"/>
    <n v="71.05"/>
    <n v="71.05"/>
    <n v="-8.6221274723581409"/>
    <n v="1417.1725962834641"/>
    <n v="0"/>
    <n v="1"/>
    <n v="0"/>
    <n v="0"/>
    <n v="0"/>
    <n v="0"/>
    <n v="0"/>
    <n v="0"/>
    <n v="0"/>
    <n v="0"/>
  </r>
  <r>
    <d v="2014-08-15T00:00:00"/>
    <n v="2014"/>
    <x v="32"/>
    <s v="R"/>
    <s v="RS"/>
    <x v="6"/>
    <s v="SEA"/>
    <s v="H"/>
    <n v="2"/>
    <n v="4"/>
    <n v="-2"/>
    <n v="2"/>
    <n v="-16"/>
    <n v="16"/>
    <n v="1530.0459131000505"/>
    <n v="1425.7947237558224"/>
    <n v="0.71083731703149777"/>
    <n v="77"/>
    <n v="65"/>
    <n v="0"/>
    <n v="12"/>
    <n v="1"/>
    <n v="0.41967018022583269"/>
    <n v="1"/>
    <n v="71.05"/>
    <n v="71.05"/>
    <n v="8.6221274723581409"/>
    <n v="1538.6680405724087"/>
    <n v="1"/>
    <n v="0"/>
    <n v="0"/>
    <n v="0"/>
    <n v="0"/>
    <n v="0"/>
    <n v="0"/>
    <n v="0"/>
    <n v="0"/>
    <n v="0"/>
  </r>
  <r>
    <d v="2014-08-15T00:00:00"/>
    <n v="2014"/>
    <x v="32"/>
    <s v="R"/>
    <s v="RS"/>
    <x v="8"/>
    <s v="SAS"/>
    <s v="A"/>
    <n v="2"/>
    <n v="4"/>
    <n v="-2"/>
    <n v="2"/>
    <n v="-16"/>
    <n v="16"/>
    <n v="1673.0207018353981"/>
    <n v="1426.7899463999649"/>
    <n v="0.67910646057837232"/>
    <n v="76"/>
    <n v="92"/>
    <n v="0"/>
    <n v="-16"/>
    <n v="0"/>
    <n v="0.4296293910227344"/>
    <n v="1"/>
    <n v="71.05"/>
    <n v="71.05"/>
    <n v="-20.729838956705134"/>
    <n v="1652.2908628786929"/>
    <n v="0"/>
    <n v="1"/>
    <n v="0"/>
    <n v="0"/>
    <n v="0"/>
    <n v="0"/>
    <n v="0"/>
    <n v="0"/>
    <n v="0"/>
    <n v="0"/>
  </r>
  <r>
    <d v="2014-08-15T00:00:00"/>
    <n v="2014"/>
    <x v="32"/>
    <s v="R"/>
    <s v="RS"/>
    <x v="0"/>
    <s v="MIN"/>
    <s v="H"/>
    <n v="4"/>
    <n v="2"/>
    <n v="2"/>
    <n v="-2"/>
    <n v="16"/>
    <n v="-16"/>
    <n v="1426.7899463999649"/>
    <n v="1673.0207018353981"/>
    <n v="0.32089353942162763"/>
    <n v="92"/>
    <n v="76"/>
    <n v="0"/>
    <n v="16"/>
    <n v="1"/>
    <n v="0.4296293910227344"/>
    <n v="1"/>
    <n v="71.05"/>
    <n v="71.05"/>
    <n v="20.729838956705134"/>
    <n v="1447.5197853566701"/>
    <n v="1"/>
    <n v="0"/>
    <n v="0"/>
    <n v="0"/>
    <n v="0"/>
    <n v="0"/>
    <n v="0"/>
    <n v="0"/>
    <n v="0"/>
    <n v="0"/>
  </r>
  <r>
    <d v="2014-08-16T00:00:00"/>
    <n v="2014"/>
    <x v="32"/>
    <s v="R"/>
    <s v="RS"/>
    <x v="3"/>
    <s v="IND"/>
    <s v="A"/>
    <n v="2"/>
    <n v="1"/>
    <n v="1"/>
    <n v="-1"/>
    <n v="8"/>
    <n v="-8"/>
    <n v="1496.819181290326"/>
    <n v="1492.3572200462081"/>
    <n v="0.40956731673018787"/>
    <n v="67"/>
    <n v="71"/>
    <n v="0"/>
    <n v="-4"/>
    <n v="0"/>
    <n v="0.31027902408693048"/>
    <n v="1"/>
    <n v="71.05"/>
    <n v="71.05"/>
    <n v="-9.0290444680057735"/>
    <n v="1487.7901368223202"/>
    <n v="0"/>
    <n v="1"/>
    <n v="0"/>
    <n v="0"/>
    <n v="0"/>
    <n v="0"/>
    <n v="0"/>
    <n v="0"/>
    <n v="0"/>
    <n v="0"/>
  </r>
  <r>
    <d v="2014-08-16T00:00:00"/>
    <n v="2014"/>
    <x v="32"/>
    <s v="R"/>
    <s v="RS"/>
    <x v="2"/>
    <s v="CHI"/>
    <s v="H"/>
    <n v="1"/>
    <n v="2"/>
    <n v="-1"/>
    <n v="1"/>
    <n v="-8"/>
    <n v="8"/>
    <n v="1492.3572200462081"/>
    <n v="1496.819181290326"/>
    <n v="0.59043268326981213"/>
    <n v="71"/>
    <n v="67"/>
    <n v="0"/>
    <n v="4"/>
    <n v="1"/>
    <n v="0.31027902408693048"/>
    <n v="1"/>
    <n v="71.05"/>
    <n v="71.05"/>
    <n v="9.0290444680057735"/>
    <n v="1501.386264514214"/>
    <n v="1"/>
    <n v="0"/>
    <n v="0"/>
    <n v="0"/>
    <n v="0"/>
    <n v="0"/>
    <n v="0"/>
    <n v="0"/>
    <n v="0"/>
    <n v="0"/>
  </r>
  <r>
    <d v="2014-08-16T00:00:00"/>
    <n v="2014"/>
    <x v="33"/>
    <s v="R"/>
    <s v="RS"/>
    <x v="11"/>
    <s v="MIN"/>
    <s v="A"/>
    <n v="0"/>
    <n v="0"/>
    <n v="0"/>
    <n v="0"/>
    <n v="0"/>
    <n v="0"/>
    <n v="1420.5500599944487"/>
    <n v="1652.2908628786929"/>
    <n v="0.13972809348420823"/>
    <n v="63"/>
    <n v="80"/>
    <n v="0"/>
    <n v="-17"/>
    <n v="0"/>
    <n v="0.44626127970319091"/>
    <n v="1"/>
    <n v="70.900000000000006"/>
    <n v="70.900000000000006"/>
    <n v="-4.4209863606403648"/>
    <n v="1416.1290736338083"/>
    <n v="0"/>
    <n v="1"/>
    <n v="0"/>
    <n v="0"/>
    <n v="0"/>
    <n v="0"/>
    <n v="0"/>
    <n v="0"/>
    <n v="0"/>
    <n v="0"/>
  </r>
  <r>
    <d v="2014-08-16T00:00:00"/>
    <n v="2014"/>
    <x v="33"/>
    <s v="R"/>
    <s v="RS"/>
    <x v="8"/>
    <s v="TUL"/>
    <s v="H"/>
    <n v="0"/>
    <n v="0"/>
    <n v="0"/>
    <n v="0"/>
    <n v="0"/>
    <n v="0"/>
    <n v="1652.2908628786929"/>
    <n v="1420.5500599944487"/>
    <n v="0.86027190651579177"/>
    <n v="80"/>
    <n v="63"/>
    <n v="0"/>
    <n v="17"/>
    <n v="1"/>
    <n v="0.44626127970319091"/>
    <n v="1"/>
    <n v="70.900000000000006"/>
    <n v="70.900000000000006"/>
    <n v="4.4209863606403648"/>
    <n v="1656.7118492393333"/>
    <n v="1"/>
    <n v="0"/>
    <n v="0"/>
    <n v="0"/>
    <n v="0"/>
    <n v="0"/>
    <n v="0"/>
    <n v="0"/>
    <n v="0"/>
    <n v="0"/>
  </r>
  <r>
    <d v="2014-08-16T00:00:00"/>
    <n v="2014"/>
    <x v="33"/>
    <s v="R"/>
    <s v="RS"/>
    <x v="6"/>
    <s v="PHX"/>
    <s v="A"/>
    <n v="0"/>
    <n v="2"/>
    <n v="-2"/>
    <n v="2"/>
    <n v="-16"/>
    <n v="16"/>
    <n v="1538.6680405724087"/>
    <n v="1695.8902787563609"/>
    <n v="0.17181850204406918"/>
    <n v="69"/>
    <n v="76"/>
    <n v="0"/>
    <n v="-7"/>
    <n v="0"/>
    <n v="0.32723351746642149"/>
    <n v="1"/>
    <n v="70.900000000000006"/>
    <n v="70.900000000000006"/>
    <n v="-3.9863363907891833"/>
    <n v="1534.6817041816196"/>
    <n v="0"/>
    <n v="1"/>
    <n v="0"/>
    <n v="0"/>
    <n v="0"/>
    <n v="0"/>
    <n v="0"/>
    <n v="0"/>
    <n v="0"/>
    <n v="0"/>
  </r>
  <r>
    <d v="2014-08-16T00:00:00"/>
    <n v="2014"/>
    <x v="32"/>
    <s v="R"/>
    <s v="RS"/>
    <x v="10"/>
    <s v="LAS"/>
    <s v="H"/>
    <n v="2"/>
    <n v="0"/>
    <n v="2"/>
    <n v="-2"/>
    <n v="16"/>
    <n v="-16"/>
    <n v="1695.8902787563609"/>
    <n v="1538.6680405724087"/>
    <n v="0.82818149795593088"/>
    <n v="76"/>
    <n v="69"/>
    <n v="0"/>
    <n v="7"/>
    <n v="1"/>
    <n v="0.32723351746642149"/>
    <n v="1"/>
    <n v="71.05"/>
    <n v="71.05"/>
    <n v="3.9947701067076355"/>
    <n v="1699.8850488630685"/>
    <n v="1"/>
    <n v="0"/>
    <n v="0"/>
    <n v="0"/>
    <n v="0"/>
    <n v="0"/>
    <n v="0"/>
    <n v="0"/>
    <n v="0"/>
    <n v="0"/>
  </r>
  <r>
    <d v="2014-08-16T00:00:00"/>
    <n v="2014"/>
    <x v="32"/>
    <s v="R"/>
    <s v="RS"/>
    <x v="4"/>
    <s v="WAS"/>
    <s v="A"/>
    <n v="1"/>
    <n v="0"/>
    <n v="1"/>
    <n v="-1"/>
    <n v="8"/>
    <n v="-8"/>
    <n v="1403.1821606746339"/>
    <n v="1509.2898471627361"/>
    <n v="0.2685003727434393"/>
    <n v="73"/>
    <n v="61"/>
    <n v="0"/>
    <n v="12"/>
    <n v="1"/>
    <n v="0.41907366242028077"/>
    <n v="1"/>
    <n v="71.05"/>
    <n v="71.05"/>
    <n v="21.78053578898955"/>
    <n v="1424.9626964636234"/>
    <n v="1"/>
    <n v="0"/>
    <n v="0"/>
    <n v="0"/>
    <n v="0"/>
    <n v="0"/>
    <n v="0"/>
    <n v="0"/>
    <n v="0"/>
    <n v="0"/>
  </r>
  <r>
    <d v="2014-08-16T00:00:00"/>
    <n v="2014"/>
    <x v="33"/>
    <s v="R"/>
    <s v="RS"/>
    <x v="9"/>
    <s v="NYL"/>
    <s v="H"/>
    <n v="0"/>
    <n v="1"/>
    <n v="-1"/>
    <n v="1"/>
    <n v="-8"/>
    <n v="8"/>
    <n v="1509.2898471627361"/>
    <n v="1403.1821606746339"/>
    <n v="0.7314996272565607"/>
    <n v="61"/>
    <n v="73"/>
    <n v="0"/>
    <n v="-12"/>
    <n v="0"/>
    <n v="0.41907366242028077"/>
    <n v="1"/>
    <n v="70.900000000000006"/>
    <n v="70.900000000000006"/>
    <n v="-21.73455295481153"/>
    <n v="1487.5552942079246"/>
    <n v="0"/>
    <n v="1"/>
    <n v="0"/>
    <n v="0"/>
    <n v="0"/>
    <n v="0"/>
    <n v="0"/>
    <n v="0"/>
    <n v="0"/>
    <n v="0"/>
  </r>
  <r>
    <d v="2014-08-17T00:00:00"/>
    <n v="2014"/>
    <x v="33"/>
    <s v="R"/>
    <s v="RS"/>
    <x v="0"/>
    <s v="CHI"/>
    <s v="A"/>
    <n v="1"/>
    <n v="0"/>
    <n v="1"/>
    <n v="-1"/>
    <n v="8"/>
    <n v="-8"/>
    <n v="1447.5197853566701"/>
    <n v="1487.7901368223202"/>
    <n v="0.34904168689145465"/>
    <n v="84"/>
    <n v="72"/>
    <n v="0"/>
    <n v="12"/>
    <n v="1"/>
    <n v="0.44131937125242821"/>
    <n v="1"/>
    <n v="70.900000000000006"/>
    <n v="70.900000000000006"/>
    <n v="20.368188403789663"/>
    <n v="1467.8879737604598"/>
    <n v="1"/>
    <n v="0"/>
    <n v="0"/>
    <n v="0"/>
    <n v="0"/>
    <n v="0"/>
    <n v="0"/>
    <n v="0"/>
    <n v="0"/>
    <n v="0"/>
  </r>
  <r>
    <d v="2014-08-17T00:00:00"/>
    <n v="2014"/>
    <x v="33"/>
    <s v="R"/>
    <s v="RS"/>
    <x v="3"/>
    <s v="SAS"/>
    <s v="H"/>
    <n v="0"/>
    <n v="1"/>
    <n v="-1"/>
    <n v="1"/>
    <n v="-8"/>
    <n v="8"/>
    <n v="1487.7901368223202"/>
    <n v="1447.5197853566701"/>
    <n v="0.65095831310854535"/>
    <n v="72"/>
    <n v="84"/>
    <n v="0"/>
    <n v="-12"/>
    <n v="0"/>
    <n v="0.44131937125242821"/>
    <n v="1"/>
    <n v="70.900000000000006"/>
    <n v="70.900000000000006"/>
    <n v="-20.368188403789663"/>
    <n v="1467.4219484185305"/>
    <n v="0"/>
    <n v="1"/>
    <n v="0"/>
    <n v="0"/>
    <n v="0"/>
    <n v="0"/>
    <n v="0"/>
    <n v="0"/>
    <n v="0"/>
    <n v="0"/>
  </r>
  <r>
    <d v="2014-08-17T00:00:00"/>
    <n v="2014"/>
    <x v="33"/>
    <s v="R"/>
    <s v="RS"/>
    <x v="1"/>
    <s v="CON"/>
    <s v="A"/>
    <n v="1"/>
    <n v="1"/>
    <n v="0"/>
    <n v="0"/>
    <n v="0"/>
    <n v="0"/>
    <n v="1530.1218006260874"/>
    <n v="1398.5651281654098"/>
    <n v="0.56801530703562242"/>
    <n v="55"/>
    <n v="84"/>
    <n v="0"/>
    <n v="-29"/>
    <n v="0"/>
    <n v="0.62305687859307335"/>
    <n v="1"/>
    <n v="70.900000000000006"/>
    <n v="70.900000000000006"/>
    <n v="-25.091924353404309"/>
    <n v="1505.0298762726832"/>
    <n v="0"/>
    <n v="1"/>
    <n v="0"/>
    <n v="0"/>
    <n v="0"/>
    <n v="0"/>
    <n v="0"/>
    <n v="0"/>
    <n v="0"/>
    <n v="0"/>
  </r>
  <r>
    <d v="2014-08-17T00:00:00"/>
    <n v="2014"/>
    <x v="33"/>
    <s v="R"/>
    <s v="RS"/>
    <x v="5"/>
    <s v="ATL"/>
    <s v="H"/>
    <n v="1"/>
    <n v="1"/>
    <n v="0"/>
    <n v="0"/>
    <n v="0"/>
    <n v="0"/>
    <n v="1398.5651281654098"/>
    <n v="1530.1218006260874"/>
    <n v="0.43198469296437764"/>
    <n v="84"/>
    <n v="55"/>
    <n v="0"/>
    <n v="29"/>
    <n v="1"/>
    <n v="0.62305687859307335"/>
    <n v="1"/>
    <n v="70.900000000000006"/>
    <n v="70.900000000000006"/>
    <n v="25.091924353404309"/>
    <n v="1423.657052518814"/>
    <n v="1"/>
    <n v="0"/>
    <n v="0"/>
    <n v="0"/>
    <n v="0"/>
    <n v="0"/>
    <n v="0"/>
    <n v="0"/>
    <n v="0"/>
    <n v="0"/>
  </r>
  <r>
    <d v="2014-08-17T00:00:00"/>
    <n v="2014"/>
    <x v="33"/>
    <s v="R"/>
    <s v="RS"/>
    <x v="2"/>
    <s v="NYL"/>
    <s v="A"/>
    <n v="0"/>
    <n v="0"/>
    <n v="0"/>
    <n v="0"/>
    <n v="0"/>
    <n v="0"/>
    <n v="1501.386264514214"/>
    <n v="1424.9626964636234"/>
    <n v="0.48909836593442307"/>
    <n v="61"/>
    <n v="73"/>
    <n v="0"/>
    <n v="-12"/>
    <n v="0"/>
    <n v="0.42881951210583935"/>
    <n v="1"/>
    <n v="70.900000000000006"/>
    <n v="70.900000000000006"/>
    <n v="-14.870206016009968"/>
    <n v="1486.5160584982041"/>
    <n v="0"/>
    <n v="1"/>
    <n v="0"/>
    <n v="0"/>
    <n v="0"/>
    <n v="0"/>
    <n v="0"/>
    <n v="0"/>
    <n v="0"/>
    <n v="0"/>
  </r>
  <r>
    <d v="2014-08-17T00:00:00"/>
    <n v="2014"/>
    <x v="33"/>
    <s v="R"/>
    <s v="RS"/>
    <x v="4"/>
    <s v="IND"/>
    <s v="H"/>
    <n v="0"/>
    <n v="0"/>
    <n v="0"/>
    <n v="0"/>
    <n v="0"/>
    <n v="0"/>
    <n v="1424.9626964636234"/>
    <n v="1501.386264514214"/>
    <n v="0.51090163406557687"/>
    <n v="73"/>
    <n v="61"/>
    <n v="0"/>
    <n v="12"/>
    <n v="1"/>
    <n v="0.42881951210583935"/>
    <n v="1"/>
    <n v="70.900000000000006"/>
    <n v="70.900000000000006"/>
    <n v="14.87020601600997"/>
    <n v="1439.8329024796333"/>
    <n v="1"/>
    <n v="0"/>
    <n v="0"/>
    <n v="0"/>
    <n v="0"/>
    <n v="0"/>
    <n v="0"/>
    <n v="0"/>
    <n v="0"/>
    <n v="0"/>
  </r>
  <r>
    <d v="2014-08-17T00:00:00"/>
    <n v="2014"/>
    <x v="33"/>
    <s v="R"/>
    <s v="RS"/>
    <x v="10"/>
    <s v="SEA"/>
    <s v="A"/>
    <n v="0"/>
    <n v="1"/>
    <n v="-1"/>
    <n v="1"/>
    <n v="-8"/>
    <n v="8"/>
    <n v="1699.8850488630685"/>
    <n v="1417.1725962834641"/>
    <n v="0.74111606728774693"/>
    <n v="78"/>
    <n v="65"/>
    <n v="0"/>
    <n v="13"/>
    <n v="1"/>
    <n v="0.38203800459855458"/>
    <n v="1"/>
    <n v="70.900000000000006"/>
    <n v="70.900000000000006"/>
    <n v="7.012258226289509"/>
    <n v="1706.897307089358"/>
    <n v="1"/>
    <n v="0"/>
    <n v="0"/>
    <n v="0"/>
    <n v="0"/>
    <n v="0"/>
    <n v="0"/>
    <n v="0"/>
    <n v="0"/>
    <n v="0"/>
  </r>
  <r>
    <d v="2014-08-17T00:00:00"/>
    <n v="2014"/>
    <x v="33"/>
    <s v="R"/>
    <s v="RS"/>
    <x v="7"/>
    <s v="PHX"/>
    <s v="H"/>
    <n v="1"/>
    <n v="0"/>
    <n v="1"/>
    <n v="-1"/>
    <n v="8"/>
    <n v="-8"/>
    <n v="1417.1725962834641"/>
    <n v="1699.8850488630685"/>
    <n v="0.25888393271225302"/>
    <n v="65"/>
    <n v="78"/>
    <n v="0"/>
    <n v="-13"/>
    <n v="0"/>
    <n v="0.38203800459855458"/>
    <n v="1"/>
    <n v="70.900000000000006"/>
    <n v="70.900000000000006"/>
    <n v="-7.0122582262895081"/>
    <n v="1410.1603380571746"/>
    <n v="0"/>
    <n v="1"/>
    <n v="0"/>
    <n v="0"/>
    <n v="0"/>
    <n v="0"/>
    <n v="0"/>
    <n v="0"/>
    <n v="0"/>
    <n v="0"/>
  </r>
  <r>
    <d v="2014-08-21T00:00:00"/>
    <n v="2014"/>
    <x v="34"/>
    <s v="P"/>
    <n v="1"/>
    <x v="9"/>
    <s v="IND"/>
    <s v="A"/>
    <n v="4"/>
    <n v="3"/>
    <n v="1"/>
    <n v="-1"/>
    <n v="8"/>
    <n v="-8"/>
    <n v="1487.5552942079246"/>
    <n v="1486.5160584982041"/>
    <n v="0.40481137742445855"/>
    <n v="73"/>
    <n v="78"/>
    <n v="0"/>
    <n v="-5"/>
    <n v="0"/>
    <n v="0.33146891351825569"/>
    <n v="1.1000000000000001"/>
    <n v="70.75"/>
    <n v="77.825000000000003"/>
    <n v="-10.442744303663103"/>
    <n v="1477.1125499042614"/>
    <n v="0"/>
    <n v="0"/>
    <n v="0"/>
    <n v="1"/>
    <n v="0"/>
    <n v="0"/>
    <n v="0"/>
    <n v="0"/>
    <n v="0"/>
    <n v="0"/>
  </r>
  <r>
    <d v="2014-08-21T00:00:00"/>
    <n v="2014"/>
    <x v="34"/>
    <s v="P"/>
    <n v="1"/>
    <x v="2"/>
    <s v="WAS"/>
    <s v="H"/>
    <n v="3"/>
    <n v="4"/>
    <n v="-1"/>
    <n v="1"/>
    <n v="-8"/>
    <n v="8"/>
    <n v="1486.5160584982041"/>
    <n v="1487.5552942079246"/>
    <n v="0.5951886225755415"/>
    <n v="78"/>
    <n v="73"/>
    <n v="0"/>
    <n v="5"/>
    <n v="1"/>
    <n v="0.33146891351825569"/>
    <n v="1.1000000000000001"/>
    <n v="70.75"/>
    <n v="77.825000000000003"/>
    <n v="10.442744303663103"/>
    <n v="1496.9588028018673"/>
    <n v="0"/>
    <n v="0"/>
    <n v="1"/>
    <n v="0"/>
    <n v="0"/>
    <n v="0"/>
    <n v="0"/>
    <n v="0"/>
    <n v="0"/>
    <n v="0"/>
  </r>
  <r>
    <d v="2014-08-21T00:00:00"/>
    <n v="2014"/>
    <x v="34"/>
    <s v="P"/>
    <n v="1"/>
    <x v="0"/>
    <s v="MIN"/>
    <s v="A"/>
    <n v="3"/>
    <n v="4"/>
    <n v="-1"/>
    <n v="1"/>
    <n v="-8"/>
    <n v="8"/>
    <n v="1467.8879737604598"/>
    <n v="1656.7118492393333"/>
    <n v="0.15941276724079881"/>
    <n v="84"/>
    <n v="88"/>
    <n v="0"/>
    <n v="-4"/>
    <n v="0"/>
    <n v="0.26909047898949384"/>
    <n v="1.1000000000000001"/>
    <n v="70.75"/>
    <n v="77.825000000000003"/>
    <n v="-3.3384168355902184"/>
    <n v="1464.5495569248696"/>
    <n v="0"/>
    <n v="0"/>
    <n v="0"/>
    <n v="1"/>
    <n v="0"/>
    <n v="0"/>
    <n v="0"/>
    <n v="0"/>
    <n v="0"/>
    <n v="0"/>
  </r>
  <r>
    <d v="2014-08-21T00:00:00"/>
    <n v="2014"/>
    <x v="34"/>
    <s v="P"/>
    <n v="1"/>
    <x v="8"/>
    <s v="SAS"/>
    <s v="H"/>
    <n v="4"/>
    <n v="3"/>
    <n v="1"/>
    <n v="-1"/>
    <n v="8"/>
    <n v="-8"/>
    <n v="1656.7118492393333"/>
    <n v="1467.8879737604598"/>
    <n v="0.84058723275920122"/>
    <n v="88"/>
    <n v="84"/>
    <n v="0"/>
    <n v="4"/>
    <n v="1"/>
    <n v="0.26909047898949384"/>
    <n v="1.1000000000000001"/>
    <n v="70.75"/>
    <n v="77.825000000000003"/>
    <n v="3.3384168355902175"/>
    <n v="1660.0502660749235"/>
    <n v="0"/>
    <n v="0"/>
    <n v="1"/>
    <n v="0"/>
    <n v="0"/>
    <n v="0"/>
    <n v="0"/>
    <n v="0"/>
    <n v="0"/>
    <n v="0"/>
  </r>
  <r>
    <d v="2014-08-22T00:00:00"/>
    <n v="2014"/>
    <x v="34"/>
    <s v="P"/>
    <n v="1"/>
    <x v="3"/>
    <s v="ATL"/>
    <s v="A"/>
    <n v="4"/>
    <n v="4"/>
    <n v="0"/>
    <n v="0"/>
    <n v="0"/>
    <n v="0"/>
    <n v="1467.4219484185305"/>
    <n v="1505.0298762726832"/>
    <n v="0.33180524287856561"/>
    <n v="80"/>
    <n v="77"/>
    <n v="0"/>
    <n v="3"/>
    <n v="1"/>
    <n v="0.28136554193072855"/>
    <n v="1.1000000000000001"/>
    <n v="70.75"/>
    <n v="77.825000000000003"/>
    <n v="14.631643214822297"/>
    <n v="1482.0535916333529"/>
    <n v="0"/>
    <n v="0"/>
    <n v="1"/>
    <n v="0"/>
    <n v="0"/>
    <n v="0"/>
    <n v="0"/>
    <n v="0"/>
    <n v="0"/>
    <n v="0"/>
  </r>
  <r>
    <d v="2014-08-22T00:00:00"/>
    <n v="2014"/>
    <x v="34"/>
    <s v="P"/>
    <n v="1"/>
    <x v="1"/>
    <s v="CHI"/>
    <s v="H"/>
    <n v="4"/>
    <n v="4"/>
    <n v="0"/>
    <n v="0"/>
    <n v="0"/>
    <n v="0"/>
    <n v="1505.0298762726832"/>
    <n v="1467.4219484185305"/>
    <n v="0.66819475712143439"/>
    <n v="77"/>
    <n v="80"/>
    <n v="0"/>
    <n v="-3"/>
    <n v="0"/>
    <n v="0.28136554193072855"/>
    <n v="1.1000000000000001"/>
    <n v="70.75"/>
    <n v="77.825000000000003"/>
    <n v="-14.631643214822297"/>
    <n v="1490.3982330578608"/>
    <n v="0"/>
    <n v="0"/>
    <n v="0"/>
    <n v="1"/>
    <n v="0"/>
    <n v="0"/>
    <n v="0"/>
    <n v="0"/>
    <n v="0"/>
    <n v="0"/>
  </r>
  <r>
    <d v="2014-08-22T00:00:00"/>
    <n v="2014"/>
    <x v="34"/>
    <s v="P"/>
    <n v="1"/>
    <x v="6"/>
    <s v="PHX"/>
    <s v="A"/>
    <n v="5"/>
    <n v="4"/>
    <n v="1"/>
    <n v="-1"/>
    <n v="8"/>
    <n v="-8"/>
    <n v="1534.6817041816196"/>
    <n v="1706.897307089358"/>
    <n v="0.20056094001829874"/>
    <n v="72"/>
    <n v="75"/>
    <n v="0"/>
    <n v="-3"/>
    <n v="0"/>
    <n v="0.25376495106203978"/>
    <n v="1.1000000000000001"/>
    <n v="70.75"/>
    <n v="77.825000000000003"/>
    <n v="-3.9609296120410988"/>
    <n v="1530.7207745695785"/>
    <n v="0"/>
    <n v="0"/>
    <n v="0"/>
    <n v="1"/>
    <n v="0"/>
    <n v="0"/>
    <n v="0"/>
    <n v="0"/>
    <n v="0"/>
    <n v="0"/>
  </r>
  <r>
    <d v="2014-08-22T00:00:00"/>
    <n v="2014"/>
    <x v="34"/>
    <s v="P"/>
    <n v="1"/>
    <x v="10"/>
    <s v="LAS"/>
    <s v="H"/>
    <n v="4"/>
    <n v="5"/>
    <n v="-1"/>
    <n v="1"/>
    <n v="-8"/>
    <n v="8"/>
    <n v="1706.897307089358"/>
    <n v="1534.6817041816196"/>
    <n v="0.79943905998170128"/>
    <n v="75"/>
    <n v="72"/>
    <n v="0"/>
    <n v="3"/>
    <n v="1"/>
    <n v="0.25376495106203978"/>
    <n v="1.1000000000000001"/>
    <n v="70.75"/>
    <n v="77.825000000000003"/>
    <n v="3.9609296120410984"/>
    <n v="1710.8582367013992"/>
    <n v="0"/>
    <n v="0"/>
    <n v="1"/>
    <n v="0"/>
    <n v="0"/>
    <n v="0"/>
    <n v="0"/>
    <n v="0"/>
    <n v="0"/>
    <n v="0"/>
  </r>
  <r>
    <d v="2014-08-23T00:00:00"/>
    <n v="2014"/>
    <x v="35"/>
    <s v="P"/>
    <n v="1"/>
    <x v="8"/>
    <s v="SAS"/>
    <s v="A"/>
    <n v="1"/>
    <n v="1"/>
    <n v="0"/>
    <n v="0"/>
    <n v="0"/>
    <n v="0"/>
    <n v="1660.0502660749235"/>
    <n v="1464.5495569248696"/>
    <n v="0.65517146282001482"/>
    <n v="94"/>
    <n v="89"/>
    <n v="0"/>
    <n v="5"/>
    <n v="1"/>
    <n v="0.28527908867632834"/>
    <n v="1.1000000000000001"/>
    <n v="70.599999999999994"/>
    <n v="77.66"/>
    <n v="7.6395983191468693"/>
    <n v="1667.6898643940704"/>
    <n v="0"/>
    <n v="0"/>
    <n v="1"/>
    <n v="0"/>
    <n v="0"/>
    <n v="0"/>
    <n v="0"/>
    <n v="0"/>
    <n v="0"/>
    <n v="0"/>
  </r>
  <r>
    <d v="2014-08-23T00:00:00"/>
    <n v="2014"/>
    <x v="35"/>
    <s v="P"/>
    <n v="1"/>
    <x v="0"/>
    <s v="MIN"/>
    <s v="H"/>
    <n v="1"/>
    <n v="1"/>
    <n v="0"/>
    <n v="0"/>
    <n v="0"/>
    <n v="0"/>
    <n v="1464.5495569248696"/>
    <n v="1660.0502660749235"/>
    <n v="0.34482853717998513"/>
    <n v="89"/>
    <n v="94"/>
    <n v="0"/>
    <n v="-5"/>
    <n v="0"/>
    <n v="0.28527908867632834"/>
    <n v="1.1000000000000001"/>
    <n v="70.599999999999994"/>
    <n v="77.66"/>
    <n v="-7.6395983191468684"/>
    <n v="1456.9099586057227"/>
    <n v="0"/>
    <n v="0"/>
    <n v="0"/>
    <n v="1"/>
    <n v="0"/>
    <n v="0"/>
    <n v="0"/>
    <n v="0"/>
    <n v="0"/>
    <n v="0"/>
  </r>
  <r>
    <d v="2014-08-23T00:00:00"/>
    <n v="2014"/>
    <x v="35"/>
    <s v="P"/>
    <n v="1"/>
    <x v="2"/>
    <s v="WAS"/>
    <s v="A"/>
    <n v="1"/>
    <n v="1"/>
    <n v="0"/>
    <n v="0"/>
    <n v="0"/>
    <n v="0"/>
    <n v="1496.9588028018673"/>
    <n v="1477.1125499042614"/>
    <n v="0.40871050226806926"/>
    <n v="81"/>
    <n v="76"/>
    <n v="1"/>
    <n v="5"/>
    <n v="1"/>
    <n v="0.2937226331982864"/>
    <n v="1.1000000000000001"/>
    <n v="70.599999999999994"/>
    <n v="77.66"/>
    <n v="13.487608907185415"/>
    <n v="1510.4464117090527"/>
    <n v="0"/>
    <n v="0"/>
    <n v="1"/>
    <n v="0"/>
    <n v="0"/>
    <n v="0"/>
    <n v="0"/>
    <n v="0"/>
    <n v="0"/>
    <n v="0"/>
  </r>
  <r>
    <d v="2014-08-23T00:00:00"/>
    <n v="2014"/>
    <x v="35"/>
    <s v="P"/>
    <n v="1"/>
    <x v="9"/>
    <s v="IND"/>
    <s v="H"/>
    <n v="1"/>
    <n v="1"/>
    <n v="0"/>
    <n v="0"/>
    <n v="0"/>
    <n v="0"/>
    <n v="1477.1125499042614"/>
    <n v="1496.9588028018673"/>
    <n v="0.59128949773193074"/>
    <n v="76"/>
    <n v="81"/>
    <n v="1"/>
    <n v="-5"/>
    <n v="0"/>
    <n v="0.2937226331982864"/>
    <n v="1.1000000000000001"/>
    <n v="70.599999999999994"/>
    <n v="77.66"/>
    <n v="-13.487608907185415"/>
    <n v="1463.624940997076"/>
    <n v="0"/>
    <n v="0"/>
    <n v="0"/>
    <n v="1"/>
    <n v="0"/>
    <n v="0"/>
    <n v="0"/>
    <n v="0"/>
    <n v="0"/>
    <n v="0"/>
  </r>
  <r>
    <d v="2014-08-24T00:00:00"/>
    <n v="2014"/>
    <x v="35"/>
    <s v="P"/>
    <n v="1"/>
    <x v="1"/>
    <s v="CHI"/>
    <s v="A"/>
    <n v="1"/>
    <n v="1"/>
    <n v="0"/>
    <n v="0"/>
    <n v="0"/>
    <n v="0"/>
    <n v="1490.3982330578608"/>
    <n v="1482.0535916333529"/>
    <n v="0.39281202026764656"/>
    <n v="92"/>
    <n v="83"/>
    <n v="0"/>
    <n v="9"/>
    <n v="1"/>
    <n v="0.40316795049661946"/>
    <n v="1.1000000000000001"/>
    <n v="70.599999999999994"/>
    <n v="77.66"/>
    <n v="19.011069632339655"/>
    <n v="1509.4093026902005"/>
    <n v="0"/>
    <n v="0"/>
    <n v="1"/>
    <n v="0"/>
    <n v="0"/>
    <n v="0"/>
    <n v="0"/>
    <n v="0"/>
    <n v="0"/>
    <n v="0"/>
  </r>
  <r>
    <d v="2014-08-24T00:00:00"/>
    <n v="2014"/>
    <x v="35"/>
    <s v="P"/>
    <n v="1"/>
    <x v="3"/>
    <s v="ATL"/>
    <s v="H"/>
    <n v="1"/>
    <n v="1"/>
    <n v="0"/>
    <n v="0"/>
    <n v="0"/>
    <n v="0"/>
    <n v="1482.0535916333529"/>
    <n v="1490.3982330578608"/>
    <n v="0.6071879797323535"/>
    <n v="83"/>
    <n v="92"/>
    <n v="0"/>
    <n v="-9"/>
    <n v="0"/>
    <n v="0.40316795049661946"/>
    <n v="1.1000000000000001"/>
    <n v="70.599999999999994"/>
    <n v="77.66"/>
    <n v="-19.011069632339659"/>
    <n v="1463.0425220010131"/>
    <n v="0"/>
    <n v="0"/>
    <n v="0"/>
    <n v="1"/>
    <n v="0"/>
    <n v="0"/>
    <n v="0"/>
    <n v="0"/>
    <n v="0"/>
    <n v="0"/>
  </r>
  <r>
    <d v="2014-08-24T00:00:00"/>
    <n v="2014"/>
    <x v="35"/>
    <s v="P"/>
    <n v="1"/>
    <x v="10"/>
    <s v="LAS"/>
    <s v="A"/>
    <n v="1"/>
    <n v="1"/>
    <n v="0"/>
    <n v="0"/>
    <n v="0"/>
    <n v="0"/>
    <n v="1710.8582367013992"/>
    <n v="1530.7207745695785"/>
    <n v="0.6349267728152892"/>
    <n v="93"/>
    <n v="68"/>
    <n v="0"/>
    <n v="25"/>
    <n v="1"/>
    <n v="0.55763549297751036"/>
    <n v="1.1000000000000001"/>
    <n v="70.599999999999994"/>
    <n v="77.66"/>
    <n v="15.809851094830099"/>
    <n v="1726.6680877962292"/>
    <n v="0"/>
    <n v="0"/>
    <n v="1"/>
    <n v="0"/>
    <n v="0"/>
    <n v="0"/>
    <n v="0"/>
    <n v="0"/>
    <n v="0"/>
    <n v="0"/>
  </r>
  <r>
    <d v="2014-08-24T00:00:00"/>
    <n v="2014"/>
    <x v="35"/>
    <s v="P"/>
    <n v="1"/>
    <x v="6"/>
    <s v="PHX"/>
    <s v="H"/>
    <n v="1"/>
    <n v="1"/>
    <n v="0"/>
    <n v="0"/>
    <n v="0"/>
    <n v="0"/>
    <n v="1530.7207745695785"/>
    <n v="1710.8582367013992"/>
    <n v="0.36507322718471075"/>
    <n v="68"/>
    <n v="93"/>
    <n v="0"/>
    <n v="-25"/>
    <n v="0"/>
    <n v="0.55763549297751036"/>
    <n v="1.1000000000000001"/>
    <n v="70.599999999999994"/>
    <n v="77.66"/>
    <n v="-15.809851094830098"/>
    <n v="1514.9109234747484"/>
    <n v="0"/>
    <n v="0"/>
    <n v="0"/>
    <n v="1"/>
    <n v="0"/>
    <n v="0"/>
    <n v="0"/>
    <n v="0"/>
    <n v="0"/>
    <n v="0"/>
  </r>
  <r>
    <d v="2014-08-26T00:00:00"/>
    <n v="2014"/>
    <x v="36"/>
    <s v="P"/>
    <n v="1"/>
    <x v="3"/>
    <s v="ATL"/>
    <s v="A"/>
    <n v="1"/>
    <n v="1"/>
    <n v="0"/>
    <n v="0"/>
    <n v="0"/>
    <n v="0"/>
    <n v="1463.0425220010131"/>
    <n v="1509.4093026902005"/>
    <n v="0.32072292601590774"/>
    <n v="81"/>
    <n v="80"/>
    <n v="0"/>
    <n v="1"/>
    <n v="1"/>
    <n v="0.23509580782980036"/>
    <n v="1.1000000000000001"/>
    <n v="70.45"/>
    <n v="77.495000000000005"/>
    <n v="12.375578938800635"/>
    <n v="1475.4181009398137"/>
    <n v="0"/>
    <n v="0"/>
    <n v="1"/>
    <n v="0"/>
    <n v="0"/>
    <n v="0"/>
    <n v="0"/>
    <n v="0"/>
    <n v="0"/>
    <n v="0"/>
  </r>
  <r>
    <d v="2014-08-26T00:00:00"/>
    <n v="2014"/>
    <x v="36"/>
    <s v="P"/>
    <n v="1"/>
    <x v="1"/>
    <s v="CHI"/>
    <s v="H"/>
    <n v="1"/>
    <n v="1"/>
    <n v="0"/>
    <n v="0"/>
    <n v="0"/>
    <n v="0"/>
    <n v="1509.4093026902005"/>
    <n v="1463.0425220010131"/>
    <n v="0.67927707398409232"/>
    <n v="80"/>
    <n v="81"/>
    <n v="0"/>
    <n v="-1"/>
    <n v="0"/>
    <n v="0.23509580782980036"/>
    <n v="1.1000000000000001"/>
    <n v="70.45"/>
    <n v="77.495000000000005"/>
    <n v="-12.375578938800635"/>
    <n v="1497.0337237514"/>
    <n v="0"/>
    <n v="0"/>
    <n v="0"/>
    <n v="1"/>
    <n v="0"/>
    <n v="0"/>
    <n v="0"/>
    <n v="0"/>
    <n v="0"/>
    <n v="0"/>
  </r>
  <r>
    <d v="2014-08-29T00:00:00"/>
    <n v="2014"/>
    <x v="36"/>
    <s v="P"/>
    <n v="2"/>
    <x v="8"/>
    <s v="PHX"/>
    <s v="A"/>
    <n v="5"/>
    <n v="4"/>
    <n v="1"/>
    <n v="-1"/>
    <n v="8"/>
    <n v="-8"/>
    <n v="1667.6898643940704"/>
    <n v="1726.6680877962292"/>
    <n v="0.32498729780969771"/>
    <n v="71"/>
    <n v="85"/>
    <n v="0"/>
    <n v="-14"/>
    <n v="0"/>
    <n v="0.4647655641411455"/>
    <n v="1.2"/>
    <n v="70.45"/>
    <n v="84.54"/>
    <n v="-12.769167172234198"/>
    <n v="1654.9206972218362"/>
    <n v="0"/>
    <n v="0"/>
    <n v="0"/>
    <n v="0"/>
    <n v="0"/>
    <n v="1"/>
    <n v="0"/>
    <n v="0"/>
    <n v="0"/>
    <n v="0"/>
  </r>
  <r>
    <d v="2014-08-29T00:00:00"/>
    <n v="2014"/>
    <x v="36"/>
    <s v="P"/>
    <n v="2"/>
    <x v="10"/>
    <s v="MIN"/>
    <s v="H"/>
    <n v="4"/>
    <n v="5"/>
    <n v="-1"/>
    <n v="1"/>
    <n v="-8"/>
    <n v="8"/>
    <n v="1726.6680877962292"/>
    <n v="1667.6898643940704"/>
    <n v="0.67501270219030229"/>
    <n v="85"/>
    <n v="71"/>
    <n v="0"/>
    <n v="14"/>
    <n v="1"/>
    <n v="0.4647655641411455"/>
    <n v="1.2"/>
    <n v="70.45"/>
    <n v="84.54"/>
    <n v="12.769167172234198"/>
    <n v="1739.4372549684633"/>
    <n v="0"/>
    <n v="0"/>
    <n v="0"/>
    <n v="0"/>
    <n v="1"/>
    <n v="0"/>
    <n v="0"/>
    <n v="0"/>
    <n v="0"/>
    <n v="0"/>
  </r>
  <r>
    <d v="2014-08-30T00:00:00"/>
    <n v="2014"/>
    <x v="37"/>
    <s v="P"/>
    <n v="2"/>
    <x v="3"/>
    <s v="IND"/>
    <s v="A"/>
    <n v="3"/>
    <n v="6"/>
    <n v="-3"/>
    <n v="3"/>
    <n v="-16"/>
    <n v="16"/>
    <n v="1475.4181009398137"/>
    <n v="1510.4464117090527"/>
    <n v="0.29538148707740508"/>
    <n v="70"/>
    <n v="77"/>
    <n v="0"/>
    <n v="-7"/>
    <n v="0"/>
    <n v="0.35961006165758092"/>
    <n v="1.2"/>
    <n v="70.3"/>
    <n v="84.36"/>
    <n v="-8.9609009772756902"/>
    <n v="1466.457199962538"/>
    <n v="0"/>
    <n v="0"/>
    <n v="0"/>
    <n v="0"/>
    <n v="0"/>
    <n v="1"/>
    <n v="0"/>
    <n v="0"/>
    <n v="0"/>
    <n v="0"/>
  </r>
  <r>
    <d v="2014-08-30T00:00:00"/>
    <n v="2014"/>
    <x v="36"/>
    <s v="P"/>
    <n v="2"/>
    <x v="2"/>
    <s v="CHI"/>
    <s v="H"/>
    <n v="6"/>
    <n v="3"/>
    <n v="3"/>
    <n v="-3"/>
    <n v="16"/>
    <n v="-16"/>
    <n v="1510.4464117090527"/>
    <n v="1475.4181009398137"/>
    <n v="0.70461851292259492"/>
    <n v="77"/>
    <n v="70"/>
    <n v="0"/>
    <n v="7"/>
    <n v="1"/>
    <n v="0.35961006165758092"/>
    <n v="1.2"/>
    <n v="70.45"/>
    <n v="84.54"/>
    <n v="8.9800209651361644"/>
    <n v="1519.4264326741888"/>
    <n v="0"/>
    <n v="0"/>
    <n v="0"/>
    <n v="0"/>
    <n v="1"/>
    <n v="0"/>
    <n v="0"/>
    <n v="0"/>
    <n v="0"/>
    <n v="0"/>
  </r>
  <r>
    <d v="2014-08-31T00:00:00"/>
    <n v="2014"/>
    <x v="37"/>
    <s v="P"/>
    <n v="2"/>
    <x v="10"/>
    <s v="MIN"/>
    <s v="A"/>
    <n v="1"/>
    <n v="1"/>
    <n v="0"/>
    <n v="0"/>
    <n v="0"/>
    <n v="0"/>
    <n v="1739.4372549684633"/>
    <n v="1654.9206972218362"/>
    <n v="0.50074338580665922"/>
    <n v="77"/>
    <n v="82"/>
    <n v="0"/>
    <n v="-5"/>
    <n v="0"/>
    <n v="0.30992762853277644"/>
    <n v="1.2"/>
    <n v="70.3"/>
    <n v="84.36"/>
    <n v="-13.092183561212559"/>
    <n v="1726.3450714072508"/>
    <n v="0"/>
    <n v="0"/>
    <n v="0"/>
    <n v="0"/>
    <n v="0"/>
    <n v="1"/>
    <n v="0"/>
    <n v="0"/>
    <n v="0"/>
    <n v="0"/>
  </r>
  <r>
    <d v="2014-08-31T00:00:00"/>
    <n v="2014"/>
    <x v="37"/>
    <s v="P"/>
    <n v="2"/>
    <x v="8"/>
    <s v="PHX"/>
    <s v="H"/>
    <n v="1"/>
    <n v="1"/>
    <n v="0"/>
    <n v="0"/>
    <n v="0"/>
    <n v="0"/>
    <n v="1654.9206972218362"/>
    <n v="1739.4372549684633"/>
    <n v="0.49925661419334089"/>
    <n v="82"/>
    <n v="77"/>
    <n v="0"/>
    <n v="5"/>
    <n v="1"/>
    <n v="0.30992762853277644"/>
    <n v="1.2"/>
    <n v="70.3"/>
    <n v="84.36"/>
    <n v="13.092183561212556"/>
    <n v="1668.0128807830488"/>
    <n v="0"/>
    <n v="0"/>
    <n v="0"/>
    <n v="0"/>
    <n v="1"/>
    <n v="0"/>
    <n v="0"/>
    <n v="0"/>
    <n v="0"/>
    <n v="0"/>
  </r>
  <r>
    <d v="2014-09-01T00:00:00"/>
    <n v="2014"/>
    <x v="37"/>
    <s v="P"/>
    <n v="2"/>
    <x v="2"/>
    <s v="CHI"/>
    <s v="A"/>
    <n v="1"/>
    <n v="1"/>
    <n v="0"/>
    <n v="0"/>
    <n v="0"/>
    <n v="0"/>
    <n v="1519.4264326741888"/>
    <n v="1466.457199962538"/>
    <n v="0.4554615002141012"/>
    <n v="84"/>
    <n v="86"/>
    <n v="1"/>
    <n v="-2"/>
    <n v="0"/>
    <n v="0.23086650407880657"/>
    <n v="1.2"/>
    <n v="70.3"/>
    <n v="84.36"/>
    <n v="-8.8705218504880143"/>
    <n v="1510.5559108237007"/>
    <n v="0"/>
    <n v="0"/>
    <n v="0"/>
    <n v="0"/>
    <n v="0"/>
    <n v="1"/>
    <n v="0"/>
    <n v="0"/>
    <n v="0"/>
    <n v="0"/>
  </r>
  <r>
    <d v="2014-09-01T00:00:00"/>
    <n v="2014"/>
    <x v="38"/>
    <s v="P"/>
    <n v="2"/>
    <x v="3"/>
    <s v="IND"/>
    <s v="H"/>
    <n v="1"/>
    <n v="1"/>
    <n v="0"/>
    <n v="0"/>
    <n v="0"/>
    <n v="0"/>
    <n v="1466.457199962538"/>
    <n v="1519.4264326741888"/>
    <n v="0.54453849978589874"/>
    <n v="86"/>
    <n v="84"/>
    <n v="1"/>
    <n v="2"/>
    <n v="1"/>
    <n v="0.23086650407880657"/>
    <n v="1.2"/>
    <n v="70.150000000000006"/>
    <n v="84.18"/>
    <n v="8.8515947057145716"/>
    <n v="1475.3087946682526"/>
    <n v="0"/>
    <n v="0"/>
    <n v="0"/>
    <n v="0"/>
    <n v="1"/>
    <n v="0"/>
    <n v="0"/>
    <n v="0"/>
    <n v="0"/>
    <n v="0"/>
  </r>
  <r>
    <d v="2014-09-02T00:00:00"/>
    <n v="2014"/>
    <x v="38"/>
    <s v="P"/>
    <n v="2"/>
    <x v="8"/>
    <s v="PHX"/>
    <s v="A"/>
    <n v="1"/>
    <n v="1"/>
    <n v="0"/>
    <n v="0"/>
    <n v="0"/>
    <n v="0"/>
    <n v="1668.0128807830488"/>
    <n v="1726.3450714072508"/>
    <n v="0.30590591121353489"/>
    <n v="78"/>
    <n v="96"/>
    <n v="0"/>
    <n v="-18"/>
    <n v="0"/>
    <n v="0.5214844883099381"/>
    <n v="1.2"/>
    <n v="70.150000000000006"/>
    <n v="84.18"/>
    <n v="-13.428830290499182"/>
    <n v="1654.5840504925495"/>
    <n v="0"/>
    <n v="0"/>
    <n v="0"/>
    <n v="0"/>
    <n v="0"/>
    <n v="1"/>
    <n v="0"/>
    <n v="0"/>
    <n v="0"/>
    <n v="0"/>
  </r>
  <r>
    <d v="2014-09-02T00:00:00"/>
    <n v="2014"/>
    <x v="38"/>
    <s v="P"/>
    <n v="2"/>
    <x v="10"/>
    <s v="MIN"/>
    <s v="H"/>
    <n v="1"/>
    <n v="1"/>
    <n v="0"/>
    <n v="0"/>
    <n v="0"/>
    <n v="0"/>
    <n v="1726.3450714072508"/>
    <n v="1668.0128807830488"/>
    <n v="0.69409408878646506"/>
    <n v="96"/>
    <n v="78"/>
    <n v="0"/>
    <n v="18"/>
    <n v="1"/>
    <n v="0.5214844883099381"/>
    <n v="1.2"/>
    <n v="70.150000000000006"/>
    <n v="84.18"/>
    <n v="13.428830290499185"/>
    <n v="1739.77390169775"/>
    <n v="0"/>
    <n v="0"/>
    <n v="0"/>
    <n v="0"/>
    <n v="1"/>
    <n v="0"/>
    <n v="0"/>
    <n v="0"/>
    <n v="0"/>
    <n v="0"/>
  </r>
  <r>
    <d v="2014-09-03T00:00:00"/>
    <n v="2014"/>
    <x v="39"/>
    <s v="P"/>
    <n v="2"/>
    <x v="3"/>
    <s v="IND"/>
    <s v="A"/>
    <n v="1"/>
    <n v="1"/>
    <n v="0"/>
    <n v="0"/>
    <n v="0"/>
    <n v="0"/>
    <n v="1475.3087946682526"/>
    <n v="1510.5559108237007"/>
    <n v="0.33482512840813267"/>
    <n v="75"/>
    <n v="62"/>
    <n v="0"/>
    <n v="13"/>
    <n v="1"/>
    <n v="0.45857423941207287"/>
    <n v="1.2"/>
    <n v="70"/>
    <n v="84"/>
    <n v="25.622693108566157"/>
    <n v="1500.9314877768188"/>
    <n v="0"/>
    <n v="0"/>
    <n v="0"/>
    <n v="0"/>
    <n v="1"/>
    <n v="0"/>
    <n v="0"/>
    <n v="0"/>
    <n v="0"/>
    <n v="0"/>
  </r>
  <r>
    <d v="2014-09-03T00:00:00"/>
    <n v="2014"/>
    <x v="38"/>
    <s v="P"/>
    <n v="2"/>
    <x v="2"/>
    <s v="CHI"/>
    <s v="H"/>
    <n v="1"/>
    <n v="1"/>
    <n v="0"/>
    <n v="0"/>
    <n v="0"/>
    <n v="0"/>
    <n v="1510.5559108237007"/>
    <n v="1475.3087946682526"/>
    <n v="0.66517487159186728"/>
    <n v="62"/>
    <n v="75"/>
    <n v="0"/>
    <n v="-13"/>
    <n v="0"/>
    <n v="0.45857423941207287"/>
    <n v="1.2"/>
    <n v="70.150000000000006"/>
    <n v="84.18"/>
    <n v="-25.677598879513084"/>
    <n v="1484.8783119441878"/>
    <n v="0"/>
    <n v="0"/>
    <n v="0"/>
    <n v="0"/>
    <n v="0"/>
    <n v="1"/>
    <n v="0"/>
    <n v="0"/>
    <n v="0"/>
    <n v="0"/>
  </r>
  <r>
    <d v="2014-09-07T00:00:00"/>
    <n v="2014"/>
    <x v="40"/>
    <s v="P"/>
    <n v="3"/>
    <x v="3"/>
    <s v="PHX"/>
    <s v="A"/>
    <n v="3"/>
    <n v="4"/>
    <n v="-1"/>
    <n v="1"/>
    <n v="-8"/>
    <n v="8"/>
    <n v="1500.9314877768188"/>
    <n v="1739.77390169775"/>
    <n v="0.12449517225246826"/>
    <n v="62"/>
    <n v="83"/>
    <n v="0"/>
    <n v="-21"/>
    <n v="0"/>
    <n v="0.49087484528635628"/>
    <n v="1.35"/>
    <n v="69.849999999999994"/>
    <n v="94.297499999999999"/>
    <n v="-5.7626662369773447"/>
    <n v="1495.1688215398415"/>
    <n v="0"/>
    <n v="0"/>
    <n v="0"/>
    <n v="0"/>
    <n v="0"/>
    <n v="0"/>
    <n v="0"/>
    <n v="1"/>
    <n v="0"/>
    <n v="0"/>
  </r>
  <r>
    <d v="2014-09-07T00:00:00"/>
    <n v="2014"/>
    <x v="39"/>
    <s v="P"/>
    <n v="3"/>
    <x v="10"/>
    <s v="CHI"/>
    <s v="H"/>
    <n v="4"/>
    <n v="3"/>
    <n v="1"/>
    <n v="-1"/>
    <n v="8"/>
    <n v="-8"/>
    <n v="1739.77390169775"/>
    <n v="1500.9314877768188"/>
    <n v="0.87550482774753169"/>
    <n v="83"/>
    <n v="62"/>
    <n v="0"/>
    <n v="21"/>
    <n v="1"/>
    <n v="0.49087484528635628"/>
    <n v="1.35"/>
    <n v="70"/>
    <n v="94.5"/>
    <n v="5.7750413255320581"/>
    <n v="1745.5489430232822"/>
    <n v="0"/>
    <n v="0"/>
    <n v="0"/>
    <n v="0"/>
    <n v="0"/>
    <n v="0"/>
    <n v="1"/>
    <n v="0"/>
    <n v="0"/>
    <n v="0"/>
  </r>
  <r>
    <d v="2014-09-09T00:00:00"/>
    <n v="2014"/>
    <x v="41"/>
    <s v="P"/>
    <n v="3"/>
    <x v="3"/>
    <s v="PHX"/>
    <s v="A"/>
    <n v="1"/>
    <n v="1"/>
    <n v="0"/>
    <n v="0"/>
    <n v="0"/>
    <n v="0"/>
    <n v="1495.1688215398415"/>
    <n v="1745.5489430232822"/>
    <n v="0.12732206957617648"/>
    <n v="68"/>
    <n v="97"/>
    <n v="0"/>
    <n v="-29"/>
    <n v="0"/>
    <n v="0.5720124895014298"/>
    <n v="1.35"/>
    <n v="69.7"/>
    <n v="94.095000000000013"/>
    <n v="-6.8529213470825798"/>
    <n v="1488.3159001927588"/>
    <n v="0"/>
    <n v="0"/>
    <n v="0"/>
    <n v="0"/>
    <n v="0"/>
    <n v="0"/>
    <n v="0"/>
    <n v="1"/>
    <n v="0"/>
    <n v="0"/>
  </r>
  <r>
    <d v="2014-09-09T00:00:00"/>
    <n v="2014"/>
    <x v="40"/>
    <s v="P"/>
    <n v="3"/>
    <x v="10"/>
    <s v="CHI"/>
    <s v="H"/>
    <n v="1"/>
    <n v="1"/>
    <n v="0"/>
    <n v="0"/>
    <n v="0"/>
    <n v="0"/>
    <n v="1745.5489430232822"/>
    <n v="1495.1688215398415"/>
    <n v="0.87267793042382347"/>
    <n v="97"/>
    <n v="68"/>
    <n v="0"/>
    <n v="29"/>
    <n v="1"/>
    <n v="0.5720124895014298"/>
    <n v="1.35"/>
    <n v="69.849999999999994"/>
    <n v="94.297499999999999"/>
    <n v="6.8676693844148975"/>
    <n v="1752.4166124076971"/>
    <n v="0"/>
    <n v="0"/>
    <n v="0"/>
    <n v="0"/>
    <n v="0"/>
    <n v="0"/>
    <n v="1"/>
    <n v="0"/>
    <n v="0"/>
    <n v="0"/>
  </r>
  <r>
    <d v="2014-09-12T00:00:00"/>
    <n v="2014"/>
    <x v="41"/>
    <s v="P"/>
    <n v="3"/>
    <x v="10"/>
    <s v="CHI"/>
    <s v="A"/>
    <n v="2"/>
    <n v="2"/>
    <n v="0"/>
    <n v="0"/>
    <n v="0"/>
    <n v="0"/>
    <n v="1752.4166124076971"/>
    <n v="1488.3159001927588"/>
    <n v="0.73822108436314682"/>
    <n v="87"/>
    <n v="82"/>
    <n v="0"/>
    <n v="5"/>
    <n v="1"/>
    <n v="0.27191242189290932"/>
    <n v="1.35"/>
    <n v="69.7"/>
    <n v="94.095000000000013"/>
    <n v="6.6977704506241116"/>
    <n v="1759.1143828583213"/>
    <n v="0"/>
    <n v="0"/>
    <n v="0"/>
    <n v="0"/>
    <n v="0"/>
    <n v="0"/>
    <n v="1"/>
    <n v="0"/>
    <n v="0"/>
    <n v="0"/>
  </r>
  <r>
    <d v="2014-09-12T00:00:00"/>
    <n v="2014"/>
    <x v="42"/>
    <s v="P"/>
    <n v="3"/>
    <x v="3"/>
    <s v="PHX"/>
    <s v="H"/>
    <n v="2"/>
    <n v="2"/>
    <n v="0"/>
    <n v="0"/>
    <n v="0"/>
    <n v="0"/>
    <n v="1488.3159001927588"/>
    <n v="1752.4166124076971"/>
    <n v="0.26177891563685318"/>
    <n v="82"/>
    <n v="87"/>
    <n v="0"/>
    <n v="-5"/>
    <n v="0"/>
    <n v="0.27191242189290932"/>
    <n v="1.35"/>
    <n v="69.55"/>
    <n v="93.892499999999998"/>
    <n v="-6.6833563104864693"/>
    <n v="1481.6325438822723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9">
        <item m="1" x="39"/>
        <item x="1"/>
        <item m="1" x="50"/>
        <item m="1" x="27"/>
        <item m="1" x="25"/>
        <item m="1" x="38"/>
        <item m="1" x="54"/>
        <item m="1" x="15"/>
        <item x="3"/>
        <item m="1" x="40"/>
        <item m="1" x="16"/>
        <item x="5"/>
        <item m="1" x="29"/>
        <item m="1" x="33"/>
        <item m="1" x="12"/>
        <item m="1" x="55"/>
        <item m="1" x="35"/>
        <item m="1" x="14"/>
        <item x="2"/>
        <item m="1" x="49"/>
        <item m="1" x="48"/>
        <item m="1" x="24"/>
        <item m="1" x="23"/>
        <item m="1" x="57"/>
        <item x="6"/>
        <item m="1" x="56"/>
        <item m="1" x="26"/>
        <item m="1" x="18"/>
        <item m="1" x="34"/>
        <item x="8"/>
        <item m="1" x="42"/>
        <item m="1" x="21"/>
        <item m="1" x="30"/>
        <item m="1" x="43"/>
        <item m="1" x="51"/>
        <item x="4"/>
        <item m="1" x="44"/>
        <item m="1" x="32"/>
        <item m="1" x="20"/>
        <item m="1" x="28"/>
        <item x="10"/>
        <item m="1" x="46"/>
        <item m="1" x="19"/>
        <item m="1" x="31"/>
        <item m="1" x="13"/>
        <item x="0"/>
        <item m="1" x="41"/>
        <item x="7"/>
        <item m="1" x="52"/>
        <item m="1" x="47"/>
        <item m="1" x="53"/>
        <item m="1" x="45"/>
        <item m="1" x="22"/>
        <item x="11"/>
        <item m="1" x="17"/>
        <item m="1" x="37"/>
        <item x="9"/>
        <item m="1" x="36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8"/>
    </i>
    <i>
      <x v="24"/>
    </i>
    <i>
      <x v="29"/>
    </i>
    <i>
      <x v="35"/>
    </i>
    <i>
      <x v="40"/>
    </i>
    <i>
      <x v="45"/>
    </i>
    <i>
      <x v="47"/>
    </i>
    <i>
      <x v="53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1:C13"/>
  </sortState>
  <tableColumns count="4">
    <tableColumn id="1" xr3:uid="{8C17ECDF-4459-4994-A3F5-8E8FEDF92B6F}" name="TeamID"/>
    <tableColumn id="4" xr3:uid="{789F069E-DAF9-4B19-A6DB-107BA6995CE5}" name="Logo" dataDxfId="8"/>
    <tableColumn id="5" xr3:uid="{A9DA91BA-5529-4913-978B-19C8EF225B29}" name="TeamName" dataDxfId="7"/>
    <tableColumn id="2" xr3:uid="{AA4C8157-DB69-4779-8EEE-6F419B992D71}" name="PreSeasonElo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45" totalsRowShown="0" headerRowDxfId="48" dataDxfId="47">
  <autoFilter ref="A1:AL445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46"/>
    <tableColumn id="21" xr3:uid="{D754AB95-C77C-4DD5-B1B9-A24A4FEE7279}" name="Season" dataDxfId="45"/>
    <tableColumn id="19" xr3:uid="{4C42B78B-6AFC-42C3-A5F4-3266E247C458}" name="GamesPlayed" dataDxfId="44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3"/>
    <tableColumn id="14" xr3:uid="{EFA83923-8CCA-4DC9-BC85-5D86949A45D9}" name="Round" dataDxfId="42"/>
    <tableColumn id="2" xr3:uid="{6E102E51-A49B-416B-8CD2-B93B2A4EA389}" name="Team" dataDxfId="41"/>
    <tableColumn id="3" xr3:uid="{19101345-1C34-4AF3-88E6-76A7F19B7FE6}" name="Opponent" dataDxfId="40"/>
    <tableColumn id="16" xr3:uid="{4CBCDF29-B095-48DF-8EF6-06DC7D78C844}" name="HomeAway" dataDxfId="39"/>
    <tableColumn id="32" xr3:uid="{E3FA53E3-DAD6-4BC2-969A-C53F4798E86D}" name="DaysOff" dataDxfId="38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7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36">
      <calculatedColumnFormula>Games[[#This Row],[DaysOff]]-Games[[#This Row],[OppDaysOff]]</calculatedColumnFormula>
    </tableColumn>
    <tableColumn id="35" xr3:uid="{3F2DB366-7372-41BA-8B0C-09F9BA7EA850}" name="OppRestDiff" dataDxfId="35">
      <calculatedColumnFormula>Games[[#This Row],[OppDaysOff]]-Games[[#This Row],[DaysOff]]</calculatedColumnFormula>
    </tableColumn>
    <tableColumn id="36" xr3:uid="{BDD0FD2C-608F-4CCC-867B-4481F0F4B802}" name="RestAdj" dataDxfId="34">
      <calculatedColumnFormula>MAX(-16, MIN(16, Games[[#This Row],[RestDiff]]*8))</calculatedColumnFormula>
    </tableColumn>
    <tableColumn id="37" xr3:uid="{5F89213A-4C28-428C-B766-3B05D4F530A5}" name="OppRestAdj" dataDxfId="33">
      <calculatedColumnFormula>MAX(-16, MIN(16, Games[[#This Row],[OppRestDiff]]*8))</calculatedColumnFormula>
    </tableColumn>
    <tableColumn id="4" xr3:uid="{68053CFA-948B-4F2C-A114-7C46ABD9EA33}" name="PreGmRate" dataDxfId="32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1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0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9"/>
    <tableColumn id="8" xr3:uid="{0CDDF0F9-2F1E-487C-96DD-90F70CE7DAFC}" name="PointsAgainst" dataDxfId="28"/>
    <tableColumn id="22" xr3:uid="{AB7B5B5C-5BAD-4213-990E-8EB9B177497C}" name="OT" dataDxfId="27"/>
    <tableColumn id="9" xr3:uid="{CE171F1D-5E5D-4800-A6DC-8F6DBD74C939}" name="MOV" dataDxfId="26">
      <calculatedColumnFormula>Games[[#This Row],[PointsFor]]-Games[[#This Row],[PointsAgainst]]</calculatedColumnFormula>
    </tableColumn>
    <tableColumn id="10" xr3:uid="{883A3911-25F6-4C39-9637-F1C42D6A1FC2}" name="Result" dataDxfId="25">
      <calculatedColumnFormula>IF(Games[[#This Row],[MOV]]&gt;0,1,IF(Games[[#This Row],[MOV]]=0,0.5,0))</calculatedColumnFormula>
    </tableColumn>
    <tableColumn id="15" xr3:uid="{00048431-5FD6-47EE-807E-5B63FD521193}" name="MOVMult" dataDxfId="24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3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2">
      <calculatedColumnFormula>MAX(kmin, kmax - 0.15 * MIN(Games[[#This Row],[GamesPlayed]], 82))</calculatedColumnFormula>
    </tableColumn>
    <tableColumn id="29" xr3:uid="{FBA5D644-15ED-4725-9E52-1D37FD0FAC64}" name="Keff" dataDxfId="21">
      <calculatedColumnFormula>Games[[#This Row],[K]]*Games[[#This Row],[POMult]]</calculatedColumnFormula>
    </tableColumn>
    <tableColumn id="11" xr3:uid="{309DAEBD-E62C-4090-89E9-A58FD32AB89B}" name="RatingChange" dataDxfId="20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9">
      <calculatedColumnFormula>Games[[#This Row],[PreGmRate]]+Games[[#This Row],[RatingChange]]</calculatedColumnFormula>
    </tableColumn>
    <tableColumn id="17" xr3:uid="{90B7BF87-E472-4474-A10D-555BD3BF8F04}" name="W" dataDxfId="18">
      <calculatedColumnFormula>IF(Games[[#This Row],[Type]]="R",IF(Games[[#This Row],[Result]]&gt;0.5,1,0),0)</calculatedColumnFormula>
    </tableColumn>
    <tableColumn id="18" xr3:uid="{29756EA1-783D-4C76-A7B8-F906AF0EC7E7}" name="L" dataDxfId="17">
      <calculatedColumnFormula>IF(Games[[#This Row],[Type]]="R",IF(Games[[#This Row],[Result]]&lt;0.5,1,0),0)</calculatedColumnFormula>
    </tableColumn>
    <tableColumn id="23" xr3:uid="{C253CFA7-28A4-4AE5-B131-DC1E8F2B73F8}" name="R1W" dataDxfId="16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5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4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3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2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1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0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9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/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79</v>
      </c>
      <c r="B2" s="8"/>
      <c r="C2" s="15" t="s">
        <v>80</v>
      </c>
      <c r="D2" s="13">
        <v>1505.515430887164</v>
      </c>
    </row>
    <row r="3" spans="1:4" x14ac:dyDescent="0.35">
      <c r="A3" t="s">
        <v>77</v>
      </c>
      <c r="B3" s="8"/>
      <c r="C3" s="15" t="s">
        <v>78</v>
      </c>
      <c r="D3" s="13">
        <v>1577.1135579080922</v>
      </c>
    </row>
    <row r="4" spans="1:4" x14ac:dyDescent="0.35">
      <c r="A4" t="s">
        <v>76</v>
      </c>
      <c r="B4" s="8"/>
      <c r="C4" s="15" t="s">
        <v>75</v>
      </c>
      <c r="D4" s="13">
        <v>1383.9678336268664</v>
      </c>
    </row>
    <row r="5" spans="1:4" x14ac:dyDescent="0.35">
      <c r="A5" t="s">
        <v>69</v>
      </c>
      <c r="B5" s="8"/>
      <c r="C5" s="15" t="s">
        <v>70</v>
      </c>
      <c r="D5" s="13">
        <v>1535.1193029297685</v>
      </c>
    </row>
    <row r="6" spans="1:4" x14ac:dyDescent="0.35">
      <c r="A6" t="s">
        <v>63</v>
      </c>
      <c r="B6" s="8"/>
      <c r="C6" s="15" t="s">
        <v>64</v>
      </c>
      <c r="D6" s="13">
        <v>1623.2519327599366</v>
      </c>
    </row>
    <row r="7" spans="1:4" x14ac:dyDescent="0.35">
      <c r="A7" t="s">
        <v>67</v>
      </c>
      <c r="B7" s="8"/>
      <c r="C7" s="15" t="s">
        <v>68</v>
      </c>
      <c r="D7" s="13">
        <v>1752.1780771295892</v>
      </c>
    </row>
    <row r="8" spans="1:4" x14ac:dyDescent="0.35">
      <c r="A8" t="s">
        <v>60</v>
      </c>
      <c r="B8" s="8"/>
      <c r="C8" s="15" t="s">
        <v>61</v>
      </c>
      <c r="D8" s="13">
        <v>1347.5220791775096</v>
      </c>
    </row>
    <row r="9" spans="1:4" x14ac:dyDescent="0.35">
      <c r="A9" t="s">
        <v>40</v>
      </c>
      <c r="B9" s="8"/>
      <c r="C9" s="15" t="s">
        <v>62</v>
      </c>
      <c r="D9" s="13">
        <v>1510.1861921012005</v>
      </c>
    </row>
    <row r="10" spans="1:4" x14ac:dyDescent="0.35">
      <c r="A10" t="s">
        <v>74</v>
      </c>
      <c r="B10" s="8"/>
      <c r="C10" s="15" t="s">
        <v>73</v>
      </c>
      <c r="D10" s="13">
        <v>1419.6814663860007</v>
      </c>
    </row>
    <row r="11" spans="1:4" x14ac:dyDescent="0.35">
      <c r="A11" t="s">
        <v>71</v>
      </c>
      <c r="B11" s="8"/>
      <c r="C11" s="15" t="s">
        <v>72</v>
      </c>
      <c r="D11" s="13">
        <v>1491.6339208688946</v>
      </c>
    </row>
    <row r="12" spans="1:4" x14ac:dyDescent="0.35">
      <c r="A12" t="s">
        <v>81</v>
      </c>
      <c r="B12" s="8"/>
      <c r="C12" s="15" t="s">
        <v>82</v>
      </c>
      <c r="D12" s="13">
        <v>1410.0449531188201</v>
      </c>
    </row>
    <row r="13" spans="1:4" x14ac:dyDescent="0.35">
      <c r="A13" t="s">
        <v>65</v>
      </c>
      <c r="B13" s="8"/>
      <c r="C13" s="15" t="s">
        <v>66</v>
      </c>
      <c r="D13" s="13">
        <v>1447.515114599277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PHX</v>
      </c>
      <c r="B2">
        <v>0</v>
      </c>
      <c r="C2" t="str">
        <v>Phoenix Mercury</v>
      </c>
      <c r="D2" s="1">
        <v>29</v>
      </c>
      <c r="E2" s="1">
        <v>5</v>
      </c>
      <c r="F2" s="3">
        <v>0.8529411764705882</v>
      </c>
      <c r="G2" s="9">
        <v>1759.1143828583213</v>
      </c>
      <c r="H2" s="1">
        <v>41894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MIN</v>
      </c>
      <c r="B3">
        <v>0</v>
      </c>
      <c r="C3" t="str">
        <v>Minnesota Lynx</v>
      </c>
      <c r="D3" s="1">
        <v>25</v>
      </c>
      <c r="E3" s="1">
        <v>9</v>
      </c>
      <c r="F3" s="3">
        <v>0.73529411764705888</v>
      </c>
      <c r="G3" s="9">
        <v>1654.5840504925495</v>
      </c>
      <c r="H3" s="1">
        <v>41884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1439.8329024796333</v>
      </c>
      <c r="AY3" s="1">
        <f>_xlfn.MAXIFS(Games[Date], Games[Team], AK3)</f>
        <v>41868</v>
      </c>
      <c r="AZ3">
        <f t="shared" si="2"/>
        <v>0</v>
      </c>
    </row>
    <row r="4" spans="1:68" x14ac:dyDescent="0.35">
      <c r="A4" t="str">
        <v>LAS</v>
      </c>
      <c r="B4">
        <v>0</v>
      </c>
      <c r="C4" t="str">
        <v>Los Angeles Sparks</v>
      </c>
      <c r="D4" s="1">
        <v>16</v>
      </c>
      <c r="E4" s="1">
        <v>18</v>
      </c>
      <c r="F4" s="3">
        <v>0.47058823529411764</v>
      </c>
      <c r="G4" s="9">
        <v>1514.9109234747484</v>
      </c>
      <c r="H4" s="1">
        <v>41875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ATL</v>
      </c>
      <c r="B5">
        <v>0</v>
      </c>
      <c r="C5" t="str">
        <v>Atlanta Dream</v>
      </c>
      <c r="D5" s="1">
        <v>19</v>
      </c>
      <c r="E5" s="1">
        <v>15</v>
      </c>
      <c r="F5" s="3">
        <v>0.55882352941176472</v>
      </c>
      <c r="G5" s="9">
        <v>1497.0337237514</v>
      </c>
      <c r="H5" s="1">
        <v>41877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IND</v>
      </c>
      <c r="B6">
        <v>0</v>
      </c>
      <c r="C6" t="str">
        <v>Indiana Fever</v>
      </c>
      <c r="D6" s="1">
        <v>16</v>
      </c>
      <c r="E6" s="1">
        <v>18</v>
      </c>
      <c r="F6" s="3">
        <v>0.47058823529411764</v>
      </c>
      <c r="G6" s="9">
        <v>1484.8783119441878</v>
      </c>
      <c r="H6" s="1">
        <v>41885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2</v>
      </c>
      <c r="AO6" s="1">
        <f>_xlfn.XLOOKUP($AK6,StandingsPivot!$A$4:$A$33,StandingsPivot!E$4:E$33)</f>
        <v>0</v>
      </c>
      <c r="AP6" s="1">
        <f>_xlfn.XLOOKUP($AK6,StandingsPivot!$A$4:$A$33,StandingsPivot!F$4:F$33)</f>
        <v>2</v>
      </c>
      <c r="AQ6" s="1">
        <f>_xlfn.XLOOKUP($AK6,StandingsPivot!$A$4:$A$33,StandingsPivot!G$4:G$33)</f>
        <v>1</v>
      </c>
      <c r="AR6" s="1">
        <f>_xlfn.XLOOKUP($AK6,StandingsPivot!$A$4:$A$33,StandingsPivot!H$4:H$33)</f>
        <v>3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7</v>
      </c>
      <c r="AW6" s="1">
        <f t="shared" si="3"/>
        <v>1</v>
      </c>
      <c r="AX6" s="4" cm="1">
        <f t="array" ref="AX6">_xlfn.IFNA(INDEX(Games[PostGmRate], MATCH(1, (Games[Team]=AK6)*(Games[Date]=AY6), 0)),0)</f>
        <v>1759.1143828583213</v>
      </c>
      <c r="AY6" s="1">
        <f>_xlfn.MAXIFS(Games[Date], Games[Team], AK6)</f>
        <v>41894</v>
      </c>
      <c r="AZ6">
        <f>SUM(AV6:AW6)</f>
        <v>8</v>
      </c>
      <c r="BO6" s="4"/>
      <c r="BP6" s="1"/>
    </row>
    <row r="7" spans="1:68" x14ac:dyDescent="0.35">
      <c r="A7" t="str">
        <v>CHI</v>
      </c>
      <c r="B7">
        <v>0</v>
      </c>
      <c r="C7" t="str">
        <v>Chicago Sky</v>
      </c>
      <c r="D7" s="1">
        <v>15</v>
      </c>
      <c r="E7" s="1">
        <v>19</v>
      </c>
      <c r="F7" s="3">
        <v>0.44117647058823528</v>
      </c>
      <c r="G7" s="9">
        <v>1481.6325438822723</v>
      </c>
      <c r="H7" s="1">
        <v>41894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2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2</v>
      </c>
      <c r="AX7" s="4" cm="1">
        <f t="array" ref="AX7">_xlfn.IFNA(INDEX(Games[PostGmRate], MATCH(1, (Games[Team]=AK7)*(Games[Date]=AY7), 0)),0)</f>
        <v>1514.9109234747484</v>
      </c>
      <c r="AY7" s="1">
        <f>_xlfn.MAXIFS(Games[Date], Games[Team], AK7)</f>
        <v>41875</v>
      </c>
      <c r="AZ7">
        <f>SUM(AV7:AW7)</f>
        <v>2</v>
      </c>
      <c r="BO7" s="4"/>
      <c r="BP7" s="1"/>
    </row>
    <row r="8" spans="1:68" x14ac:dyDescent="0.35">
      <c r="A8" t="str">
        <v>WAS</v>
      </c>
      <c r="B8">
        <v>0</v>
      </c>
      <c r="C8" t="str">
        <v>Washington Mystics</v>
      </c>
      <c r="D8" s="1">
        <v>16</v>
      </c>
      <c r="E8" s="1">
        <v>18</v>
      </c>
      <c r="F8" s="3">
        <v>0.47058823529411764</v>
      </c>
      <c r="G8" s="9">
        <v>1463.624940997076</v>
      </c>
      <c r="H8" s="1">
        <v>41874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SAS</v>
      </c>
      <c r="B9">
        <v>0</v>
      </c>
      <c r="C9" t="str">
        <v>San Antonio Silver Stars</v>
      </c>
      <c r="D9" s="1">
        <v>16</v>
      </c>
      <c r="E9" s="1">
        <v>18</v>
      </c>
      <c r="F9" s="3">
        <v>0.47058823529411764</v>
      </c>
      <c r="G9" s="9">
        <v>1456.9099586057227</v>
      </c>
      <c r="H9" s="1">
        <v>41874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NYL</v>
      </c>
      <c r="B10">
        <v>0</v>
      </c>
      <c r="C10" t="str">
        <v>New York Liberty</v>
      </c>
      <c r="D10" s="1">
        <v>15</v>
      </c>
      <c r="E10" s="1">
        <v>19</v>
      </c>
      <c r="F10" s="3">
        <v>0.44117647058823528</v>
      </c>
      <c r="G10" s="9">
        <v>1439.8329024796333</v>
      </c>
      <c r="H10" s="1">
        <v>41868</v>
      </c>
      <c r="O10" s="3"/>
      <c r="P10" s="4"/>
      <c r="Q10" s="1"/>
      <c r="AX10" s="4"/>
      <c r="BO10" s="4"/>
      <c r="BP10" s="1"/>
    </row>
    <row r="11" spans="1:68" x14ac:dyDescent="0.35">
      <c r="A11" t="str">
        <v>CON</v>
      </c>
      <c r="B11">
        <v>0</v>
      </c>
      <c r="C11" t="str">
        <v>Connecticut Sun</v>
      </c>
      <c r="D11" s="1">
        <v>13</v>
      </c>
      <c r="E11" s="1">
        <v>21</v>
      </c>
      <c r="F11" s="3">
        <v>0.38235294117647056</v>
      </c>
      <c r="G11" s="9">
        <v>1423.657052518814</v>
      </c>
      <c r="H11" s="1">
        <v>41868</v>
      </c>
      <c r="O11" s="3"/>
      <c r="P11" s="4"/>
      <c r="Q11" s="1"/>
      <c r="AX11" s="4"/>
      <c r="BO11" s="4"/>
      <c r="BP11" s="1"/>
    </row>
    <row r="12" spans="1:68" x14ac:dyDescent="0.35">
      <c r="A12" t="str">
        <v>TUL</v>
      </c>
      <c r="B12">
        <v>0</v>
      </c>
      <c r="C12" t="str">
        <v>Tulsa Shock</v>
      </c>
      <c r="D12" s="1">
        <v>12</v>
      </c>
      <c r="E12" s="1">
        <v>22</v>
      </c>
      <c r="F12" s="3">
        <v>0.35294117647058826</v>
      </c>
      <c r="G12" s="9">
        <v>1416.1290736338083</v>
      </c>
      <c r="H12" s="1">
        <v>41867</v>
      </c>
      <c r="O12" s="3"/>
      <c r="P12" s="4"/>
      <c r="Q12" s="1"/>
      <c r="AX12" s="4"/>
      <c r="BO12" s="4"/>
      <c r="BP12" s="1"/>
    </row>
    <row r="13" spans="1:68" x14ac:dyDescent="0.35">
      <c r="A13" t="str">
        <v>SEA</v>
      </c>
      <c r="B13">
        <v>0</v>
      </c>
      <c r="C13" t="str">
        <v>Seattle Storm</v>
      </c>
      <c r="D13" s="1">
        <v>12</v>
      </c>
      <c r="E13" s="1">
        <v>22</v>
      </c>
      <c r="F13" s="3">
        <v>0.35294117647058826</v>
      </c>
      <c r="G13" s="9">
        <v>1410.1603380571746</v>
      </c>
      <c r="H13" s="1">
        <v>41868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79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19</v>
      </c>
      <c r="E25" s="1">
        <f>_xlfn.XLOOKUP($A25,StandingsPivot!$A$4:$A$35,StandingsPivot!C$4:C$35)</f>
        <v>15</v>
      </c>
      <c r="F25" s="3">
        <f t="shared" ref="F25:F36" si="4">(D25)/(D25+E25)</f>
        <v>0.55882352941176472</v>
      </c>
      <c r="G25" s="9" cm="1">
        <f t="array" ref="G25">INDEX(Games[PostGmRate], MATCH(1, (Games[Team]=A25)*(Games[Date]=H25), 0))</f>
        <v>1497.0337237514</v>
      </c>
      <c r="H25" s="1">
        <f>_xlfn.MAXIFS(Games[Date], Games[Team], A25)</f>
        <v>41877</v>
      </c>
      <c r="AR25" s="3"/>
      <c r="AS25" s="4"/>
      <c r="BD25" s="1"/>
      <c r="BG25" s="3"/>
      <c r="BH25" s="4"/>
    </row>
    <row r="26" spans="1:60" x14ac:dyDescent="0.35">
      <c r="A26" t="s">
        <v>77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15</v>
      </c>
      <c r="E26" s="1">
        <f>_xlfn.XLOOKUP($A26,StandingsPivot!$A$4:$A$35,StandingsPivot!C$4:C$35)</f>
        <v>19</v>
      </c>
      <c r="F26" s="3">
        <f t="shared" si="4"/>
        <v>0.44117647058823528</v>
      </c>
      <c r="G26" s="9" cm="1">
        <f t="array" ref="G26">INDEX(Games[PostGmRate], MATCH(1, (Games[Team]=A26)*(Games[Date]=H26), 0))</f>
        <v>1481.6325438822723</v>
      </c>
      <c r="H26" s="1">
        <f>_xlfn.MAXIFS(Games[Date], Games[Team], A26)</f>
        <v>41894</v>
      </c>
      <c r="AR26" s="3"/>
      <c r="AS26" s="4"/>
      <c r="BD26" s="1"/>
      <c r="BG26" s="3"/>
      <c r="BH26" s="4"/>
    </row>
    <row r="27" spans="1:60" x14ac:dyDescent="0.35">
      <c r="A27" t="s">
        <v>76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13</v>
      </c>
      <c r="E27" s="1">
        <f>_xlfn.XLOOKUP($A27,StandingsPivot!$A$4:$A$35,StandingsPivot!C$4:C$35)</f>
        <v>21</v>
      </c>
      <c r="F27" s="3">
        <f t="shared" si="4"/>
        <v>0.38235294117647056</v>
      </c>
      <c r="G27" s="9" cm="1">
        <f t="array" ref="G27">INDEX(Games[PostGmRate], MATCH(1, (Games[Team]=A27)*(Games[Date]=H27), 0))</f>
        <v>1423.657052518814</v>
      </c>
      <c r="H27" s="1">
        <f>_xlfn.MAXIFS(Games[Date], Games[Team], A27)</f>
        <v>41868</v>
      </c>
      <c r="AR27" s="3"/>
      <c r="AS27" s="4"/>
      <c r="BD27" s="1"/>
      <c r="BG27" s="3"/>
      <c r="BH27" s="4"/>
    </row>
    <row r="28" spans="1:60" x14ac:dyDescent="0.35">
      <c r="A28" t="s">
        <v>69</v>
      </c>
      <c r="B28">
        <f>_xlfn.XLOOKUP(A28,ConfDiv[TeamID],ConfDiv[Logo])</f>
        <v>0</v>
      </c>
      <c r="C28" t="str">
        <f>_xlfn.XLOOKUP(A28,ConfDiv[TeamID],ConfDiv[TeamName])</f>
        <v>Indiana Fever</v>
      </c>
      <c r="D28" s="1">
        <f>_xlfn.XLOOKUP($A28,StandingsPivot!$A$4:$A$35,StandingsPivot!B$4:B$35)</f>
        <v>16</v>
      </c>
      <c r="E28" s="1">
        <f>_xlfn.XLOOKUP($A28,StandingsPivot!$A$4:$A$35,StandingsPivot!C$4:C$35)</f>
        <v>18</v>
      </c>
      <c r="F28" s="3">
        <f t="shared" si="4"/>
        <v>0.47058823529411764</v>
      </c>
      <c r="G28" s="9" cm="1">
        <f t="array" ref="G28">INDEX(Games[PostGmRate], MATCH(1, (Games[Team]=A28)*(Games[Date]=H28), 0))</f>
        <v>1484.8783119441878</v>
      </c>
      <c r="H28" s="1">
        <f>_xlfn.MAXIFS(Games[Date], Games[Team], A28)</f>
        <v>41885</v>
      </c>
      <c r="AR28" s="3"/>
      <c r="AS28" s="4"/>
      <c r="BD28" s="1"/>
      <c r="BG28" s="3"/>
      <c r="BH28" s="4"/>
    </row>
    <row r="29" spans="1:60" x14ac:dyDescent="0.35">
      <c r="A29" t="s">
        <v>63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16</v>
      </c>
      <c r="E29" s="1">
        <f>_xlfn.XLOOKUP($A29,StandingsPivot!$A$4:$A$35,StandingsPivot!C$4:C$35)</f>
        <v>18</v>
      </c>
      <c r="F29" s="3">
        <f t="shared" si="4"/>
        <v>0.47058823529411764</v>
      </c>
      <c r="G29" s="9" cm="1">
        <f t="array" ref="G29">INDEX(Games[PostGmRate], MATCH(1, (Games[Team]=A29)*(Games[Date]=H29), 0))</f>
        <v>1514.9109234747484</v>
      </c>
      <c r="H29" s="1">
        <f>_xlfn.MAXIFS(Games[Date], Games[Team], A29)</f>
        <v>41875</v>
      </c>
      <c r="AR29" s="3"/>
      <c r="AS29" s="4"/>
      <c r="BD29" s="1"/>
      <c r="BG29" s="3"/>
      <c r="BH29" s="4"/>
    </row>
    <row r="30" spans="1:60" x14ac:dyDescent="0.35">
      <c r="A30" t="s">
        <v>67</v>
      </c>
      <c r="B30">
        <f>_xlfn.XLOOKUP(A30,ConfDiv[TeamID],ConfDiv[Logo])</f>
        <v>0</v>
      </c>
      <c r="C30" t="str">
        <f>_xlfn.XLOOKUP(A30,ConfDiv[TeamID],ConfDiv[TeamName])</f>
        <v>Minnesota Lynx</v>
      </c>
      <c r="D30" s="1">
        <f>_xlfn.XLOOKUP($A30,StandingsPivot!$A$4:$A$35,StandingsPivot!B$4:B$35)</f>
        <v>25</v>
      </c>
      <c r="E30" s="1">
        <f>_xlfn.XLOOKUP($A30,StandingsPivot!$A$4:$A$35,StandingsPivot!C$4:C$35)</f>
        <v>9</v>
      </c>
      <c r="F30" s="3">
        <f t="shared" si="4"/>
        <v>0.73529411764705888</v>
      </c>
      <c r="G30" s="9" cm="1">
        <f t="array" ref="G30">INDEX(Games[PostGmRate], MATCH(1, (Games[Team]=A30)*(Games[Date]=H30), 0))</f>
        <v>1654.5840504925495</v>
      </c>
      <c r="H30" s="1">
        <f>_xlfn.MAXIFS(Games[Date], Games[Team], A30)</f>
        <v>41884</v>
      </c>
      <c r="AR30" s="3"/>
      <c r="AS30" s="4"/>
      <c r="BD30" s="1"/>
      <c r="BG30" s="3"/>
      <c r="BH30" s="4"/>
    </row>
    <row r="31" spans="1:60" x14ac:dyDescent="0.35">
      <c r="A31" t="s">
        <v>60</v>
      </c>
      <c r="B31">
        <f>_xlfn.XLOOKUP(A31,ConfDiv[TeamID],ConfDiv[Logo])</f>
        <v>0</v>
      </c>
      <c r="C31" t="str">
        <f>_xlfn.XLOOKUP(A31,ConfDiv[TeamID],ConfDiv[TeamName])</f>
        <v>New York Liberty</v>
      </c>
      <c r="D31" s="1">
        <f>_xlfn.XLOOKUP($A31,StandingsPivot!$A$4:$A$35,StandingsPivot!B$4:B$35)</f>
        <v>15</v>
      </c>
      <c r="E31" s="1">
        <f>_xlfn.XLOOKUP($A31,StandingsPivot!$A$4:$A$35,StandingsPivot!C$4:C$35)</f>
        <v>19</v>
      </c>
      <c r="F31" s="3">
        <f t="shared" si="4"/>
        <v>0.44117647058823528</v>
      </c>
      <c r="G31" s="9" cm="1">
        <f t="array" ref="G31">INDEX(Games[PostGmRate], MATCH(1, (Games[Team]=A31)*(Games[Date]=H31), 0))</f>
        <v>1439.8329024796333</v>
      </c>
      <c r="H31" s="1">
        <f>_xlfn.MAXIFS(Games[Date], Games[Team], A31)</f>
        <v>41868</v>
      </c>
      <c r="AR31" s="3"/>
      <c r="AS31" s="4"/>
      <c r="BD31" s="1"/>
      <c r="BG31" s="3"/>
      <c r="BH31" s="4"/>
    </row>
    <row r="32" spans="1:60" x14ac:dyDescent="0.35">
      <c r="A32" t="s">
        <v>40</v>
      </c>
      <c r="B32">
        <f>_xlfn.XLOOKUP(A32,ConfDiv[TeamID],ConfDiv[Logo])</f>
        <v>0</v>
      </c>
      <c r="C32" t="str">
        <f>_xlfn.XLOOKUP(A32,ConfDiv[TeamID],ConfDiv[TeamName])</f>
        <v>Phoenix Mercury</v>
      </c>
      <c r="D32" s="1">
        <f>_xlfn.XLOOKUP($A32,StandingsPivot!$A$4:$A$35,StandingsPivot!B$4:B$35)</f>
        <v>29</v>
      </c>
      <c r="E32" s="1">
        <f>_xlfn.XLOOKUP($A32,StandingsPivot!$A$4:$A$35,StandingsPivot!C$4:C$35)</f>
        <v>5</v>
      </c>
      <c r="F32" s="3">
        <f t="shared" si="4"/>
        <v>0.8529411764705882</v>
      </c>
      <c r="G32" s="9" cm="1">
        <f t="array" ref="G32">INDEX(Games[PostGmRate], MATCH(1, (Games[Team]=A32)*(Games[Date]=H32), 0))</f>
        <v>1759.1143828583213</v>
      </c>
      <c r="H32" s="1">
        <f>_xlfn.MAXIFS(Games[Date], Games[Team], A32)</f>
        <v>41894</v>
      </c>
    </row>
    <row r="33" spans="1:8" x14ac:dyDescent="0.35">
      <c r="A33" t="s">
        <v>74</v>
      </c>
      <c r="B33">
        <f>_xlfn.XLOOKUP(A33,ConfDiv[TeamID],ConfDiv[Logo])</f>
        <v>0</v>
      </c>
      <c r="C33" t="str">
        <f>_xlfn.XLOOKUP(A33,ConfDiv[TeamID],ConfDiv[TeamName])</f>
        <v>San Antonio Silver Stars</v>
      </c>
      <c r="D33" s="1">
        <f>_xlfn.XLOOKUP($A33,StandingsPivot!$A$4:$A$35,StandingsPivot!B$4:B$35)</f>
        <v>16</v>
      </c>
      <c r="E33" s="1">
        <f>_xlfn.XLOOKUP($A33,StandingsPivot!$A$4:$A$35,StandingsPivot!C$4:C$35)</f>
        <v>18</v>
      </c>
      <c r="F33" s="3">
        <f t="shared" si="4"/>
        <v>0.47058823529411764</v>
      </c>
      <c r="G33" s="9" cm="1">
        <f t="array" ref="G33">INDEX(Games[PostGmRate], MATCH(1, (Games[Team]=A33)*(Games[Date]=H33), 0))</f>
        <v>1456.9099586057227</v>
      </c>
      <c r="H33" s="1">
        <f>_xlfn.MAXIFS(Games[Date], Games[Team], A33)</f>
        <v>41874</v>
      </c>
    </row>
    <row r="34" spans="1:8" x14ac:dyDescent="0.35">
      <c r="A34" t="s">
        <v>71</v>
      </c>
      <c r="B34">
        <f>_xlfn.XLOOKUP(A34,ConfDiv[TeamID],ConfDiv[Logo])</f>
        <v>0</v>
      </c>
      <c r="C34" t="str">
        <f>_xlfn.XLOOKUP(A34,ConfDiv[TeamID],ConfDiv[TeamName])</f>
        <v>Seattle Storm</v>
      </c>
      <c r="D34" s="1">
        <f>_xlfn.XLOOKUP($A34,StandingsPivot!$A$4:$A$35,StandingsPivot!B$4:B$35)</f>
        <v>12</v>
      </c>
      <c r="E34" s="1">
        <f>_xlfn.XLOOKUP($A34,StandingsPivot!$A$4:$A$35,StandingsPivot!C$4:C$35)</f>
        <v>22</v>
      </c>
      <c r="F34" s="3">
        <f t="shared" si="4"/>
        <v>0.35294117647058826</v>
      </c>
      <c r="G34" s="9" cm="1">
        <f t="array" ref="G34">INDEX(Games[PostGmRate], MATCH(1, (Games[Team]=A34)*(Games[Date]=H34), 0))</f>
        <v>1410.1603380571746</v>
      </c>
      <c r="H34" s="1">
        <f>_xlfn.MAXIFS(Games[Date], Games[Team], A34)</f>
        <v>41868</v>
      </c>
    </row>
    <row r="35" spans="1:8" x14ac:dyDescent="0.35">
      <c r="A35" t="s">
        <v>81</v>
      </c>
      <c r="B35">
        <f>_xlfn.XLOOKUP(A35,ConfDiv[TeamID],ConfDiv[Logo])</f>
        <v>0</v>
      </c>
      <c r="C35" t="str">
        <f>_xlfn.XLOOKUP(A35,ConfDiv[TeamID],ConfDiv[TeamName])</f>
        <v>Tulsa Shock</v>
      </c>
      <c r="D35" s="1">
        <f>_xlfn.XLOOKUP($A35,StandingsPivot!$A$4:$A$35,StandingsPivot!B$4:B$35)</f>
        <v>12</v>
      </c>
      <c r="E35" s="1">
        <f>_xlfn.XLOOKUP($A35,StandingsPivot!$A$4:$A$35,StandingsPivot!C$4:C$35)</f>
        <v>22</v>
      </c>
      <c r="F35" s="3">
        <f t="shared" si="4"/>
        <v>0.35294117647058826</v>
      </c>
      <c r="G35" s="9" cm="1">
        <f t="array" ref="G35">INDEX(Games[PostGmRate], MATCH(1, (Games[Team]=A35)*(Games[Date]=H35), 0))</f>
        <v>1416.1290736338083</v>
      </c>
      <c r="H35" s="1">
        <f>_xlfn.MAXIFS(Games[Date], Games[Team], A35)</f>
        <v>41867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16</v>
      </c>
      <c r="E36" s="1">
        <f>_xlfn.XLOOKUP($A36,StandingsPivot!$A$4:$A$35,StandingsPivot!C$4:C$35)</f>
        <v>18</v>
      </c>
      <c r="F36" s="3">
        <f t="shared" si="4"/>
        <v>0.47058823529411764</v>
      </c>
      <c r="G36" s="9" cm="1">
        <f t="array" ref="G36">INDEX(Games[PostGmRate], MATCH(1, (Games[Team]=A36)*(Games[Date]=H36), 0))</f>
        <v>1463.624940997076</v>
      </c>
      <c r="H36" s="1">
        <f>_xlfn.MAXIFS(Games[Date], Games[Team], A36)</f>
        <v>41874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79</v>
      </c>
      <c r="B4" s="2">
        <v>19</v>
      </c>
      <c r="C4" s="2">
        <v>15</v>
      </c>
      <c r="D4" s="2">
        <v>1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77</v>
      </c>
      <c r="B5" s="2">
        <v>15</v>
      </c>
      <c r="C5" s="2">
        <v>19</v>
      </c>
      <c r="D5" s="2">
        <v>2</v>
      </c>
      <c r="E5" s="2">
        <v>1</v>
      </c>
      <c r="F5" s="2">
        <v>2</v>
      </c>
      <c r="G5" s="2">
        <v>1</v>
      </c>
      <c r="H5" s="2">
        <v>0</v>
      </c>
      <c r="I5" s="2">
        <v>3</v>
      </c>
      <c r="J5" s="2">
        <v>0</v>
      </c>
      <c r="K5" s="2">
        <v>0</v>
      </c>
    </row>
    <row r="6" spans="1:11" x14ac:dyDescent="0.35">
      <c r="A6" s="6" t="s">
        <v>76</v>
      </c>
      <c r="B6" s="2">
        <v>13</v>
      </c>
      <c r="C6" s="2">
        <v>21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69</v>
      </c>
      <c r="B7" s="2">
        <v>16</v>
      </c>
      <c r="C7" s="2">
        <v>18</v>
      </c>
      <c r="D7" s="2">
        <v>2</v>
      </c>
      <c r="E7" s="2">
        <v>0</v>
      </c>
      <c r="F7" s="2">
        <v>1</v>
      </c>
      <c r="G7" s="2">
        <v>2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63</v>
      </c>
      <c r="B8" s="2">
        <v>16</v>
      </c>
      <c r="C8" s="2">
        <v>18</v>
      </c>
      <c r="D8" s="2">
        <v>0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67</v>
      </c>
      <c r="B9" s="2">
        <v>25</v>
      </c>
      <c r="C9" s="2">
        <v>9</v>
      </c>
      <c r="D9" s="2">
        <v>2</v>
      </c>
      <c r="E9" s="2">
        <v>0</v>
      </c>
      <c r="F9" s="2">
        <v>1</v>
      </c>
      <c r="G9" s="2">
        <v>2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60</v>
      </c>
      <c r="B10" s="2">
        <v>15</v>
      </c>
      <c r="C10" s="2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40</v>
      </c>
      <c r="B11" s="2">
        <v>29</v>
      </c>
      <c r="C11" s="2">
        <v>5</v>
      </c>
      <c r="D11" s="2">
        <v>2</v>
      </c>
      <c r="E11" s="2">
        <v>0</v>
      </c>
      <c r="F11" s="2">
        <v>2</v>
      </c>
      <c r="G11" s="2">
        <v>1</v>
      </c>
      <c r="H11" s="2">
        <v>3</v>
      </c>
      <c r="I11" s="2">
        <v>0</v>
      </c>
      <c r="J11" s="2">
        <v>0</v>
      </c>
      <c r="K11" s="2">
        <v>0</v>
      </c>
    </row>
    <row r="12" spans="1:11" x14ac:dyDescent="0.35">
      <c r="A12" s="6" t="s">
        <v>74</v>
      </c>
      <c r="B12" s="2">
        <v>16</v>
      </c>
      <c r="C12" s="2">
        <v>18</v>
      </c>
      <c r="D12" s="2">
        <v>0</v>
      </c>
      <c r="E12" s="2">
        <v>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71</v>
      </c>
      <c r="B13" s="2">
        <v>12</v>
      </c>
      <c r="C13" s="2">
        <v>22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81</v>
      </c>
      <c r="B14" s="2">
        <v>12</v>
      </c>
      <c r="C14" s="2">
        <v>22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16</v>
      </c>
      <c r="C15" s="2">
        <v>18</v>
      </c>
      <c r="D15" s="2">
        <v>0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204</v>
      </c>
      <c r="C16" s="2">
        <v>204</v>
      </c>
      <c r="D16" s="2">
        <v>9</v>
      </c>
      <c r="E16" s="2">
        <v>9</v>
      </c>
      <c r="F16" s="2">
        <v>6</v>
      </c>
      <c r="G16" s="2">
        <v>6</v>
      </c>
      <c r="H16" s="2">
        <v>3</v>
      </c>
      <c r="I16" s="2">
        <v>3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45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41775</v>
      </c>
      <c r="B2" s="2">
        <v>2014</v>
      </c>
      <c r="C2" s="2">
        <f>COUNTIFS(Games[Team],Games[[#This Row],[Team]],Games[Season],Games[[#This Row],[Season]],Games[Date],"&lt;=" &amp; Games[[#This Row],[Date]])</f>
        <v>1</v>
      </c>
      <c r="D2" s="2" t="s">
        <v>83</v>
      </c>
      <c r="E2" s="2" t="s">
        <v>84</v>
      </c>
      <c r="F2" s="1" t="s">
        <v>74</v>
      </c>
      <c r="G2" s="1" t="s">
        <v>79</v>
      </c>
      <c r="H2" s="1" t="s">
        <v>85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1459.8407331930002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1502.7577154435821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0.32506463780998945</v>
      </c>
      <c r="R2" s="1">
        <v>75</v>
      </c>
      <c r="S2" s="1">
        <v>79</v>
      </c>
      <c r="T2" s="1">
        <v>0</v>
      </c>
      <c r="U2" s="1">
        <f>Games[[#This Row],[PointsFor]]-Games[[#This Row],[PointsAgainst]]</f>
        <v>-4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0.30067919838696872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-7.4135922525619051</v>
      </c>
      <c r="AB2" s="4">
        <f>Games[[#This Row],[PreGmRate]]+Games[[#This Row],[RatingChange]]</f>
        <v>1452.4271409404382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41775</v>
      </c>
      <c r="B3" s="2">
        <v>2014</v>
      </c>
      <c r="C3" s="2">
        <f>COUNTIFS(Games[Team],Games[[#This Row],[Team]],Games[Season],Games[[#This Row],[Season]],Games[Date],"&lt;=" &amp; Games[[#This Row],[Date]])</f>
        <v>1</v>
      </c>
      <c r="D3" s="2" t="s">
        <v>83</v>
      </c>
      <c r="E3" s="2" t="s">
        <v>84</v>
      </c>
      <c r="F3" s="1" t="s">
        <v>79</v>
      </c>
      <c r="G3" s="1" t="s">
        <v>74</v>
      </c>
      <c r="H3" s="1" t="s">
        <v>86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1502.7577154435821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1459.8407331930002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0.6749353621900106</v>
      </c>
      <c r="R3" s="1">
        <v>79</v>
      </c>
      <c r="S3" s="1">
        <v>75</v>
      </c>
      <c r="T3" s="1">
        <v>0</v>
      </c>
      <c r="U3" s="1">
        <f>Games[[#This Row],[PointsFor]]-Games[[#This Row],[PointsAgainst]]</f>
        <v>4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0.30067919838696872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7.4135922525619042</v>
      </c>
      <c r="AB3" s="4">
        <f>Games[[#This Row],[PreGmRate]]+Games[[#This Row],[RatingChange]]</f>
        <v>1510.1713076961441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41775</v>
      </c>
      <c r="B4" s="2">
        <v>2014</v>
      </c>
      <c r="C4" s="2">
        <f>COUNTIFS(Games[Team],Games[[#This Row],[Team]],Games[Season],Games[[#This Row],[Season]],Games[Date],"&lt;=" &amp; Games[[#This Row],[Date]])</f>
        <v>1</v>
      </c>
      <c r="D4" s="2" t="s">
        <v>83</v>
      </c>
      <c r="E4" s="2" t="s">
        <v>84</v>
      </c>
      <c r="F4" s="1" t="s">
        <v>69</v>
      </c>
      <c r="G4" s="1" t="s">
        <v>77</v>
      </c>
      <c r="H4" s="1" t="s">
        <v>85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1517.5596514648842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1538.556778954046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0.35333493585138054</v>
      </c>
      <c r="R4" s="1">
        <v>71</v>
      </c>
      <c r="S4" s="1">
        <v>74</v>
      </c>
      <c r="T4" s="1">
        <v>0</v>
      </c>
      <c r="U4" s="1">
        <f>Games[[#This Row],[PointsFor]]-Games[[#This Row],[PointsAgainst]]</f>
        <v>-3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0.2851933206710518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-7.6433107239559863</v>
      </c>
      <c r="AB4" s="4">
        <f>Games[[#This Row],[PreGmRate]]+Games[[#This Row],[RatingChange]]</f>
        <v>1509.9163407409283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41775</v>
      </c>
      <c r="B5" s="2">
        <v>2014</v>
      </c>
      <c r="C5" s="2">
        <f>COUNTIFS(Games[Team],Games[[#This Row],[Team]],Games[Season],Games[[#This Row],[Season]],Games[Date],"&lt;=" &amp; Games[[#This Row],[Date]])</f>
        <v>1</v>
      </c>
      <c r="D5" s="2" t="s">
        <v>83</v>
      </c>
      <c r="E5" s="2" t="s">
        <v>84</v>
      </c>
      <c r="F5" s="1" t="s">
        <v>77</v>
      </c>
      <c r="G5" s="1" t="s">
        <v>69</v>
      </c>
      <c r="H5" s="1" t="s">
        <v>86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1538.556778954046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1517.5596514648842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0.64666506414861946</v>
      </c>
      <c r="R5" s="1">
        <v>74</v>
      </c>
      <c r="S5" s="1">
        <v>71</v>
      </c>
      <c r="T5" s="1">
        <v>0</v>
      </c>
      <c r="U5" s="1">
        <f>Games[[#This Row],[PointsFor]]-Games[[#This Row],[PointsAgainst]]</f>
        <v>3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0.2851933206710518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7.6433107239559863</v>
      </c>
      <c r="AB5" s="4">
        <f>Games[[#This Row],[PreGmRate]]+Games[[#This Row],[RatingChange]]</f>
        <v>1546.2000896780019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41775</v>
      </c>
      <c r="B6" s="2">
        <v>2014</v>
      </c>
      <c r="C6" s="2">
        <f>COUNTIFS(Games[Team],Games[[#This Row],[Team]],Games[Season],Games[[#This Row],[Season]],Games[Date],"&lt;=" &amp; Games[[#This Row],[Date]])</f>
        <v>1</v>
      </c>
      <c r="D6" s="2" t="s">
        <v>83</v>
      </c>
      <c r="E6" s="2" t="s">
        <v>84</v>
      </c>
      <c r="F6" s="1" t="s">
        <v>60</v>
      </c>
      <c r="G6" s="1" t="s">
        <v>76</v>
      </c>
      <c r="H6" s="1" t="s">
        <v>85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1423.7610395887548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1441.9839168134331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0.35699236960188763</v>
      </c>
      <c r="R6" s="1">
        <v>75</v>
      </c>
      <c r="S6" s="1">
        <v>54</v>
      </c>
      <c r="T6" s="1">
        <v>0</v>
      </c>
      <c r="U6" s="1">
        <f>Games[[#This Row],[PointsFor]]-Games[[#This Row],[PointsAgainst]]</f>
        <v>21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0.57977202737641775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28.276715973951752</v>
      </c>
      <c r="AB6" s="4">
        <f>Games[[#This Row],[PreGmRate]]+Games[[#This Row],[RatingChange]]</f>
        <v>1452.0377555627065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41775</v>
      </c>
      <c r="B7" s="2">
        <v>2014</v>
      </c>
      <c r="C7" s="2">
        <f>COUNTIFS(Games[Team],Games[[#This Row],[Team]],Games[Season],Games[[#This Row],[Season]],Games[Date],"&lt;=" &amp; Games[[#This Row],[Date]])</f>
        <v>1</v>
      </c>
      <c r="D7" s="2" t="s">
        <v>83</v>
      </c>
      <c r="E7" s="2" t="s">
        <v>84</v>
      </c>
      <c r="F7" s="1" t="s">
        <v>76</v>
      </c>
      <c r="G7" s="1" t="s">
        <v>60</v>
      </c>
      <c r="H7" s="1" t="s">
        <v>86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1441.9839168134331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1423.7610395887548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0.64300763039811226</v>
      </c>
      <c r="R7" s="1">
        <v>54</v>
      </c>
      <c r="S7" s="1">
        <v>75</v>
      </c>
      <c r="T7" s="1">
        <v>0</v>
      </c>
      <c r="U7" s="1">
        <f>Games[[#This Row],[PointsFor]]-Games[[#This Row],[PointsAgainst]]</f>
        <v>-21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0.57977202737641775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-28.276715973951745</v>
      </c>
      <c r="AB7" s="4">
        <f>Games[[#This Row],[PreGmRate]]+Games[[#This Row],[RatingChange]]</f>
        <v>1413.7072008394814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41775</v>
      </c>
      <c r="B8" s="2">
        <v>2014</v>
      </c>
      <c r="C8" s="2">
        <f>COUNTIFS(Games[Team],Games[[#This Row],[Team]],Games[Season],Games[[#This Row],[Season]],Games[Date],"&lt;=" &amp; Games[[#This Row],[Date]])</f>
        <v>1</v>
      </c>
      <c r="D8" s="2" t="s">
        <v>83</v>
      </c>
      <c r="E8" s="2" t="s">
        <v>84</v>
      </c>
      <c r="F8" s="1" t="s">
        <v>63</v>
      </c>
      <c r="G8" s="1" t="s">
        <v>71</v>
      </c>
      <c r="H8" s="1" t="s">
        <v>85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1561.6259663799683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1495.8169604344473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0.47384495083378353</v>
      </c>
      <c r="R8" s="1">
        <v>80</v>
      </c>
      <c r="S8" s="1">
        <v>69</v>
      </c>
      <c r="T8" s="1">
        <v>0</v>
      </c>
      <c r="U8" s="1">
        <f>Games[[#This Row],[PointsFor]]-Games[[#This Row],[PointsAgainst]]</f>
        <v>11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0.41696903863857776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16.640759187197137</v>
      </c>
      <c r="AB8" s="4">
        <f>Games[[#This Row],[PreGmRate]]+Games[[#This Row],[RatingChange]]</f>
        <v>1578.2667255671654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41775</v>
      </c>
      <c r="B9" s="2">
        <v>2014</v>
      </c>
      <c r="C9" s="2">
        <f>COUNTIFS(Games[Team],Games[[#This Row],[Team]],Games[Season],Games[[#This Row],[Season]],Games[Date],"&lt;=" &amp; Games[[#This Row],[Date]])</f>
        <v>1</v>
      </c>
      <c r="D9" s="2" t="s">
        <v>83</v>
      </c>
      <c r="E9" s="2" t="s">
        <v>84</v>
      </c>
      <c r="F9" s="1" t="s">
        <v>71</v>
      </c>
      <c r="G9" s="1" t="s">
        <v>63</v>
      </c>
      <c r="H9" s="1" t="s">
        <v>86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1495.8169604344473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1561.6259663799683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0.52615504916621647</v>
      </c>
      <c r="R9" s="1">
        <v>69</v>
      </c>
      <c r="S9" s="1">
        <v>80</v>
      </c>
      <c r="T9" s="1">
        <v>0</v>
      </c>
      <c r="U9" s="1">
        <f>Games[[#This Row],[PointsFor]]-Games[[#This Row],[PointsAgainst]]</f>
        <v>-11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0.41696903863857776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-16.640759187197137</v>
      </c>
      <c r="AB9" s="4">
        <f>Games[[#This Row],[PreGmRate]]+Games[[#This Row],[RatingChange]]</f>
        <v>1479.1762012472502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41775</v>
      </c>
      <c r="B10" s="2">
        <v>2014</v>
      </c>
      <c r="C10" s="2">
        <f>COUNTIFS(Games[Team],Games[[#This Row],[Team]],Games[Season],Games[[#This Row],[Season]],Games[Date],"&lt;=" &amp; Games[[#This Row],[Date]])</f>
        <v>1</v>
      </c>
      <c r="D10" s="2" t="s">
        <v>83</v>
      </c>
      <c r="E10" s="2" t="s">
        <v>84</v>
      </c>
      <c r="F10" s="1" t="s">
        <v>67</v>
      </c>
      <c r="G10" s="1" t="s">
        <v>65</v>
      </c>
      <c r="H10" s="1" t="s">
        <v>85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1626.0890385647945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1473.7575572996384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0.5970883115342448</v>
      </c>
      <c r="R10" s="1">
        <v>89</v>
      </c>
      <c r="S10" s="1">
        <v>77</v>
      </c>
      <c r="T10" s="1">
        <v>0</v>
      </c>
      <c r="U10" s="1">
        <f>Games[[#This Row],[PointsFor]]-Games[[#This Row],[PointsAgainst]]</f>
        <v>12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0.40474938228885843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12.369485795230608</v>
      </c>
      <c r="AB10" s="4">
        <f>Games[[#This Row],[PreGmRate]]+Games[[#This Row],[RatingChange]]</f>
        <v>1638.458524360025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41775</v>
      </c>
      <c r="B11" s="2">
        <v>2014</v>
      </c>
      <c r="C11" s="2">
        <f>COUNTIFS(Games[Team],Games[[#This Row],[Team]],Games[Season],Games[[#This Row],[Season]],Games[Date],"&lt;=" &amp; Games[[#This Row],[Date]])</f>
        <v>1</v>
      </c>
      <c r="D11" s="2" t="s">
        <v>83</v>
      </c>
      <c r="E11" s="2" t="s">
        <v>84</v>
      </c>
      <c r="F11" s="1" t="s">
        <v>65</v>
      </c>
      <c r="G11" s="1" t="s">
        <v>67</v>
      </c>
      <c r="H11" s="1" t="s">
        <v>86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1473.7575572996384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1626.0890385647945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0.4029116884657552</v>
      </c>
      <c r="R11" s="1">
        <v>77</v>
      </c>
      <c r="S11" s="1">
        <v>89</v>
      </c>
      <c r="T11" s="1">
        <v>0</v>
      </c>
      <c r="U11" s="1">
        <f>Games[[#This Row],[PointsFor]]-Games[[#This Row],[PointsAgainst]]</f>
        <v>-12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0.40474938228885843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-12.369485795230608</v>
      </c>
      <c r="AB11" s="4">
        <f>Games[[#This Row],[PreGmRate]]+Games[[#This Row],[RatingChange]]</f>
        <v>1461.3880715044079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41776</v>
      </c>
      <c r="B12" s="2">
        <v>2014</v>
      </c>
      <c r="C12" s="2">
        <f>COUNTIFS(Games[Team],Games[[#This Row],[Team]],Games[Season],Games[[#This Row],[Season]],Games[Date],"&lt;=" &amp; Games[[#This Row],[Date]])</f>
        <v>2</v>
      </c>
      <c r="D12" s="2" t="s">
        <v>83</v>
      </c>
      <c r="E12" s="2" t="s">
        <v>84</v>
      </c>
      <c r="F12" s="1" t="s">
        <v>79</v>
      </c>
      <c r="G12" s="1" t="s">
        <v>69</v>
      </c>
      <c r="H12" s="1" t="s">
        <v>85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1510.1713076961441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1509.9163407409283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0.3817622258819986</v>
      </c>
      <c r="R12" s="1">
        <v>90</v>
      </c>
      <c r="S12" s="1">
        <v>88</v>
      </c>
      <c r="T12" s="1">
        <v>1</v>
      </c>
      <c r="U12" s="1">
        <f>Games[[#This Row],[PointsFor]]-Games[[#This Row],[PointsAgainst]]</f>
        <v>2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0.24100598159427294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11.279224421874526</v>
      </c>
      <c r="AB12" s="4">
        <f>Games[[#This Row],[PreGmRate]]+Games[[#This Row],[RatingChange]]</f>
        <v>1521.4505321180186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41776</v>
      </c>
      <c r="B13" s="2">
        <v>2014</v>
      </c>
      <c r="C13" s="2">
        <f>COUNTIFS(Games[Team],Games[[#This Row],[Team]],Games[Season],Games[[#This Row],[Season]],Games[Date],"&lt;=" &amp; Games[[#This Row],[Date]])</f>
        <v>2</v>
      </c>
      <c r="D13" s="2" t="s">
        <v>83</v>
      </c>
      <c r="E13" s="2" t="s">
        <v>84</v>
      </c>
      <c r="F13" s="1" t="s">
        <v>69</v>
      </c>
      <c r="G13" s="1" t="s">
        <v>79</v>
      </c>
      <c r="H13" s="1" t="s">
        <v>86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1509.9163407409283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1510.1713076961441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0.6182377741180014</v>
      </c>
      <c r="R13" s="1">
        <v>88</v>
      </c>
      <c r="S13" s="1">
        <v>90</v>
      </c>
      <c r="T13" s="1">
        <v>1</v>
      </c>
      <c r="U13" s="1">
        <f>Games[[#This Row],[PointsFor]]-Games[[#This Row],[PointsAgainst]]</f>
        <v>-2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0.24100598159427294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-11.279224421874526</v>
      </c>
      <c r="AB13" s="4">
        <f>Games[[#This Row],[PreGmRate]]+Games[[#This Row],[RatingChange]]</f>
        <v>1498.6371163190538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41776</v>
      </c>
      <c r="B14" s="2">
        <v>2014</v>
      </c>
      <c r="C14" s="2">
        <f>COUNTIFS(Games[Team],Games[[#This Row],[Team]],Games[Season],Games[[#This Row],[Season]],Games[Date],"&lt;=" &amp; Games[[#This Row],[Date]])</f>
        <v>2</v>
      </c>
      <c r="D14" s="2" t="s">
        <v>83</v>
      </c>
      <c r="E14" s="2" t="s">
        <v>84</v>
      </c>
      <c r="F14" s="1" t="s">
        <v>77</v>
      </c>
      <c r="G14" s="1" t="s">
        <v>60</v>
      </c>
      <c r="H14" s="1" t="s">
        <v>85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1546.2000896780019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1452.0377555627065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0.51462060515503327</v>
      </c>
      <c r="R14" s="1">
        <v>79</v>
      </c>
      <c r="S14" s="1">
        <v>65</v>
      </c>
      <c r="T14" s="1">
        <v>0</v>
      </c>
      <c r="U14" s="1">
        <f>Games[[#This Row],[PointsFor]]-Games[[#This Row],[PointsAgainst]]</f>
        <v>14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0.45213008354235795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16.612715214013242</v>
      </c>
      <c r="AB14" s="4">
        <f>Games[[#This Row],[PreGmRate]]+Games[[#This Row],[RatingChange]]</f>
        <v>1562.812804892015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41776</v>
      </c>
      <c r="B15" s="2">
        <v>2014</v>
      </c>
      <c r="C15" s="2">
        <f>COUNTIFS(Games[Team],Games[[#This Row],[Team]],Games[Season],Games[[#This Row],[Season]],Games[Date],"&lt;=" &amp; Games[[#This Row],[Date]])</f>
        <v>2</v>
      </c>
      <c r="D15" s="2" t="s">
        <v>83</v>
      </c>
      <c r="E15" s="2" t="s">
        <v>84</v>
      </c>
      <c r="F15" s="1" t="s">
        <v>60</v>
      </c>
      <c r="G15" s="1" t="s">
        <v>77</v>
      </c>
      <c r="H15" s="1" t="s">
        <v>86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1452.0377555627065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1546.2000896780019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0.48537939484496684</v>
      </c>
      <c r="R15" s="1">
        <v>65</v>
      </c>
      <c r="S15" s="1">
        <v>79</v>
      </c>
      <c r="T15" s="1">
        <v>0</v>
      </c>
      <c r="U15" s="1">
        <f>Games[[#This Row],[PointsFor]]-Games[[#This Row],[PointsAgainst]]</f>
        <v>-14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0.45213008354235795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-16.612715214013246</v>
      </c>
      <c r="AB15" s="4">
        <f>Games[[#This Row],[PreGmRate]]+Games[[#This Row],[RatingChange]]</f>
        <v>1435.4250403486933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41776</v>
      </c>
      <c r="B16" s="2">
        <v>2014</v>
      </c>
      <c r="C16" s="2">
        <f>COUNTIFS(Games[Team],Games[[#This Row],[Team]],Games[Season],Games[[#This Row],[Season]],Games[Date],"&lt;=" &amp; Games[[#This Row],[Date]])</f>
        <v>2</v>
      </c>
      <c r="D16" s="2" t="s">
        <v>83</v>
      </c>
      <c r="E16" s="2" t="s">
        <v>84</v>
      </c>
      <c r="F16" s="1" t="s">
        <v>71</v>
      </c>
      <c r="G16" s="1" t="s">
        <v>40</v>
      </c>
      <c r="H16" s="1" t="s">
        <v>85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-1</v>
      </c>
      <c r="L16" s="2">
        <f>Games[[#This Row],[OppDaysOff]]-Games[[#This Row],[DaysOff]]</f>
        <v>1</v>
      </c>
      <c r="M16" s="1">
        <f>MAX(-16, MIN(16, Games[[#This Row],[RestDiff]]*8))</f>
        <v>-8</v>
      </c>
      <c r="N16" s="1">
        <f>MAX(-16, MIN(16, Games[[#This Row],[OppRestDiff]]*8))</f>
        <v>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1479.1762012472502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1505.0930960506003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0.32632897228497737</v>
      </c>
      <c r="R16" s="1">
        <v>64</v>
      </c>
      <c r="S16" s="1">
        <v>81</v>
      </c>
      <c r="T16" s="1">
        <v>0</v>
      </c>
      <c r="U16" s="1">
        <f>Games[[#This Row],[PointsFor]]-Games[[#This Row],[PointsAgainst]]</f>
        <v>-17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0.52118580436146777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-12.874906712544538</v>
      </c>
      <c r="AB16" s="4">
        <f>Games[[#This Row],[PreGmRate]]+Games[[#This Row],[RatingChange]]</f>
        <v>1466.3012945347057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41776</v>
      </c>
      <c r="B17" s="2">
        <v>2014</v>
      </c>
      <c r="C17" s="2">
        <f>COUNTIFS(Games[Team],Games[[#This Row],[Team]],Games[Season],Games[[#This Row],[Season]],Games[Date],"&lt;=" &amp; Games[[#This Row],[Date]])</f>
        <v>1</v>
      </c>
      <c r="D17" s="2" t="s">
        <v>83</v>
      </c>
      <c r="E17" s="2" t="s">
        <v>84</v>
      </c>
      <c r="F17" s="1" t="s">
        <v>40</v>
      </c>
      <c r="G17" s="1" t="s">
        <v>71</v>
      </c>
      <c r="H17" s="1" t="s">
        <v>86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" s="2">
        <f>Games[[#This Row],[DaysOff]]-Games[[#This Row],[OppDaysOff]]</f>
        <v>1</v>
      </c>
      <c r="L17" s="2">
        <f>Games[[#This Row],[OppDaysOff]]-Games[[#This Row],[DaysOff]]</f>
        <v>-1</v>
      </c>
      <c r="M17" s="1">
        <f>MAX(-16, MIN(16, Games[[#This Row],[RestDiff]]*8))</f>
        <v>8</v>
      </c>
      <c r="N17" s="1">
        <f>MAX(-16, MIN(16, Games[[#This Row],[OppRestDiff]]*8))</f>
        <v>-8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1505.0930960506003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1479.1762012472502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0.67367102771502263</v>
      </c>
      <c r="R17" s="1">
        <v>81</v>
      </c>
      <c r="S17" s="1">
        <v>64</v>
      </c>
      <c r="T17" s="1">
        <v>0</v>
      </c>
      <c r="U17" s="1">
        <f>Games[[#This Row],[PointsFor]]-Games[[#This Row],[PointsAgainst]]</f>
        <v>17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0.52118580436146777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12.900418416730556</v>
      </c>
      <c r="AB17" s="4">
        <f>Games[[#This Row],[PreGmRate]]+Games[[#This Row],[RatingChange]]</f>
        <v>1517.9935144673309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41776</v>
      </c>
      <c r="B18" s="2">
        <v>2014</v>
      </c>
      <c r="C18" s="2">
        <f>COUNTIFS(Games[Team],Games[[#This Row],[Team]],Games[Season],Games[[#This Row],[Season]],Games[Date],"&lt;=" &amp; Games[[#This Row],[Date]])</f>
        <v>1</v>
      </c>
      <c r="D18" s="2" t="s">
        <v>83</v>
      </c>
      <c r="E18" s="2" t="s">
        <v>84</v>
      </c>
      <c r="F18" s="1" t="s">
        <v>81</v>
      </c>
      <c r="G18" s="1" t="s">
        <v>74</v>
      </c>
      <c r="H18" s="1" t="s">
        <v>85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" s="2">
        <f>Games[[#This Row],[DaysOff]]-Games[[#This Row],[OppDaysOff]]</f>
        <v>1</v>
      </c>
      <c r="L18" s="2">
        <f>Games[[#This Row],[OppDaysOff]]-Games[[#This Row],[DaysOff]]</f>
        <v>-1</v>
      </c>
      <c r="M18" s="1">
        <f>MAX(-16, MIN(16, Games[[#This Row],[RestDiff]]*8))</f>
        <v>8</v>
      </c>
      <c r="N18" s="1">
        <f>MAX(-16, MIN(16, Games[[#This Row],[OppRestDiff]]*8))</f>
        <v>-8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1455.0224765594101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1452.4271409404382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0.4069714486151581</v>
      </c>
      <c r="R18" s="1">
        <v>76</v>
      </c>
      <c r="S18" s="1">
        <v>80</v>
      </c>
      <c r="T18" s="1">
        <v>0</v>
      </c>
      <c r="U18" s="1">
        <f>Games[[#This Row],[PointsFor]]-Games[[#This Row],[PointsAgainst]]</f>
        <v>-4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0.31076062813124344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75.849999999999994</v>
      </c>
      <c r="Z18" s="4">
        <f>Games[[#This Row],[K]]*Games[[#This Row],[POMult]]</f>
        <v>75.849999999999994</v>
      </c>
      <c r="AA18" s="4">
        <f>(Games[[#This Row],[Keff]]*Games[[#This Row],[MOVMult]])*(Games[[#This Row],[Result]]-Games[[#This Row],[ExpectedWin%]])</f>
        <v>-9.5928028227873039</v>
      </c>
      <c r="AB18" s="4">
        <f>Games[[#This Row],[PreGmRate]]+Games[[#This Row],[RatingChange]]</f>
        <v>1445.4296737366228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41776</v>
      </c>
      <c r="B19" s="2">
        <v>2014</v>
      </c>
      <c r="C19" s="2">
        <f>COUNTIFS(Games[Team],Games[[#This Row],[Team]],Games[Season],Games[[#This Row],[Season]],Games[Date],"&lt;=" &amp; Games[[#This Row],[Date]])</f>
        <v>2</v>
      </c>
      <c r="D19" s="2" t="s">
        <v>83</v>
      </c>
      <c r="E19" s="2" t="s">
        <v>84</v>
      </c>
      <c r="F19" s="1" t="s">
        <v>74</v>
      </c>
      <c r="G19" s="1" t="s">
        <v>81</v>
      </c>
      <c r="H19" s="1" t="s">
        <v>86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-1</v>
      </c>
      <c r="L19" s="2">
        <f>Games[[#This Row],[OppDaysOff]]-Games[[#This Row],[DaysOff]]</f>
        <v>1</v>
      </c>
      <c r="M19" s="1">
        <f>MAX(-16, MIN(16, Games[[#This Row],[RestDiff]]*8))</f>
        <v>-8</v>
      </c>
      <c r="N19" s="1">
        <f>MAX(-16, MIN(16, Games[[#This Row],[OppRestDiff]]*8))</f>
        <v>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1452.4271409404382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1455.0224765594101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0.5930285513848419</v>
      </c>
      <c r="R19" s="1">
        <v>80</v>
      </c>
      <c r="S19" s="1">
        <v>76</v>
      </c>
      <c r="T19" s="1">
        <v>0</v>
      </c>
      <c r="U19" s="1">
        <f>Games[[#This Row],[PointsFor]]-Games[[#This Row],[PointsAgainst]]</f>
        <v>4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0.31076062813124344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9.573832217336836</v>
      </c>
      <c r="AB19" s="4">
        <f>Games[[#This Row],[PreGmRate]]+Games[[#This Row],[RatingChange]]</f>
        <v>1462.000973157775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41777</v>
      </c>
      <c r="B20" s="2">
        <v>2014</v>
      </c>
      <c r="C20" s="2">
        <f>COUNTIFS(Games[Team],Games[[#This Row],[Team]],Games[Season],Games[[#This Row],[Season]],Games[Date],"&lt;=" &amp; Games[[#This Row],[Date]])</f>
        <v>2</v>
      </c>
      <c r="D20" s="2" t="s">
        <v>83</v>
      </c>
      <c r="E20" s="2" t="s">
        <v>84</v>
      </c>
      <c r="F20" s="1" t="s">
        <v>40</v>
      </c>
      <c r="G20" s="1" t="s">
        <v>63</v>
      </c>
      <c r="H20" s="1" t="s">
        <v>85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-1</v>
      </c>
      <c r="L20" s="2">
        <f>Games[[#This Row],[OppDaysOff]]-Games[[#This Row],[DaysOff]]</f>
        <v>1</v>
      </c>
      <c r="M20" s="1">
        <f>MAX(-16, MIN(16, Games[[#This Row],[RestDiff]]*8))</f>
        <v>-8</v>
      </c>
      <c r="N20" s="1">
        <f>MAX(-16, MIN(16, Games[[#This Row],[OppRestDiff]]*8))</f>
        <v>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1517.9935144673309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1578.2667255671654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0.28442704548925457</v>
      </c>
      <c r="R20" s="1">
        <v>74</v>
      </c>
      <c r="S20" s="1">
        <v>69</v>
      </c>
      <c r="T20" s="1">
        <v>0</v>
      </c>
      <c r="U20" s="1">
        <f>Games[[#This Row],[PointsFor]]-Games[[#This Row],[PointsAgainst]]</f>
        <v>5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0.31588957620234664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17.111382226809116</v>
      </c>
      <c r="AB20" s="4">
        <f>Games[[#This Row],[PreGmRate]]+Games[[#This Row],[RatingChange]]</f>
        <v>1535.1048966941401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41777</v>
      </c>
      <c r="B21" s="2">
        <v>2014</v>
      </c>
      <c r="C21" s="2">
        <f>COUNTIFS(Games[Team],Games[[#This Row],[Team]],Games[Season],Games[[#This Row],[Season]],Games[Date],"&lt;=" &amp; Games[[#This Row],[Date]])</f>
        <v>2</v>
      </c>
      <c r="D21" s="2" t="s">
        <v>83</v>
      </c>
      <c r="E21" s="2" t="s">
        <v>84</v>
      </c>
      <c r="F21" s="1" t="s">
        <v>63</v>
      </c>
      <c r="G21" s="1" t="s">
        <v>40</v>
      </c>
      <c r="H21" s="1" t="s">
        <v>86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" s="2">
        <f>Games[[#This Row],[DaysOff]]-Games[[#This Row],[OppDaysOff]]</f>
        <v>1</v>
      </c>
      <c r="L21" s="2">
        <f>Games[[#This Row],[OppDaysOff]]-Games[[#This Row],[DaysOff]]</f>
        <v>-1</v>
      </c>
      <c r="M21" s="1">
        <f>MAX(-16, MIN(16, Games[[#This Row],[RestDiff]]*8))</f>
        <v>8</v>
      </c>
      <c r="N21" s="1">
        <f>MAX(-16, MIN(16, Games[[#This Row],[OppRestDiff]]*8))</f>
        <v>-8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1578.2667255671654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1517.9935144673309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0.71557295451074532</v>
      </c>
      <c r="R21" s="1">
        <v>69</v>
      </c>
      <c r="S21" s="1">
        <v>74</v>
      </c>
      <c r="T21" s="1">
        <v>0</v>
      </c>
      <c r="U21" s="1">
        <f>Games[[#This Row],[PointsFor]]-Games[[#This Row],[PointsAgainst]]</f>
        <v>-5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0.31588957620234664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-17.111382226809113</v>
      </c>
      <c r="AB21" s="4">
        <f>Games[[#This Row],[PreGmRate]]+Games[[#This Row],[RatingChange]]</f>
        <v>1561.1553433403562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41777</v>
      </c>
      <c r="B22" s="2">
        <v>2014</v>
      </c>
      <c r="C22" s="2">
        <f>COUNTIFS(Games[Team],Games[[#This Row],[Team]],Games[Season],Games[[#This Row],[Season]],Games[Date],"&lt;=" &amp; Games[[#This Row],[Date]])</f>
        <v>2</v>
      </c>
      <c r="D22" s="2" t="s">
        <v>83</v>
      </c>
      <c r="E22" s="2" t="s">
        <v>84</v>
      </c>
      <c r="F22" s="1" t="s">
        <v>76</v>
      </c>
      <c r="G22" s="1" t="s">
        <v>67</v>
      </c>
      <c r="H22" s="1" t="s">
        <v>85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1413.7072008394814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1638.458524360025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0.14463493362797483</v>
      </c>
      <c r="R22" s="1">
        <v>87</v>
      </c>
      <c r="S22" s="1">
        <v>90</v>
      </c>
      <c r="T22" s="1">
        <v>1</v>
      </c>
      <c r="U22" s="1">
        <f>Games[[#This Row],[PointsFor]]-Games[[#This Row],[PointsAgainst]]</f>
        <v>-3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0.2199669497496598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-2.4083883219284323</v>
      </c>
      <c r="AB22" s="4">
        <f>Games[[#This Row],[PreGmRate]]+Games[[#This Row],[RatingChange]]</f>
        <v>1411.298812517553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41777</v>
      </c>
      <c r="B23" s="2">
        <v>2014</v>
      </c>
      <c r="C23" s="2">
        <f>COUNTIFS(Games[Team],Games[[#This Row],[Team]],Games[Season],Games[[#This Row],[Season]],Games[Date],"&lt;=" &amp; Games[[#This Row],[Date]])</f>
        <v>2</v>
      </c>
      <c r="D23" s="2" t="s">
        <v>83</v>
      </c>
      <c r="E23" s="2" t="s">
        <v>84</v>
      </c>
      <c r="F23" s="1" t="s">
        <v>67</v>
      </c>
      <c r="G23" s="1" t="s">
        <v>76</v>
      </c>
      <c r="H23" s="1" t="s">
        <v>86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1638.458524360025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1413.7072008394814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0.85536506637202525</v>
      </c>
      <c r="R23" s="1">
        <v>90</v>
      </c>
      <c r="S23" s="1">
        <v>87</v>
      </c>
      <c r="T23" s="1">
        <v>1</v>
      </c>
      <c r="U23" s="1">
        <f>Games[[#This Row],[PointsFor]]-Games[[#This Row],[PointsAgainst]]</f>
        <v>3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0.2199669497496598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2.408388321928431</v>
      </c>
      <c r="AB23" s="4">
        <f>Games[[#This Row],[PreGmRate]]+Games[[#This Row],[RatingChange]]</f>
        <v>1640.8669126819534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41780</v>
      </c>
      <c r="B24" s="2">
        <v>2014</v>
      </c>
      <c r="C24" s="2">
        <f>COUNTIFS(Games[Team],Games[[#This Row],[Team]],Games[Season],Games[[#This Row],[Season]],Games[Date],"&lt;=" &amp; Games[[#This Row],[Date]])</f>
        <v>3</v>
      </c>
      <c r="D24" s="2" t="s">
        <v>83</v>
      </c>
      <c r="E24" s="2" t="s">
        <v>84</v>
      </c>
      <c r="F24" s="1" t="s">
        <v>76</v>
      </c>
      <c r="G24" s="1" t="s">
        <v>77</v>
      </c>
      <c r="H24" s="1" t="s">
        <v>85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" s="2">
        <f>Games[[#This Row],[DaysOff]]-Games[[#This Row],[OppDaysOff]]</f>
        <v>-1</v>
      </c>
      <c r="L24" s="2">
        <f>Games[[#This Row],[OppDaysOff]]-Games[[#This Row],[DaysOff]]</f>
        <v>1</v>
      </c>
      <c r="M24" s="1">
        <f>MAX(-16, MIN(16, Games[[#This Row],[RestDiff]]*8))</f>
        <v>-8</v>
      </c>
      <c r="N24" s="1">
        <f>MAX(-16, MIN(16, Games[[#This Row],[OppRestDiff]]*8))</f>
        <v>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1411.298812517553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1562.812804892015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0.19033561343410743</v>
      </c>
      <c r="R24" s="1">
        <v>68</v>
      </c>
      <c r="S24" s="1">
        <v>78</v>
      </c>
      <c r="T24" s="1">
        <v>0</v>
      </c>
      <c r="U24" s="1">
        <f>Games[[#This Row],[PointsFor]]-Games[[#This Row],[PointsAgainst]]</f>
        <v>-10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0.37569395660245419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-5.4024248438375073</v>
      </c>
      <c r="AB24" s="4">
        <f>Games[[#This Row],[PreGmRate]]+Games[[#This Row],[RatingChange]]</f>
        <v>1405.8963876737155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41780</v>
      </c>
      <c r="B25" s="2">
        <v>2014</v>
      </c>
      <c r="C25" s="2">
        <f>COUNTIFS(Games[Team],Games[[#This Row],[Team]],Games[Season],Games[[#This Row],[Season]],Games[Date],"&lt;=" &amp; Games[[#This Row],[Date]])</f>
        <v>3</v>
      </c>
      <c r="D25" s="2" t="s">
        <v>83</v>
      </c>
      <c r="E25" s="2" t="s">
        <v>84</v>
      </c>
      <c r="F25" s="1" t="s">
        <v>77</v>
      </c>
      <c r="G25" s="1" t="s">
        <v>76</v>
      </c>
      <c r="H25" s="1" t="s">
        <v>86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1</v>
      </c>
      <c r="L25" s="2">
        <f>Games[[#This Row],[OppDaysOff]]-Games[[#This Row],[DaysOff]]</f>
        <v>-1</v>
      </c>
      <c r="M25" s="1">
        <f>MAX(-16, MIN(16, Games[[#This Row],[RestDiff]]*8))</f>
        <v>8</v>
      </c>
      <c r="N25" s="1">
        <f>MAX(-16, MIN(16, Games[[#This Row],[OppRestDiff]]*8))</f>
        <v>-8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1562.812804892015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1411.298812517553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0.80966438656589268</v>
      </c>
      <c r="R25" s="1">
        <v>78</v>
      </c>
      <c r="S25" s="1">
        <v>68</v>
      </c>
      <c r="T25" s="1">
        <v>0</v>
      </c>
      <c r="U25" s="1">
        <f>Games[[#This Row],[PointsFor]]-Games[[#This Row],[PointsAgainst]]</f>
        <v>10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0.37569395660245419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5.4024248438375038</v>
      </c>
      <c r="AB25" s="4">
        <f>Games[[#This Row],[PreGmRate]]+Games[[#This Row],[RatingChange]]</f>
        <v>1568.2152297358525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41782</v>
      </c>
      <c r="B26" s="2">
        <v>2014</v>
      </c>
      <c r="C26" s="2">
        <f>COUNTIFS(Games[Team],Games[[#This Row],[Team]],Games[Season],Games[[#This Row],[Season]],Games[Date],"&lt;=" &amp; Games[[#This Row],[Date]])</f>
        <v>3</v>
      </c>
      <c r="D26" s="2" t="s">
        <v>83</v>
      </c>
      <c r="E26" s="2" t="s">
        <v>84</v>
      </c>
      <c r="F26" s="1" t="s">
        <v>71</v>
      </c>
      <c r="G26" s="1" t="s">
        <v>76</v>
      </c>
      <c r="H26" s="1" t="s">
        <v>85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" s="2">
        <f>Games[[#This Row],[DaysOff]]-Games[[#This Row],[OppDaysOff]]</f>
        <v>4</v>
      </c>
      <c r="L26" s="2">
        <f>Games[[#This Row],[OppDaysOff]]-Games[[#This Row],[DaysOff]]</f>
        <v>-4</v>
      </c>
      <c r="M26" s="1">
        <f>MAX(-16, MIN(16, Games[[#This Row],[RestDiff]]*8))</f>
        <v>16</v>
      </c>
      <c r="N26" s="1">
        <f>MAX(-16, MIN(16, Games[[#This Row],[OppRestDiff]]*8))</f>
        <v>-16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1466.3012945347057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1405.8963876737155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0.5120932743060983</v>
      </c>
      <c r="R26" s="1">
        <v>59</v>
      </c>
      <c r="S26" s="1">
        <v>71</v>
      </c>
      <c r="T26" s="1">
        <v>0</v>
      </c>
      <c r="U26" s="1">
        <f>Games[[#This Row],[PointsFor]]-Games[[#This Row],[PointsAgainst]]</f>
        <v>-12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0.43426943890199926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-16.801296969773883</v>
      </c>
      <c r="AB26" s="4">
        <f>Games[[#This Row],[PreGmRate]]+Games[[#This Row],[RatingChange]]</f>
        <v>1449.4999975649318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41782</v>
      </c>
      <c r="B27" s="2">
        <v>2014</v>
      </c>
      <c r="C27" s="2">
        <f>COUNTIFS(Games[Team],Games[[#This Row],[Team]],Games[Season],Games[[#This Row],[Season]],Games[Date],"&lt;=" &amp; Games[[#This Row],[Date]])</f>
        <v>4</v>
      </c>
      <c r="D27" s="2" t="s">
        <v>83</v>
      </c>
      <c r="E27" s="2" t="s">
        <v>84</v>
      </c>
      <c r="F27" s="1" t="s">
        <v>76</v>
      </c>
      <c r="G27" s="1" t="s">
        <v>71</v>
      </c>
      <c r="H27" s="1" t="s">
        <v>86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" s="2">
        <f>Games[[#This Row],[DaysOff]]-Games[[#This Row],[OppDaysOff]]</f>
        <v>-4</v>
      </c>
      <c r="L27" s="2">
        <f>Games[[#This Row],[OppDaysOff]]-Games[[#This Row],[DaysOff]]</f>
        <v>4</v>
      </c>
      <c r="M27" s="1">
        <f>MAX(-16, MIN(16, Games[[#This Row],[RestDiff]]*8))</f>
        <v>-16</v>
      </c>
      <c r="N27" s="1">
        <f>MAX(-16, MIN(16, Games[[#This Row],[OppRestDiff]]*8))</f>
        <v>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1405.8963876737155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1466.3012945347057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0.4879067256939017</v>
      </c>
      <c r="R27" s="1">
        <v>71</v>
      </c>
      <c r="S27" s="1">
        <v>59</v>
      </c>
      <c r="T27" s="1">
        <v>0</v>
      </c>
      <c r="U27" s="1">
        <f>Games[[#This Row],[PointsFor]]-Games[[#This Row],[PointsAgainst]]</f>
        <v>12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0.43426943890199926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75.400000000000006</v>
      </c>
      <c r="Z27" s="4">
        <f>Games[[#This Row],[K]]*Games[[#This Row],[POMult]]</f>
        <v>75.400000000000006</v>
      </c>
      <c r="AA27" s="4">
        <f>(Games[[#This Row],[Keff]]*Games[[#This Row],[MOVMult]])*(Games[[#This Row],[Result]]-Games[[#This Row],[ExpectedWin%]])</f>
        <v>16.767939000939126</v>
      </c>
      <c r="AB27" s="4">
        <f>Games[[#This Row],[PreGmRate]]+Games[[#This Row],[RatingChange]]</f>
        <v>1422.6643266746546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41782</v>
      </c>
      <c r="B28" s="2">
        <v>2014</v>
      </c>
      <c r="C28" s="2">
        <f>COUNTIFS(Games[Team],Games[[#This Row],[Team]],Games[Season],Games[[#This Row],[Season]],Games[Date],"&lt;=" &amp; Games[[#This Row],[Date]])</f>
        <v>2</v>
      </c>
      <c r="D28" s="2" t="s">
        <v>83</v>
      </c>
      <c r="E28" s="2" t="s">
        <v>84</v>
      </c>
      <c r="F28" s="1" t="s">
        <v>65</v>
      </c>
      <c r="G28" s="1" t="s">
        <v>69</v>
      </c>
      <c r="H28" s="1" t="s">
        <v>85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6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" s="2">
        <f>Games[[#This Row],[DaysOff]]-Games[[#This Row],[OppDaysOff]]</f>
        <v>1</v>
      </c>
      <c r="L28" s="2">
        <f>Games[[#This Row],[OppDaysOff]]-Games[[#This Row],[DaysOff]]</f>
        <v>-1</v>
      </c>
      <c r="M28" s="1">
        <f>MAX(-16, MIN(16, Games[[#This Row],[RestDiff]]*8))</f>
        <v>8</v>
      </c>
      <c r="N28" s="1">
        <f>MAX(-16, MIN(16, Games[[#This Row],[OppRestDiff]]*8))</f>
        <v>-8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1461.3880715044079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1498.6371163190538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0.35300366190715055</v>
      </c>
      <c r="R28" s="1">
        <v>79</v>
      </c>
      <c r="S28" s="1">
        <v>63</v>
      </c>
      <c r="T28" s="1">
        <v>0</v>
      </c>
      <c r="U28" s="1">
        <f>Games[[#This Row],[PointsFor]]-Games[[#This Row],[PointsAgainst]]</f>
        <v>16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0.50219738810075909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24.596434242344539</v>
      </c>
      <c r="AB28" s="4">
        <f>Games[[#This Row],[PreGmRate]]+Games[[#This Row],[RatingChange]]</f>
        <v>1485.9845057467523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41782</v>
      </c>
      <c r="B29" s="2">
        <v>2014</v>
      </c>
      <c r="C29" s="2">
        <f>COUNTIFS(Games[Team],Games[[#This Row],[Team]],Games[Season],Games[[#This Row],[Season]],Games[Date],"&lt;=" &amp; Games[[#This Row],[Date]])</f>
        <v>3</v>
      </c>
      <c r="D29" s="2" t="s">
        <v>83</v>
      </c>
      <c r="E29" s="2" t="s">
        <v>84</v>
      </c>
      <c r="F29" s="1" t="s">
        <v>69</v>
      </c>
      <c r="G29" s="1" t="s">
        <v>65</v>
      </c>
      <c r="H29" s="1" t="s">
        <v>86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9" s="2">
        <f>Games[[#This Row],[DaysOff]]-Games[[#This Row],[OppDaysOff]]</f>
        <v>-1</v>
      </c>
      <c r="L29" s="2">
        <f>Games[[#This Row],[OppDaysOff]]-Games[[#This Row],[DaysOff]]</f>
        <v>1</v>
      </c>
      <c r="M29" s="1">
        <f>MAX(-16, MIN(16, Games[[#This Row],[RestDiff]]*8))</f>
        <v>-8</v>
      </c>
      <c r="N29" s="1">
        <f>MAX(-16, MIN(16, Games[[#This Row],[OppRestDiff]]*8))</f>
        <v>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1498.6371163190538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1461.3880715044079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0.64699633809284951</v>
      </c>
      <c r="R29" s="1">
        <v>63</v>
      </c>
      <c r="S29" s="1">
        <v>79</v>
      </c>
      <c r="T29" s="1">
        <v>0</v>
      </c>
      <c r="U29" s="1">
        <f>Games[[#This Row],[PointsFor]]-Games[[#This Row],[PointsAgainst]]</f>
        <v>-16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0.50219738810075909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-24.547696261679391</v>
      </c>
      <c r="AB29" s="4">
        <f>Games[[#This Row],[PreGmRate]]+Games[[#This Row],[RatingChange]]</f>
        <v>1474.0894200573744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41782</v>
      </c>
      <c r="B30" s="2">
        <v>2014</v>
      </c>
      <c r="C30" s="2">
        <f>COUNTIFS(Games[Team],Games[[#This Row],[Team]],Games[Season],Games[[#This Row],[Season]],Games[Date],"&lt;=" &amp; Games[[#This Row],[Date]])</f>
        <v>3</v>
      </c>
      <c r="D30" s="2" t="s">
        <v>83</v>
      </c>
      <c r="E30" s="2" t="s">
        <v>84</v>
      </c>
      <c r="F30" s="1" t="s">
        <v>74</v>
      </c>
      <c r="G30" s="1" t="s">
        <v>40</v>
      </c>
      <c r="H30" s="1" t="s">
        <v>85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" s="2">
        <f>Games[[#This Row],[DaysOff]]-Games[[#This Row],[OppDaysOff]]</f>
        <v>1</v>
      </c>
      <c r="L30" s="2">
        <f>Games[[#This Row],[OppDaysOff]]-Games[[#This Row],[DaysOff]]</f>
        <v>-1</v>
      </c>
      <c r="M30" s="1">
        <f>MAX(-16, MIN(16, Games[[#This Row],[RestDiff]]*8))</f>
        <v>8</v>
      </c>
      <c r="N30" s="1">
        <f>MAX(-16, MIN(16, Games[[#This Row],[OppRestDiff]]*8))</f>
        <v>-8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1462.000973157775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1535.1048966941401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0.30740922390253117</v>
      </c>
      <c r="R30" s="1">
        <v>78</v>
      </c>
      <c r="S30" s="1">
        <v>74</v>
      </c>
      <c r="T30" s="1">
        <v>0</v>
      </c>
      <c r="U30" s="1">
        <f>Games[[#This Row],[PointsFor]]-Games[[#This Row],[PointsAgainst]]</f>
        <v>4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0.29354970554686238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15.360056779204701</v>
      </c>
      <c r="AB30" s="4">
        <f>Games[[#This Row],[PreGmRate]]+Games[[#This Row],[RatingChange]]</f>
        <v>1477.3610299369798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41782</v>
      </c>
      <c r="B31" s="2">
        <v>2014</v>
      </c>
      <c r="C31" s="2">
        <f>COUNTIFS(Games[Team],Games[[#This Row],[Team]],Games[Season],Games[[#This Row],[Season]],Games[Date],"&lt;=" &amp; Games[[#This Row],[Date]])</f>
        <v>3</v>
      </c>
      <c r="D31" s="2" t="s">
        <v>83</v>
      </c>
      <c r="E31" s="2" t="s">
        <v>84</v>
      </c>
      <c r="F31" s="1" t="s">
        <v>40</v>
      </c>
      <c r="G31" s="1" t="s">
        <v>74</v>
      </c>
      <c r="H31" s="1" t="s">
        <v>86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1" s="2">
        <f>Games[[#This Row],[DaysOff]]-Games[[#This Row],[OppDaysOff]]</f>
        <v>-1</v>
      </c>
      <c r="L31" s="2">
        <f>Games[[#This Row],[OppDaysOff]]-Games[[#This Row],[DaysOff]]</f>
        <v>1</v>
      </c>
      <c r="M31" s="1">
        <f>MAX(-16, MIN(16, Games[[#This Row],[RestDiff]]*8))</f>
        <v>-8</v>
      </c>
      <c r="N31" s="1">
        <f>MAX(-16, MIN(16, Games[[#This Row],[OppRestDiff]]*8))</f>
        <v>8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1535.1048966941401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1462.000973157775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0.69259077609746889</v>
      </c>
      <c r="R31" s="1">
        <v>74</v>
      </c>
      <c r="S31" s="1">
        <v>78</v>
      </c>
      <c r="T31" s="1">
        <v>0</v>
      </c>
      <c r="U31" s="1">
        <f>Games[[#This Row],[PointsFor]]-Games[[#This Row],[PointsAgainst]]</f>
        <v>-4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0.29354970554686238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-15.360056779204703</v>
      </c>
      <c r="AB31" s="4">
        <f>Games[[#This Row],[PreGmRate]]+Games[[#This Row],[RatingChange]]</f>
        <v>1519.7448399149353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41782</v>
      </c>
      <c r="B32" s="2">
        <v>2014</v>
      </c>
      <c r="C32" s="2">
        <f>COUNTIFS(Games[Team],Games[[#This Row],[Team]],Games[Season],Games[[#This Row],[Season]],Games[Date],"&lt;=" &amp; Games[[#This Row],[Date]])</f>
        <v>3</v>
      </c>
      <c r="D32" s="2" t="s">
        <v>83</v>
      </c>
      <c r="E32" s="2" t="s">
        <v>84</v>
      </c>
      <c r="F32" s="1" t="s">
        <v>67</v>
      </c>
      <c r="G32" s="1" t="s">
        <v>81</v>
      </c>
      <c r="H32" s="1" t="s">
        <v>85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" s="2">
        <f>Games[[#This Row],[DaysOff]]-Games[[#This Row],[OppDaysOff]]</f>
        <v>-1</v>
      </c>
      <c r="L32" s="2">
        <f>Games[[#This Row],[OppDaysOff]]-Games[[#This Row],[DaysOff]]</f>
        <v>1</v>
      </c>
      <c r="M32" s="1">
        <f>MAX(-16, MIN(16, Games[[#This Row],[RestDiff]]*8))</f>
        <v>-8</v>
      </c>
      <c r="N32" s="1">
        <f>MAX(-16, MIN(16, Games[[#This Row],[OppRestDiff]]*8))</f>
        <v>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1640.8669126819534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1445.4296737366228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0.6339919453078755</v>
      </c>
      <c r="R32" s="1">
        <v>94</v>
      </c>
      <c r="S32" s="1">
        <v>93</v>
      </c>
      <c r="T32" s="1">
        <v>0</v>
      </c>
      <c r="U32" s="1">
        <f>Games[[#This Row],[PointsFor]]-Games[[#This Row],[PointsAgainst]]</f>
        <v>1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0.20998121375907444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5.8063813163021676</v>
      </c>
      <c r="AB32" s="4">
        <f>Games[[#This Row],[PreGmRate]]+Games[[#This Row],[RatingChange]]</f>
        <v>1646.6732939982555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41782</v>
      </c>
      <c r="B33" s="2">
        <v>2014</v>
      </c>
      <c r="C33" s="2">
        <f>COUNTIFS(Games[Team],Games[[#This Row],[Team]],Games[Season],Games[[#This Row],[Season]],Games[Date],"&lt;=" &amp; Games[[#This Row],[Date]])</f>
        <v>2</v>
      </c>
      <c r="D33" s="2" t="s">
        <v>83</v>
      </c>
      <c r="E33" s="2" t="s">
        <v>84</v>
      </c>
      <c r="F33" s="1" t="s">
        <v>81</v>
      </c>
      <c r="G33" s="1" t="s">
        <v>67</v>
      </c>
      <c r="H33" s="1" t="s">
        <v>86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" s="2">
        <f>Games[[#This Row],[DaysOff]]-Games[[#This Row],[OppDaysOff]]</f>
        <v>1</v>
      </c>
      <c r="L33" s="2">
        <f>Games[[#This Row],[OppDaysOff]]-Games[[#This Row],[DaysOff]]</f>
        <v>-1</v>
      </c>
      <c r="M33" s="1">
        <f>MAX(-16, MIN(16, Games[[#This Row],[RestDiff]]*8))</f>
        <v>8</v>
      </c>
      <c r="N33" s="1">
        <f>MAX(-16, MIN(16, Games[[#This Row],[OppRestDiff]]*8))</f>
        <v>-8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1445.4296737366228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1640.8669126819534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0.3660080546921245</v>
      </c>
      <c r="R33" s="1">
        <v>93</v>
      </c>
      <c r="S33" s="1">
        <v>94</v>
      </c>
      <c r="T33" s="1">
        <v>0</v>
      </c>
      <c r="U33" s="1">
        <f>Games[[#This Row],[PointsFor]]-Games[[#This Row],[PointsAgainst]]</f>
        <v>-1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0.20998121375907444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75.7</v>
      </c>
      <c r="Z33" s="4">
        <f>Games[[#This Row],[K]]*Games[[#This Row],[POMult]]</f>
        <v>75.7</v>
      </c>
      <c r="AA33" s="4">
        <f>(Games[[#This Row],[Keff]]*Games[[#This Row],[MOVMult]])*(Games[[#This Row],[Result]]-Games[[#This Row],[ExpectedWin%]])</f>
        <v>-5.8179095386376458</v>
      </c>
      <c r="AB33" s="4">
        <f>Games[[#This Row],[PreGmRate]]+Games[[#This Row],[RatingChange]]</f>
        <v>1439.6117641979852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41783</v>
      </c>
      <c r="B34" s="2">
        <v>2014</v>
      </c>
      <c r="C34" s="2">
        <f>COUNTIFS(Games[Team],Games[[#This Row],[Team]],Games[Season],Games[[#This Row],[Season]],Games[Date],"&lt;=" &amp; Games[[#This Row],[Date]])</f>
        <v>3</v>
      </c>
      <c r="D34" s="2" t="s">
        <v>83</v>
      </c>
      <c r="E34" s="2" t="s">
        <v>84</v>
      </c>
      <c r="F34" s="1" t="s">
        <v>79</v>
      </c>
      <c r="G34" s="1" t="s">
        <v>77</v>
      </c>
      <c r="H34" s="1" t="s">
        <v>85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6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4</v>
      </c>
      <c r="L34" s="2">
        <f>Games[[#This Row],[OppDaysOff]]-Games[[#This Row],[DaysOff]]</f>
        <v>-4</v>
      </c>
      <c r="M34" s="1">
        <f>MAX(-16, MIN(16, Games[[#This Row],[RestDiff]]*8))</f>
        <v>16</v>
      </c>
      <c r="N34" s="1">
        <f>MAX(-16, MIN(16, Games[[#This Row],[OppRestDiff]]*8))</f>
        <v>-16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1521.4505321180186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1568.2152297358525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0.36157486511825587</v>
      </c>
      <c r="R34" s="1">
        <v>73</v>
      </c>
      <c r="S34" s="1">
        <v>87</v>
      </c>
      <c r="T34" s="1">
        <v>0</v>
      </c>
      <c r="U34" s="1">
        <f>Games[[#This Row],[PointsFor]]-Games[[#This Row],[PointsAgainst]]</f>
        <v>-14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0.46931848917355146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-12.820364279713523</v>
      </c>
      <c r="AB34" s="4">
        <f>Games[[#This Row],[PreGmRate]]+Games[[#This Row],[RatingChange]]</f>
        <v>1508.6301678383052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41783</v>
      </c>
      <c r="B35" s="2">
        <v>2014</v>
      </c>
      <c r="C35" s="2">
        <f>COUNTIFS(Games[Team],Games[[#This Row],[Team]],Games[Season],Games[[#This Row],[Season]],Games[Date],"&lt;=" &amp; Games[[#This Row],[Date]])</f>
        <v>4</v>
      </c>
      <c r="D35" s="2" t="s">
        <v>83</v>
      </c>
      <c r="E35" s="2" t="s">
        <v>84</v>
      </c>
      <c r="F35" s="1" t="s">
        <v>77</v>
      </c>
      <c r="G35" s="1" t="s">
        <v>79</v>
      </c>
      <c r="H35" s="1" t="s">
        <v>86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5" s="2">
        <f>Games[[#This Row],[DaysOff]]-Games[[#This Row],[OppDaysOff]]</f>
        <v>-4</v>
      </c>
      <c r="L35" s="2">
        <f>Games[[#This Row],[OppDaysOff]]-Games[[#This Row],[DaysOff]]</f>
        <v>4</v>
      </c>
      <c r="M35" s="1">
        <f>MAX(-16, MIN(16, Games[[#This Row],[RestDiff]]*8))</f>
        <v>-16</v>
      </c>
      <c r="N35" s="1">
        <f>MAX(-16, MIN(16, Games[[#This Row],[OppRestDiff]]*8))</f>
        <v>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1568.2152297358525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1521.4505321180186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0.63842513488174413</v>
      </c>
      <c r="R35" s="1">
        <v>87</v>
      </c>
      <c r="S35" s="1">
        <v>73</v>
      </c>
      <c r="T35" s="1">
        <v>0</v>
      </c>
      <c r="U35" s="1">
        <f>Games[[#This Row],[PointsFor]]-Games[[#This Row],[PointsAgainst]]</f>
        <v>14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0.46931848917355146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12.794910214300462</v>
      </c>
      <c r="AB35" s="4">
        <f>Games[[#This Row],[PreGmRate]]+Games[[#This Row],[RatingChange]]</f>
        <v>1581.010139950153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41783</v>
      </c>
      <c r="B36" s="2">
        <v>2014</v>
      </c>
      <c r="C36" s="2">
        <f>COUNTIFS(Games[Team],Games[[#This Row],[Team]],Games[Season],Games[[#This Row],[Season]],Games[Date],"&lt;=" &amp; Games[[#This Row],[Date]])</f>
        <v>3</v>
      </c>
      <c r="D36" s="2" t="s">
        <v>83</v>
      </c>
      <c r="E36" s="2" t="s">
        <v>84</v>
      </c>
      <c r="F36" s="1" t="s">
        <v>60</v>
      </c>
      <c r="G36" s="1" t="s">
        <v>67</v>
      </c>
      <c r="H36" s="1" t="s">
        <v>85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6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" s="2">
        <f>Games[[#This Row],[DaysOff]]-Games[[#This Row],[OppDaysOff]]</f>
        <v>6</v>
      </c>
      <c r="L36" s="2">
        <f>Games[[#This Row],[OppDaysOff]]-Games[[#This Row],[DaysOff]]</f>
        <v>-6</v>
      </c>
      <c r="M36" s="1">
        <f>MAX(-16, MIN(16, Games[[#This Row],[RestDiff]]*8))</f>
        <v>16</v>
      </c>
      <c r="N36" s="1">
        <f>MAX(-16, MIN(16, Games[[#This Row],[OppRestDiff]]*8))</f>
        <v>-16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1435.4250403486933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1646.6732939982555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0.18014302855622011</v>
      </c>
      <c r="R36" s="1">
        <v>82</v>
      </c>
      <c r="S36" s="1">
        <v>87</v>
      </c>
      <c r="T36" s="1">
        <v>0</v>
      </c>
      <c r="U36" s="1">
        <f>Games[[#This Row],[PointsFor]]-Games[[#This Row],[PointsAgainst]]</f>
        <v>-5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0.28209577551219012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-3.8392687238151386</v>
      </c>
      <c r="AB36" s="4">
        <f>Games[[#This Row],[PreGmRate]]+Games[[#This Row],[RatingChange]]</f>
        <v>1431.5857716248781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41783</v>
      </c>
      <c r="B37" s="2">
        <v>2014</v>
      </c>
      <c r="C37" s="2">
        <f>COUNTIFS(Games[Team],Games[[#This Row],[Team]],Games[Season],Games[[#This Row],[Season]],Games[Date],"&lt;=" &amp; Games[[#This Row],[Date]])</f>
        <v>4</v>
      </c>
      <c r="D37" s="2" t="s">
        <v>83</v>
      </c>
      <c r="E37" s="2" t="s">
        <v>84</v>
      </c>
      <c r="F37" s="1" t="s">
        <v>67</v>
      </c>
      <c r="G37" s="1" t="s">
        <v>60</v>
      </c>
      <c r="H37" s="1" t="s">
        <v>86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7" s="2">
        <f>Games[[#This Row],[DaysOff]]-Games[[#This Row],[OppDaysOff]]</f>
        <v>-6</v>
      </c>
      <c r="L37" s="2">
        <f>Games[[#This Row],[OppDaysOff]]-Games[[#This Row],[DaysOff]]</f>
        <v>6</v>
      </c>
      <c r="M37" s="1">
        <f>MAX(-16, MIN(16, Games[[#This Row],[RestDiff]]*8))</f>
        <v>-16</v>
      </c>
      <c r="N37" s="1">
        <f>MAX(-16, MIN(16, Games[[#This Row],[OppRestDiff]]*8))</f>
        <v>16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1646.6732939982555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1435.4250403486933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0.81985697144378</v>
      </c>
      <c r="R37" s="1">
        <v>87</v>
      </c>
      <c r="S37" s="1">
        <v>82</v>
      </c>
      <c r="T37" s="1">
        <v>0</v>
      </c>
      <c r="U37" s="1">
        <f>Games[[#This Row],[PointsFor]]-Games[[#This Row],[PointsAgainst]]</f>
        <v>5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0.28209577551219012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3.8316460857135843</v>
      </c>
      <c r="AB37" s="4">
        <f>Games[[#This Row],[PreGmRate]]+Games[[#This Row],[RatingChange]]</f>
        <v>1650.5049400839691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41783</v>
      </c>
      <c r="B38" s="2">
        <v>2014</v>
      </c>
      <c r="C38" s="2">
        <f>COUNTIFS(Games[Team],Games[[#This Row],[Team]],Games[Season],Games[[#This Row],[Season]],Games[Date],"&lt;=" &amp; Games[[#This Row],[Date]])</f>
        <v>4</v>
      </c>
      <c r="D38" s="2" t="s">
        <v>83</v>
      </c>
      <c r="E38" s="2" t="s">
        <v>84</v>
      </c>
      <c r="F38" s="1" t="s">
        <v>71</v>
      </c>
      <c r="G38" s="1" t="s">
        <v>65</v>
      </c>
      <c r="H38" s="1" t="s">
        <v>85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1449.4999975649318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1485.9845057467523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0.3332405840912781</v>
      </c>
      <c r="R38" s="1">
        <v>73</v>
      </c>
      <c r="S38" s="1">
        <v>65</v>
      </c>
      <c r="T38" s="1">
        <v>0</v>
      </c>
      <c r="U38" s="1">
        <f>Games[[#This Row],[PointsFor]]-Games[[#This Row],[PointsAgainst]]</f>
        <v>8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0.37685764675596417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18.946013186153358</v>
      </c>
      <c r="AB38" s="4">
        <f>Games[[#This Row],[PreGmRate]]+Games[[#This Row],[RatingChange]]</f>
        <v>1468.4460107510852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41783</v>
      </c>
      <c r="B39" s="2">
        <v>2014</v>
      </c>
      <c r="C39" s="2">
        <f>COUNTIFS(Games[Team],Games[[#This Row],[Team]],Games[Season],Games[[#This Row],[Season]],Games[Date],"&lt;=" &amp; Games[[#This Row],[Date]])</f>
        <v>3</v>
      </c>
      <c r="D39" s="2" t="s">
        <v>83</v>
      </c>
      <c r="E39" s="2" t="s">
        <v>84</v>
      </c>
      <c r="F39" s="1" t="s">
        <v>65</v>
      </c>
      <c r="G39" s="1" t="s">
        <v>71</v>
      </c>
      <c r="H39" s="1" t="s">
        <v>86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1485.9845057467523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1449.4999975649318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0.66675941590872179</v>
      </c>
      <c r="R39" s="1">
        <v>65</v>
      </c>
      <c r="S39" s="1">
        <v>73</v>
      </c>
      <c r="T39" s="1">
        <v>0</v>
      </c>
      <c r="U39" s="1">
        <f>Games[[#This Row],[PointsFor]]-Games[[#This Row],[PointsAgainst]]</f>
        <v>-8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0.37685764675596417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-18.983704193818113</v>
      </c>
      <c r="AB39" s="4">
        <f>Games[[#This Row],[PreGmRate]]+Games[[#This Row],[RatingChange]]</f>
        <v>1467.0008015529343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41784</v>
      </c>
      <c r="B40" s="2">
        <v>2014</v>
      </c>
      <c r="C40" s="2">
        <f>COUNTIFS(Games[Team],Games[[#This Row],[Team]],Games[Season],Games[[#This Row],[Season]],Games[Date],"&lt;=" &amp; Games[[#This Row],[Date]])</f>
        <v>4</v>
      </c>
      <c r="D40" s="2" t="s">
        <v>83</v>
      </c>
      <c r="E40" s="2" t="s">
        <v>84</v>
      </c>
      <c r="F40" s="1" t="s">
        <v>69</v>
      </c>
      <c r="G40" s="1" t="s">
        <v>79</v>
      </c>
      <c r="H40" s="1" t="s">
        <v>85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" s="2">
        <f>Games[[#This Row],[DaysOff]]-Games[[#This Row],[OppDaysOff]]</f>
        <v>1</v>
      </c>
      <c r="L40" s="2">
        <f>Games[[#This Row],[OppDaysOff]]-Games[[#This Row],[DaysOff]]</f>
        <v>-1</v>
      </c>
      <c r="M40" s="1">
        <f>MAX(-16, MIN(16, Games[[#This Row],[RestDiff]]*8))</f>
        <v>8</v>
      </c>
      <c r="N40" s="1">
        <f>MAX(-16, MIN(16, Games[[#This Row],[OppRestDiff]]*8))</f>
        <v>-8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1474.0894200573744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1508.6301678383052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0.35657244887805684</v>
      </c>
      <c r="R40" s="1">
        <v>82</v>
      </c>
      <c r="S40" s="1">
        <v>77</v>
      </c>
      <c r="T40" s="1">
        <v>1</v>
      </c>
      <c r="U40" s="1">
        <f>Games[[#This Row],[PointsFor]]-Games[[#This Row],[PointsAgainst]]</f>
        <v>5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0.29022651066170174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14.080175870139687</v>
      </c>
      <c r="AB40" s="4">
        <f>Games[[#This Row],[PreGmRate]]+Games[[#This Row],[RatingChange]]</f>
        <v>1488.1695959275141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41784</v>
      </c>
      <c r="B41" s="2">
        <v>2014</v>
      </c>
      <c r="C41" s="2">
        <f>COUNTIFS(Games[Team],Games[[#This Row],[Team]],Games[Season],Games[[#This Row],[Season]],Games[Date],"&lt;=" &amp; Games[[#This Row],[Date]])</f>
        <v>4</v>
      </c>
      <c r="D41" s="2" t="s">
        <v>83</v>
      </c>
      <c r="E41" s="2" t="s">
        <v>84</v>
      </c>
      <c r="F41" s="1" t="s">
        <v>79</v>
      </c>
      <c r="G41" s="1" t="s">
        <v>69</v>
      </c>
      <c r="H41" s="1" t="s">
        <v>86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-1</v>
      </c>
      <c r="L41" s="2">
        <f>Games[[#This Row],[OppDaysOff]]-Games[[#This Row],[DaysOff]]</f>
        <v>1</v>
      </c>
      <c r="M41" s="1">
        <f>MAX(-16, MIN(16, Games[[#This Row],[RestDiff]]*8))</f>
        <v>-8</v>
      </c>
      <c r="N41" s="1">
        <f>MAX(-16, MIN(16, Games[[#This Row],[OppRestDiff]]*8))</f>
        <v>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1508.6301678383052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1474.0894200573744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0.64342755112194316</v>
      </c>
      <c r="R41" s="1">
        <v>77</v>
      </c>
      <c r="S41" s="1">
        <v>82</v>
      </c>
      <c r="T41" s="1">
        <v>1</v>
      </c>
      <c r="U41" s="1">
        <f>Games[[#This Row],[PointsFor]]-Games[[#This Row],[PointsAgainst]]</f>
        <v>-5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0.29022651066170174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-14.080175870139687</v>
      </c>
      <c r="AB41" s="4">
        <f>Games[[#This Row],[PreGmRate]]+Games[[#This Row],[RatingChange]]</f>
        <v>1494.5499919681654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41784</v>
      </c>
      <c r="B42" s="2">
        <v>2014</v>
      </c>
      <c r="C42" s="2">
        <f>COUNTIFS(Games[Team],Games[[#This Row],[Team]],Games[Season],Games[[#This Row],[Season]],Games[Date],"&lt;=" &amp; Games[[#This Row],[Date]])</f>
        <v>4</v>
      </c>
      <c r="D42" s="2" t="s">
        <v>83</v>
      </c>
      <c r="E42" s="2" t="s">
        <v>84</v>
      </c>
      <c r="F42" s="1" t="s">
        <v>74</v>
      </c>
      <c r="G42" s="1" t="s">
        <v>63</v>
      </c>
      <c r="H42" s="1" t="s">
        <v>85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2" s="2">
        <f>Games[[#This Row],[DaysOff]]-Games[[#This Row],[OppDaysOff]]</f>
        <v>-5</v>
      </c>
      <c r="L42" s="2">
        <f>Games[[#This Row],[OppDaysOff]]-Games[[#This Row],[DaysOff]]</f>
        <v>5</v>
      </c>
      <c r="M42" s="1">
        <f>MAX(-16, MIN(16, Games[[#This Row],[RestDiff]]*8))</f>
        <v>-16</v>
      </c>
      <c r="N42" s="1">
        <f>MAX(-16, MIN(16, Games[[#This Row],[OppRestDiff]]*8))</f>
        <v>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1477.3610299369798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1561.1553433403562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0.24046926212143252</v>
      </c>
      <c r="R42" s="1">
        <v>62</v>
      </c>
      <c r="S42" s="1">
        <v>83</v>
      </c>
      <c r="T42" s="1">
        <v>0</v>
      </c>
      <c r="U42" s="1">
        <f>Games[[#This Row],[PointsFor]]-Games[[#This Row],[PointsAgainst]]</f>
        <v>-21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0.55015942970839693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-9.9751509811789258</v>
      </c>
      <c r="AB42" s="4">
        <f>Games[[#This Row],[PreGmRate]]+Games[[#This Row],[RatingChange]]</f>
        <v>1467.3858789558008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41784</v>
      </c>
      <c r="B43" s="2">
        <v>2014</v>
      </c>
      <c r="C43" s="2">
        <f>COUNTIFS(Games[Team],Games[[#This Row],[Team]],Games[Season],Games[[#This Row],[Season]],Games[Date],"&lt;=" &amp; Games[[#This Row],[Date]])</f>
        <v>3</v>
      </c>
      <c r="D43" s="2" t="s">
        <v>83</v>
      </c>
      <c r="E43" s="2" t="s">
        <v>84</v>
      </c>
      <c r="F43" s="1" t="s">
        <v>63</v>
      </c>
      <c r="G43" s="1" t="s">
        <v>74</v>
      </c>
      <c r="H43" s="1" t="s">
        <v>86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5</v>
      </c>
      <c r="L43" s="2">
        <f>Games[[#This Row],[OppDaysOff]]-Games[[#This Row],[DaysOff]]</f>
        <v>-5</v>
      </c>
      <c r="M43" s="1">
        <f>MAX(-16, MIN(16, Games[[#This Row],[RestDiff]]*8))</f>
        <v>16</v>
      </c>
      <c r="N43" s="1">
        <f>MAX(-16, MIN(16, Games[[#This Row],[OppRestDiff]]*8))</f>
        <v>-16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1561.1553433403562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1477.3610299369798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0.7595307378785674</v>
      </c>
      <c r="R43" s="1">
        <v>83</v>
      </c>
      <c r="S43" s="1">
        <v>62</v>
      </c>
      <c r="T43" s="1">
        <v>0</v>
      </c>
      <c r="U43" s="1">
        <f>Games[[#This Row],[PointsFor]]-Games[[#This Row],[PointsAgainst]]</f>
        <v>21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0.55015942970839693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75.55</v>
      </c>
      <c r="Z43" s="4">
        <f>Games[[#This Row],[K]]*Games[[#This Row],[POMult]]</f>
        <v>75.55</v>
      </c>
      <c r="AA43" s="4">
        <f>(Games[[#This Row],[Keff]]*Games[[#This Row],[MOVMult]])*(Games[[#This Row],[Result]]-Games[[#This Row],[ExpectedWin%]])</f>
        <v>9.9949954459955972</v>
      </c>
      <c r="AB43" s="4">
        <f>Games[[#This Row],[PreGmRate]]+Games[[#This Row],[RatingChange]]</f>
        <v>1571.1503387863518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41785</v>
      </c>
      <c r="B44" s="2">
        <v>2014</v>
      </c>
      <c r="C44" s="2">
        <f>COUNTIFS(Games[Team],Games[[#This Row],[Team]],Games[Season],Games[[#This Row],[Season]],Games[Date],"&lt;=" &amp; Games[[#This Row],[Date]])</f>
        <v>5</v>
      </c>
      <c r="D44" s="2" t="s">
        <v>83</v>
      </c>
      <c r="E44" s="2" t="s">
        <v>84</v>
      </c>
      <c r="F44" s="1" t="s">
        <v>67</v>
      </c>
      <c r="G44" s="1" t="s">
        <v>77</v>
      </c>
      <c r="H44" s="1" t="s">
        <v>85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1650.5049400839691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1581.010139950153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0.47913745915424039</v>
      </c>
      <c r="R44" s="1">
        <v>75</v>
      </c>
      <c r="S44" s="1">
        <v>72</v>
      </c>
      <c r="T44" s="1">
        <v>0</v>
      </c>
      <c r="U44" s="1">
        <f>Games[[#This Row],[PointsFor]]-Games[[#This Row],[PointsAgainst]]</f>
        <v>3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0.27429826832039333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75.25</v>
      </c>
      <c r="Z44" s="4">
        <f>Games[[#This Row],[K]]*Games[[#This Row],[POMult]]</f>
        <v>75.25</v>
      </c>
      <c r="AA44" s="4">
        <f>(Games[[#This Row],[Keff]]*Games[[#This Row],[MOVMult]])*(Games[[#This Row],[Result]]-Games[[#This Row],[ExpectedWin%]])</f>
        <v>10.751094897268139</v>
      </c>
      <c r="AB44" s="4">
        <f>Games[[#This Row],[PreGmRate]]+Games[[#This Row],[RatingChange]]</f>
        <v>1661.2560349812372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41785</v>
      </c>
      <c r="B45" s="2">
        <v>2014</v>
      </c>
      <c r="C45" s="2">
        <f>COUNTIFS(Games[Team],Games[[#This Row],[Team]],Games[Season],Games[[#This Row],[Season]],Games[Date],"&lt;=" &amp; Games[[#This Row],[Date]])</f>
        <v>5</v>
      </c>
      <c r="D45" s="2" t="s">
        <v>83</v>
      </c>
      <c r="E45" s="2" t="s">
        <v>84</v>
      </c>
      <c r="F45" s="1" t="s">
        <v>77</v>
      </c>
      <c r="G45" s="1" t="s">
        <v>67</v>
      </c>
      <c r="H45" s="1" t="s">
        <v>86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1581.010139950153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1650.5049400839691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0.52086254084575967</v>
      </c>
      <c r="R45" s="1">
        <v>72</v>
      </c>
      <c r="S45" s="1">
        <v>75</v>
      </c>
      <c r="T45" s="1">
        <v>0</v>
      </c>
      <c r="U45" s="1">
        <f>Games[[#This Row],[PointsFor]]-Games[[#This Row],[PointsAgainst]]</f>
        <v>-3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0.27429826832039333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75.25</v>
      </c>
      <c r="Z45" s="4">
        <f>Games[[#This Row],[K]]*Games[[#This Row],[POMult]]</f>
        <v>75.25</v>
      </c>
      <c r="AA45" s="4">
        <f>(Games[[#This Row],[Keff]]*Games[[#This Row],[MOVMult]])*(Games[[#This Row],[Result]]-Games[[#This Row],[ExpectedWin%]])</f>
        <v>-10.751094897268139</v>
      </c>
      <c r="AB45" s="4">
        <f>Games[[#This Row],[PreGmRate]]+Games[[#This Row],[RatingChange]]</f>
        <v>1570.2590450528849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41786</v>
      </c>
      <c r="B46" s="2">
        <v>2014</v>
      </c>
      <c r="C46" s="2">
        <f>COUNTIFS(Games[Team],Games[[#This Row],[Team]],Games[Season],Games[[#This Row],[Season]],Games[Date],"&lt;=" &amp; Games[[#This Row],[Date]])</f>
        <v>5</v>
      </c>
      <c r="D46" s="2" t="s">
        <v>83</v>
      </c>
      <c r="E46" s="2" t="s">
        <v>84</v>
      </c>
      <c r="F46" s="1" t="s">
        <v>71</v>
      </c>
      <c r="G46" s="1" t="s">
        <v>60</v>
      </c>
      <c r="H46" s="1" t="s">
        <v>85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1468.4460107510852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1431.5857716248781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0.43257367052428791</v>
      </c>
      <c r="R46" s="1">
        <v>64</v>
      </c>
      <c r="S46" s="1">
        <v>70</v>
      </c>
      <c r="T46" s="1">
        <v>0</v>
      </c>
      <c r="U46" s="1">
        <f>Games[[#This Row],[PointsFor]]-Games[[#This Row],[PointsAgainst]]</f>
        <v>-6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0.34081208205624686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-11.093831580380687</v>
      </c>
      <c r="AB46" s="4">
        <f>Games[[#This Row],[PreGmRate]]+Games[[#This Row],[RatingChange]]</f>
        <v>1457.3521791707044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41786</v>
      </c>
      <c r="B47" s="2">
        <v>2014</v>
      </c>
      <c r="C47" s="2">
        <f>COUNTIFS(Games[Team],Games[[#This Row],[Team]],Games[Season],Games[[#This Row],[Season]],Games[Date],"&lt;=" &amp; Games[[#This Row],[Date]])</f>
        <v>4</v>
      </c>
      <c r="D47" s="2" t="s">
        <v>83</v>
      </c>
      <c r="E47" s="2" t="s">
        <v>84</v>
      </c>
      <c r="F47" s="1" t="s">
        <v>60</v>
      </c>
      <c r="G47" s="1" t="s">
        <v>71</v>
      </c>
      <c r="H47" s="1" t="s">
        <v>86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1431.5857716248781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1468.4460107510852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0.56742632947571214</v>
      </c>
      <c r="R47" s="1">
        <v>70</v>
      </c>
      <c r="S47" s="1">
        <v>64</v>
      </c>
      <c r="T47" s="1">
        <v>0</v>
      </c>
      <c r="U47" s="1">
        <f>Games[[#This Row],[PointsFor]]-Games[[#This Row],[PointsAgainst]]</f>
        <v>6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0.34081208205624686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11.1159455303748</v>
      </c>
      <c r="AB47" s="4">
        <f>Games[[#This Row],[PreGmRate]]+Games[[#This Row],[RatingChange]]</f>
        <v>1442.7017171552529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41787</v>
      </c>
      <c r="B48" s="2">
        <v>2014</v>
      </c>
      <c r="C48" s="2">
        <f>COUNTIFS(Games[Team],Games[[#This Row],[Team]],Games[Season],Games[[#This Row],[Season]],Games[Date],"&lt;=" &amp; Games[[#This Row],[Date]])</f>
        <v>3</v>
      </c>
      <c r="D48" s="2" t="s">
        <v>83</v>
      </c>
      <c r="E48" s="2" t="s">
        <v>84</v>
      </c>
      <c r="F48" s="1" t="s">
        <v>81</v>
      </c>
      <c r="G48" s="1" t="s">
        <v>74</v>
      </c>
      <c r="H48" s="1" t="s">
        <v>85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4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" s="2">
        <f>Games[[#This Row],[DaysOff]]-Games[[#This Row],[OppDaysOff]]</f>
        <v>2</v>
      </c>
      <c r="L48" s="2">
        <f>Games[[#This Row],[OppDaysOff]]-Games[[#This Row],[DaysOff]]</f>
        <v>-2</v>
      </c>
      <c r="M48" s="1">
        <f>MAX(-16, MIN(16, Games[[#This Row],[RestDiff]]*8))</f>
        <v>16</v>
      </c>
      <c r="N48" s="1">
        <f>MAX(-16, MIN(16, Games[[#This Row],[OppRestDiff]]*8))</f>
        <v>-16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1439.6117641979852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1467.3858789558008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0.38717165641674839</v>
      </c>
      <c r="R48" s="1">
        <v>79</v>
      </c>
      <c r="S48" s="1">
        <v>82</v>
      </c>
      <c r="T48" s="1">
        <v>0</v>
      </c>
      <c r="U48" s="1">
        <f>Games[[#This Row],[PointsFor]]-Games[[#This Row],[PointsAgainst]]</f>
        <v>-3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0.28361912922975879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75.55</v>
      </c>
      <c r="Z48" s="4">
        <f>Games[[#This Row],[K]]*Games[[#This Row],[POMult]]</f>
        <v>75.55</v>
      </c>
      <c r="AA48" s="4">
        <f>(Games[[#This Row],[Keff]]*Games[[#This Row],[MOVMult]])*(Games[[#This Row],[Result]]-Games[[#This Row],[ExpectedWin%]])</f>
        <v>-8.2960917125825624</v>
      </c>
      <c r="AB48" s="4">
        <f>Games[[#This Row],[PreGmRate]]+Games[[#This Row],[RatingChange]]</f>
        <v>1431.3156724854025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41787</v>
      </c>
      <c r="B49" s="2">
        <v>2014</v>
      </c>
      <c r="C49" s="2">
        <f>COUNTIFS(Games[Team],Games[[#This Row],[Team]],Games[Season],Games[[#This Row],[Season]],Games[Date],"&lt;=" &amp; Games[[#This Row],[Date]])</f>
        <v>5</v>
      </c>
      <c r="D49" s="2" t="s">
        <v>83</v>
      </c>
      <c r="E49" s="2" t="s">
        <v>84</v>
      </c>
      <c r="F49" s="1" t="s">
        <v>74</v>
      </c>
      <c r="G49" s="1" t="s">
        <v>81</v>
      </c>
      <c r="H49" s="1" t="s">
        <v>86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9" s="2">
        <f>Games[[#This Row],[DaysOff]]-Games[[#This Row],[OppDaysOff]]</f>
        <v>-2</v>
      </c>
      <c r="L49" s="2">
        <f>Games[[#This Row],[OppDaysOff]]-Games[[#This Row],[DaysOff]]</f>
        <v>2</v>
      </c>
      <c r="M49" s="1">
        <f>MAX(-16, MIN(16, Games[[#This Row],[RestDiff]]*8))</f>
        <v>-16</v>
      </c>
      <c r="N49" s="1">
        <f>MAX(-16, MIN(16, Games[[#This Row],[OppRestDiff]]*8))</f>
        <v>16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1467.3858789558008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1439.6117641979852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0.61282834358325167</v>
      </c>
      <c r="R49" s="1">
        <v>82</v>
      </c>
      <c r="S49" s="1">
        <v>79</v>
      </c>
      <c r="T49" s="1">
        <v>0</v>
      </c>
      <c r="U49" s="1">
        <f>Games[[#This Row],[PointsFor]]-Games[[#This Row],[PointsAgainst]]</f>
        <v>3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0.28361912922975879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75.25</v>
      </c>
      <c r="Z49" s="4">
        <f>Games[[#This Row],[K]]*Games[[#This Row],[POMult]]</f>
        <v>75.25</v>
      </c>
      <c r="AA49" s="4">
        <f>(Games[[#This Row],[Keff]]*Games[[#This Row],[MOVMult]])*(Games[[#This Row],[Result]]-Games[[#This Row],[ExpectedWin%]])</f>
        <v>8.2631489261659539</v>
      </c>
      <c r="AB49" s="4">
        <f>Games[[#This Row],[PreGmRate]]+Games[[#This Row],[RatingChange]]</f>
        <v>1475.6490278819667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41788</v>
      </c>
      <c r="B50" s="2">
        <v>2014</v>
      </c>
      <c r="C50" s="2">
        <f>COUNTIFS(Games[Team],Games[[#This Row],[Team]],Games[Season],Games[[#This Row],[Season]],Games[Date],"&lt;=" &amp; Games[[#This Row],[Date]])</f>
        <v>5</v>
      </c>
      <c r="D50" s="2" t="s">
        <v>83</v>
      </c>
      <c r="E50" s="2" t="s">
        <v>84</v>
      </c>
      <c r="F50" s="1" t="s">
        <v>76</v>
      </c>
      <c r="G50" s="1" t="s">
        <v>69</v>
      </c>
      <c r="H50" s="1" t="s">
        <v>85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5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0" s="2">
        <f>Games[[#This Row],[DaysOff]]-Games[[#This Row],[OppDaysOff]]</f>
        <v>2</v>
      </c>
      <c r="L50" s="2">
        <f>Games[[#This Row],[OppDaysOff]]-Games[[#This Row],[DaysOff]]</f>
        <v>-2</v>
      </c>
      <c r="M50" s="1">
        <f>MAX(-16, MIN(16, Games[[#This Row],[RestDiff]]*8))</f>
        <v>16</v>
      </c>
      <c r="N50" s="1">
        <f>MAX(-16, MIN(16, Games[[#This Row],[OppRestDiff]]*8))</f>
        <v>-16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1422.6643266746546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1488.1695959275141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0.3370619728434544</v>
      </c>
      <c r="R50" s="1">
        <v>65</v>
      </c>
      <c r="S50" s="1">
        <v>79</v>
      </c>
      <c r="T50" s="1">
        <v>0</v>
      </c>
      <c r="U50" s="1">
        <f>Games[[#This Row],[PointsFor]]-Games[[#This Row],[PointsAgainst]]</f>
        <v>-14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0.462368461402279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-11.727473640008569</v>
      </c>
      <c r="AB50" s="4">
        <f>Games[[#This Row],[PreGmRate]]+Games[[#This Row],[RatingChange]]</f>
        <v>1410.936853034646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41788</v>
      </c>
      <c r="B51" s="2">
        <v>2014</v>
      </c>
      <c r="C51" s="2">
        <f>COUNTIFS(Games[Team],Games[[#This Row],[Team]],Games[Season],Games[[#This Row],[Season]],Games[Date],"&lt;=" &amp; Games[[#This Row],[Date]])</f>
        <v>5</v>
      </c>
      <c r="D51" s="2" t="s">
        <v>83</v>
      </c>
      <c r="E51" s="2" t="s">
        <v>84</v>
      </c>
      <c r="F51" s="1" t="s">
        <v>69</v>
      </c>
      <c r="G51" s="1" t="s">
        <v>76</v>
      </c>
      <c r="H51" s="1" t="s">
        <v>86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1" s="2">
        <f>Games[[#This Row],[DaysOff]]-Games[[#This Row],[OppDaysOff]]</f>
        <v>-2</v>
      </c>
      <c r="L51" s="2">
        <f>Games[[#This Row],[OppDaysOff]]-Games[[#This Row],[DaysOff]]</f>
        <v>2</v>
      </c>
      <c r="M51" s="1">
        <f>MAX(-16, MIN(16, Games[[#This Row],[RestDiff]]*8))</f>
        <v>-16</v>
      </c>
      <c r="N51" s="1">
        <f>MAX(-16, MIN(16, Games[[#This Row],[OppRestDiff]]*8))</f>
        <v>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1488.1695959275141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1422.6643266746546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0.6629380271565456</v>
      </c>
      <c r="R51" s="1">
        <v>79</v>
      </c>
      <c r="S51" s="1">
        <v>65</v>
      </c>
      <c r="T51" s="1">
        <v>0</v>
      </c>
      <c r="U51" s="1">
        <f>Games[[#This Row],[PointsFor]]-Games[[#This Row],[PointsAgainst]]</f>
        <v>14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0.462368461402279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11.727473640008569</v>
      </c>
      <c r="AB51" s="4">
        <f>Games[[#This Row],[PreGmRate]]+Games[[#This Row],[RatingChange]]</f>
        <v>1499.8970695675227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41789</v>
      </c>
      <c r="B52" s="2">
        <v>2014</v>
      </c>
      <c r="C52" s="2">
        <f>COUNTIFS(Games[Team],Games[[#This Row],[Team]],Games[Season],Games[[#This Row],[Season]],Games[Date],"&lt;=" &amp; Games[[#This Row],[Date]])</f>
        <v>6</v>
      </c>
      <c r="D52" s="2" t="s">
        <v>83</v>
      </c>
      <c r="E52" s="2" t="s">
        <v>84</v>
      </c>
      <c r="F52" s="1" t="s">
        <v>71</v>
      </c>
      <c r="G52" s="1" t="s">
        <v>79</v>
      </c>
      <c r="H52" s="1" t="s">
        <v>85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2" s="2">
        <f>Games[[#This Row],[DaysOff]]-Games[[#This Row],[OppDaysOff]]</f>
        <v>-2</v>
      </c>
      <c r="L52" s="2">
        <f>Games[[#This Row],[OppDaysOff]]-Games[[#This Row],[DaysOff]]</f>
        <v>2</v>
      </c>
      <c r="M52" s="1">
        <f>MAX(-16, MIN(16, Games[[#This Row],[RestDiff]]*8))</f>
        <v>-16</v>
      </c>
      <c r="N52" s="1">
        <f>MAX(-16, MIN(16, Games[[#This Row],[OppRestDiff]]*8))</f>
        <v>16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1457.3521791707044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1494.5499919681654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0.29278886589711001</v>
      </c>
      <c r="R52" s="1">
        <v>69</v>
      </c>
      <c r="S52" s="1">
        <v>80</v>
      </c>
      <c r="T52" s="1">
        <v>0</v>
      </c>
      <c r="U52" s="1">
        <f>Games[[#This Row],[PointsFor]]-Games[[#This Row],[PointsAgainst]]</f>
        <v>-11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0.42661178256994159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75.099999999999994</v>
      </c>
      <c r="Z52" s="4">
        <f>Games[[#This Row],[K]]*Games[[#This Row],[POMult]]</f>
        <v>75.099999999999994</v>
      </c>
      <c r="AA52" s="4">
        <f>(Games[[#This Row],[Keff]]*Games[[#This Row],[MOVMult]])*(Games[[#This Row],[Result]]-Games[[#This Row],[ExpectedWin%]])</f>
        <v>-9.3805292177745265</v>
      </c>
      <c r="AB52" s="4">
        <f>Games[[#This Row],[PreGmRate]]+Games[[#This Row],[RatingChange]]</f>
        <v>1447.97164995293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41789</v>
      </c>
      <c r="B53" s="2">
        <v>2014</v>
      </c>
      <c r="C53" s="2">
        <f>COUNTIFS(Games[Team],Games[[#This Row],[Team]],Games[Season],Games[[#This Row],[Season]],Games[Date],"&lt;=" &amp; Games[[#This Row],[Date]])</f>
        <v>5</v>
      </c>
      <c r="D53" s="2" t="s">
        <v>83</v>
      </c>
      <c r="E53" s="2" t="s">
        <v>84</v>
      </c>
      <c r="F53" s="1" t="s">
        <v>79</v>
      </c>
      <c r="G53" s="1" t="s">
        <v>71</v>
      </c>
      <c r="H53" s="1" t="s">
        <v>86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4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" s="2">
        <f>Games[[#This Row],[DaysOff]]-Games[[#This Row],[OppDaysOff]]</f>
        <v>2</v>
      </c>
      <c r="L53" s="2">
        <f>Games[[#This Row],[OppDaysOff]]-Games[[#This Row],[DaysOff]]</f>
        <v>-2</v>
      </c>
      <c r="M53" s="1">
        <f>MAX(-16, MIN(16, Games[[#This Row],[RestDiff]]*8))</f>
        <v>16</v>
      </c>
      <c r="N53" s="1">
        <f>MAX(-16, MIN(16, Games[[#This Row],[OppRestDiff]]*8))</f>
        <v>-16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1494.5499919681654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1457.3521791707044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0.70721113410289005</v>
      </c>
      <c r="R53" s="1">
        <v>80</v>
      </c>
      <c r="S53" s="1">
        <v>69</v>
      </c>
      <c r="T53" s="1">
        <v>0</v>
      </c>
      <c r="U53" s="1">
        <f>Games[[#This Row],[PointsFor]]-Games[[#This Row],[PointsAgainst]]</f>
        <v>11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0.42661178256994159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9.3992652947740734</v>
      </c>
      <c r="AB53" s="4">
        <f>Games[[#This Row],[PreGmRate]]+Games[[#This Row],[RatingChange]]</f>
        <v>1503.9492572629395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41789</v>
      </c>
      <c r="B54" s="2">
        <v>2014</v>
      </c>
      <c r="C54" s="2">
        <f>COUNTIFS(Games[Team],Games[[#This Row],[Team]],Games[Season],Games[[#This Row],[Season]],Games[Date],"&lt;=" &amp; Games[[#This Row],[Date]])</f>
        <v>6</v>
      </c>
      <c r="D54" s="2" t="s">
        <v>83</v>
      </c>
      <c r="E54" s="2" t="s">
        <v>84</v>
      </c>
      <c r="F54" s="1" t="s">
        <v>76</v>
      </c>
      <c r="G54" s="1" t="s">
        <v>77</v>
      </c>
      <c r="H54" s="1" t="s">
        <v>85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4" s="2">
        <f>Games[[#This Row],[DaysOff]]-Games[[#This Row],[OppDaysOff]]</f>
        <v>-3</v>
      </c>
      <c r="L54" s="2">
        <f>Games[[#This Row],[OppDaysOff]]-Games[[#This Row],[DaysOff]]</f>
        <v>3</v>
      </c>
      <c r="M54" s="1">
        <f>MAX(-16, MIN(16, Games[[#This Row],[RestDiff]]*8))</f>
        <v>-16</v>
      </c>
      <c r="N54" s="1">
        <f>MAX(-16, MIN(16, Games[[#This Row],[OppRestDiff]]*8))</f>
        <v>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1410.936853034646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1570.2590450528849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0.17010519136087809</v>
      </c>
      <c r="R54" s="1">
        <v>82</v>
      </c>
      <c r="S54" s="1">
        <v>101</v>
      </c>
      <c r="T54" s="1">
        <v>0</v>
      </c>
      <c r="U54" s="1">
        <f>Games[[#This Row],[PointsFor]]-Games[[#This Row],[PointsAgainst]]</f>
        <v>-19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0.49522702654345196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75.099999999999994</v>
      </c>
      <c r="Z54" s="4">
        <f>Games[[#This Row],[K]]*Games[[#This Row],[POMult]]</f>
        <v>75.099999999999994</v>
      </c>
      <c r="AA54" s="4">
        <f>(Games[[#This Row],[Keff]]*Games[[#This Row],[MOVMult]])*(Games[[#This Row],[Result]]-Games[[#This Row],[ExpectedWin%]])</f>
        <v>-6.3264756776056652</v>
      </c>
      <c r="AB54" s="4">
        <f>Games[[#This Row],[PreGmRate]]+Games[[#This Row],[RatingChange]]</f>
        <v>1404.6103773570403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41789</v>
      </c>
      <c r="B55" s="2">
        <v>2014</v>
      </c>
      <c r="C55" s="2">
        <f>COUNTIFS(Games[Team],Games[[#This Row],[Team]],Games[Season],Games[[#This Row],[Season]],Games[Date],"&lt;=" &amp; Games[[#This Row],[Date]])</f>
        <v>6</v>
      </c>
      <c r="D55" s="2" t="s">
        <v>83</v>
      </c>
      <c r="E55" s="2" t="s">
        <v>84</v>
      </c>
      <c r="F55" s="1" t="s">
        <v>77</v>
      </c>
      <c r="G55" s="1" t="s">
        <v>76</v>
      </c>
      <c r="H55" s="1" t="s">
        <v>86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5" s="2">
        <f>Games[[#This Row],[DaysOff]]-Games[[#This Row],[OppDaysOff]]</f>
        <v>3</v>
      </c>
      <c r="L55" s="2">
        <f>Games[[#This Row],[OppDaysOff]]-Games[[#This Row],[DaysOff]]</f>
        <v>-3</v>
      </c>
      <c r="M55" s="1">
        <f>MAX(-16, MIN(16, Games[[#This Row],[RestDiff]]*8))</f>
        <v>16</v>
      </c>
      <c r="N55" s="1">
        <f>MAX(-16, MIN(16, Games[[#This Row],[OppRestDiff]]*8))</f>
        <v>-16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1570.2590450528849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1410.936853034646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0.82989480863912179</v>
      </c>
      <c r="R55" s="1">
        <v>101</v>
      </c>
      <c r="S55" s="1">
        <v>82</v>
      </c>
      <c r="T55" s="1">
        <v>0</v>
      </c>
      <c r="U55" s="1">
        <f>Games[[#This Row],[PointsFor]]-Games[[#This Row],[PointsAgainst]]</f>
        <v>19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0.49522702654345196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75.099999999999994</v>
      </c>
      <c r="Z55" s="4">
        <f>Games[[#This Row],[K]]*Games[[#This Row],[POMult]]</f>
        <v>75.099999999999994</v>
      </c>
      <c r="AA55" s="4">
        <f>(Games[[#This Row],[Keff]]*Games[[#This Row],[MOVMult]])*(Games[[#This Row],[Result]]-Games[[#This Row],[ExpectedWin%]])</f>
        <v>6.3264756776056696</v>
      </c>
      <c r="AB55" s="4">
        <f>Games[[#This Row],[PreGmRate]]+Games[[#This Row],[RatingChange]]</f>
        <v>1576.5855207304905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41789</v>
      </c>
      <c r="B56" s="2">
        <v>2014</v>
      </c>
      <c r="C56" s="2">
        <f>COUNTIFS(Games[Team],Games[[#This Row],[Team]],Games[Season],Games[[#This Row],[Season]],Games[Date],"&lt;=" &amp; Games[[#This Row],[Date]])</f>
        <v>6</v>
      </c>
      <c r="D56" s="2" t="s">
        <v>83</v>
      </c>
      <c r="E56" s="2" t="s">
        <v>84</v>
      </c>
      <c r="F56" s="1" t="s">
        <v>74</v>
      </c>
      <c r="G56" s="1" t="s">
        <v>67</v>
      </c>
      <c r="H56" s="1" t="s">
        <v>85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6" s="2">
        <f>Games[[#This Row],[DaysOff]]-Games[[#This Row],[OppDaysOff]]</f>
        <v>-2</v>
      </c>
      <c r="L56" s="2">
        <f>Games[[#This Row],[OppDaysOff]]-Games[[#This Row],[DaysOff]]</f>
        <v>2</v>
      </c>
      <c r="M56" s="1">
        <f>MAX(-16, MIN(16, Games[[#This Row],[RestDiff]]*8))</f>
        <v>-16</v>
      </c>
      <c r="N56" s="1">
        <f>MAX(-16, MIN(16, Games[[#This Row],[OppRestDiff]]*8))</f>
        <v>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1475.6490278819667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1661.2560349812372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0.14979758636879673</v>
      </c>
      <c r="R56" s="1">
        <v>72</v>
      </c>
      <c r="S56" s="1">
        <v>88</v>
      </c>
      <c r="T56" s="1">
        <v>0</v>
      </c>
      <c r="U56" s="1">
        <f>Games[[#This Row],[PointsFor]]-Games[[#This Row],[PointsAgainst]]</f>
        <v>-16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0.44842674405698835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75.099999999999994</v>
      </c>
      <c r="Z56" s="4">
        <f>Games[[#This Row],[K]]*Games[[#This Row],[POMult]]</f>
        <v>75.099999999999994</v>
      </c>
      <c r="AA56" s="4">
        <f>(Games[[#This Row],[Keff]]*Games[[#This Row],[MOVMult]])*(Games[[#This Row],[Result]]-Games[[#This Row],[ExpectedWin%]])</f>
        <v>-5.0447106186139212</v>
      </c>
      <c r="AB56" s="4">
        <f>Games[[#This Row],[PreGmRate]]+Games[[#This Row],[RatingChange]]</f>
        <v>1470.6043172633529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41789</v>
      </c>
      <c r="B57" s="2">
        <v>2014</v>
      </c>
      <c r="C57" s="2">
        <f>COUNTIFS(Games[Team],Games[[#This Row],[Team]],Games[Season],Games[[#This Row],[Season]],Games[Date],"&lt;=" &amp; Games[[#This Row],[Date]])</f>
        <v>6</v>
      </c>
      <c r="D57" s="2" t="s">
        <v>83</v>
      </c>
      <c r="E57" s="2" t="s">
        <v>84</v>
      </c>
      <c r="F57" s="1" t="s">
        <v>67</v>
      </c>
      <c r="G57" s="1" t="s">
        <v>74</v>
      </c>
      <c r="H57" s="1" t="s">
        <v>86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2</v>
      </c>
      <c r="L57" s="2">
        <f>Games[[#This Row],[OppDaysOff]]-Games[[#This Row],[DaysOff]]</f>
        <v>-2</v>
      </c>
      <c r="M57" s="1">
        <f>MAX(-16, MIN(16, Games[[#This Row],[RestDiff]]*8))</f>
        <v>16</v>
      </c>
      <c r="N57" s="1">
        <f>MAX(-16, MIN(16, Games[[#This Row],[OppRestDiff]]*8))</f>
        <v>-16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1661.2560349812372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1475.6490278819667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0.8502024136312033</v>
      </c>
      <c r="R57" s="1">
        <v>88</v>
      </c>
      <c r="S57" s="1">
        <v>72</v>
      </c>
      <c r="T57" s="1">
        <v>0</v>
      </c>
      <c r="U57" s="1">
        <f>Games[[#This Row],[PointsFor]]-Games[[#This Row],[PointsAgainst]]</f>
        <v>16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0.44842674405698835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75.099999999999994</v>
      </c>
      <c r="Z57" s="4">
        <f>Games[[#This Row],[K]]*Games[[#This Row],[POMult]]</f>
        <v>75.099999999999994</v>
      </c>
      <c r="AA57" s="4">
        <f>(Games[[#This Row],[Keff]]*Games[[#This Row],[MOVMult]])*(Games[[#This Row],[Result]]-Games[[#This Row],[ExpectedWin%]])</f>
        <v>5.0447106186139203</v>
      </c>
      <c r="AB57" s="4">
        <f>Games[[#This Row],[PreGmRate]]+Games[[#This Row],[RatingChange]]</f>
        <v>1666.3007455998511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41789</v>
      </c>
      <c r="B58" s="2">
        <v>2014</v>
      </c>
      <c r="C58" s="2">
        <f>COUNTIFS(Games[Team],Games[[#This Row],[Team]],Games[Season],Games[[#This Row],[Season]],Games[Date],"&lt;=" &amp; Games[[#This Row],[Date]])</f>
        <v>4</v>
      </c>
      <c r="D58" s="2" t="s">
        <v>83</v>
      </c>
      <c r="E58" s="2" t="s">
        <v>84</v>
      </c>
      <c r="F58" s="1" t="s">
        <v>81</v>
      </c>
      <c r="G58" s="1" t="s">
        <v>40</v>
      </c>
      <c r="H58" s="1" t="s">
        <v>85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8" s="2">
        <f>Games[[#This Row],[DaysOff]]-Games[[#This Row],[OppDaysOff]]</f>
        <v>-5</v>
      </c>
      <c r="L58" s="2">
        <f>Games[[#This Row],[OppDaysOff]]-Games[[#This Row],[DaysOff]]</f>
        <v>5</v>
      </c>
      <c r="M58" s="1">
        <f>MAX(-16, MIN(16, Games[[#This Row],[RestDiff]]*8))</f>
        <v>-16</v>
      </c>
      <c r="N58" s="1">
        <f>MAX(-16, MIN(16, Games[[#This Row],[OppRestDiff]]*8))</f>
        <v>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1431.3156724854025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1519.7448399149353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0.23563005461805026</v>
      </c>
      <c r="R58" s="1">
        <v>78</v>
      </c>
      <c r="S58" s="1">
        <v>100</v>
      </c>
      <c r="T58" s="1">
        <v>0</v>
      </c>
      <c r="U58" s="1">
        <f>Games[[#This Row],[PointsFor]]-Games[[#This Row],[PointsAgainst]]</f>
        <v>-22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0.56073505928584233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75.400000000000006</v>
      </c>
      <c r="Z58" s="4">
        <f>Games[[#This Row],[K]]*Games[[#This Row],[POMult]]</f>
        <v>75.400000000000006</v>
      </c>
      <c r="AA58" s="4">
        <f>(Games[[#This Row],[Keff]]*Games[[#This Row],[MOVMult]])*(Games[[#This Row],[Result]]-Games[[#This Row],[ExpectedWin%]])</f>
        <v>-9.9623028614917128</v>
      </c>
      <c r="AB58" s="4">
        <f>Games[[#This Row],[PreGmRate]]+Games[[#This Row],[RatingChange]]</f>
        <v>1421.3533696239108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41789</v>
      </c>
      <c r="B59" s="2">
        <v>2014</v>
      </c>
      <c r="C59" s="2">
        <f>COUNTIFS(Games[Team],Games[[#This Row],[Team]],Games[Season],Games[[#This Row],[Season]],Games[Date],"&lt;=" &amp; Games[[#This Row],[Date]])</f>
        <v>4</v>
      </c>
      <c r="D59" s="2" t="s">
        <v>83</v>
      </c>
      <c r="E59" s="2" t="s">
        <v>84</v>
      </c>
      <c r="F59" s="1" t="s">
        <v>40</v>
      </c>
      <c r="G59" s="1" t="s">
        <v>81</v>
      </c>
      <c r="H59" s="1" t="s">
        <v>86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6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5</v>
      </c>
      <c r="L59" s="2">
        <f>Games[[#This Row],[OppDaysOff]]-Games[[#This Row],[DaysOff]]</f>
        <v>-5</v>
      </c>
      <c r="M59" s="1">
        <f>MAX(-16, MIN(16, Games[[#This Row],[RestDiff]]*8))</f>
        <v>16</v>
      </c>
      <c r="N59" s="1">
        <f>MAX(-16, MIN(16, Games[[#This Row],[OppRestDiff]]*8))</f>
        <v>-16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1519.7448399149353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1431.3156724854025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0.76436994538194969</v>
      </c>
      <c r="R59" s="1">
        <v>100</v>
      </c>
      <c r="S59" s="1">
        <v>78</v>
      </c>
      <c r="T59" s="1">
        <v>0</v>
      </c>
      <c r="U59" s="1">
        <f>Games[[#This Row],[PointsFor]]-Games[[#This Row],[PointsAgainst]]</f>
        <v>22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0.56073505928584233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75.400000000000006</v>
      </c>
      <c r="Z59" s="4">
        <f>Games[[#This Row],[K]]*Games[[#This Row],[POMult]]</f>
        <v>75.400000000000006</v>
      </c>
      <c r="AA59" s="4">
        <f>(Games[[#This Row],[Keff]]*Games[[#This Row],[MOVMult]])*(Games[[#This Row],[Result]]-Games[[#This Row],[ExpectedWin%]])</f>
        <v>9.9623028614917146</v>
      </c>
      <c r="AB59" s="4">
        <f>Games[[#This Row],[PreGmRate]]+Games[[#This Row],[RatingChange]]</f>
        <v>1529.707142776427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41789</v>
      </c>
      <c r="B60" s="2">
        <v>2014</v>
      </c>
      <c r="C60" s="2">
        <f>COUNTIFS(Games[Team],Games[[#This Row],[Team]],Games[Season],Games[[#This Row],[Season]],Games[Date],"&lt;=" &amp; Games[[#This Row],[Date]])</f>
        <v>5</v>
      </c>
      <c r="D60" s="2" t="s">
        <v>83</v>
      </c>
      <c r="E60" s="2" t="s">
        <v>84</v>
      </c>
      <c r="F60" s="1" t="s">
        <v>60</v>
      </c>
      <c r="G60" s="1" t="s">
        <v>65</v>
      </c>
      <c r="H60" s="1" t="s">
        <v>85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60" s="2">
        <f>Games[[#This Row],[DaysOff]]-Games[[#This Row],[OppDaysOff]]</f>
        <v>-3</v>
      </c>
      <c r="L60" s="2">
        <f>Games[[#This Row],[OppDaysOff]]-Games[[#This Row],[DaysOff]]</f>
        <v>3</v>
      </c>
      <c r="M60" s="1">
        <f>MAX(-16, MIN(16, Games[[#This Row],[RestDiff]]*8))</f>
        <v>-16</v>
      </c>
      <c r="N60" s="1">
        <f>MAX(-16, MIN(16, Games[[#This Row],[OppRestDiff]]*8))</f>
        <v>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1442.7017171552529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1467.0008015529343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0.30839651515642291</v>
      </c>
      <c r="R60" s="1">
        <v>60</v>
      </c>
      <c r="S60" s="1">
        <v>68</v>
      </c>
      <c r="T60" s="1">
        <v>0</v>
      </c>
      <c r="U60" s="1">
        <f>Games[[#This Row],[PointsFor]]-Games[[#This Row],[PointsAgainst]]</f>
        <v>-8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0.3806085032178671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75.25</v>
      </c>
      <c r="Z60" s="4">
        <f>Games[[#This Row],[K]]*Games[[#This Row],[POMult]]</f>
        <v>75.25</v>
      </c>
      <c r="AA60" s="4">
        <f>(Games[[#This Row],[Keff]]*Games[[#This Row],[MOVMult]])*(Games[[#This Row],[Result]]-Games[[#This Row],[ExpectedWin%]])</f>
        <v>-8.8327197863547529</v>
      </c>
      <c r="AB60" s="4">
        <f>Games[[#This Row],[PreGmRate]]+Games[[#This Row],[RatingChange]]</f>
        <v>1433.8689973688981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41789</v>
      </c>
      <c r="B61" s="2">
        <v>2014</v>
      </c>
      <c r="C61" s="2">
        <f>COUNTIFS(Games[Team],Games[[#This Row],[Team]],Games[Season],Games[[#This Row],[Season]],Games[Date],"&lt;=" &amp; Games[[#This Row],[Date]])</f>
        <v>4</v>
      </c>
      <c r="D61" s="2" t="s">
        <v>83</v>
      </c>
      <c r="E61" s="2" t="s">
        <v>84</v>
      </c>
      <c r="F61" s="1" t="s">
        <v>65</v>
      </c>
      <c r="G61" s="1" t="s">
        <v>60</v>
      </c>
      <c r="H61" s="1" t="s">
        <v>86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5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1" s="2">
        <f>Games[[#This Row],[DaysOff]]-Games[[#This Row],[OppDaysOff]]</f>
        <v>3</v>
      </c>
      <c r="L61" s="2">
        <f>Games[[#This Row],[OppDaysOff]]-Games[[#This Row],[DaysOff]]</f>
        <v>-3</v>
      </c>
      <c r="M61" s="1">
        <f>MAX(-16, MIN(16, Games[[#This Row],[RestDiff]]*8))</f>
        <v>16</v>
      </c>
      <c r="N61" s="1">
        <f>MAX(-16, MIN(16, Games[[#This Row],[OppRestDiff]]*8))</f>
        <v>-16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1467.0008015529343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1442.7017171552529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0.69160348484357714</v>
      </c>
      <c r="R61" s="1">
        <v>68</v>
      </c>
      <c r="S61" s="1">
        <v>60</v>
      </c>
      <c r="T61" s="1">
        <v>0</v>
      </c>
      <c r="U61" s="1">
        <f>Games[[#This Row],[PointsFor]]-Games[[#This Row],[PointsAgainst]]</f>
        <v>8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0.3806085032178671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8.8503265367594448</v>
      </c>
      <c r="AB61" s="4">
        <f>Games[[#This Row],[PreGmRate]]+Games[[#This Row],[RatingChange]]</f>
        <v>1475.8511280896937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41790</v>
      </c>
      <c r="B62" s="2">
        <v>2014</v>
      </c>
      <c r="C62" s="2">
        <f>COUNTIFS(Games[Team],Games[[#This Row],[Team]],Games[Season],Games[[#This Row],[Season]],Games[Date],"&lt;=" &amp; Games[[#This Row],[Date]])</f>
        <v>6</v>
      </c>
      <c r="D62" s="2" t="s">
        <v>83</v>
      </c>
      <c r="E62" s="2" t="s">
        <v>84</v>
      </c>
      <c r="F62" s="1" t="s">
        <v>60</v>
      </c>
      <c r="G62" s="1" t="s">
        <v>69</v>
      </c>
      <c r="H62" s="1" t="s">
        <v>85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-1</v>
      </c>
      <c r="L62" s="2">
        <f>Games[[#This Row],[OppDaysOff]]-Games[[#This Row],[DaysOff]]</f>
        <v>1</v>
      </c>
      <c r="M62" s="1">
        <f>MAX(-16, MIN(16, Games[[#This Row],[RestDiff]]*8))</f>
        <v>-8</v>
      </c>
      <c r="N62" s="1">
        <f>MAX(-16, MIN(16, Games[[#This Row],[OppRestDiff]]*8))</f>
        <v>8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1433.8689973688981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1499.8970695675227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0.27773304933530402</v>
      </c>
      <c r="R62" s="1">
        <v>66</v>
      </c>
      <c r="S62" s="1">
        <v>70</v>
      </c>
      <c r="T62" s="1">
        <v>0</v>
      </c>
      <c r="U62" s="1">
        <f>Games[[#This Row],[PointsFor]]-Games[[#This Row],[PointsAgainst]]</f>
        <v>-4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0.29519035959103374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75.099999999999994</v>
      </c>
      <c r="Z62" s="4">
        <f>Games[[#This Row],[K]]*Games[[#This Row],[POMult]]</f>
        <v>75.099999999999994</v>
      </c>
      <c r="AA62" s="4">
        <f>(Games[[#This Row],[Keff]]*Games[[#This Row],[MOVMult]])*(Games[[#This Row],[Result]]-Games[[#This Row],[ExpectedWin%]])</f>
        <v>-6.1570073146405626</v>
      </c>
      <c r="AB62" s="4">
        <f>Games[[#This Row],[PreGmRate]]+Games[[#This Row],[RatingChange]]</f>
        <v>1427.7119900542575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41790</v>
      </c>
      <c r="B63" s="2">
        <v>2014</v>
      </c>
      <c r="C63" s="2">
        <f>COUNTIFS(Games[Team],Games[[#This Row],[Team]],Games[Season],Games[[#This Row],[Season]],Games[Date],"&lt;=" &amp; Games[[#This Row],[Date]])</f>
        <v>6</v>
      </c>
      <c r="D63" s="2" t="s">
        <v>83</v>
      </c>
      <c r="E63" s="2" t="s">
        <v>84</v>
      </c>
      <c r="F63" s="1" t="s">
        <v>69</v>
      </c>
      <c r="G63" s="1" t="s">
        <v>60</v>
      </c>
      <c r="H63" s="1" t="s">
        <v>86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3" s="2">
        <f>Games[[#This Row],[DaysOff]]-Games[[#This Row],[OppDaysOff]]</f>
        <v>1</v>
      </c>
      <c r="L63" s="2">
        <f>Games[[#This Row],[OppDaysOff]]-Games[[#This Row],[DaysOff]]</f>
        <v>-1</v>
      </c>
      <c r="M63" s="1">
        <f>MAX(-16, MIN(16, Games[[#This Row],[RestDiff]]*8))</f>
        <v>8</v>
      </c>
      <c r="N63" s="1">
        <f>MAX(-16, MIN(16, Games[[#This Row],[OppRestDiff]]*8))</f>
        <v>-8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1499.8970695675227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1433.8689973688981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0.72226695066469604</v>
      </c>
      <c r="R63" s="1">
        <v>70</v>
      </c>
      <c r="S63" s="1">
        <v>66</v>
      </c>
      <c r="T63" s="1">
        <v>0</v>
      </c>
      <c r="U63" s="1">
        <f>Games[[#This Row],[PointsFor]]-Games[[#This Row],[PointsAgainst]]</f>
        <v>4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0.29519035959103374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6.1570073146405608</v>
      </c>
      <c r="AB63" s="4">
        <f>Games[[#This Row],[PreGmRate]]+Games[[#This Row],[RatingChange]]</f>
        <v>1506.0540768821634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41791</v>
      </c>
      <c r="B64" s="2">
        <v>2014</v>
      </c>
      <c r="C64" s="2">
        <f>COUNTIFS(Games[Team],Games[[#This Row],[Team]],Games[Season],Games[[#This Row],[Season]],Games[Date],"&lt;=" &amp; Games[[#This Row],[Date]])</f>
        <v>6</v>
      </c>
      <c r="D64" s="2" t="s">
        <v>83</v>
      </c>
      <c r="E64" s="2" t="s">
        <v>84</v>
      </c>
      <c r="F64" s="1" t="s">
        <v>79</v>
      </c>
      <c r="G64" s="1" t="s">
        <v>76</v>
      </c>
      <c r="H64" s="1" t="s">
        <v>85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1503.9492572629395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1404.6103773570403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0.52206009190340763</v>
      </c>
      <c r="R64" s="1">
        <v>76</v>
      </c>
      <c r="S64" s="1">
        <v>85</v>
      </c>
      <c r="T64" s="1">
        <v>0</v>
      </c>
      <c r="U64" s="1">
        <f>Games[[#This Row],[PointsFor]]-Games[[#This Row],[PointsAgainst]]</f>
        <v>-9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0.3749336220986268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-14.699914878907542</v>
      </c>
      <c r="AB64" s="4">
        <f>Games[[#This Row],[PreGmRate]]+Games[[#This Row],[RatingChange]]</f>
        <v>1489.2493423840319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41791</v>
      </c>
      <c r="B65" s="2">
        <v>2014</v>
      </c>
      <c r="C65" s="2">
        <f>COUNTIFS(Games[Team],Games[[#This Row],[Team]],Games[Season],Games[[#This Row],[Season]],Games[Date],"&lt;=" &amp; Games[[#This Row],[Date]])</f>
        <v>7</v>
      </c>
      <c r="D65" s="2" t="s">
        <v>83</v>
      </c>
      <c r="E65" s="2" t="s">
        <v>84</v>
      </c>
      <c r="F65" s="1" t="s">
        <v>76</v>
      </c>
      <c r="G65" s="1" t="s">
        <v>79</v>
      </c>
      <c r="H65" s="1" t="s">
        <v>86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1404.6103773570403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1503.9492572629395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0.47793990809659243</v>
      </c>
      <c r="R65" s="1">
        <v>85</v>
      </c>
      <c r="S65" s="1">
        <v>76</v>
      </c>
      <c r="T65" s="1">
        <v>0</v>
      </c>
      <c r="U65" s="1">
        <f>Games[[#This Row],[PointsFor]]-Games[[#This Row],[PointsAgainst]]</f>
        <v>9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0.3749336220986268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74.95</v>
      </c>
      <c r="Z65" s="4">
        <f>Games[[#This Row],[K]]*Games[[#This Row],[POMult]]</f>
        <v>74.95</v>
      </c>
      <c r="AA65" s="4">
        <f>(Games[[#This Row],[Keff]]*Games[[#This Row],[MOVMult]])*(Games[[#This Row],[Result]]-Games[[#This Row],[ExpectedWin%]])</f>
        <v>14.670554196725968</v>
      </c>
      <c r="AB65" s="4">
        <f>Games[[#This Row],[PreGmRate]]+Games[[#This Row],[RatingChange]]</f>
        <v>1419.2809315537663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41791</v>
      </c>
      <c r="B66" s="2">
        <v>2014</v>
      </c>
      <c r="C66" s="2">
        <f>COUNTIFS(Games[Team],Games[[#This Row],[Team]],Games[Season],Games[[#This Row],[Season]],Games[Date],"&lt;=" &amp; Games[[#This Row],[Date]])</f>
        <v>7</v>
      </c>
      <c r="D66" s="2" t="s">
        <v>83</v>
      </c>
      <c r="E66" s="2" t="s">
        <v>84</v>
      </c>
      <c r="F66" s="1" t="s">
        <v>67</v>
      </c>
      <c r="G66" s="1" t="s">
        <v>74</v>
      </c>
      <c r="H66" s="1" t="s">
        <v>85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1666.3007455998511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1470.6043172633529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0.65542595316316787</v>
      </c>
      <c r="R66" s="1">
        <v>87</v>
      </c>
      <c r="S66" s="1">
        <v>79</v>
      </c>
      <c r="T66" s="1">
        <v>0</v>
      </c>
      <c r="U66" s="1">
        <f>Games[[#This Row],[PointsFor]]-Games[[#This Row],[PointsAgainst]]</f>
        <v>8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0.33386819120759442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74.95</v>
      </c>
      <c r="Z66" s="4">
        <f>Games[[#This Row],[K]]*Games[[#This Row],[POMult]]</f>
        <v>74.95</v>
      </c>
      <c r="AA66" s="4">
        <f>(Games[[#This Row],[Keff]]*Games[[#This Row],[MOVMult]])*(Games[[#This Row],[Result]]-Games[[#This Row],[ExpectedWin%]])</f>
        <v>8.6224214158993302</v>
      </c>
      <c r="AB66" s="4">
        <f>Games[[#This Row],[PreGmRate]]+Games[[#This Row],[RatingChange]]</f>
        <v>1674.9231670157503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41791</v>
      </c>
      <c r="B67" s="2">
        <v>2014</v>
      </c>
      <c r="C67" s="2">
        <f>COUNTIFS(Games[Team],Games[[#This Row],[Team]],Games[Season],Games[[#This Row],[Season]],Games[Date],"&lt;=" &amp; Games[[#This Row],[Date]])</f>
        <v>7</v>
      </c>
      <c r="D67" s="2" t="s">
        <v>83</v>
      </c>
      <c r="E67" s="2" t="s">
        <v>84</v>
      </c>
      <c r="F67" s="1" t="s">
        <v>74</v>
      </c>
      <c r="G67" s="1" t="s">
        <v>67</v>
      </c>
      <c r="H67" s="1" t="s">
        <v>86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1470.6043172633529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1666.3007455998511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0.34457404683683207</v>
      </c>
      <c r="R67" s="1">
        <v>79</v>
      </c>
      <c r="S67" s="1">
        <v>87</v>
      </c>
      <c r="T67" s="1">
        <v>0</v>
      </c>
      <c r="U67" s="1">
        <f>Games[[#This Row],[PointsFor]]-Games[[#This Row],[PointsAgainst]]</f>
        <v>-8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0.33386819120759442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74.95</v>
      </c>
      <c r="Z67" s="4">
        <f>Games[[#This Row],[K]]*Games[[#This Row],[POMult]]</f>
        <v>74.95</v>
      </c>
      <c r="AA67" s="4">
        <f>(Games[[#This Row],[Keff]]*Games[[#This Row],[MOVMult]])*(Games[[#This Row],[Result]]-Games[[#This Row],[ExpectedWin%]])</f>
        <v>-8.6224214158993284</v>
      </c>
      <c r="AB67" s="4">
        <f>Games[[#This Row],[PreGmRate]]+Games[[#This Row],[RatingChange]]</f>
        <v>1461.9818958474536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41791</v>
      </c>
      <c r="B68" s="2">
        <v>2014</v>
      </c>
      <c r="C68" s="2">
        <f>COUNTIFS(Games[Team],Games[[#This Row],[Team]],Games[Season],Games[[#This Row],[Season]],Games[Date],"&lt;=" &amp; Games[[#This Row],[Date]])</f>
        <v>5</v>
      </c>
      <c r="D68" s="2" t="s">
        <v>83</v>
      </c>
      <c r="E68" s="2" t="s">
        <v>84</v>
      </c>
      <c r="F68" s="1" t="s">
        <v>81</v>
      </c>
      <c r="G68" s="1" t="s">
        <v>71</v>
      </c>
      <c r="H68" s="1" t="s">
        <v>85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1421.3533696239108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1447.97164995293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0.34597704795467576</v>
      </c>
      <c r="R68" s="1">
        <v>60</v>
      </c>
      <c r="S68" s="1">
        <v>62</v>
      </c>
      <c r="T68" s="1">
        <v>0</v>
      </c>
      <c r="U68" s="1">
        <f>Games[[#This Row],[PointsFor]]-Games[[#This Row],[PointsAgainst]]</f>
        <v>-2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0.26202901923603428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-6.8218659981690921</v>
      </c>
      <c r="AB68" s="4">
        <f>Games[[#This Row],[PreGmRate]]+Games[[#This Row],[RatingChange]]</f>
        <v>1414.5315036257416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41791</v>
      </c>
      <c r="B69" s="2">
        <v>2014</v>
      </c>
      <c r="C69" s="2">
        <f>COUNTIFS(Games[Team],Games[[#This Row],[Team]],Games[Season],Games[[#This Row],[Season]],Games[Date],"&lt;=" &amp; Games[[#This Row],[Date]])</f>
        <v>7</v>
      </c>
      <c r="D69" s="2" t="s">
        <v>83</v>
      </c>
      <c r="E69" s="2" t="s">
        <v>84</v>
      </c>
      <c r="F69" s="1" t="s">
        <v>71</v>
      </c>
      <c r="G69" s="1" t="s">
        <v>81</v>
      </c>
      <c r="H69" s="1" t="s">
        <v>86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1447.97164995293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1421.3533696239108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0.65402295204532424</v>
      </c>
      <c r="R69" s="1">
        <v>62</v>
      </c>
      <c r="S69" s="1">
        <v>60</v>
      </c>
      <c r="T69" s="1">
        <v>0</v>
      </c>
      <c r="U69" s="1">
        <f>Games[[#This Row],[PointsFor]]-Games[[#This Row],[PointsAgainst]]</f>
        <v>2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0.26202901923603428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74.95</v>
      </c>
      <c r="Z69" s="4">
        <f>Games[[#This Row],[K]]*Games[[#This Row],[POMult]]</f>
        <v>74.95</v>
      </c>
      <c r="AA69" s="4">
        <f>(Games[[#This Row],[Keff]]*Games[[#This Row],[MOVMult]])*(Games[[#This Row],[Result]]-Games[[#This Row],[ExpectedWin%]])</f>
        <v>6.7946691902029697</v>
      </c>
      <c r="AB69" s="4">
        <f>Games[[#This Row],[PreGmRate]]+Games[[#This Row],[RatingChange]]</f>
        <v>1454.7663191431329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41791</v>
      </c>
      <c r="B70" s="2">
        <v>2014</v>
      </c>
      <c r="C70" s="2">
        <f>COUNTIFS(Games[Team],Games[[#This Row],[Team]],Games[Season],Games[[#This Row],[Season]],Games[Date],"&lt;=" &amp; Games[[#This Row],[Date]])</f>
        <v>4</v>
      </c>
      <c r="D70" s="2" t="s">
        <v>83</v>
      </c>
      <c r="E70" s="2" t="s">
        <v>84</v>
      </c>
      <c r="F70" s="1" t="s">
        <v>63</v>
      </c>
      <c r="G70" s="1" t="s">
        <v>65</v>
      </c>
      <c r="H70" s="1" t="s">
        <v>85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6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5</v>
      </c>
      <c r="L70" s="2">
        <f>Games[[#This Row],[OppDaysOff]]-Games[[#This Row],[DaysOff]]</f>
        <v>-5</v>
      </c>
      <c r="M70" s="1">
        <f>MAX(-16, MIN(16, Games[[#This Row],[RestDiff]]*8))</f>
        <v>16</v>
      </c>
      <c r="N70" s="1">
        <f>MAX(-16, MIN(16, Games[[#This Row],[OppRestDiff]]*8))</f>
        <v>-16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1571.1503387863518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1475.8511280896937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0.56199196377904015</v>
      </c>
      <c r="R70" s="1">
        <v>84</v>
      </c>
      <c r="S70" s="1">
        <v>92</v>
      </c>
      <c r="T70" s="1">
        <v>1</v>
      </c>
      <c r="U70" s="1">
        <f>Games[[#This Row],[PointsFor]]-Games[[#This Row],[PointsAgainst]]</f>
        <v>-8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0.32377135285806896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75.400000000000006</v>
      </c>
      <c r="Z70" s="4">
        <f>Games[[#This Row],[K]]*Games[[#This Row],[POMult]]</f>
        <v>75.400000000000006</v>
      </c>
      <c r="AA70" s="4">
        <f>(Games[[#This Row],[Keff]]*Games[[#This Row],[MOVMult]])*(Games[[#This Row],[Result]]-Games[[#This Row],[ExpectedWin%]])</f>
        <v>-13.719550139970947</v>
      </c>
      <c r="AB70" s="4">
        <f>Games[[#This Row],[PreGmRate]]+Games[[#This Row],[RatingChange]]</f>
        <v>1557.4307886463807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41791</v>
      </c>
      <c r="B71" s="2">
        <v>2014</v>
      </c>
      <c r="C71" s="2">
        <f>COUNTIFS(Games[Team],Games[[#This Row],[Team]],Games[Season],Games[[#This Row],[Season]],Games[Date],"&lt;=" &amp; Games[[#This Row],[Date]])</f>
        <v>5</v>
      </c>
      <c r="D71" s="2" t="s">
        <v>83</v>
      </c>
      <c r="E71" s="2" t="s">
        <v>84</v>
      </c>
      <c r="F71" s="1" t="s">
        <v>65</v>
      </c>
      <c r="G71" s="1" t="s">
        <v>63</v>
      </c>
      <c r="H71" s="1" t="s">
        <v>86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71" s="2">
        <f>Games[[#This Row],[DaysOff]]-Games[[#This Row],[OppDaysOff]]</f>
        <v>-5</v>
      </c>
      <c r="L71" s="2">
        <f>Games[[#This Row],[OppDaysOff]]-Games[[#This Row],[DaysOff]]</f>
        <v>5</v>
      </c>
      <c r="M71" s="1">
        <f>MAX(-16, MIN(16, Games[[#This Row],[RestDiff]]*8))</f>
        <v>-16</v>
      </c>
      <c r="N71" s="1">
        <f>MAX(-16, MIN(16, Games[[#This Row],[OppRestDiff]]*8))</f>
        <v>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1475.8511280896937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1571.1503387863518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0.43800803622095991</v>
      </c>
      <c r="R71" s="1">
        <v>92</v>
      </c>
      <c r="S71" s="1">
        <v>84</v>
      </c>
      <c r="T71" s="1">
        <v>1</v>
      </c>
      <c r="U71" s="1">
        <f>Games[[#This Row],[PointsFor]]-Games[[#This Row],[PointsAgainst]]</f>
        <v>8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0.32377135285806896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75.25</v>
      </c>
      <c r="Z71" s="4">
        <f>Games[[#This Row],[K]]*Games[[#This Row],[POMult]]</f>
        <v>75.25</v>
      </c>
      <c r="AA71" s="4">
        <f>(Games[[#This Row],[Keff]]*Games[[#This Row],[MOVMult]])*(Games[[#This Row],[Result]]-Games[[#This Row],[ExpectedWin%]])</f>
        <v>13.692256605209728</v>
      </c>
      <c r="AB71" s="4">
        <f>Games[[#This Row],[PreGmRate]]+Games[[#This Row],[RatingChange]]</f>
        <v>1489.5433846949034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41793</v>
      </c>
      <c r="B72" s="2">
        <v>2014</v>
      </c>
      <c r="C72" s="2">
        <f>COUNTIFS(Games[Team],Games[[#This Row],[Team]],Games[Season],Games[[#This Row],[Season]],Games[Date],"&lt;=" &amp; Games[[#This Row],[Date]])</f>
        <v>5</v>
      </c>
      <c r="D72" s="2" t="s">
        <v>83</v>
      </c>
      <c r="E72" s="2" t="s">
        <v>84</v>
      </c>
      <c r="F72" s="1" t="s">
        <v>63</v>
      </c>
      <c r="G72" s="1" t="s">
        <v>79</v>
      </c>
      <c r="H72" s="1" t="s">
        <v>85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1557.4307886463807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1489.2493423840319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0.47725098810778627</v>
      </c>
      <c r="R72" s="1">
        <v>85</v>
      </c>
      <c r="S72" s="1">
        <v>93</v>
      </c>
      <c r="T72" s="1">
        <v>0</v>
      </c>
      <c r="U72" s="1">
        <f>Games[[#This Row],[PointsFor]]-Games[[#This Row],[PointsAgainst]]</f>
        <v>-8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0.36743846346038528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75.25</v>
      </c>
      <c r="Z72" s="4">
        <f>Games[[#This Row],[K]]*Games[[#This Row],[POMult]]</f>
        <v>75.25</v>
      </c>
      <c r="AA72" s="4">
        <f>(Games[[#This Row],[Keff]]*Games[[#This Row],[MOVMult]])*(Games[[#This Row],[Result]]-Games[[#This Row],[ExpectedWin%]])</f>
        <v>-13.195867824084489</v>
      </c>
      <c r="AB72" s="4">
        <f>Games[[#This Row],[PreGmRate]]+Games[[#This Row],[RatingChange]]</f>
        <v>1544.2349208222963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41793</v>
      </c>
      <c r="B73" s="2">
        <v>2014</v>
      </c>
      <c r="C73" s="2">
        <f>COUNTIFS(Games[Team],Games[[#This Row],[Team]],Games[Season],Games[[#This Row],[Season]],Games[Date],"&lt;=" &amp; Games[[#This Row],[Date]])</f>
        <v>7</v>
      </c>
      <c r="D73" s="2" t="s">
        <v>83</v>
      </c>
      <c r="E73" s="2" t="s">
        <v>84</v>
      </c>
      <c r="F73" s="1" t="s">
        <v>79</v>
      </c>
      <c r="G73" s="1" t="s">
        <v>63</v>
      </c>
      <c r="H73" s="1" t="s">
        <v>86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1489.2493423840319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1557.4307886463807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0.52274901189221379</v>
      </c>
      <c r="R73" s="1">
        <v>93</v>
      </c>
      <c r="S73" s="1">
        <v>85</v>
      </c>
      <c r="T73" s="1">
        <v>0</v>
      </c>
      <c r="U73" s="1">
        <f>Games[[#This Row],[PointsFor]]-Games[[#This Row],[PointsAgainst]]</f>
        <v>8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0.36743846346038528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74.95</v>
      </c>
      <c r="Z73" s="4">
        <f>Games[[#This Row],[K]]*Games[[#This Row],[POMult]]</f>
        <v>74.95</v>
      </c>
      <c r="AA73" s="4">
        <f>(Games[[#This Row],[Keff]]*Games[[#This Row],[MOVMult]])*(Games[[#This Row],[Result]]-Games[[#This Row],[ExpectedWin%]])</f>
        <v>13.143259713157905</v>
      </c>
      <c r="AB73" s="4">
        <f>Games[[#This Row],[PreGmRate]]+Games[[#This Row],[RatingChange]]</f>
        <v>1502.3926020971899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41793</v>
      </c>
      <c r="B74" s="2">
        <v>2014</v>
      </c>
      <c r="C74" s="2">
        <f>COUNTIFS(Games[Team],Games[[#This Row],[Team]],Games[Season],Games[[#This Row],[Season]],Games[Date],"&lt;=" &amp; Games[[#This Row],[Date]])</f>
        <v>8</v>
      </c>
      <c r="D74" s="2" t="s">
        <v>83</v>
      </c>
      <c r="E74" s="2" t="s">
        <v>84</v>
      </c>
      <c r="F74" s="1" t="s">
        <v>71</v>
      </c>
      <c r="G74" s="1" t="s">
        <v>40</v>
      </c>
      <c r="H74" s="1" t="s">
        <v>85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4" s="2">
        <f>Games[[#This Row],[DaysOff]]-Games[[#This Row],[OppDaysOff]]</f>
        <v>-2</v>
      </c>
      <c r="L74" s="2">
        <f>Games[[#This Row],[OppDaysOff]]-Games[[#This Row],[DaysOff]]</f>
        <v>2</v>
      </c>
      <c r="M74" s="1">
        <f>MAX(-16, MIN(16, Games[[#This Row],[RestDiff]]*8))</f>
        <v>-16</v>
      </c>
      <c r="N74" s="1">
        <f>MAX(-16, MIN(16, Games[[#This Row],[OppRestDiff]]*8))</f>
        <v>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1454.7663191431329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1529.707142776427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0.24990036698594872</v>
      </c>
      <c r="R74" s="1">
        <v>72</v>
      </c>
      <c r="S74" s="1">
        <v>87</v>
      </c>
      <c r="T74" s="1">
        <v>0</v>
      </c>
      <c r="U74" s="1">
        <f>Games[[#This Row],[PointsFor]]-Games[[#This Row],[PointsAgainst]]</f>
        <v>-15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0.47329069904194609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74.8</v>
      </c>
      <c r="Z74" s="4">
        <f>Games[[#This Row],[K]]*Games[[#This Row],[POMult]]</f>
        <v>74.8</v>
      </c>
      <c r="AA74" s="4">
        <f>(Games[[#This Row],[Keff]]*Games[[#This Row],[MOVMult]])*(Games[[#This Row],[Result]]-Games[[#This Row],[ExpectedWin%]])</f>
        <v>-8.8470088497450661</v>
      </c>
      <c r="AB74" s="4">
        <f>Games[[#This Row],[PreGmRate]]+Games[[#This Row],[RatingChange]]</f>
        <v>1445.9193102933878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41793</v>
      </c>
      <c r="B75" s="2">
        <v>2014</v>
      </c>
      <c r="C75" s="2">
        <f>COUNTIFS(Games[Team],Games[[#This Row],[Team]],Games[Season],Games[[#This Row],[Season]],Games[Date],"&lt;=" &amp; Games[[#This Row],[Date]])</f>
        <v>5</v>
      </c>
      <c r="D75" s="2" t="s">
        <v>83</v>
      </c>
      <c r="E75" s="2" t="s">
        <v>84</v>
      </c>
      <c r="F75" s="1" t="s">
        <v>40</v>
      </c>
      <c r="G75" s="1" t="s">
        <v>71</v>
      </c>
      <c r="H75" s="1" t="s">
        <v>86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2</v>
      </c>
      <c r="L75" s="2">
        <f>Games[[#This Row],[OppDaysOff]]-Games[[#This Row],[DaysOff]]</f>
        <v>-2</v>
      </c>
      <c r="M75" s="1">
        <f>MAX(-16, MIN(16, Games[[#This Row],[RestDiff]]*8))</f>
        <v>16</v>
      </c>
      <c r="N75" s="1">
        <f>MAX(-16, MIN(16, Games[[#This Row],[OppRestDiff]]*8))</f>
        <v>-16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1529.707142776427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1454.7663191431329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0.75009963301405125</v>
      </c>
      <c r="R75" s="1">
        <v>87</v>
      </c>
      <c r="S75" s="1">
        <v>72</v>
      </c>
      <c r="T75" s="1">
        <v>0</v>
      </c>
      <c r="U75" s="1">
        <f>Games[[#This Row],[PointsFor]]-Games[[#This Row],[PointsAgainst]]</f>
        <v>15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0.47329069904194609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75.25</v>
      </c>
      <c r="Z75" s="4">
        <f>Games[[#This Row],[K]]*Games[[#This Row],[POMult]]</f>
        <v>75.25</v>
      </c>
      <c r="AA75" s="4">
        <f>(Games[[#This Row],[Keff]]*Games[[#This Row],[MOVMult]])*(Games[[#This Row],[Result]]-Games[[#This Row],[ExpectedWin%]])</f>
        <v>8.9002328334667968</v>
      </c>
      <c r="AB75" s="4">
        <f>Games[[#This Row],[PreGmRate]]+Games[[#This Row],[RatingChange]]</f>
        <v>1538.6073756098938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41795</v>
      </c>
      <c r="B76" s="2">
        <v>2014</v>
      </c>
      <c r="C76" s="2">
        <f>COUNTIFS(Games[Team],Games[[#This Row],[Team]],Games[Season],Games[[#This Row],[Season]],Games[Date],"&lt;=" &amp; Games[[#This Row],[Date]])</f>
        <v>6</v>
      </c>
      <c r="D76" s="2" t="s">
        <v>83</v>
      </c>
      <c r="E76" s="2" t="s">
        <v>84</v>
      </c>
      <c r="F76" s="1" t="s">
        <v>65</v>
      </c>
      <c r="G76" s="1" t="s">
        <v>76</v>
      </c>
      <c r="H76" s="1" t="s">
        <v>85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1489.5433846949034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1419.2809315537663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0.48024037718495965</v>
      </c>
      <c r="R76" s="1">
        <v>74</v>
      </c>
      <c r="S76" s="1">
        <v>66</v>
      </c>
      <c r="T76" s="1">
        <v>0</v>
      </c>
      <c r="U76" s="1">
        <f>Games[[#This Row],[PointsFor]]-Games[[#This Row],[PointsAgainst]]</f>
        <v>8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0.36683650756685982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14.319077041061103</v>
      </c>
      <c r="AB76" s="4">
        <f>Games[[#This Row],[PreGmRate]]+Games[[#This Row],[RatingChange]]</f>
        <v>1503.8624617359644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41795</v>
      </c>
      <c r="B77" s="2">
        <v>2014</v>
      </c>
      <c r="C77" s="2">
        <f>COUNTIFS(Games[Team],Games[[#This Row],[Team]],Games[Season],Games[[#This Row],[Season]],Games[Date],"&lt;=" &amp; Games[[#This Row],[Date]])</f>
        <v>8</v>
      </c>
      <c r="D77" s="2" t="s">
        <v>83</v>
      </c>
      <c r="E77" s="2" t="s">
        <v>84</v>
      </c>
      <c r="F77" s="1" t="s">
        <v>76</v>
      </c>
      <c r="G77" s="1" t="s">
        <v>65</v>
      </c>
      <c r="H77" s="1" t="s">
        <v>86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1419.2809315537663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1489.5433846949034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0.5197596228150404</v>
      </c>
      <c r="R77" s="1">
        <v>66</v>
      </c>
      <c r="S77" s="1">
        <v>74</v>
      </c>
      <c r="T77" s="1">
        <v>0</v>
      </c>
      <c r="U77" s="1">
        <f>Games[[#This Row],[PointsFor]]-Games[[#This Row],[PointsAgainst]]</f>
        <v>-8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0.36683650756685982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74.8</v>
      </c>
      <c r="Z77" s="4">
        <f>Games[[#This Row],[K]]*Games[[#This Row],[POMult]]</f>
        <v>74.8</v>
      </c>
      <c r="AA77" s="4">
        <f>(Games[[#This Row],[Keff]]*Games[[#This Row],[MOVMult]])*(Games[[#This Row],[Result]]-Games[[#This Row],[ExpectedWin%]])</f>
        <v>-14.261876999618783</v>
      </c>
      <c r="AB77" s="4">
        <f>Games[[#This Row],[PreGmRate]]+Games[[#This Row],[RatingChange]]</f>
        <v>1405.0190545541475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41795</v>
      </c>
      <c r="B78" s="2">
        <v>2014</v>
      </c>
      <c r="C78" s="2">
        <f>COUNTIFS(Games[Team],Games[[#This Row],[Team]],Games[Season],Games[[#This Row],[Season]],Games[Date],"&lt;=" &amp; Games[[#This Row],[Date]])</f>
        <v>8</v>
      </c>
      <c r="D78" s="2" t="s">
        <v>83</v>
      </c>
      <c r="E78" s="2" t="s">
        <v>84</v>
      </c>
      <c r="F78" s="1" t="s">
        <v>74</v>
      </c>
      <c r="G78" s="1" t="s">
        <v>60</v>
      </c>
      <c r="H78" s="1" t="s">
        <v>85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8" s="2">
        <f>Games[[#This Row],[DaysOff]]-Games[[#This Row],[OppDaysOff]]</f>
        <v>-1</v>
      </c>
      <c r="L78" s="2">
        <f>Games[[#This Row],[OppDaysOff]]-Games[[#This Row],[DaysOff]]</f>
        <v>1</v>
      </c>
      <c r="M78" s="1">
        <f>MAX(-16, MIN(16, Games[[#This Row],[RestDiff]]*8))</f>
        <v>-8</v>
      </c>
      <c r="N78" s="1">
        <f>MAX(-16, MIN(16, Games[[#This Row],[OppRestDiff]]*8))</f>
        <v>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1461.9818958474536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1427.7119900542575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0.40651940869447978</v>
      </c>
      <c r="R78" s="1">
        <v>87</v>
      </c>
      <c r="S78" s="1">
        <v>75</v>
      </c>
      <c r="T78" s="1">
        <v>0</v>
      </c>
      <c r="U78" s="1">
        <f>Games[[#This Row],[PointsFor]]-Games[[#This Row],[PointsAgainst]]</f>
        <v>12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0.44346486058095558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19.686446518524257</v>
      </c>
      <c r="AB78" s="4">
        <f>Games[[#This Row],[PreGmRate]]+Games[[#This Row],[RatingChange]]</f>
        <v>1481.6683423659779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41795</v>
      </c>
      <c r="B79" s="2">
        <v>2014</v>
      </c>
      <c r="C79" s="2">
        <f>COUNTIFS(Games[Team],Games[[#This Row],[Team]],Games[Season],Games[[#This Row],[Season]],Games[Date],"&lt;=" &amp; Games[[#This Row],[Date]])</f>
        <v>7</v>
      </c>
      <c r="D79" s="2" t="s">
        <v>83</v>
      </c>
      <c r="E79" s="2" t="s">
        <v>84</v>
      </c>
      <c r="F79" s="1" t="s">
        <v>60</v>
      </c>
      <c r="G79" s="1" t="s">
        <v>74</v>
      </c>
      <c r="H79" s="1" t="s">
        <v>86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9" s="2">
        <f>Games[[#This Row],[DaysOff]]-Games[[#This Row],[OppDaysOff]]</f>
        <v>1</v>
      </c>
      <c r="L79" s="2">
        <f>Games[[#This Row],[OppDaysOff]]-Games[[#This Row],[DaysOff]]</f>
        <v>-1</v>
      </c>
      <c r="M79" s="1">
        <f>MAX(-16, MIN(16, Games[[#This Row],[RestDiff]]*8))</f>
        <v>8</v>
      </c>
      <c r="N79" s="1">
        <f>MAX(-16, MIN(16, Games[[#This Row],[OppRestDiff]]*8))</f>
        <v>-8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1427.7119900542575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1461.9818958474536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0.59348059130552033</v>
      </c>
      <c r="R79" s="1">
        <v>75</v>
      </c>
      <c r="S79" s="1">
        <v>87</v>
      </c>
      <c r="T79" s="1">
        <v>0</v>
      </c>
      <c r="U79" s="1">
        <f>Games[[#This Row],[PointsFor]]-Games[[#This Row],[PointsAgainst]]</f>
        <v>-12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0.44346486058095558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-19.725924686676386</v>
      </c>
      <c r="AB79" s="4">
        <f>Games[[#This Row],[PreGmRate]]+Games[[#This Row],[RatingChange]]</f>
        <v>1407.9860653675812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41796</v>
      </c>
      <c r="B80" s="2">
        <v>2014</v>
      </c>
      <c r="C80" s="2">
        <f>COUNTIFS(Games[Team],Games[[#This Row],[Team]],Games[Season],Games[[#This Row],[Season]],Games[Date],"&lt;=" &amp; Games[[#This Row],[Date]])</f>
        <v>6</v>
      </c>
      <c r="D80" s="2" t="s">
        <v>83</v>
      </c>
      <c r="E80" s="2" t="s">
        <v>84</v>
      </c>
      <c r="F80" s="1" t="s">
        <v>63</v>
      </c>
      <c r="G80" s="1" t="s">
        <v>77</v>
      </c>
      <c r="H80" s="1" t="s">
        <v>85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80" s="2">
        <f>Games[[#This Row],[DaysOff]]-Games[[#This Row],[OppDaysOff]]</f>
        <v>-4</v>
      </c>
      <c r="L80" s="2">
        <f>Games[[#This Row],[OppDaysOff]]-Games[[#This Row],[DaysOff]]</f>
        <v>4</v>
      </c>
      <c r="M80" s="1">
        <f>MAX(-16, MIN(16, Games[[#This Row],[RestDiff]]*8))</f>
        <v>-16</v>
      </c>
      <c r="N80" s="1">
        <f>MAX(-16, MIN(16, Games[[#This Row],[OppRestDiff]]*8))</f>
        <v>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1544.2349208222963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1576.5855207304905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0.29859973880730101</v>
      </c>
      <c r="R80" s="1">
        <v>102</v>
      </c>
      <c r="S80" s="1">
        <v>88</v>
      </c>
      <c r="T80" s="1">
        <v>0</v>
      </c>
      <c r="U80" s="1">
        <f>Games[[#This Row],[PointsFor]]-Games[[#This Row],[PointsAgainst]]</f>
        <v>14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0.4748078381951627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25.010578663654737</v>
      </c>
      <c r="AB80" s="4">
        <f>Games[[#This Row],[PreGmRate]]+Games[[#This Row],[RatingChange]]</f>
        <v>1569.2454994859511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41796</v>
      </c>
      <c r="B81" s="2">
        <v>2014</v>
      </c>
      <c r="C81" s="2">
        <f>COUNTIFS(Games[Team],Games[[#This Row],[Team]],Games[Season],Games[[#This Row],[Season]],Games[Date],"&lt;=" &amp; Games[[#This Row],[Date]])</f>
        <v>7</v>
      </c>
      <c r="D81" s="2" t="s">
        <v>83</v>
      </c>
      <c r="E81" s="2" t="s">
        <v>84</v>
      </c>
      <c r="F81" s="1" t="s">
        <v>77</v>
      </c>
      <c r="G81" s="1" t="s">
        <v>63</v>
      </c>
      <c r="H81" s="1" t="s">
        <v>86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6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1" s="2">
        <f>Games[[#This Row],[DaysOff]]-Games[[#This Row],[OppDaysOff]]</f>
        <v>4</v>
      </c>
      <c r="L81" s="2">
        <f>Games[[#This Row],[OppDaysOff]]-Games[[#This Row],[DaysOff]]</f>
        <v>-4</v>
      </c>
      <c r="M81" s="1">
        <f>MAX(-16, MIN(16, Games[[#This Row],[RestDiff]]*8))</f>
        <v>16</v>
      </c>
      <c r="N81" s="1">
        <f>MAX(-16, MIN(16, Games[[#This Row],[OppRestDiff]]*8))</f>
        <v>-16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1576.5855207304905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1544.2349208222963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0.70140026119269894</v>
      </c>
      <c r="R81" s="1">
        <v>88</v>
      </c>
      <c r="S81" s="1">
        <v>102</v>
      </c>
      <c r="T81" s="1">
        <v>0</v>
      </c>
      <c r="U81" s="1">
        <f>Games[[#This Row],[PointsFor]]-Games[[#This Row],[PointsAgainst]]</f>
        <v>-14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0.4748078381951627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74.95</v>
      </c>
      <c r="Z81" s="4">
        <f>Games[[#This Row],[K]]*Games[[#This Row],[POMult]]</f>
        <v>74.95</v>
      </c>
      <c r="AA81" s="4">
        <f>(Games[[#This Row],[Keff]]*Games[[#This Row],[MOVMult]])*(Games[[#This Row],[Result]]-Games[[#This Row],[ExpectedWin%]])</f>
        <v>-24.96062411239577</v>
      </c>
      <c r="AB81" s="4">
        <f>Games[[#This Row],[PreGmRate]]+Games[[#This Row],[RatingChange]]</f>
        <v>1551.6248966180947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41796</v>
      </c>
      <c r="B82" s="2">
        <v>2014</v>
      </c>
      <c r="C82" s="2">
        <f>COUNTIFS(Games[Team],Games[[#This Row],[Team]],Games[Season],Games[[#This Row],[Season]],Games[Date],"&lt;=" &amp; Games[[#This Row],[Date]])</f>
        <v>8</v>
      </c>
      <c r="D82" s="2" t="s">
        <v>83</v>
      </c>
      <c r="E82" s="2" t="s">
        <v>84</v>
      </c>
      <c r="F82" s="1" t="s">
        <v>67</v>
      </c>
      <c r="G82" s="1" t="s">
        <v>71</v>
      </c>
      <c r="H82" s="1" t="s">
        <v>85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4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2" s="2">
        <f>Games[[#This Row],[DaysOff]]-Games[[#This Row],[OppDaysOff]]</f>
        <v>2</v>
      </c>
      <c r="L82" s="2">
        <f>Games[[#This Row],[OppDaysOff]]-Games[[#This Row],[DaysOff]]</f>
        <v>-2</v>
      </c>
      <c r="M82" s="1">
        <f>MAX(-16, MIN(16, Games[[#This Row],[RestDiff]]*8))</f>
        <v>16</v>
      </c>
      <c r="N82" s="1">
        <f>MAX(-16, MIN(16, Games[[#This Row],[OppRestDiff]]*8))</f>
        <v>-16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1674.9231670157503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1445.9193102933878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0.73476141604241385</v>
      </c>
      <c r="R82" s="1">
        <v>62</v>
      </c>
      <c r="S82" s="1">
        <v>65</v>
      </c>
      <c r="T82" s="1">
        <v>0</v>
      </c>
      <c r="U82" s="1">
        <f>Games[[#This Row],[PointsFor]]-Games[[#This Row],[PointsAgainst]]</f>
        <v>-3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0.243680395738851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74.8</v>
      </c>
      <c r="Z82" s="4">
        <f>Games[[#This Row],[K]]*Games[[#This Row],[POMult]]</f>
        <v>74.8</v>
      </c>
      <c r="AA82" s="4">
        <f>(Games[[#This Row],[Keff]]*Games[[#This Row],[MOVMult]])*(Games[[#This Row],[Result]]-Games[[#This Row],[ExpectedWin%]])</f>
        <v>-13.392712057087076</v>
      </c>
      <c r="AB82" s="4">
        <f>Games[[#This Row],[PreGmRate]]+Games[[#This Row],[RatingChange]]</f>
        <v>1661.5304549586633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41796</v>
      </c>
      <c r="B83" s="2">
        <v>2014</v>
      </c>
      <c r="C83" s="2">
        <f>COUNTIFS(Games[Team],Games[[#This Row],[Team]],Games[Season],Games[[#This Row],[Season]],Games[Date],"&lt;=" &amp; Games[[#This Row],[Date]])</f>
        <v>9</v>
      </c>
      <c r="D83" s="2" t="s">
        <v>83</v>
      </c>
      <c r="E83" s="2" t="s">
        <v>84</v>
      </c>
      <c r="F83" s="1" t="s">
        <v>71</v>
      </c>
      <c r="G83" s="1" t="s">
        <v>67</v>
      </c>
      <c r="H83" s="1" t="s">
        <v>86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3" s="2">
        <f>Games[[#This Row],[DaysOff]]-Games[[#This Row],[OppDaysOff]]</f>
        <v>-2</v>
      </c>
      <c r="L83" s="2">
        <f>Games[[#This Row],[OppDaysOff]]-Games[[#This Row],[DaysOff]]</f>
        <v>2</v>
      </c>
      <c r="M83" s="1">
        <f>MAX(-16, MIN(16, Games[[#This Row],[RestDiff]]*8))</f>
        <v>-16</v>
      </c>
      <c r="N83" s="1">
        <f>MAX(-16, MIN(16, Games[[#This Row],[OppRestDiff]]*8))</f>
        <v>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1445.9193102933878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1674.9231670157503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0.26523858395758609</v>
      </c>
      <c r="R83" s="1">
        <v>65</v>
      </c>
      <c r="S83" s="1">
        <v>62</v>
      </c>
      <c r="T83" s="1">
        <v>0</v>
      </c>
      <c r="U83" s="1">
        <f>Games[[#This Row],[PointsFor]]-Games[[#This Row],[PointsAgainst]]</f>
        <v>3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0.243680395738851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74.650000000000006</v>
      </c>
      <c r="Z83" s="4">
        <f>Games[[#This Row],[K]]*Games[[#This Row],[POMult]]</f>
        <v>74.650000000000006</v>
      </c>
      <c r="AA83" s="4">
        <f>(Games[[#This Row],[Keff]]*Games[[#This Row],[MOVMult]])*(Games[[#This Row],[Result]]-Games[[#This Row],[ExpectedWin%]])</f>
        <v>13.365855014191849</v>
      </c>
      <c r="AB83" s="4">
        <f>Games[[#This Row],[PreGmRate]]+Games[[#This Row],[RatingChange]]</f>
        <v>1459.2851653075795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41796</v>
      </c>
      <c r="B84" s="2">
        <v>2014</v>
      </c>
      <c r="C84" s="2">
        <f>COUNTIFS(Games[Team],Games[[#This Row],[Team]],Games[Season],Games[[#This Row],[Season]],Games[Date],"&lt;=" &amp; Games[[#This Row],[Date]])</f>
        <v>6</v>
      </c>
      <c r="D84" s="2" t="s">
        <v>83</v>
      </c>
      <c r="E84" s="2" t="s">
        <v>84</v>
      </c>
      <c r="F84" s="1" t="s">
        <v>40</v>
      </c>
      <c r="G84" s="1" t="s">
        <v>81</v>
      </c>
      <c r="H84" s="1" t="s">
        <v>85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4" s="2">
        <f>Games[[#This Row],[DaysOff]]-Games[[#This Row],[OppDaysOff]]</f>
        <v>-2</v>
      </c>
      <c r="L84" s="2">
        <f>Games[[#This Row],[OppDaysOff]]-Games[[#This Row],[DaysOff]]</f>
        <v>2</v>
      </c>
      <c r="M84" s="1">
        <f>MAX(-16, MIN(16, Games[[#This Row],[RestDiff]]*8))</f>
        <v>-16</v>
      </c>
      <c r="N84" s="1">
        <f>MAX(-16, MIN(16, Games[[#This Row],[OppRestDiff]]*8))</f>
        <v>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1538.6073756098938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1414.5315036257416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0.51162002135950835</v>
      </c>
      <c r="R84" s="1">
        <v>78</v>
      </c>
      <c r="S84" s="1">
        <v>94</v>
      </c>
      <c r="T84" s="1">
        <v>0</v>
      </c>
      <c r="U84" s="1">
        <f>Games[[#This Row],[PointsFor]]-Games[[#This Row],[PointsAgainst]]</f>
        <v>-16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0.46926558506423049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75.099999999999994</v>
      </c>
      <c r="Z84" s="4">
        <f>Games[[#This Row],[K]]*Games[[#This Row],[POMult]]</f>
        <v>75.099999999999994</v>
      </c>
      <c r="AA84" s="4">
        <f>(Games[[#This Row],[Keff]]*Games[[#This Row],[MOVMult]])*(Games[[#This Row],[Result]]-Games[[#This Row],[ExpectedWin%]])</f>
        <v>-18.030433715903666</v>
      </c>
      <c r="AB84" s="4">
        <f>Games[[#This Row],[PreGmRate]]+Games[[#This Row],[RatingChange]]</f>
        <v>1520.5769418939901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41796</v>
      </c>
      <c r="B85" s="2">
        <v>2014</v>
      </c>
      <c r="C85" s="2">
        <f>COUNTIFS(Games[Team],Games[[#This Row],[Team]],Games[Season],Games[[#This Row],[Season]],Games[Date],"&lt;=" &amp; Games[[#This Row],[Date]])</f>
        <v>6</v>
      </c>
      <c r="D85" s="2" t="s">
        <v>83</v>
      </c>
      <c r="E85" s="2" t="s">
        <v>84</v>
      </c>
      <c r="F85" s="1" t="s">
        <v>81</v>
      </c>
      <c r="G85" s="1" t="s">
        <v>40</v>
      </c>
      <c r="H85" s="1" t="s">
        <v>86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5" s="2">
        <f>Games[[#This Row],[DaysOff]]-Games[[#This Row],[OppDaysOff]]</f>
        <v>2</v>
      </c>
      <c r="L85" s="2">
        <f>Games[[#This Row],[OppDaysOff]]-Games[[#This Row],[DaysOff]]</f>
        <v>-2</v>
      </c>
      <c r="M85" s="1">
        <f>MAX(-16, MIN(16, Games[[#This Row],[RestDiff]]*8))</f>
        <v>16</v>
      </c>
      <c r="N85" s="1">
        <f>MAX(-16, MIN(16, Games[[#This Row],[OppRestDiff]]*8))</f>
        <v>-16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1414.5315036257416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1538.6073756098938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0.48837997864049171</v>
      </c>
      <c r="R85" s="1">
        <v>94</v>
      </c>
      <c r="S85" s="1">
        <v>78</v>
      </c>
      <c r="T85" s="1">
        <v>0</v>
      </c>
      <c r="U85" s="1">
        <f>Games[[#This Row],[PointsFor]]-Games[[#This Row],[PointsAgainst]]</f>
        <v>16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0.46926558506423049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18.030433715903666</v>
      </c>
      <c r="AB85" s="4">
        <f>Games[[#This Row],[PreGmRate]]+Games[[#This Row],[RatingChange]]</f>
        <v>1432.5619373416453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41796</v>
      </c>
      <c r="B86" s="2">
        <v>2014</v>
      </c>
      <c r="C86" s="2">
        <f>COUNTIFS(Games[Team],Games[[#This Row],[Team]],Games[Season],Games[[#This Row],[Season]],Games[Date],"&lt;=" &amp; Games[[#This Row],[Date]])</f>
        <v>7</v>
      </c>
      <c r="D86" s="2" t="s">
        <v>83</v>
      </c>
      <c r="E86" s="2" t="s">
        <v>84</v>
      </c>
      <c r="F86" s="1" t="s">
        <v>69</v>
      </c>
      <c r="G86" s="1" t="s">
        <v>65</v>
      </c>
      <c r="H86" s="1" t="s">
        <v>85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5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6" s="2">
        <f>Games[[#This Row],[DaysOff]]-Games[[#This Row],[OppDaysOff]]</f>
        <v>5</v>
      </c>
      <c r="L86" s="2">
        <f>Games[[#This Row],[OppDaysOff]]-Games[[#This Row],[DaysOff]]</f>
        <v>-5</v>
      </c>
      <c r="M86" s="1">
        <f>MAX(-16, MIN(16, Games[[#This Row],[RestDiff]]*8))</f>
        <v>16</v>
      </c>
      <c r="N86" s="1">
        <f>MAX(-16, MIN(16, Games[[#This Row],[OppRestDiff]]*8))</f>
        <v>-16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1506.0540768821634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1503.8624617359644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0.42880702709480117</v>
      </c>
      <c r="R86" s="1">
        <v>64</v>
      </c>
      <c r="S86" s="1">
        <v>61</v>
      </c>
      <c r="T86" s="1">
        <v>0</v>
      </c>
      <c r="U86" s="1">
        <f>Games[[#This Row],[PointsFor]]-Games[[#This Row],[PointsAgainst]]</f>
        <v>3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0.28965451175277285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12.40037419517609</v>
      </c>
      <c r="AB86" s="4">
        <f>Games[[#This Row],[PreGmRate]]+Games[[#This Row],[RatingChange]]</f>
        <v>1518.4544510773394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41796</v>
      </c>
      <c r="B87" s="2">
        <v>2014</v>
      </c>
      <c r="C87" s="2">
        <f>COUNTIFS(Games[Team],Games[[#This Row],[Team]],Games[Season],Games[[#This Row],[Season]],Games[Date],"&lt;=" &amp; Games[[#This Row],[Date]])</f>
        <v>7</v>
      </c>
      <c r="D87" s="2" t="s">
        <v>83</v>
      </c>
      <c r="E87" s="2" t="s">
        <v>84</v>
      </c>
      <c r="F87" s="1" t="s">
        <v>65</v>
      </c>
      <c r="G87" s="1" t="s">
        <v>69</v>
      </c>
      <c r="H87" s="1" t="s">
        <v>86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7" s="2">
        <f>Games[[#This Row],[DaysOff]]-Games[[#This Row],[OppDaysOff]]</f>
        <v>-5</v>
      </c>
      <c r="L87" s="2">
        <f>Games[[#This Row],[OppDaysOff]]-Games[[#This Row],[DaysOff]]</f>
        <v>5</v>
      </c>
      <c r="M87" s="1">
        <f>MAX(-16, MIN(16, Games[[#This Row],[RestDiff]]*8))</f>
        <v>-16</v>
      </c>
      <c r="N87" s="1">
        <f>MAX(-16, MIN(16, Games[[#This Row],[OppRestDiff]]*8))</f>
        <v>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1503.8624617359644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1506.0540768821634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0.57119297290519899</v>
      </c>
      <c r="R87" s="1">
        <v>61</v>
      </c>
      <c r="S87" s="1">
        <v>64</v>
      </c>
      <c r="T87" s="1">
        <v>0</v>
      </c>
      <c r="U87" s="1">
        <f>Games[[#This Row],[PointsFor]]-Games[[#This Row],[PointsAgainst]]</f>
        <v>-3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0.28965451175277285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-12.400374195176095</v>
      </c>
      <c r="AB87" s="4">
        <f>Games[[#This Row],[PreGmRate]]+Games[[#This Row],[RatingChange]]</f>
        <v>1491.4620875407884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41797</v>
      </c>
      <c r="B88" s="2">
        <v>2014</v>
      </c>
      <c r="C88" s="2">
        <f>COUNTIFS(Games[Team],Games[[#This Row],[Team]],Games[Season],Games[[#This Row],[Season]],Games[Date],"&lt;=" &amp; Games[[#This Row],[Date]])</f>
        <v>8</v>
      </c>
      <c r="D88" s="2" t="s">
        <v>83</v>
      </c>
      <c r="E88" s="2" t="s">
        <v>84</v>
      </c>
      <c r="F88" s="1" t="s">
        <v>77</v>
      </c>
      <c r="G88" s="1" t="s">
        <v>79</v>
      </c>
      <c r="H88" s="1" t="s">
        <v>85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8" s="2">
        <f>Games[[#This Row],[DaysOff]]-Games[[#This Row],[OppDaysOff]]</f>
        <v>-3</v>
      </c>
      <c r="L88" s="2">
        <f>Games[[#This Row],[OppDaysOff]]-Games[[#This Row],[DaysOff]]</f>
        <v>3</v>
      </c>
      <c r="M88" s="1">
        <f>MAX(-16, MIN(16, Games[[#This Row],[RestDiff]]*8))</f>
        <v>-16</v>
      </c>
      <c r="N88" s="1">
        <f>MAX(-16, MIN(16, Games[[#This Row],[OppRestDiff]]*8))</f>
        <v>16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1551.6248966180947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1502.3926020971899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0.40507917001470783</v>
      </c>
      <c r="R88" s="1">
        <v>59</v>
      </c>
      <c r="S88" s="1">
        <v>97</v>
      </c>
      <c r="T88" s="1">
        <v>0</v>
      </c>
      <c r="U88" s="1">
        <f>Games[[#This Row],[PointsFor]]-Games[[#This Row],[PointsAgainst]]</f>
        <v>-38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0.76460629718527195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-23.167511102036809</v>
      </c>
      <c r="AB88" s="4">
        <f>Games[[#This Row],[PreGmRate]]+Games[[#This Row],[RatingChange]]</f>
        <v>1528.4573855160579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41797</v>
      </c>
      <c r="B89" s="2">
        <v>2014</v>
      </c>
      <c r="C89" s="2">
        <f>COUNTIFS(Games[Team],Games[[#This Row],[Team]],Games[Season],Games[[#This Row],[Season]],Games[Date],"&lt;=" &amp; Games[[#This Row],[Date]])</f>
        <v>8</v>
      </c>
      <c r="D89" s="2" t="s">
        <v>83</v>
      </c>
      <c r="E89" s="2" t="s">
        <v>84</v>
      </c>
      <c r="F89" s="1" t="s">
        <v>79</v>
      </c>
      <c r="G89" s="1" t="s">
        <v>77</v>
      </c>
      <c r="H89" s="1" t="s">
        <v>86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9" s="2">
        <f>Games[[#This Row],[DaysOff]]-Games[[#This Row],[OppDaysOff]]</f>
        <v>3</v>
      </c>
      <c r="L89" s="2">
        <f>Games[[#This Row],[OppDaysOff]]-Games[[#This Row],[DaysOff]]</f>
        <v>-3</v>
      </c>
      <c r="M89" s="1">
        <f>MAX(-16, MIN(16, Games[[#This Row],[RestDiff]]*8))</f>
        <v>16</v>
      </c>
      <c r="N89" s="1">
        <f>MAX(-16, MIN(16, Games[[#This Row],[OppRestDiff]]*8))</f>
        <v>-16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1502.3926020971899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1551.6248966180947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0.59492082998529217</v>
      </c>
      <c r="R89" s="1">
        <v>97</v>
      </c>
      <c r="S89" s="1">
        <v>59</v>
      </c>
      <c r="T89" s="1">
        <v>0</v>
      </c>
      <c r="U89" s="1">
        <f>Games[[#This Row],[PointsFor]]-Games[[#This Row],[PointsAgainst]]</f>
        <v>38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0.76460629718527195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23.167511102036809</v>
      </c>
      <c r="AB89" s="4">
        <f>Games[[#This Row],[PreGmRate]]+Games[[#This Row],[RatingChange]]</f>
        <v>1525.5601131992266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41797</v>
      </c>
      <c r="B90" s="2">
        <v>2014</v>
      </c>
      <c r="C90" s="2">
        <f>COUNTIFS(Games[Team],Games[[#This Row],[Team]],Games[Season],Games[[#This Row],[Season]],Games[Date],"&lt;=" &amp; Games[[#This Row],[Date]])</f>
        <v>8</v>
      </c>
      <c r="D90" s="2" t="s">
        <v>83</v>
      </c>
      <c r="E90" s="2" t="s">
        <v>84</v>
      </c>
      <c r="F90" s="1" t="s">
        <v>69</v>
      </c>
      <c r="G90" s="1" t="s">
        <v>76</v>
      </c>
      <c r="H90" s="1" t="s">
        <v>85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1518.4544510773394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1405.0190545541475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0.51932545781995043</v>
      </c>
      <c r="R90" s="1">
        <v>71</v>
      </c>
      <c r="S90" s="1">
        <v>88</v>
      </c>
      <c r="T90" s="1">
        <v>0</v>
      </c>
      <c r="U90" s="1">
        <f>Games[[#This Row],[PointsFor]]-Games[[#This Row],[PointsAgainst]]</f>
        <v>-17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0.48645748743312084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-18.89670585136189</v>
      </c>
      <c r="AB90" s="4">
        <f>Games[[#This Row],[PreGmRate]]+Games[[#This Row],[RatingChange]]</f>
        <v>1499.5577452259774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41797</v>
      </c>
      <c r="B91" s="2">
        <v>2014</v>
      </c>
      <c r="C91" s="2">
        <f>COUNTIFS(Games[Team],Games[[#This Row],[Team]],Games[Season],Games[[#This Row],[Season]],Games[Date],"&lt;=" &amp; Games[[#This Row],[Date]])</f>
        <v>9</v>
      </c>
      <c r="D91" s="2" t="s">
        <v>83</v>
      </c>
      <c r="E91" s="2" t="s">
        <v>84</v>
      </c>
      <c r="F91" s="1" t="s">
        <v>76</v>
      </c>
      <c r="G91" s="1" t="s">
        <v>69</v>
      </c>
      <c r="H91" s="1" t="s">
        <v>86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1405.0190545541475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1518.4544510773394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0.48067454218004957</v>
      </c>
      <c r="R91" s="1">
        <v>88</v>
      </c>
      <c r="S91" s="1">
        <v>71</v>
      </c>
      <c r="T91" s="1">
        <v>0</v>
      </c>
      <c r="U91" s="1">
        <f>Games[[#This Row],[PointsFor]]-Games[[#This Row],[PointsAgainst]]</f>
        <v>17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0.48645748743312084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74.650000000000006</v>
      </c>
      <c r="Z91" s="4">
        <f>Games[[#This Row],[K]]*Games[[#This Row],[POMult]]</f>
        <v>74.650000000000006</v>
      </c>
      <c r="AA91" s="4">
        <f>(Games[[#This Row],[Keff]]*Games[[#This Row],[MOVMult]])*(Games[[#This Row],[Result]]-Games[[#This Row],[ExpectedWin%]])</f>
        <v>18.858811387756219</v>
      </c>
      <c r="AB91" s="4">
        <f>Games[[#This Row],[PreGmRate]]+Games[[#This Row],[RatingChange]]</f>
        <v>1423.8778659419038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41797</v>
      </c>
      <c r="B92" s="2">
        <v>2014</v>
      </c>
      <c r="C92" s="2">
        <f>COUNTIFS(Games[Team],Games[[#This Row],[Team]],Games[Season],Games[[#This Row],[Season]],Games[Date],"&lt;=" &amp; Games[[#This Row],[Date]])</f>
        <v>7</v>
      </c>
      <c r="D92" s="2" t="s">
        <v>83</v>
      </c>
      <c r="E92" s="2" t="s">
        <v>84</v>
      </c>
      <c r="F92" s="1" t="s">
        <v>40</v>
      </c>
      <c r="G92" s="1" t="s">
        <v>74</v>
      </c>
      <c r="H92" s="1" t="s">
        <v>85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-1</v>
      </c>
      <c r="L92" s="2">
        <f>Games[[#This Row],[OppDaysOff]]-Games[[#This Row],[DaysOff]]</f>
        <v>1</v>
      </c>
      <c r="M92" s="1">
        <f>MAX(-16, MIN(16, Games[[#This Row],[RestDiff]]*8))</f>
        <v>-8</v>
      </c>
      <c r="N92" s="1">
        <f>MAX(-16, MIN(16, Games[[#This Row],[OppRestDiff]]*8))</f>
        <v>8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1520.5769418939901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1481.6683423659779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0.41297741937775512</v>
      </c>
      <c r="R92" s="1">
        <v>91</v>
      </c>
      <c r="S92" s="1">
        <v>79</v>
      </c>
      <c r="T92" s="1">
        <v>1</v>
      </c>
      <c r="U92" s="1">
        <f>Games[[#This Row],[PointsFor]]-Games[[#This Row],[PointsAgainst]]</f>
        <v>12</v>
      </c>
      <c r="V92" s="1">
        <f>IF(Games[[#This Row],[MOV]]&gt;0,1,IF(Games[[#This Row],[MOV]]=0,0.5,0))</f>
        <v>1</v>
      </c>
      <c r="W92" s="4">
        <f>((ABS(Games[[#This Row],[MOV]])+5)^0.6)/(12+0.01*(ABS(Games[[#This Row],[PreGmRate]]-Games[[#This Row],[OppPreGmRate]])))*IF(Games[[#This Row],[OT]]=1,0.9,1)</f>
        <v>0.39762400447485602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17.494399478352367</v>
      </c>
      <c r="AB92" s="4">
        <f>Games[[#This Row],[PreGmRate]]+Games[[#This Row],[RatingChange]]</f>
        <v>1538.0713413723424</v>
      </c>
      <c r="AC92" s="2">
        <f>IF(Games[[#This Row],[Type]]="R",IF(Games[[#This Row],[Result]]&gt;0.5,1,0),0)</f>
        <v>1</v>
      </c>
      <c r="AD92" s="2">
        <f>IF(Games[[#This Row],[Type]]="R",IF(Games[[#This Row],[Result]]&lt;0.5,1,0),0)</f>
        <v>0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41797</v>
      </c>
      <c r="B93" s="2">
        <v>2014</v>
      </c>
      <c r="C93" s="2">
        <f>COUNTIFS(Games[Team],Games[[#This Row],[Team]],Games[Season],Games[[#This Row],[Season]],Games[Date],"&lt;=" &amp; Games[[#This Row],[Date]])</f>
        <v>9</v>
      </c>
      <c r="D93" s="2" t="s">
        <v>83</v>
      </c>
      <c r="E93" s="2" t="s">
        <v>84</v>
      </c>
      <c r="F93" s="1" t="s">
        <v>74</v>
      </c>
      <c r="G93" s="1" t="s">
        <v>40</v>
      </c>
      <c r="H93" s="1" t="s">
        <v>86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3" s="2">
        <f>Games[[#This Row],[DaysOff]]-Games[[#This Row],[OppDaysOff]]</f>
        <v>1</v>
      </c>
      <c r="L93" s="2">
        <f>Games[[#This Row],[OppDaysOff]]-Games[[#This Row],[DaysOff]]</f>
        <v>-1</v>
      </c>
      <c r="M93" s="1">
        <f>MAX(-16, MIN(16, Games[[#This Row],[RestDiff]]*8))</f>
        <v>8</v>
      </c>
      <c r="N93" s="1">
        <f>MAX(-16, MIN(16, Games[[#This Row],[OppRestDiff]]*8))</f>
        <v>-8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1481.6683423659779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1520.5769418939901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0.58702258062224488</v>
      </c>
      <c r="R93" s="1">
        <v>79</v>
      </c>
      <c r="S93" s="1">
        <v>91</v>
      </c>
      <c r="T93" s="1">
        <v>1</v>
      </c>
      <c r="U93" s="1">
        <f>Games[[#This Row],[PointsFor]]-Games[[#This Row],[PointsAgainst]]</f>
        <v>-12</v>
      </c>
      <c r="V93" s="1">
        <f>IF(Games[[#This Row],[MOV]]&gt;0,1,IF(Games[[#This Row],[MOV]]=0,0.5,0))</f>
        <v>0</v>
      </c>
      <c r="W93" s="4">
        <f>((ABS(Games[[#This Row],[MOV]])+5)^0.6)/(12+0.01*(ABS(Games[[#This Row],[PreGmRate]]-Games[[#This Row],[OppPreGmRate]])))*IF(Games[[#This Row],[OT]]=1,0.9,1)</f>
        <v>0.39762400447485602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74.650000000000006</v>
      </c>
      <c r="Z93" s="4">
        <f>Games[[#This Row],[K]]*Games[[#This Row],[POMult]]</f>
        <v>74.650000000000006</v>
      </c>
      <c r="AA93" s="4">
        <f>(Games[[#This Row],[Keff]]*Games[[#This Row],[MOVMult]])*(Games[[#This Row],[Result]]-Games[[#This Row],[ExpectedWin%]])</f>
        <v>-17.424375197585114</v>
      </c>
      <c r="AB93" s="4">
        <f>Games[[#This Row],[PreGmRate]]+Games[[#This Row],[RatingChange]]</f>
        <v>1464.2439671683928</v>
      </c>
      <c r="AC93" s="2">
        <f>IF(Games[[#This Row],[Type]]="R",IF(Games[[#This Row],[Result]]&gt;0.5,1,0),0)</f>
        <v>0</v>
      </c>
      <c r="AD93" s="2">
        <f>IF(Games[[#This Row],[Type]]="R",IF(Games[[#This Row],[Result]]&lt;0.5,1,0),0)</f>
        <v>1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41798</v>
      </c>
      <c r="B94" s="2">
        <v>2014</v>
      </c>
      <c r="C94" s="2">
        <f>COUNTIFS(Games[Team],Games[[#This Row],[Team]],Games[Season],Games[[#This Row],[Season]],Games[Date],"&lt;=" &amp; Games[[#This Row],[Date]])</f>
        <v>9</v>
      </c>
      <c r="D94" s="2" t="s">
        <v>83</v>
      </c>
      <c r="E94" s="2" t="s">
        <v>84</v>
      </c>
      <c r="F94" s="1" t="s">
        <v>67</v>
      </c>
      <c r="G94" s="1" t="s">
        <v>63</v>
      </c>
      <c r="H94" s="1" t="s">
        <v>85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1661.5304549586633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1569.2454994859511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0.51192074993135028</v>
      </c>
      <c r="R94" s="1">
        <v>85</v>
      </c>
      <c r="S94" s="1">
        <v>72</v>
      </c>
      <c r="T94" s="1">
        <v>0</v>
      </c>
      <c r="U94" s="1">
        <f>Games[[#This Row],[PointsFor]]-Games[[#This Row],[PointsAgainst]]</f>
        <v>13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0.43833405657015889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74.650000000000006</v>
      </c>
      <c r="Z94" s="4">
        <f>Games[[#This Row],[K]]*Games[[#This Row],[POMult]]</f>
        <v>74.650000000000006</v>
      </c>
      <c r="AA94" s="4">
        <f>(Games[[#This Row],[Keff]]*Games[[#This Row],[MOVMult]])*(Games[[#This Row],[Result]]-Games[[#This Row],[ExpectedWin%]])</f>
        <v>15.970752205609811</v>
      </c>
      <c r="AB94" s="4">
        <f>Games[[#This Row],[PreGmRate]]+Games[[#This Row],[RatingChange]]</f>
        <v>1677.5012071642732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41798</v>
      </c>
      <c r="B95" s="2">
        <v>2014</v>
      </c>
      <c r="C95" s="2">
        <f>COUNTIFS(Games[Team],Games[[#This Row],[Team]],Games[Season],Games[[#This Row],[Season]],Games[Date],"&lt;=" &amp; Games[[#This Row],[Date]])</f>
        <v>7</v>
      </c>
      <c r="D95" s="2" t="s">
        <v>83</v>
      </c>
      <c r="E95" s="2" t="s">
        <v>84</v>
      </c>
      <c r="F95" s="1" t="s">
        <v>63</v>
      </c>
      <c r="G95" s="1" t="s">
        <v>67</v>
      </c>
      <c r="H95" s="1" t="s">
        <v>86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1569.2454994859511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1661.5304549586633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0.48807925006864972</v>
      </c>
      <c r="R95" s="1">
        <v>72</v>
      </c>
      <c r="S95" s="1">
        <v>85</v>
      </c>
      <c r="T95" s="1">
        <v>0</v>
      </c>
      <c r="U95" s="1">
        <f>Games[[#This Row],[PointsFor]]-Games[[#This Row],[PointsAgainst]]</f>
        <v>-13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0.43833405657015889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74.95</v>
      </c>
      <c r="Z95" s="4">
        <f>Games[[#This Row],[K]]*Games[[#This Row],[POMult]]</f>
        <v>74.95</v>
      </c>
      <c r="AA95" s="4">
        <f>(Games[[#This Row],[Keff]]*Games[[#This Row],[MOVMult]])*(Games[[#This Row],[Result]]-Games[[#This Row],[ExpectedWin%]])</f>
        <v>-16.0349347328929</v>
      </c>
      <c r="AB95" s="4">
        <f>Games[[#This Row],[PreGmRate]]+Games[[#This Row],[RatingChange]]</f>
        <v>1553.2105647530582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41798</v>
      </c>
      <c r="B96" s="2">
        <v>2014</v>
      </c>
      <c r="C96" s="2">
        <f>COUNTIFS(Games[Team],Games[[#This Row],[Team]],Games[Season],Games[[#This Row],[Season]],Games[Date],"&lt;=" &amp; Games[[#This Row],[Date]])</f>
        <v>8</v>
      </c>
      <c r="D96" s="2" t="s">
        <v>83</v>
      </c>
      <c r="E96" s="2" t="s">
        <v>84</v>
      </c>
      <c r="F96" s="1" t="s">
        <v>65</v>
      </c>
      <c r="G96" s="1" t="s">
        <v>60</v>
      </c>
      <c r="H96" s="1" t="s">
        <v>85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6" s="2">
        <f>Games[[#This Row],[DaysOff]]-Games[[#This Row],[OppDaysOff]]</f>
        <v>-1</v>
      </c>
      <c r="L96" s="2">
        <f>Games[[#This Row],[OppDaysOff]]-Games[[#This Row],[DaysOff]]</f>
        <v>1</v>
      </c>
      <c r="M96" s="1">
        <f>MAX(-16, MIN(16, Games[[#This Row],[RestDiff]]*8))</f>
        <v>-8</v>
      </c>
      <c r="N96" s="1">
        <f>MAX(-16, MIN(16, Games[[#This Row],[OppRestDiff]]*8))</f>
        <v>8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1491.4620875407884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1407.9860653675812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0.47623799771591407</v>
      </c>
      <c r="R96" s="1">
        <v>64</v>
      </c>
      <c r="S96" s="1">
        <v>81</v>
      </c>
      <c r="T96" s="1">
        <v>0</v>
      </c>
      <c r="U96" s="1">
        <f>Games[[#This Row],[PointsFor]]-Games[[#This Row],[PointsAgainst]]</f>
        <v>-17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0.49781255891056458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74.8</v>
      </c>
      <c r="Z96" s="4">
        <f>Games[[#This Row],[K]]*Games[[#This Row],[POMult]]</f>
        <v>74.8</v>
      </c>
      <c r="AA96" s="4">
        <f>(Games[[#This Row],[Keff]]*Games[[#This Row],[MOVMult]])*(Games[[#This Row],[Result]]-Games[[#This Row],[ExpectedWin%]])</f>
        <v>-17.73337877074653</v>
      </c>
      <c r="AB96" s="4">
        <f>Games[[#This Row],[PreGmRate]]+Games[[#This Row],[RatingChange]]</f>
        <v>1473.7287087700417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41798</v>
      </c>
      <c r="B97" s="2">
        <v>2014</v>
      </c>
      <c r="C97" s="2">
        <f>COUNTIFS(Games[Team],Games[[#This Row],[Team]],Games[Season],Games[[#This Row],[Season]],Games[Date],"&lt;=" &amp; Games[[#This Row],[Date]])</f>
        <v>8</v>
      </c>
      <c r="D97" s="2" t="s">
        <v>83</v>
      </c>
      <c r="E97" s="2" t="s">
        <v>84</v>
      </c>
      <c r="F97" s="1" t="s">
        <v>60</v>
      </c>
      <c r="G97" s="1" t="s">
        <v>65</v>
      </c>
      <c r="H97" s="1" t="s">
        <v>86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1</v>
      </c>
      <c r="L97" s="2">
        <f>Games[[#This Row],[OppDaysOff]]-Games[[#This Row],[DaysOff]]</f>
        <v>-1</v>
      </c>
      <c r="M97" s="1">
        <f>MAX(-16, MIN(16, Games[[#This Row],[RestDiff]]*8))</f>
        <v>8</v>
      </c>
      <c r="N97" s="1">
        <f>MAX(-16, MIN(16, Games[[#This Row],[OppRestDiff]]*8))</f>
        <v>-8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1407.9860653675812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1491.4620875407884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0.52376200228408587</v>
      </c>
      <c r="R97" s="1">
        <v>81</v>
      </c>
      <c r="S97" s="1">
        <v>64</v>
      </c>
      <c r="T97" s="1">
        <v>0</v>
      </c>
      <c r="U97" s="1">
        <f>Games[[#This Row],[PointsFor]]-Games[[#This Row],[PointsAgainst]]</f>
        <v>17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0.49781255891056458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17.73337877074653</v>
      </c>
      <c r="AB97" s="4">
        <f>Games[[#This Row],[PreGmRate]]+Games[[#This Row],[RatingChange]]</f>
        <v>1425.7194441383278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41800</v>
      </c>
      <c r="B98" s="2">
        <v>2014</v>
      </c>
      <c r="C98" s="2">
        <f>COUNTIFS(Games[Team],Games[[#This Row],[Team]],Games[Season],Games[[#This Row],[Season]],Games[Date],"&lt;=" &amp; Games[[#This Row],[Date]])</f>
        <v>10</v>
      </c>
      <c r="D98" s="2" t="s">
        <v>83</v>
      </c>
      <c r="E98" s="2" t="s">
        <v>84</v>
      </c>
      <c r="F98" s="1" t="s">
        <v>71</v>
      </c>
      <c r="G98" s="1" t="s">
        <v>77</v>
      </c>
      <c r="H98" s="1" t="s">
        <v>85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8" s="2">
        <f>Games[[#This Row],[DaysOff]]-Games[[#This Row],[OppDaysOff]]</f>
        <v>1</v>
      </c>
      <c r="L98" s="2">
        <f>Games[[#This Row],[OppDaysOff]]-Games[[#This Row],[DaysOff]]</f>
        <v>-1</v>
      </c>
      <c r="M98" s="1">
        <f>MAX(-16, MIN(16, Games[[#This Row],[RestDiff]]*8))</f>
        <v>8</v>
      </c>
      <c r="N98" s="1">
        <f>MAX(-16, MIN(16, Games[[#This Row],[OppRestDiff]]*8))</f>
        <v>-8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1459.2851653075795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1528.4573855160579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0.31224881398814541</v>
      </c>
      <c r="R98" s="1">
        <v>80</v>
      </c>
      <c r="S98" s="1">
        <v>76</v>
      </c>
      <c r="T98" s="1">
        <v>0</v>
      </c>
      <c r="U98" s="1">
        <f>Games[[#This Row],[PointsFor]]-Games[[#This Row],[PointsAgainst]]</f>
        <v>4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0.29445907807788835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74.5</v>
      </c>
      <c r="Z98" s="4">
        <f>Games[[#This Row],[K]]*Games[[#This Row],[POMult]]</f>
        <v>74.5</v>
      </c>
      <c r="AA98" s="4">
        <f>(Games[[#This Row],[Keff]]*Games[[#This Row],[MOVMult]])*(Games[[#This Row],[Result]]-Games[[#This Row],[ExpectedWin%]])</f>
        <v>15.087336223411862</v>
      </c>
      <c r="AB98" s="4">
        <f>Games[[#This Row],[PreGmRate]]+Games[[#This Row],[RatingChange]]</f>
        <v>1474.3725015309915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41800</v>
      </c>
      <c r="B99" s="2">
        <v>2014</v>
      </c>
      <c r="C99" s="2">
        <f>COUNTIFS(Games[Team],Games[[#This Row],[Team]],Games[Season],Games[[#This Row],[Season]],Games[Date],"&lt;=" &amp; Games[[#This Row],[Date]])</f>
        <v>9</v>
      </c>
      <c r="D99" s="2" t="s">
        <v>83</v>
      </c>
      <c r="E99" s="2" t="s">
        <v>84</v>
      </c>
      <c r="F99" s="1" t="s">
        <v>77</v>
      </c>
      <c r="G99" s="1" t="s">
        <v>71</v>
      </c>
      <c r="H99" s="1" t="s">
        <v>86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9" s="2">
        <f>Games[[#This Row],[DaysOff]]-Games[[#This Row],[OppDaysOff]]</f>
        <v>-1</v>
      </c>
      <c r="L99" s="2">
        <f>Games[[#This Row],[OppDaysOff]]-Games[[#This Row],[DaysOff]]</f>
        <v>1</v>
      </c>
      <c r="M99" s="1">
        <f>MAX(-16, MIN(16, Games[[#This Row],[RestDiff]]*8))</f>
        <v>-8</v>
      </c>
      <c r="N99" s="1">
        <f>MAX(-16, MIN(16, Games[[#This Row],[OppRestDiff]]*8))</f>
        <v>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1528.4573855160579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1459.2851653075795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0.68775118601185459</v>
      </c>
      <c r="R99" s="1">
        <v>76</v>
      </c>
      <c r="S99" s="1">
        <v>80</v>
      </c>
      <c r="T99" s="1">
        <v>0</v>
      </c>
      <c r="U99" s="1">
        <f>Games[[#This Row],[PointsFor]]-Games[[#This Row],[PointsAgainst]]</f>
        <v>-4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0.29445907807788835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-15.117713410438869</v>
      </c>
      <c r="AB99" s="4">
        <f>Games[[#This Row],[PreGmRate]]+Games[[#This Row],[RatingChange]]</f>
        <v>1513.339672105619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41800</v>
      </c>
      <c r="B100" s="2">
        <v>2014</v>
      </c>
      <c r="C100" s="2">
        <f>COUNTIFS(Games[Team],Games[[#This Row],[Team]],Games[Season],Games[[#This Row],[Season]],Games[Date],"&lt;=" &amp; Games[[#This Row],[Date]])</f>
        <v>9</v>
      </c>
      <c r="D100" s="2" t="s">
        <v>83</v>
      </c>
      <c r="E100" s="2" t="s">
        <v>84</v>
      </c>
      <c r="F100" s="1" t="s">
        <v>60</v>
      </c>
      <c r="G100" s="1" t="s">
        <v>81</v>
      </c>
      <c r="H100" s="1" t="s">
        <v>85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0" s="2">
        <f>Games[[#This Row],[DaysOff]]-Games[[#This Row],[OppDaysOff]]</f>
        <v>-2</v>
      </c>
      <c r="L100" s="2">
        <f>Games[[#This Row],[OppDaysOff]]-Games[[#This Row],[DaysOff]]</f>
        <v>2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1425.7194441383278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1432.5619373416453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0.3302314939252356</v>
      </c>
      <c r="R100" s="1">
        <v>57</v>
      </c>
      <c r="S100" s="1">
        <v>72</v>
      </c>
      <c r="T100" s="1">
        <v>0</v>
      </c>
      <c r="U100" s="1">
        <f>Games[[#This Row],[PointsFor]]-Games[[#This Row],[PointsAgainst]]</f>
        <v>-15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0.49999700628113208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-12.325816710257449</v>
      </c>
      <c r="AB100" s="4">
        <f>Games[[#This Row],[PreGmRate]]+Games[[#This Row],[RatingChange]]</f>
        <v>1413.3936274280704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41800</v>
      </c>
      <c r="B101" s="2">
        <v>2014</v>
      </c>
      <c r="C101" s="2">
        <f>COUNTIFS(Games[Team],Games[[#This Row],[Team]],Games[Season],Games[[#This Row],[Season]],Games[Date],"&lt;=" &amp; Games[[#This Row],[Date]])</f>
        <v>7</v>
      </c>
      <c r="D101" s="2" t="s">
        <v>83</v>
      </c>
      <c r="E101" s="2" t="s">
        <v>84</v>
      </c>
      <c r="F101" s="1" t="s">
        <v>81</v>
      </c>
      <c r="G101" s="1" t="s">
        <v>60</v>
      </c>
      <c r="H101" s="1" t="s">
        <v>86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2</v>
      </c>
      <c r="L101" s="2">
        <f>Games[[#This Row],[OppDaysOff]]-Games[[#This Row],[DaysOff]]</f>
        <v>-2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1432.5619373416453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1425.7194441383278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0.66976850607476435</v>
      </c>
      <c r="R101" s="1">
        <v>72</v>
      </c>
      <c r="S101" s="1">
        <v>57</v>
      </c>
      <c r="T101" s="1">
        <v>0</v>
      </c>
      <c r="U101" s="1">
        <f>Games[[#This Row],[PointsFor]]-Games[[#This Row],[PointsAgainst]]</f>
        <v>15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0.49999700628113208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74.95</v>
      </c>
      <c r="Z101" s="4">
        <f>Games[[#This Row],[K]]*Games[[#This Row],[POMult]]</f>
        <v>74.95</v>
      </c>
      <c r="AA101" s="4">
        <f>(Games[[#This Row],[Keff]]*Games[[#This Row],[MOVMult]])*(Games[[#This Row],[Result]]-Games[[#This Row],[ExpectedWin%]])</f>
        <v>12.375351137760157</v>
      </c>
      <c r="AB101" s="4">
        <f>Games[[#This Row],[PreGmRate]]+Games[[#This Row],[RatingChange]]</f>
        <v>1444.9372884794054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41800</v>
      </c>
      <c r="B102" s="2">
        <v>2014</v>
      </c>
      <c r="C102" s="2">
        <f>COUNTIFS(Games[Team],Games[[#This Row],[Team]],Games[Season],Games[[#This Row],[Season]],Games[Date],"&lt;=" &amp; Games[[#This Row],[Date]])</f>
        <v>8</v>
      </c>
      <c r="D102" s="2" t="s">
        <v>83</v>
      </c>
      <c r="E102" s="2" t="s">
        <v>84</v>
      </c>
      <c r="F102" s="1" t="s">
        <v>40</v>
      </c>
      <c r="G102" s="1" t="s">
        <v>65</v>
      </c>
      <c r="H102" s="1" t="s">
        <v>85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1</v>
      </c>
      <c r="L102" s="2">
        <f>Games[[#This Row],[OppDaysOff]]-Games[[#This Row],[DaysOff]]</f>
        <v>-1</v>
      </c>
      <c r="M102" s="1">
        <f>MAX(-16, MIN(16, Games[[#This Row],[RestDiff]]*8))</f>
        <v>8</v>
      </c>
      <c r="N102" s="1">
        <f>MAX(-16, MIN(16, Games[[#This Row],[OppRestDiff]]*8))</f>
        <v>-8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1538.0713413723424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1473.7287087700417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0.49473681962624677</v>
      </c>
      <c r="R102" s="1">
        <v>81</v>
      </c>
      <c r="S102" s="1">
        <v>66</v>
      </c>
      <c r="T102" s="1">
        <v>0</v>
      </c>
      <c r="U102" s="1">
        <f>Games[[#This Row],[PointsFor]]-Games[[#This Row],[PointsAgainst]]</f>
        <v>15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0.47725799802585739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18.037338866813368</v>
      </c>
      <c r="AB102" s="4">
        <f>Games[[#This Row],[PreGmRate]]+Games[[#This Row],[RatingChange]]</f>
        <v>1556.1086802391558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41800</v>
      </c>
      <c r="B103" s="2">
        <v>2014</v>
      </c>
      <c r="C103" s="2">
        <f>COUNTIFS(Games[Team],Games[[#This Row],[Team]],Games[Season],Games[[#This Row],[Season]],Games[Date],"&lt;=" &amp; Games[[#This Row],[Date]])</f>
        <v>9</v>
      </c>
      <c r="D103" s="2" t="s">
        <v>83</v>
      </c>
      <c r="E103" s="2" t="s">
        <v>84</v>
      </c>
      <c r="F103" s="1" t="s">
        <v>65</v>
      </c>
      <c r="G103" s="1" t="s">
        <v>40</v>
      </c>
      <c r="H103" s="1" t="s">
        <v>86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3" s="2">
        <f>Games[[#This Row],[DaysOff]]-Games[[#This Row],[OppDaysOff]]</f>
        <v>-1</v>
      </c>
      <c r="L103" s="2">
        <f>Games[[#This Row],[OppDaysOff]]-Games[[#This Row],[DaysOff]]</f>
        <v>1</v>
      </c>
      <c r="M103" s="1">
        <f>MAX(-16, MIN(16, Games[[#This Row],[RestDiff]]*8))</f>
        <v>-8</v>
      </c>
      <c r="N103" s="1">
        <f>MAX(-16, MIN(16, Games[[#This Row],[OppRestDiff]]*8))</f>
        <v>8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1473.7287087700417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1538.0713413723424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0.50526318037375328</v>
      </c>
      <c r="R103" s="1">
        <v>66</v>
      </c>
      <c r="S103" s="1">
        <v>81</v>
      </c>
      <c r="T103" s="1">
        <v>0</v>
      </c>
      <c r="U103" s="1">
        <f>Games[[#This Row],[PointsFor]]-Games[[#This Row],[PointsAgainst]]</f>
        <v>-15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0.47725799802585739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-18.001167732722166</v>
      </c>
      <c r="AB103" s="4">
        <f>Games[[#This Row],[PreGmRate]]+Games[[#This Row],[RatingChange]]</f>
        <v>1455.7275410373195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41801</v>
      </c>
      <c r="B104" s="2">
        <v>2014</v>
      </c>
      <c r="C104" s="2">
        <f>COUNTIFS(Games[Team],Games[[#This Row],[Team]],Games[Season],Games[[#This Row],[Season]],Games[Date],"&lt;=" &amp; Games[[#This Row],[Date]])</f>
        <v>11</v>
      </c>
      <c r="D104" s="2" t="s">
        <v>83</v>
      </c>
      <c r="E104" s="2" t="s">
        <v>84</v>
      </c>
      <c r="F104" s="1" t="s">
        <v>71</v>
      </c>
      <c r="G104" s="1" t="s">
        <v>69</v>
      </c>
      <c r="H104" s="1" t="s">
        <v>85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4" s="2">
        <f>Games[[#This Row],[DaysOff]]-Games[[#This Row],[OppDaysOff]]</f>
        <v>-3</v>
      </c>
      <c r="L104" s="2">
        <f>Games[[#This Row],[OppDaysOff]]-Games[[#This Row],[DaysOff]]</f>
        <v>3</v>
      </c>
      <c r="M104" s="1">
        <f>MAX(-16, MIN(16, Games[[#This Row],[RestDiff]]*8))</f>
        <v>-16</v>
      </c>
      <c r="N104" s="1">
        <f>MAX(-16, MIN(16, Games[[#This Row],[OppRestDiff]]*8))</f>
        <v>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1474.3725015309915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1499.5577452259774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0.30730956677793358</v>
      </c>
      <c r="R104" s="1">
        <v>68</v>
      </c>
      <c r="S104" s="1">
        <v>76</v>
      </c>
      <c r="T104" s="1">
        <v>0</v>
      </c>
      <c r="U104" s="1">
        <f>Games[[#This Row],[PointsFor]]-Games[[#This Row],[PointsAgainst]]</f>
        <v>-8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0.38033321442746137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74.349999999999994</v>
      </c>
      <c r="Z104" s="4">
        <f>Games[[#This Row],[K]]*Games[[#This Row],[POMult]]</f>
        <v>74.349999999999994</v>
      </c>
      <c r="AA104" s="4">
        <f>(Games[[#This Row],[Keff]]*Games[[#This Row],[MOVMult]])*(Games[[#This Row],[Result]]-Games[[#This Row],[ExpectedWin%]])</f>
        <v>-8.6900306287901294</v>
      </c>
      <c r="AB104" s="4">
        <f>Games[[#This Row],[PreGmRate]]+Games[[#This Row],[RatingChange]]</f>
        <v>1465.6824709022014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41801</v>
      </c>
      <c r="B105" s="2">
        <v>2014</v>
      </c>
      <c r="C105" s="2">
        <f>COUNTIFS(Games[Team],Games[[#This Row],[Team]],Games[Season],Games[[#This Row],[Season]],Games[Date],"&lt;=" &amp; Games[[#This Row],[Date]])</f>
        <v>9</v>
      </c>
      <c r="D105" s="2" t="s">
        <v>83</v>
      </c>
      <c r="E105" s="2" t="s">
        <v>84</v>
      </c>
      <c r="F105" s="1" t="s">
        <v>69</v>
      </c>
      <c r="G105" s="1" t="s">
        <v>71</v>
      </c>
      <c r="H105" s="1" t="s">
        <v>86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5" s="2">
        <f>Games[[#This Row],[DaysOff]]-Games[[#This Row],[OppDaysOff]]</f>
        <v>3</v>
      </c>
      <c r="L105" s="2">
        <f>Games[[#This Row],[OppDaysOff]]-Games[[#This Row],[DaysOff]]</f>
        <v>-3</v>
      </c>
      <c r="M105" s="1">
        <f>MAX(-16, MIN(16, Games[[#This Row],[RestDiff]]*8))</f>
        <v>16</v>
      </c>
      <c r="N105" s="1">
        <f>MAX(-16, MIN(16, Games[[#This Row],[OppRestDiff]]*8))</f>
        <v>-16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1499.5577452259774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1474.3725015309915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0.69269043322206647</v>
      </c>
      <c r="R105" s="1">
        <v>76</v>
      </c>
      <c r="S105" s="1">
        <v>68</v>
      </c>
      <c r="T105" s="1">
        <v>0</v>
      </c>
      <c r="U105" s="1">
        <f>Games[[#This Row],[PointsFor]]-Games[[#This Row],[PointsAgainst]]</f>
        <v>8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0.38033321442746137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8.7250946393972182</v>
      </c>
      <c r="AB105" s="4">
        <f>Games[[#This Row],[PreGmRate]]+Games[[#This Row],[RatingChange]]</f>
        <v>1508.2828398653746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41802</v>
      </c>
      <c r="B106" s="2">
        <v>2014</v>
      </c>
      <c r="C106" s="2">
        <f>COUNTIFS(Games[Team],Games[[#This Row],[Team]],Games[Season],Games[[#This Row],[Season]],Games[Date],"&lt;=" &amp; Games[[#This Row],[Date]])</f>
        <v>9</v>
      </c>
      <c r="D106" s="2" t="s">
        <v>83</v>
      </c>
      <c r="E106" s="2" t="s">
        <v>84</v>
      </c>
      <c r="F106" s="1" t="s">
        <v>40</v>
      </c>
      <c r="G106" s="1" t="s">
        <v>76</v>
      </c>
      <c r="H106" s="1" t="s">
        <v>85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6" s="2">
        <f>Games[[#This Row],[DaysOff]]-Games[[#This Row],[OppDaysOff]]</f>
        <v>-3</v>
      </c>
      <c r="L106" s="2">
        <f>Games[[#This Row],[OppDaysOff]]-Games[[#This Row],[DaysOff]]</f>
        <v>3</v>
      </c>
      <c r="M106" s="1">
        <f>MAX(-16, MIN(16, Games[[#This Row],[RestDiff]]*8))</f>
        <v>-16</v>
      </c>
      <c r="N106" s="1">
        <f>MAX(-16, MIN(16, Games[[#This Row],[OppRestDiff]]*8))</f>
        <v>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1556.1086802391558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1423.8778659419038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0.52334104213596677</v>
      </c>
      <c r="R106" s="1">
        <v>95</v>
      </c>
      <c r="S106" s="1">
        <v>96</v>
      </c>
      <c r="T106" s="1">
        <v>0</v>
      </c>
      <c r="U106" s="1">
        <f>Games[[#This Row],[PointsFor]]-Games[[#This Row],[PointsAgainst]]</f>
        <v>-1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0.21994357285071281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74.650000000000006</v>
      </c>
      <c r="Z106" s="4">
        <f>Games[[#This Row],[K]]*Games[[#This Row],[POMult]]</f>
        <v>74.650000000000006</v>
      </c>
      <c r="AA106" s="4">
        <f>(Games[[#This Row],[Keff]]*Games[[#This Row],[MOVMult]])*(Games[[#This Row],[Result]]-Games[[#This Row],[ExpectedWin%]])</f>
        <v>-8.5926254724906173</v>
      </c>
      <c r="AB106" s="4">
        <f>Games[[#This Row],[PreGmRate]]+Games[[#This Row],[RatingChange]]</f>
        <v>1547.5160547666651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41802</v>
      </c>
      <c r="B107" s="2">
        <v>2014</v>
      </c>
      <c r="C107" s="2">
        <f>COUNTIFS(Games[Team],Games[[#This Row],[Team]],Games[Season],Games[[#This Row],[Season]],Games[Date],"&lt;=" &amp; Games[[#This Row],[Date]])</f>
        <v>10</v>
      </c>
      <c r="D107" s="2" t="s">
        <v>83</v>
      </c>
      <c r="E107" s="2" t="s">
        <v>84</v>
      </c>
      <c r="F107" s="1" t="s">
        <v>76</v>
      </c>
      <c r="G107" s="1" t="s">
        <v>40</v>
      </c>
      <c r="H107" s="1" t="s">
        <v>86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3</v>
      </c>
      <c r="L107" s="2">
        <f>Games[[#This Row],[OppDaysOff]]-Games[[#This Row],[DaysOff]]</f>
        <v>-3</v>
      </c>
      <c r="M107" s="1">
        <f>MAX(-16, MIN(16, Games[[#This Row],[RestDiff]]*8))</f>
        <v>16</v>
      </c>
      <c r="N107" s="1">
        <f>MAX(-16, MIN(16, Games[[#This Row],[OppRestDiff]]*8))</f>
        <v>-16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1423.8778659419038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1556.1086802391558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0.47665895786403328</v>
      </c>
      <c r="R107" s="1">
        <v>96</v>
      </c>
      <c r="S107" s="1">
        <v>95</v>
      </c>
      <c r="T107" s="1">
        <v>0</v>
      </c>
      <c r="U107" s="1">
        <f>Games[[#This Row],[PointsFor]]-Games[[#This Row],[PointsAgainst]]</f>
        <v>1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0.21994357285071281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74.5</v>
      </c>
      <c r="Z107" s="4">
        <f>Games[[#This Row],[K]]*Games[[#This Row],[POMult]]</f>
        <v>74.5</v>
      </c>
      <c r="AA107" s="4">
        <f>(Games[[#This Row],[Keff]]*Games[[#This Row],[MOVMult]])*(Games[[#This Row],[Result]]-Games[[#This Row],[ExpectedWin%]])</f>
        <v>8.5753596476965974</v>
      </c>
      <c r="AB107" s="4">
        <f>Games[[#This Row],[PreGmRate]]+Games[[#This Row],[RatingChange]]</f>
        <v>1432.4532255896004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41803</v>
      </c>
      <c r="B108" s="2">
        <v>2014</v>
      </c>
      <c r="C108" s="2">
        <f>COUNTIFS(Games[Team],Games[[#This Row],[Team]],Games[Season],Games[[#This Row],[Season]],Games[Date],"&lt;=" &amp; Games[[#This Row],[Date]])</f>
        <v>10</v>
      </c>
      <c r="D108" s="2" t="s">
        <v>83</v>
      </c>
      <c r="E108" s="2" t="s">
        <v>84</v>
      </c>
      <c r="F108" s="1" t="s">
        <v>67</v>
      </c>
      <c r="G108" s="1" t="s">
        <v>79</v>
      </c>
      <c r="H108" s="1" t="s">
        <v>85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08" s="2">
        <f>Games[[#This Row],[DaysOff]]-Games[[#This Row],[OppDaysOff]]</f>
        <v>-1</v>
      </c>
      <c r="L108" s="2">
        <f>Games[[#This Row],[OppDaysOff]]-Games[[#This Row],[DaysOff]]</f>
        <v>1</v>
      </c>
      <c r="M108" s="1">
        <f>MAX(-16, MIN(16, Games[[#This Row],[RestDiff]]*8))</f>
        <v>-8</v>
      </c>
      <c r="N108" s="1">
        <f>MAX(-16, MIN(16, Games[[#This Row],[OppRestDiff]]*8))</f>
        <v>8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1677.5012071642732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1525.5601131992266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0.57419729991618451</v>
      </c>
      <c r="R108" s="1">
        <v>82</v>
      </c>
      <c r="S108" s="1">
        <v>85</v>
      </c>
      <c r="T108" s="1">
        <v>0</v>
      </c>
      <c r="U108" s="1">
        <f>Games[[#This Row],[PointsFor]]-Games[[#This Row],[PointsAgainst]]</f>
        <v>-3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0.25757056048734367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-11.018275867544961</v>
      </c>
      <c r="AB108" s="4">
        <f>Games[[#This Row],[PreGmRate]]+Games[[#This Row],[RatingChange]]</f>
        <v>1666.4829312967281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41803</v>
      </c>
      <c r="B109" s="2">
        <v>2014</v>
      </c>
      <c r="C109" s="2">
        <f>COUNTIFS(Games[Team],Games[[#This Row],[Team]],Games[Season],Games[[#This Row],[Season]],Games[Date],"&lt;=" &amp; Games[[#This Row],[Date]])</f>
        <v>9</v>
      </c>
      <c r="D109" s="2" t="s">
        <v>83</v>
      </c>
      <c r="E109" s="2" t="s">
        <v>84</v>
      </c>
      <c r="F109" s="1" t="s">
        <v>79</v>
      </c>
      <c r="G109" s="1" t="s">
        <v>67</v>
      </c>
      <c r="H109" s="1" t="s">
        <v>86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9" s="2">
        <f>Games[[#This Row],[DaysOff]]-Games[[#This Row],[OppDaysOff]]</f>
        <v>1</v>
      </c>
      <c r="L109" s="2">
        <f>Games[[#This Row],[OppDaysOff]]-Games[[#This Row],[DaysOff]]</f>
        <v>-1</v>
      </c>
      <c r="M109" s="1">
        <f>MAX(-16, MIN(16, Games[[#This Row],[RestDiff]]*8))</f>
        <v>8</v>
      </c>
      <c r="N109" s="1">
        <f>MAX(-16, MIN(16, Games[[#This Row],[OppRestDiff]]*8))</f>
        <v>-8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1525.5601131992266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1677.5012071642732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0.42580270008381554</v>
      </c>
      <c r="R109" s="1">
        <v>85</v>
      </c>
      <c r="S109" s="1">
        <v>82</v>
      </c>
      <c r="T109" s="1">
        <v>0</v>
      </c>
      <c r="U109" s="1">
        <f>Games[[#This Row],[PointsFor]]-Games[[#This Row],[PointsAgainst]]</f>
        <v>3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0.25757056048734367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11.04046031560042</v>
      </c>
      <c r="AB109" s="4">
        <f>Games[[#This Row],[PreGmRate]]+Games[[#This Row],[RatingChange]]</f>
        <v>1536.6005735148271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41803</v>
      </c>
      <c r="B110" s="2">
        <v>2014</v>
      </c>
      <c r="C110" s="2">
        <f>COUNTIFS(Games[Team],Games[[#This Row],[Team]],Games[Season],Games[[#This Row],[Season]],Games[Date],"&lt;=" &amp; Games[[#This Row],[Date]])</f>
        <v>11</v>
      </c>
      <c r="D110" s="2" t="s">
        <v>83</v>
      </c>
      <c r="E110" s="2" t="s">
        <v>84</v>
      </c>
      <c r="F110" s="1" t="s">
        <v>76</v>
      </c>
      <c r="G110" s="1" t="s">
        <v>60</v>
      </c>
      <c r="H110" s="1" t="s">
        <v>85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0" s="2">
        <f>Games[[#This Row],[DaysOff]]-Games[[#This Row],[OppDaysOff]]</f>
        <v>-2</v>
      </c>
      <c r="L110" s="2">
        <f>Games[[#This Row],[OppDaysOff]]-Games[[#This Row],[DaysOff]]</f>
        <v>2</v>
      </c>
      <c r="M110" s="1">
        <f>MAX(-16, MIN(16, Games[[#This Row],[RestDiff]]*8))</f>
        <v>-16</v>
      </c>
      <c r="N110" s="1">
        <f>MAX(-16, MIN(16, Games[[#This Row],[OppRestDiff]]*8))</f>
        <v>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1432.4532255896004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1413.3936274280704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0.36400251998220601</v>
      </c>
      <c r="R110" s="1">
        <v>83</v>
      </c>
      <c r="S110" s="1">
        <v>75</v>
      </c>
      <c r="T110" s="1">
        <v>0</v>
      </c>
      <c r="U110" s="1">
        <f>Games[[#This Row],[PointsFor]]-Games[[#This Row],[PointsAgainst]]</f>
        <v>8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0.38224434859981526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74.349999999999994</v>
      </c>
      <c r="Z110" s="4">
        <f>Games[[#This Row],[K]]*Games[[#This Row],[POMult]]</f>
        <v>74.349999999999994</v>
      </c>
      <c r="AA110" s="4">
        <f>(Games[[#This Row],[Keff]]*Games[[#This Row],[MOVMult]])*(Games[[#This Row],[Result]]-Games[[#This Row],[ExpectedWin%]])</f>
        <v>18.074963996940085</v>
      </c>
      <c r="AB110" s="4">
        <f>Games[[#This Row],[PreGmRate]]+Games[[#This Row],[RatingChange]]</f>
        <v>1450.5281895865405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41803</v>
      </c>
      <c r="B111" s="2">
        <v>2014</v>
      </c>
      <c r="C111" s="2">
        <f>COUNTIFS(Games[Team],Games[[#This Row],[Team]],Games[Season],Games[[#This Row],[Season]],Games[Date],"&lt;=" &amp; Games[[#This Row],[Date]])</f>
        <v>10</v>
      </c>
      <c r="D111" s="2" t="s">
        <v>83</v>
      </c>
      <c r="E111" s="2" t="s">
        <v>84</v>
      </c>
      <c r="F111" s="1" t="s">
        <v>60</v>
      </c>
      <c r="G111" s="1" t="s">
        <v>76</v>
      </c>
      <c r="H111" s="1" t="s">
        <v>86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1" s="2">
        <f>Games[[#This Row],[DaysOff]]-Games[[#This Row],[OppDaysOff]]</f>
        <v>2</v>
      </c>
      <c r="L111" s="2">
        <f>Games[[#This Row],[OppDaysOff]]-Games[[#This Row],[DaysOff]]</f>
        <v>-2</v>
      </c>
      <c r="M111" s="1">
        <f>MAX(-16, MIN(16, Games[[#This Row],[RestDiff]]*8))</f>
        <v>16</v>
      </c>
      <c r="N111" s="1">
        <f>MAX(-16, MIN(16, Games[[#This Row],[OppRestDiff]]*8))</f>
        <v>-16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1413.3936274280704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1432.4532255896004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0.63599748001779399</v>
      </c>
      <c r="R111" s="1">
        <v>75</v>
      </c>
      <c r="S111" s="1">
        <v>83</v>
      </c>
      <c r="T111" s="1">
        <v>0</v>
      </c>
      <c r="U111" s="1">
        <f>Games[[#This Row],[PointsFor]]-Games[[#This Row],[PointsAgainst]]</f>
        <v>-8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0.38224434859981526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-18.111429963309163</v>
      </c>
      <c r="AB111" s="4">
        <f>Games[[#This Row],[PreGmRate]]+Games[[#This Row],[RatingChange]]</f>
        <v>1395.2821974647613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41803</v>
      </c>
      <c r="B112" s="2">
        <v>2014</v>
      </c>
      <c r="C112" s="2">
        <f>COUNTIFS(Games[Team],Games[[#This Row],[Team]],Games[Season],Games[[#This Row],[Season]],Games[Date],"&lt;=" &amp; Games[[#This Row],[Date]])</f>
        <v>12</v>
      </c>
      <c r="D112" s="2" t="s">
        <v>83</v>
      </c>
      <c r="E112" s="2" t="s">
        <v>84</v>
      </c>
      <c r="F112" s="1" t="s">
        <v>71</v>
      </c>
      <c r="G112" s="1" t="s">
        <v>74</v>
      </c>
      <c r="H112" s="1" t="s">
        <v>85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12" s="2">
        <f>Games[[#This Row],[DaysOff]]-Games[[#This Row],[OppDaysOff]]</f>
        <v>-4</v>
      </c>
      <c r="L112" s="2">
        <f>Games[[#This Row],[OppDaysOff]]-Games[[#This Row],[DaysOff]]</f>
        <v>4</v>
      </c>
      <c r="M112" s="1">
        <f>MAX(-16, MIN(16, Games[[#This Row],[RestDiff]]*8))</f>
        <v>-16</v>
      </c>
      <c r="N112" s="1">
        <f>MAX(-16, MIN(16, Games[[#This Row],[OppRestDiff]]*8))</f>
        <v>16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1465.6824709022014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1464.2439671683928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0.34085890705039035</v>
      </c>
      <c r="R112" s="1">
        <v>79</v>
      </c>
      <c r="S112" s="1">
        <v>72</v>
      </c>
      <c r="T112" s="1">
        <v>0</v>
      </c>
      <c r="U112" s="1">
        <f>Games[[#This Row],[PointsFor]]-Games[[#This Row],[PointsAgainst]]</f>
        <v>7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0.36966403657309904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74.2</v>
      </c>
      <c r="Z112" s="4">
        <f>Games[[#This Row],[K]]*Games[[#This Row],[POMult]]</f>
        <v>74.2</v>
      </c>
      <c r="AA112" s="4">
        <f>(Games[[#This Row],[Keff]]*Games[[#This Row],[MOVMult]])*(Games[[#This Row],[Result]]-Games[[#This Row],[ExpectedWin%]])</f>
        <v>18.079628176149008</v>
      </c>
      <c r="AB112" s="4">
        <f>Games[[#This Row],[PreGmRate]]+Games[[#This Row],[RatingChange]]</f>
        <v>1483.7620990783505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41803</v>
      </c>
      <c r="B113" s="2">
        <v>2014</v>
      </c>
      <c r="C113" s="2">
        <f>COUNTIFS(Games[Team],Games[[#This Row],[Team]],Games[Season],Games[[#This Row],[Season]],Games[Date],"&lt;=" &amp; Games[[#This Row],[Date]])</f>
        <v>10</v>
      </c>
      <c r="D113" s="2" t="s">
        <v>83</v>
      </c>
      <c r="E113" s="2" t="s">
        <v>84</v>
      </c>
      <c r="F113" s="1" t="s">
        <v>74</v>
      </c>
      <c r="G113" s="1" t="s">
        <v>71</v>
      </c>
      <c r="H113" s="1" t="s">
        <v>86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5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4</v>
      </c>
      <c r="L113" s="2">
        <f>Games[[#This Row],[OppDaysOff]]-Games[[#This Row],[DaysOff]]</f>
        <v>-4</v>
      </c>
      <c r="M113" s="1">
        <f>MAX(-16, MIN(16, Games[[#This Row],[RestDiff]]*8))</f>
        <v>16</v>
      </c>
      <c r="N113" s="1">
        <f>MAX(-16, MIN(16, Games[[#This Row],[OppRestDiff]]*8))</f>
        <v>-16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1464.2439671683928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1465.6824709022014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0.65914109294960965</v>
      </c>
      <c r="R113" s="1">
        <v>72</v>
      </c>
      <c r="S113" s="1">
        <v>79</v>
      </c>
      <c r="T113" s="1">
        <v>0</v>
      </c>
      <c r="U113" s="1">
        <f>Games[[#This Row],[PointsFor]]-Games[[#This Row],[PointsAgainst]]</f>
        <v>-7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0.36966403657309904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-18.152726403276294</v>
      </c>
      <c r="AB113" s="4">
        <f>Games[[#This Row],[PreGmRate]]+Games[[#This Row],[RatingChange]]</f>
        <v>1446.0912407651165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41803</v>
      </c>
      <c r="B114" s="2">
        <v>2014</v>
      </c>
      <c r="C114" s="2">
        <f>COUNTIFS(Games[Team],Games[[#This Row],[Team]],Games[Season],Games[[#This Row],[Season]],Games[Date],"&lt;=" &amp; Games[[#This Row],[Date]])</f>
        <v>8</v>
      </c>
      <c r="D114" s="2" t="s">
        <v>83</v>
      </c>
      <c r="E114" s="2" t="s">
        <v>84</v>
      </c>
      <c r="F114" s="1" t="s">
        <v>63</v>
      </c>
      <c r="G114" s="1" t="s">
        <v>81</v>
      </c>
      <c r="H114" s="1" t="s">
        <v>85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2</v>
      </c>
      <c r="L114" s="2">
        <f>Games[[#This Row],[OppDaysOff]]-Games[[#This Row],[DaysOff]]</f>
        <v>-2</v>
      </c>
      <c r="M114" s="1">
        <f>MAX(-16, MIN(16, Games[[#This Row],[RestDiff]]*8))</f>
        <v>16</v>
      </c>
      <c r="N114" s="1">
        <f>MAX(-16, MIN(16, Games[[#This Row],[OppRestDiff]]*8))</f>
        <v>-16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1553.2105647530582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1444.9372884794054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0.58028294563148042</v>
      </c>
      <c r="R114" s="1">
        <v>67</v>
      </c>
      <c r="S114" s="1">
        <v>69</v>
      </c>
      <c r="T114" s="1">
        <v>0</v>
      </c>
      <c r="U114" s="1">
        <f>Games[[#This Row],[PointsFor]]-Games[[#This Row],[PointsAgainst]]</f>
        <v>-2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0.24567465437119751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74.8</v>
      </c>
      <c r="Z114" s="4">
        <f>Games[[#This Row],[K]]*Games[[#This Row],[POMult]]</f>
        <v>74.8</v>
      </c>
      <c r="AA114" s="4">
        <f>(Games[[#This Row],[Keff]]*Games[[#This Row],[MOVMult]])*(Games[[#This Row],[Result]]-Games[[#This Row],[ExpectedWin%]])</f>
        <v>-10.663548745492474</v>
      </c>
      <c r="AB114" s="4">
        <f>Games[[#This Row],[PreGmRate]]+Games[[#This Row],[RatingChange]]</f>
        <v>1542.5470160075656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41803</v>
      </c>
      <c r="B115" s="2">
        <v>2014</v>
      </c>
      <c r="C115" s="2">
        <f>COUNTIFS(Games[Team],Games[[#This Row],[Team]],Games[Season],Games[[#This Row],[Season]],Games[Date],"&lt;=" &amp; Games[[#This Row],[Date]])</f>
        <v>8</v>
      </c>
      <c r="D115" s="2" t="s">
        <v>83</v>
      </c>
      <c r="E115" s="2" t="s">
        <v>84</v>
      </c>
      <c r="F115" s="1" t="s">
        <v>81</v>
      </c>
      <c r="G115" s="1" t="s">
        <v>63</v>
      </c>
      <c r="H115" s="1" t="s">
        <v>86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5" s="2">
        <f>Games[[#This Row],[DaysOff]]-Games[[#This Row],[OppDaysOff]]</f>
        <v>-2</v>
      </c>
      <c r="L115" s="2">
        <f>Games[[#This Row],[OppDaysOff]]-Games[[#This Row],[DaysOff]]</f>
        <v>2</v>
      </c>
      <c r="M115" s="1">
        <f>MAX(-16, MIN(16, Games[[#This Row],[RestDiff]]*8))</f>
        <v>-16</v>
      </c>
      <c r="N115" s="1">
        <f>MAX(-16, MIN(16, Games[[#This Row],[OppRestDiff]]*8))</f>
        <v>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1444.9372884794054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1553.2105647530582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0.41971705436851958</v>
      </c>
      <c r="R115" s="1">
        <v>69</v>
      </c>
      <c r="S115" s="1">
        <v>67</v>
      </c>
      <c r="T115" s="1">
        <v>0</v>
      </c>
      <c r="U115" s="1">
        <f>Games[[#This Row],[PointsFor]]-Games[[#This Row],[PointsAgainst]]</f>
        <v>2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0.24567465437119751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74.8</v>
      </c>
      <c r="Z115" s="4">
        <f>Games[[#This Row],[K]]*Games[[#This Row],[POMult]]</f>
        <v>74.8</v>
      </c>
      <c r="AA115" s="4">
        <f>(Games[[#This Row],[Keff]]*Games[[#This Row],[MOVMult]])*(Games[[#This Row],[Result]]-Games[[#This Row],[ExpectedWin%]])</f>
        <v>10.663548745492474</v>
      </c>
      <c r="AB115" s="4">
        <f>Games[[#This Row],[PreGmRate]]+Games[[#This Row],[RatingChange]]</f>
        <v>1455.600837224898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41803</v>
      </c>
      <c r="B116" s="2">
        <v>2014</v>
      </c>
      <c r="C116" s="2">
        <f>COUNTIFS(Games[Team],Games[[#This Row],[Team]],Games[Season],Games[[#This Row],[Season]],Games[Date],"&lt;=" &amp; Games[[#This Row],[Date]])</f>
        <v>10</v>
      </c>
      <c r="D116" s="2" t="s">
        <v>83</v>
      </c>
      <c r="E116" s="2" t="s">
        <v>84</v>
      </c>
      <c r="F116" s="1" t="s">
        <v>77</v>
      </c>
      <c r="G116" s="1" t="s">
        <v>65</v>
      </c>
      <c r="H116" s="1" t="s">
        <v>85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1513.339672105619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1455.7275410373195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0.46209765537703656</v>
      </c>
      <c r="R116" s="1">
        <v>68</v>
      </c>
      <c r="S116" s="1">
        <v>79</v>
      </c>
      <c r="T116" s="1">
        <v>0</v>
      </c>
      <c r="U116" s="1">
        <f>Games[[#This Row],[PointsFor]]-Games[[#This Row],[PointsAgainst]]</f>
        <v>-11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0.41968676292968526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-14.448252051122639</v>
      </c>
      <c r="AB116" s="4">
        <f>Games[[#This Row],[PreGmRate]]+Games[[#This Row],[RatingChange]]</f>
        <v>1498.8914200544964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41803</v>
      </c>
      <c r="B117" s="2">
        <v>2014</v>
      </c>
      <c r="C117" s="2">
        <f>COUNTIFS(Games[Team],Games[[#This Row],[Team]],Games[Season],Games[[#This Row],[Season]],Games[Date],"&lt;=" &amp; Games[[#This Row],[Date]])</f>
        <v>10</v>
      </c>
      <c r="D117" s="2" t="s">
        <v>83</v>
      </c>
      <c r="E117" s="2" t="s">
        <v>84</v>
      </c>
      <c r="F117" s="1" t="s">
        <v>65</v>
      </c>
      <c r="G117" s="1" t="s">
        <v>77</v>
      </c>
      <c r="H117" s="1" t="s">
        <v>86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1455.7275410373195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1513.339672105619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0.53790234462296349</v>
      </c>
      <c r="R117" s="1">
        <v>79</v>
      </c>
      <c r="S117" s="1">
        <v>68</v>
      </c>
      <c r="T117" s="1">
        <v>0</v>
      </c>
      <c r="U117" s="1">
        <f>Games[[#This Row],[PointsFor]]-Games[[#This Row],[PointsAgainst]]</f>
        <v>11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0.41968676292968526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14.448252051122637</v>
      </c>
      <c r="AB117" s="4">
        <f>Games[[#This Row],[PreGmRate]]+Games[[#This Row],[RatingChange]]</f>
        <v>1470.1757930884421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41804</v>
      </c>
      <c r="B118" s="2">
        <v>2014</v>
      </c>
      <c r="C118" s="2">
        <f>COUNTIFS(Games[Team],Games[[#This Row],[Team]],Games[Season],Games[[#This Row],[Season]],Games[Date],"&lt;=" &amp; Games[[#This Row],[Date]])</f>
        <v>9</v>
      </c>
      <c r="D118" s="2" t="s">
        <v>83</v>
      </c>
      <c r="E118" s="2" t="s">
        <v>84</v>
      </c>
      <c r="F118" s="1" t="s">
        <v>63</v>
      </c>
      <c r="G118" s="1" t="s">
        <v>74</v>
      </c>
      <c r="H118" s="1" t="s">
        <v>85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1542.5470160075656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1446.0912407651165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0.51791762585098144</v>
      </c>
      <c r="R118" s="1">
        <v>74</v>
      </c>
      <c r="S118" s="1">
        <v>101</v>
      </c>
      <c r="T118" s="1">
        <v>0</v>
      </c>
      <c r="U118" s="1">
        <f>Games[[#This Row],[PointsFor]]-Games[[#This Row],[PointsAgainst]]</f>
        <v>-27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0.61706694148544516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-23.857381953531277</v>
      </c>
      <c r="AB118" s="4">
        <f>Games[[#This Row],[PreGmRate]]+Games[[#This Row],[RatingChange]]</f>
        <v>1518.6896340540343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41804</v>
      </c>
      <c r="B119" s="2">
        <v>2014</v>
      </c>
      <c r="C119" s="2">
        <f>COUNTIFS(Games[Team],Games[[#This Row],[Team]],Games[Season],Games[[#This Row],[Season]],Games[Date],"&lt;=" &amp; Games[[#This Row],[Date]])</f>
        <v>11</v>
      </c>
      <c r="D119" s="2" t="s">
        <v>83</v>
      </c>
      <c r="E119" s="2" t="s">
        <v>84</v>
      </c>
      <c r="F119" s="1" t="s">
        <v>74</v>
      </c>
      <c r="G119" s="1" t="s">
        <v>63</v>
      </c>
      <c r="H119" s="1" t="s">
        <v>86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1446.0912407651165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1542.5470160075656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0.48208237414901861</v>
      </c>
      <c r="R119" s="1">
        <v>101</v>
      </c>
      <c r="S119" s="1">
        <v>74</v>
      </c>
      <c r="T119" s="1">
        <v>0</v>
      </c>
      <c r="U119" s="1">
        <f>Games[[#This Row],[PointsFor]]-Games[[#This Row],[PointsAgainst]]</f>
        <v>27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0.61706694148544516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74.349999999999994</v>
      </c>
      <c r="Z119" s="4">
        <f>Games[[#This Row],[K]]*Games[[#This Row],[POMult]]</f>
        <v>74.349999999999994</v>
      </c>
      <c r="AA119" s="4">
        <f>(Games[[#This Row],[Keff]]*Games[[#This Row],[MOVMult]])*(Games[[#This Row],[Result]]-Games[[#This Row],[ExpectedWin%]])</f>
        <v>23.761504999933695</v>
      </c>
      <c r="AB119" s="4">
        <f>Games[[#This Row],[PreGmRate]]+Games[[#This Row],[RatingChange]]</f>
        <v>1469.8527457650503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41805</v>
      </c>
      <c r="B120" s="2">
        <v>2014</v>
      </c>
      <c r="C120" s="2">
        <f>COUNTIFS(Games[Team],Games[[#This Row],[Team]],Games[Season],Games[[#This Row],[Season]],Games[Date],"&lt;=" &amp; Games[[#This Row],[Date]])</f>
        <v>11</v>
      </c>
      <c r="D120" s="2" t="s">
        <v>83</v>
      </c>
      <c r="E120" s="2" t="s">
        <v>84</v>
      </c>
      <c r="F120" s="1" t="s">
        <v>60</v>
      </c>
      <c r="G120" s="1" t="s">
        <v>76</v>
      </c>
      <c r="H120" s="1" t="s">
        <v>85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1395.2821974647613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1450.5281895865405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0.30969098566829317</v>
      </c>
      <c r="R120" s="1">
        <v>72</v>
      </c>
      <c r="S120" s="1">
        <v>76</v>
      </c>
      <c r="T120" s="1">
        <v>0</v>
      </c>
      <c r="U120" s="1">
        <f>Games[[#This Row],[PointsFor]]-Games[[#This Row],[PointsAgainst]]</f>
        <v>-4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0.29772593119612079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-6.8552958077260406</v>
      </c>
      <c r="AB120" s="4">
        <f>Games[[#This Row],[PreGmRate]]+Games[[#This Row],[RatingChange]]</f>
        <v>1388.4269016570354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41805</v>
      </c>
      <c r="B121" s="2">
        <v>2014</v>
      </c>
      <c r="C121" s="2">
        <f>COUNTIFS(Games[Team],Games[[#This Row],[Team]],Games[Season],Games[[#This Row],[Season]],Games[Date],"&lt;=" &amp; Games[[#This Row],[Date]])</f>
        <v>12</v>
      </c>
      <c r="D121" s="2" t="s">
        <v>83</v>
      </c>
      <c r="E121" s="2" t="s">
        <v>84</v>
      </c>
      <c r="F121" s="1" t="s">
        <v>76</v>
      </c>
      <c r="G121" s="1" t="s">
        <v>60</v>
      </c>
      <c r="H121" s="1" t="s">
        <v>86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1450.5281895865405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1395.2821974647613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0.69030901433170677</v>
      </c>
      <c r="R121" s="1">
        <v>76</v>
      </c>
      <c r="S121" s="1">
        <v>72</v>
      </c>
      <c r="T121" s="1">
        <v>0</v>
      </c>
      <c r="U121" s="1">
        <f>Games[[#This Row],[PointsFor]]-Games[[#This Row],[PointsAgainst]]</f>
        <v>4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0.29772593119612079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74.2</v>
      </c>
      <c r="Z121" s="4">
        <f>Games[[#This Row],[K]]*Games[[#This Row],[POMult]]</f>
        <v>74.2</v>
      </c>
      <c r="AA121" s="4">
        <f>(Games[[#This Row],[Keff]]*Games[[#This Row],[MOVMult]])*(Games[[#This Row],[Result]]-Games[[#This Row],[ExpectedWin%]])</f>
        <v>6.8414653521623725</v>
      </c>
      <c r="AB121" s="4">
        <f>Games[[#This Row],[PreGmRate]]+Games[[#This Row],[RatingChange]]</f>
        <v>1457.369654938703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41805</v>
      </c>
      <c r="B122" s="2">
        <v>2014</v>
      </c>
      <c r="C122" s="2">
        <f>COUNTIFS(Games[Team],Games[[#This Row],[Team]],Games[Season],Games[[#This Row],[Season]],Games[Date],"&lt;=" &amp; Games[[#This Row],[Date]])</f>
        <v>10</v>
      </c>
      <c r="D122" s="2" t="s">
        <v>83</v>
      </c>
      <c r="E122" s="2" t="s">
        <v>84</v>
      </c>
      <c r="F122" s="1" t="s">
        <v>40</v>
      </c>
      <c r="G122" s="1" t="s">
        <v>67</v>
      </c>
      <c r="H122" s="1" t="s">
        <v>85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2" s="2">
        <f>Games[[#This Row],[DaysOff]]-Games[[#This Row],[OppDaysOff]]</f>
        <v>1</v>
      </c>
      <c r="L122" s="2">
        <f>Games[[#This Row],[OppDaysOff]]-Games[[#This Row],[DaysOff]]</f>
        <v>-1</v>
      </c>
      <c r="M122" s="1">
        <f>MAX(-16, MIN(16, Games[[#This Row],[RestDiff]]*8))</f>
        <v>8</v>
      </c>
      <c r="N122" s="1">
        <f>MAX(-16, MIN(16, Games[[#This Row],[OppRestDiff]]*8))</f>
        <v>-8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1547.5160547666651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1666.4829312967281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0.25421293959892788</v>
      </c>
      <c r="R122" s="1">
        <v>80</v>
      </c>
      <c r="S122" s="1">
        <v>72</v>
      </c>
      <c r="T122" s="1">
        <v>0</v>
      </c>
      <c r="U122" s="1">
        <f>Games[[#This Row],[PointsFor]]-Games[[#This Row],[PointsAgainst]]</f>
        <v>8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0.35329063246038656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19.629228877615112</v>
      </c>
      <c r="AB122" s="4">
        <f>Games[[#This Row],[PreGmRate]]+Games[[#This Row],[RatingChange]]</f>
        <v>1567.1452836442802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41805</v>
      </c>
      <c r="B123" s="2">
        <v>2014</v>
      </c>
      <c r="C123" s="2">
        <f>COUNTIFS(Games[Team],Games[[#This Row],[Team]],Games[Season],Games[[#This Row],[Season]],Games[Date],"&lt;=" &amp; Games[[#This Row],[Date]])</f>
        <v>11</v>
      </c>
      <c r="D123" s="2" t="s">
        <v>83</v>
      </c>
      <c r="E123" s="2" t="s">
        <v>84</v>
      </c>
      <c r="F123" s="1" t="s">
        <v>67</v>
      </c>
      <c r="G123" s="1" t="s">
        <v>40</v>
      </c>
      <c r="H123" s="1" t="s">
        <v>86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-1</v>
      </c>
      <c r="L123" s="2">
        <f>Games[[#This Row],[OppDaysOff]]-Games[[#This Row],[DaysOff]]</f>
        <v>1</v>
      </c>
      <c r="M123" s="1">
        <f>MAX(-16, MIN(16, Games[[#This Row],[RestDiff]]*8))</f>
        <v>-8</v>
      </c>
      <c r="N123" s="1">
        <f>MAX(-16, MIN(16, Games[[#This Row],[OppRestDiff]]*8))</f>
        <v>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1666.4829312967281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1547.5160547666651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0.74578706040107223</v>
      </c>
      <c r="R123" s="1">
        <v>72</v>
      </c>
      <c r="S123" s="1">
        <v>80</v>
      </c>
      <c r="T123" s="1">
        <v>0</v>
      </c>
      <c r="U123" s="1">
        <f>Games[[#This Row],[PointsFor]]-Games[[#This Row],[PointsAgainst]]</f>
        <v>-8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0.35329063246038656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-19.589706940277633</v>
      </c>
      <c r="AB123" s="4">
        <f>Games[[#This Row],[PreGmRate]]+Games[[#This Row],[RatingChange]]</f>
        <v>1646.8932243564504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41805</v>
      </c>
      <c r="B124" s="2">
        <v>2014</v>
      </c>
      <c r="C124" s="2">
        <f>COUNTIFS(Games[Team],Games[[#This Row],[Team]],Games[Season],Games[[#This Row],[Season]],Games[Date],"&lt;=" &amp; Games[[#This Row],[Date]])</f>
        <v>13</v>
      </c>
      <c r="D124" s="2" t="s">
        <v>83</v>
      </c>
      <c r="E124" s="2" t="s">
        <v>84</v>
      </c>
      <c r="F124" s="1" t="s">
        <v>71</v>
      </c>
      <c r="G124" s="1" t="s">
        <v>81</v>
      </c>
      <c r="H124" s="1" t="s">
        <v>85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1483.7620990783505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1455.600837224898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0.42032640463589732</v>
      </c>
      <c r="R124" s="1">
        <v>79</v>
      </c>
      <c r="S124" s="1">
        <v>85</v>
      </c>
      <c r="T124" s="1">
        <v>0</v>
      </c>
      <c r="U124" s="1">
        <f>Games[[#This Row],[PointsFor]]-Games[[#This Row],[PointsAgainst]]</f>
        <v>-6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0.34322602935141988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74.05</v>
      </c>
      <c r="Z124" s="4">
        <f>Games[[#This Row],[K]]*Games[[#This Row],[POMult]]</f>
        <v>74.05</v>
      </c>
      <c r="AA124" s="4">
        <f>(Games[[#This Row],[Keff]]*Games[[#This Row],[MOVMult]])*(Games[[#This Row],[Result]]-Games[[#This Row],[ExpectedWin%]])</f>
        <v>-10.682968602355295</v>
      </c>
      <c r="AB124" s="4">
        <f>Games[[#This Row],[PreGmRate]]+Games[[#This Row],[RatingChange]]</f>
        <v>1473.0791304759953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41805</v>
      </c>
      <c r="B125" s="2">
        <v>2014</v>
      </c>
      <c r="C125" s="2">
        <f>COUNTIFS(Games[Team],Games[[#This Row],[Team]],Games[Season],Games[[#This Row],[Season]],Games[Date],"&lt;=" &amp; Games[[#This Row],[Date]])</f>
        <v>9</v>
      </c>
      <c r="D125" s="2" t="s">
        <v>83</v>
      </c>
      <c r="E125" s="2" t="s">
        <v>84</v>
      </c>
      <c r="F125" s="1" t="s">
        <v>81</v>
      </c>
      <c r="G125" s="1" t="s">
        <v>71</v>
      </c>
      <c r="H125" s="1" t="s">
        <v>86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1455.600837224898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1483.7620990783505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0.57967359536410268</v>
      </c>
      <c r="R125" s="1">
        <v>85</v>
      </c>
      <c r="S125" s="1">
        <v>79</v>
      </c>
      <c r="T125" s="1">
        <v>0</v>
      </c>
      <c r="U125" s="1">
        <f>Games[[#This Row],[PointsFor]]-Games[[#This Row],[PointsAgainst]]</f>
        <v>6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0.34322602935141988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74.650000000000006</v>
      </c>
      <c r="Z125" s="4">
        <f>Games[[#This Row],[K]]*Games[[#This Row],[POMult]]</f>
        <v>74.650000000000006</v>
      </c>
      <c r="AA125" s="4">
        <f>(Games[[#This Row],[Keff]]*Games[[#This Row],[MOVMult]])*(Games[[#This Row],[Result]]-Games[[#This Row],[ExpectedWin%]])</f>
        <v>10.76952878009214</v>
      </c>
      <c r="AB125" s="4">
        <f>Games[[#This Row],[PreGmRate]]+Games[[#This Row],[RatingChange]]</f>
        <v>1466.37036600499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41805</v>
      </c>
      <c r="B126" s="2">
        <v>2014</v>
      </c>
      <c r="C126" s="2">
        <f>COUNTIFS(Games[Team],Games[[#This Row],[Team]],Games[Season],Games[[#This Row],[Season]],Games[Date],"&lt;=" &amp; Games[[#This Row],[Date]])</f>
        <v>10</v>
      </c>
      <c r="D126" s="2" t="s">
        <v>83</v>
      </c>
      <c r="E126" s="2" t="s">
        <v>84</v>
      </c>
      <c r="F126" s="1" t="s">
        <v>79</v>
      </c>
      <c r="G126" s="1" t="s">
        <v>65</v>
      </c>
      <c r="H126" s="1" t="s">
        <v>85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1536.6005735148271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1470.1757930884421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0.47472877769179361</v>
      </c>
      <c r="R126" s="1">
        <v>75</v>
      </c>
      <c r="S126" s="1">
        <v>67</v>
      </c>
      <c r="T126" s="1">
        <v>0</v>
      </c>
      <c r="U126" s="1">
        <f>Games[[#This Row],[PointsFor]]-Games[[#This Row],[PointsAgainst]]</f>
        <v>8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0.36794813968084156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74.5</v>
      </c>
      <c r="Z126" s="4">
        <f>Games[[#This Row],[K]]*Games[[#This Row],[POMult]]</f>
        <v>74.5</v>
      </c>
      <c r="AA126" s="4">
        <f>(Games[[#This Row],[Keff]]*Games[[#This Row],[MOVMult]])*(Games[[#This Row],[Result]]-Games[[#This Row],[ExpectedWin%]])</f>
        <v>14.398806396175878</v>
      </c>
      <c r="AB126" s="4">
        <f>Games[[#This Row],[PreGmRate]]+Games[[#This Row],[RatingChange]]</f>
        <v>1550.999379911003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41805</v>
      </c>
      <c r="B127" s="2">
        <v>2014</v>
      </c>
      <c r="C127" s="2">
        <f>COUNTIFS(Games[Team],Games[[#This Row],[Team]],Games[Season],Games[[#This Row],[Season]],Games[Date],"&lt;=" &amp; Games[[#This Row],[Date]])</f>
        <v>11</v>
      </c>
      <c r="D127" s="2" t="s">
        <v>83</v>
      </c>
      <c r="E127" s="2" t="s">
        <v>84</v>
      </c>
      <c r="F127" s="1" t="s">
        <v>65</v>
      </c>
      <c r="G127" s="1" t="s">
        <v>79</v>
      </c>
      <c r="H127" s="1" t="s">
        <v>86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1470.1757930884421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1536.6005735148271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0.52527122230820633</v>
      </c>
      <c r="R127" s="1">
        <v>67</v>
      </c>
      <c r="S127" s="1">
        <v>75</v>
      </c>
      <c r="T127" s="1">
        <v>0</v>
      </c>
      <c r="U127" s="1">
        <f>Games[[#This Row],[PointsFor]]-Games[[#This Row],[PointsAgainst]]</f>
        <v>-8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0.36794813968084156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-14.369815510814449</v>
      </c>
      <c r="AB127" s="4">
        <f>Games[[#This Row],[PreGmRate]]+Games[[#This Row],[RatingChange]]</f>
        <v>1455.8059775776276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41807</v>
      </c>
      <c r="B128" s="2">
        <v>2014</v>
      </c>
      <c r="C128" s="2">
        <f>COUNTIFS(Games[Team],Games[[#This Row],[Team]],Games[Season],Games[[#This Row],[Season]],Games[Date],"&lt;=" &amp; Games[[#This Row],[Date]])</f>
        <v>10</v>
      </c>
      <c r="D128" s="2" t="s">
        <v>83</v>
      </c>
      <c r="E128" s="2" t="s">
        <v>84</v>
      </c>
      <c r="F128" s="1" t="s">
        <v>69</v>
      </c>
      <c r="G128" s="1" t="s">
        <v>76</v>
      </c>
      <c r="H128" s="1" t="s">
        <v>85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5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4</v>
      </c>
      <c r="L128" s="2">
        <f>Games[[#This Row],[OppDaysOff]]-Games[[#This Row],[DaysOff]]</f>
        <v>-4</v>
      </c>
      <c r="M128" s="1">
        <f>MAX(-16, MIN(16, Games[[#This Row],[RestDiff]]*8))</f>
        <v>16</v>
      </c>
      <c r="N128" s="1">
        <f>MAX(-16, MIN(16, Games[[#This Row],[OppRestDiff]]*8))</f>
        <v>-16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1508.2828398653746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1457.369654938703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0.49843595248474093</v>
      </c>
      <c r="R128" s="1">
        <v>67</v>
      </c>
      <c r="S128" s="1">
        <v>89</v>
      </c>
      <c r="T128" s="1">
        <v>0</v>
      </c>
      <c r="U128" s="1">
        <f>Games[[#This Row],[PointsFor]]-Games[[#This Row],[PointsAgainst]]</f>
        <v>-22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0.57755199504636978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-21.446514567649778</v>
      </c>
      <c r="AB128" s="4">
        <f>Games[[#This Row],[PreGmRate]]+Games[[#This Row],[RatingChange]]</f>
        <v>1486.8363252977249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41807</v>
      </c>
      <c r="B129" s="2">
        <v>2014</v>
      </c>
      <c r="C129" s="2">
        <f>COUNTIFS(Games[Team],Games[[#This Row],[Team]],Games[Season],Games[[#This Row],[Season]],Games[Date],"&lt;=" &amp; Games[[#This Row],[Date]])</f>
        <v>13</v>
      </c>
      <c r="D129" s="2" t="s">
        <v>83</v>
      </c>
      <c r="E129" s="2" t="s">
        <v>84</v>
      </c>
      <c r="F129" s="1" t="s">
        <v>76</v>
      </c>
      <c r="G129" s="1" t="s">
        <v>69</v>
      </c>
      <c r="H129" s="1" t="s">
        <v>86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29" s="2">
        <f>Games[[#This Row],[DaysOff]]-Games[[#This Row],[OppDaysOff]]</f>
        <v>-4</v>
      </c>
      <c r="L129" s="2">
        <f>Games[[#This Row],[OppDaysOff]]-Games[[#This Row],[DaysOff]]</f>
        <v>4</v>
      </c>
      <c r="M129" s="1">
        <f>MAX(-16, MIN(16, Games[[#This Row],[RestDiff]]*8))</f>
        <v>-16</v>
      </c>
      <c r="N129" s="1">
        <f>MAX(-16, MIN(16, Games[[#This Row],[OppRestDiff]]*8))</f>
        <v>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1457.369654938703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1508.2828398653746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0.50156404751525907</v>
      </c>
      <c r="R129" s="1">
        <v>89</v>
      </c>
      <c r="S129" s="1">
        <v>67</v>
      </c>
      <c r="T129" s="1">
        <v>0</v>
      </c>
      <c r="U129" s="1">
        <f>Games[[#This Row],[PointsFor]]-Games[[#This Row],[PointsAgainst]]</f>
        <v>22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0.57755199504636978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74.05</v>
      </c>
      <c r="Z129" s="4">
        <f>Games[[#This Row],[K]]*Games[[#This Row],[POMult]]</f>
        <v>74.05</v>
      </c>
      <c r="AA129" s="4">
        <f>(Games[[#This Row],[Keff]]*Games[[#This Row],[MOVMult]])*(Games[[#This Row],[Result]]-Games[[#This Row],[ExpectedWin%]])</f>
        <v>21.316971862207598</v>
      </c>
      <c r="AB129" s="4">
        <f>Games[[#This Row],[PreGmRate]]+Games[[#This Row],[RatingChange]]</f>
        <v>1478.6866268009105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41807</v>
      </c>
      <c r="B130" s="2">
        <v>2014</v>
      </c>
      <c r="C130" s="2">
        <f>COUNTIFS(Games[Team],Games[[#This Row],[Team]],Games[Season],Games[[#This Row],[Season]],Games[Date],"&lt;=" &amp; Games[[#This Row],[Date]])</f>
        <v>12</v>
      </c>
      <c r="D130" s="2" t="s">
        <v>83</v>
      </c>
      <c r="E130" s="2" t="s">
        <v>84</v>
      </c>
      <c r="F130" s="1" t="s">
        <v>67</v>
      </c>
      <c r="G130" s="1" t="s">
        <v>63</v>
      </c>
      <c r="H130" s="1" t="s">
        <v>85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-1</v>
      </c>
      <c r="L130" s="2">
        <f>Games[[#This Row],[OppDaysOff]]-Games[[#This Row],[DaysOff]]</f>
        <v>1</v>
      </c>
      <c r="M130" s="1">
        <f>MAX(-16, MIN(16, Games[[#This Row],[RestDiff]]*8))</f>
        <v>-8</v>
      </c>
      <c r="N130" s="1">
        <f>MAX(-16, MIN(16, Games[[#This Row],[OppRestDiff]]*8))</f>
        <v>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1646.8932243564504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1518.6896340540343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0.54049930986147909</v>
      </c>
      <c r="R130" s="1">
        <v>94</v>
      </c>
      <c r="S130" s="1">
        <v>77</v>
      </c>
      <c r="T130" s="1">
        <v>0</v>
      </c>
      <c r="U130" s="1">
        <f>Games[[#This Row],[PointsFor]]-Games[[#This Row],[PointsAgainst]]</f>
        <v>17</v>
      </c>
      <c r="V130" s="1">
        <f>IF(Games[[#This Row],[MOV]]&gt;0,1,IF(Games[[#This Row],[MOV]]=0,0.5,0))</f>
        <v>1</v>
      </c>
      <c r="W130" s="4">
        <f>((ABS(Games[[#This Row],[MOV]])+5)^0.6)/(12+0.01*(ABS(Games[[#This Row],[PreGmRate]]-Games[[#This Row],[OppPreGmRate]])))*IF(Games[[#This Row],[OT]]=1,0.9,1)</f>
        <v>0.4810486039665951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74.2</v>
      </c>
      <c r="Z130" s="4">
        <f>Games[[#This Row],[K]]*Games[[#This Row],[POMult]]</f>
        <v>74.2</v>
      </c>
      <c r="AA130" s="4">
        <f>(Games[[#This Row],[Keff]]*Games[[#This Row],[MOVMult]])*(Games[[#This Row],[Result]]-Games[[#This Row],[ExpectedWin%]])</f>
        <v>16.401328681051428</v>
      </c>
      <c r="AB130" s="4">
        <f>Games[[#This Row],[PreGmRate]]+Games[[#This Row],[RatingChange]]</f>
        <v>1663.2945530375018</v>
      </c>
      <c r="AC130" s="2">
        <f>IF(Games[[#This Row],[Type]]="R",IF(Games[[#This Row],[Result]]&gt;0.5,1,0),0)</f>
        <v>1</v>
      </c>
      <c r="AD130" s="2">
        <f>IF(Games[[#This Row],[Type]]="R",IF(Games[[#This Row],[Result]]&lt;0.5,1,0),0)</f>
        <v>0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41807</v>
      </c>
      <c r="B131" s="2">
        <v>2014</v>
      </c>
      <c r="C131" s="2">
        <f>COUNTIFS(Games[Team],Games[[#This Row],[Team]],Games[Season],Games[[#This Row],[Season]],Games[Date],"&lt;=" &amp; Games[[#This Row],[Date]])</f>
        <v>10</v>
      </c>
      <c r="D131" s="2" t="s">
        <v>83</v>
      </c>
      <c r="E131" s="2" t="s">
        <v>84</v>
      </c>
      <c r="F131" s="1" t="s">
        <v>63</v>
      </c>
      <c r="G131" s="1" t="s">
        <v>67</v>
      </c>
      <c r="H131" s="1" t="s">
        <v>86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1</v>
      </c>
      <c r="L131" s="2">
        <f>Games[[#This Row],[OppDaysOff]]-Games[[#This Row],[DaysOff]]</f>
        <v>-1</v>
      </c>
      <c r="M131" s="1">
        <f>MAX(-16, MIN(16, Games[[#This Row],[RestDiff]]*8))</f>
        <v>8</v>
      </c>
      <c r="N131" s="1">
        <f>MAX(-16, MIN(16, Games[[#This Row],[OppRestDiff]]*8))</f>
        <v>-8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1518.6896340540343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1646.8932243564504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0.45950069013852091</v>
      </c>
      <c r="R131" s="1">
        <v>77</v>
      </c>
      <c r="S131" s="1">
        <v>94</v>
      </c>
      <c r="T131" s="1">
        <v>0</v>
      </c>
      <c r="U131" s="1">
        <f>Games[[#This Row],[PointsFor]]-Games[[#This Row],[PointsAgainst]]</f>
        <v>-17</v>
      </c>
      <c r="V131" s="1">
        <f>IF(Games[[#This Row],[MOV]]&gt;0,1,IF(Games[[#This Row],[MOV]]=0,0.5,0))</f>
        <v>0</v>
      </c>
      <c r="W131" s="4">
        <f>((ABS(Games[[#This Row],[MOV]])+5)^0.6)/(12+0.01*(ABS(Games[[#This Row],[PreGmRate]]-Games[[#This Row],[OppPreGmRate]])))*IF(Games[[#This Row],[OT]]=1,0.9,1)</f>
        <v>0.4810486039665951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74.5</v>
      </c>
      <c r="Z131" s="4">
        <f>Games[[#This Row],[K]]*Games[[#This Row],[POMult]]</f>
        <v>74.5</v>
      </c>
      <c r="AA131" s="4">
        <f>(Games[[#This Row],[Keff]]*Games[[#This Row],[MOVMult]])*(Games[[#This Row],[Result]]-Games[[#This Row],[ExpectedWin%]])</f>
        <v>-16.467641330705273</v>
      </c>
      <c r="AB131" s="4">
        <f>Games[[#This Row],[PreGmRate]]+Games[[#This Row],[RatingChange]]</f>
        <v>1502.2219927233291</v>
      </c>
      <c r="AC131" s="2">
        <f>IF(Games[[#This Row],[Type]]="R",IF(Games[[#This Row],[Result]]&gt;0.5,1,0),0)</f>
        <v>0</v>
      </c>
      <c r="AD131" s="2">
        <f>IF(Games[[#This Row],[Type]]="R",IF(Games[[#This Row],[Result]]&lt;0.5,1,0),0)</f>
        <v>1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41808</v>
      </c>
      <c r="B132" s="2">
        <v>2014</v>
      </c>
      <c r="C132" s="2">
        <f>COUNTIFS(Games[Team],Games[[#This Row],[Team]],Games[Season],Games[[#This Row],[Season]],Games[Date],"&lt;=" &amp; Games[[#This Row],[Date]])</f>
        <v>12</v>
      </c>
      <c r="D132" s="2" t="s">
        <v>83</v>
      </c>
      <c r="E132" s="2" t="s">
        <v>84</v>
      </c>
      <c r="F132" s="1" t="s">
        <v>65</v>
      </c>
      <c r="G132" s="1" t="s">
        <v>79</v>
      </c>
      <c r="H132" s="1" t="s">
        <v>85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1455.8059775776276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1550.999379911003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0.26278949900471021</v>
      </c>
      <c r="R132" s="1">
        <v>73</v>
      </c>
      <c r="S132" s="1">
        <v>83</v>
      </c>
      <c r="T132" s="1">
        <v>0</v>
      </c>
      <c r="U132" s="1">
        <f>Games[[#This Row],[PointsFor]]-Games[[#This Row],[PointsAgainst]]</f>
        <v>-10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0.39203074867736803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74.2</v>
      </c>
      <c r="Z132" s="4">
        <f>Games[[#This Row],[K]]*Games[[#This Row],[POMult]]</f>
        <v>74.2</v>
      </c>
      <c r="AA132" s="4">
        <f>(Games[[#This Row],[Keff]]*Games[[#This Row],[MOVMult]])*(Games[[#This Row],[Result]]-Games[[#This Row],[ExpectedWin%]])</f>
        <v>-7.6442000517210325</v>
      </c>
      <c r="AB132" s="4">
        <f>Games[[#This Row],[PreGmRate]]+Games[[#This Row],[RatingChange]]</f>
        <v>1448.1617775259065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41808</v>
      </c>
      <c r="B133" s="2">
        <v>2014</v>
      </c>
      <c r="C133" s="2">
        <f>COUNTIFS(Games[Team],Games[[#This Row],[Team]],Games[Season],Games[[#This Row],[Season]],Games[Date],"&lt;=" &amp; Games[[#This Row],[Date]])</f>
        <v>11</v>
      </c>
      <c r="D133" s="2" t="s">
        <v>83</v>
      </c>
      <c r="E133" s="2" t="s">
        <v>84</v>
      </c>
      <c r="F133" s="1" t="s">
        <v>79</v>
      </c>
      <c r="G133" s="1" t="s">
        <v>65</v>
      </c>
      <c r="H133" s="1" t="s">
        <v>86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1550.999379911003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1455.8059775776276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0.73721050099528973</v>
      </c>
      <c r="R133" s="1">
        <v>83</v>
      </c>
      <c r="S133" s="1">
        <v>73</v>
      </c>
      <c r="T133" s="1">
        <v>0</v>
      </c>
      <c r="U133" s="1">
        <f>Games[[#This Row],[PointsFor]]-Games[[#This Row],[PointsAgainst]]</f>
        <v>10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0.39203074867736803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74.349999999999994</v>
      </c>
      <c r="Z133" s="4">
        <f>Games[[#This Row],[K]]*Games[[#This Row],[POMult]]</f>
        <v>74.349999999999994</v>
      </c>
      <c r="AA133" s="4">
        <f>(Games[[#This Row],[Keff]]*Games[[#This Row],[MOVMult]])*(Games[[#This Row],[Result]]-Games[[#This Row],[ExpectedWin%]])</f>
        <v>7.6596532863269386</v>
      </c>
      <c r="AB133" s="4">
        <f>Games[[#This Row],[PreGmRate]]+Games[[#This Row],[RatingChange]]</f>
        <v>1558.6590331973298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41808</v>
      </c>
      <c r="B134" s="2">
        <v>2014</v>
      </c>
      <c r="C134" s="2">
        <f>COUNTIFS(Games[Team],Games[[#This Row],[Team]],Games[Season],Games[[#This Row],[Season]],Games[Date],"&lt;=" &amp; Games[[#This Row],[Date]])</f>
        <v>12</v>
      </c>
      <c r="D134" s="2" t="s">
        <v>83</v>
      </c>
      <c r="E134" s="2" t="s">
        <v>84</v>
      </c>
      <c r="F134" s="1" t="s">
        <v>60</v>
      </c>
      <c r="G134" s="1" t="s">
        <v>77</v>
      </c>
      <c r="H134" s="1" t="s">
        <v>85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4" s="2">
        <f>Games[[#This Row],[DaysOff]]-Games[[#This Row],[OppDaysOff]]</f>
        <v>-2</v>
      </c>
      <c r="L134" s="2">
        <f>Games[[#This Row],[OppDaysOff]]-Games[[#This Row],[DaysOff]]</f>
        <v>2</v>
      </c>
      <c r="M134" s="1">
        <f>MAX(-16, MIN(16, Games[[#This Row],[RestDiff]]*8))</f>
        <v>-16</v>
      </c>
      <c r="N134" s="1">
        <f>MAX(-16, MIN(16, Games[[#This Row],[OppRestDiff]]*8))</f>
        <v>16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1388.4269016570354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1498.8914200544964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0.21355396188464029</v>
      </c>
      <c r="R134" s="1">
        <v>100</v>
      </c>
      <c r="S134" s="1">
        <v>105</v>
      </c>
      <c r="T134" s="1">
        <v>1</v>
      </c>
      <c r="U134" s="1">
        <f>Games[[#This Row],[PointsFor]]-Games[[#This Row],[PointsAgainst]]</f>
        <v>-5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0.27341179289333273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-4.3324023325978622</v>
      </c>
      <c r="AB134" s="4">
        <f>Games[[#This Row],[PreGmRate]]+Games[[#This Row],[RatingChange]]</f>
        <v>1384.0944993244375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41808</v>
      </c>
      <c r="B135" s="2">
        <v>2014</v>
      </c>
      <c r="C135" s="2">
        <f>COUNTIFS(Games[Team],Games[[#This Row],[Team]],Games[Season],Games[[#This Row],[Season]],Games[Date],"&lt;=" &amp; Games[[#This Row],[Date]])</f>
        <v>11</v>
      </c>
      <c r="D135" s="2" t="s">
        <v>83</v>
      </c>
      <c r="E135" s="2" t="s">
        <v>84</v>
      </c>
      <c r="F135" s="1" t="s">
        <v>77</v>
      </c>
      <c r="G135" s="1" t="s">
        <v>60</v>
      </c>
      <c r="H135" s="1" t="s">
        <v>86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2</v>
      </c>
      <c r="L135" s="2">
        <f>Games[[#This Row],[OppDaysOff]]-Games[[#This Row],[DaysOff]]</f>
        <v>-2</v>
      </c>
      <c r="M135" s="1">
        <f>MAX(-16, MIN(16, Games[[#This Row],[RestDiff]]*8))</f>
        <v>16</v>
      </c>
      <c r="N135" s="1">
        <f>MAX(-16, MIN(16, Games[[#This Row],[OppRestDiff]]*8))</f>
        <v>-16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1498.8914200544964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1388.4269016570354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0.78644603811535974</v>
      </c>
      <c r="R135" s="1">
        <v>105</v>
      </c>
      <c r="S135" s="1">
        <v>100</v>
      </c>
      <c r="T135" s="1">
        <v>1</v>
      </c>
      <c r="U135" s="1">
        <f>Games[[#This Row],[PointsFor]]-Games[[#This Row],[PointsAgainst]]</f>
        <v>5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0.27341179289333273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4.3411605583376147</v>
      </c>
      <c r="AB135" s="4">
        <f>Games[[#This Row],[PreGmRate]]+Games[[#This Row],[RatingChange]]</f>
        <v>1503.232580612834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41808</v>
      </c>
      <c r="B136" s="2">
        <v>2014</v>
      </c>
      <c r="C136" s="2">
        <f>COUNTIFS(Games[Team],Games[[#This Row],[Team]],Games[Season],Games[[#This Row],[Season]],Games[Date],"&lt;=" &amp; Games[[#This Row],[Date]])</f>
        <v>13</v>
      </c>
      <c r="D136" s="2" t="s">
        <v>83</v>
      </c>
      <c r="E136" s="2" t="s">
        <v>84</v>
      </c>
      <c r="F136" s="1" t="s">
        <v>67</v>
      </c>
      <c r="G136" s="1" t="s">
        <v>40</v>
      </c>
      <c r="H136" s="1" t="s">
        <v>85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6" s="2">
        <f>Games[[#This Row],[DaysOff]]-Games[[#This Row],[OppDaysOff]]</f>
        <v>-2</v>
      </c>
      <c r="L136" s="2">
        <f>Games[[#This Row],[OppDaysOff]]-Games[[#This Row],[DaysOff]]</f>
        <v>2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1663.2945530375018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1567.1452836442802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0.4714635470458049</v>
      </c>
      <c r="R136" s="1">
        <v>79</v>
      </c>
      <c r="S136" s="1">
        <v>92</v>
      </c>
      <c r="T136" s="1">
        <v>0</v>
      </c>
      <c r="U136" s="1">
        <f>Games[[#This Row],[PointsFor]]-Games[[#This Row],[PointsAgainst]]</f>
        <v>-13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0.43702721604134354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74.05</v>
      </c>
      <c r="Z136" s="4">
        <f>Games[[#This Row],[K]]*Games[[#This Row],[POMult]]</f>
        <v>74.05</v>
      </c>
      <c r="AA136" s="4">
        <f>(Games[[#This Row],[Keff]]*Games[[#This Row],[MOVMult]])*(Games[[#This Row],[Result]]-Games[[#This Row],[ExpectedWin%]])</f>
        <v>-15.257439825921498</v>
      </c>
      <c r="AB136" s="4">
        <f>Games[[#This Row],[PreGmRate]]+Games[[#This Row],[RatingChange]]</f>
        <v>1648.0371132115804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41808</v>
      </c>
      <c r="B137" s="2">
        <v>2014</v>
      </c>
      <c r="C137" s="2">
        <f>COUNTIFS(Games[Team],Games[[#This Row],[Team]],Games[Season],Games[[#This Row],[Season]],Games[Date],"&lt;=" &amp; Games[[#This Row],[Date]])</f>
        <v>11</v>
      </c>
      <c r="D137" s="2" t="s">
        <v>83</v>
      </c>
      <c r="E137" s="2" t="s">
        <v>84</v>
      </c>
      <c r="F137" s="1" t="s">
        <v>40</v>
      </c>
      <c r="G137" s="1" t="s">
        <v>67</v>
      </c>
      <c r="H137" s="1" t="s">
        <v>86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7" s="2">
        <f>Games[[#This Row],[DaysOff]]-Games[[#This Row],[OppDaysOff]]</f>
        <v>2</v>
      </c>
      <c r="L137" s="2">
        <f>Games[[#This Row],[OppDaysOff]]-Games[[#This Row],[DaysOff]]</f>
        <v>-2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1567.1452836442802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1663.2945530375018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0.52853645295419516</v>
      </c>
      <c r="R137" s="1">
        <v>92</v>
      </c>
      <c r="S137" s="1">
        <v>79</v>
      </c>
      <c r="T137" s="1">
        <v>0</v>
      </c>
      <c r="U137" s="1">
        <f>Games[[#This Row],[PointsFor]]-Games[[#This Row],[PointsAgainst]]</f>
        <v>13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0.43702721604134354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15.319252546350619</v>
      </c>
      <c r="AB137" s="4">
        <f>Games[[#This Row],[PreGmRate]]+Games[[#This Row],[RatingChange]]</f>
        <v>1582.4645361906307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41809</v>
      </c>
      <c r="B138" s="2">
        <v>2014</v>
      </c>
      <c r="C138" s="2">
        <f>COUNTIFS(Games[Team],Games[[#This Row],[Team]],Games[Season],Games[[#This Row],[Season]],Games[Date],"&lt;=" &amp; Games[[#This Row],[Date]])</f>
        <v>10</v>
      </c>
      <c r="D138" s="2" t="s">
        <v>83</v>
      </c>
      <c r="E138" s="2" t="s">
        <v>84</v>
      </c>
      <c r="F138" s="1" t="s">
        <v>81</v>
      </c>
      <c r="G138" s="1" t="s">
        <v>63</v>
      </c>
      <c r="H138" s="1" t="s">
        <v>85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2</v>
      </c>
      <c r="L138" s="2">
        <f>Games[[#This Row],[OppDaysOff]]-Games[[#This Row],[DaysOff]]</f>
        <v>-2</v>
      </c>
      <c r="M138" s="1">
        <f>MAX(-16, MIN(16, Games[[#This Row],[RestDiff]]*8))</f>
        <v>16</v>
      </c>
      <c r="N138" s="1">
        <f>MAX(-16, MIN(16, Games[[#This Row],[OppRestDiff]]*8))</f>
        <v>-16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1466.37036600499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1502.2219927233291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0.37619865581766238</v>
      </c>
      <c r="R138" s="1">
        <v>77</v>
      </c>
      <c r="S138" s="1">
        <v>87</v>
      </c>
      <c r="T138" s="1">
        <v>0</v>
      </c>
      <c r="U138" s="1">
        <f>Games[[#This Row],[PointsFor]]-Games[[#This Row],[PointsAgainst]]</f>
        <v>-10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0.41085485362593815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74.5</v>
      </c>
      <c r="Z138" s="4">
        <f>Games[[#This Row],[K]]*Games[[#This Row],[POMult]]</f>
        <v>74.5</v>
      </c>
      <c r="AA138" s="4">
        <f>(Games[[#This Row],[Keff]]*Games[[#This Row],[MOVMult]])*(Games[[#This Row],[Result]]-Games[[#This Row],[ExpectedWin%]])</f>
        <v>-11.514946753432907</v>
      </c>
      <c r="AB138" s="4">
        <f>Games[[#This Row],[PreGmRate]]+Games[[#This Row],[RatingChange]]</f>
        <v>1454.8554192515571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41809</v>
      </c>
      <c r="B139" s="2">
        <v>2014</v>
      </c>
      <c r="C139" s="2">
        <f>COUNTIFS(Games[Team],Games[[#This Row],[Team]],Games[Season],Games[[#This Row],[Season]],Games[Date],"&lt;=" &amp; Games[[#This Row],[Date]])</f>
        <v>11</v>
      </c>
      <c r="D139" s="2" t="s">
        <v>83</v>
      </c>
      <c r="E139" s="2" t="s">
        <v>84</v>
      </c>
      <c r="F139" s="1" t="s">
        <v>63</v>
      </c>
      <c r="G139" s="1" t="s">
        <v>81</v>
      </c>
      <c r="H139" s="1" t="s">
        <v>86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9" s="2">
        <f>Games[[#This Row],[DaysOff]]-Games[[#This Row],[OppDaysOff]]</f>
        <v>-2</v>
      </c>
      <c r="L139" s="2">
        <f>Games[[#This Row],[OppDaysOff]]-Games[[#This Row],[DaysOff]]</f>
        <v>2</v>
      </c>
      <c r="M139" s="1">
        <f>MAX(-16, MIN(16, Games[[#This Row],[RestDiff]]*8))</f>
        <v>-16</v>
      </c>
      <c r="N139" s="1">
        <f>MAX(-16, MIN(16, Games[[#This Row],[OppRestDiff]]*8))</f>
        <v>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1502.2219927233291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1466.37036600499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0.62380134418233757</v>
      </c>
      <c r="R139" s="1">
        <v>87</v>
      </c>
      <c r="S139" s="1">
        <v>77</v>
      </c>
      <c r="T139" s="1">
        <v>0</v>
      </c>
      <c r="U139" s="1">
        <f>Games[[#This Row],[PointsFor]]-Games[[#This Row],[PointsAgainst]]</f>
        <v>10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0.41085485362593815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74.349999999999994</v>
      </c>
      <c r="Z139" s="4">
        <f>Games[[#This Row],[K]]*Games[[#This Row],[POMult]]</f>
        <v>74.349999999999994</v>
      </c>
      <c r="AA139" s="4">
        <f>(Games[[#This Row],[Keff]]*Games[[#This Row],[MOVMult]])*(Games[[#This Row],[Result]]-Games[[#This Row],[ExpectedWin%]])</f>
        <v>11.491762296882372</v>
      </c>
      <c r="AB139" s="4">
        <f>Games[[#This Row],[PreGmRate]]+Games[[#This Row],[RatingChange]]</f>
        <v>1513.7137550202115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41809</v>
      </c>
      <c r="B140" s="2">
        <v>2014</v>
      </c>
      <c r="C140" s="2">
        <f>COUNTIFS(Games[Team],Games[[#This Row],[Team]],Games[Season],Games[[#This Row],[Season]],Games[Date],"&lt;=" &amp; Games[[#This Row],[Date]])</f>
        <v>12</v>
      </c>
      <c r="D140" s="2" t="s">
        <v>83</v>
      </c>
      <c r="E140" s="2" t="s">
        <v>84</v>
      </c>
      <c r="F140" s="1" t="s">
        <v>74</v>
      </c>
      <c r="G140" s="1" t="s">
        <v>71</v>
      </c>
      <c r="H140" s="1" t="s">
        <v>85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0" s="2">
        <f>Games[[#This Row],[DaysOff]]-Games[[#This Row],[OppDaysOff]]</f>
        <v>1</v>
      </c>
      <c r="L140" s="2">
        <f>Games[[#This Row],[OppDaysOff]]-Games[[#This Row],[DaysOff]]</f>
        <v>-1</v>
      </c>
      <c r="M140" s="1">
        <f>MAX(-16, MIN(16, Games[[#This Row],[RestDiff]]*8))</f>
        <v>8</v>
      </c>
      <c r="N140" s="1">
        <f>MAX(-16, MIN(16, Games[[#This Row],[OppRestDiff]]*8))</f>
        <v>-8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1469.8527457650503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1473.0791304759953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0.39890923678865869</v>
      </c>
      <c r="R140" s="1">
        <v>87</v>
      </c>
      <c r="S140" s="1">
        <v>82</v>
      </c>
      <c r="T140" s="1">
        <v>1</v>
      </c>
      <c r="U140" s="1">
        <f>Games[[#This Row],[PointsFor]]-Games[[#This Row],[PointsAgainst]]</f>
        <v>5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0.29777975121799072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74.2</v>
      </c>
      <c r="Z140" s="4">
        <f>Games[[#This Row],[K]]*Games[[#This Row],[POMult]]</f>
        <v>74.2</v>
      </c>
      <c r="AA140" s="4">
        <f>(Games[[#This Row],[Keff]]*Games[[#This Row],[MOVMult]])*(Games[[#This Row],[Result]]-Games[[#This Row],[ExpectedWin%]])</f>
        <v>13.281255218295101</v>
      </c>
      <c r="AB140" s="4">
        <f>Games[[#This Row],[PreGmRate]]+Games[[#This Row],[RatingChange]]</f>
        <v>1483.1340009833455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41809</v>
      </c>
      <c r="B141" s="2">
        <v>2014</v>
      </c>
      <c r="C141" s="2">
        <f>COUNTIFS(Games[Team],Games[[#This Row],[Team]],Games[Season],Games[[#This Row],[Season]],Games[Date],"&lt;=" &amp; Games[[#This Row],[Date]])</f>
        <v>14</v>
      </c>
      <c r="D141" s="2" t="s">
        <v>83</v>
      </c>
      <c r="E141" s="2" t="s">
        <v>84</v>
      </c>
      <c r="F141" s="1" t="s">
        <v>71</v>
      </c>
      <c r="G141" s="1" t="s">
        <v>74</v>
      </c>
      <c r="H141" s="1" t="s">
        <v>86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1" s="2">
        <f>Games[[#This Row],[DaysOff]]-Games[[#This Row],[OppDaysOff]]</f>
        <v>-1</v>
      </c>
      <c r="L141" s="2">
        <f>Games[[#This Row],[OppDaysOff]]-Games[[#This Row],[DaysOff]]</f>
        <v>1</v>
      </c>
      <c r="M141" s="1">
        <f>MAX(-16, MIN(16, Games[[#This Row],[RestDiff]]*8))</f>
        <v>-8</v>
      </c>
      <c r="N141" s="1">
        <f>MAX(-16, MIN(16, Games[[#This Row],[OppRestDiff]]*8))</f>
        <v>8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1473.0791304759953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1469.8527457650503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0.60109076321134136</v>
      </c>
      <c r="R141" s="1">
        <v>82</v>
      </c>
      <c r="S141" s="1">
        <v>87</v>
      </c>
      <c r="T141" s="1">
        <v>1</v>
      </c>
      <c r="U141" s="1">
        <f>Games[[#This Row],[PointsFor]]-Games[[#This Row],[PointsAgainst]]</f>
        <v>-5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0.29777975121799072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73.900000000000006</v>
      </c>
      <c r="Z141" s="4">
        <f>Games[[#This Row],[K]]*Games[[#This Row],[POMult]]</f>
        <v>73.900000000000006</v>
      </c>
      <c r="AA141" s="4">
        <f>(Games[[#This Row],[Keff]]*Games[[#This Row],[MOVMult]])*(Games[[#This Row],[Result]]-Games[[#This Row],[ExpectedWin%]])</f>
        <v>-13.227557420916549</v>
      </c>
      <c r="AB141" s="4">
        <f>Games[[#This Row],[PreGmRate]]+Games[[#This Row],[RatingChange]]</f>
        <v>1459.8515730550787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41810</v>
      </c>
      <c r="B142" s="2">
        <v>2014</v>
      </c>
      <c r="C142" s="2">
        <f>COUNTIFS(Games[Team],Games[[#This Row],[Team]],Games[Season],Games[[#This Row],[Season]],Games[Date],"&lt;=" &amp; Games[[#This Row],[Date]])</f>
        <v>13</v>
      </c>
      <c r="D142" s="2" t="s">
        <v>83</v>
      </c>
      <c r="E142" s="2" t="s">
        <v>84</v>
      </c>
      <c r="F142" s="1" t="s">
        <v>60</v>
      </c>
      <c r="G142" s="1" t="s">
        <v>79</v>
      </c>
      <c r="H142" s="1" t="s">
        <v>85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1384.0944993244375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1558.6590331973298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0.18415943044430372</v>
      </c>
      <c r="R142" s="1">
        <v>64</v>
      </c>
      <c r="S142" s="1">
        <v>85</v>
      </c>
      <c r="T142" s="1">
        <v>0</v>
      </c>
      <c r="U142" s="1">
        <f>Games[[#This Row],[PointsFor]]-Games[[#This Row],[PointsAgainst]]</f>
        <v>-21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0.51382931097085627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74.05</v>
      </c>
      <c r="Z142" s="4">
        <f>Games[[#This Row],[K]]*Games[[#This Row],[POMult]]</f>
        <v>74.05</v>
      </c>
      <c r="AA142" s="4">
        <f>(Games[[#This Row],[Keff]]*Games[[#This Row],[MOVMult]])*(Games[[#This Row],[Result]]-Games[[#This Row],[ExpectedWin%]])</f>
        <v>-7.0070933064573602</v>
      </c>
      <c r="AB142" s="4">
        <f>Games[[#This Row],[PreGmRate]]+Games[[#This Row],[RatingChange]]</f>
        <v>1377.0874060179801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41810</v>
      </c>
      <c r="B143" s="2">
        <v>2014</v>
      </c>
      <c r="C143" s="2">
        <f>COUNTIFS(Games[Team],Games[[#This Row],[Team]],Games[Season],Games[[#This Row],[Season]],Games[Date],"&lt;=" &amp; Games[[#This Row],[Date]])</f>
        <v>12</v>
      </c>
      <c r="D143" s="2" t="s">
        <v>83</v>
      </c>
      <c r="E143" s="2" t="s">
        <v>84</v>
      </c>
      <c r="F143" s="1" t="s">
        <v>79</v>
      </c>
      <c r="G143" s="1" t="s">
        <v>60</v>
      </c>
      <c r="H143" s="1" t="s">
        <v>86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1558.6590331973298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1384.0944993244375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0.81584056955569628</v>
      </c>
      <c r="R143" s="1">
        <v>85</v>
      </c>
      <c r="S143" s="1">
        <v>64</v>
      </c>
      <c r="T143" s="1">
        <v>0</v>
      </c>
      <c r="U143" s="1">
        <f>Games[[#This Row],[PointsFor]]-Games[[#This Row],[PointsAgainst]]</f>
        <v>21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0.51382931097085627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7.0212872834454583</v>
      </c>
      <c r="AB143" s="4">
        <f>Games[[#This Row],[PreGmRate]]+Games[[#This Row],[RatingChange]]</f>
        <v>1565.6803204807752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41810</v>
      </c>
      <c r="B144" s="2">
        <v>2014</v>
      </c>
      <c r="C144" s="2">
        <f>COUNTIFS(Games[Team],Games[[#This Row],[Team]],Games[Season],Games[[#This Row],[Season]],Games[Date],"&lt;=" &amp; Games[[#This Row],[Date]])</f>
        <v>11</v>
      </c>
      <c r="D144" s="2" t="s">
        <v>83</v>
      </c>
      <c r="E144" s="2" t="s">
        <v>84</v>
      </c>
      <c r="F144" s="1" t="s">
        <v>69</v>
      </c>
      <c r="G144" s="1" t="s">
        <v>77</v>
      </c>
      <c r="H144" s="1" t="s">
        <v>85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1</v>
      </c>
      <c r="L144" s="2">
        <f>Games[[#This Row],[OppDaysOff]]-Games[[#This Row],[DaysOff]]</f>
        <v>-1</v>
      </c>
      <c r="M144" s="1">
        <f>MAX(-16, MIN(16, Games[[#This Row],[RestDiff]]*8))</f>
        <v>8</v>
      </c>
      <c r="N144" s="1">
        <f>MAX(-16, MIN(16, Games[[#This Row],[OppRestDiff]]*8))</f>
        <v>-8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1486.8363252977249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1503.232580612834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0.38087784271265368</v>
      </c>
      <c r="R144" s="1">
        <v>83</v>
      </c>
      <c r="S144" s="1">
        <v>75</v>
      </c>
      <c r="T144" s="1">
        <v>0</v>
      </c>
      <c r="U144" s="1">
        <f>Games[[#This Row],[PointsFor]]-Games[[#This Row],[PointsAgainst]]</f>
        <v>8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0.38308128619065357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74.349999999999994</v>
      </c>
      <c r="Z144" s="4">
        <f>Games[[#This Row],[K]]*Games[[#This Row],[POMult]]</f>
        <v>74.349999999999994</v>
      </c>
      <c r="AA144" s="4">
        <f>(Games[[#This Row],[Keff]]*Games[[#This Row],[MOVMult]])*(Games[[#This Row],[Result]]-Games[[#This Row],[ExpectedWin%]])</f>
        <v>17.633895251197856</v>
      </c>
      <c r="AB144" s="4">
        <f>Games[[#This Row],[PreGmRate]]+Games[[#This Row],[RatingChange]]</f>
        <v>1504.4702205489227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41810</v>
      </c>
      <c r="B145" s="2">
        <v>2014</v>
      </c>
      <c r="C145" s="2">
        <f>COUNTIFS(Games[Team],Games[[#This Row],[Team]],Games[Season],Games[[#This Row],[Season]],Games[Date],"&lt;=" &amp; Games[[#This Row],[Date]])</f>
        <v>12</v>
      </c>
      <c r="D145" s="2" t="s">
        <v>83</v>
      </c>
      <c r="E145" s="2" t="s">
        <v>84</v>
      </c>
      <c r="F145" s="1" t="s">
        <v>77</v>
      </c>
      <c r="G145" s="1" t="s">
        <v>69</v>
      </c>
      <c r="H145" s="1" t="s">
        <v>86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-1</v>
      </c>
      <c r="L145" s="2">
        <f>Games[[#This Row],[OppDaysOff]]-Games[[#This Row],[DaysOff]]</f>
        <v>1</v>
      </c>
      <c r="M145" s="1">
        <f>MAX(-16, MIN(16, Games[[#This Row],[RestDiff]]*8))</f>
        <v>-8</v>
      </c>
      <c r="N145" s="1">
        <f>MAX(-16, MIN(16, Games[[#This Row],[OppRestDiff]]*8))</f>
        <v>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1503.232580612834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1486.8363252977249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0.61912215728734632</v>
      </c>
      <c r="R145" s="1">
        <v>75</v>
      </c>
      <c r="S145" s="1">
        <v>83</v>
      </c>
      <c r="T145" s="1">
        <v>0</v>
      </c>
      <c r="U145" s="1">
        <f>Games[[#This Row],[PointsFor]]-Games[[#This Row],[PointsAgainst]]</f>
        <v>-8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0.38308128619065357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74.2</v>
      </c>
      <c r="Z145" s="4">
        <f>Games[[#This Row],[K]]*Games[[#This Row],[POMult]]</f>
        <v>74.2</v>
      </c>
      <c r="AA145" s="4">
        <f>(Games[[#This Row],[Keff]]*Games[[#This Row],[MOVMult]])*(Games[[#This Row],[Result]]-Games[[#This Row],[ExpectedWin%]])</f>
        <v>-17.598319134349442</v>
      </c>
      <c r="AB145" s="4">
        <f>Games[[#This Row],[PreGmRate]]+Games[[#This Row],[RatingChange]]</f>
        <v>1485.6342614784846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41810</v>
      </c>
      <c r="B146" s="2">
        <v>2014</v>
      </c>
      <c r="C146" s="2">
        <f>COUNTIFS(Games[Team],Games[[#This Row],[Team]],Games[Season],Games[[#This Row],[Season]],Games[Date],"&lt;=" &amp; Games[[#This Row],[Date]])</f>
        <v>13</v>
      </c>
      <c r="D146" s="2" t="s">
        <v>83</v>
      </c>
      <c r="E146" s="2" t="s">
        <v>84</v>
      </c>
      <c r="F146" s="1" t="s">
        <v>65</v>
      </c>
      <c r="G146" s="1" t="s">
        <v>67</v>
      </c>
      <c r="H146" s="1" t="s">
        <v>85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1448.1617775259065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1648.0371132115804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0.1632670457837388</v>
      </c>
      <c r="R146" s="1">
        <v>65</v>
      </c>
      <c r="S146" s="1">
        <v>75</v>
      </c>
      <c r="T146" s="1">
        <v>0</v>
      </c>
      <c r="U146" s="1">
        <f>Games[[#This Row],[PointsFor]]-Games[[#This Row],[PointsAgainst]]</f>
        <v>-10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0.36271489771625742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74.05</v>
      </c>
      <c r="Z146" s="4">
        <f>Games[[#This Row],[K]]*Games[[#This Row],[POMult]]</f>
        <v>74.05</v>
      </c>
      <c r="AA146" s="4">
        <f>(Games[[#This Row],[Keff]]*Games[[#This Row],[MOVMult]])*(Games[[#This Row],[Result]]-Games[[#This Row],[ExpectedWin%]])</f>
        <v>-4.385195815570035</v>
      </c>
      <c r="AB146" s="4">
        <f>Games[[#This Row],[PreGmRate]]+Games[[#This Row],[RatingChange]]</f>
        <v>1443.7765817103364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41810</v>
      </c>
      <c r="B147" s="2">
        <v>2014</v>
      </c>
      <c r="C147" s="2">
        <f>COUNTIFS(Games[Team],Games[[#This Row],[Team]],Games[Season],Games[[#This Row],[Season]],Games[Date],"&lt;=" &amp; Games[[#This Row],[Date]])</f>
        <v>14</v>
      </c>
      <c r="D147" s="2" t="s">
        <v>83</v>
      </c>
      <c r="E147" s="2" t="s">
        <v>84</v>
      </c>
      <c r="F147" s="1" t="s">
        <v>67</v>
      </c>
      <c r="G147" s="1" t="s">
        <v>65</v>
      </c>
      <c r="H147" s="1" t="s">
        <v>86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1648.0371132115804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1448.1617775259065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0.83673295421626126</v>
      </c>
      <c r="R147" s="1">
        <v>75</v>
      </c>
      <c r="S147" s="1">
        <v>65</v>
      </c>
      <c r="T147" s="1">
        <v>0</v>
      </c>
      <c r="U147" s="1">
        <f>Games[[#This Row],[PointsFor]]-Games[[#This Row],[PointsAgainst]]</f>
        <v>10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0.36271489771625742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73.900000000000006</v>
      </c>
      <c r="Z147" s="4">
        <f>Games[[#This Row],[K]]*Games[[#This Row],[POMult]]</f>
        <v>73.900000000000006</v>
      </c>
      <c r="AA147" s="4">
        <f>(Games[[#This Row],[Keff]]*Games[[#This Row],[MOVMult]])*(Games[[#This Row],[Result]]-Games[[#This Row],[ExpectedWin%]])</f>
        <v>4.3763129070982512</v>
      </c>
      <c r="AB147" s="4">
        <f>Games[[#This Row],[PreGmRate]]+Games[[#This Row],[RatingChange]]</f>
        <v>1652.4134261186787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41810</v>
      </c>
      <c r="B148" s="2">
        <v>2014</v>
      </c>
      <c r="C148" s="2">
        <f>COUNTIFS(Games[Team],Games[[#This Row],[Team]],Games[Season],Games[[#This Row],[Season]],Games[Date],"&lt;=" &amp; Games[[#This Row],[Date]])</f>
        <v>11</v>
      </c>
      <c r="D148" s="2" t="s">
        <v>83</v>
      </c>
      <c r="E148" s="2" t="s">
        <v>84</v>
      </c>
      <c r="F148" s="1" t="s">
        <v>81</v>
      </c>
      <c r="G148" s="1" t="s">
        <v>40</v>
      </c>
      <c r="H148" s="1" t="s">
        <v>85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-1</v>
      </c>
      <c r="L148" s="2">
        <f>Games[[#This Row],[OppDaysOff]]-Games[[#This Row],[DaysOff]]</f>
        <v>1</v>
      </c>
      <c r="M148" s="1">
        <f>MAX(-16, MIN(16, Games[[#This Row],[RestDiff]]*8))</f>
        <v>-8</v>
      </c>
      <c r="N148" s="1">
        <f>MAX(-16, MIN(16, Games[[#This Row],[OppRestDiff]]*8))</f>
        <v>8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1454.8554192515571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1582.4645361906307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0.21244946374811363</v>
      </c>
      <c r="R148" s="1">
        <v>80</v>
      </c>
      <c r="S148" s="1">
        <v>91</v>
      </c>
      <c r="T148" s="1">
        <v>0</v>
      </c>
      <c r="U148" s="1">
        <f>Games[[#This Row],[PointsFor]]-Games[[#This Row],[PointsAgainst]]</f>
        <v>-11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0.39755915922455931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74.349999999999994</v>
      </c>
      <c r="Z148" s="4">
        <f>Games[[#This Row],[K]]*Games[[#This Row],[POMult]]</f>
        <v>74.349999999999994</v>
      </c>
      <c r="AA148" s="4">
        <f>(Games[[#This Row],[Keff]]*Games[[#This Row],[MOVMult]])*(Games[[#This Row],[Result]]-Games[[#This Row],[ExpectedWin%]])</f>
        <v>-6.2796924642851248</v>
      </c>
      <c r="AB148" s="4">
        <f>Games[[#This Row],[PreGmRate]]+Games[[#This Row],[RatingChange]]</f>
        <v>1448.5757267872721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41810</v>
      </c>
      <c r="B149" s="2">
        <v>2014</v>
      </c>
      <c r="C149" s="2">
        <f>COUNTIFS(Games[Team],Games[[#This Row],[Team]],Games[Season],Games[[#This Row],[Season]],Games[Date],"&lt;=" &amp; Games[[#This Row],[Date]])</f>
        <v>12</v>
      </c>
      <c r="D149" s="2" t="s">
        <v>83</v>
      </c>
      <c r="E149" s="2" t="s">
        <v>84</v>
      </c>
      <c r="F149" s="1" t="s">
        <v>40</v>
      </c>
      <c r="G149" s="1" t="s">
        <v>81</v>
      </c>
      <c r="H149" s="1" t="s">
        <v>86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9" s="2">
        <f>Games[[#This Row],[DaysOff]]-Games[[#This Row],[OppDaysOff]]</f>
        <v>1</v>
      </c>
      <c r="L149" s="2">
        <f>Games[[#This Row],[OppDaysOff]]-Games[[#This Row],[DaysOff]]</f>
        <v>-1</v>
      </c>
      <c r="M149" s="1">
        <f>MAX(-16, MIN(16, Games[[#This Row],[RestDiff]]*8))</f>
        <v>8</v>
      </c>
      <c r="N149" s="1">
        <f>MAX(-16, MIN(16, Games[[#This Row],[OppRestDiff]]*8))</f>
        <v>-8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1582.4645361906307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1454.8554192515571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0.78755053625188642</v>
      </c>
      <c r="R149" s="1">
        <v>91</v>
      </c>
      <c r="S149" s="1">
        <v>80</v>
      </c>
      <c r="T149" s="1">
        <v>0</v>
      </c>
      <c r="U149" s="1">
        <f>Games[[#This Row],[PointsFor]]-Games[[#This Row],[PointsAgainst]]</f>
        <v>11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0.39755915922455931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74.2</v>
      </c>
      <c r="Z149" s="4">
        <f>Games[[#This Row],[K]]*Games[[#This Row],[POMult]]</f>
        <v>74.2</v>
      </c>
      <c r="AA149" s="4">
        <f>(Games[[#This Row],[Keff]]*Games[[#This Row],[MOVMult]])*(Games[[#This Row],[Result]]-Games[[#This Row],[ExpectedWin%]])</f>
        <v>6.2670232797573133</v>
      </c>
      <c r="AB149" s="4">
        <f>Games[[#This Row],[PreGmRate]]+Games[[#This Row],[RatingChange]]</f>
        <v>1588.731559470388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41812</v>
      </c>
      <c r="B150" s="2">
        <v>2014</v>
      </c>
      <c r="C150" s="2">
        <f>COUNTIFS(Games[Team],Games[[#This Row],[Team]],Games[Season],Games[[#This Row],[Season]],Games[Date],"&lt;=" &amp; Games[[#This Row],[Date]])</f>
        <v>12</v>
      </c>
      <c r="D150" s="2" t="s">
        <v>83</v>
      </c>
      <c r="E150" s="2" t="s">
        <v>84</v>
      </c>
      <c r="F150" s="1" t="s">
        <v>81</v>
      </c>
      <c r="G150" s="1" t="s">
        <v>77</v>
      </c>
      <c r="H150" s="1" t="s">
        <v>85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1448.5757267872721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1485.6342614784846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0.33250678857927185</v>
      </c>
      <c r="R150" s="1">
        <v>105</v>
      </c>
      <c r="S150" s="1">
        <v>99</v>
      </c>
      <c r="T150" s="1">
        <v>1</v>
      </c>
      <c r="U150" s="1">
        <f>Games[[#This Row],[PointsFor]]-Games[[#This Row],[PointsAgainst]]</f>
        <v>6</v>
      </c>
      <c r="V150" s="1">
        <f>IF(Games[[#This Row],[MOV]]&gt;0,1,IF(Games[[#This Row],[MOV]]=0,0.5,0))</f>
        <v>1</v>
      </c>
      <c r="W150" s="4">
        <f>((ABS(Games[[#This Row],[MOV]])+5)^0.6)/(12+0.01*(ABS(Games[[#This Row],[PreGmRate]]-Games[[#This Row],[OppPreGmRate]])))*IF(Games[[#This Row],[OT]]=1,0.9,1)</f>
        <v>0.30668170611099699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15.189330401684487</v>
      </c>
      <c r="AB150" s="4">
        <f>Games[[#This Row],[PreGmRate]]+Games[[#This Row],[RatingChange]]</f>
        <v>1463.7650571889565</v>
      </c>
      <c r="AC150" s="2">
        <f>IF(Games[[#This Row],[Type]]="R",IF(Games[[#This Row],[Result]]&gt;0.5,1,0),0)</f>
        <v>1</v>
      </c>
      <c r="AD150" s="2">
        <f>IF(Games[[#This Row],[Type]]="R",IF(Games[[#This Row],[Result]]&lt;0.5,1,0),0)</f>
        <v>0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41812</v>
      </c>
      <c r="B151" s="2">
        <v>2014</v>
      </c>
      <c r="C151" s="2">
        <f>COUNTIFS(Games[Team],Games[[#This Row],[Team]],Games[Season],Games[[#This Row],[Season]],Games[Date],"&lt;=" &amp; Games[[#This Row],[Date]])</f>
        <v>13</v>
      </c>
      <c r="D151" s="2" t="s">
        <v>83</v>
      </c>
      <c r="E151" s="2" t="s">
        <v>84</v>
      </c>
      <c r="F151" s="1" t="s">
        <v>77</v>
      </c>
      <c r="G151" s="1" t="s">
        <v>81</v>
      </c>
      <c r="H151" s="1" t="s">
        <v>86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1485.6342614784846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1448.5757267872721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0.66749321142072815</v>
      </c>
      <c r="R151" s="1">
        <v>99</v>
      </c>
      <c r="S151" s="1">
        <v>105</v>
      </c>
      <c r="T151" s="1">
        <v>1</v>
      </c>
      <c r="U151" s="1">
        <f>Games[[#This Row],[PointsFor]]-Games[[#This Row],[PointsAgainst]]</f>
        <v>-6</v>
      </c>
      <c r="V151" s="1">
        <f>IF(Games[[#This Row],[MOV]]&gt;0,1,IF(Games[[#This Row],[MOV]]=0,0.5,0))</f>
        <v>0</v>
      </c>
      <c r="W151" s="4">
        <f>((ABS(Games[[#This Row],[MOV]])+5)^0.6)/(12+0.01*(ABS(Games[[#This Row],[PreGmRate]]-Games[[#This Row],[OppPreGmRate]])))*IF(Games[[#This Row],[OT]]=1,0.9,1)</f>
        <v>0.30668170611099699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74.05</v>
      </c>
      <c r="Z151" s="4">
        <f>Games[[#This Row],[K]]*Games[[#This Row],[POMult]]</f>
        <v>74.05</v>
      </c>
      <c r="AA151" s="4">
        <f>(Games[[#This Row],[Keff]]*Games[[#This Row],[MOVMult]])*(Games[[#This Row],[Result]]-Games[[#This Row],[ExpectedWin%]])</f>
        <v>-15.158624208150083</v>
      </c>
      <c r="AB151" s="4">
        <f>Games[[#This Row],[PreGmRate]]+Games[[#This Row],[RatingChange]]</f>
        <v>1470.4756372703346</v>
      </c>
      <c r="AC151" s="2">
        <f>IF(Games[[#This Row],[Type]]="R",IF(Games[[#This Row],[Result]]&gt;0.5,1,0),0)</f>
        <v>0</v>
      </c>
      <c r="AD151" s="2">
        <f>IF(Games[[#This Row],[Type]]="R",IF(Games[[#This Row],[Result]]&lt;0.5,1,0),0)</f>
        <v>1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41812</v>
      </c>
      <c r="B152" s="2">
        <v>2014</v>
      </c>
      <c r="C152" s="2">
        <f>COUNTIFS(Games[Team],Games[[#This Row],[Team]],Games[Season],Games[[#This Row],[Season]],Games[Date],"&lt;=" &amp; Games[[#This Row],[Date]])</f>
        <v>13</v>
      </c>
      <c r="D152" s="2" t="s">
        <v>83</v>
      </c>
      <c r="E152" s="2" t="s">
        <v>84</v>
      </c>
      <c r="F152" s="1" t="s">
        <v>74</v>
      </c>
      <c r="G152" s="1" t="s">
        <v>63</v>
      </c>
      <c r="H152" s="1" t="s">
        <v>85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1483.1340009833455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1513.7137550202115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0.34083529415648067</v>
      </c>
      <c r="R152" s="1">
        <v>72</v>
      </c>
      <c r="S152" s="1">
        <v>69</v>
      </c>
      <c r="T152" s="1">
        <v>0</v>
      </c>
      <c r="U152" s="1">
        <f>Games[[#This Row],[PointsFor]]-Games[[#This Row],[PointsAgainst]]</f>
        <v>3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0.28297249664325097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74.05</v>
      </c>
      <c r="Z152" s="4">
        <f>Games[[#This Row],[K]]*Games[[#This Row],[POMult]]</f>
        <v>74.05</v>
      </c>
      <c r="AA152" s="4">
        <f>(Games[[#This Row],[Keff]]*Games[[#This Row],[MOVMult]])*(Games[[#This Row],[Result]]-Games[[#This Row],[ExpectedWin%]])</f>
        <v>13.812211979988035</v>
      </c>
      <c r="AB152" s="4">
        <f>Games[[#This Row],[PreGmRate]]+Games[[#This Row],[RatingChange]]</f>
        <v>1496.9462129633334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41812</v>
      </c>
      <c r="B153" s="2">
        <v>2014</v>
      </c>
      <c r="C153" s="2">
        <f>COUNTIFS(Games[Team],Games[[#This Row],[Team]],Games[Season],Games[[#This Row],[Season]],Games[Date],"&lt;=" &amp; Games[[#This Row],[Date]])</f>
        <v>12</v>
      </c>
      <c r="D153" s="2" t="s">
        <v>83</v>
      </c>
      <c r="E153" s="2" t="s">
        <v>84</v>
      </c>
      <c r="F153" s="1" t="s">
        <v>63</v>
      </c>
      <c r="G153" s="1" t="s">
        <v>74</v>
      </c>
      <c r="H153" s="1" t="s">
        <v>86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1513.7137550202115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1483.1340009833455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0.65916470584351927</v>
      </c>
      <c r="R153" s="1">
        <v>69</v>
      </c>
      <c r="S153" s="1">
        <v>72</v>
      </c>
      <c r="T153" s="1">
        <v>0</v>
      </c>
      <c r="U153" s="1">
        <f>Games[[#This Row],[PointsFor]]-Games[[#This Row],[PointsAgainst]]</f>
        <v>-3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0.28297249664325097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74.2</v>
      </c>
      <c r="Z153" s="4">
        <f>Games[[#This Row],[K]]*Games[[#This Row],[POMult]]</f>
        <v>74.2</v>
      </c>
      <c r="AA153" s="4">
        <f>(Games[[#This Row],[Keff]]*Games[[#This Row],[MOVMult]])*(Games[[#This Row],[Result]]-Games[[#This Row],[ExpectedWin%]])</f>
        <v>-13.840190802364784</v>
      </c>
      <c r="AB153" s="4">
        <f>Games[[#This Row],[PreGmRate]]+Games[[#This Row],[RatingChange]]</f>
        <v>1499.8735642178467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41812</v>
      </c>
      <c r="B154" s="2">
        <v>2014</v>
      </c>
      <c r="C154" s="2">
        <f>COUNTIFS(Games[Team],Games[[#This Row],[Team]],Games[Season],Games[[#This Row],[Season]],Games[Date],"&lt;=" &amp; Games[[#This Row],[Date]])</f>
        <v>12</v>
      </c>
      <c r="D154" s="2" t="s">
        <v>83</v>
      </c>
      <c r="E154" s="2" t="s">
        <v>84</v>
      </c>
      <c r="F154" s="1" t="s">
        <v>69</v>
      </c>
      <c r="G154" s="1" t="s">
        <v>67</v>
      </c>
      <c r="H154" s="1" t="s">
        <v>85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1504.4702205489227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1652.4134261186787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0.20830507353500941</v>
      </c>
      <c r="R154" s="1">
        <v>77</v>
      </c>
      <c r="S154" s="1">
        <v>83</v>
      </c>
      <c r="T154" s="1">
        <v>0</v>
      </c>
      <c r="U154" s="1">
        <f>Games[[#This Row],[PointsFor]]-Games[[#This Row],[PointsAgainst]]</f>
        <v>-6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0.31272601958849777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74.2</v>
      </c>
      <c r="Z154" s="4">
        <f>Games[[#This Row],[K]]*Games[[#This Row],[POMult]]</f>
        <v>74.2</v>
      </c>
      <c r="AA154" s="4">
        <f>(Games[[#This Row],[Keff]]*Games[[#This Row],[MOVMult]])*(Games[[#This Row],[Result]]-Games[[#This Row],[ExpectedWin%]])</f>
        <v>-4.8335673047966079</v>
      </c>
      <c r="AB154" s="4">
        <f>Games[[#This Row],[PreGmRate]]+Games[[#This Row],[RatingChange]]</f>
        <v>1499.6366532441261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41812</v>
      </c>
      <c r="B155" s="2">
        <v>2014</v>
      </c>
      <c r="C155" s="2">
        <f>COUNTIFS(Games[Team],Games[[#This Row],[Team]],Games[Season],Games[[#This Row],[Season]],Games[Date],"&lt;=" &amp; Games[[#This Row],[Date]])</f>
        <v>15</v>
      </c>
      <c r="D155" s="2" t="s">
        <v>83</v>
      </c>
      <c r="E155" s="2" t="s">
        <v>84</v>
      </c>
      <c r="F155" s="1" t="s">
        <v>67</v>
      </c>
      <c r="G155" s="1" t="s">
        <v>69</v>
      </c>
      <c r="H155" s="1" t="s">
        <v>86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1652.4134261186787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1504.4702205489227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0.79169492646499062</v>
      </c>
      <c r="R155" s="1">
        <v>83</v>
      </c>
      <c r="S155" s="1">
        <v>77</v>
      </c>
      <c r="T155" s="1">
        <v>0</v>
      </c>
      <c r="U155" s="1">
        <f>Games[[#This Row],[PointsFor]]-Games[[#This Row],[PointsAgainst]]</f>
        <v>6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0.31272601958849777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73.75</v>
      </c>
      <c r="Z155" s="4">
        <f>Games[[#This Row],[K]]*Games[[#This Row],[POMult]]</f>
        <v>73.75</v>
      </c>
      <c r="AA155" s="4">
        <f>(Games[[#This Row],[Keff]]*Games[[#This Row],[MOVMult]])*(Games[[#This Row],[Result]]-Games[[#This Row],[ExpectedWin%]])</f>
        <v>4.8042532173685943</v>
      </c>
      <c r="AB155" s="4">
        <f>Games[[#This Row],[PreGmRate]]+Games[[#This Row],[RatingChange]]</f>
        <v>1657.2176793360472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41812</v>
      </c>
      <c r="B156" s="2">
        <v>2014</v>
      </c>
      <c r="C156" s="2">
        <f>COUNTIFS(Games[Team],Games[[#This Row],[Team]],Games[Season],Games[[#This Row],[Season]],Games[Date],"&lt;=" &amp; Games[[#This Row],[Date]])</f>
        <v>13</v>
      </c>
      <c r="D156" s="2" t="s">
        <v>83</v>
      </c>
      <c r="E156" s="2" t="s">
        <v>84</v>
      </c>
      <c r="F156" s="1" t="s">
        <v>79</v>
      </c>
      <c r="G156" s="1" t="s">
        <v>60</v>
      </c>
      <c r="H156" s="1" t="s">
        <v>85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1565.6803204807752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1377.0874060179801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0.64613322534490147</v>
      </c>
      <c r="R156" s="1">
        <v>78</v>
      </c>
      <c r="S156" s="1">
        <v>85</v>
      </c>
      <c r="T156" s="1">
        <v>0</v>
      </c>
      <c r="U156" s="1">
        <f>Games[[#This Row],[PointsFor]]-Games[[#This Row],[PointsAgainst]]</f>
        <v>-7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0.31984075560143849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74.05</v>
      </c>
      <c r="Z156" s="4">
        <f>Games[[#This Row],[K]]*Games[[#This Row],[POMult]]</f>
        <v>74.05</v>
      </c>
      <c r="AA156" s="4">
        <f>(Games[[#This Row],[Keff]]*Games[[#This Row],[MOVMult]])*(Games[[#This Row],[Result]]-Games[[#This Row],[ExpectedWin%]])</f>
        <v>-15.303153673950254</v>
      </c>
      <c r="AB156" s="4">
        <f>Games[[#This Row],[PreGmRate]]+Games[[#This Row],[RatingChange]]</f>
        <v>1550.377166806825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41812</v>
      </c>
      <c r="B157" s="2">
        <v>2014</v>
      </c>
      <c r="C157" s="2">
        <f>COUNTIFS(Games[Team],Games[[#This Row],[Team]],Games[Season],Games[[#This Row],[Season]],Games[Date],"&lt;=" &amp; Games[[#This Row],[Date]])</f>
        <v>14</v>
      </c>
      <c r="D157" s="2" t="s">
        <v>83</v>
      </c>
      <c r="E157" s="2" t="s">
        <v>84</v>
      </c>
      <c r="F157" s="1" t="s">
        <v>60</v>
      </c>
      <c r="G157" s="1" t="s">
        <v>79</v>
      </c>
      <c r="H157" s="1" t="s">
        <v>86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1377.0874060179801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1565.6803204807752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0.35386677465509853</v>
      </c>
      <c r="R157" s="1">
        <v>85</v>
      </c>
      <c r="S157" s="1">
        <v>78</v>
      </c>
      <c r="T157" s="1">
        <v>0</v>
      </c>
      <c r="U157" s="1">
        <f>Games[[#This Row],[PointsFor]]-Games[[#This Row],[PointsAgainst]]</f>
        <v>7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0.31984075560143849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15.272154713098228</v>
      </c>
      <c r="AB157" s="4">
        <f>Games[[#This Row],[PreGmRate]]+Games[[#This Row],[RatingChange]]</f>
        <v>1392.3595607310783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41812</v>
      </c>
      <c r="B158" s="2">
        <v>2014</v>
      </c>
      <c r="C158" s="2">
        <f>COUNTIFS(Games[Team],Games[[#This Row],[Team]],Games[Season],Games[[#This Row],[Season]],Games[Date],"&lt;=" &amp; Games[[#This Row],[Date]])</f>
        <v>14</v>
      </c>
      <c r="D158" s="2" t="s">
        <v>83</v>
      </c>
      <c r="E158" s="2" t="s">
        <v>84</v>
      </c>
      <c r="F158" s="1" t="s">
        <v>65</v>
      </c>
      <c r="G158" s="1" t="s">
        <v>71</v>
      </c>
      <c r="H158" s="1" t="s">
        <v>85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-1</v>
      </c>
      <c r="L158" s="2">
        <f>Games[[#This Row],[OppDaysOff]]-Games[[#This Row],[DaysOff]]</f>
        <v>1</v>
      </c>
      <c r="M158" s="1">
        <f>MAX(-16, MIN(16, Games[[#This Row],[RestDiff]]*8))</f>
        <v>-8</v>
      </c>
      <c r="N158" s="1">
        <f>MAX(-16, MIN(16, Games[[#This Row],[OppRestDiff]]*8))</f>
        <v>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1443.7765817103364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1459.8515730550787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0.33890418383478177</v>
      </c>
      <c r="R158" s="1">
        <v>86</v>
      </c>
      <c r="S158" s="1">
        <v>89</v>
      </c>
      <c r="T158" s="1">
        <v>1</v>
      </c>
      <c r="U158" s="1">
        <f>Games[[#This Row],[PointsFor]]-Games[[#This Row],[PointsAgainst]]</f>
        <v>-3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0.25771289189990437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-6.4544243219555408</v>
      </c>
      <c r="AB158" s="4">
        <f>Games[[#This Row],[PreGmRate]]+Games[[#This Row],[RatingChange]]</f>
        <v>1437.3221573883809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41812</v>
      </c>
      <c r="B159" s="2">
        <v>2014</v>
      </c>
      <c r="C159" s="2">
        <f>COUNTIFS(Games[Team],Games[[#This Row],[Team]],Games[Season],Games[[#This Row],[Season]],Games[Date],"&lt;=" &amp; Games[[#This Row],[Date]])</f>
        <v>15</v>
      </c>
      <c r="D159" s="2" t="s">
        <v>83</v>
      </c>
      <c r="E159" s="2" t="s">
        <v>84</v>
      </c>
      <c r="F159" s="1" t="s">
        <v>71</v>
      </c>
      <c r="G159" s="1" t="s">
        <v>65</v>
      </c>
      <c r="H159" s="1" t="s">
        <v>86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1</v>
      </c>
      <c r="L159" s="2">
        <f>Games[[#This Row],[OppDaysOff]]-Games[[#This Row],[DaysOff]]</f>
        <v>-1</v>
      </c>
      <c r="M159" s="1">
        <f>MAX(-16, MIN(16, Games[[#This Row],[RestDiff]]*8))</f>
        <v>8</v>
      </c>
      <c r="N159" s="1">
        <f>MAX(-16, MIN(16, Games[[#This Row],[OppRestDiff]]*8))</f>
        <v>-8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1459.8515730550787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1443.7765817103364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0.66109581616521818</v>
      </c>
      <c r="R159" s="1">
        <v>89</v>
      </c>
      <c r="S159" s="1">
        <v>86</v>
      </c>
      <c r="T159" s="1">
        <v>1</v>
      </c>
      <c r="U159" s="1">
        <f>Games[[#This Row],[PointsFor]]-Games[[#This Row],[PointsAgainst]]</f>
        <v>3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0.25771289189990437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73.75</v>
      </c>
      <c r="Z159" s="4">
        <f>Games[[#This Row],[K]]*Games[[#This Row],[POMult]]</f>
        <v>73.75</v>
      </c>
      <c r="AA159" s="4">
        <f>(Games[[#This Row],[Keff]]*Games[[#This Row],[MOVMult]])*(Games[[#This Row],[Result]]-Games[[#This Row],[ExpectedWin%]])</f>
        <v>6.4413233253615862</v>
      </c>
      <c r="AB159" s="4">
        <f>Games[[#This Row],[PreGmRate]]+Games[[#This Row],[RatingChange]]</f>
        <v>1466.2928963804402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41814</v>
      </c>
      <c r="B160" s="2">
        <v>2014</v>
      </c>
      <c r="C160" s="2">
        <f>COUNTIFS(Games[Team],Games[[#This Row],[Team]],Games[Season],Games[[#This Row],[Season]],Games[Date],"&lt;=" &amp; Games[[#This Row],[Date]])</f>
        <v>16</v>
      </c>
      <c r="D160" s="2" t="s">
        <v>83</v>
      </c>
      <c r="E160" s="2" t="s">
        <v>84</v>
      </c>
      <c r="F160" s="1" t="s">
        <v>71</v>
      </c>
      <c r="G160" s="1" t="s">
        <v>63</v>
      </c>
      <c r="H160" s="1" t="s">
        <v>85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1466.2928963804402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1499.8735642178467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0.33696499537088953</v>
      </c>
      <c r="R160" s="1">
        <v>57</v>
      </c>
      <c r="S160" s="1">
        <v>65</v>
      </c>
      <c r="T160" s="1">
        <v>0</v>
      </c>
      <c r="U160" s="1">
        <f>Games[[#This Row],[PointsFor]]-Games[[#This Row],[PointsAgainst]]</f>
        <v>-8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0.37774476704512155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73.599999999999994</v>
      </c>
      <c r="Z160" s="4">
        <f>Games[[#This Row],[K]]*Games[[#This Row],[POMult]]</f>
        <v>73.599999999999994</v>
      </c>
      <c r="AA160" s="4">
        <f>(Games[[#This Row],[Keff]]*Games[[#This Row],[MOVMult]])*(Games[[#This Row],[Result]]-Games[[#This Row],[ExpectedWin%]])</f>
        <v>-9.3683058067550515</v>
      </c>
      <c r="AB160" s="4">
        <f>Games[[#This Row],[PreGmRate]]+Games[[#This Row],[RatingChange]]</f>
        <v>1456.9245905736852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41814</v>
      </c>
      <c r="B161" s="2">
        <v>2014</v>
      </c>
      <c r="C161" s="2">
        <f>COUNTIFS(Games[Team],Games[[#This Row],[Team]],Games[Season],Games[[#This Row],[Season]],Games[Date],"&lt;=" &amp; Games[[#This Row],[Date]])</f>
        <v>13</v>
      </c>
      <c r="D161" s="2" t="s">
        <v>83</v>
      </c>
      <c r="E161" s="2" t="s">
        <v>84</v>
      </c>
      <c r="F161" s="1" t="s">
        <v>63</v>
      </c>
      <c r="G161" s="1" t="s">
        <v>71</v>
      </c>
      <c r="H161" s="1" t="s">
        <v>86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1499.8735642178467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1466.2928963804402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0.66303500462911047</v>
      </c>
      <c r="R161" s="1">
        <v>65</v>
      </c>
      <c r="S161" s="1">
        <v>57</v>
      </c>
      <c r="T161" s="1">
        <v>0</v>
      </c>
      <c r="U161" s="1">
        <f>Games[[#This Row],[PointsFor]]-Games[[#This Row],[PointsAgainst]]</f>
        <v>8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0.37774476704512155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74.05</v>
      </c>
      <c r="Z161" s="4">
        <f>Games[[#This Row],[K]]*Games[[#This Row],[POMult]]</f>
        <v>74.05</v>
      </c>
      <c r="AA161" s="4">
        <f>(Games[[#This Row],[Keff]]*Games[[#This Row],[MOVMult]])*(Games[[#This Row],[Result]]-Games[[#This Row],[ExpectedWin%]])</f>
        <v>9.425584850410484</v>
      </c>
      <c r="AB161" s="4">
        <f>Games[[#This Row],[PreGmRate]]+Games[[#This Row],[RatingChange]]</f>
        <v>1509.2991490682573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41814</v>
      </c>
      <c r="B162" s="2">
        <v>2014</v>
      </c>
      <c r="C162" s="2">
        <f>COUNTIFS(Games[Team],Games[[#This Row],[Team]],Games[Season],Games[[#This Row],[Season]],Games[Date],"&lt;=" &amp; Games[[#This Row],[Date]])</f>
        <v>15</v>
      </c>
      <c r="D162" s="2" t="s">
        <v>83</v>
      </c>
      <c r="E162" s="2" t="s">
        <v>84</v>
      </c>
      <c r="F162" s="1" t="s">
        <v>65</v>
      </c>
      <c r="G162" s="1" t="s">
        <v>74</v>
      </c>
      <c r="H162" s="1" t="s">
        <v>85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1437.3221573883809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1496.9462129633334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0.30432920556661813</v>
      </c>
      <c r="R162" s="1">
        <v>81</v>
      </c>
      <c r="S162" s="1">
        <v>70</v>
      </c>
      <c r="T162" s="1">
        <v>0</v>
      </c>
      <c r="U162" s="1">
        <f>Games[[#This Row],[PointsFor]]-Games[[#This Row],[PointsAgainst]]</f>
        <v>11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0.41901642158480623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73.75</v>
      </c>
      <c r="Z162" s="4">
        <f>Games[[#This Row],[K]]*Games[[#This Row],[POMult]]</f>
        <v>73.75</v>
      </c>
      <c r="AA162" s="4">
        <f>(Games[[#This Row],[Keff]]*Games[[#This Row],[MOVMult]])*(Games[[#This Row],[Result]]-Games[[#This Row],[ExpectedWin%]])</f>
        <v>21.497939657734456</v>
      </c>
      <c r="AB162" s="4">
        <f>Games[[#This Row],[PreGmRate]]+Games[[#This Row],[RatingChange]]</f>
        <v>1458.8200970461153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41814</v>
      </c>
      <c r="B163" s="2">
        <v>2014</v>
      </c>
      <c r="C163" s="2">
        <f>COUNTIFS(Games[Team],Games[[#This Row],[Team]],Games[Season],Games[[#This Row],[Season]],Games[Date],"&lt;=" &amp; Games[[#This Row],[Date]])</f>
        <v>14</v>
      </c>
      <c r="D163" s="2" t="s">
        <v>83</v>
      </c>
      <c r="E163" s="2" t="s">
        <v>84</v>
      </c>
      <c r="F163" s="1" t="s">
        <v>74</v>
      </c>
      <c r="G163" s="1" t="s">
        <v>65</v>
      </c>
      <c r="H163" s="1" t="s">
        <v>86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1496.9462129633334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1437.3221573883809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0.69567079443338187</v>
      </c>
      <c r="R163" s="1">
        <v>70</v>
      </c>
      <c r="S163" s="1">
        <v>81</v>
      </c>
      <c r="T163" s="1">
        <v>0</v>
      </c>
      <c r="U163" s="1">
        <f>Games[[#This Row],[PointsFor]]-Games[[#This Row],[PointsAgainst]]</f>
        <v>-11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0.41901642158480623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73.900000000000006</v>
      </c>
      <c r="Z163" s="4">
        <f>Games[[#This Row],[K]]*Games[[#This Row],[POMult]]</f>
        <v>73.900000000000006</v>
      </c>
      <c r="AA163" s="4">
        <f>(Games[[#This Row],[Keff]]*Games[[#This Row],[MOVMult]])*(Games[[#This Row],[Result]]-Games[[#This Row],[ExpectedWin%]])</f>
        <v>-21.54166428076714</v>
      </c>
      <c r="AB163" s="4">
        <f>Games[[#This Row],[PreGmRate]]+Games[[#This Row],[RatingChange]]</f>
        <v>1475.4045486825662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41815</v>
      </c>
      <c r="B164" s="2">
        <v>2014</v>
      </c>
      <c r="C164" s="2">
        <f>COUNTIFS(Games[Team],Games[[#This Row],[Team]],Games[Season],Games[[#This Row],[Season]],Games[Date],"&lt;=" &amp; Games[[#This Row],[Date]])</f>
        <v>14</v>
      </c>
      <c r="D164" s="2" t="s">
        <v>83</v>
      </c>
      <c r="E164" s="2" t="s">
        <v>84</v>
      </c>
      <c r="F164" s="1" t="s">
        <v>77</v>
      </c>
      <c r="G164" s="1" t="s">
        <v>76</v>
      </c>
      <c r="H164" s="1" t="s">
        <v>85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64" s="2">
        <f>Games[[#This Row],[DaysOff]]-Games[[#This Row],[OppDaysOff]]</f>
        <v>-5</v>
      </c>
      <c r="L164" s="2">
        <f>Games[[#This Row],[OppDaysOff]]-Games[[#This Row],[DaysOff]]</f>
        <v>5</v>
      </c>
      <c r="M164" s="1">
        <f>MAX(-16, MIN(16, Games[[#This Row],[RestDiff]]*8))</f>
        <v>-16</v>
      </c>
      <c r="N164" s="1">
        <f>MAX(-16, MIN(16, Games[[#This Row],[OppRestDiff]]*8))</f>
        <v>16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1470.4756372703346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1478.6866268009105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0.32849145136403002</v>
      </c>
      <c r="R164" s="1">
        <v>69</v>
      </c>
      <c r="S164" s="1">
        <v>79</v>
      </c>
      <c r="T164" s="1">
        <v>0</v>
      </c>
      <c r="U164" s="1">
        <f>Games[[#This Row],[PointsFor]]-Games[[#This Row],[PointsAgainst]]</f>
        <v>-10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0.42025411422223374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-10.201886421877658</v>
      </c>
      <c r="AB164" s="4">
        <f>Games[[#This Row],[PreGmRate]]+Games[[#This Row],[RatingChange]]</f>
        <v>1460.273750848457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41815</v>
      </c>
      <c r="B165" s="2">
        <v>2014</v>
      </c>
      <c r="C165" s="2">
        <f>COUNTIFS(Games[Team],Games[[#This Row],[Team]],Games[Season],Games[[#This Row],[Season]],Games[Date],"&lt;=" &amp; Games[[#This Row],[Date]])</f>
        <v>14</v>
      </c>
      <c r="D165" s="2" t="s">
        <v>83</v>
      </c>
      <c r="E165" s="2" t="s">
        <v>84</v>
      </c>
      <c r="F165" s="1" t="s">
        <v>76</v>
      </c>
      <c r="G165" s="1" t="s">
        <v>77</v>
      </c>
      <c r="H165" s="1" t="s">
        <v>86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7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5" s="2">
        <f>Games[[#This Row],[DaysOff]]-Games[[#This Row],[OppDaysOff]]</f>
        <v>5</v>
      </c>
      <c r="L165" s="2">
        <f>Games[[#This Row],[OppDaysOff]]-Games[[#This Row],[DaysOff]]</f>
        <v>-5</v>
      </c>
      <c r="M165" s="1">
        <f>MAX(-16, MIN(16, Games[[#This Row],[RestDiff]]*8))</f>
        <v>16</v>
      </c>
      <c r="N165" s="1">
        <f>MAX(-16, MIN(16, Games[[#This Row],[OppRestDiff]]*8))</f>
        <v>-16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1478.6866268009105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1470.4756372703346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0.67150854863596998</v>
      </c>
      <c r="R165" s="1">
        <v>79</v>
      </c>
      <c r="S165" s="1">
        <v>69</v>
      </c>
      <c r="T165" s="1">
        <v>0</v>
      </c>
      <c r="U165" s="1">
        <f>Games[[#This Row],[PointsFor]]-Games[[#This Row],[PointsAgainst]]</f>
        <v>10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0.42025411422223374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73.900000000000006</v>
      </c>
      <c r="Z165" s="4">
        <f>Games[[#This Row],[K]]*Games[[#This Row],[POMult]]</f>
        <v>73.900000000000006</v>
      </c>
      <c r="AA165" s="4">
        <f>(Games[[#This Row],[Keff]]*Games[[#This Row],[MOVMult]])*(Games[[#This Row],[Result]]-Games[[#This Row],[ExpectedWin%]])</f>
        <v>10.201886421877658</v>
      </c>
      <c r="AB165" s="4">
        <f>Games[[#This Row],[PreGmRate]]+Games[[#This Row],[RatingChange]]</f>
        <v>1488.8885132227881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41815</v>
      </c>
      <c r="B166" s="2">
        <v>2014</v>
      </c>
      <c r="C166" s="2">
        <f>COUNTIFS(Games[Team],Games[[#This Row],[Team]],Games[Season],Games[[#This Row],[Season]],Games[Date],"&lt;=" &amp; Games[[#This Row],[Date]])</f>
        <v>13</v>
      </c>
      <c r="D166" s="2" t="s">
        <v>83</v>
      </c>
      <c r="E166" s="2" t="s">
        <v>84</v>
      </c>
      <c r="F166" s="1" t="s">
        <v>81</v>
      </c>
      <c r="G166" s="1" t="s">
        <v>69</v>
      </c>
      <c r="H166" s="1" t="s">
        <v>85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1463.7650571889565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1499.6366532441261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0.33402498141372111</v>
      </c>
      <c r="R166" s="1">
        <v>107</v>
      </c>
      <c r="S166" s="1">
        <v>102</v>
      </c>
      <c r="T166" s="1">
        <v>1</v>
      </c>
      <c r="U166" s="1">
        <f>Games[[#This Row],[PointsFor]]-Games[[#This Row],[PointsAgainst]]</f>
        <v>5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0.2899139802563705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74.05</v>
      </c>
      <c r="Z166" s="4">
        <f>Games[[#This Row],[K]]*Games[[#This Row],[POMult]]</f>
        <v>74.05</v>
      </c>
      <c r="AA166" s="4">
        <f>(Games[[#This Row],[Keff]]*Games[[#This Row],[MOVMult]])*(Games[[#This Row],[Result]]-Games[[#This Row],[ExpectedWin%]])</f>
        <v>14.297238434254208</v>
      </c>
      <c r="AB166" s="4">
        <f>Games[[#This Row],[PreGmRate]]+Games[[#This Row],[RatingChange]]</f>
        <v>1478.0622956232107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41815</v>
      </c>
      <c r="B167" s="2">
        <v>2014</v>
      </c>
      <c r="C167" s="2">
        <f>COUNTIFS(Games[Team],Games[[#This Row],[Team]],Games[Season],Games[[#This Row],[Season]],Games[Date],"&lt;=" &amp; Games[[#This Row],[Date]])</f>
        <v>13</v>
      </c>
      <c r="D167" s="2" t="s">
        <v>83</v>
      </c>
      <c r="E167" s="2" t="s">
        <v>84</v>
      </c>
      <c r="F167" s="1" t="s">
        <v>69</v>
      </c>
      <c r="G167" s="1" t="s">
        <v>81</v>
      </c>
      <c r="H167" s="1" t="s">
        <v>86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1499.6366532441261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1463.7650571889565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0.66597501858627894</v>
      </c>
      <c r="R167" s="1">
        <v>102</v>
      </c>
      <c r="S167" s="1">
        <v>107</v>
      </c>
      <c r="T167" s="1">
        <v>1</v>
      </c>
      <c r="U167" s="1">
        <f>Games[[#This Row],[PointsFor]]-Games[[#This Row],[PointsAgainst]]</f>
        <v>-5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0.2899139802563705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-14.297238434254208</v>
      </c>
      <c r="AB167" s="4">
        <f>Games[[#This Row],[PreGmRate]]+Games[[#This Row],[RatingChange]]</f>
        <v>1485.3394148098719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41816</v>
      </c>
      <c r="B168" s="2">
        <v>2014</v>
      </c>
      <c r="C168" s="2">
        <f>COUNTIFS(Games[Team],Games[[#This Row],[Team]],Games[Season],Games[[#This Row],[Season]],Games[Date],"&lt;=" &amp; Games[[#This Row],[Date]])</f>
        <v>14</v>
      </c>
      <c r="D168" s="2" t="s">
        <v>83</v>
      </c>
      <c r="E168" s="2" t="s">
        <v>84</v>
      </c>
      <c r="F168" s="1" t="s">
        <v>79</v>
      </c>
      <c r="G168" s="1" t="s">
        <v>74</v>
      </c>
      <c r="H168" s="1" t="s">
        <v>85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2</v>
      </c>
      <c r="L168" s="2">
        <f>Games[[#This Row],[OppDaysOff]]-Games[[#This Row],[DaysOff]]</f>
        <v>-2</v>
      </c>
      <c r="M168" s="1">
        <f>MAX(-16, MIN(16, Games[[#This Row],[RestDiff]]*8))</f>
        <v>16</v>
      </c>
      <c r="N168" s="1">
        <f>MAX(-16, MIN(16, Games[[#This Row],[OppRestDiff]]*8))</f>
        <v>-16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1550.377166806825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1475.4045486825662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0.53301216017955988</v>
      </c>
      <c r="R168" s="1">
        <v>81</v>
      </c>
      <c r="S168" s="1">
        <v>79</v>
      </c>
      <c r="T168" s="1">
        <v>0</v>
      </c>
      <c r="U168" s="1">
        <f>Games[[#This Row],[PointsFor]]-Games[[#This Row],[PointsAgainst]]</f>
        <v>2</v>
      </c>
      <c r="V168" s="1">
        <f>IF(Games[[#This Row],[MOV]]&gt;0,1,IF(Games[[#This Row],[MOV]]=0,0.5,0))</f>
        <v>1</v>
      </c>
      <c r="W168" s="4">
        <f>((ABS(Games[[#This Row],[MOV]])+5)^0.6)/(12+0.01*(ABS(Games[[#This Row],[PreGmRate]]-Games[[#This Row],[OppPreGmRate]])))*IF(Games[[#This Row],[OT]]=1,0.9,1)</f>
        <v>0.25209136290664969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8.6997741139862388</v>
      </c>
      <c r="AB168" s="4">
        <f>Games[[#This Row],[PreGmRate]]+Games[[#This Row],[RatingChange]]</f>
        <v>1559.0769409208112</v>
      </c>
      <c r="AC168" s="2">
        <f>IF(Games[[#This Row],[Type]]="R",IF(Games[[#This Row],[Result]]&gt;0.5,1,0),0)</f>
        <v>1</v>
      </c>
      <c r="AD168" s="2">
        <f>IF(Games[[#This Row],[Type]]="R",IF(Games[[#This Row],[Result]]&lt;0.5,1,0),0)</f>
        <v>0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41816</v>
      </c>
      <c r="B169" s="2">
        <v>2014</v>
      </c>
      <c r="C169" s="2">
        <f>COUNTIFS(Games[Team],Games[[#This Row],[Team]],Games[Season],Games[[#This Row],[Season]],Games[Date],"&lt;=" &amp; Games[[#This Row],[Date]])</f>
        <v>15</v>
      </c>
      <c r="D169" s="2" t="s">
        <v>83</v>
      </c>
      <c r="E169" s="2" t="s">
        <v>84</v>
      </c>
      <c r="F169" s="1" t="s">
        <v>74</v>
      </c>
      <c r="G169" s="1" t="s">
        <v>79</v>
      </c>
      <c r="H169" s="1" t="s">
        <v>86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9" s="2">
        <f>Games[[#This Row],[DaysOff]]-Games[[#This Row],[OppDaysOff]]</f>
        <v>-2</v>
      </c>
      <c r="L169" s="2">
        <f>Games[[#This Row],[OppDaysOff]]-Games[[#This Row],[DaysOff]]</f>
        <v>2</v>
      </c>
      <c r="M169" s="1">
        <f>MAX(-16, MIN(16, Games[[#This Row],[RestDiff]]*8))</f>
        <v>-16</v>
      </c>
      <c r="N169" s="1">
        <f>MAX(-16, MIN(16, Games[[#This Row],[OppRestDiff]]*8))</f>
        <v>16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1475.4045486825662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1550.377166806825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0.46698783982044018</v>
      </c>
      <c r="R169" s="1">
        <v>79</v>
      </c>
      <c r="S169" s="1">
        <v>81</v>
      </c>
      <c r="T169" s="1">
        <v>0</v>
      </c>
      <c r="U169" s="1">
        <f>Games[[#This Row],[PointsFor]]-Games[[#This Row],[PointsAgainst]]</f>
        <v>-2</v>
      </c>
      <c r="V169" s="1">
        <f>IF(Games[[#This Row],[MOV]]&gt;0,1,IF(Games[[#This Row],[MOV]]=0,0.5,0))</f>
        <v>0</v>
      </c>
      <c r="W169" s="4">
        <f>((ABS(Games[[#This Row],[MOV]])+5)^0.6)/(12+0.01*(ABS(Games[[#This Row],[PreGmRate]]-Games[[#This Row],[OppPreGmRate]])))*IF(Games[[#This Row],[OT]]=1,0.9,1)</f>
        <v>0.25209136290664969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73.75</v>
      </c>
      <c r="Z169" s="4">
        <f>Games[[#This Row],[K]]*Games[[#This Row],[POMult]]</f>
        <v>73.75</v>
      </c>
      <c r="AA169" s="4">
        <f>(Games[[#This Row],[Keff]]*Games[[#This Row],[MOVMult]])*(Games[[#This Row],[Result]]-Games[[#This Row],[ExpectedWin%]])</f>
        <v>-8.6821155738360645</v>
      </c>
      <c r="AB169" s="4">
        <f>Games[[#This Row],[PreGmRate]]+Games[[#This Row],[RatingChange]]</f>
        <v>1466.7224331087302</v>
      </c>
      <c r="AC169" s="2">
        <f>IF(Games[[#This Row],[Type]]="R",IF(Games[[#This Row],[Result]]&gt;0.5,1,0),0)</f>
        <v>0</v>
      </c>
      <c r="AD169" s="2">
        <f>IF(Games[[#This Row],[Type]]="R",IF(Games[[#This Row],[Result]]&lt;0.5,1,0),0)</f>
        <v>1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41817</v>
      </c>
      <c r="B170" s="2">
        <v>2014</v>
      </c>
      <c r="C170" s="2">
        <f>COUNTIFS(Games[Team],Games[[#This Row],[Team]],Games[Season],Games[[#This Row],[Season]],Games[Date],"&lt;=" &amp; Games[[#This Row],[Date]])</f>
        <v>13</v>
      </c>
      <c r="D170" s="2" t="s">
        <v>83</v>
      </c>
      <c r="E170" s="2" t="s">
        <v>84</v>
      </c>
      <c r="F170" s="1" t="s">
        <v>40</v>
      </c>
      <c r="G170" s="1" t="s">
        <v>69</v>
      </c>
      <c r="H170" s="1" t="s">
        <v>85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6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5</v>
      </c>
      <c r="L170" s="2">
        <f>Games[[#This Row],[OppDaysOff]]-Games[[#This Row],[DaysOff]]</f>
        <v>-5</v>
      </c>
      <c r="M170" s="1">
        <f>MAX(-16, MIN(16, Games[[#This Row],[RestDiff]]*8))</f>
        <v>16</v>
      </c>
      <c r="N170" s="1">
        <f>MAX(-16, MIN(16, Games[[#This Row],[OppRestDiff]]*8))</f>
        <v>-16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1588.731559470388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1485.3394148098719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0.57342451440597442</v>
      </c>
      <c r="R170" s="1">
        <v>81</v>
      </c>
      <c r="S170" s="1">
        <v>76</v>
      </c>
      <c r="T170" s="1">
        <v>0</v>
      </c>
      <c r="U170" s="1">
        <f>Games[[#This Row],[PointsFor]]-Games[[#This Row],[PointsAgainst]]</f>
        <v>5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0.30543928946049387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74.05</v>
      </c>
      <c r="Z170" s="4">
        <f>Games[[#This Row],[K]]*Games[[#This Row],[POMult]]</f>
        <v>74.05</v>
      </c>
      <c r="AA170" s="4">
        <f>(Games[[#This Row],[Keff]]*Games[[#This Row],[MOVMult]])*(Games[[#This Row],[Result]]-Games[[#This Row],[ExpectedWin%]])</f>
        <v>9.648190224022775</v>
      </c>
      <c r="AB170" s="4">
        <f>Games[[#This Row],[PreGmRate]]+Games[[#This Row],[RatingChange]]</f>
        <v>1598.3797496944107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41817</v>
      </c>
      <c r="B171" s="2">
        <v>2014</v>
      </c>
      <c r="C171" s="2">
        <f>COUNTIFS(Games[Team],Games[[#This Row],[Team]],Games[Season],Games[[#This Row],[Season]],Games[Date],"&lt;=" &amp; Games[[#This Row],[Date]])</f>
        <v>14</v>
      </c>
      <c r="D171" s="2" t="s">
        <v>83</v>
      </c>
      <c r="E171" s="2" t="s">
        <v>84</v>
      </c>
      <c r="F171" s="1" t="s">
        <v>69</v>
      </c>
      <c r="G171" s="1" t="s">
        <v>40</v>
      </c>
      <c r="H171" s="1" t="s">
        <v>86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71" s="2">
        <f>Games[[#This Row],[DaysOff]]-Games[[#This Row],[OppDaysOff]]</f>
        <v>-5</v>
      </c>
      <c r="L171" s="2">
        <f>Games[[#This Row],[OppDaysOff]]-Games[[#This Row],[DaysOff]]</f>
        <v>5</v>
      </c>
      <c r="M171" s="1">
        <f>MAX(-16, MIN(16, Games[[#This Row],[RestDiff]]*8))</f>
        <v>-16</v>
      </c>
      <c r="N171" s="1">
        <f>MAX(-16, MIN(16, Games[[#This Row],[OppRestDiff]]*8))</f>
        <v>16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1485.3394148098719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1588.731559470388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0.42657548559402558</v>
      </c>
      <c r="R171" s="1">
        <v>76</v>
      </c>
      <c r="S171" s="1">
        <v>81</v>
      </c>
      <c r="T171" s="1">
        <v>0</v>
      </c>
      <c r="U171" s="1">
        <f>Games[[#This Row],[PointsFor]]-Games[[#This Row],[PointsAgainst]]</f>
        <v>-5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0.30543928946049387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-9.6286462870396097</v>
      </c>
      <c r="AB171" s="4">
        <f>Games[[#This Row],[PreGmRate]]+Games[[#This Row],[RatingChange]]</f>
        <v>1475.7107685228323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41817</v>
      </c>
      <c r="B172" s="2">
        <v>2014</v>
      </c>
      <c r="C172" s="2">
        <f>COUNTIFS(Games[Team],Games[[#This Row],[Team]],Games[Season],Games[[#This Row],[Season]],Games[Date],"&lt;=" &amp; Games[[#This Row],[Date]])</f>
        <v>15</v>
      </c>
      <c r="D172" s="2" t="s">
        <v>83</v>
      </c>
      <c r="E172" s="2" t="s">
        <v>84</v>
      </c>
      <c r="F172" s="1" t="s">
        <v>77</v>
      </c>
      <c r="G172" s="1" t="s">
        <v>60</v>
      </c>
      <c r="H172" s="1" t="s">
        <v>85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2" s="2">
        <f>Games[[#This Row],[DaysOff]]-Games[[#This Row],[OppDaysOff]]</f>
        <v>-3</v>
      </c>
      <c r="L172" s="2">
        <f>Games[[#This Row],[OppDaysOff]]-Games[[#This Row],[DaysOff]]</f>
        <v>3</v>
      </c>
      <c r="M172" s="1">
        <f>MAX(-16, MIN(16, Games[[#This Row],[RestDiff]]*8))</f>
        <v>-16</v>
      </c>
      <c r="N172" s="1">
        <f>MAX(-16, MIN(16, Games[[#This Row],[OppRestDiff]]*8))</f>
        <v>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1460.273750848457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1392.3595607310783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0.43123744924757118</v>
      </c>
      <c r="R172" s="1">
        <v>73</v>
      </c>
      <c r="S172" s="1">
        <v>69</v>
      </c>
      <c r="T172" s="1">
        <v>0</v>
      </c>
      <c r="U172" s="1">
        <f>Games[[#This Row],[PointsFor]]-Games[[#This Row],[PointsAgainst]]</f>
        <v>4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0.29475124168304934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73.75</v>
      </c>
      <c r="Z172" s="4">
        <f>Games[[#This Row],[K]]*Games[[#This Row],[POMult]]</f>
        <v>73.75</v>
      </c>
      <c r="AA172" s="4">
        <f>(Games[[#This Row],[Keff]]*Games[[#This Row],[MOVMult]])*(Games[[#This Row],[Result]]-Games[[#This Row],[ExpectedWin%]])</f>
        <v>12.363705769210885</v>
      </c>
      <c r="AB172" s="4">
        <f>Games[[#This Row],[PreGmRate]]+Games[[#This Row],[RatingChange]]</f>
        <v>1472.6374566176678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41817</v>
      </c>
      <c r="B173" s="2">
        <v>2014</v>
      </c>
      <c r="C173" s="2">
        <f>COUNTIFS(Games[Team],Games[[#This Row],[Team]],Games[Season],Games[[#This Row],[Season]],Games[Date],"&lt;=" &amp; Games[[#This Row],[Date]])</f>
        <v>15</v>
      </c>
      <c r="D173" s="2" t="s">
        <v>83</v>
      </c>
      <c r="E173" s="2" t="s">
        <v>84</v>
      </c>
      <c r="F173" s="1" t="s">
        <v>60</v>
      </c>
      <c r="G173" s="1" t="s">
        <v>77</v>
      </c>
      <c r="H173" s="1" t="s">
        <v>86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3</v>
      </c>
      <c r="L173" s="2">
        <f>Games[[#This Row],[OppDaysOff]]-Games[[#This Row],[DaysOff]]</f>
        <v>-3</v>
      </c>
      <c r="M173" s="1">
        <f>MAX(-16, MIN(16, Games[[#This Row],[RestDiff]]*8))</f>
        <v>16</v>
      </c>
      <c r="N173" s="1">
        <f>MAX(-16, MIN(16, Games[[#This Row],[OppRestDiff]]*8))</f>
        <v>-16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1392.3595607310783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1460.273750848457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0.56876255075242876</v>
      </c>
      <c r="R173" s="1">
        <v>69</v>
      </c>
      <c r="S173" s="1">
        <v>73</v>
      </c>
      <c r="T173" s="1">
        <v>0</v>
      </c>
      <c r="U173" s="1">
        <f>Games[[#This Row],[PointsFor]]-Games[[#This Row],[PointsAgainst]]</f>
        <v>-4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0.29475124168304934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73.75</v>
      </c>
      <c r="Z173" s="4">
        <f>Games[[#This Row],[K]]*Games[[#This Row],[POMult]]</f>
        <v>73.75</v>
      </c>
      <c r="AA173" s="4">
        <f>(Games[[#This Row],[Keff]]*Games[[#This Row],[MOVMult]])*(Games[[#This Row],[Result]]-Games[[#This Row],[ExpectedWin%]])</f>
        <v>-12.363705769210885</v>
      </c>
      <c r="AB173" s="4">
        <f>Games[[#This Row],[PreGmRate]]+Games[[#This Row],[RatingChange]]</f>
        <v>1379.9958549618675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41817</v>
      </c>
      <c r="B174" s="2">
        <v>2014</v>
      </c>
      <c r="C174" s="2">
        <f>COUNTIFS(Games[Team],Games[[#This Row],[Team]],Games[Season],Games[[#This Row],[Season]],Games[Date],"&lt;=" &amp; Games[[#This Row],[Date]])</f>
        <v>16</v>
      </c>
      <c r="D174" s="2" t="s">
        <v>83</v>
      </c>
      <c r="E174" s="2" t="s">
        <v>84</v>
      </c>
      <c r="F174" s="1" t="s">
        <v>67</v>
      </c>
      <c r="G174" s="1" t="s">
        <v>71</v>
      </c>
      <c r="H174" s="1" t="s">
        <v>85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2</v>
      </c>
      <c r="L174" s="2">
        <f>Games[[#This Row],[OppDaysOff]]-Games[[#This Row],[DaysOff]]</f>
        <v>-2</v>
      </c>
      <c r="M174" s="1">
        <f>MAX(-16, MIN(16, Games[[#This Row],[RestDiff]]*8))</f>
        <v>16</v>
      </c>
      <c r="N174" s="1">
        <f>MAX(-16, MIN(16, Games[[#This Row],[OppRestDiff]]*8))</f>
        <v>-16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1657.2176793360472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1456.9245905736852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0.70133091988647578</v>
      </c>
      <c r="R174" s="1">
        <v>71</v>
      </c>
      <c r="S174" s="1">
        <v>81</v>
      </c>
      <c r="T174" s="1">
        <v>0</v>
      </c>
      <c r="U174" s="1">
        <f>Games[[#This Row],[PointsFor]]-Games[[#This Row],[PointsAgainst]]</f>
        <v>-10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0.36260668803808532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73.599999999999994</v>
      </c>
      <c r="Z174" s="4">
        <f>Games[[#This Row],[K]]*Games[[#This Row],[POMult]]</f>
        <v>73.599999999999994</v>
      </c>
      <c r="AA174" s="4">
        <f>(Games[[#This Row],[Keff]]*Games[[#This Row],[MOVMult]])*(Games[[#This Row],[Result]]-Games[[#This Row],[ExpectedWin%]])</f>
        <v>-18.71701596099517</v>
      </c>
      <c r="AB174" s="4">
        <f>Games[[#This Row],[PreGmRate]]+Games[[#This Row],[RatingChange]]</f>
        <v>1638.500663375052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41817</v>
      </c>
      <c r="B175" s="2">
        <v>2014</v>
      </c>
      <c r="C175" s="2">
        <f>COUNTIFS(Games[Team],Games[[#This Row],[Team]],Games[Season],Games[[#This Row],[Season]],Games[Date],"&lt;=" &amp; Games[[#This Row],[Date]])</f>
        <v>17</v>
      </c>
      <c r="D175" s="2" t="s">
        <v>83</v>
      </c>
      <c r="E175" s="2" t="s">
        <v>84</v>
      </c>
      <c r="F175" s="1" t="s">
        <v>71</v>
      </c>
      <c r="G175" s="1" t="s">
        <v>67</v>
      </c>
      <c r="H175" s="1" t="s">
        <v>86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5" s="2">
        <f>Games[[#This Row],[DaysOff]]-Games[[#This Row],[OppDaysOff]]</f>
        <v>-2</v>
      </c>
      <c r="L175" s="2">
        <f>Games[[#This Row],[OppDaysOff]]-Games[[#This Row],[DaysOff]]</f>
        <v>2</v>
      </c>
      <c r="M175" s="1">
        <f>MAX(-16, MIN(16, Games[[#This Row],[RestDiff]]*8))</f>
        <v>-16</v>
      </c>
      <c r="N175" s="1">
        <f>MAX(-16, MIN(16, Games[[#This Row],[OppRestDiff]]*8))</f>
        <v>16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1456.9245905736852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1657.2176793360472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0.29866908011352417</v>
      </c>
      <c r="R175" s="1">
        <v>81</v>
      </c>
      <c r="S175" s="1">
        <v>71</v>
      </c>
      <c r="T175" s="1">
        <v>0</v>
      </c>
      <c r="U175" s="1">
        <f>Games[[#This Row],[PointsFor]]-Games[[#This Row],[PointsAgainst]]</f>
        <v>10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0.36260668803808532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73.45</v>
      </c>
      <c r="Z175" s="4">
        <f>Games[[#This Row],[K]]*Games[[#This Row],[POMult]]</f>
        <v>73.45</v>
      </c>
      <c r="AA175" s="4">
        <f>(Games[[#This Row],[Keff]]*Games[[#This Row],[MOVMult]])*(Games[[#This Row],[Result]]-Games[[#This Row],[ExpectedWin%]])</f>
        <v>18.678869868683364</v>
      </c>
      <c r="AB175" s="4">
        <f>Games[[#This Row],[PreGmRate]]+Games[[#This Row],[RatingChange]]</f>
        <v>1475.6034604423685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41817</v>
      </c>
      <c r="B176" s="2">
        <v>2014</v>
      </c>
      <c r="C176" s="2">
        <f>COUNTIFS(Games[Team],Games[[#This Row],[Team]],Games[Season],Games[[#This Row],[Season]],Games[Date],"&lt;=" &amp; Games[[#This Row],[Date]])</f>
        <v>15</v>
      </c>
      <c r="D176" s="2" t="s">
        <v>83</v>
      </c>
      <c r="E176" s="2" t="s">
        <v>84</v>
      </c>
      <c r="F176" s="1" t="s">
        <v>76</v>
      </c>
      <c r="G176" s="1" t="s">
        <v>65</v>
      </c>
      <c r="H176" s="1" t="s">
        <v>85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6" s="2">
        <f>Games[[#This Row],[DaysOff]]-Games[[#This Row],[OppDaysOff]]</f>
        <v>-1</v>
      </c>
      <c r="L176" s="2">
        <f>Games[[#This Row],[OppDaysOff]]-Games[[#This Row],[DaysOff]]</f>
        <v>1</v>
      </c>
      <c r="M176" s="1">
        <f>MAX(-16, MIN(16, Games[[#This Row],[RestDiff]]*8))</f>
        <v>-8</v>
      </c>
      <c r="N176" s="1">
        <f>MAX(-16, MIN(16, Games[[#This Row],[OppRestDiff]]*8))</f>
        <v>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1488.8885132227881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1458.8200970461153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0.4006977748019645</v>
      </c>
      <c r="R176" s="1">
        <v>63</v>
      </c>
      <c r="S176" s="1">
        <v>69</v>
      </c>
      <c r="T176" s="1">
        <v>0</v>
      </c>
      <c r="U176" s="1">
        <f>Games[[#This Row],[PointsFor]]-Games[[#This Row],[PointsAgainst]]</f>
        <v>-6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0.34269387601985651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-10.12710467500699</v>
      </c>
      <c r="AB176" s="4">
        <f>Games[[#This Row],[PreGmRate]]+Games[[#This Row],[RatingChange]]</f>
        <v>1478.7614085477812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41817</v>
      </c>
      <c r="B177" s="2">
        <v>2014</v>
      </c>
      <c r="C177" s="2">
        <f>COUNTIFS(Games[Team],Games[[#This Row],[Team]],Games[Season],Games[[#This Row],[Season]],Games[Date],"&lt;=" &amp; Games[[#This Row],[Date]])</f>
        <v>16</v>
      </c>
      <c r="D177" s="2" t="s">
        <v>83</v>
      </c>
      <c r="E177" s="2" t="s">
        <v>84</v>
      </c>
      <c r="F177" s="1" t="s">
        <v>65</v>
      </c>
      <c r="G177" s="1" t="s">
        <v>76</v>
      </c>
      <c r="H177" s="1" t="s">
        <v>86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1</v>
      </c>
      <c r="L177" s="2">
        <f>Games[[#This Row],[OppDaysOff]]-Games[[#This Row],[DaysOff]]</f>
        <v>-1</v>
      </c>
      <c r="M177" s="1">
        <f>MAX(-16, MIN(16, Games[[#This Row],[RestDiff]]*8))</f>
        <v>8</v>
      </c>
      <c r="N177" s="1">
        <f>MAX(-16, MIN(16, Games[[#This Row],[OppRestDiff]]*8))</f>
        <v>-8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1458.8200970461153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1488.8885132227881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0.59930222519803544</v>
      </c>
      <c r="R177" s="1">
        <v>69</v>
      </c>
      <c r="S177" s="1">
        <v>63</v>
      </c>
      <c r="T177" s="1">
        <v>0</v>
      </c>
      <c r="U177" s="1">
        <f>Games[[#This Row],[PointsFor]]-Games[[#This Row],[PointsAgainst]]</f>
        <v>6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0.34269387601985651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73.599999999999994</v>
      </c>
      <c r="Z177" s="4">
        <f>Games[[#This Row],[K]]*Games[[#This Row],[POMult]]</f>
        <v>73.599999999999994</v>
      </c>
      <c r="AA177" s="4">
        <f>(Games[[#This Row],[Keff]]*Games[[#This Row],[MOVMult]])*(Games[[#This Row],[Result]]-Games[[#This Row],[ExpectedWin%]])</f>
        <v>10.106507173973078</v>
      </c>
      <c r="AB177" s="4">
        <f>Games[[#This Row],[PreGmRate]]+Games[[#This Row],[RatingChange]]</f>
        <v>1468.9266042200884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41818</v>
      </c>
      <c r="B178" s="2">
        <v>2014</v>
      </c>
      <c r="C178" s="2">
        <f>COUNTIFS(Games[Team],Games[[#This Row],[Team]],Games[Season],Games[[#This Row],[Season]],Games[Date],"&lt;=" &amp; Games[[#This Row],[Date]])</f>
        <v>14</v>
      </c>
      <c r="D178" s="2" t="s">
        <v>83</v>
      </c>
      <c r="E178" s="2" t="s">
        <v>84</v>
      </c>
      <c r="F178" s="1" t="s">
        <v>63</v>
      </c>
      <c r="G178" s="1" t="s">
        <v>81</v>
      </c>
      <c r="H178" s="1" t="s">
        <v>85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8" s="2">
        <f>Games[[#This Row],[DaysOff]]-Games[[#This Row],[OppDaysOff]]</f>
        <v>1</v>
      </c>
      <c r="L178" s="2">
        <f>Games[[#This Row],[OppDaysOff]]-Games[[#This Row],[DaysOff]]</f>
        <v>-1</v>
      </c>
      <c r="M178" s="1">
        <f>MAX(-16, MIN(16, Games[[#This Row],[RestDiff]]*8))</f>
        <v>8</v>
      </c>
      <c r="N178" s="1">
        <f>MAX(-16, MIN(16, Games[[#This Row],[OppRestDiff]]*8))</f>
        <v>-8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1509.2991490682573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1478.0622956232107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0.44729015198509564</v>
      </c>
      <c r="R178" s="1">
        <v>92</v>
      </c>
      <c r="S178" s="1">
        <v>89</v>
      </c>
      <c r="T178" s="1">
        <v>1</v>
      </c>
      <c r="U178" s="1">
        <f>Games[[#This Row],[PointsFor]]-Games[[#This Row],[PointsAgainst]]</f>
        <v>3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0.25453932921980432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73.900000000000006</v>
      </c>
      <c r="Z178" s="4">
        <f>Games[[#This Row],[K]]*Games[[#This Row],[POMult]]</f>
        <v>73.900000000000006</v>
      </c>
      <c r="AA178" s="4">
        <f>(Games[[#This Row],[Keff]]*Games[[#This Row],[MOVMult]])*(Games[[#This Row],[Result]]-Games[[#This Row],[ExpectedWin%]])</f>
        <v>10.396724514153451</v>
      </c>
      <c r="AB178" s="4">
        <f>Games[[#This Row],[PreGmRate]]+Games[[#This Row],[RatingChange]]</f>
        <v>1519.6958735824107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41818</v>
      </c>
      <c r="B179" s="2">
        <v>2014</v>
      </c>
      <c r="C179" s="2">
        <f>COUNTIFS(Games[Team],Games[[#This Row],[Team]],Games[Season],Games[[#This Row],[Season]],Games[Date],"&lt;=" &amp; Games[[#This Row],[Date]])</f>
        <v>14</v>
      </c>
      <c r="D179" s="2" t="s">
        <v>83</v>
      </c>
      <c r="E179" s="2" t="s">
        <v>84</v>
      </c>
      <c r="F179" s="1" t="s">
        <v>81</v>
      </c>
      <c r="G179" s="1" t="s">
        <v>63</v>
      </c>
      <c r="H179" s="1" t="s">
        <v>86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9" s="2">
        <f>Games[[#This Row],[DaysOff]]-Games[[#This Row],[OppDaysOff]]</f>
        <v>-1</v>
      </c>
      <c r="L179" s="2">
        <f>Games[[#This Row],[OppDaysOff]]-Games[[#This Row],[DaysOff]]</f>
        <v>1</v>
      </c>
      <c r="M179" s="1">
        <f>MAX(-16, MIN(16, Games[[#This Row],[RestDiff]]*8))</f>
        <v>-8</v>
      </c>
      <c r="N179" s="1">
        <f>MAX(-16, MIN(16, Games[[#This Row],[OppRestDiff]]*8))</f>
        <v>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1478.0622956232107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1509.2991490682573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0.5527098480149043</v>
      </c>
      <c r="R179" s="1">
        <v>89</v>
      </c>
      <c r="S179" s="1">
        <v>92</v>
      </c>
      <c r="T179" s="1">
        <v>1</v>
      </c>
      <c r="U179" s="1">
        <f>Games[[#This Row],[PointsFor]]-Games[[#This Row],[PointsAgainst]]</f>
        <v>-3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0.25453932921980432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73.900000000000006</v>
      </c>
      <c r="Z179" s="4">
        <f>Games[[#This Row],[K]]*Games[[#This Row],[POMult]]</f>
        <v>73.900000000000006</v>
      </c>
      <c r="AA179" s="4">
        <f>(Games[[#This Row],[Keff]]*Games[[#This Row],[MOVMult]])*(Games[[#This Row],[Result]]-Games[[#This Row],[ExpectedWin%]])</f>
        <v>-10.396724514153449</v>
      </c>
      <c r="AB179" s="4">
        <f>Games[[#This Row],[PreGmRate]]+Games[[#This Row],[RatingChange]]</f>
        <v>1467.6655711090573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41819</v>
      </c>
      <c r="B180" s="2">
        <v>2014</v>
      </c>
      <c r="C180" s="2">
        <f>COUNTIFS(Games[Team],Games[[#This Row],[Team]],Games[Season],Games[[#This Row],[Season]],Games[Date],"&lt;=" &amp; Games[[#This Row],[Date]])</f>
        <v>15</v>
      </c>
      <c r="D180" s="2" t="s">
        <v>83</v>
      </c>
      <c r="E180" s="2" t="s">
        <v>84</v>
      </c>
      <c r="F180" s="1" t="s">
        <v>79</v>
      </c>
      <c r="G180" s="1" t="s">
        <v>69</v>
      </c>
      <c r="H180" s="1" t="s">
        <v>85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1</v>
      </c>
      <c r="L180" s="2">
        <f>Games[[#This Row],[OppDaysOff]]-Games[[#This Row],[DaysOff]]</f>
        <v>-1</v>
      </c>
      <c r="M180" s="1">
        <f>MAX(-16, MIN(16, Games[[#This Row],[RestDiff]]*8))</f>
        <v>8</v>
      </c>
      <c r="N180" s="1">
        <f>MAX(-16, MIN(16, Games[[#This Row],[OppRestDiff]]*8))</f>
        <v>-8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1559.0769409208112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1475.7107685228323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0.52209929236450503</v>
      </c>
      <c r="R180" s="1">
        <v>76</v>
      </c>
      <c r="S180" s="1">
        <v>68</v>
      </c>
      <c r="T180" s="1">
        <v>0</v>
      </c>
      <c r="U180" s="1">
        <f>Games[[#This Row],[PointsFor]]-Games[[#This Row],[PointsAgainst]]</f>
        <v>8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0.3630909494309969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73.75</v>
      </c>
      <c r="Z180" s="4">
        <f>Games[[#This Row],[K]]*Games[[#This Row],[POMult]]</f>
        <v>73.75</v>
      </c>
      <c r="AA180" s="4">
        <f>(Games[[#This Row],[Keff]]*Games[[#This Row],[MOVMult]])*(Games[[#This Row],[Result]]-Games[[#This Row],[ExpectedWin%]])</f>
        <v>12.797204848097389</v>
      </c>
      <c r="AB180" s="4">
        <f>Games[[#This Row],[PreGmRate]]+Games[[#This Row],[RatingChange]]</f>
        <v>1571.8741457689086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41819</v>
      </c>
      <c r="B181" s="2">
        <v>2014</v>
      </c>
      <c r="C181" s="2">
        <f>COUNTIFS(Games[Team],Games[[#This Row],[Team]],Games[Season],Games[[#This Row],[Season]],Games[Date],"&lt;=" &amp; Games[[#This Row],[Date]])</f>
        <v>15</v>
      </c>
      <c r="D181" s="2" t="s">
        <v>83</v>
      </c>
      <c r="E181" s="2" t="s">
        <v>84</v>
      </c>
      <c r="F181" s="1" t="s">
        <v>69</v>
      </c>
      <c r="G181" s="1" t="s">
        <v>79</v>
      </c>
      <c r="H181" s="1" t="s">
        <v>86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-1</v>
      </c>
      <c r="L181" s="2">
        <f>Games[[#This Row],[OppDaysOff]]-Games[[#This Row],[DaysOff]]</f>
        <v>1</v>
      </c>
      <c r="M181" s="1">
        <f>MAX(-16, MIN(16, Games[[#This Row],[RestDiff]]*8))</f>
        <v>-8</v>
      </c>
      <c r="N181" s="1">
        <f>MAX(-16, MIN(16, Games[[#This Row],[OppRestDiff]]*8))</f>
        <v>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1475.7107685228323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1559.0769409208112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0.47790070763549508</v>
      </c>
      <c r="R181" s="1">
        <v>68</v>
      </c>
      <c r="S181" s="1">
        <v>76</v>
      </c>
      <c r="T181" s="1">
        <v>0</v>
      </c>
      <c r="U181" s="1">
        <f>Games[[#This Row],[PointsFor]]-Games[[#This Row],[PointsAgainst]]</f>
        <v>-8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0.3630909494309969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73.75</v>
      </c>
      <c r="Z181" s="4">
        <f>Games[[#This Row],[K]]*Games[[#This Row],[POMult]]</f>
        <v>73.75</v>
      </c>
      <c r="AA181" s="4">
        <f>(Games[[#This Row],[Keff]]*Games[[#This Row],[MOVMult]])*(Games[[#This Row],[Result]]-Games[[#This Row],[ExpectedWin%]])</f>
        <v>-12.797204848097392</v>
      </c>
      <c r="AB181" s="4">
        <f>Games[[#This Row],[PreGmRate]]+Games[[#This Row],[RatingChange]]</f>
        <v>1462.9135636747349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41819</v>
      </c>
      <c r="B182" s="2">
        <v>2014</v>
      </c>
      <c r="C182" s="2">
        <f>COUNTIFS(Games[Team],Games[[#This Row],[Team]],Games[Season],Games[[#This Row],[Season]],Games[Date],"&lt;=" &amp; Games[[#This Row],[Date]])</f>
        <v>18</v>
      </c>
      <c r="D182" s="2" t="s">
        <v>83</v>
      </c>
      <c r="E182" s="2" t="s">
        <v>84</v>
      </c>
      <c r="F182" s="1" t="s">
        <v>71</v>
      </c>
      <c r="G182" s="1" t="s">
        <v>67</v>
      </c>
      <c r="H182" s="1" t="s">
        <v>85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1475.6034604423685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1638.500663375052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0.19446498546758303</v>
      </c>
      <c r="R182" s="1">
        <v>69</v>
      </c>
      <c r="S182" s="1">
        <v>74</v>
      </c>
      <c r="T182" s="1">
        <v>0</v>
      </c>
      <c r="U182" s="1">
        <f>Games[[#This Row],[PointsFor]]-Games[[#This Row],[PointsAgainst]]</f>
        <v>-5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0.29210359350422754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73.3</v>
      </c>
      <c r="Z182" s="4">
        <f>Games[[#This Row],[K]]*Games[[#This Row],[POMult]]</f>
        <v>73.3</v>
      </c>
      <c r="AA182" s="4">
        <f>(Games[[#This Row],[Keff]]*Games[[#This Row],[MOVMult]])*(Games[[#This Row],[Result]]-Games[[#This Row],[ExpectedWin%]])</f>
        <v>-4.163727414125221</v>
      </c>
      <c r="AB182" s="4">
        <f>Games[[#This Row],[PreGmRate]]+Games[[#This Row],[RatingChange]]</f>
        <v>1471.4397330282432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41819</v>
      </c>
      <c r="B183" s="2">
        <v>2014</v>
      </c>
      <c r="C183" s="2">
        <f>COUNTIFS(Games[Team],Games[[#This Row],[Team]],Games[Season],Games[[#This Row],[Season]],Games[Date],"&lt;=" &amp; Games[[#This Row],[Date]])</f>
        <v>17</v>
      </c>
      <c r="D183" s="2" t="s">
        <v>83</v>
      </c>
      <c r="E183" s="2" t="s">
        <v>84</v>
      </c>
      <c r="F183" s="1" t="s">
        <v>67</v>
      </c>
      <c r="G183" s="1" t="s">
        <v>71</v>
      </c>
      <c r="H183" s="1" t="s">
        <v>86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1638.500663375052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1475.6034604423685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0.80553501453241694</v>
      </c>
      <c r="R183" s="1">
        <v>74</v>
      </c>
      <c r="S183" s="1">
        <v>69</v>
      </c>
      <c r="T183" s="1">
        <v>0</v>
      </c>
      <c r="U183" s="1">
        <f>Games[[#This Row],[PointsFor]]-Games[[#This Row],[PointsAgainst]]</f>
        <v>5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0.29210359350422754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73.45</v>
      </c>
      <c r="Z183" s="4">
        <f>Games[[#This Row],[K]]*Games[[#This Row],[POMult]]</f>
        <v>73.45</v>
      </c>
      <c r="AA183" s="4">
        <f>(Games[[#This Row],[Keff]]*Games[[#This Row],[MOVMult]])*(Games[[#This Row],[Result]]-Games[[#This Row],[ExpectedWin%]])</f>
        <v>4.1722480022850963</v>
      </c>
      <c r="AB183" s="4">
        <f>Games[[#This Row],[PreGmRate]]+Games[[#This Row],[RatingChange]]</f>
        <v>1642.6729113773372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41819</v>
      </c>
      <c r="B184" s="2">
        <v>2014</v>
      </c>
      <c r="C184" s="2">
        <f>COUNTIFS(Games[Team],Games[[#This Row],[Team]],Games[Season],Games[[#This Row],[Season]],Games[Date],"&lt;=" &amp; Games[[#This Row],[Date]])</f>
        <v>16</v>
      </c>
      <c r="D184" s="2" t="s">
        <v>83</v>
      </c>
      <c r="E184" s="2" t="s">
        <v>84</v>
      </c>
      <c r="F184" s="1" t="s">
        <v>76</v>
      </c>
      <c r="G184" s="1" t="s">
        <v>60</v>
      </c>
      <c r="H184" s="1" t="s">
        <v>85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1478.7614085477812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1379.9958549618675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0.52123655589286144</v>
      </c>
      <c r="R184" s="1">
        <v>65</v>
      </c>
      <c r="S184" s="1">
        <v>67</v>
      </c>
      <c r="T184" s="1">
        <v>0</v>
      </c>
      <c r="U184" s="1">
        <f>Games[[#This Row],[PointsFor]]-Games[[#This Row],[PointsAgainst]]</f>
        <v>-2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0.24747313638261081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73.599999999999994</v>
      </c>
      <c r="Z184" s="4">
        <f>Games[[#This Row],[K]]*Games[[#This Row],[POMult]]</f>
        <v>73.599999999999994</v>
      </c>
      <c r="AA184" s="4">
        <f>(Games[[#This Row],[Keff]]*Games[[#This Row],[MOVMult]])*(Games[[#This Row],[Result]]-Games[[#This Row],[ExpectedWin%]])</f>
        <v>-9.4938145329080257</v>
      </c>
      <c r="AB184" s="4">
        <f>Games[[#This Row],[PreGmRate]]+Games[[#This Row],[RatingChange]]</f>
        <v>1469.2675940148731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41819</v>
      </c>
      <c r="B185" s="2">
        <v>2014</v>
      </c>
      <c r="C185" s="2">
        <f>COUNTIFS(Games[Team],Games[[#This Row],[Team]],Games[Season],Games[[#This Row],[Season]],Games[Date],"&lt;=" &amp; Games[[#This Row],[Date]])</f>
        <v>16</v>
      </c>
      <c r="D185" s="2" t="s">
        <v>83</v>
      </c>
      <c r="E185" s="2" t="s">
        <v>84</v>
      </c>
      <c r="F185" s="1" t="s">
        <v>60</v>
      </c>
      <c r="G185" s="1" t="s">
        <v>76</v>
      </c>
      <c r="H185" s="1" t="s">
        <v>86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1379.9958549618675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1478.7614085477812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0.47876344410713861</v>
      </c>
      <c r="R185" s="1">
        <v>67</v>
      </c>
      <c r="S185" s="1">
        <v>65</v>
      </c>
      <c r="T185" s="1">
        <v>0</v>
      </c>
      <c r="U185" s="1">
        <f>Games[[#This Row],[PointsFor]]-Games[[#This Row],[PointsAgainst]]</f>
        <v>2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0.24747313638261081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73.599999999999994</v>
      </c>
      <c r="Z185" s="4">
        <f>Games[[#This Row],[K]]*Games[[#This Row],[POMult]]</f>
        <v>73.599999999999994</v>
      </c>
      <c r="AA185" s="4">
        <f>(Games[[#This Row],[Keff]]*Games[[#This Row],[MOVMult]])*(Games[[#This Row],[Result]]-Games[[#This Row],[ExpectedWin%]])</f>
        <v>9.4938145329080239</v>
      </c>
      <c r="AB185" s="4">
        <f>Games[[#This Row],[PreGmRate]]+Games[[#This Row],[RatingChange]]</f>
        <v>1389.4896694947756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41819</v>
      </c>
      <c r="B186" s="2">
        <v>2014</v>
      </c>
      <c r="C186" s="2">
        <f>COUNTIFS(Games[Team],Games[[#This Row],[Team]],Games[Season],Games[[#This Row],[Season]],Games[Date],"&lt;=" &amp; Games[[#This Row],[Date]])</f>
        <v>14</v>
      </c>
      <c r="D186" s="2" t="s">
        <v>83</v>
      </c>
      <c r="E186" s="2" t="s">
        <v>84</v>
      </c>
      <c r="F186" s="1" t="s">
        <v>40</v>
      </c>
      <c r="G186" s="1" t="s">
        <v>81</v>
      </c>
      <c r="H186" s="1" t="s">
        <v>85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6" s="2">
        <f>Games[[#This Row],[DaysOff]]-Games[[#This Row],[OppDaysOff]]</f>
        <v>1</v>
      </c>
      <c r="L186" s="2">
        <f>Games[[#This Row],[OppDaysOff]]-Games[[#This Row],[DaysOff]]</f>
        <v>-1</v>
      </c>
      <c r="M186" s="1">
        <f>MAX(-16, MIN(16, Games[[#This Row],[RestDiff]]*8))</f>
        <v>8</v>
      </c>
      <c r="N186" s="1">
        <f>MAX(-16, MIN(16, Games[[#This Row],[OppRestDiff]]*8))</f>
        <v>-8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1598.3797496944107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1467.6655711090573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0.58928534792480503</v>
      </c>
      <c r="R186" s="1">
        <v>80</v>
      </c>
      <c r="S186" s="1">
        <v>77</v>
      </c>
      <c r="T186" s="1">
        <v>0</v>
      </c>
      <c r="U186" s="1">
        <f>Games[[#This Row],[PointsFor]]-Games[[#This Row],[PointsAgainst]]</f>
        <v>3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0.26167920273355261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73.900000000000006</v>
      </c>
      <c r="Z186" s="4">
        <f>Games[[#This Row],[K]]*Games[[#This Row],[POMult]]</f>
        <v>73.900000000000006</v>
      </c>
      <c r="AA186" s="4">
        <f>(Games[[#This Row],[Keff]]*Games[[#This Row],[MOVMult]])*(Games[[#This Row],[Result]]-Games[[#This Row],[ExpectedWin%]])</f>
        <v>7.942438171975283</v>
      </c>
      <c r="AB186" s="4">
        <f>Games[[#This Row],[PreGmRate]]+Games[[#This Row],[RatingChange]]</f>
        <v>1606.322187866386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41819</v>
      </c>
      <c r="B187" s="2">
        <v>2014</v>
      </c>
      <c r="C187" s="2">
        <f>COUNTIFS(Games[Team],Games[[#This Row],[Team]],Games[Season],Games[[#This Row],[Season]],Games[Date],"&lt;=" &amp; Games[[#This Row],[Date]])</f>
        <v>15</v>
      </c>
      <c r="D187" s="2" t="s">
        <v>83</v>
      </c>
      <c r="E187" s="2" t="s">
        <v>84</v>
      </c>
      <c r="F187" s="1" t="s">
        <v>81</v>
      </c>
      <c r="G187" s="1" t="s">
        <v>40</v>
      </c>
      <c r="H187" s="1" t="s">
        <v>86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-1</v>
      </c>
      <c r="L187" s="2">
        <f>Games[[#This Row],[OppDaysOff]]-Games[[#This Row],[DaysOff]]</f>
        <v>1</v>
      </c>
      <c r="M187" s="1">
        <f>MAX(-16, MIN(16, Games[[#This Row],[RestDiff]]*8))</f>
        <v>-8</v>
      </c>
      <c r="N187" s="1">
        <f>MAX(-16, MIN(16, Games[[#This Row],[OppRestDiff]]*8))</f>
        <v>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1467.6655711090573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1598.3797496944107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0.41071465207519497</v>
      </c>
      <c r="R187" s="1">
        <v>77</v>
      </c>
      <c r="S187" s="1">
        <v>80</v>
      </c>
      <c r="T187" s="1">
        <v>0</v>
      </c>
      <c r="U187" s="1">
        <f>Games[[#This Row],[PointsFor]]-Games[[#This Row],[PointsAgainst]]</f>
        <v>-3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0.26167920273355261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73.75</v>
      </c>
      <c r="Z187" s="4">
        <f>Games[[#This Row],[K]]*Games[[#This Row],[POMult]]</f>
        <v>73.75</v>
      </c>
      <c r="AA187" s="4">
        <f>(Games[[#This Row],[Keff]]*Games[[#This Row],[MOVMult]])*(Games[[#This Row],[Result]]-Games[[#This Row],[ExpectedWin%]])</f>
        <v>-7.9263168495693783</v>
      </c>
      <c r="AB187" s="4">
        <f>Games[[#This Row],[PreGmRate]]+Games[[#This Row],[RatingChange]]</f>
        <v>1459.739254259488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41819</v>
      </c>
      <c r="B188" s="2">
        <v>2014</v>
      </c>
      <c r="C188" s="2">
        <f>COUNTIFS(Games[Team],Games[[#This Row],[Team]],Games[Season],Games[[#This Row],[Season]],Games[Date],"&lt;=" &amp; Games[[#This Row],[Date]])</f>
        <v>16</v>
      </c>
      <c r="D188" s="2" t="s">
        <v>83</v>
      </c>
      <c r="E188" s="2" t="s">
        <v>84</v>
      </c>
      <c r="F188" s="1" t="s">
        <v>74</v>
      </c>
      <c r="G188" s="1" t="s">
        <v>65</v>
      </c>
      <c r="H188" s="1" t="s">
        <v>85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1</v>
      </c>
      <c r="L188" s="2">
        <f>Games[[#This Row],[OppDaysOff]]-Games[[#This Row],[DaysOff]]</f>
        <v>-1</v>
      </c>
      <c r="M188" s="1">
        <f>MAX(-16, MIN(16, Games[[#This Row],[RestDiff]]*8))</f>
        <v>8</v>
      </c>
      <c r="N188" s="1">
        <f>MAX(-16, MIN(16, Games[[#This Row],[OppRestDiff]]*8))</f>
        <v>-8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1466.7224331087302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1468.9266042200884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0.40032102211182791</v>
      </c>
      <c r="R188" s="1">
        <v>73</v>
      </c>
      <c r="S188" s="1">
        <v>65</v>
      </c>
      <c r="T188" s="1">
        <v>0</v>
      </c>
      <c r="U188" s="1">
        <f>Games[[#This Row],[PointsFor]]-Games[[#This Row],[PointsAgainst]]</f>
        <v>8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0.38760358115613602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73.599999999999994</v>
      </c>
      <c r="Z188" s="4">
        <f>Games[[#This Row],[K]]*Games[[#This Row],[POMult]]</f>
        <v>73.599999999999994</v>
      </c>
      <c r="AA188" s="4">
        <f>(Games[[#This Row],[Keff]]*Games[[#This Row],[MOVMult]])*(Games[[#This Row],[Result]]-Games[[#This Row],[ExpectedWin%]])</f>
        <v>17.107416145890102</v>
      </c>
      <c r="AB188" s="4">
        <f>Games[[#This Row],[PreGmRate]]+Games[[#This Row],[RatingChange]]</f>
        <v>1483.8298492546203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41819</v>
      </c>
      <c r="B189" s="2">
        <v>2014</v>
      </c>
      <c r="C189" s="2">
        <f>COUNTIFS(Games[Team],Games[[#This Row],[Team]],Games[Season],Games[[#This Row],[Season]],Games[Date],"&lt;=" &amp; Games[[#This Row],[Date]])</f>
        <v>17</v>
      </c>
      <c r="D189" s="2" t="s">
        <v>83</v>
      </c>
      <c r="E189" s="2" t="s">
        <v>84</v>
      </c>
      <c r="F189" s="1" t="s">
        <v>65</v>
      </c>
      <c r="G189" s="1" t="s">
        <v>74</v>
      </c>
      <c r="H189" s="1" t="s">
        <v>86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-1</v>
      </c>
      <c r="L189" s="2">
        <f>Games[[#This Row],[OppDaysOff]]-Games[[#This Row],[DaysOff]]</f>
        <v>1</v>
      </c>
      <c r="M189" s="1">
        <f>MAX(-16, MIN(16, Games[[#This Row],[RestDiff]]*8))</f>
        <v>-8</v>
      </c>
      <c r="N189" s="1">
        <f>MAX(-16, MIN(16, Games[[#This Row],[OppRestDiff]]*8))</f>
        <v>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1468.9266042200884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1466.7224331087302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0.59967897788817204</v>
      </c>
      <c r="R189" s="1">
        <v>65</v>
      </c>
      <c r="S189" s="1">
        <v>73</v>
      </c>
      <c r="T189" s="1">
        <v>0</v>
      </c>
      <c r="U189" s="1">
        <f>Games[[#This Row],[PointsFor]]-Games[[#This Row],[PointsAgainst]]</f>
        <v>-8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0.38760358115613602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73.45</v>
      </c>
      <c r="Z189" s="4">
        <f>Games[[#This Row],[K]]*Games[[#This Row],[POMult]]</f>
        <v>73.45</v>
      </c>
      <c r="AA189" s="4">
        <f>(Games[[#This Row],[Keff]]*Games[[#This Row],[MOVMult]])*(Games[[#This Row],[Result]]-Games[[#This Row],[ExpectedWin%]])</f>
        <v>-17.072550487984074</v>
      </c>
      <c r="AB189" s="4">
        <f>Games[[#This Row],[PreGmRate]]+Games[[#This Row],[RatingChange]]</f>
        <v>1451.8540537321044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41821</v>
      </c>
      <c r="B190" s="2">
        <v>2014</v>
      </c>
      <c r="C190" s="2">
        <f>COUNTIFS(Games[Team],Games[[#This Row],[Team]],Games[Season],Games[[#This Row],[Season]],Games[Date],"&lt;=" &amp; Games[[#This Row],[Date]])</f>
        <v>16</v>
      </c>
      <c r="D190" s="2" t="s">
        <v>83</v>
      </c>
      <c r="E190" s="2" t="s">
        <v>84</v>
      </c>
      <c r="F190" s="1" t="s">
        <v>69</v>
      </c>
      <c r="G190" s="1" t="s">
        <v>79</v>
      </c>
      <c r="H190" s="1" t="s">
        <v>85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1462.9135636747349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1571.8741457689086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0.24772729014884076</v>
      </c>
      <c r="R190" s="1">
        <v>77</v>
      </c>
      <c r="S190" s="1">
        <v>70</v>
      </c>
      <c r="T190" s="1">
        <v>0</v>
      </c>
      <c r="U190" s="1">
        <f>Games[[#This Row],[PointsFor]]-Games[[#This Row],[PointsAgainst]]</f>
        <v>7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0.3392986871109851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18.78604251022141</v>
      </c>
      <c r="AB190" s="4">
        <f>Games[[#This Row],[PreGmRate]]+Games[[#This Row],[RatingChange]]</f>
        <v>1481.6996061849563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41821</v>
      </c>
      <c r="B191" s="2">
        <v>2014</v>
      </c>
      <c r="C191" s="2">
        <f>COUNTIFS(Games[Team],Games[[#This Row],[Team]],Games[Season],Games[[#This Row],[Season]],Games[Date],"&lt;=" &amp; Games[[#This Row],[Date]])</f>
        <v>16</v>
      </c>
      <c r="D191" s="2" t="s">
        <v>83</v>
      </c>
      <c r="E191" s="2" t="s">
        <v>84</v>
      </c>
      <c r="F191" s="1" t="s">
        <v>79</v>
      </c>
      <c r="G191" s="1" t="s">
        <v>69</v>
      </c>
      <c r="H191" s="1" t="s">
        <v>86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1571.8741457689086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1462.9135636747349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0.75227270985115924</v>
      </c>
      <c r="R191" s="1">
        <v>70</v>
      </c>
      <c r="S191" s="1">
        <v>77</v>
      </c>
      <c r="T191" s="1">
        <v>0</v>
      </c>
      <c r="U191" s="1">
        <f>Games[[#This Row],[PointsFor]]-Games[[#This Row],[PointsAgainst]]</f>
        <v>-7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0.3392986871109851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73.599999999999994</v>
      </c>
      <c r="Z191" s="4">
        <f>Games[[#This Row],[K]]*Games[[#This Row],[POMult]]</f>
        <v>73.599999999999994</v>
      </c>
      <c r="AA191" s="4">
        <f>(Games[[#This Row],[Keff]]*Games[[#This Row],[MOVMult]])*(Games[[#This Row],[Result]]-Games[[#This Row],[ExpectedWin%]])</f>
        <v>-18.78604251022141</v>
      </c>
      <c r="AB191" s="4">
        <f>Games[[#This Row],[PreGmRate]]+Games[[#This Row],[RatingChange]]</f>
        <v>1553.0881032586872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41821</v>
      </c>
      <c r="B192" s="2">
        <v>2014</v>
      </c>
      <c r="C192" s="2">
        <f>COUNTIFS(Games[Team],Games[[#This Row],[Team]],Games[Season],Games[[#This Row],[Season]],Games[Date],"&lt;=" &amp; Games[[#This Row],[Date]])</f>
        <v>17</v>
      </c>
      <c r="D192" s="2" t="s">
        <v>83</v>
      </c>
      <c r="E192" s="2" t="s">
        <v>84</v>
      </c>
      <c r="F192" s="1" t="s">
        <v>74</v>
      </c>
      <c r="G192" s="1" t="s">
        <v>76</v>
      </c>
      <c r="H192" s="1" t="s">
        <v>85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1483.8298492546203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1469.2675940148731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0.40138062632330068</v>
      </c>
      <c r="R192" s="1">
        <v>74</v>
      </c>
      <c r="S192" s="1">
        <v>71</v>
      </c>
      <c r="T192" s="1">
        <v>0</v>
      </c>
      <c r="U192" s="1">
        <f>Games[[#This Row],[PointsFor]]-Games[[#This Row],[PointsAgainst]]</f>
        <v>3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0.28670430339506403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73.45</v>
      </c>
      <c r="Z192" s="4">
        <f>Games[[#This Row],[K]]*Games[[#This Row],[POMult]]</f>
        <v>73.45</v>
      </c>
      <c r="AA192" s="4">
        <f>(Games[[#This Row],[Keff]]*Games[[#This Row],[MOVMult]])*(Games[[#This Row],[Result]]-Games[[#This Row],[ExpectedWin%]])</f>
        <v>12.605984826337982</v>
      </c>
      <c r="AB192" s="4">
        <f>Games[[#This Row],[PreGmRate]]+Games[[#This Row],[RatingChange]]</f>
        <v>1496.4358340809583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41821</v>
      </c>
      <c r="B193" s="2">
        <v>2014</v>
      </c>
      <c r="C193" s="2">
        <f>COUNTIFS(Games[Team],Games[[#This Row],[Team]],Games[Season],Games[[#This Row],[Season]],Games[Date],"&lt;=" &amp; Games[[#This Row],[Date]])</f>
        <v>17</v>
      </c>
      <c r="D193" s="2" t="s">
        <v>83</v>
      </c>
      <c r="E193" s="2" t="s">
        <v>84</v>
      </c>
      <c r="F193" s="1" t="s">
        <v>76</v>
      </c>
      <c r="G193" s="1" t="s">
        <v>74</v>
      </c>
      <c r="H193" s="1" t="s">
        <v>86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1469.2675940148731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1483.8298492546203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0.59861937367669926</v>
      </c>
      <c r="R193" s="1">
        <v>71</v>
      </c>
      <c r="S193" s="1">
        <v>74</v>
      </c>
      <c r="T193" s="1">
        <v>0</v>
      </c>
      <c r="U193" s="1">
        <f>Games[[#This Row],[PointsFor]]-Games[[#This Row],[PointsAgainst]]</f>
        <v>-3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0.28670430339506403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73.45</v>
      </c>
      <c r="Z193" s="4">
        <f>Games[[#This Row],[K]]*Games[[#This Row],[POMult]]</f>
        <v>73.45</v>
      </c>
      <c r="AA193" s="4">
        <f>(Games[[#This Row],[Keff]]*Games[[#This Row],[MOVMult]])*(Games[[#This Row],[Result]]-Games[[#This Row],[ExpectedWin%]])</f>
        <v>-12.605984826337979</v>
      </c>
      <c r="AB193" s="4">
        <f>Games[[#This Row],[PreGmRate]]+Games[[#This Row],[RatingChange]]</f>
        <v>1456.6616091885351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41821</v>
      </c>
      <c r="B194" s="2">
        <v>2014</v>
      </c>
      <c r="C194" s="2">
        <f>COUNTIFS(Games[Team],Games[[#This Row],[Team]],Games[Season],Games[[#This Row],[Season]],Games[Date],"&lt;=" &amp; Games[[#This Row],[Date]])</f>
        <v>16</v>
      </c>
      <c r="D194" s="2" t="s">
        <v>83</v>
      </c>
      <c r="E194" s="2" t="s">
        <v>84</v>
      </c>
      <c r="F194" s="1" t="s">
        <v>77</v>
      </c>
      <c r="G194" s="1" t="s">
        <v>63</v>
      </c>
      <c r="H194" s="1" t="s">
        <v>85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4" s="2">
        <f>Games[[#This Row],[DaysOff]]-Games[[#This Row],[OppDaysOff]]</f>
        <v>1</v>
      </c>
      <c r="L194" s="2">
        <f>Games[[#This Row],[OppDaysOff]]-Games[[#This Row],[DaysOff]]</f>
        <v>-1</v>
      </c>
      <c r="M194" s="1">
        <f>MAX(-16, MIN(16, Games[[#This Row],[RestDiff]]*8))</f>
        <v>8</v>
      </c>
      <c r="N194" s="1">
        <f>MAX(-16, MIN(16, Games[[#This Row],[OppRestDiff]]*8))</f>
        <v>-8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1472.6374566176678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1519.6958735824107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0.34021651838851774</v>
      </c>
      <c r="R194" s="1">
        <v>90</v>
      </c>
      <c r="S194" s="1">
        <v>83</v>
      </c>
      <c r="T194" s="1">
        <v>0</v>
      </c>
      <c r="U194" s="1">
        <f>Games[[#This Row],[PointsFor]]-Games[[#This Row],[PointsAgainst]]</f>
        <v>7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0.35614098020008034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73.599999999999994</v>
      </c>
      <c r="Z194" s="4">
        <f>Games[[#This Row],[K]]*Games[[#This Row],[POMult]]</f>
        <v>73.599999999999994</v>
      </c>
      <c r="AA194" s="4">
        <f>(Games[[#This Row],[Keff]]*Games[[#This Row],[MOVMult]])*(Games[[#This Row],[Result]]-Games[[#This Row],[ExpectedWin%]])</f>
        <v>17.294228879364812</v>
      </c>
      <c r="AB194" s="4">
        <f>Games[[#This Row],[PreGmRate]]+Games[[#This Row],[RatingChange]]</f>
        <v>1489.9316854970325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41821</v>
      </c>
      <c r="B195" s="2">
        <v>2014</v>
      </c>
      <c r="C195" s="2">
        <f>COUNTIFS(Games[Team],Games[[#This Row],[Team]],Games[Season],Games[[#This Row],[Season]],Games[Date],"&lt;=" &amp; Games[[#This Row],[Date]])</f>
        <v>15</v>
      </c>
      <c r="D195" s="2" t="s">
        <v>83</v>
      </c>
      <c r="E195" s="2" t="s">
        <v>84</v>
      </c>
      <c r="F195" s="1" t="s">
        <v>63</v>
      </c>
      <c r="G195" s="1" t="s">
        <v>77</v>
      </c>
      <c r="H195" s="1" t="s">
        <v>86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5" s="2">
        <f>Games[[#This Row],[DaysOff]]-Games[[#This Row],[OppDaysOff]]</f>
        <v>-1</v>
      </c>
      <c r="L195" s="2">
        <f>Games[[#This Row],[OppDaysOff]]-Games[[#This Row],[DaysOff]]</f>
        <v>1</v>
      </c>
      <c r="M195" s="1">
        <f>MAX(-16, MIN(16, Games[[#This Row],[RestDiff]]*8))</f>
        <v>-8</v>
      </c>
      <c r="N195" s="1">
        <f>MAX(-16, MIN(16, Games[[#This Row],[OppRestDiff]]*8))</f>
        <v>8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1519.6958735824107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1472.6374566176678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0.65978348161148226</v>
      </c>
      <c r="R195" s="1">
        <v>83</v>
      </c>
      <c r="S195" s="1">
        <v>90</v>
      </c>
      <c r="T195" s="1">
        <v>0</v>
      </c>
      <c r="U195" s="1">
        <f>Games[[#This Row],[PointsFor]]-Games[[#This Row],[PointsAgainst]]</f>
        <v>-7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0.35614098020008034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73.75</v>
      </c>
      <c r="Z195" s="4">
        <f>Games[[#This Row],[K]]*Games[[#This Row],[POMult]]</f>
        <v>73.75</v>
      </c>
      <c r="AA195" s="4">
        <f>(Games[[#This Row],[Keff]]*Games[[#This Row],[MOVMult]])*(Games[[#This Row],[Result]]-Games[[#This Row],[ExpectedWin%]])</f>
        <v>-17.329475269743952</v>
      </c>
      <c r="AB195" s="4">
        <f>Games[[#This Row],[PreGmRate]]+Games[[#This Row],[RatingChange]]</f>
        <v>1502.3663983126669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41821</v>
      </c>
      <c r="B196" s="2">
        <v>2014</v>
      </c>
      <c r="C196" s="2">
        <f>COUNTIFS(Games[Team],Games[[#This Row],[Team]],Games[Season],Games[[#This Row],[Season]],Games[Date],"&lt;=" &amp; Games[[#This Row],[Date]])</f>
        <v>16</v>
      </c>
      <c r="D196" s="2" t="s">
        <v>83</v>
      </c>
      <c r="E196" s="2" t="s">
        <v>84</v>
      </c>
      <c r="F196" s="1" t="s">
        <v>81</v>
      </c>
      <c r="G196" s="1" t="s">
        <v>60</v>
      </c>
      <c r="H196" s="1" t="s">
        <v>85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1459.739254259488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1389.4896694947756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0.48022188705226504</v>
      </c>
      <c r="R196" s="1">
        <v>74</v>
      </c>
      <c r="S196" s="1">
        <v>90</v>
      </c>
      <c r="T196" s="1">
        <v>0</v>
      </c>
      <c r="U196" s="1">
        <f>Games[[#This Row],[PointsFor]]-Games[[#This Row],[PointsAgainst]]</f>
        <v>-16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0.48915051513373681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73.599999999999994</v>
      </c>
      <c r="Z196" s="4">
        <f>Games[[#This Row],[K]]*Games[[#This Row],[POMult]]</f>
        <v>73.599999999999994</v>
      </c>
      <c r="AA196" s="4">
        <f>(Games[[#This Row],[Keff]]*Games[[#This Row],[MOVMult]])*(Games[[#This Row],[Result]]-Games[[#This Row],[ExpectedWin%]])</f>
        <v>-17.28869766045614</v>
      </c>
      <c r="AB196" s="4">
        <f>Games[[#This Row],[PreGmRate]]+Games[[#This Row],[RatingChange]]</f>
        <v>1442.4505565990319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41821</v>
      </c>
      <c r="B197" s="2">
        <v>2014</v>
      </c>
      <c r="C197" s="2">
        <f>COUNTIFS(Games[Team],Games[[#This Row],[Team]],Games[Season],Games[[#This Row],[Season]],Games[Date],"&lt;=" &amp; Games[[#This Row],[Date]])</f>
        <v>17</v>
      </c>
      <c r="D197" s="2" t="s">
        <v>83</v>
      </c>
      <c r="E197" s="2" t="s">
        <v>84</v>
      </c>
      <c r="F197" s="1" t="s">
        <v>60</v>
      </c>
      <c r="G197" s="1" t="s">
        <v>81</v>
      </c>
      <c r="H197" s="1" t="s">
        <v>86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1389.4896694947756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1459.739254259488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0.5197781129477349</v>
      </c>
      <c r="R197" s="1">
        <v>90</v>
      </c>
      <c r="S197" s="1">
        <v>74</v>
      </c>
      <c r="T197" s="1">
        <v>0</v>
      </c>
      <c r="U197" s="1">
        <f>Games[[#This Row],[PointsFor]]-Games[[#This Row],[PointsAgainst]]</f>
        <v>16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0.48915051513373681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73.45</v>
      </c>
      <c r="Z197" s="4">
        <f>Games[[#This Row],[K]]*Games[[#This Row],[POMult]]</f>
        <v>73.45</v>
      </c>
      <c r="AA197" s="4">
        <f>(Games[[#This Row],[Keff]]*Games[[#This Row],[MOVMult]])*(Games[[#This Row],[Result]]-Games[[#This Row],[ExpectedWin%]])</f>
        <v>17.253462542941627</v>
      </c>
      <c r="AB197" s="4">
        <f>Games[[#This Row],[PreGmRate]]+Games[[#This Row],[RatingChange]]</f>
        <v>1406.7431320377173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41822</v>
      </c>
      <c r="B198" s="2">
        <v>2014</v>
      </c>
      <c r="C198" s="2">
        <f>COUNTIFS(Games[Team],Games[[#This Row],[Team]],Games[Season],Games[[#This Row],[Season]],Games[Date],"&lt;=" &amp; Games[[#This Row],[Date]])</f>
        <v>17</v>
      </c>
      <c r="D198" s="2" t="s">
        <v>83</v>
      </c>
      <c r="E198" s="2" t="s">
        <v>84</v>
      </c>
      <c r="F198" s="1" t="s">
        <v>77</v>
      </c>
      <c r="G198" s="1" t="s">
        <v>40</v>
      </c>
      <c r="H198" s="1" t="s">
        <v>85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-2</v>
      </c>
      <c r="L198" s="2">
        <f>Games[[#This Row],[OppDaysOff]]-Games[[#This Row],[DaysOff]]</f>
        <v>2</v>
      </c>
      <c r="M198" s="1">
        <f>MAX(-16, MIN(16, Games[[#This Row],[RestDiff]]*8))</f>
        <v>-16</v>
      </c>
      <c r="N198" s="1">
        <f>MAX(-16, MIN(16, Games[[#This Row],[OppRestDiff]]*8))</f>
        <v>16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1489.9316854970325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1606.322187866386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0.2078807638986466</v>
      </c>
      <c r="R198" s="1">
        <v>69</v>
      </c>
      <c r="S198" s="1">
        <v>87</v>
      </c>
      <c r="T198" s="1">
        <v>0</v>
      </c>
      <c r="U198" s="1">
        <f>Games[[#This Row],[PointsFor]]-Games[[#This Row],[PointsAgainst]]</f>
        <v>-18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0.49848484729303244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-7.6112864267250604</v>
      </c>
      <c r="AB198" s="4">
        <f>Games[[#This Row],[PreGmRate]]+Games[[#This Row],[RatingChange]]</f>
        <v>1482.3203990703075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41822</v>
      </c>
      <c r="B199" s="2">
        <v>2014</v>
      </c>
      <c r="C199" s="2">
        <f>COUNTIFS(Games[Team],Games[[#This Row],[Team]],Games[Season],Games[[#This Row],[Season]],Games[Date],"&lt;=" &amp; Games[[#This Row],[Date]])</f>
        <v>15</v>
      </c>
      <c r="D199" s="2" t="s">
        <v>83</v>
      </c>
      <c r="E199" s="2" t="s">
        <v>84</v>
      </c>
      <c r="F199" s="1" t="s">
        <v>40</v>
      </c>
      <c r="G199" s="1" t="s">
        <v>77</v>
      </c>
      <c r="H199" s="1" t="s">
        <v>86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9" s="2">
        <f>Games[[#This Row],[DaysOff]]-Games[[#This Row],[OppDaysOff]]</f>
        <v>2</v>
      </c>
      <c r="L199" s="2">
        <f>Games[[#This Row],[OppDaysOff]]-Games[[#This Row],[DaysOff]]</f>
        <v>-2</v>
      </c>
      <c r="M199" s="1">
        <f>MAX(-16, MIN(16, Games[[#This Row],[RestDiff]]*8))</f>
        <v>16</v>
      </c>
      <c r="N199" s="1">
        <f>MAX(-16, MIN(16, Games[[#This Row],[OppRestDiff]]*8))</f>
        <v>-16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1606.322187866386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1489.9316854970325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0.79211923610135337</v>
      </c>
      <c r="R199" s="1">
        <v>87</v>
      </c>
      <c r="S199" s="1">
        <v>69</v>
      </c>
      <c r="T199" s="1">
        <v>0</v>
      </c>
      <c r="U199" s="1">
        <f>Games[[#This Row],[PointsFor]]-Games[[#This Row],[PointsAgainst]]</f>
        <v>18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0.49848484729303244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73.75</v>
      </c>
      <c r="Z199" s="4">
        <f>Games[[#This Row],[K]]*Games[[#This Row],[POMult]]</f>
        <v>73.75</v>
      </c>
      <c r="AA199" s="4">
        <f>(Games[[#This Row],[Keff]]*Games[[#This Row],[MOVMult]])*(Games[[#This Row],[Result]]-Games[[#This Row],[ExpectedWin%]])</f>
        <v>7.6423740499792139</v>
      </c>
      <c r="AB199" s="4">
        <f>Games[[#This Row],[PreGmRate]]+Games[[#This Row],[RatingChange]]</f>
        <v>1613.9645619163653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41822</v>
      </c>
      <c r="B200" s="2">
        <v>2014</v>
      </c>
      <c r="C200" s="2">
        <f>COUNTIFS(Games[Team],Games[[#This Row],[Team]],Games[Season],Games[[#This Row],[Season]],Games[Date],"&lt;=" &amp; Games[[#This Row],[Date]])</f>
        <v>17</v>
      </c>
      <c r="D200" s="2" t="s">
        <v>83</v>
      </c>
      <c r="E200" s="2" t="s">
        <v>84</v>
      </c>
      <c r="F200" s="1" t="s">
        <v>69</v>
      </c>
      <c r="G200" s="1" t="s">
        <v>65</v>
      </c>
      <c r="H200" s="1" t="s">
        <v>85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0" s="2">
        <f>Games[[#This Row],[DaysOff]]-Games[[#This Row],[OppDaysOff]]</f>
        <v>-2</v>
      </c>
      <c r="L200" s="2">
        <f>Games[[#This Row],[OppDaysOff]]-Games[[#This Row],[DaysOff]]</f>
        <v>2</v>
      </c>
      <c r="M200" s="1">
        <f>MAX(-16, MIN(16, Games[[#This Row],[RestDiff]]*8))</f>
        <v>-16</v>
      </c>
      <c r="N200" s="1">
        <f>MAX(-16, MIN(16, Games[[#This Row],[OppRestDiff]]*8))</f>
        <v>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1481.6996061849563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1451.8540537321044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0.37849411237699698</v>
      </c>
      <c r="R200" s="1">
        <v>80</v>
      </c>
      <c r="S200" s="1">
        <v>77</v>
      </c>
      <c r="T200" s="1">
        <v>0</v>
      </c>
      <c r="U200" s="1">
        <f>Games[[#This Row],[PointsFor]]-Games[[#This Row],[PointsAgainst]]</f>
        <v>3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0.28314142749383908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12.925295016768223</v>
      </c>
      <c r="AB200" s="4">
        <f>Games[[#This Row],[PreGmRate]]+Games[[#This Row],[RatingChange]]</f>
        <v>1494.6249012017245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41822</v>
      </c>
      <c r="B201" s="2">
        <v>2014</v>
      </c>
      <c r="C201" s="2">
        <f>COUNTIFS(Games[Team],Games[[#This Row],[Team]],Games[Season],Games[[#This Row],[Season]],Games[Date],"&lt;=" &amp; Games[[#This Row],[Date]])</f>
        <v>18</v>
      </c>
      <c r="D201" s="2" t="s">
        <v>83</v>
      </c>
      <c r="E201" s="2" t="s">
        <v>84</v>
      </c>
      <c r="F201" s="1" t="s">
        <v>65</v>
      </c>
      <c r="G201" s="1" t="s">
        <v>69</v>
      </c>
      <c r="H201" s="1" t="s">
        <v>86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1" s="2">
        <f>Games[[#This Row],[DaysOff]]-Games[[#This Row],[OppDaysOff]]</f>
        <v>2</v>
      </c>
      <c r="L201" s="2">
        <f>Games[[#This Row],[OppDaysOff]]-Games[[#This Row],[DaysOff]]</f>
        <v>-2</v>
      </c>
      <c r="M201" s="1">
        <f>MAX(-16, MIN(16, Games[[#This Row],[RestDiff]]*8))</f>
        <v>16</v>
      </c>
      <c r="N201" s="1">
        <f>MAX(-16, MIN(16, Games[[#This Row],[OppRestDiff]]*8))</f>
        <v>-16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1451.8540537321044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1481.6996061849563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0.62150588762300296</v>
      </c>
      <c r="R201" s="1">
        <v>77</v>
      </c>
      <c r="S201" s="1">
        <v>80</v>
      </c>
      <c r="T201" s="1">
        <v>0</v>
      </c>
      <c r="U201" s="1">
        <f>Games[[#This Row],[PointsFor]]-Games[[#This Row],[PointsAgainst]]</f>
        <v>-3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0.28314142749383908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73.3</v>
      </c>
      <c r="Z201" s="4">
        <f>Games[[#This Row],[K]]*Games[[#This Row],[POMult]]</f>
        <v>73.3</v>
      </c>
      <c r="AA201" s="4">
        <f>(Games[[#This Row],[Keff]]*Games[[#This Row],[MOVMult]])*(Games[[#This Row],[Result]]-Games[[#This Row],[ExpectedWin%]])</f>
        <v>-12.89889890713561</v>
      </c>
      <c r="AB201" s="4">
        <f>Games[[#This Row],[PreGmRate]]+Games[[#This Row],[RatingChange]]</f>
        <v>1438.9551548249688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41823</v>
      </c>
      <c r="B202" s="2">
        <v>2014</v>
      </c>
      <c r="C202" s="2">
        <f>COUNTIFS(Games[Team],Games[[#This Row],[Team]],Games[Season],Games[[#This Row],[Season]],Games[Date],"&lt;=" &amp; Games[[#This Row],[Date]])</f>
        <v>17</v>
      </c>
      <c r="D202" s="2" t="s">
        <v>83</v>
      </c>
      <c r="E202" s="2" t="s">
        <v>84</v>
      </c>
      <c r="F202" s="1" t="s">
        <v>81</v>
      </c>
      <c r="G202" s="1" t="s">
        <v>76</v>
      </c>
      <c r="H202" s="1" t="s">
        <v>85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1442.4505565990319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1456.6616091885351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0.36231087997695671</v>
      </c>
      <c r="R202" s="1">
        <v>96</v>
      </c>
      <c r="S202" s="1">
        <v>83</v>
      </c>
      <c r="T202" s="1">
        <v>0</v>
      </c>
      <c r="U202" s="1">
        <f>Games[[#This Row],[PointsFor]]-Games[[#This Row],[PointsAgainst]]</f>
        <v>13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0.46651898413285625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73.45</v>
      </c>
      <c r="Z202" s="4">
        <f>Games[[#This Row],[K]]*Games[[#This Row],[POMult]]</f>
        <v>73.45</v>
      </c>
      <c r="AA202" s="4">
        <f>(Games[[#This Row],[Keff]]*Games[[#This Row],[MOVMult]])*(Games[[#This Row],[Result]]-Games[[#This Row],[ExpectedWin%]])</f>
        <v>21.850940210207515</v>
      </c>
      <c r="AB202" s="4">
        <f>Games[[#This Row],[PreGmRate]]+Games[[#This Row],[RatingChange]]</f>
        <v>1464.3014968092393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41823</v>
      </c>
      <c r="B203" s="2">
        <v>2014</v>
      </c>
      <c r="C203" s="2">
        <f>COUNTIFS(Games[Team],Games[[#This Row],[Team]],Games[Season],Games[[#This Row],[Season]],Games[Date],"&lt;=" &amp; Games[[#This Row],[Date]])</f>
        <v>18</v>
      </c>
      <c r="D203" s="2" t="s">
        <v>83</v>
      </c>
      <c r="E203" s="2" t="s">
        <v>84</v>
      </c>
      <c r="F203" s="1" t="s">
        <v>76</v>
      </c>
      <c r="G203" s="1" t="s">
        <v>81</v>
      </c>
      <c r="H203" s="1" t="s">
        <v>86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1456.6616091885351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1442.4505565990319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0.63768912002304323</v>
      </c>
      <c r="R203" s="1">
        <v>83</v>
      </c>
      <c r="S203" s="1">
        <v>96</v>
      </c>
      <c r="T203" s="1">
        <v>0</v>
      </c>
      <c r="U203" s="1">
        <f>Games[[#This Row],[PointsFor]]-Games[[#This Row],[PointsAgainst]]</f>
        <v>-13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0.46651898413285625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73.3</v>
      </c>
      <c r="Z203" s="4">
        <f>Games[[#This Row],[K]]*Games[[#This Row],[POMult]]</f>
        <v>73.3</v>
      </c>
      <c r="AA203" s="4">
        <f>(Games[[#This Row],[Keff]]*Games[[#This Row],[MOVMult]])*(Games[[#This Row],[Result]]-Games[[#This Row],[ExpectedWin%]])</f>
        <v>-21.806316098137653</v>
      </c>
      <c r="AB203" s="4">
        <f>Games[[#This Row],[PreGmRate]]+Games[[#This Row],[RatingChange]]</f>
        <v>1434.8552930903975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41823</v>
      </c>
      <c r="B204" s="2">
        <v>2014</v>
      </c>
      <c r="C204" s="2">
        <f>COUNTIFS(Games[Team],Games[[#This Row],[Team]],Games[Season],Games[[#This Row],[Season]],Games[Date],"&lt;=" &amp; Games[[#This Row],[Date]])</f>
        <v>18</v>
      </c>
      <c r="D204" s="2" t="s">
        <v>83</v>
      </c>
      <c r="E204" s="2" t="s">
        <v>84</v>
      </c>
      <c r="F204" s="1" t="s">
        <v>74</v>
      </c>
      <c r="G204" s="1" t="s">
        <v>67</v>
      </c>
      <c r="H204" s="1" t="s">
        <v>85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4" s="2">
        <f>Games[[#This Row],[DaysOff]]-Games[[#This Row],[OppDaysOff]]</f>
        <v>-2</v>
      </c>
      <c r="L204" s="2">
        <f>Games[[#This Row],[OppDaysOff]]-Games[[#This Row],[DaysOff]]</f>
        <v>2</v>
      </c>
      <c r="M204" s="1">
        <f>MAX(-16, MIN(16, Games[[#This Row],[RestDiff]]*8))</f>
        <v>-16</v>
      </c>
      <c r="N204" s="1">
        <f>MAX(-16, MIN(16, Games[[#This Row],[OppRestDiff]]*8))</f>
        <v>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1496.4358340809583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1642.6729113773372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0.18100431232065337</v>
      </c>
      <c r="R204" s="1">
        <v>84</v>
      </c>
      <c r="S204" s="1">
        <v>91</v>
      </c>
      <c r="T204" s="1">
        <v>0</v>
      </c>
      <c r="U204" s="1">
        <f>Games[[#This Row],[PointsFor]]-Games[[#This Row],[PointsAgainst]]</f>
        <v>-7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0.32990371047907746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73.3</v>
      </c>
      <c r="Z204" s="4">
        <f>Games[[#This Row],[K]]*Games[[#This Row],[POMult]]</f>
        <v>73.3</v>
      </c>
      <c r="AA204" s="4">
        <f>(Games[[#This Row],[Keff]]*Games[[#This Row],[MOVMult]])*(Games[[#This Row],[Result]]-Games[[#This Row],[ExpectedWin%]])</f>
        <v>-4.3770357783268947</v>
      </c>
      <c r="AB204" s="4">
        <f>Games[[#This Row],[PreGmRate]]+Games[[#This Row],[RatingChange]]</f>
        <v>1492.0587983026314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41823</v>
      </c>
      <c r="B205" s="2">
        <v>2014</v>
      </c>
      <c r="C205" s="2">
        <f>COUNTIFS(Games[Team],Games[[#This Row],[Team]],Games[Season],Games[[#This Row],[Season]],Games[Date],"&lt;=" &amp; Games[[#This Row],[Date]])</f>
        <v>18</v>
      </c>
      <c r="D205" s="2" t="s">
        <v>83</v>
      </c>
      <c r="E205" s="2" t="s">
        <v>84</v>
      </c>
      <c r="F205" s="1" t="s">
        <v>67</v>
      </c>
      <c r="G205" s="1" t="s">
        <v>74</v>
      </c>
      <c r="H205" s="1" t="s">
        <v>86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2</v>
      </c>
      <c r="L205" s="2">
        <f>Games[[#This Row],[OppDaysOff]]-Games[[#This Row],[DaysOff]]</f>
        <v>-2</v>
      </c>
      <c r="M205" s="1">
        <f>MAX(-16, MIN(16, Games[[#This Row],[RestDiff]]*8))</f>
        <v>16</v>
      </c>
      <c r="N205" s="1">
        <f>MAX(-16, MIN(16, Games[[#This Row],[OppRestDiff]]*8))</f>
        <v>-16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1642.6729113773372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1496.4358340809583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0.81899568767934672</v>
      </c>
      <c r="R205" s="1">
        <v>91</v>
      </c>
      <c r="S205" s="1">
        <v>84</v>
      </c>
      <c r="T205" s="1">
        <v>0</v>
      </c>
      <c r="U205" s="1">
        <f>Games[[#This Row],[PointsFor]]-Games[[#This Row],[PointsAgainst]]</f>
        <v>7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0.32990371047907746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73.3</v>
      </c>
      <c r="Z205" s="4">
        <f>Games[[#This Row],[K]]*Games[[#This Row],[POMult]]</f>
        <v>73.3</v>
      </c>
      <c r="AA205" s="4">
        <f>(Games[[#This Row],[Keff]]*Games[[#This Row],[MOVMult]])*(Games[[#This Row],[Result]]-Games[[#This Row],[ExpectedWin%]])</f>
        <v>4.3770357783268929</v>
      </c>
      <c r="AB205" s="4">
        <f>Games[[#This Row],[PreGmRate]]+Games[[#This Row],[RatingChange]]</f>
        <v>1647.0499471556641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41823</v>
      </c>
      <c r="B206" s="2">
        <v>2014</v>
      </c>
      <c r="C206" s="2">
        <f>COUNTIFS(Games[Team],Games[[#This Row],[Team]],Games[Season],Games[[#This Row],[Season]],Games[Date],"&lt;=" &amp; Games[[#This Row],[Date]])</f>
        <v>16</v>
      </c>
      <c r="D206" s="2" t="s">
        <v>83</v>
      </c>
      <c r="E206" s="2" t="s">
        <v>84</v>
      </c>
      <c r="F206" s="1" t="s">
        <v>63</v>
      </c>
      <c r="G206" s="1" t="s">
        <v>71</v>
      </c>
      <c r="H206" s="1" t="s">
        <v>85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6" s="2">
        <f>Games[[#This Row],[DaysOff]]-Games[[#This Row],[OppDaysOff]]</f>
        <v>-2</v>
      </c>
      <c r="L206" s="2">
        <f>Games[[#This Row],[OppDaysOff]]-Games[[#This Row],[DaysOff]]</f>
        <v>2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1502.3663983126669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1471.4397330282432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0.37995918185299932</v>
      </c>
      <c r="R206" s="1">
        <v>70</v>
      </c>
      <c r="S206" s="1">
        <v>56</v>
      </c>
      <c r="T206" s="1">
        <v>0</v>
      </c>
      <c r="U206" s="1">
        <f>Games[[#This Row],[PointsFor]]-Games[[#This Row],[PointsAgainst]]</f>
        <v>14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0.47535709538449128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73.599999999999994</v>
      </c>
      <c r="Z206" s="4">
        <f>Games[[#This Row],[K]]*Games[[#This Row],[POMult]]</f>
        <v>73.599999999999994</v>
      </c>
      <c r="AA206" s="4">
        <f>(Games[[#This Row],[Keff]]*Games[[#This Row],[MOVMult]])*(Games[[#This Row],[Result]]-Games[[#This Row],[ExpectedWin%]])</f>
        <v>21.692923051795781</v>
      </c>
      <c r="AB206" s="4">
        <f>Games[[#This Row],[PreGmRate]]+Games[[#This Row],[RatingChange]]</f>
        <v>1524.0593213644627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41823</v>
      </c>
      <c r="B207" s="2">
        <v>2014</v>
      </c>
      <c r="C207" s="2">
        <f>COUNTIFS(Games[Team],Games[[#This Row],[Team]],Games[Season],Games[[#This Row],[Season]],Games[Date],"&lt;=" &amp; Games[[#This Row],[Date]])</f>
        <v>19</v>
      </c>
      <c r="D207" s="2" t="s">
        <v>83</v>
      </c>
      <c r="E207" s="2" t="s">
        <v>84</v>
      </c>
      <c r="F207" s="1" t="s">
        <v>71</v>
      </c>
      <c r="G207" s="1" t="s">
        <v>63</v>
      </c>
      <c r="H207" s="1" t="s">
        <v>86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2</v>
      </c>
      <c r="L207" s="2">
        <f>Games[[#This Row],[OppDaysOff]]-Games[[#This Row],[DaysOff]]</f>
        <v>-2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1471.4397330282432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1502.3663983126669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0.62004081814700063</v>
      </c>
      <c r="R207" s="1">
        <v>56</v>
      </c>
      <c r="S207" s="1">
        <v>70</v>
      </c>
      <c r="T207" s="1">
        <v>0</v>
      </c>
      <c r="U207" s="1">
        <f>Games[[#This Row],[PointsFor]]-Games[[#This Row],[PointsAgainst]]</f>
        <v>-14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0.47535709538449128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73.150000000000006</v>
      </c>
      <c r="Z207" s="4">
        <f>Games[[#This Row],[K]]*Games[[#This Row],[POMult]]</f>
        <v>73.150000000000006</v>
      </c>
      <c r="AA207" s="4">
        <f>(Games[[#This Row],[Keff]]*Games[[#This Row],[MOVMult]])*(Games[[#This Row],[Result]]-Games[[#This Row],[ExpectedWin%]])</f>
        <v>-21.5602896907454</v>
      </c>
      <c r="AB207" s="4">
        <f>Games[[#This Row],[PreGmRate]]+Games[[#This Row],[RatingChange]]</f>
        <v>1449.8794433374978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41825</v>
      </c>
      <c r="B208" s="2">
        <v>2014</v>
      </c>
      <c r="C208" s="2">
        <f>COUNTIFS(Games[Team],Games[[#This Row],[Team]],Games[Season],Games[[#This Row],[Season]],Games[Date],"&lt;=" &amp; Games[[#This Row],[Date]])</f>
        <v>19</v>
      </c>
      <c r="D208" s="2" t="s">
        <v>83</v>
      </c>
      <c r="E208" s="2" t="s">
        <v>84</v>
      </c>
      <c r="F208" s="1" t="s">
        <v>65</v>
      </c>
      <c r="G208" s="1" t="s">
        <v>79</v>
      </c>
      <c r="H208" s="1" t="s">
        <v>85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8" s="2">
        <f>Games[[#This Row],[DaysOff]]-Games[[#This Row],[OppDaysOff]]</f>
        <v>-1</v>
      </c>
      <c r="L208" s="2">
        <f>Games[[#This Row],[OppDaysOff]]-Games[[#This Row],[DaysOff]]</f>
        <v>1</v>
      </c>
      <c r="M208" s="1">
        <f>MAX(-16, MIN(16, Games[[#This Row],[RestDiff]]*8))</f>
        <v>-8</v>
      </c>
      <c r="N208" s="1">
        <f>MAX(-16, MIN(16, Games[[#This Row],[OppRestDiff]]*8))</f>
        <v>8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1438.9551548249688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1553.0881032586872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0.22571824089111928</v>
      </c>
      <c r="R208" s="1">
        <v>73</v>
      </c>
      <c r="S208" s="1">
        <v>86</v>
      </c>
      <c r="T208" s="1">
        <v>0</v>
      </c>
      <c r="U208" s="1">
        <f>Games[[#This Row],[PointsFor]]-Games[[#This Row],[PointsAgainst]]</f>
        <v>-13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0.43104657519779971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73.150000000000006</v>
      </c>
      <c r="Z208" s="4">
        <f>Games[[#This Row],[K]]*Games[[#This Row],[POMult]]</f>
        <v>73.150000000000006</v>
      </c>
      <c r="AA208" s="4">
        <f>(Games[[#This Row],[Keff]]*Games[[#This Row],[MOVMult]])*(Games[[#This Row],[Result]]-Games[[#This Row],[ExpectedWin%]])</f>
        <v>-7.1171347139969594</v>
      </c>
      <c r="AB208" s="4">
        <f>Games[[#This Row],[PreGmRate]]+Games[[#This Row],[RatingChange]]</f>
        <v>1431.8380201109719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41825</v>
      </c>
      <c r="B209" s="2">
        <v>2014</v>
      </c>
      <c r="C209" s="2">
        <f>COUNTIFS(Games[Team],Games[[#This Row],[Team]],Games[Season],Games[[#This Row],[Season]],Games[Date],"&lt;=" &amp; Games[[#This Row],[Date]])</f>
        <v>17</v>
      </c>
      <c r="D209" s="2" t="s">
        <v>83</v>
      </c>
      <c r="E209" s="2" t="s">
        <v>84</v>
      </c>
      <c r="F209" s="1" t="s">
        <v>79</v>
      </c>
      <c r="G209" s="1" t="s">
        <v>65</v>
      </c>
      <c r="H209" s="1" t="s">
        <v>86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9" s="2">
        <f>Games[[#This Row],[DaysOff]]-Games[[#This Row],[OppDaysOff]]</f>
        <v>1</v>
      </c>
      <c r="L209" s="2">
        <f>Games[[#This Row],[OppDaysOff]]-Games[[#This Row],[DaysOff]]</f>
        <v>-1</v>
      </c>
      <c r="M209" s="1">
        <f>MAX(-16, MIN(16, Games[[#This Row],[RestDiff]]*8))</f>
        <v>8</v>
      </c>
      <c r="N209" s="1">
        <f>MAX(-16, MIN(16, Games[[#This Row],[OppRestDiff]]*8))</f>
        <v>-8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1553.0881032586872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1438.9551548249688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0.77428175910888075</v>
      </c>
      <c r="R209" s="1">
        <v>86</v>
      </c>
      <c r="S209" s="1">
        <v>73</v>
      </c>
      <c r="T209" s="1">
        <v>0</v>
      </c>
      <c r="U209" s="1">
        <f>Games[[#This Row],[PointsFor]]-Games[[#This Row],[PointsAgainst]]</f>
        <v>13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0.43104657519779971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7.1463232364056957</v>
      </c>
      <c r="AB209" s="4">
        <f>Games[[#This Row],[PreGmRate]]+Games[[#This Row],[RatingChange]]</f>
        <v>1560.234426495093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41825</v>
      </c>
      <c r="B210" s="2">
        <v>2014</v>
      </c>
      <c r="C210" s="2">
        <f>COUNTIFS(Games[Team],Games[[#This Row],[Team]],Games[Season],Games[[#This Row],[Season]],Games[Date],"&lt;=" &amp; Games[[#This Row],[Date]])</f>
        <v>19</v>
      </c>
      <c r="D210" s="2" t="s">
        <v>83</v>
      </c>
      <c r="E210" s="2" t="s">
        <v>84</v>
      </c>
      <c r="F210" s="1" t="s">
        <v>74</v>
      </c>
      <c r="G210" s="1" t="s">
        <v>69</v>
      </c>
      <c r="H210" s="1" t="s">
        <v>85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0" s="2">
        <f>Games[[#This Row],[DaysOff]]-Games[[#This Row],[OppDaysOff]]</f>
        <v>-1</v>
      </c>
      <c r="L210" s="2">
        <f>Games[[#This Row],[OppDaysOff]]-Games[[#This Row],[DaysOff]]</f>
        <v>1</v>
      </c>
      <c r="M210" s="1">
        <f>MAX(-16, MIN(16, Games[[#This Row],[RestDiff]]*8))</f>
        <v>-8</v>
      </c>
      <c r="N210" s="1">
        <f>MAX(-16, MIN(16, Games[[#This Row],[OppRestDiff]]*8))</f>
        <v>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1492.0587983026314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1494.6249012017245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0.35653896315502076</v>
      </c>
      <c r="R210" s="1">
        <v>71</v>
      </c>
      <c r="S210" s="1">
        <v>70</v>
      </c>
      <c r="T210" s="1">
        <v>0</v>
      </c>
      <c r="U210" s="1">
        <f>Games[[#This Row],[PointsFor]]-Games[[#This Row],[PointsAgainst]]</f>
        <v>1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0.24365862670830576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73.150000000000006</v>
      </c>
      <c r="Z210" s="4">
        <f>Games[[#This Row],[K]]*Games[[#This Row],[POMult]]</f>
        <v>73.150000000000006</v>
      </c>
      <c r="AA210" s="4">
        <f>(Games[[#This Row],[Keff]]*Games[[#This Row],[MOVMult]])*(Games[[#This Row],[Result]]-Games[[#This Row],[ExpectedWin%]])</f>
        <v>11.468810503077057</v>
      </c>
      <c r="AB210" s="4">
        <f>Games[[#This Row],[PreGmRate]]+Games[[#This Row],[RatingChange]]</f>
        <v>1503.5276088057085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41825</v>
      </c>
      <c r="B211" s="2">
        <v>2014</v>
      </c>
      <c r="C211" s="2">
        <f>COUNTIFS(Games[Team],Games[[#This Row],[Team]],Games[Season],Games[[#This Row],[Season]],Games[Date],"&lt;=" &amp; Games[[#This Row],[Date]])</f>
        <v>18</v>
      </c>
      <c r="D211" s="2" t="s">
        <v>83</v>
      </c>
      <c r="E211" s="2" t="s">
        <v>84</v>
      </c>
      <c r="F211" s="1" t="s">
        <v>69</v>
      </c>
      <c r="G211" s="1" t="s">
        <v>74</v>
      </c>
      <c r="H211" s="1" t="s">
        <v>86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1</v>
      </c>
      <c r="L211" s="2">
        <f>Games[[#This Row],[OppDaysOff]]-Games[[#This Row],[DaysOff]]</f>
        <v>-1</v>
      </c>
      <c r="M211" s="1">
        <f>MAX(-16, MIN(16, Games[[#This Row],[RestDiff]]*8))</f>
        <v>8</v>
      </c>
      <c r="N211" s="1">
        <f>MAX(-16, MIN(16, Games[[#This Row],[OppRestDiff]]*8))</f>
        <v>-8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1494.6249012017245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1492.0587983026314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0.64346103684497924</v>
      </c>
      <c r="R211" s="1">
        <v>70</v>
      </c>
      <c r="S211" s="1">
        <v>71</v>
      </c>
      <c r="T211" s="1">
        <v>0</v>
      </c>
      <c r="U211" s="1">
        <f>Games[[#This Row],[PointsFor]]-Games[[#This Row],[PointsAgainst]]</f>
        <v>-1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0.24365862670830576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73.3</v>
      </c>
      <c r="Z211" s="4">
        <f>Games[[#This Row],[K]]*Games[[#This Row],[POMult]]</f>
        <v>73.3</v>
      </c>
      <c r="AA211" s="4">
        <f>(Games[[#This Row],[Keff]]*Games[[#This Row],[MOVMult]])*(Games[[#This Row],[Result]]-Games[[#This Row],[ExpectedWin%]])</f>
        <v>-11.492328227963748</v>
      </c>
      <c r="AB211" s="4">
        <f>Games[[#This Row],[PreGmRate]]+Games[[#This Row],[RatingChange]]</f>
        <v>1483.1325729737607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41825</v>
      </c>
      <c r="B212" s="2">
        <v>2014</v>
      </c>
      <c r="C212" s="2">
        <f>COUNTIFS(Games[Team],Games[[#This Row],[Team]],Games[Season],Games[[#This Row],[Season]],Games[Date],"&lt;=" &amp; Games[[#This Row],[Date]])</f>
        <v>18</v>
      </c>
      <c r="D212" s="2" t="s">
        <v>83</v>
      </c>
      <c r="E212" s="2" t="s">
        <v>84</v>
      </c>
      <c r="F212" s="1" t="s">
        <v>77</v>
      </c>
      <c r="G212" s="1" t="s">
        <v>71</v>
      </c>
      <c r="H212" s="1" t="s">
        <v>85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1</v>
      </c>
      <c r="L212" s="2">
        <f>Games[[#This Row],[OppDaysOff]]-Games[[#This Row],[DaysOff]]</f>
        <v>-1</v>
      </c>
      <c r="M212" s="1">
        <f>MAX(-16, MIN(16, Games[[#This Row],[RestDiff]]*8))</f>
        <v>8</v>
      </c>
      <c r="N212" s="1">
        <f>MAX(-16, MIN(16, Games[[#This Row],[OppRestDiff]]*8))</f>
        <v>-8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1482.3203990703075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1449.8794433374978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0.4490043562757135</v>
      </c>
      <c r="R212" s="1">
        <v>73</v>
      </c>
      <c r="S212" s="1">
        <v>80</v>
      </c>
      <c r="T212" s="1">
        <v>0</v>
      </c>
      <c r="U212" s="1">
        <f>Games[[#This Row],[PointsFor]]-Games[[#This Row],[PointsAgainst]]</f>
        <v>-7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0.36036501782797781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73.3</v>
      </c>
      <c r="Z212" s="4">
        <f>Games[[#This Row],[K]]*Games[[#This Row],[POMult]]</f>
        <v>73.3</v>
      </c>
      <c r="AA212" s="4">
        <f>(Games[[#This Row],[Keff]]*Games[[#This Row],[MOVMult]])*(Games[[#This Row],[Result]]-Games[[#This Row],[ExpectedWin%]])</f>
        <v>-11.860340427208255</v>
      </c>
      <c r="AB212" s="4">
        <f>Games[[#This Row],[PreGmRate]]+Games[[#This Row],[RatingChange]]</f>
        <v>1470.4600586430993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41825</v>
      </c>
      <c r="B213" s="2">
        <v>2014</v>
      </c>
      <c r="C213" s="2">
        <f>COUNTIFS(Games[Team],Games[[#This Row],[Team]],Games[Season],Games[[#This Row],[Season]],Games[Date],"&lt;=" &amp; Games[[#This Row],[Date]])</f>
        <v>20</v>
      </c>
      <c r="D213" s="2" t="s">
        <v>83</v>
      </c>
      <c r="E213" s="2" t="s">
        <v>84</v>
      </c>
      <c r="F213" s="1" t="s">
        <v>71</v>
      </c>
      <c r="G213" s="1" t="s">
        <v>77</v>
      </c>
      <c r="H213" s="1" t="s">
        <v>86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3" s="2">
        <f>Games[[#This Row],[DaysOff]]-Games[[#This Row],[OppDaysOff]]</f>
        <v>-1</v>
      </c>
      <c r="L213" s="2">
        <f>Games[[#This Row],[OppDaysOff]]-Games[[#This Row],[DaysOff]]</f>
        <v>1</v>
      </c>
      <c r="M213" s="1">
        <f>MAX(-16, MIN(16, Games[[#This Row],[RestDiff]]*8))</f>
        <v>-8</v>
      </c>
      <c r="N213" s="1">
        <f>MAX(-16, MIN(16, Games[[#This Row],[OppRestDiff]]*8))</f>
        <v>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1449.8794433374978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1482.3203990703075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0.55099564372428655</v>
      </c>
      <c r="R213" s="1">
        <v>80</v>
      </c>
      <c r="S213" s="1">
        <v>73</v>
      </c>
      <c r="T213" s="1">
        <v>0</v>
      </c>
      <c r="U213" s="1">
        <f>Games[[#This Row],[PointsFor]]-Games[[#This Row],[PointsAgainst]]</f>
        <v>7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0.36036501782797781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</v>
      </c>
      <c r="Z213" s="4">
        <f>Games[[#This Row],[K]]*Games[[#This Row],[POMult]]</f>
        <v>73</v>
      </c>
      <c r="AA213" s="4">
        <f>(Games[[#This Row],[Keff]]*Games[[#This Row],[MOVMult]])*(Games[[#This Row],[Result]]-Games[[#This Row],[ExpectedWin%]])</f>
        <v>11.811798788352014</v>
      </c>
      <c r="AB213" s="4">
        <f>Games[[#This Row],[PreGmRate]]+Games[[#This Row],[RatingChange]]</f>
        <v>1461.6912421258498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41825</v>
      </c>
      <c r="B214" s="2">
        <v>2014</v>
      </c>
      <c r="C214" s="2">
        <f>COUNTIFS(Games[Team],Games[[#This Row],[Team]],Games[Season],Games[[#This Row],[Season]],Games[Date],"&lt;=" &amp; Games[[#This Row],[Date]])</f>
        <v>19</v>
      </c>
      <c r="D214" s="2" t="s">
        <v>83</v>
      </c>
      <c r="E214" s="2" t="s">
        <v>84</v>
      </c>
      <c r="F214" s="1" t="s">
        <v>76</v>
      </c>
      <c r="G214" s="1" t="s">
        <v>81</v>
      </c>
      <c r="H214" s="1" t="s">
        <v>85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1434.8552930903975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1464.3014968092393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0.34230281659825074</v>
      </c>
      <c r="R214" s="1">
        <v>78</v>
      </c>
      <c r="S214" s="1">
        <v>76</v>
      </c>
      <c r="T214" s="1">
        <v>0</v>
      </c>
      <c r="U214" s="1">
        <f>Games[[#This Row],[PointsFor]]-Games[[#This Row],[PointsAgainst]]</f>
        <v>2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0.2614263104797922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73.150000000000006</v>
      </c>
      <c r="Z214" s="4">
        <f>Games[[#This Row],[K]]*Games[[#This Row],[POMult]]</f>
        <v>73.150000000000006</v>
      </c>
      <c r="AA214" s="4">
        <f>(Games[[#This Row],[Keff]]*Games[[#This Row],[MOVMult]])*(Games[[#This Row],[Result]]-Games[[#This Row],[ExpectedWin%]])</f>
        <v>12.5773633112964</v>
      </c>
      <c r="AB214" s="4">
        <f>Games[[#This Row],[PreGmRate]]+Games[[#This Row],[RatingChange]]</f>
        <v>1447.432656401694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41825</v>
      </c>
      <c r="B215" s="2">
        <v>2014</v>
      </c>
      <c r="C215" s="2">
        <f>COUNTIFS(Games[Team],Games[[#This Row],[Team]],Games[Season],Games[[#This Row],[Season]],Games[Date],"&lt;=" &amp; Games[[#This Row],[Date]])</f>
        <v>18</v>
      </c>
      <c r="D215" s="2" t="s">
        <v>83</v>
      </c>
      <c r="E215" s="2" t="s">
        <v>84</v>
      </c>
      <c r="F215" s="1" t="s">
        <v>81</v>
      </c>
      <c r="G215" s="1" t="s">
        <v>76</v>
      </c>
      <c r="H215" s="1" t="s">
        <v>86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1464.3014968092393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1434.8552930903975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0.65769718340174932</v>
      </c>
      <c r="R215" s="1">
        <v>76</v>
      </c>
      <c r="S215" s="1">
        <v>78</v>
      </c>
      <c r="T215" s="1">
        <v>0</v>
      </c>
      <c r="U215" s="1">
        <f>Games[[#This Row],[PointsFor]]-Games[[#This Row],[PointsAgainst]]</f>
        <v>-2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0.2614263104797922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73.3</v>
      </c>
      <c r="Z215" s="4">
        <f>Games[[#This Row],[K]]*Games[[#This Row],[POMult]]</f>
        <v>73.3</v>
      </c>
      <c r="AA215" s="4">
        <f>(Games[[#This Row],[Keff]]*Games[[#This Row],[MOVMult]])*(Games[[#This Row],[Result]]-Games[[#This Row],[ExpectedWin%]])</f>
        <v>-12.603154213506851</v>
      </c>
      <c r="AB215" s="4">
        <f>Games[[#This Row],[PreGmRate]]+Games[[#This Row],[RatingChange]]</f>
        <v>1451.6983425957326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41826</v>
      </c>
      <c r="B216" s="2">
        <v>2014</v>
      </c>
      <c r="C216" s="2">
        <f>COUNTIFS(Games[Team],Games[[#This Row],[Team]],Games[Season],Games[[#This Row],[Season]],Games[Date],"&lt;=" &amp; Games[[#This Row],[Date]])</f>
        <v>16</v>
      </c>
      <c r="D216" s="2" t="s">
        <v>83</v>
      </c>
      <c r="E216" s="2" t="s">
        <v>84</v>
      </c>
      <c r="F216" s="1" t="s">
        <v>40</v>
      </c>
      <c r="G216" s="1" t="s">
        <v>63</v>
      </c>
      <c r="H216" s="1" t="s">
        <v>85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6" s="2">
        <f>Games[[#This Row],[DaysOff]]-Games[[#This Row],[OppDaysOff]]</f>
        <v>1</v>
      </c>
      <c r="L216" s="2">
        <f>Games[[#This Row],[OppDaysOff]]-Games[[#This Row],[DaysOff]]</f>
        <v>-1</v>
      </c>
      <c r="M216" s="1">
        <f>MAX(-16, MIN(16, Games[[#This Row],[RestDiff]]*8))</f>
        <v>8</v>
      </c>
      <c r="N216" s="1">
        <f>MAX(-16, MIN(16, Games[[#This Row],[OppRestDiff]]*8))</f>
        <v>-8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1613.9645619163653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1524.0593213644627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0.53148247100570079</v>
      </c>
      <c r="R216" s="1">
        <v>94</v>
      </c>
      <c r="S216" s="1">
        <v>89</v>
      </c>
      <c r="T216" s="1">
        <v>0</v>
      </c>
      <c r="U216" s="1">
        <f>Games[[#This Row],[PointsFor]]-Games[[#This Row],[PointsAgainst]]</f>
        <v>5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0.30863288095733449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73.599999999999994</v>
      </c>
      <c r="Z216" s="4">
        <f>Games[[#This Row],[K]]*Games[[#This Row],[POMult]]</f>
        <v>73.599999999999994</v>
      </c>
      <c r="AA216" s="4">
        <f>(Games[[#This Row],[Keff]]*Games[[#This Row],[MOVMult]])*(Games[[#This Row],[Result]]-Games[[#This Row],[ExpectedWin%]])</f>
        <v>10.642553725785623</v>
      </c>
      <c r="AB216" s="4">
        <f>Games[[#This Row],[PreGmRate]]+Games[[#This Row],[RatingChange]]</f>
        <v>1624.6071156421508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41826</v>
      </c>
      <c r="B217" s="2">
        <v>2014</v>
      </c>
      <c r="C217" s="2">
        <f>COUNTIFS(Games[Team],Games[[#This Row],[Team]],Games[Season],Games[[#This Row],[Season]],Games[Date],"&lt;=" &amp; Games[[#This Row],[Date]])</f>
        <v>17</v>
      </c>
      <c r="D217" s="2" t="s">
        <v>83</v>
      </c>
      <c r="E217" s="2" t="s">
        <v>84</v>
      </c>
      <c r="F217" s="1" t="s">
        <v>63</v>
      </c>
      <c r="G217" s="1" t="s">
        <v>40</v>
      </c>
      <c r="H217" s="1" t="s">
        <v>86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7" s="2">
        <f>Games[[#This Row],[DaysOff]]-Games[[#This Row],[OppDaysOff]]</f>
        <v>-1</v>
      </c>
      <c r="L217" s="2">
        <f>Games[[#This Row],[OppDaysOff]]-Games[[#This Row],[DaysOff]]</f>
        <v>1</v>
      </c>
      <c r="M217" s="1">
        <f>MAX(-16, MIN(16, Games[[#This Row],[RestDiff]]*8))</f>
        <v>-8</v>
      </c>
      <c r="N217" s="1">
        <f>MAX(-16, MIN(16, Games[[#This Row],[OppRestDiff]]*8))</f>
        <v>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1524.0593213644627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1613.9645619163653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0.46851752899429916</v>
      </c>
      <c r="R217" s="1">
        <v>89</v>
      </c>
      <c r="S217" s="1">
        <v>94</v>
      </c>
      <c r="T217" s="1">
        <v>0</v>
      </c>
      <c r="U217" s="1">
        <f>Games[[#This Row],[PointsFor]]-Games[[#This Row],[PointsAgainst]]</f>
        <v>-5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0.30863288095733449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-10.620863738572746</v>
      </c>
      <c r="AB217" s="4">
        <f>Games[[#This Row],[PreGmRate]]+Games[[#This Row],[RatingChange]]</f>
        <v>1513.4384576258899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41826</v>
      </c>
      <c r="B218" s="2">
        <v>2014</v>
      </c>
      <c r="C218" s="2">
        <f>COUNTIFS(Games[Team],Games[[#This Row],[Team]],Games[Season],Games[[#This Row],[Season]],Games[Date],"&lt;=" &amp; Games[[#This Row],[Date]])</f>
        <v>19</v>
      </c>
      <c r="D218" s="2" t="s">
        <v>83</v>
      </c>
      <c r="E218" s="2" t="s">
        <v>84</v>
      </c>
      <c r="F218" s="1" t="s">
        <v>67</v>
      </c>
      <c r="G218" s="1" t="s">
        <v>60</v>
      </c>
      <c r="H218" s="1" t="s">
        <v>85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8" s="2">
        <f>Games[[#This Row],[DaysOff]]-Games[[#This Row],[OppDaysOff]]</f>
        <v>-2</v>
      </c>
      <c r="L218" s="2">
        <f>Games[[#This Row],[OppDaysOff]]-Games[[#This Row],[DaysOff]]</f>
        <v>2</v>
      </c>
      <c r="M218" s="1">
        <f>MAX(-16, MIN(16, Games[[#This Row],[RestDiff]]*8))</f>
        <v>-16</v>
      </c>
      <c r="N218" s="1">
        <f>MAX(-16, MIN(16, Games[[#This Row],[OppRestDiff]]*8))</f>
        <v>16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1647.0499471556641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1406.7431320377173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0.67163021533039857</v>
      </c>
      <c r="R218" s="1">
        <v>80</v>
      </c>
      <c r="S218" s="1">
        <v>87</v>
      </c>
      <c r="T218" s="1">
        <v>0</v>
      </c>
      <c r="U218" s="1">
        <f>Games[[#This Row],[PointsFor]]-Games[[#This Row],[PointsAgainst]]</f>
        <v>-7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0.30835694334211305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73.150000000000006</v>
      </c>
      <c r="Z218" s="4">
        <f>Games[[#This Row],[K]]*Games[[#This Row],[POMult]]</f>
        <v>73.150000000000006</v>
      </c>
      <c r="AA218" s="4">
        <f>(Games[[#This Row],[Keff]]*Games[[#This Row],[MOVMult]])*(Games[[#This Row],[Result]]-Games[[#This Row],[ExpectedWin%]])</f>
        <v>-15.149499614688867</v>
      </c>
      <c r="AB218" s="4">
        <f>Games[[#This Row],[PreGmRate]]+Games[[#This Row],[RatingChange]]</f>
        <v>1631.9004475409752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41826</v>
      </c>
      <c r="B219" s="2">
        <v>2014</v>
      </c>
      <c r="C219" s="2">
        <f>COUNTIFS(Games[Team],Games[[#This Row],[Team]],Games[Season],Games[[#This Row],[Season]],Games[Date],"&lt;=" &amp; Games[[#This Row],[Date]])</f>
        <v>18</v>
      </c>
      <c r="D219" s="2" t="s">
        <v>83</v>
      </c>
      <c r="E219" s="2" t="s">
        <v>84</v>
      </c>
      <c r="F219" s="1" t="s">
        <v>60</v>
      </c>
      <c r="G219" s="1" t="s">
        <v>67</v>
      </c>
      <c r="H219" s="1" t="s">
        <v>86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2</v>
      </c>
      <c r="L219" s="2">
        <f>Games[[#This Row],[OppDaysOff]]-Games[[#This Row],[DaysOff]]</f>
        <v>-2</v>
      </c>
      <c r="M219" s="1">
        <f>MAX(-16, MIN(16, Games[[#This Row],[RestDiff]]*8))</f>
        <v>16</v>
      </c>
      <c r="N219" s="1">
        <f>MAX(-16, MIN(16, Games[[#This Row],[OppRestDiff]]*8))</f>
        <v>-16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1406.7431320377173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1647.0499471556641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0.32836978466960137</v>
      </c>
      <c r="R219" s="1">
        <v>87</v>
      </c>
      <c r="S219" s="1">
        <v>80</v>
      </c>
      <c r="T219" s="1">
        <v>0</v>
      </c>
      <c r="U219" s="1">
        <f>Games[[#This Row],[PointsFor]]-Games[[#This Row],[PointsAgainst]]</f>
        <v>7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0.30835694334211305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15.18056489072719</v>
      </c>
      <c r="AB219" s="4">
        <f>Games[[#This Row],[PreGmRate]]+Games[[#This Row],[RatingChange]]</f>
        <v>1421.9236969284445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41828</v>
      </c>
      <c r="B220" s="2">
        <v>2014</v>
      </c>
      <c r="C220" s="2">
        <f>COUNTIFS(Games[Team],Games[[#This Row],[Team]],Games[Season],Games[[#This Row],[Season]],Games[Date],"&lt;=" &amp; Games[[#This Row],[Date]])</f>
        <v>20</v>
      </c>
      <c r="D220" s="2" t="s">
        <v>83</v>
      </c>
      <c r="E220" s="2" t="s">
        <v>84</v>
      </c>
      <c r="F220" s="1" t="s">
        <v>76</v>
      </c>
      <c r="G220" s="1" t="s">
        <v>79</v>
      </c>
      <c r="H220" s="1" t="s">
        <v>85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1447.432656401694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1560.234426495093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0.24362962007256472</v>
      </c>
      <c r="R220" s="1">
        <v>71</v>
      </c>
      <c r="S220" s="1">
        <v>83</v>
      </c>
      <c r="T220" s="1">
        <v>0</v>
      </c>
      <c r="U220" s="1">
        <f>Games[[#This Row],[PointsFor]]-Games[[#This Row],[PointsAgainst]]</f>
        <v>-12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0.41693677153779846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</v>
      </c>
      <c r="Z220" s="4">
        <f>Games[[#This Row],[K]]*Games[[#This Row],[POMult]]</f>
        <v>73</v>
      </c>
      <c r="AA220" s="4">
        <f>(Games[[#This Row],[Keff]]*Games[[#This Row],[MOVMult]])*(Games[[#This Row],[Result]]-Games[[#This Row],[ExpectedWin%]])</f>
        <v>-7.4152047488145953</v>
      </c>
      <c r="AB220" s="4">
        <f>Games[[#This Row],[PreGmRate]]+Games[[#This Row],[RatingChange]]</f>
        <v>1440.0174516528793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41828</v>
      </c>
      <c r="B221" s="2">
        <v>2014</v>
      </c>
      <c r="C221" s="2">
        <f>COUNTIFS(Games[Team],Games[[#This Row],[Team]],Games[Season],Games[[#This Row],[Season]],Games[Date],"&lt;=" &amp; Games[[#This Row],[Date]])</f>
        <v>18</v>
      </c>
      <c r="D221" s="2" t="s">
        <v>83</v>
      </c>
      <c r="E221" s="2" t="s">
        <v>84</v>
      </c>
      <c r="F221" s="1" t="s">
        <v>79</v>
      </c>
      <c r="G221" s="1" t="s">
        <v>76</v>
      </c>
      <c r="H221" s="1" t="s">
        <v>86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1560.234426495093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1447.432656401694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0.75637037992743528</v>
      </c>
      <c r="R221" s="1">
        <v>83</v>
      </c>
      <c r="S221" s="1">
        <v>71</v>
      </c>
      <c r="T221" s="1">
        <v>0</v>
      </c>
      <c r="U221" s="1">
        <f>Games[[#This Row],[PointsFor]]-Games[[#This Row],[PointsAgainst]]</f>
        <v>12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0.41693677153779846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7.4456781929878053</v>
      </c>
      <c r="AB221" s="4">
        <f>Games[[#This Row],[PreGmRate]]+Games[[#This Row],[RatingChange]]</f>
        <v>1567.6801046880807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41828</v>
      </c>
      <c r="B222" s="2">
        <v>2014</v>
      </c>
      <c r="C222" s="2">
        <f>COUNTIFS(Games[Team],Games[[#This Row],[Team]],Games[Season],Games[[#This Row],[Season]],Games[Date],"&lt;=" &amp; Games[[#This Row],[Date]])</f>
        <v>18</v>
      </c>
      <c r="D222" s="2" t="s">
        <v>83</v>
      </c>
      <c r="E222" s="2" t="s">
        <v>84</v>
      </c>
      <c r="F222" s="1" t="s">
        <v>63</v>
      </c>
      <c r="G222" s="1" t="s">
        <v>67</v>
      </c>
      <c r="H222" s="1" t="s">
        <v>85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2" s="2">
        <f>Games[[#This Row],[DaysOff]]-Games[[#This Row],[OppDaysOff]]</f>
        <v>0</v>
      </c>
      <c r="L222" s="2">
        <f>Games[[#This Row],[OppDaysOff]]-Games[[#This Row],[DaysOff]]</f>
        <v>0</v>
      </c>
      <c r="M222" s="1">
        <f>MAX(-16, MIN(16, Games[[#This Row],[RestDiff]]*8))</f>
        <v>0</v>
      </c>
      <c r="N222" s="1">
        <f>MAX(-16, MIN(16, Games[[#This Row],[OppRestDiff]]*8))</f>
        <v>0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1513.4384576258899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1631.9004475409752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0.23767570300222576</v>
      </c>
      <c r="R222" s="1">
        <v>72</v>
      </c>
      <c r="S222" s="1">
        <v>83</v>
      </c>
      <c r="T222" s="1">
        <v>0</v>
      </c>
      <c r="U222" s="1">
        <f>Games[[#This Row],[PointsFor]]-Games[[#This Row],[PointsAgainst]]</f>
        <v>-11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0.40031731543747462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-6.9741797638624545</v>
      </c>
      <c r="AB222" s="4">
        <f>Games[[#This Row],[PreGmRate]]+Games[[#This Row],[RatingChange]]</f>
        <v>1506.4642778620275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41828</v>
      </c>
      <c r="B223" s="2">
        <v>2014</v>
      </c>
      <c r="C223" s="2">
        <f>COUNTIFS(Games[Team],Games[[#This Row],[Team]],Games[Season],Games[[#This Row],[Season]],Games[Date],"&lt;=" &amp; Games[[#This Row],[Date]])</f>
        <v>20</v>
      </c>
      <c r="D223" s="2" t="s">
        <v>83</v>
      </c>
      <c r="E223" s="2" t="s">
        <v>84</v>
      </c>
      <c r="F223" s="1" t="s">
        <v>67</v>
      </c>
      <c r="G223" s="1" t="s">
        <v>63</v>
      </c>
      <c r="H223" s="1" t="s">
        <v>86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0</v>
      </c>
      <c r="L223" s="2">
        <f>Games[[#This Row],[OppDaysOff]]-Games[[#This Row],[DaysOff]]</f>
        <v>0</v>
      </c>
      <c r="M223" s="1">
        <f>MAX(-16, MIN(16, Games[[#This Row],[RestDiff]]*8))</f>
        <v>0</v>
      </c>
      <c r="N223" s="1">
        <f>MAX(-16, MIN(16, Games[[#This Row],[OppRestDiff]]*8))</f>
        <v>0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1631.9004475409752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1513.4384576258899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0.76232429699777426</v>
      </c>
      <c r="R223" s="1">
        <v>83</v>
      </c>
      <c r="S223" s="1">
        <v>72</v>
      </c>
      <c r="T223" s="1">
        <v>0</v>
      </c>
      <c r="U223" s="1">
        <f>Games[[#This Row],[PointsFor]]-Games[[#This Row],[PointsAgainst]]</f>
        <v>11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0.40031731543747462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</v>
      </c>
      <c r="Z223" s="4">
        <f>Games[[#This Row],[K]]*Games[[#This Row],[POMult]]</f>
        <v>73</v>
      </c>
      <c r="AA223" s="4">
        <f>(Games[[#This Row],[Keff]]*Games[[#This Row],[MOVMult]])*(Games[[#This Row],[Result]]-Games[[#This Row],[ExpectedWin%]])</f>
        <v>6.9456360540512847</v>
      </c>
      <c r="AB223" s="4">
        <f>Games[[#This Row],[PreGmRate]]+Games[[#This Row],[RatingChange]]</f>
        <v>1638.8460835950264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41828</v>
      </c>
      <c r="B224" s="2">
        <v>2014</v>
      </c>
      <c r="C224" s="2">
        <f>COUNTIFS(Games[Team],Games[[#This Row],[Team]],Games[Season],Games[[#This Row],[Season]],Games[Date],"&lt;=" &amp; Games[[#This Row],[Date]])</f>
        <v>19</v>
      </c>
      <c r="D224" s="2" t="s">
        <v>83</v>
      </c>
      <c r="E224" s="2" t="s">
        <v>84</v>
      </c>
      <c r="F224" s="1" t="s">
        <v>69</v>
      </c>
      <c r="G224" s="1" t="s">
        <v>81</v>
      </c>
      <c r="H224" s="1" t="s">
        <v>85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1483.1325729737607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1451.6983425957326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0.42492375141840155</v>
      </c>
      <c r="R224" s="1">
        <v>78</v>
      </c>
      <c r="S224" s="1">
        <v>76</v>
      </c>
      <c r="T224" s="1">
        <v>0</v>
      </c>
      <c r="U224" s="1">
        <f>Games[[#This Row],[PointsFor]]-Games[[#This Row],[PointsAgainst]]</f>
        <v>2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0.26100426400599314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10.979621372562095</v>
      </c>
      <c r="AB224" s="4">
        <f>Games[[#This Row],[PreGmRate]]+Games[[#This Row],[RatingChange]]</f>
        <v>1494.1121943463229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41828</v>
      </c>
      <c r="B225" s="2">
        <v>2014</v>
      </c>
      <c r="C225" s="2">
        <f>COUNTIFS(Games[Team],Games[[#This Row],[Team]],Games[Season],Games[[#This Row],[Season]],Games[Date],"&lt;=" &amp; Games[[#This Row],[Date]])</f>
        <v>19</v>
      </c>
      <c r="D225" s="2" t="s">
        <v>83</v>
      </c>
      <c r="E225" s="2" t="s">
        <v>84</v>
      </c>
      <c r="F225" s="1" t="s">
        <v>81</v>
      </c>
      <c r="G225" s="1" t="s">
        <v>69</v>
      </c>
      <c r="H225" s="1" t="s">
        <v>86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1451.6983425957326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1483.1325729737607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0.57507624858159845</v>
      </c>
      <c r="R225" s="1">
        <v>76</v>
      </c>
      <c r="S225" s="1">
        <v>78</v>
      </c>
      <c r="T225" s="1">
        <v>0</v>
      </c>
      <c r="U225" s="1">
        <f>Games[[#This Row],[PointsFor]]-Games[[#This Row],[PointsAgainst]]</f>
        <v>-2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0.26100426400599314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73.150000000000006</v>
      </c>
      <c r="Z225" s="4">
        <f>Games[[#This Row],[K]]*Games[[#This Row],[POMult]]</f>
        <v>73.150000000000006</v>
      </c>
      <c r="AA225" s="4">
        <f>(Games[[#This Row],[Keff]]*Games[[#This Row],[MOVMult]])*(Games[[#This Row],[Result]]-Games[[#This Row],[ExpectedWin%]])</f>
        <v>-10.979621372562095</v>
      </c>
      <c r="AB225" s="4">
        <f>Games[[#This Row],[PreGmRate]]+Games[[#This Row],[RatingChange]]</f>
        <v>1440.7187212231704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41829</v>
      </c>
      <c r="B226" s="2">
        <v>2014</v>
      </c>
      <c r="C226" s="2">
        <f>COUNTIFS(Games[Team],Games[[#This Row],[Team]],Games[Season],Games[[#This Row],[Season]],Games[Date],"&lt;=" &amp; Games[[#This Row],[Date]])</f>
        <v>20</v>
      </c>
      <c r="D226" s="2" t="s">
        <v>83</v>
      </c>
      <c r="E226" s="2" t="s">
        <v>84</v>
      </c>
      <c r="F226" s="1" t="s">
        <v>65</v>
      </c>
      <c r="G226" s="1" t="s">
        <v>77</v>
      </c>
      <c r="H226" s="1" t="s">
        <v>85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1431.8380201109719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1470.4600586430993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0.33051223873223357</v>
      </c>
      <c r="R226" s="1">
        <v>72</v>
      </c>
      <c r="S226" s="1">
        <v>65</v>
      </c>
      <c r="T226" s="1">
        <v>0</v>
      </c>
      <c r="U226" s="1">
        <f>Games[[#This Row],[PointsFor]]-Games[[#This Row],[PointsAgainst]]</f>
        <v>7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0.35856669199178326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</v>
      </c>
      <c r="Z226" s="4">
        <f>Games[[#This Row],[K]]*Games[[#This Row],[POMult]]</f>
        <v>73</v>
      </c>
      <c r="AA226" s="4">
        <f>(Games[[#This Row],[Keff]]*Games[[#This Row],[MOVMult]])*(Games[[#This Row],[Result]]-Games[[#This Row],[ExpectedWin%]])</f>
        <v>17.524088867734044</v>
      </c>
      <c r="AB226" s="4">
        <f>Games[[#This Row],[PreGmRate]]+Games[[#This Row],[RatingChange]]</f>
        <v>1449.3621089787059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41829</v>
      </c>
      <c r="B227" s="2">
        <v>2014</v>
      </c>
      <c r="C227" s="2">
        <f>COUNTIFS(Games[Team],Games[[#This Row],[Team]],Games[Season],Games[[#This Row],[Season]],Games[Date],"&lt;=" &amp; Games[[#This Row],[Date]])</f>
        <v>19</v>
      </c>
      <c r="D227" s="2" t="s">
        <v>83</v>
      </c>
      <c r="E227" s="2" t="s">
        <v>84</v>
      </c>
      <c r="F227" s="1" t="s">
        <v>77</v>
      </c>
      <c r="G227" s="1" t="s">
        <v>65</v>
      </c>
      <c r="H227" s="1" t="s">
        <v>86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1470.4600586430993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1431.8380201109719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0.66948776126776643</v>
      </c>
      <c r="R227" s="1">
        <v>65</v>
      </c>
      <c r="S227" s="1">
        <v>72</v>
      </c>
      <c r="T227" s="1">
        <v>0</v>
      </c>
      <c r="U227" s="1">
        <f>Games[[#This Row],[PointsFor]]-Games[[#This Row],[PointsAgainst]]</f>
        <v>-7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0.35856669199178326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-17.560097269517062</v>
      </c>
      <c r="AB227" s="4">
        <f>Games[[#This Row],[PreGmRate]]+Games[[#This Row],[RatingChange]]</f>
        <v>1452.8999613735823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41829</v>
      </c>
      <c r="B228" s="2">
        <v>2014</v>
      </c>
      <c r="C228" s="2">
        <f>COUNTIFS(Games[Team],Games[[#This Row],[Team]],Games[Season],Games[[#This Row],[Season]],Games[Date],"&lt;=" &amp; Games[[#This Row],[Date]])</f>
        <v>21</v>
      </c>
      <c r="D228" s="2" t="s">
        <v>83</v>
      </c>
      <c r="E228" s="2" t="s">
        <v>84</v>
      </c>
      <c r="F228" s="1" t="s">
        <v>71</v>
      </c>
      <c r="G228" s="1" t="s">
        <v>40</v>
      </c>
      <c r="H228" s="1" t="s">
        <v>85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8" s="2">
        <f>Games[[#This Row],[DaysOff]]-Games[[#This Row],[OppDaysOff]]</f>
        <v>1</v>
      </c>
      <c r="L228" s="2">
        <f>Games[[#This Row],[OppDaysOff]]-Games[[#This Row],[DaysOff]]</f>
        <v>-1</v>
      </c>
      <c r="M228" s="1">
        <f>MAX(-16, MIN(16, Games[[#This Row],[RestDiff]]*8))</f>
        <v>8</v>
      </c>
      <c r="N228" s="1">
        <f>MAX(-16, MIN(16, Games[[#This Row],[OppRestDiff]]*8))</f>
        <v>-8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1461.6912421258498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1624.6071156421508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0.20928202456145323</v>
      </c>
      <c r="R228" s="1">
        <v>58</v>
      </c>
      <c r="S228" s="1">
        <v>78</v>
      </c>
      <c r="T228" s="1">
        <v>0</v>
      </c>
      <c r="U228" s="1">
        <f>Games[[#This Row],[PointsFor]]-Games[[#This Row],[PointsAgainst]]</f>
        <v>-20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0.50616831466696999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72.849999999999994</v>
      </c>
      <c r="Z228" s="4">
        <f>Games[[#This Row],[K]]*Games[[#This Row],[POMult]]</f>
        <v>72.849999999999994</v>
      </c>
      <c r="AA228" s="4">
        <f>(Games[[#This Row],[Keff]]*Games[[#This Row],[MOVMult]])*(Games[[#This Row],[Result]]-Games[[#This Row],[ExpectedWin%]])</f>
        <v>-7.7171410759030854</v>
      </c>
      <c r="AB228" s="4">
        <f>Games[[#This Row],[PreGmRate]]+Games[[#This Row],[RatingChange]]</f>
        <v>1453.9741010499467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41829</v>
      </c>
      <c r="B229" s="2">
        <v>2014</v>
      </c>
      <c r="C229" s="2">
        <f>COUNTIFS(Games[Team],Games[[#This Row],[Team]],Games[Season],Games[[#This Row],[Season]],Games[Date],"&lt;=" &amp; Games[[#This Row],[Date]])</f>
        <v>17</v>
      </c>
      <c r="D229" s="2" t="s">
        <v>83</v>
      </c>
      <c r="E229" s="2" t="s">
        <v>84</v>
      </c>
      <c r="F229" s="1" t="s">
        <v>40</v>
      </c>
      <c r="G229" s="1" t="s">
        <v>71</v>
      </c>
      <c r="H229" s="1" t="s">
        <v>86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9" s="2">
        <f>Games[[#This Row],[DaysOff]]-Games[[#This Row],[OppDaysOff]]</f>
        <v>-1</v>
      </c>
      <c r="L229" s="2">
        <f>Games[[#This Row],[OppDaysOff]]-Games[[#This Row],[DaysOff]]</f>
        <v>1</v>
      </c>
      <c r="M229" s="1">
        <f>MAX(-16, MIN(16, Games[[#This Row],[RestDiff]]*8))</f>
        <v>-8</v>
      </c>
      <c r="N229" s="1">
        <f>MAX(-16, MIN(16, Games[[#This Row],[OppRestDiff]]*8))</f>
        <v>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1624.6071156421508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1461.6912421258498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0.79071797543854672</v>
      </c>
      <c r="R229" s="1">
        <v>78</v>
      </c>
      <c r="S229" s="1">
        <v>58</v>
      </c>
      <c r="T229" s="1">
        <v>0</v>
      </c>
      <c r="U229" s="1">
        <f>Games[[#This Row],[PointsFor]]-Games[[#This Row],[PointsAgainst]]</f>
        <v>20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0.50616831466696999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73.45</v>
      </c>
      <c r="Z229" s="4">
        <f>Games[[#This Row],[K]]*Games[[#This Row],[POMult]]</f>
        <v>73.45</v>
      </c>
      <c r="AA229" s="4">
        <f>(Games[[#This Row],[Keff]]*Games[[#This Row],[MOVMult]])*(Games[[#This Row],[Result]]-Games[[#This Row],[ExpectedWin%]])</f>
        <v>7.7807002337005065</v>
      </c>
      <c r="AB229" s="4">
        <f>Games[[#This Row],[PreGmRate]]+Games[[#This Row],[RatingChange]]</f>
        <v>1632.3878158758514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41829</v>
      </c>
      <c r="B230" s="2">
        <v>2014</v>
      </c>
      <c r="C230" s="2">
        <f>COUNTIFS(Games[Team],Games[[#This Row],[Team]],Games[Season],Games[[#This Row],[Season]],Games[Date],"&lt;=" &amp; Games[[#This Row],[Date]])</f>
        <v>19</v>
      </c>
      <c r="D230" s="2" t="s">
        <v>83</v>
      </c>
      <c r="E230" s="2" t="s">
        <v>84</v>
      </c>
      <c r="F230" s="1" t="s">
        <v>60</v>
      </c>
      <c r="G230" s="1" t="s">
        <v>74</v>
      </c>
      <c r="H230" s="1" t="s">
        <v>85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1421.9236969284445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1503.5276088057085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0.2601101457326836</v>
      </c>
      <c r="R230" s="1">
        <v>66</v>
      </c>
      <c r="S230" s="1">
        <v>80</v>
      </c>
      <c r="T230" s="1">
        <v>0</v>
      </c>
      <c r="U230" s="1">
        <f>Games[[#This Row],[PointsFor]]-Games[[#This Row],[PointsAgainst]]</f>
        <v>-14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0.45656050111756991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73.150000000000006</v>
      </c>
      <c r="Z230" s="4">
        <f>Games[[#This Row],[K]]*Games[[#This Row],[POMult]]</f>
        <v>73.150000000000006</v>
      </c>
      <c r="AA230" s="4">
        <f>(Games[[#This Row],[Keff]]*Games[[#This Row],[MOVMult]])*(Games[[#This Row],[Result]]-Games[[#This Row],[ExpectedWin%]])</f>
        <v>-8.6870027519201276</v>
      </c>
      <c r="AB230" s="4">
        <f>Games[[#This Row],[PreGmRate]]+Games[[#This Row],[RatingChange]]</f>
        <v>1413.2366941765245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41829</v>
      </c>
      <c r="B231" s="2">
        <v>2014</v>
      </c>
      <c r="C231" s="2">
        <f>COUNTIFS(Games[Team],Games[[#This Row],[Team]],Games[Season],Games[[#This Row],[Season]],Games[Date],"&lt;=" &amp; Games[[#This Row],[Date]])</f>
        <v>20</v>
      </c>
      <c r="D231" s="2" t="s">
        <v>83</v>
      </c>
      <c r="E231" s="2" t="s">
        <v>84</v>
      </c>
      <c r="F231" s="1" t="s">
        <v>74</v>
      </c>
      <c r="G231" s="1" t="s">
        <v>60</v>
      </c>
      <c r="H231" s="1" t="s">
        <v>86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1503.5276088057085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1421.9236969284445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0.73988985426731646</v>
      </c>
      <c r="R231" s="1">
        <v>80</v>
      </c>
      <c r="S231" s="1">
        <v>66</v>
      </c>
      <c r="T231" s="1">
        <v>0</v>
      </c>
      <c r="U231" s="1">
        <f>Games[[#This Row],[PointsFor]]-Games[[#This Row],[PointsAgainst]]</f>
        <v>14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0.45656050111756991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</v>
      </c>
      <c r="Z231" s="4">
        <f>Games[[#This Row],[K]]*Games[[#This Row],[POMult]]</f>
        <v>73</v>
      </c>
      <c r="AA231" s="4">
        <f>(Games[[#This Row],[Keff]]*Games[[#This Row],[MOVMult]])*(Games[[#This Row],[Result]]-Games[[#This Row],[ExpectedWin%]])</f>
        <v>8.6691893491479046</v>
      </c>
      <c r="AB231" s="4">
        <f>Games[[#This Row],[PreGmRate]]+Games[[#This Row],[RatingChange]]</f>
        <v>1512.1967981548564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41830</v>
      </c>
      <c r="B232" s="2">
        <v>2014</v>
      </c>
      <c r="C232" s="2">
        <f>COUNTIFS(Games[Team],Games[[#This Row],[Team]],Games[Season],Games[[#This Row],[Season]],Games[Date],"&lt;=" &amp; Games[[#This Row],[Date]])</f>
        <v>21</v>
      </c>
      <c r="D232" s="2" t="s">
        <v>83</v>
      </c>
      <c r="E232" s="2" t="s">
        <v>84</v>
      </c>
      <c r="F232" s="1" t="s">
        <v>76</v>
      </c>
      <c r="G232" s="1" t="s">
        <v>69</v>
      </c>
      <c r="H232" s="1" t="s">
        <v>85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1440.0174516528793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1494.1121943463229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0.31110953263986707</v>
      </c>
      <c r="R232" s="1">
        <v>68</v>
      </c>
      <c r="S232" s="1">
        <v>72</v>
      </c>
      <c r="T232" s="1">
        <v>0</v>
      </c>
      <c r="U232" s="1">
        <f>Games[[#This Row],[PointsFor]]-Games[[#This Row],[PointsAgainst]]</f>
        <v>-4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0.29799924133483813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72.849999999999994</v>
      </c>
      <c r="Z232" s="4">
        <f>Games[[#This Row],[K]]*Games[[#This Row],[POMult]]</f>
        <v>72.849999999999994</v>
      </c>
      <c r="AA232" s="4">
        <f>(Games[[#This Row],[Keff]]*Games[[#This Row],[MOVMult]])*(Games[[#This Row],[Result]]-Games[[#This Row],[ExpectedWin%]])</f>
        <v>-6.7539529823014917</v>
      </c>
      <c r="AB232" s="4">
        <f>Games[[#This Row],[PreGmRate]]+Games[[#This Row],[RatingChange]]</f>
        <v>1433.2634986705777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41830</v>
      </c>
      <c r="B233" s="2">
        <v>2014</v>
      </c>
      <c r="C233" s="2">
        <f>COUNTIFS(Games[Team],Games[[#This Row],[Team]],Games[Season],Games[[#This Row],[Season]],Games[Date],"&lt;=" &amp; Games[[#This Row],[Date]])</f>
        <v>20</v>
      </c>
      <c r="D233" s="2" t="s">
        <v>83</v>
      </c>
      <c r="E233" s="2" t="s">
        <v>84</v>
      </c>
      <c r="F233" s="1" t="s">
        <v>69</v>
      </c>
      <c r="G233" s="1" t="s">
        <v>76</v>
      </c>
      <c r="H233" s="1" t="s">
        <v>86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1494.1121943463229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1440.0174516528793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0.68889046736013282</v>
      </c>
      <c r="R233" s="1">
        <v>72</v>
      </c>
      <c r="S233" s="1">
        <v>68</v>
      </c>
      <c r="T233" s="1">
        <v>0</v>
      </c>
      <c r="U233" s="1">
        <f>Games[[#This Row],[PointsFor]]-Games[[#This Row],[PointsAgainst]]</f>
        <v>4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0.29799924133483813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</v>
      </c>
      <c r="Z233" s="4">
        <f>Games[[#This Row],[K]]*Games[[#This Row],[POMult]]</f>
        <v>73</v>
      </c>
      <c r="AA233" s="4">
        <f>(Games[[#This Row],[Keff]]*Games[[#This Row],[MOVMult]])*(Games[[#This Row],[Result]]-Games[[#This Row],[ExpectedWin%]])</f>
        <v>6.7678595430063027</v>
      </c>
      <c r="AB233" s="4">
        <f>Games[[#This Row],[PreGmRate]]+Games[[#This Row],[RatingChange]]</f>
        <v>1500.8800538893292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41830</v>
      </c>
      <c r="B234" s="2">
        <v>2014</v>
      </c>
      <c r="C234" s="2">
        <f>COUNTIFS(Games[Team],Games[[#This Row],[Team]],Games[Season],Games[[#This Row],[Season]],Games[Date],"&lt;=" &amp; Games[[#This Row],[Date]])</f>
        <v>21</v>
      </c>
      <c r="D234" s="2" t="s">
        <v>83</v>
      </c>
      <c r="E234" s="2" t="s">
        <v>84</v>
      </c>
      <c r="F234" s="1" t="s">
        <v>67</v>
      </c>
      <c r="G234" s="1" t="s">
        <v>81</v>
      </c>
      <c r="H234" s="1" t="s">
        <v>85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1638.8460835950264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1440.7187212231704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0.65857939226151141</v>
      </c>
      <c r="R234" s="1">
        <v>91</v>
      </c>
      <c r="S234" s="1">
        <v>85</v>
      </c>
      <c r="T234" s="1">
        <v>0</v>
      </c>
      <c r="U234" s="1">
        <f>Games[[#This Row],[PointsFor]]-Games[[#This Row],[PointsAgainst]]</f>
        <v>6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0.30150108255808172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72.849999999999994</v>
      </c>
      <c r="Z234" s="4">
        <f>Games[[#This Row],[K]]*Games[[#This Row],[POMult]]</f>
        <v>72.849999999999994</v>
      </c>
      <c r="AA234" s="4">
        <f>(Games[[#This Row],[Keff]]*Games[[#This Row],[MOVMult]])*(Games[[#This Row],[Result]]-Games[[#This Row],[ExpectedWin%]])</f>
        <v>7.4990830449517318</v>
      </c>
      <c r="AB234" s="4">
        <f>Games[[#This Row],[PreGmRate]]+Games[[#This Row],[RatingChange]]</f>
        <v>1646.3451666399781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41830</v>
      </c>
      <c r="B235" s="2">
        <v>2014</v>
      </c>
      <c r="C235" s="2">
        <f>COUNTIFS(Games[Team],Games[[#This Row],[Team]],Games[Season],Games[[#This Row],[Season]],Games[Date],"&lt;=" &amp; Games[[#This Row],[Date]])</f>
        <v>20</v>
      </c>
      <c r="D235" s="2" t="s">
        <v>83</v>
      </c>
      <c r="E235" s="2" t="s">
        <v>84</v>
      </c>
      <c r="F235" s="1" t="s">
        <v>81</v>
      </c>
      <c r="G235" s="1" t="s">
        <v>67</v>
      </c>
      <c r="H235" s="1" t="s">
        <v>86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1440.7187212231704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1638.8460835950264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0.34142060773848859</v>
      </c>
      <c r="R235" s="1">
        <v>85</v>
      </c>
      <c r="S235" s="1">
        <v>91</v>
      </c>
      <c r="T235" s="1">
        <v>0</v>
      </c>
      <c r="U235" s="1">
        <f>Games[[#This Row],[PointsFor]]-Games[[#This Row],[PointsAgainst]]</f>
        <v>-6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0.30150108255808172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</v>
      </c>
      <c r="Z235" s="4">
        <f>Games[[#This Row],[K]]*Games[[#This Row],[POMult]]</f>
        <v>73</v>
      </c>
      <c r="AA235" s="4">
        <f>(Games[[#This Row],[Keff]]*Games[[#This Row],[MOVMult]])*(Games[[#This Row],[Result]]-Games[[#This Row],[ExpectedWin%]])</f>
        <v>-7.514523847377852</v>
      </c>
      <c r="AB235" s="4">
        <f>Games[[#This Row],[PreGmRate]]+Games[[#This Row],[RatingChange]]</f>
        <v>1433.2041973757925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41831</v>
      </c>
      <c r="B236" s="2">
        <v>2014</v>
      </c>
      <c r="C236" s="2">
        <f>COUNTIFS(Games[Team],Games[[#This Row],[Team]],Games[Season],Games[[#This Row],[Season]],Games[Date],"&lt;=" &amp; Games[[#This Row],[Date]])</f>
        <v>18</v>
      </c>
      <c r="D236" s="2" t="s">
        <v>83</v>
      </c>
      <c r="E236" s="2" t="s">
        <v>84</v>
      </c>
      <c r="F236" s="1" t="s">
        <v>40</v>
      </c>
      <c r="G236" s="1" t="s">
        <v>77</v>
      </c>
      <c r="H236" s="1" t="s">
        <v>85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1632.3878158758514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1452.8999613735823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0.63405955316059559</v>
      </c>
      <c r="R236" s="1">
        <v>72</v>
      </c>
      <c r="S236" s="1">
        <v>66</v>
      </c>
      <c r="T236" s="1">
        <v>0</v>
      </c>
      <c r="U236" s="1">
        <f>Games[[#This Row],[PointsFor]]-Games[[#This Row],[PointsAgainst]]</f>
        <v>6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0.3055749363311967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73.3</v>
      </c>
      <c r="Z236" s="4">
        <f>Games[[#This Row],[K]]*Games[[#This Row],[POMult]]</f>
        <v>73.3</v>
      </c>
      <c r="AA236" s="4">
        <f>(Games[[#This Row],[Keff]]*Games[[#This Row],[MOVMult]])*(Games[[#This Row],[Result]]-Games[[#This Row],[ExpectedWin%]])</f>
        <v>8.1965693669323176</v>
      </c>
      <c r="AB236" s="4">
        <f>Games[[#This Row],[PreGmRate]]+Games[[#This Row],[RatingChange]]</f>
        <v>1640.5843852427838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41831</v>
      </c>
      <c r="B237" s="2">
        <v>2014</v>
      </c>
      <c r="C237" s="2">
        <f>COUNTIFS(Games[Team],Games[[#This Row],[Team]],Games[Season],Games[[#This Row],[Season]],Games[Date],"&lt;=" &amp; Games[[#This Row],[Date]])</f>
        <v>20</v>
      </c>
      <c r="D237" s="2" t="s">
        <v>83</v>
      </c>
      <c r="E237" s="2" t="s">
        <v>84</v>
      </c>
      <c r="F237" s="1" t="s">
        <v>77</v>
      </c>
      <c r="G237" s="1" t="s">
        <v>40</v>
      </c>
      <c r="H237" s="1" t="s">
        <v>86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1452.8999613735823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1632.3878158758514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0.36594044683940441</v>
      </c>
      <c r="R237" s="1">
        <v>66</v>
      </c>
      <c r="S237" s="1">
        <v>72</v>
      </c>
      <c r="T237" s="1">
        <v>0</v>
      </c>
      <c r="U237" s="1">
        <f>Games[[#This Row],[PointsFor]]-Games[[#This Row],[PointsAgainst]]</f>
        <v>-6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0.3055749363311967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</v>
      </c>
      <c r="Z237" s="4">
        <f>Games[[#This Row],[K]]*Games[[#This Row],[POMult]]</f>
        <v>73</v>
      </c>
      <c r="AA237" s="4">
        <f>(Games[[#This Row],[Keff]]*Games[[#This Row],[MOVMult]])*(Games[[#This Row],[Result]]-Games[[#This Row],[ExpectedWin%]])</f>
        <v>-8.1630226983091294</v>
      </c>
      <c r="AB237" s="4">
        <f>Games[[#This Row],[PreGmRate]]+Games[[#This Row],[RatingChange]]</f>
        <v>1444.7369386752732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41831</v>
      </c>
      <c r="B238" s="2">
        <v>2014</v>
      </c>
      <c r="C238" s="2">
        <f>COUNTIFS(Games[Team],Games[[#This Row],[Team]],Games[Season],Games[[#This Row],[Season]],Games[Date],"&lt;=" &amp; Games[[#This Row],[Date]])</f>
        <v>19</v>
      </c>
      <c r="D238" s="2" t="s">
        <v>83</v>
      </c>
      <c r="E238" s="2" t="s">
        <v>84</v>
      </c>
      <c r="F238" s="1" t="s">
        <v>63</v>
      </c>
      <c r="G238" s="1" t="s">
        <v>60</v>
      </c>
      <c r="H238" s="1" t="s">
        <v>85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1</v>
      </c>
      <c r="L238" s="2">
        <f>Games[[#This Row],[OppDaysOff]]-Games[[#This Row],[DaysOff]]</f>
        <v>-1</v>
      </c>
      <c r="M238" s="1">
        <f>MAX(-16, MIN(16, Games[[#This Row],[RestDiff]]*8))</f>
        <v>8</v>
      </c>
      <c r="N238" s="1">
        <f>MAX(-16, MIN(16, Games[[#This Row],[OppRestDiff]]*8))</f>
        <v>-8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1506.4642778620275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1413.2366941765245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0.53624174088030951</v>
      </c>
      <c r="R238" s="1">
        <v>68</v>
      </c>
      <c r="S238" s="1">
        <v>54</v>
      </c>
      <c r="T238" s="1">
        <v>0</v>
      </c>
      <c r="U238" s="1">
        <f>Games[[#This Row],[PointsFor]]-Games[[#This Row],[PointsAgainst]]</f>
        <v>14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0.45245688510091187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73.150000000000006</v>
      </c>
      <c r="Z238" s="4">
        <f>Games[[#This Row],[K]]*Games[[#This Row],[POMult]]</f>
        <v>73.150000000000006</v>
      </c>
      <c r="AA238" s="4">
        <f>(Games[[#This Row],[Keff]]*Games[[#This Row],[MOVMult]])*(Games[[#This Row],[Result]]-Games[[#This Row],[ExpectedWin%]])</f>
        <v>15.349109659965688</v>
      </c>
      <c r="AB238" s="4">
        <f>Games[[#This Row],[PreGmRate]]+Games[[#This Row],[RatingChange]]</f>
        <v>1521.8133875219933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41831</v>
      </c>
      <c r="B239" s="2">
        <v>2014</v>
      </c>
      <c r="C239" s="2">
        <f>COUNTIFS(Games[Team],Games[[#This Row],[Team]],Games[Season],Games[[#This Row],[Season]],Games[Date],"&lt;=" &amp; Games[[#This Row],[Date]])</f>
        <v>20</v>
      </c>
      <c r="D239" s="2" t="s">
        <v>83</v>
      </c>
      <c r="E239" s="2" t="s">
        <v>84</v>
      </c>
      <c r="F239" s="1" t="s">
        <v>60</v>
      </c>
      <c r="G239" s="1" t="s">
        <v>63</v>
      </c>
      <c r="H239" s="1" t="s">
        <v>86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-1</v>
      </c>
      <c r="L239" s="2">
        <f>Games[[#This Row],[OppDaysOff]]-Games[[#This Row],[DaysOff]]</f>
        <v>1</v>
      </c>
      <c r="M239" s="1">
        <f>MAX(-16, MIN(16, Games[[#This Row],[RestDiff]]*8))</f>
        <v>-8</v>
      </c>
      <c r="N239" s="1">
        <f>MAX(-16, MIN(16, Games[[#This Row],[OppRestDiff]]*8))</f>
        <v>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1413.2366941765245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1506.4642778620275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0.46375825911969054</v>
      </c>
      <c r="R239" s="1">
        <v>54</v>
      </c>
      <c r="S239" s="1">
        <v>68</v>
      </c>
      <c r="T239" s="1">
        <v>0</v>
      </c>
      <c r="U239" s="1">
        <f>Games[[#This Row],[PointsFor]]-Games[[#This Row],[PointsAgainst]]</f>
        <v>-14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0.45245688510091187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</v>
      </c>
      <c r="Z239" s="4">
        <f>Games[[#This Row],[K]]*Games[[#This Row],[POMult]]</f>
        <v>73</v>
      </c>
      <c r="AA239" s="4">
        <f>(Games[[#This Row],[Keff]]*Games[[#This Row],[MOVMult]])*(Games[[#This Row],[Result]]-Games[[#This Row],[ExpectedWin%]])</f>
        <v>-15.317635067361522</v>
      </c>
      <c r="AB239" s="4">
        <f>Games[[#This Row],[PreGmRate]]+Games[[#This Row],[RatingChange]]</f>
        <v>1397.9190591091628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41831</v>
      </c>
      <c r="B240" s="2">
        <v>2014</v>
      </c>
      <c r="C240" s="2">
        <f>COUNTIFS(Games[Team],Games[[#This Row],[Team]],Games[Season],Games[[#This Row],[Season]],Games[Date],"&lt;=" &amp; Games[[#This Row],[Date]])</f>
        <v>22</v>
      </c>
      <c r="D240" s="2" t="s">
        <v>83</v>
      </c>
      <c r="E240" s="2" t="s">
        <v>84</v>
      </c>
      <c r="F240" s="1" t="s">
        <v>71</v>
      </c>
      <c r="G240" s="1" t="s">
        <v>74</v>
      </c>
      <c r="H240" s="1" t="s">
        <v>85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1453.9741010499467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1512.1967981548564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0.30603975661239224</v>
      </c>
      <c r="R240" s="1">
        <v>88</v>
      </c>
      <c r="S240" s="1">
        <v>67</v>
      </c>
      <c r="T240" s="1">
        <v>0</v>
      </c>
      <c r="U240" s="1">
        <f>Games[[#This Row],[PointsFor]]-Games[[#This Row],[PointsAgainst]]</f>
        <v>21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0.56134065054621607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72.7</v>
      </c>
      <c r="Z240" s="4">
        <f>Games[[#This Row],[K]]*Games[[#This Row],[POMult]]</f>
        <v>72.7</v>
      </c>
      <c r="AA240" s="4">
        <f>(Games[[#This Row],[Keff]]*Games[[#This Row],[MOVMult]])*(Games[[#This Row],[Result]]-Games[[#This Row],[ExpectedWin%]])</f>
        <v>28.32014646843502</v>
      </c>
      <c r="AB240" s="4">
        <f>Games[[#This Row],[PreGmRate]]+Games[[#This Row],[RatingChange]]</f>
        <v>1482.2942475183818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41831</v>
      </c>
      <c r="B241" s="2">
        <v>2014</v>
      </c>
      <c r="C241" s="2">
        <f>COUNTIFS(Games[Team],Games[[#This Row],[Team]],Games[Season],Games[[#This Row],[Season]],Games[Date],"&lt;=" &amp; Games[[#This Row],[Date]])</f>
        <v>21</v>
      </c>
      <c r="D241" s="2" t="s">
        <v>83</v>
      </c>
      <c r="E241" s="2" t="s">
        <v>84</v>
      </c>
      <c r="F241" s="1" t="s">
        <v>74</v>
      </c>
      <c r="G241" s="1" t="s">
        <v>71</v>
      </c>
      <c r="H241" s="1" t="s">
        <v>86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1512.1967981548564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1453.9741010499467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0.69396024338760776</v>
      </c>
      <c r="R241" s="1">
        <v>67</v>
      </c>
      <c r="S241" s="1">
        <v>88</v>
      </c>
      <c r="T241" s="1">
        <v>0</v>
      </c>
      <c r="U241" s="1">
        <f>Games[[#This Row],[PointsFor]]-Games[[#This Row],[PointsAgainst]]</f>
        <v>-21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0.56134065054621607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72.849999999999994</v>
      </c>
      <c r="Z241" s="4">
        <f>Games[[#This Row],[K]]*Games[[#This Row],[POMult]]</f>
        <v>72.849999999999994</v>
      </c>
      <c r="AA241" s="4">
        <f>(Games[[#This Row],[Keff]]*Games[[#This Row],[MOVMult]])*(Games[[#This Row],[Result]]-Games[[#This Row],[ExpectedWin%]])</f>
        <v>-28.378578682606477</v>
      </c>
      <c r="AB241" s="4">
        <f>Games[[#This Row],[PreGmRate]]+Games[[#This Row],[RatingChange]]</f>
        <v>1483.8182194722499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41832</v>
      </c>
      <c r="B242" s="2">
        <v>2014</v>
      </c>
      <c r="C242" s="2">
        <f>COUNTIFS(Games[Team],Games[[#This Row],[Team]],Games[Season],Games[[#This Row],[Season]],Games[Date],"&lt;=" &amp; Games[[#This Row],[Date]])</f>
        <v>19</v>
      </c>
      <c r="D242" s="2" t="s">
        <v>83</v>
      </c>
      <c r="E242" s="2" t="s">
        <v>84</v>
      </c>
      <c r="F242" s="1" t="s">
        <v>79</v>
      </c>
      <c r="G242" s="1" t="s">
        <v>69</v>
      </c>
      <c r="H242" s="1" t="s">
        <v>85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2" s="2">
        <f>Games[[#This Row],[DaysOff]]-Games[[#This Row],[OppDaysOff]]</f>
        <v>2</v>
      </c>
      <c r="L242" s="2">
        <f>Games[[#This Row],[OppDaysOff]]-Games[[#This Row],[DaysOff]]</f>
        <v>-2</v>
      </c>
      <c r="M242" s="1">
        <f>MAX(-16, MIN(16, Games[[#This Row],[RestDiff]]*8))</f>
        <v>16</v>
      </c>
      <c r="N242" s="1">
        <f>MAX(-16, MIN(16, Games[[#This Row],[OppRestDiff]]*8))</f>
        <v>-16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1567.6801046880807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1500.8800538893292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0.5212861116050117</v>
      </c>
      <c r="R242" s="1">
        <v>93</v>
      </c>
      <c r="S242" s="1">
        <v>74</v>
      </c>
      <c r="T242" s="1">
        <v>0</v>
      </c>
      <c r="U242" s="1">
        <f>Games[[#This Row],[PointsFor]]-Games[[#This Row],[PointsAgainst]]</f>
        <v>19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0.53139647953381908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73.150000000000006</v>
      </c>
      <c r="Z242" s="4">
        <f>Games[[#This Row],[K]]*Games[[#This Row],[POMult]]</f>
        <v>73.150000000000006</v>
      </c>
      <c r="AA242" s="4">
        <f>(Games[[#This Row],[Keff]]*Games[[#This Row],[MOVMult]])*(Games[[#This Row],[Result]]-Games[[#This Row],[ExpectedWin%]])</f>
        <v>18.60839990603365</v>
      </c>
      <c r="AB242" s="4">
        <f>Games[[#This Row],[PreGmRate]]+Games[[#This Row],[RatingChange]]</f>
        <v>1586.2885045941143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41832</v>
      </c>
      <c r="B243" s="2">
        <v>2014</v>
      </c>
      <c r="C243" s="2">
        <f>COUNTIFS(Games[Team],Games[[#This Row],[Team]],Games[Season],Games[[#This Row],[Season]],Games[Date],"&lt;=" &amp; Games[[#This Row],[Date]])</f>
        <v>21</v>
      </c>
      <c r="D243" s="2" t="s">
        <v>83</v>
      </c>
      <c r="E243" s="2" t="s">
        <v>84</v>
      </c>
      <c r="F243" s="1" t="s">
        <v>69</v>
      </c>
      <c r="G243" s="1" t="s">
        <v>79</v>
      </c>
      <c r="H243" s="1" t="s">
        <v>86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3" s="2">
        <f>Games[[#This Row],[DaysOff]]-Games[[#This Row],[OppDaysOff]]</f>
        <v>-2</v>
      </c>
      <c r="L243" s="2">
        <f>Games[[#This Row],[OppDaysOff]]-Games[[#This Row],[DaysOff]]</f>
        <v>2</v>
      </c>
      <c r="M243" s="1">
        <f>MAX(-16, MIN(16, Games[[#This Row],[RestDiff]]*8))</f>
        <v>-16</v>
      </c>
      <c r="N243" s="1">
        <f>MAX(-16, MIN(16, Games[[#This Row],[OppRestDiff]]*8))</f>
        <v>16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1500.8800538893292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1567.6801046880807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0.4787138883949883</v>
      </c>
      <c r="R243" s="1">
        <v>74</v>
      </c>
      <c r="S243" s="1">
        <v>93</v>
      </c>
      <c r="T243" s="1">
        <v>0</v>
      </c>
      <c r="U243" s="1">
        <f>Games[[#This Row],[PointsFor]]-Games[[#This Row],[PointsAgainst]]</f>
        <v>-19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0.53139647953381908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-18.532083843534533</v>
      </c>
      <c r="AB243" s="4">
        <f>Games[[#This Row],[PreGmRate]]+Games[[#This Row],[RatingChange]]</f>
        <v>1482.3479700457947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41832</v>
      </c>
      <c r="B244" s="2">
        <v>2014</v>
      </c>
      <c r="C244" s="2">
        <f>COUNTIFS(Games[Team],Games[[#This Row],[Team]],Games[Season],Games[[#This Row],[Season]],Games[Date],"&lt;=" &amp; Games[[#This Row],[Date]])</f>
        <v>21</v>
      </c>
      <c r="D244" s="2" t="s">
        <v>83</v>
      </c>
      <c r="E244" s="2" t="s">
        <v>84</v>
      </c>
      <c r="F244" s="1" t="s">
        <v>65</v>
      </c>
      <c r="G244" s="1" t="s">
        <v>81</v>
      </c>
      <c r="H244" s="1" t="s">
        <v>85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1</v>
      </c>
      <c r="L244" s="2">
        <f>Games[[#This Row],[OppDaysOff]]-Games[[#This Row],[DaysOff]]</f>
        <v>-1</v>
      </c>
      <c r="M244" s="1">
        <f>MAX(-16, MIN(16, Games[[#This Row],[RestDiff]]*8))</f>
        <v>8</v>
      </c>
      <c r="N244" s="1">
        <f>MAX(-16, MIN(16, Games[[#This Row],[OppRestDiff]]*8))</f>
        <v>-8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1449.3621089787059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1433.2041973757925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0.4259420488819643</v>
      </c>
      <c r="R244" s="1">
        <v>91</v>
      </c>
      <c r="S244" s="1">
        <v>74</v>
      </c>
      <c r="T244" s="1">
        <v>0</v>
      </c>
      <c r="U244" s="1">
        <f>Games[[#This Row],[PointsFor]]-Games[[#This Row],[PointsAgainst]]</f>
        <v>17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0.52536802729530185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72.849999999999994</v>
      </c>
      <c r="Z244" s="4">
        <f>Games[[#This Row],[K]]*Games[[#This Row],[POMult]]</f>
        <v>72.849999999999994</v>
      </c>
      <c r="AA244" s="4">
        <f>(Games[[#This Row],[Keff]]*Games[[#This Row],[MOVMult]])*(Games[[#This Row],[Result]]-Games[[#This Row],[ExpectedWin%]])</f>
        <v>21.970954859240951</v>
      </c>
      <c r="AB244" s="4">
        <f>Games[[#This Row],[PreGmRate]]+Games[[#This Row],[RatingChange]]</f>
        <v>1471.3330638379468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41832</v>
      </c>
      <c r="B245" s="2">
        <v>2014</v>
      </c>
      <c r="C245" s="2">
        <f>COUNTIFS(Games[Team],Games[[#This Row],[Team]],Games[Season],Games[[#This Row],[Season]],Games[Date],"&lt;=" &amp; Games[[#This Row],[Date]])</f>
        <v>21</v>
      </c>
      <c r="D245" s="2" t="s">
        <v>83</v>
      </c>
      <c r="E245" s="2" t="s">
        <v>84</v>
      </c>
      <c r="F245" s="1" t="s">
        <v>81</v>
      </c>
      <c r="G245" s="1" t="s">
        <v>65</v>
      </c>
      <c r="H245" s="1" t="s">
        <v>86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5" s="2">
        <f>Games[[#This Row],[DaysOff]]-Games[[#This Row],[OppDaysOff]]</f>
        <v>-1</v>
      </c>
      <c r="L245" s="2">
        <f>Games[[#This Row],[OppDaysOff]]-Games[[#This Row],[DaysOff]]</f>
        <v>1</v>
      </c>
      <c r="M245" s="1">
        <f>MAX(-16, MIN(16, Games[[#This Row],[RestDiff]]*8))</f>
        <v>-8</v>
      </c>
      <c r="N245" s="1">
        <f>MAX(-16, MIN(16, Games[[#This Row],[OppRestDiff]]*8))</f>
        <v>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1433.2041973757925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1449.3621089787059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0.5740579511180357</v>
      </c>
      <c r="R245" s="1">
        <v>74</v>
      </c>
      <c r="S245" s="1">
        <v>91</v>
      </c>
      <c r="T245" s="1">
        <v>0</v>
      </c>
      <c r="U245" s="1">
        <f>Games[[#This Row],[PointsFor]]-Games[[#This Row],[PointsAgainst]]</f>
        <v>-17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0.52536802729530185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-21.970954859240951</v>
      </c>
      <c r="AB245" s="4">
        <f>Games[[#This Row],[PreGmRate]]+Games[[#This Row],[RatingChange]]</f>
        <v>1411.2332425165516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41833</v>
      </c>
      <c r="B246" s="2">
        <v>2014</v>
      </c>
      <c r="C246" s="2">
        <f>COUNTIFS(Games[Team],Games[[#This Row],[Team]],Games[Season],Games[[#This Row],[Season]],Games[Date],"&lt;=" &amp; Games[[#This Row],[Date]])</f>
        <v>21</v>
      </c>
      <c r="D246" s="2" t="s">
        <v>83</v>
      </c>
      <c r="E246" s="2" t="s">
        <v>84</v>
      </c>
      <c r="F246" s="1" t="s">
        <v>77</v>
      </c>
      <c r="G246" s="1" t="s">
        <v>79</v>
      </c>
      <c r="H246" s="1" t="s">
        <v>85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6" s="2">
        <f>Games[[#This Row],[DaysOff]]-Games[[#This Row],[OppDaysOff]]</f>
        <v>1</v>
      </c>
      <c r="L246" s="2">
        <f>Games[[#This Row],[OppDaysOff]]-Games[[#This Row],[DaysOff]]</f>
        <v>-1</v>
      </c>
      <c r="M246" s="1">
        <f>MAX(-16, MIN(16, Games[[#This Row],[RestDiff]]*8))</f>
        <v>8</v>
      </c>
      <c r="N246" s="1">
        <f>MAX(-16, MIN(16, Games[[#This Row],[OppRestDiff]]*8))</f>
        <v>-8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1444.7369386752732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1586.2885045941143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0.23036067206451727</v>
      </c>
      <c r="R246" s="1">
        <v>79</v>
      </c>
      <c r="S246" s="1">
        <v>81</v>
      </c>
      <c r="T246" s="1">
        <v>1</v>
      </c>
      <c r="U246" s="1">
        <f>Games[[#This Row],[PointsFor]]-Games[[#This Row],[PointsAgainst]]</f>
        <v>-2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0.21562244331347838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72.849999999999994</v>
      </c>
      <c r="Z246" s="4">
        <f>Games[[#This Row],[K]]*Games[[#This Row],[POMult]]</f>
        <v>72.849999999999994</v>
      </c>
      <c r="AA246" s="4">
        <f>(Games[[#This Row],[Keff]]*Games[[#This Row],[MOVMult]])*(Games[[#This Row],[Result]]-Games[[#This Row],[ExpectedWin%]])</f>
        <v>-3.6185273199906063</v>
      </c>
      <c r="AB246" s="4">
        <f>Games[[#This Row],[PreGmRate]]+Games[[#This Row],[RatingChange]]</f>
        <v>1441.1184113552827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41833</v>
      </c>
      <c r="B247" s="2">
        <v>2014</v>
      </c>
      <c r="C247" s="2">
        <f>COUNTIFS(Games[Team],Games[[#This Row],[Team]],Games[Season],Games[[#This Row],[Season]],Games[Date],"&lt;=" &amp; Games[[#This Row],[Date]])</f>
        <v>20</v>
      </c>
      <c r="D247" s="2" t="s">
        <v>83</v>
      </c>
      <c r="E247" s="2" t="s">
        <v>84</v>
      </c>
      <c r="F247" s="1" t="s">
        <v>79</v>
      </c>
      <c r="G247" s="1" t="s">
        <v>77</v>
      </c>
      <c r="H247" s="1" t="s">
        <v>86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-1</v>
      </c>
      <c r="L247" s="2">
        <f>Games[[#This Row],[OppDaysOff]]-Games[[#This Row],[DaysOff]]</f>
        <v>1</v>
      </c>
      <c r="M247" s="1">
        <f>MAX(-16, MIN(16, Games[[#This Row],[RestDiff]]*8))</f>
        <v>-8</v>
      </c>
      <c r="N247" s="1">
        <f>MAX(-16, MIN(16, Games[[#This Row],[OppRestDiff]]*8))</f>
        <v>8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1586.2885045941143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1444.7369386752732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0.76963932793548284</v>
      </c>
      <c r="R247" s="1">
        <v>81</v>
      </c>
      <c r="S247" s="1">
        <v>79</v>
      </c>
      <c r="T247" s="1">
        <v>1</v>
      </c>
      <c r="U247" s="1">
        <f>Games[[#This Row],[PointsFor]]-Games[[#This Row],[PointsAgainst]]</f>
        <v>2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0.21562244331347838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</v>
      </c>
      <c r="Z247" s="4">
        <f>Games[[#This Row],[K]]*Games[[#This Row],[POMult]]</f>
        <v>73</v>
      </c>
      <c r="AA247" s="4">
        <f>(Games[[#This Row],[Keff]]*Games[[#This Row],[MOVMult]])*(Games[[#This Row],[Result]]-Games[[#This Row],[ExpectedWin%]])</f>
        <v>3.6259779596336874</v>
      </c>
      <c r="AB247" s="4">
        <f>Games[[#This Row],[PreGmRate]]+Games[[#This Row],[RatingChange]]</f>
        <v>1589.914482553748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41833</v>
      </c>
      <c r="B248" s="2">
        <v>2014</v>
      </c>
      <c r="C248" s="2">
        <f>COUNTIFS(Games[Team],Games[[#This Row],[Team]],Games[Season],Games[[#This Row],[Season]],Games[Date],"&lt;=" &amp; Games[[#This Row],[Date]])</f>
        <v>20</v>
      </c>
      <c r="D248" s="2" t="s">
        <v>83</v>
      </c>
      <c r="E248" s="2" t="s">
        <v>84</v>
      </c>
      <c r="F248" s="1" t="s">
        <v>63</v>
      </c>
      <c r="G248" s="1" t="s">
        <v>76</v>
      </c>
      <c r="H248" s="1" t="s">
        <v>85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-1</v>
      </c>
      <c r="L248" s="2">
        <f>Games[[#This Row],[OppDaysOff]]-Games[[#This Row],[DaysOff]]</f>
        <v>1</v>
      </c>
      <c r="M248" s="1">
        <f>MAX(-16, MIN(16, Games[[#This Row],[RestDiff]]*8))</f>
        <v>-8</v>
      </c>
      <c r="N248" s="1">
        <f>MAX(-16, MIN(16, Games[[#This Row],[OppRestDiff]]*8))</f>
        <v>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1521.8133875219933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1433.2634986705777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0.48352792849345294</v>
      </c>
      <c r="R248" s="1">
        <v>90</v>
      </c>
      <c r="S248" s="1">
        <v>64</v>
      </c>
      <c r="T248" s="1">
        <v>0</v>
      </c>
      <c r="U248" s="1">
        <f>Games[[#This Row],[PointsFor]]-Games[[#This Row],[PointsAgainst]]</f>
        <v>26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0.60913811984404431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</v>
      </c>
      <c r="Z248" s="4">
        <f>Games[[#This Row],[K]]*Games[[#This Row],[POMult]]</f>
        <v>73</v>
      </c>
      <c r="AA248" s="4">
        <f>(Games[[#This Row],[Keff]]*Games[[#This Row],[MOVMult]])*(Games[[#This Row],[Result]]-Games[[#This Row],[ExpectedWin%]])</f>
        <v>22.966006341030351</v>
      </c>
      <c r="AB248" s="4">
        <f>Games[[#This Row],[PreGmRate]]+Games[[#This Row],[RatingChange]]</f>
        <v>1544.7793938630236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41833</v>
      </c>
      <c r="B249" s="2">
        <v>2014</v>
      </c>
      <c r="C249" s="2">
        <f>COUNTIFS(Games[Team],Games[[#This Row],[Team]],Games[Season],Games[[#This Row],[Season]],Games[Date],"&lt;=" &amp; Games[[#This Row],[Date]])</f>
        <v>22</v>
      </c>
      <c r="D249" s="2" t="s">
        <v>83</v>
      </c>
      <c r="E249" s="2" t="s">
        <v>84</v>
      </c>
      <c r="F249" s="1" t="s">
        <v>76</v>
      </c>
      <c r="G249" s="1" t="s">
        <v>63</v>
      </c>
      <c r="H249" s="1" t="s">
        <v>86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1</v>
      </c>
      <c r="L249" s="2">
        <f>Games[[#This Row],[OppDaysOff]]-Games[[#This Row],[DaysOff]]</f>
        <v>-1</v>
      </c>
      <c r="M249" s="1">
        <f>MAX(-16, MIN(16, Games[[#This Row],[RestDiff]]*8))</f>
        <v>8</v>
      </c>
      <c r="N249" s="1">
        <f>MAX(-16, MIN(16, Games[[#This Row],[OppRestDiff]]*8))</f>
        <v>-8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1433.2634986705777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1521.8133875219933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0.51647207150654706</v>
      </c>
      <c r="R249" s="1">
        <v>64</v>
      </c>
      <c r="S249" s="1">
        <v>90</v>
      </c>
      <c r="T249" s="1">
        <v>0</v>
      </c>
      <c r="U249" s="1">
        <f>Games[[#This Row],[PointsFor]]-Games[[#This Row],[PointsAgainst]]</f>
        <v>-26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0.60913811984404431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72.7</v>
      </c>
      <c r="Z249" s="4">
        <f>Games[[#This Row],[K]]*Games[[#This Row],[POMult]]</f>
        <v>72.7</v>
      </c>
      <c r="AA249" s="4">
        <f>(Games[[#This Row],[Keff]]*Games[[#This Row],[MOVMult]])*(Games[[#This Row],[Result]]-Games[[#This Row],[ExpectedWin%]])</f>
        <v>-22.871625493053514</v>
      </c>
      <c r="AB249" s="4">
        <f>Games[[#This Row],[PreGmRate]]+Games[[#This Row],[RatingChange]]</f>
        <v>1410.3918731775243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41833</v>
      </c>
      <c r="B250" s="2">
        <v>2014</v>
      </c>
      <c r="C250" s="2">
        <f>COUNTIFS(Games[Team],Games[[#This Row],[Team]],Games[Season],Games[[#This Row],[Season]],Games[Date],"&lt;=" &amp; Games[[#This Row],[Date]])</f>
        <v>23</v>
      </c>
      <c r="D250" s="2" t="s">
        <v>83</v>
      </c>
      <c r="E250" s="2" t="s">
        <v>84</v>
      </c>
      <c r="F250" s="1" t="s">
        <v>71</v>
      </c>
      <c r="G250" s="1" t="s">
        <v>67</v>
      </c>
      <c r="H250" s="1" t="s">
        <v>85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-1</v>
      </c>
      <c r="L250" s="2">
        <f>Games[[#This Row],[OppDaysOff]]-Games[[#This Row],[DaysOff]]</f>
        <v>1</v>
      </c>
      <c r="M250" s="1">
        <f>MAX(-16, MIN(16, Games[[#This Row],[RestDiff]]*8))</f>
        <v>-8</v>
      </c>
      <c r="N250" s="1">
        <f>MAX(-16, MIN(16, Games[[#This Row],[OppRestDiff]]*8))</f>
        <v>8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1482.2942475183818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1646.3451666399781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0.17946162610810304</v>
      </c>
      <c r="R250" s="1">
        <v>60</v>
      </c>
      <c r="S250" s="1">
        <v>77</v>
      </c>
      <c r="T250" s="1">
        <v>0</v>
      </c>
      <c r="U250" s="1">
        <f>Games[[#This Row],[PointsFor]]-Games[[#This Row],[PointsAgainst]]</f>
        <v>-17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0.46840662173362774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72.55</v>
      </c>
      <c r="Z250" s="4">
        <f>Games[[#This Row],[K]]*Games[[#This Row],[POMult]]</f>
        <v>72.55</v>
      </c>
      <c r="AA250" s="4">
        <f>(Games[[#This Row],[Keff]]*Games[[#This Row],[MOVMult]])*(Games[[#This Row],[Result]]-Games[[#This Row],[ExpectedWin%]])</f>
        <v>-6.0986265668695019</v>
      </c>
      <c r="AB250" s="4">
        <f>Games[[#This Row],[PreGmRate]]+Games[[#This Row],[RatingChange]]</f>
        <v>1476.1956209515122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41833</v>
      </c>
      <c r="B251" s="2">
        <v>2014</v>
      </c>
      <c r="C251" s="2">
        <f>COUNTIFS(Games[Team],Games[[#This Row],[Team]],Games[Season],Games[[#This Row],[Season]],Games[Date],"&lt;=" &amp; Games[[#This Row],[Date]])</f>
        <v>22</v>
      </c>
      <c r="D251" s="2" t="s">
        <v>83</v>
      </c>
      <c r="E251" s="2" t="s">
        <v>84</v>
      </c>
      <c r="F251" s="1" t="s">
        <v>67</v>
      </c>
      <c r="G251" s="1" t="s">
        <v>71</v>
      </c>
      <c r="H251" s="1" t="s">
        <v>86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1</v>
      </c>
      <c r="L251" s="2">
        <f>Games[[#This Row],[OppDaysOff]]-Games[[#This Row],[DaysOff]]</f>
        <v>-1</v>
      </c>
      <c r="M251" s="1">
        <f>MAX(-16, MIN(16, Games[[#This Row],[RestDiff]]*8))</f>
        <v>8</v>
      </c>
      <c r="N251" s="1">
        <f>MAX(-16, MIN(16, Games[[#This Row],[OppRestDiff]]*8))</f>
        <v>-8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1646.3451666399781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1482.2942475183818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0.82053837389189699</v>
      </c>
      <c r="R251" s="1">
        <v>77</v>
      </c>
      <c r="S251" s="1">
        <v>60</v>
      </c>
      <c r="T251" s="1">
        <v>0</v>
      </c>
      <c r="U251" s="1">
        <f>Games[[#This Row],[PointsFor]]-Games[[#This Row],[PointsAgainst]]</f>
        <v>17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0.46840662173362774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72.7</v>
      </c>
      <c r="Z251" s="4">
        <f>Games[[#This Row],[K]]*Games[[#This Row],[POMult]]</f>
        <v>72.7</v>
      </c>
      <c r="AA251" s="4">
        <f>(Games[[#This Row],[Keff]]*Games[[#This Row],[MOVMult]])*(Games[[#This Row],[Result]]-Games[[#This Row],[ExpectedWin%]])</f>
        <v>6.11123571897192</v>
      </c>
      <c r="AB251" s="4">
        <f>Games[[#This Row],[PreGmRate]]+Games[[#This Row],[RatingChange]]</f>
        <v>1652.4564023589501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41833</v>
      </c>
      <c r="B252" s="2">
        <v>2014</v>
      </c>
      <c r="C252" s="2">
        <f>COUNTIFS(Games[Team],Games[[#This Row],[Team]],Games[Season],Games[[#This Row],[Season]],Games[Date],"&lt;=" &amp; Games[[#This Row],[Date]])</f>
        <v>22</v>
      </c>
      <c r="D252" s="2" t="s">
        <v>83</v>
      </c>
      <c r="E252" s="2" t="s">
        <v>84</v>
      </c>
      <c r="F252" s="1" t="s">
        <v>74</v>
      </c>
      <c r="G252" s="1" t="s">
        <v>40</v>
      </c>
      <c r="H252" s="1" t="s">
        <v>85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1483.8182194722499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1640.5843852427838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0.20005326941849141</v>
      </c>
      <c r="R252" s="1">
        <v>61</v>
      </c>
      <c r="S252" s="1">
        <v>90</v>
      </c>
      <c r="T252" s="1">
        <v>0</v>
      </c>
      <c r="U252" s="1">
        <f>Games[[#This Row],[PointsFor]]-Games[[#This Row],[PointsAgainst]]</f>
        <v>-29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0.61148012453712897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72.7</v>
      </c>
      <c r="Z252" s="4">
        <f>Games[[#This Row],[K]]*Games[[#This Row],[POMult]]</f>
        <v>72.7</v>
      </c>
      <c r="AA252" s="4">
        <f>(Games[[#This Row],[Keff]]*Games[[#This Row],[MOVMult]])*(Games[[#This Row],[Result]]-Games[[#This Row],[ExpectedWin%]])</f>
        <v>-8.8932890817303392</v>
      </c>
      <c r="AB252" s="4">
        <f>Games[[#This Row],[PreGmRate]]+Games[[#This Row],[RatingChange]]</f>
        <v>1474.9249303905196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41833</v>
      </c>
      <c r="B253" s="2">
        <v>2014</v>
      </c>
      <c r="C253" s="2">
        <f>COUNTIFS(Games[Team],Games[[#This Row],[Team]],Games[Season],Games[[#This Row],[Season]],Games[Date],"&lt;=" &amp; Games[[#This Row],[Date]])</f>
        <v>19</v>
      </c>
      <c r="D253" s="2" t="s">
        <v>83</v>
      </c>
      <c r="E253" s="2" t="s">
        <v>84</v>
      </c>
      <c r="F253" s="1" t="s">
        <v>40</v>
      </c>
      <c r="G253" s="1" t="s">
        <v>74</v>
      </c>
      <c r="H253" s="1" t="s">
        <v>86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1640.5843852427838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1483.8182194722499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0.79994673058150867</v>
      </c>
      <c r="R253" s="1">
        <v>90</v>
      </c>
      <c r="S253" s="1">
        <v>61</v>
      </c>
      <c r="T253" s="1">
        <v>0</v>
      </c>
      <c r="U253" s="1">
        <f>Games[[#This Row],[PointsFor]]-Games[[#This Row],[PointsAgainst]]</f>
        <v>29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0.61148012453712897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73.150000000000006</v>
      </c>
      <c r="Z253" s="4">
        <f>Games[[#This Row],[K]]*Games[[#This Row],[POMult]]</f>
        <v>73.150000000000006</v>
      </c>
      <c r="AA253" s="4">
        <f>(Games[[#This Row],[Keff]]*Games[[#This Row],[MOVMult]])*(Games[[#This Row],[Result]]-Games[[#This Row],[ExpectedWin%]])</f>
        <v>8.9483369508744719</v>
      </c>
      <c r="AB253" s="4">
        <f>Games[[#This Row],[PreGmRate]]+Games[[#This Row],[RatingChange]]</f>
        <v>1649.5327221936582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41835</v>
      </c>
      <c r="B254" s="2">
        <v>2014</v>
      </c>
      <c r="C254" s="2">
        <f>COUNTIFS(Games[Team],Games[[#This Row],[Team]],Games[Season],Games[[#This Row],[Season]],Games[Date],"&lt;=" &amp; Games[[#This Row],[Date]])</f>
        <v>21</v>
      </c>
      <c r="D254" s="2" t="s">
        <v>83</v>
      </c>
      <c r="E254" s="2" t="s">
        <v>84</v>
      </c>
      <c r="F254" s="1" t="s">
        <v>63</v>
      </c>
      <c r="G254" s="1" t="s">
        <v>69</v>
      </c>
      <c r="H254" s="1" t="s">
        <v>85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4" s="2">
        <f>Games[[#This Row],[DaysOff]]-Games[[#This Row],[OppDaysOff]]</f>
        <v>-1</v>
      </c>
      <c r="L254" s="2">
        <f>Games[[#This Row],[OppDaysOff]]-Games[[#This Row],[DaysOff]]</f>
        <v>1</v>
      </c>
      <c r="M254" s="1">
        <f>MAX(-16, MIN(16, Games[[#This Row],[RestDiff]]*8))</f>
        <v>-8</v>
      </c>
      <c r="N254" s="1">
        <f>MAX(-16, MIN(16, Games[[#This Row],[OppRestDiff]]*8))</f>
        <v>8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1544.7793938630236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1482.3479700457947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0.4461442091919478</v>
      </c>
      <c r="R254" s="1">
        <v>86</v>
      </c>
      <c r="S254" s="1">
        <v>78</v>
      </c>
      <c r="T254" s="1">
        <v>0</v>
      </c>
      <c r="U254" s="1">
        <f>Games[[#This Row],[PointsFor]]-Games[[#This Row],[PointsAgainst]]</f>
        <v>8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0.3691120430087374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14.893078274477132</v>
      </c>
      <c r="AB254" s="4">
        <f>Games[[#This Row],[PreGmRate]]+Games[[#This Row],[RatingChange]]</f>
        <v>1559.6724721375008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41835</v>
      </c>
      <c r="B255" s="2">
        <v>2014</v>
      </c>
      <c r="C255" s="2">
        <f>COUNTIFS(Games[Team],Games[[#This Row],[Team]],Games[Season],Games[[#This Row],[Season]],Games[Date],"&lt;=" &amp; Games[[#This Row],[Date]])</f>
        <v>22</v>
      </c>
      <c r="D255" s="2" t="s">
        <v>83</v>
      </c>
      <c r="E255" s="2" t="s">
        <v>84</v>
      </c>
      <c r="F255" s="1" t="s">
        <v>69</v>
      </c>
      <c r="G255" s="1" t="s">
        <v>63</v>
      </c>
      <c r="H255" s="1" t="s">
        <v>86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1</v>
      </c>
      <c r="L255" s="2">
        <f>Games[[#This Row],[OppDaysOff]]-Games[[#This Row],[DaysOff]]</f>
        <v>-1</v>
      </c>
      <c r="M255" s="1">
        <f>MAX(-16, MIN(16, Games[[#This Row],[RestDiff]]*8))</f>
        <v>8</v>
      </c>
      <c r="N255" s="1">
        <f>MAX(-16, MIN(16, Games[[#This Row],[OppRestDiff]]*8))</f>
        <v>-8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1482.3479700457947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1544.7793938630236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0.55385579080805225</v>
      </c>
      <c r="R255" s="1">
        <v>78</v>
      </c>
      <c r="S255" s="1">
        <v>86</v>
      </c>
      <c r="T255" s="1">
        <v>0</v>
      </c>
      <c r="U255" s="1">
        <f>Games[[#This Row],[PointsFor]]-Games[[#This Row],[PointsAgainst]]</f>
        <v>-8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0.3691120430087374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72.7</v>
      </c>
      <c r="Z255" s="4">
        <f>Games[[#This Row],[K]]*Games[[#This Row],[POMult]]</f>
        <v>72.7</v>
      </c>
      <c r="AA255" s="4">
        <f>(Games[[#This Row],[Keff]]*Games[[#This Row],[MOVMult]])*(Games[[#This Row],[Result]]-Games[[#This Row],[ExpectedWin%]])</f>
        <v>-14.862413048105529</v>
      </c>
      <c r="AB255" s="4">
        <f>Games[[#This Row],[PreGmRate]]+Games[[#This Row],[RatingChange]]</f>
        <v>1467.4855569976892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41835</v>
      </c>
      <c r="B256" s="2">
        <v>2014</v>
      </c>
      <c r="C256" s="2">
        <f>COUNTIFS(Games[Team],Games[[#This Row],[Team]],Games[Season],Games[[#This Row],[Season]],Games[Date],"&lt;=" &amp; Games[[#This Row],[Date]])</f>
        <v>22</v>
      </c>
      <c r="D256" s="2" t="s">
        <v>83</v>
      </c>
      <c r="E256" s="2" t="s">
        <v>84</v>
      </c>
      <c r="F256" s="1" t="s">
        <v>65</v>
      </c>
      <c r="G256" s="1" t="s">
        <v>40</v>
      </c>
      <c r="H256" s="1" t="s">
        <v>85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1</v>
      </c>
      <c r="L256" s="2">
        <f>Games[[#This Row],[OppDaysOff]]-Games[[#This Row],[DaysOff]]</f>
        <v>-1</v>
      </c>
      <c r="M256" s="1">
        <f>MAX(-16, MIN(16, Games[[#This Row],[RestDiff]]*8))</f>
        <v>8</v>
      </c>
      <c r="N256" s="1">
        <f>MAX(-16, MIN(16, Games[[#This Row],[OppRestDiff]]*8))</f>
        <v>-8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1471.3330638379468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1649.5327221936582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0.19509476139475021</v>
      </c>
      <c r="R256" s="1">
        <v>78</v>
      </c>
      <c r="S256" s="1">
        <v>90</v>
      </c>
      <c r="T256" s="1">
        <v>0</v>
      </c>
      <c r="U256" s="1">
        <f>Games[[#This Row],[PointsFor]]-Games[[#This Row],[PointsAgainst]]</f>
        <v>-12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0.39715242154745711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72.7</v>
      </c>
      <c r="Z256" s="4">
        <f>Games[[#This Row],[K]]*Games[[#This Row],[POMult]]</f>
        <v>72.7</v>
      </c>
      <c r="AA256" s="4">
        <f>(Games[[#This Row],[Keff]]*Games[[#This Row],[MOVMult]])*(Games[[#This Row],[Result]]-Games[[#This Row],[ExpectedWin%]])</f>
        <v>-5.6329673480220883</v>
      </c>
      <c r="AB256" s="4">
        <f>Games[[#This Row],[PreGmRate]]+Games[[#This Row],[RatingChange]]</f>
        <v>1465.7000964899248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41835</v>
      </c>
      <c r="B257" s="2">
        <v>2014</v>
      </c>
      <c r="C257" s="2">
        <f>COUNTIFS(Games[Team],Games[[#This Row],[Team]],Games[Season],Games[[#This Row],[Season]],Games[Date],"&lt;=" &amp; Games[[#This Row],[Date]])</f>
        <v>20</v>
      </c>
      <c r="D257" s="2" t="s">
        <v>83</v>
      </c>
      <c r="E257" s="2" t="s">
        <v>84</v>
      </c>
      <c r="F257" s="1" t="s">
        <v>40</v>
      </c>
      <c r="G257" s="1" t="s">
        <v>65</v>
      </c>
      <c r="H257" s="1" t="s">
        <v>86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7" s="2">
        <f>Games[[#This Row],[DaysOff]]-Games[[#This Row],[OppDaysOff]]</f>
        <v>-1</v>
      </c>
      <c r="L257" s="2">
        <f>Games[[#This Row],[OppDaysOff]]-Games[[#This Row],[DaysOff]]</f>
        <v>1</v>
      </c>
      <c r="M257" s="1">
        <f>MAX(-16, MIN(16, Games[[#This Row],[RestDiff]]*8))</f>
        <v>-8</v>
      </c>
      <c r="N257" s="1">
        <f>MAX(-16, MIN(16, Games[[#This Row],[OppRestDiff]]*8))</f>
        <v>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1649.5327221936582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1471.3330638379468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0.80490523860524976</v>
      </c>
      <c r="R257" s="1">
        <v>90</v>
      </c>
      <c r="S257" s="1">
        <v>78</v>
      </c>
      <c r="T257" s="1">
        <v>0</v>
      </c>
      <c r="U257" s="1">
        <f>Games[[#This Row],[PointsFor]]-Games[[#This Row],[PointsAgainst]]</f>
        <v>12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0.39715242154745711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</v>
      </c>
      <c r="Z257" s="4">
        <f>Games[[#This Row],[K]]*Games[[#This Row],[POMult]]</f>
        <v>73</v>
      </c>
      <c r="AA257" s="4">
        <f>(Games[[#This Row],[Keff]]*Games[[#This Row],[MOVMult]])*(Games[[#This Row],[Result]]-Games[[#This Row],[ExpectedWin%]])</f>
        <v>5.6562120550978339</v>
      </c>
      <c r="AB257" s="4">
        <f>Games[[#This Row],[PreGmRate]]+Games[[#This Row],[RatingChange]]</f>
        <v>1655.1889342487559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41835</v>
      </c>
      <c r="B258" s="2">
        <v>2014</v>
      </c>
      <c r="C258" s="2">
        <f>COUNTIFS(Games[Team],Games[[#This Row],[Team]],Games[Season],Games[[#This Row],[Season]],Games[Date],"&lt;=" &amp; Games[[#This Row],[Date]])</f>
        <v>23</v>
      </c>
      <c r="D258" s="2" t="s">
        <v>83</v>
      </c>
      <c r="E258" s="2" t="s">
        <v>84</v>
      </c>
      <c r="F258" s="1" t="s">
        <v>76</v>
      </c>
      <c r="G258" s="1" t="s">
        <v>71</v>
      </c>
      <c r="H258" s="1" t="s">
        <v>85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1410.3918731775243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1476.1956209515122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0.29685074899753938</v>
      </c>
      <c r="R258" s="1">
        <v>86</v>
      </c>
      <c r="S258" s="1">
        <v>63</v>
      </c>
      <c r="T258" s="1">
        <v>0</v>
      </c>
      <c r="U258" s="1">
        <f>Games[[#This Row],[PointsFor]]-Games[[#This Row],[PointsAgainst]]</f>
        <v>23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0.58334897836482469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72.55</v>
      </c>
      <c r="Z258" s="4">
        <f>Games[[#This Row],[K]]*Games[[#This Row],[POMult]]</f>
        <v>72.55</v>
      </c>
      <c r="AA258" s="4">
        <f>(Games[[#This Row],[Keff]]*Games[[#This Row],[MOVMult]])*(Games[[#This Row],[Result]]-Games[[#This Row],[ExpectedWin%]])</f>
        <v>29.7586603676056</v>
      </c>
      <c r="AB258" s="4">
        <f>Games[[#This Row],[PreGmRate]]+Games[[#This Row],[RatingChange]]</f>
        <v>1440.15053354513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41835</v>
      </c>
      <c r="B259" s="2">
        <v>2014</v>
      </c>
      <c r="C259" s="2">
        <f>COUNTIFS(Games[Team],Games[[#This Row],[Team]],Games[Season],Games[[#This Row],[Season]],Games[Date],"&lt;=" &amp; Games[[#This Row],[Date]])</f>
        <v>24</v>
      </c>
      <c r="D259" s="2" t="s">
        <v>83</v>
      </c>
      <c r="E259" s="2" t="s">
        <v>84</v>
      </c>
      <c r="F259" s="1" t="s">
        <v>71</v>
      </c>
      <c r="G259" s="1" t="s">
        <v>76</v>
      </c>
      <c r="H259" s="1" t="s">
        <v>86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1476.1956209515122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1410.3918731775243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0.70314925100246062</v>
      </c>
      <c r="R259" s="1">
        <v>63</v>
      </c>
      <c r="S259" s="1">
        <v>86</v>
      </c>
      <c r="T259" s="1">
        <v>0</v>
      </c>
      <c r="U259" s="1">
        <f>Games[[#This Row],[PointsFor]]-Games[[#This Row],[PointsAgainst]]</f>
        <v>-23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0.58334897836482469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72.400000000000006</v>
      </c>
      <c r="Z259" s="4">
        <f>Games[[#This Row],[K]]*Games[[#This Row],[POMult]]</f>
        <v>72.400000000000006</v>
      </c>
      <c r="AA259" s="4">
        <f>(Games[[#This Row],[Keff]]*Games[[#This Row],[MOVMult]])*(Games[[#This Row],[Result]]-Games[[#This Row],[ExpectedWin%]])</f>
        <v>-29.697133158024062</v>
      </c>
      <c r="AB259" s="4">
        <f>Games[[#This Row],[PreGmRate]]+Games[[#This Row],[RatingChange]]</f>
        <v>1446.498487793488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41836</v>
      </c>
      <c r="B260" s="2">
        <v>2014</v>
      </c>
      <c r="C260" s="2">
        <f>COUNTIFS(Games[Team],Games[[#This Row],[Team]],Games[Season],Games[[#This Row],[Season]],Games[Date],"&lt;=" &amp; Games[[#This Row],[Date]])</f>
        <v>22</v>
      </c>
      <c r="D260" s="2" t="s">
        <v>83</v>
      </c>
      <c r="E260" s="2" t="s">
        <v>84</v>
      </c>
      <c r="F260" s="1" t="s">
        <v>81</v>
      </c>
      <c r="G260" s="1" t="s">
        <v>67</v>
      </c>
      <c r="H260" s="1" t="s">
        <v>85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0" s="2">
        <f>Games[[#This Row],[DaysOff]]-Games[[#This Row],[OppDaysOff]]</f>
        <v>1</v>
      </c>
      <c r="L260" s="2">
        <f>Games[[#This Row],[OppDaysOff]]-Games[[#This Row],[DaysOff]]</f>
        <v>-1</v>
      </c>
      <c r="M260" s="1">
        <f>MAX(-16, MIN(16, Games[[#This Row],[RestDiff]]*8))</f>
        <v>8</v>
      </c>
      <c r="N260" s="1">
        <f>MAX(-16, MIN(16, Games[[#This Row],[OppRestDiff]]*8))</f>
        <v>-8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1411.2332425165516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1652.4564023589501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0.14429923271123005</v>
      </c>
      <c r="R260" s="1">
        <v>82</v>
      </c>
      <c r="S260" s="1">
        <v>93</v>
      </c>
      <c r="T260" s="1">
        <v>0</v>
      </c>
      <c r="U260" s="1">
        <f>Games[[#This Row],[PointsFor]]-Games[[#This Row],[PointsAgainst]]</f>
        <v>-11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0.36621890281507435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-3.8418392556769851</v>
      </c>
      <c r="AB260" s="4">
        <f>Games[[#This Row],[PreGmRate]]+Games[[#This Row],[RatingChange]]</f>
        <v>1407.3914032608745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41836</v>
      </c>
      <c r="B261" s="2">
        <v>2014</v>
      </c>
      <c r="C261" s="2">
        <f>COUNTIFS(Games[Team],Games[[#This Row],[Team]],Games[Season],Games[[#This Row],[Season]],Games[Date],"&lt;=" &amp; Games[[#This Row],[Date]])</f>
        <v>23</v>
      </c>
      <c r="D261" s="2" t="s">
        <v>83</v>
      </c>
      <c r="E261" s="2" t="s">
        <v>84</v>
      </c>
      <c r="F261" s="1" t="s">
        <v>67</v>
      </c>
      <c r="G261" s="1" t="s">
        <v>81</v>
      </c>
      <c r="H261" s="1" t="s">
        <v>86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1" s="2">
        <f>Games[[#This Row],[DaysOff]]-Games[[#This Row],[OppDaysOff]]</f>
        <v>-1</v>
      </c>
      <c r="L261" s="2">
        <f>Games[[#This Row],[OppDaysOff]]-Games[[#This Row],[DaysOff]]</f>
        <v>1</v>
      </c>
      <c r="M261" s="1">
        <f>MAX(-16, MIN(16, Games[[#This Row],[RestDiff]]*8))</f>
        <v>-8</v>
      </c>
      <c r="N261" s="1">
        <f>MAX(-16, MIN(16, Games[[#This Row],[OppRestDiff]]*8))</f>
        <v>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1652.4564023589501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1411.2332425165516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0.85570076728876998</v>
      </c>
      <c r="R261" s="1">
        <v>93</v>
      </c>
      <c r="S261" s="1">
        <v>82</v>
      </c>
      <c r="T261" s="1">
        <v>0</v>
      </c>
      <c r="U261" s="1">
        <f>Games[[#This Row],[PointsFor]]-Games[[#This Row],[PointsAgainst]]</f>
        <v>11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0.36621890281507435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72.55</v>
      </c>
      <c r="Z261" s="4">
        <f>Games[[#This Row],[K]]*Games[[#This Row],[POMult]]</f>
        <v>72.55</v>
      </c>
      <c r="AA261" s="4">
        <f>(Games[[#This Row],[Keff]]*Games[[#This Row],[MOVMult]])*(Games[[#This Row],[Result]]-Games[[#This Row],[ExpectedWin%]])</f>
        <v>3.8339124896748995</v>
      </c>
      <c r="AB261" s="4">
        <f>Games[[#This Row],[PreGmRate]]+Games[[#This Row],[RatingChange]]</f>
        <v>1656.290314848625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41836</v>
      </c>
      <c r="B262" s="2">
        <v>2014</v>
      </c>
      <c r="C262" s="2">
        <f>COUNTIFS(Games[Team],Games[[#This Row],[Team]],Games[Season],Games[[#This Row],[Season]],Games[Date],"&lt;=" &amp; Games[[#This Row],[Date]])</f>
        <v>21</v>
      </c>
      <c r="D262" s="2" t="s">
        <v>83</v>
      </c>
      <c r="E262" s="2" t="s">
        <v>84</v>
      </c>
      <c r="F262" s="1" t="s">
        <v>79</v>
      </c>
      <c r="G262" s="1" t="s">
        <v>60</v>
      </c>
      <c r="H262" s="1" t="s">
        <v>85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2" s="2">
        <f>Games[[#This Row],[DaysOff]]-Games[[#This Row],[OppDaysOff]]</f>
        <v>-2</v>
      </c>
      <c r="L262" s="2">
        <f>Games[[#This Row],[OppDaysOff]]-Games[[#This Row],[DaysOff]]</f>
        <v>2</v>
      </c>
      <c r="M262" s="1">
        <f>MAX(-16, MIN(16, Games[[#This Row],[RestDiff]]*8))</f>
        <v>-16</v>
      </c>
      <c r="N262" s="1">
        <f>MAX(-16, MIN(16, Games[[#This Row],[OppRestDiff]]*8))</f>
        <v>16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1589.914482553748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1397.9190591091628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0.60765478327606082</v>
      </c>
      <c r="R262" s="1">
        <v>75</v>
      </c>
      <c r="S262" s="1">
        <v>77</v>
      </c>
      <c r="T262" s="1">
        <v>0</v>
      </c>
      <c r="U262" s="1">
        <f>Games[[#This Row],[PointsFor]]-Games[[#This Row],[PointsAgainst]]</f>
        <v>-2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0.23089844949077093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72.849999999999994</v>
      </c>
      <c r="Z262" s="4">
        <f>Games[[#This Row],[K]]*Games[[#This Row],[POMult]]</f>
        <v>72.849999999999994</v>
      </c>
      <c r="AA262" s="4">
        <f>(Games[[#This Row],[Keff]]*Games[[#This Row],[MOVMult]])*(Games[[#This Row],[Result]]-Games[[#This Row],[ExpectedWin%]])</f>
        <v>-10.221331969646165</v>
      </c>
      <c r="AB262" s="4">
        <f>Games[[#This Row],[PreGmRate]]+Games[[#This Row],[RatingChange]]</f>
        <v>1579.6931505841019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41836</v>
      </c>
      <c r="B263" s="2">
        <v>2014</v>
      </c>
      <c r="C263" s="2">
        <f>COUNTIFS(Games[Team],Games[[#This Row],[Team]],Games[Season],Games[[#This Row],[Season]],Games[Date],"&lt;=" &amp; Games[[#This Row],[Date]])</f>
        <v>21</v>
      </c>
      <c r="D263" s="2" t="s">
        <v>83</v>
      </c>
      <c r="E263" s="2" t="s">
        <v>84</v>
      </c>
      <c r="F263" s="1" t="s">
        <v>60</v>
      </c>
      <c r="G263" s="1" t="s">
        <v>79</v>
      </c>
      <c r="H263" s="1" t="s">
        <v>86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3" s="2">
        <f>Games[[#This Row],[DaysOff]]-Games[[#This Row],[OppDaysOff]]</f>
        <v>2</v>
      </c>
      <c r="L263" s="2">
        <f>Games[[#This Row],[OppDaysOff]]-Games[[#This Row],[DaysOff]]</f>
        <v>-2</v>
      </c>
      <c r="M263" s="1">
        <f>MAX(-16, MIN(16, Games[[#This Row],[RestDiff]]*8))</f>
        <v>16</v>
      </c>
      <c r="N263" s="1">
        <f>MAX(-16, MIN(16, Games[[#This Row],[OppRestDiff]]*8))</f>
        <v>-16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1397.9190591091628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1589.914482553748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0.39234521672393918</v>
      </c>
      <c r="R263" s="1">
        <v>77</v>
      </c>
      <c r="S263" s="1">
        <v>75</v>
      </c>
      <c r="T263" s="1">
        <v>0</v>
      </c>
      <c r="U263" s="1">
        <f>Games[[#This Row],[PointsFor]]-Games[[#This Row],[PointsAgainst]]</f>
        <v>2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0.23089844949077093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72.849999999999994</v>
      </c>
      <c r="Z263" s="4">
        <f>Games[[#This Row],[K]]*Games[[#This Row],[POMult]]</f>
        <v>72.849999999999994</v>
      </c>
      <c r="AA263" s="4">
        <f>(Games[[#This Row],[Keff]]*Games[[#This Row],[MOVMult]])*(Games[[#This Row],[Result]]-Games[[#This Row],[ExpectedWin%]])</f>
        <v>10.221331969646165</v>
      </c>
      <c r="AB263" s="4">
        <f>Games[[#This Row],[PreGmRate]]+Games[[#This Row],[RatingChange]]</f>
        <v>1408.140391078809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41837</v>
      </c>
      <c r="B264" s="2">
        <v>2014</v>
      </c>
      <c r="C264" s="2">
        <f>COUNTIFS(Games[Team],Games[[#This Row],[Team]],Games[Season],Games[[#This Row],[Season]],Games[Date],"&lt;=" &amp; Games[[#This Row],[Date]])</f>
        <v>22</v>
      </c>
      <c r="D264" s="2" t="s">
        <v>83</v>
      </c>
      <c r="E264" s="2" t="s">
        <v>84</v>
      </c>
      <c r="F264" s="1" t="s">
        <v>77</v>
      </c>
      <c r="G264" s="1" t="s">
        <v>69</v>
      </c>
      <c r="H264" s="1" t="s">
        <v>85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2</v>
      </c>
      <c r="L264" s="2">
        <f>Games[[#This Row],[OppDaysOff]]-Games[[#This Row],[DaysOff]]</f>
        <v>-2</v>
      </c>
      <c r="M264" s="1">
        <f>MAX(-16, MIN(16, Games[[#This Row],[RestDiff]]*8))</f>
        <v>16</v>
      </c>
      <c r="N264" s="1">
        <f>MAX(-16, MIN(16, Games[[#This Row],[OppRestDiff]]*8))</f>
        <v>-16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1441.1184113552827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1467.4855569976892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0.38909509060775532</v>
      </c>
      <c r="R264" s="1">
        <v>64</v>
      </c>
      <c r="S264" s="1">
        <v>82</v>
      </c>
      <c r="T264" s="1">
        <v>0</v>
      </c>
      <c r="U264" s="1">
        <f>Games[[#This Row],[PointsFor]]-Games[[#This Row],[PointsAgainst]]</f>
        <v>-18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0.53507689021451121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72.7</v>
      </c>
      <c r="Z264" s="4">
        <f>Games[[#This Row],[K]]*Games[[#This Row],[POMult]]</f>
        <v>72.7</v>
      </c>
      <c r="AA264" s="4">
        <f>(Games[[#This Row],[Keff]]*Games[[#This Row],[MOVMult]])*(Games[[#This Row],[Result]]-Games[[#This Row],[ExpectedWin%]])</f>
        <v>-15.135834011525537</v>
      </c>
      <c r="AB264" s="4">
        <f>Games[[#This Row],[PreGmRate]]+Games[[#This Row],[RatingChange]]</f>
        <v>1425.9825773437572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41837</v>
      </c>
      <c r="B265" s="2">
        <v>2014</v>
      </c>
      <c r="C265" s="2">
        <f>COUNTIFS(Games[Team],Games[[#This Row],[Team]],Games[Season],Games[[#This Row],[Season]],Games[Date],"&lt;=" &amp; Games[[#This Row],[Date]])</f>
        <v>23</v>
      </c>
      <c r="D265" s="2" t="s">
        <v>83</v>
      </c>
      <c r="E265" s="2" t="s">
        <v>84</v>
      </c>
      <c r="F265" s="1" t="s">
        <v>69</v>
      </c>
      <c r="G265" s="1" t="s">
        <v>77</v>
      </c>
      <c r="H265" s="1" t="s">
        <v>86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5" s="2">
        <f>Games[[#This Row],[DaysOff]]-Games[[#This Row],[OppDaysOff]]</f>
        <v>-2</v>
      </c>
      <c r="L265" s="2">
        <f>Games[[#This Row],[OppDaysOff]]-Games[[#This Row],[DaysOff]]</f>
        <v>2</v>
      </c>
      <c r="M265" s="1">
        <f>MAX(-16, MIN(16, Games[[#This Row],[RestDiff]]*8))</f>
        <v>-16</v>
      </c>
      <c r="N265" s="1">
        <f>MAX(-16, MIN(16, Games[[#This Row],[OppRestDiff]]*8))</f>
        <v>16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1467.4855569976892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1441.1184113552827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0.61090490939224462</v>
      </c>
      <c r="R265" s="1">
        <v>82</v>
      </c>
      <c r="S265" s="1">
        <v>64</v>
      </c>
      <c r="T265" s="1">
        <v>0</v>
      </c>
      <c r="U265" s="1">
        <f>Games[[#This Row],[PointsFor]]-Games[[#This Row],[PointsAgainst]]</f>
        <v>18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0.53507689021451121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72.55</v>
      </c>
      <c r="Z265" s="4">
        <f>Games[[#This Row],[K]]*Games[[#This Row],[POMult]]</f>
        <v>72.55</v>
      </c>
      <c r="AA265" s="4">
        <f>(Games[[#This Row],[Keff]]*Games[[#This Row],[MOVMult]])*(Games[[#This Row],[Result]]-Games[[#This Row],[ExpectedWin%]])</f>
        <v>15.104604642863519</v>
      </c>
      <c r="AB265" s="4">
        <f>Games[[#This Row],[PreGmRate]]+Games[[#This Row],[RatingChange]]</f>
        <v>1482.5901616405527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41837</v>
      </c>
      <c r="B266" s="2">
        <v>2014</v>
      </c>
      <c r="C266" s="2">
        <f>COUNTIFS(Games[Team],Games[[#This Row],[Team]],Games[Season],Games[[#This Row],[Season]],Games[Date],"&lt;=" &amp; Games[[#This Row],[Date]])</f>
        <v>23</v>
      </c>
      <c r="D266" s="2" t="s">
        <v>83</v>
      </c>
      <c r="E266" s="2" t="s">
        <v>84</v>
      </c>
      <c r="F266" s="1" t="s">
        <v>65</v>
      </c>
      <c r="G266" s="1" t="s">
        <v>63</v>
      </c>
      <c r="H266" s="1" t="s">
        <v>85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1465.7000964899248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1559.6724721375008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0.2641534641954113</v>
      </c>
      <c r="R266" s="1">
        <v>79</v>
      </c>
      <c r="S266" s="1">
        <v>75</v>
      </c>
      <c r="T266" s="1">
        <v>0</v>
      </c>
      <c r="U266" s="1">
        <f>Games[[#This Row],[PointsFor]]-Games[[#This Row],[PointsAgainst]]</f>
        <v>4</v>
      </c>
      <c r="V266" s="1">
        <f>IF(Games[[#This Row],[MOV]]&gt;0,1,IF(Games[[#This Row],[MOV]]=0,0.5,0))</f>
        <v>1</v>
      </c>
      <c r="W266" s="4">
        <f>((ABS(Games[[#This Row],[MOV]])+5)^0.6)/(12+0.01*(ABS(Games[[#This Row],[PreGmRate]]-Games[[#This Row],[OppPreGmRate]])))*IF(Games[[#This Row],[OT]]=1,0.9,1)</f>
        <v>0.28881550249295335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72.55</v>
      </c>
      <c r="Z266" s="4">
        <f>Games[[#This Row],[K]]*Games[[#This Row],[POMult]]</f>
        <v>72.55</v>
      </c>
      <c r="AA266" s="4">
        <f>(Games[[#This Row],[Keff]]*Games[[#This Row],[MOVMult]])*(Games[[#This Row],[Result]]-Games[[#This Row],[ExpectedWin%]])</f>
        <v>15.418608001567147</v>
      </c>
      <c r="AB266" s="4">
        <f>Games[[#This Row],[PreGmRate]]+Games[[#This Row],[RatingChange]]</f>
        <v>1481.1187044914921</v>
      </c>
      <c r="AC266" s="2">
        <f>IF(Games[[#This Row],[Type]]="R",IF(Games[[#This Row],[Result]]&gt;0.5,1,0),0)</f>
        <v>1</v>
      </c>
      <c r="AD266" s="2">
        <f>IF(Games[[#This Row],[Type]]="R",IF(Games[[#This Row],[Result]]&lt;0.5,1,0),0)</f>
        <v>0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41837</v>
      </c>
      <c r="B267" s="2">
        <v>2014</v>
      </c>
      <c r="C267" s="2">
        <f>COUNTIFS(Games[Team],Games[[#This Row],[Team]],Games[Season],Games[[#This Row],[Season]],Games[Date],"&lt;=" &amp; Games[[#This Row],[Date]])</f>
        <v>22</v>
      </c>
      <c r="D267" s="2" t="s">
        <v>83</v>
      </c>
      <c r="E267" s="2" t="s">
        <v>84</v>
      </c>
      <c r="F267" s="1" t="s">
        <v>63</v>
      </c>
      <c r="G267" s="1" t="s">
        <v>65</v>
      </c>
      <c r="H267" s="1" t="s">
        <v>86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1559.6724721375008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1465.7000964899248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0.7358465358045887</v>
      </c>
      <c r="R267" s="1">
        <v>75</v>
      </c>
      <c r="S267" s="1">
        <v>79</v>
      </c>
      <c r="T267" s="1">
        <v>0</v>
      </c>
      <c r="U267" s="1">
        <f>Games[[#This Row],[PointsFor]]-Games[[#This Row],[PointsAgainst]]</f>
        <v>-4</v>
      </c>
      <c r="V267" s="1">
        <f>IF(Games[[#This Row],[MOV]]&gt;0,1,IF(Games[[#This Row],[MOV]]=0,0.5,0))</f>
        <v>0</v>
      </c>
      <c r="W267" s="4">
        <f>((ABS(Games[[#This Row],[MOV]])+5)^0.6)/(12+0.01*(ABS(Games[[#This Row],[PreGmRate]]-Games[[#This Row],[OppPreGmRate]])))*IF(Games[[#This Row],[OT]]=1,0.9,1)</f>
        <v>0.28881550249295335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-15.450486584616563</v>
      </c>
      <c r="AB267" s="4">
        <f>Games[[#This Row],[PreGmRate]]+Games[[#This Row],[RatingChange]]</f>
        <v>1544.2219855528842</v>
      </c>
      <c r="AC267" s="2">
        <f>IF(Games[[#This Row],[Type]]="R",IF(Games[[#This Row],[Result]]&gt;0.5,1,0),0)</f>
        <v>0</v>
      </c>
      <c r="AD267" s="2">
        <f>IF(Games[[#This Row],[Type]]="R",IF(Games[[#This Row],[Result]]&lt;0.5,1,0),0)</f>
        <v>1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41837</v>
      </c>
      <c r="B268" s="2">
        <v>2014</v>
      </c>
      <c r="C268" s="2">
        <f>COUNTIFS(Games[Team],Games[[#This Row],[Team]],Games[Season],Games[[#This Row],[Season]],Games[Date],"&lt;=" &amp; Games[[#This Row],[Date]])</f>
        <v>24</v>
      </c>
      <c r="D268" s="2" t="s">
        <v>83</v>
      </c>
      <c r="E268" s="2" t="s">
        <v>84</v>
      </c>
      <c r="F268" s="1" t="s">
        <v>76</v>
      </c>
      <c r="G268" s="1" t="s">
        <v>40</v>
      </c>
      <c r="H268" s="1" t="s">
        <v>85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1440.15053354513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1655.1889342487559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0.1516904839911947</v>
      </c>
      <c r="R268" s="1">
        <v>85</v>
      </c>
      <c r="S268" s="1">
        <v>101</v>
      </c>
      <c r="T268" s="1">
        <v>0</v>
      </c>
      <c r="U268" s="1">
        <f>Games[[#This Row],[PointsFor]]-Games[[#This Row],[PointsAgainst]]</f>
        <v>-16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0.4390999130674561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72.400000000000006</v>
      </c>
      <c r="Z268" s="4">
        <f>Games[[#This Row],[K]]*Games[[#This Row],[POMult]]</f>
        <v>72.400000000000006</v>
      </c>
      <c r="AA268" s="4">
        <f>(Games[[#This Row],[Keff]]*Games[[#This Row],[MOVMult]])*(Games[[#This Row],[Result]]-Games[[#This Row],[ExpectedWin%]])</f>
        <v>-4.8223669513594407</v>
      </c>
      <c r="AB268" s="4">
        <f>Games[[#This Row],[PreGmRate]]+Games[[#This Row],[RatingChange]]</f>
        <v>1435.3281665937704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41837</v>
      </c>
      <c r="B269" s="2">
        <v>2014</v>
      </c>
      <c r="C269" s="2">
        <f>COUNTIFS(Games[Team],Games[[#This Row],[Team]],Games[Season],Games[[#This Row],[Season]],Games[Date],"&lt;=" &amp; Games[[#This Row],[Date]])</f>
        <v>21</v>
      </c>
      <c r="D269" s="2" t="s">
        <v>83</v>
      </c>
      <c r="E269" s="2" t="s">
        <v>84</v>
      </c>
      <c r="F269" s="1" t="s">
        <v>40</v>
      </c>
      <c r="G269" s="1" t="s">
        <v>76</v>
      </c>
      <c r="H269" s="1" t="s">
        <v>86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1655.1889342487559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1440.15053354513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0.84830951600880533</v>
      </c>
      <c r="R269" s="1">
        <v>101</v>
      </c>
      <c r="S269" s="1">
        <v>85</v>
      </c>
      <c r="T269" s="1">
        <v>0</v>
      </c>
      <c r="U269" s="1">
        <f>Games[[#This Row],[PointsFor]]-Games[[#This Row],[PointsAgainst]]</f>
        <v>16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0.4390999130674561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72.849999999999994</v>
      </c>
      <c r="Z269" s="4">
        <f>Games[[#This Row],[K]]*Games[[#This Row],[POMult]]</f>
        <v>72.849999999999994</v>
      </c>
      <c r="AA269" s="4">
        <f>(Games[[#This Row],[Keff]]*Games[[#This Row],[MOVMult]])*(Games[[#This Row],[Result]]-Games[[#This Row],[ExpectedWin%]])</f>
        <v>4.8523402266096021</v>
      </c>
      <c r="AB269" s="4">
        <f>Games[[#This Row],[PreGmRate]]+Games[[#This Row],[RatingChange]]</f>
        <v>1660.0412744753655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41837</v>
      </c>
      <c r="B270" s="2">
        <v>2014</v>
      </c>
      <c r="C270" s="2">
        <f>COUNTIFS(Games[Team],Games[[#This Row],[Team]],Games[Season],Games[[#This Row],[Season]],Games[Date],"&lt;=" &amp; Games[[#This Row],[Date]])</f>
        <v>23</v>
      </c>
      <c r="D270" s="2" t="s">
        <v>83</v>
      </c>
      <c r="E270" s="2" t="s">
        <v>84</v>
      </c>
      <c r="F270" s="1" t="s">
        <v>74</v>
      </c>
      <c r="G270" s="1" t="s">
        <v>81</v>
      </c>
      <c r="H270" s="1" t="s">
        <v>85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0" s="2">
        <f>Games[[#This Row],[DaysOff]]-Games[[#This Row],[OppDaysOff]]</f>
        <v>3</v>
      </c>
      <c r="L270" s="2">
        <f>Games[[#This Row],[OppDaysOff]]-Games[[#This Row],[DaysOff]]</f>
        <v>-3</v>
      </c>
      <c r="M270" s="1">
        <f>MAX(-16, MIN(16, Games[[#This Row],[RestDiff]]*8))</f>
        <v>16</v>
      </c>
      <c r="N270" s="1">
        <f>MAX(-16, MIN(16, Games[[#This Row],[OppRestDiff]]*8))</f>
        <v>-16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1474.9249303905196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1407.3914032608745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0.52233965955749162</v>
      </c>
      <c r="R270" s="1">
        <v>90</v>
      </c>
      <c r="S270" s="1">
        <v>95</v>
      </c>
      <c r="T270" s="1">
        <v>0</v>
      </c>
      <c r="U270" s="1">
        <f>Games[[#This Row],[PointsFor]]-Games[[#This Row],[PointsAgainst]]</f>
        <v>-5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0.31408018962229656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72.55</v>
      </c>
      <c r="Z270" s="4">
        <f>Games[[#This Row],[K]]*Games[[#This Row],[POMult]]</f>
        <v>72.55</v>
      </c>
      <c r="AA270" s="4">
        <f>(Games[[#This Row],[Keff]]*Games[[#This Row],[MOVMult]])*(Games[[#This Row],[Result]]-Games[[#This Row],[ExpectedWin%]])</f>
        <v>-11.902301927743105</v>
      </c>
      <c r="AB270" s="4">
        <f>Games[[#This Row],[PreGmRate]]+Games[[#This Row],[RatingChange]]</f>
        <v>1463.0226284627765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41837</v>
      </c>
      <c r="B271" s="2">
        <v>2014</v>
      </c>
      <c r="C271" s="2">
        <f>COUNTIFS(Games[Team],Games[[#This Row],[Team]],Games[Season],Games[[#This Row],[Season]],Games[Date],"&lt;=" &amp; Games[[#This Row],[Date]])</f>
        <v>23</v>
      </c>
      <c r="D271" s="2" t="s">
        <v>83</v>
      </c>
      <c r="E271" s="2" t="s">
        <v>84</v>
      </c>
      <c r="F271" s="1" t="s">
        <v>81</v>
      </c>
      <c r="G271" s="1" t="s">
        <v>74</v>
      </c>
      <c r="H271" s="1" t="s">
        <v>86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1" s="2">
        <f>Games[[#This Row],[DaysOff]]-Games[[#This Row],[OppDaysOff]]</f>
        <v>-3</v>
      </c>
      <c r="L271" s="2">
        <f>Games[[#This Row],[OppDaysOff]]-Games[[#This Row],[DaysOff]]</f>
        <v>3</v>
      </c>
      <c r="M271" s="1">
        <f>MAX(-16, MIN(16, Games[[#This Row],[RestDiff]]*8))</f>
        <v>-16</v>
      </c>
      <c r="N271" s="1">
        <f>MAX(-16, MIN(16, Games[[#This Row],[OppRestDiff]]*8))</f>
        <v>16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1407.3914032608745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1474.9249303905196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0.47766034044250838</v>
      </c>
      <c r="R271" s="1">
        <v>95</v>
      </c>
      <c r="S271" s="1">
        <v>90</v>
      </c>
      <c r="T271" s="1">
        <v>0</v>
      </c>
      <c r="U271" s="1">
        <f>Games[[#This Row],[PointsFor]]-Games[[#This Row],[PointsAgainst]]</f>
        <v>5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0.31408018962229656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72.55</v>
      </c>
      <c r="Z271" s="4">
        <f>Games[[#This Row],[K]]*Games[[#This Row],[POMult]]</f>
        <v>72.55</v>
      </c>
      <c r="AA271" s="4">
        <f>(Games[[#This Row],[Keff]]*Games[[#This Row],[MOVMult]])*(Games[[#This Row],[Result]]-Games[[#This Row],[ExpectedWin%]])</f>
        <v>11.902301927743105</v>
      </c>
      <c r="AB271" s="4">
        <f>Games[[#This Row],[PreGmRate]]+Games[[#This Row],[RatingChange]]</f>
        <v>1419.2937051886177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41842</v>
      </c>
      <c r="B272" s="2">
        <v>2014</v>
      </c>
      <c r="C272" s="2">
        <f>COUNTIFS(Games[Team],Games[[#This Row],[Team]],Games[Season],Games[[#This Row],[Season]],Games[Date],"&lt;=" &amp; Games[[#This Row],[Date]])</f>
        <v>24</v>
      </c>
      <c r="D272" s="2" t="s">
        <v>83</v>
      </c>
      <c r="E272" s="2" t="s">
        <v>84</v>
      </c>
      <c r="F272" s="1" t="s">
        <v>69</v>
      </c>
      <c r="G272" s="1" t="s">
        <v>77</v>
      </c>
      <c r="H272" s="1" t="s">
        <v>85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1482.5901616405527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1425.9825773437572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0.46066062259444795</v>
      </c>
      <c r="R272" s="1">
        <v>57</v>
      </c>
      <c r="S272" s="1">
        <v>60</v>
      </c>
      <c r="T272" s="1">
        <v>0</v>
      </c>
      <c r="U272" s="1">
        <f>Games[[#This Row],[PointsFor]]-Games[[#This Row],[PointsAgainst]]</f>
        <v>-3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0.27711135096587503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72.400000000000006</v>
      </c>
      <c r="Z272" s="4">
        <f>Games[[#This Row],[K]]*Games[[#This Row],[POMult]]</f>
        <v>72.400000000000006</v>
      </c>
      <c r="AA272" s="4">
        <f>(Games[[#This Row],[Keff]]*Games[[#This Row],[MOVMult]])*(Games[[#This Row],[Result]]-Games[[#This Row],[ExpectedWin%]])</f>
        <v>-9.242170412388429</v>
      </c>
      <c r="AB272" s="4">
        <f>Games[[#This Row],[PreGmRate]]+Games[[#This Row],[RatingChange]]</f>
        <v>1473.3479912281641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41842</v>
      </c>
      <c r="B273" s="2">
        <v>2014</v>
      </c>
      <c r="C273" s="2">
        <f>COUNTIFS(Games[Team],Games[[#This Row],[Team]],Games[Season],Games[[#This Row],[Season]],Games[Date],"&lt;=" &amp; Games[[#This Row],[Date]])</f>
        <v>23</v>
      </c>
      <c r="D273" s="2" t="s">
        <v>83</v>
      </c>
      <c r="E273" s="2" t="s">
        <v>84</v>
      </c>
      <c r="F273" s="1" t="s">
        <v>77</v>
      </c>
      <c r="G273" s="1" t="s">
        <v>69</v>
      </c>
      <c r="H273" s="1" t="s">
        <v>86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1425.9825773437572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1482.5901616405527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0.53933937740555205</v>
      </c>
      <c r="R273" s="1">
        <v>60</v>
      </c>
      <c r="S273" s="1">
        <v>57</v>
      </c>
      <c r="T273" s="1">
        <v>0</v>
      </c>
      <c r="U273" s="1">
        <f>Games[[#This Row],[PointsFor]]-Games[[#This Row],[PointsAgainst]]</f>
        <v>3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0.27711135096587503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9.2613185555080157</v>
      </c>
      <c r="AB273" s="4">
        <f>Games[[#This Row],[PreGmRate]]+Games[[#This Row],[RatingChange]]</f>
        <v>1435.2438958992652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41842</v>
      </c>
      <c r="B274" s="2">
        <v>2014</v>
      </c>
      <c r="C274" s="2">
        <f>COUNTIFS(Games[Team],Games[[#This Row],[Team]],Games[Season],Games[[#This Row],[Season]],Games[Date],"&lt;=" &amp; Games[[#This Row],[Date]])</f>
        <v>22</v>
      </c>
      <c r="D274" s="2" t="s">
        <v>83</v>
      </c>
      <c r="E274" s="2" t="s">
        <v>84</v>
      </c>
      <c r="F274" s="1" t="s">
        <v>79</v>
      </c>
      <c r="G274" s="1" t="s">
        <v>67</v>
      </c>
      <c r="H274" s="1" t="s">
        <v>85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1579.6931505841019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1656.290314848625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0.28404765359094203</v>
      </c>
      <c r="R274" s="1">
        <v>108</v>
      </c>
      <c r="S274" s="1">
        <v>112</v>
      </c>
      <c r="T274" s="1">
        <v>1</v>
      </c>
      <c r="U274" s="1">
        <f>Games[[#This Row],[PointsFor]]-Games[[#This Row],[PointsAgainst]]</f>
        <v>-4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0.26347180074613996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72.7</v>
      </c>
      <c r="Z274" s="4">
        <f>Games[[#This Row],[K]]*Games[[#This Row],[POMult]]</f>
        <v>72.7</v>
      </c>
      <c r="AA274" s="4">
        <f>(Games[[#This Row],[Keff]]*Games[[#This Row],[MOVMult]])*(Games[[#This Row],[Result]]-Games[[#This Row],[ExpectedWin%]])</f>
        <v>-5.4407623515836558</v>
      </c>
      <c r="AB274" s="4">
        <f>Games[[#This Row],[PreGmRate]]+Games[[#This Row],[RatingChange]]</f>
        <v>1574.2523882325183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41842</v>
      </c>
      <c r="B275" s="2">
        <v>2014</v>
      </c>
      <c r="C275" s="2">
        <f>COUNTIFS(Games[Team],Games[[#This Row],[Team]],Games[Season],Games[[#This Row],[Season]],Games[Date],"&lt;=" &amp; Games[[#This Row],[Date]])</f>
        <v>24</v>
      </c>
      <c r="D275" s="2" t="s">
        <v>83</v>
      </c>
      <c r="E275" s="2" t="s">
        <v>84</v>
      </c>
      <c r="F275" s="1" t="s">
        <v>67</v>
      </c>
      <c r="G275" s="1" t="s">
        <v>79</v>
      </c>
      <c r="H275" s="1" t="s">
        <v>86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1656.290314848625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1579.6931505841019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0.71595234640905803</v>
      </c>
      <c r="R275" s="1">
        <v>112</v>
      </c>
      <c r="S275" s="1">
        <v>108</v>
      </c>
      <c r="T275" s="1">
        <v>1</v>
      </c>
      <c r="U275" s="1">
        <f>Games[[#This Row],[PointsFor]]-Games[[#This Row],[PointsAgainst]]</f>
        <v>4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0.26347180074613996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72.400000000000006</v>
      </c>
      <c r="Z275" s="4">
        <f>Games[[#This Row],[K]]*Games[[#This Row],[POMult]]</f>
        <v>72.400000000000006</v>
      </c>
      <c r="AA275" s="4">
        <f>(Games[[#This Row],[Keff]]*Games[[#This Row],[MOVMult]])*(Games[[#This Row],[Result]]-Games[[#This Row],[ExpectedWin%]])</f>
        <v>5.4183107875468588</v>
      </c>
      <c r="AB275" s="4">
        <f>Games[[#This Row],[PreGmRate]]+Games[[#This Row],[RatingChange]]</f>
        <v>1661.708625636172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41842</v>
      </c>
      <c r="B276" s="2">
        <v>2014</v>
      </c>
      <c r="C276" s="2">
        <f>COUNTIFS(Games[Team],Games[[#This Row],[Team]],Games[Season],Games[[#This Row],[Season]],Games[Date],"&lt;=" &amp; Games[[#This Row],[Date]])</f>
        <v>24</v>
      </c>
      <c r="D276" s="2" t="s">
        <v>83</v>
      </c>
      <c r="E276" s="2" t="s">
        <v>84</v>
      </c>
      <c r="F276" s="1" t="s">
        <v>81</v>
      </c>
      <c r="G276" s="1" t="s">
        <v>74</v>
      </c>
      <c r="H276" s="1" t="s">
        <v>85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1419.2937051886177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1463.0226284627765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0.32404003308442919</v>
      </c>
      <c r="R276" s="1">
        <v>93</v>
      </c>
      <c r="S276" s="1">
        <v>95</v>
      </c>
      <c r="T276" s="1">
        <v>0</v>
      </c>
      <c r="U276" s="1">
        <f>Games[[#This Row],[PointsFor]]-Games[[#This Row],[PointsAgainst]]</f>
        <v>-2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0.25842414609566378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72.400000000000006</v>
      </c>
      <c r="Z276" s="4">
        <f>Games[[#This Row],[K]]*Games[[#This Row],[POMult]]</f>
        <v>72.400000000000006</v>
      </c>
      <c r="AA276" s="4">
        <f>(Games[[#This Row],[Keff]]*Games[[#This Row],[MOVMult]])*(Games[[#This Row],[Result]]-Games[[#This Row],[ExpectedWin%]])</f>
        <v>-6.0627592647873687</v>
      </c>
      <c r="AB276" s="4">
        <f>Games[[#This Row],[PreGmRate]]+Games[[#This Row],[RatingChange]]</f>
        <v>1413.2309459238302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41842</v>
      </c>
      <c r="B277" s="2">
        <v>2014</v>
      </c>
      <c r="C277" s="2">
        <f>COUNTIFS(Games[Team],Games[[#This Row],[Team]],Games[Season],Games[[#This Row],[Season]],Games[Date],"&lt;=" &amp; Games[[#This Row],[Date]])</f>
        <v>24</v>
      </c>
      <c r="D277" s="2" t="s">
        <v>83</v>
      </c>
      <c r="E277" s="2" t="s">
        <v>84</v>
      </c>
      <c r="F277" s="1" t="s">
        <v>74</v>
      </c>
      <c r="G277" s="1" t="s">
        <v>81</v>
      </c>
      <c r="H277" s="1" t="s">
        <v>86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1463.0226284627765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1419.2937051886177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0.67595996691557081</v>
      </c>
      <c r="R277" s="1">
        <v>95</v>
      </c>
      <c r="S277" s="1">
        <v>93</v>
      </c>
      <c r="T277" s="1">
        <v>0</v>
      </c>
      <c r="U277" s="1">
        <f>Games[[#This Row],[PointsFor]]-Games[[#This Row],[PointsAgainst]]</f>
        <v>2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0.25842414609566378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72.400000000000006</v>
      </c>
      <c r="Z277" s="4">
        <f>Games[[#This Row],[K]]*Games[[#This Row],[POMult]]</f>
        <v>72.400000000000006</v>
      </c>
      <c r="AA277" s="4">
        <f>(Games[[#This Row],[Keff]]*Games[[#This Row],[MOVMult]])*(Games[[#This Row],[Result]]-Games[[#This Row],[ExpectedWin%]])</f>
        <v>6.0627592647873687</v>
      </c>
      <c r="AB277" s="4">
        <f>Games[[#This Row],[PreGmRate]]+Games[[#This Row],[RatingChange]]</f>
        <v>1469.085387727564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41842</v>
      </c>
      <c r="B278" s="2">
        <v>2014</v>
      </c>
      <c r="C278" s="2">
        <f>COUNTIFS(Games[Team],Games[[#This Row],[Team]],Games[Season],Games[[#This Row],[Season]],Games[Date],"&lt;=" &amp; Games[[#This Row],[Date]])</f>
        <v>22</v>
      </c>
      <c r="D278" s="2" t="s">
        <v>83</v>
      </c>
      <c r="E278" s="2" t="s">
        <v>84</v>
      </c>
      <c r="F278" s="1" t="s">
        <v>40</v>
      </c>
      <c r="G278" s="1" t="s">
        <v>71</v>
      </c>
      <c r="H278" s="1" t="s">
        <v>85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78" s="2">
        <f>Games[[#This Row],[DaysOff]]-Games[[#This Row],[OppDaysOff]]</f>
        <v>-2</v>
      </c>
      <c r="L278" s="2">
        <f>Games[[#This Row],[OppDaysOff]]-Games[[#This Row],[DaysOff]]</f>
        <v>2</v>
      </c>
      <c r="M278" s="1">
        <f>MAX(-16, MIN(16, Games[[#This Row],[RestDiff]]*8))</f>
        <v>-16</v>
      </c>
      <c r="N278" s="1">
        <f>MAX(-16, MIN(16, Games[[#This Row],[OppRestDiff]]*8))</f>
        <v>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1660.0412744753655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1446.498487793488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0.63679986783265285</v>
      </c>
      <c r="R278" s="1">
        <v>89</v>
      </c>
      <c r="S278" s="1">
        <v>71</v>
      </c>
      <c r="T278" s="1">
        <v>0</v>
      </c>
      <c r="U278" s="1">
        <f>Games[[#This Row],[PointsFor]]-Games[[#This Row],[PointsAgainst]]</f>
        <v>18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0.46422416408910983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72.7</v>
      </c>
      <c r="Z278" s="4">
        <f>Games[[#This Row],[K]]*Games[[#This Row],[POMult]]</f>
        <v>72.7</v>
      </c>
      <c r="AA278" s="4">
        <f>(Games[[#This Row],[Keff]]*Games[[#This Row],[MOVMult]])*(Games[[#This Row],[Result]]-Games[[#This Row],[ExpectedWin%]])</f>
        <v>12.257676392602457</v>
      </c>
      <c r="AB278" s="4">
        <f>Games[[#This Row],[PreGmRate]]+Games[[#This Row],[RatingChange]]</f>
        <v>1672.298950867968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41842</v>
      </c>
      <c r="B279" s="2">
        <v>2014</v>
      </c>
      <c r="C279" s="2">
        <f>COUNTIFS(Games[Team],Games[[#This Row],[Team]],Games[Season],Games[[#This Row],[Season]],Games[Date],"&lt;=" &amp; Games[[#This Row],[Date]])</f>
        <v>25</v>
      </c>
      <c r="D279" s="2" t="s">
        <v>83</v>
      </c>
      <c r="E279" s="2" t="s">
        <v>84</v>
      </c>
      <c r="F279" s="1" t="s">
        <v>71</v>
      </c>
      <c r="G279" s="1" t="s">
        <v>40</v>
      </c>
      <c r="H279" s="1" t="s">
        <v>86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6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9" s="2">
        <f>Games[[#This Row],[DaysOff]]-Games[[#This Row],[OppDaysOff]]</f>
        <v>2</v>
      </c>
      <c r="L279" s="2">
        <f>Games[[#This Row],[OppDaysOff]]-Games[[#This Row],[DaysOff]]</f>
        <v>-2</v>
      </c>
      <c r="M279" s="1">
        <f>MAX(-16, MIN(16, Games[[#This Row],[RestDiff]]*8))</f>
        <v>16</v>
      </c>
      <c r="N279" s="1">
        <f>MAX(-16, MIN(16, Games[[#This Row],[OppRestDiff]]*8))</f>
        <v>-16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1446.498487793488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1660.0412744753655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0.36320013216734709</v>
      </c>
      <c r="R279" s="1">
        <v>71</v>
      </c>
      <c r="S279" s="1">
        <v>89</v>
      </c>
      <c r="T279" s="1">
        <v>0</v>
      </c>
      <c r="U279" s="1">
        <f>Games[[#This Row],[PointsFor]]-Games[[#This Row],[PointsAgainst]]</f>
        <v>-18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0.46422416408910983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72.25</v>
      </c>
      <c r="Z279" s="4">
        <f>Games[[#This Row],[K]]*Games[[#This Row],[POMult]]</f>
        <v>72.25</v>
      </c>
      <c r="AA279" s="4">
        <f>(Games[[#This Row],[Keff]]*Games[[#This Row],[MOVMult]])*(Games[[#This Row],[Result]]-Games[[#This Row],[ExpectedWin%]])</f>
        <v>-12.181803567613855</v>
      </c>
      <c r="AB279" s="4">
        <f>Games[[#This Row],[PreGmRate]]+Games[[#This Row],[RatingChange]]</f>
        <v>1434.3166842258743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41843</v>
      </c>
      <c r="B280" s="2">
        <v>2014</v>
      </c>
      <c r="C280" s="2">
        <f>COUNTIFS(Games[Team],Games[[#This Row],[Team]],Games[Season],Games[[#This Row],[Season]],Games[Date],"&lt;=" &amp; Games[[#This Row],[Date]])</f>
        <v>22</v>
      </c>
      <c r="D280" s="2" t="s">
        <v>83</v>
      </c>
      <c r="E280" s="2" t="s">
        <v>84</v>
      </c>
      <c r="F280" s="1" t="s">
        <v>60</v>
      </c>
      <c r="G280" s="1" t="s">
        <v>63</v>
      </c>
      <c r="H280" s="1" t="s">
        <v>85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6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0" s="2">
        <f>Games[[#This Row],[DaysOff]]-Games[[#This Row],[OppDaysOff]]</f>
        <v>1</v>
      </c>
      <c r="L280" s="2">
        <f>Games[[#This Row],[OppDaysOff]]-Games[[#This Row],[DaysOff]]</f>
        <v>-1</v>
      </c>
      <c r="M280" s="1">
        <f>MAX(-16, MIN(16, Games[[#This Row],[RestDiff]]*8))</f>
        <v>8</v>
      </c>
      <c r="N280" s="1">
        <f>MAX(-16, MIN(16, Games[[#This Row],[OppRestDiff]]*8))</f>
        <v>-8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1408.140391078809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1544.2219855528842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0.23599060469782099</v>
      </c>
      <c r="R280" s="1">
        <v>66</v>
      </c>
      <c r="S280" s="1">
        <v>64</v>
      </c>
      <c r="T280" s="1">
        <v>0</v>
      </c>
      <c r="U280" s="1">
        <f>Games[[#This Row],[PointsFor]]-Games[[#This Row],[PointsAgainst]]</f>
        <v>2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0.24056134468203719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72.7</v>
      </c>
      <c r="Z280" s="4">
        <f>Games[[#This Row],[K]]*Games[[#This Row],[POMult]]</f>
        <v>72.7</v>
      </c>
      <c r="AA280" s="4">
        <f>(Games[[#This Row],[Keff]]*Games[[#This Row],[MOVMult]])*(Games[[#This Row],[Result]]-Games[[#This Row],[ExpectedWin%]])</f>
        <v>13.361614968057888</v>
      </c>
      <c r="AB280" s="4">
        <f>Games[[#This Row],[PreGmRate]]+Games[[#This Row],[RatingChange]]</f>
        <v>1421.5020060468669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41843</v>
      </c>
      <c r="B281" s="2">
        <v>2014</v>
      </c>
      <c r="C281" s="2">
        <f>COUNTIFS(Games[Team],Games[[#This Row],[Team]],Games[Season],Games[[#This Row],[Season]],Games[Date],"&lt;=" &amp; Games[[#This Row],[Date]])</f>
        <v>23</v>
      </c>
      <c r="D281" s="2" t="s">
        <v>83</v>
      </c>
      <c r="E281" s="2" t="s">
        <v>84</v>
      </c>
      <c r="F281" s="1" t="s">
        <v>63</v>
      </c>
      <c r="G281" s="1" t="s">
        <v>60</v>
      </c>
      <c r="H281" s="1" t="s">
        <v>86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81" s="2">
        <f>Games[[#This Row],[DaysOff]]-Games[[#This Row],[OppDaysOff]]</f>
        <v>-1</v>
      </c>
      <c r="L281" s="2">
        <f>Games[[#This Row],[OppDaysOff]]-Games[[#This Row],[DaysOff]]</f>
        <v>1</v>
      </c>
      <c r="M281" s="1">
        <f>MAX(-16, MIN(16, Games[[#This Row],[RestDiff]]*8))</f>
        <v>-8</v>
      </c>
      <c r="N281" s="1">
        <f>MAX(-16, MIN(16, Games[[#This Row],[OppRestDiff]]*8))</f>
        <v>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1544.2219855528842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1408.140391078809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0.76400939530217893</v>
      </c>
      <c r="R281" s="1">
        <v>64</v>
      </c>
      <c r="S281" s="1">
        <v>66</v>
      </c>
      <c r="T281" s="1">
        <v>0</v>
      </c>
      <c r="U281" s="1">
        <f>Games[[#This Row],[PointsFor]]-Games[[#This Row],[PointsAgainst]]</f>
        <v>-2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0.24056134468203719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72.55</v>
      </c>
      <c r="Z281" s="4">
        <f>Games[[#This Row],[K]]*Games[[#This Row],[POMult]]</f>
        <v>72.55</v>
      </c>
      <c r="AA281" s="4">
        <f>(Games[[#This Row],[Keff]]*Games[[#This Row],[MOVMult]])*(Games[[#This Row],[Result]]-Games[[#This Row],[ExpectedWin%]])</f>
        <v>-13.334046298935345</v>
      </c>
      <c r="AB281" s="4">
        <f>Games[[#This Row],[PreGmRate]]+Games[[#This Row],[RatingChange]]</f>
        <v>1530.8879392539488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41843</v>
      </c>
      <c r="B282" s="2">
        <v>2014</v>
      </c>
      <c r="C282" s="2">
        <f>COUNTIFS(Games[Team],Games[[#This Row],[Team]],Games[Season],Games[[#This Row],[Season]],Games[Date],"&lt;=" &amp; Games[[#This Row],[Date]])</f>
        <v>25</v>
      </c>
      <c r="D282" s="2" t="s">
        <v>83</v>
      </c>
      <c r="E282" s="2" t="s">
        <v>84</v>
      </c>
      <c r="F282" s="1" t="s">
        <v>76</v>
      </c>
      <c r="G282" s="1" t="s">
        <v>65</v>
      </c>
      <c r="H282" s="1" t="s">
        <v>85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1435.3281665937704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1481.1187044914921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0.32144602226993269</v>
      </c>
      <c r="R282" s="1">
        <v>75</v>
      </c>
      <c r="S282" s="1">
        <v>89</v>
      </c>
      <c r="T282" s="1">
        <v>0</v>
      </c>
      <c r="U282" s="1">
        <f>Games[[#This Row],[PointsFor]]-Games[[#This Row],[PointsAgainst]]</f>
        <v>-14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0.46968547796833576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72.25</v>
      </c>
      <c r="Z282" s="4">
        <f>Games[[#This Row],[K]]*Games[[#This Row],[POMult]]</f>
        <v>72.25</v>
      </c>
      <c r="AA282" s="4">
        <f>(Games[[#This Row],[Keff]]*Games[[#This Row],[MOVMult]])*(Games[[#This Row],[Result]]-Games[[#This Row],[ExpectedWin%]])</f>
        <v>-10.90819869213562</v>
      </c>
      <c r="AB282" s="4">
        <f>Games[[#This Row],[PreGmRate]]+Games[[#This Row],[RatingChange]]</f>
        <v>1424.4199679016349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41843</v>
      </c>
      <c r="B283" s="2">
        <v>2014</v>
      </c>
      <c r="C283" s="2">
        <f>COUNTIFS(Games[Team],Games[[#This Row],[Team]],Games[Season],Games[[#This Row],[Season]],Games[Date],"&lt;=" &amp; Games[[#This Row],[Date]])</f>
        <v>24</v>
      </c>
      <c r="D283" s="2" t="s">
        <v>83</v>
      </c>
      <c r="E283" s="2" t="s">
        <v>84</v>
      </c>
      <c r="F283" s="1" t="s">
        <v>65</v>
      </c>
      <c r="G283" s="1" t="s">
        <v>76</v>
      </c>
      <c r="H283" s="1" t="s">
        <v>86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1481.1187044914921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1435.3281665937704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0.67855397773006731</v>
      </c>
      <c r="R283" s="1">
        <v>89</v>
      </c>
      <c r="S283" s="1">
        <v>75</v>
      </c>
      <c r="T283" s="1">
        <v>0</v>
      </c>
      <c r="U283" s="1">
        <f>Games[[#This Row],[PointsFor]]-Games[[#This Row],[PointsAgainst]]</f>
        <v>14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0.46968547796833576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72.400000000000006</v>
      </c>
      <c r="Z283" s="4">
        <f>Games[[#This Row],[K]]*Games[[#This Row],[POMult]]</f>
        <v>72.400000000000006</v>
      </c>
      <c r="AA283" s="4">
        <f>(Games[[#This Row],[Keff]]*Games[[#This Row],[MOVMult]])*(Games[[#This Row],[Result]]-Games[[#This Row],[ExpectedWin%]])</f>
        <v>10.930845471427252</v>
      </c>
      <c r="AB283" s="4">
        <f>Games[[#This Row],[PreGmRate]]+Games[[#This Row],[RatingChange]]</f>
        <v>1492.0495499629194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41844</v>
      </c>
      <c r="B284" s="2">
        <v>2014</v>
      </c>
      <c r="C284" s="2">
        <f>COUNTIFS(Games[Team],Games[[#This Row],[Team]],Games[Season],Games[[#This Row],[Season]],Games[Date],"&lt;=" &amp; Games[[#This Row],[Date]])</f>
        <v>23</v>
      </c>
      <c r="D284" s="2" t="s">
        <v>83</v>
      </c>
      <c r="E284" s="2" t="s">
        <v>84</v>
      </c>
      <c r="F284" s="1" t="s">
        <v>40</v>
      </c>
      <c r="G284" s="1" t="s">
        <v>63</v>
      </c>
      <c r="H284" s="1" t="s">
        <v>85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4" s="2">
        <f>Games[[#This Row],[DaysOff]]-Games[[#This Row],[OppDaysOff]]</f>
        <v>1</v>
      </c>
      <c r="L284" s="2">
        <f>Games[[#This Row],[OppDaysOff]]-Games[[#This Row],[DaysOff]]</f>
        <v>-1</v>
      </c>
      <c r="M284" s="1">
        <f>MAX(-16, MIN(16, Games[[#This Row],[RestDiff]]*8))</f>
        <v>8</v>
      </c>
      <c r="N284" s="1">
        <f>MAX(-16, MIN(16, Games[[#This Row],[OppRestDiff]]*8))</f>
        <v>-8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1672.298950867968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1530.8879392539488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0.60410231018913496</v>
      </c>
      <c r="R284" s="1">
        <v>93</v>
      </c>
      <c r="S284" s="1">
        <v>73</v>
      </c>
      <c r="T284" s="1">
        <v>0</v>
      </c>
      <c r="U284" s="1">
        <f>Games[[#This Row],[PointsFor]]-Games[[#This Row],[PointsAgainst]]</f>
        <v>20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0.51428296380282779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72.55</v>
      </c>
      <c r="Z284" s="4">
        <f>Games[[#This Row],[K]]*Games[[#This Row],[POMult]]</f>
        <v>72.55</v>
      </c>
      <c r="AA284" s="4">
        <f>(Games[[#This Row],[Keff]]*Games[[#This Row],[MOVMult]])*(Games[[#This Row],[Result]]-Games[[#This Row],[ExpectedWin%]])</f>
        <v>14.771429374564187</v>
      </c>
      <c r="AB284" s="4">
        <f>Games[[#This Row],[PreGmRate]]+Games[[#This Row],[RatingChange]]</f>
        <v>1687.0703802425321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41844</v>
      </c>
      <c r="B285" s="2">
        <v>2014</v>
      </c>
      <c r="C285" s="2">
        <f>COUNTIFS(Games[Team],Games[[#This Row],[Team]],Games[Season],Games[[#This Row],[Season]],Games[Date],"&lt;=" &amp; Games[[#This Row],[Date]])</f>
        <v>24</v>
      </c>
      <c r="D285" s="2" t="s">
        <v>83</v>
      </c>
      <c r="E285" s="2" t="s">
        <v>84</v>
      </c>
      <c r="F285" s="1" t="s">
        <v>63</v>
      </c>
      <c r="G285" s="1" t="s">
        <v>40</v>
      </c>
      <c r="H285" s="1" t="s">
        <v>86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-1</v>
      </c>
      <c r="L285" s="2">
        <f>Games[[#This Row],[OppDaysOff]]-Games[[#This Row],[DaysOff]]</f>
        <v>1</v>
      </c>
      <c r="M285" s="1">
        <f>MAX(-16, MIN(16, Games[[#This Row],[RestDiff]]*8))</f>
        <v>-8</v>
      </c>
      <c r="N285" s="1">
        <f>MAX(-16, MIN(16, Games[[#This Row],[OppRestDiff]]*8))</f>
        <v>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1530.8879392539488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1672.298950867968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0.39589768981086504</v>
      </c>
      <c r="R285" s="1">
        <v>73</v>
      </c>
      <c r="S285" s="1">
        <v>93</v>
      </c>
      <c r="T285" s="1">
        <v>0</v>
      </c>
      <c r="U285" s="1">
        <f>Games[[#This Row],[PointsFor]]-Games[[#This Row],[PointsAgainst]]</f>
        <v>-20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0.51428296380282779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-14.740888858972395</v>
      </c>
      <c r="AB285" s="4">
        <f>Games[[#This Row],[PreGmRate]]+Games[[#This Row],[RatingChange]]</f>
        <v>1516.1470503949765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41844</v>
      </c>
      <c r="B286" s="2">
        <v>2014</v>
      </c>
      <c r="C286" s="2">
        <f>COUNTIFS(Games[Team],Games[[#This Row],[Team]],Games[Season],Games[[#This Row],[Season]],Games[Date],"&lt;=" &amp; Games[[#This Row],[Date]])</f>
        <v>23</v>
      </c>
      <c r="D286" s="2" t="s">
        <v>83</v>
      </c>
      <c r="E286" s="2" t="s">
        <v>84</v>
      </c>
      <c r="F286" s="1" t="s">
        <v>60</v>
      </c>
      <c r="G286" s="1" t="s">
        <v>71</v>
      </c>
      <c r="H286" s="1" t="s">
        <v>85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-1</v>
      </c>
      <c r="L286" s="2">
        <f>Games[[#This Row],[OppDaysOff]]-Games[[#This Row],[DaysOff]]</f>
        <v>1</v>
      </c>
      <c r="M286" s="1">
        <f>MAX(-16, MIN(16, Games[[#This Row],[RestDiff]]*8))</f>
        <v>-8</v>
      </c>
      <c r="N286" s="1">
        <f>MAX(-16, MIN(16, Games[[#This Row],[OppRestDiff]]*8))</f>
        <v>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1421.5020060468669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1434.3166842258743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0.34312171804454683</v>
      </c>
      <c r="R286" s="1">
        <v>84</v>
      </c>
      <c r="S286" s="1">
        <v>80</v>
      </c>
      <c r="T286" s="1">
        <v>1</v>
      </c>
      <c r="U286" s="1">
        <f>Games[[#This Row],[PointsFor]]-Games[[#This Row],[PointsAgainst]]</f>
        <v>4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0.27732790487100784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72.55</v>
      </c>
      <c r="Z286" s="4">
        <f>Games[[#This Row],[K]]*Games[[#This Row],[POMult]]</f>
        <v>72.55</v>
      </c>
      <c r="AA286" s="4">
        <f>(Games[[#This Row],[Keff]]*Games[[#This Row],[MOVMult]])*(Games[[#This Row],[Result]]-Games[[#This Row],[ExpectedWin%]])</f>
        <v>13.216482666407538</v>
      </c>
      <c r="AB286" s="4">
        <f>Games[[#This Row],[PreGmRate]]+Games[[#This Row],[RatingChange]]</f>
        <v>1434.7184887132744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41844</v>
      </c>
      <c r="B287" s="2">
        <v>2014</v>
      </c>
      <c r="C287" s="2">
        <f>COUNTIFS(Games[Team],Games[[#This Row],[Team]],Games[Season],Games[[#This Row],[Season]],Games[Date],"&lt;=" &amp; Games[[#This Row],[Date]])</f>
        <v>26</v>
      </c>
      <c r="D287" s="2" t="s">
        <v>83</v>
      </c>
      <c r="E287" s="2" t="s">
        <v>84</v>
      </c>
      <c r="F287" s="1" t="s">
        <v>71</v>
      </c>
      <c r="G287" s="1" t="s">
        <v>60</v>
      </c>
      <c r="H287" s="1" t="s">
        <v>86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7" s="2">
        <f>Games[[#This Row],[DaysOff]]-Games[[#This Row],[OppDaysOff]]</f>
        <v>1</v>
      </c>
      <c r="L287" s="2">
        <f>Games[[#This Row],[OppDaysOff]]-Games[[#This Row],[DaysOff]]</f>
        <v>-1</v>
      </c>
      <c r="M287" s="1">
        <f>MAX(-16, MIN(16, Games[[#This Row],[RestDiff]]*8))</f>
        <v>8</v>
      </c>
      <c r="N287" s="1">
        <f>MAX(-16, MIN(16, Games[[#This Row],[OppRestDiff]]*8))</f>
        <v>-8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1434.3166842258743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1421.5020060468669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0.65687828195545306</v>
      </c>
      <c r="R287" s="1">
        <v>80</v>
      </c>
      <c r="S287" s="1">
        <v>84</v>
      </c>
      <c r="T287" s="1">
        <v>1</v>
      </c>
      <c r="U287" s="1">
        <f>Games[[#This Row],[PointsFor]]-Games[[#This Row],[PointsAgainst]]</f>
        <v>-4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0.27732790487100784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72.099999999999994</v>
      </c>
      <c r="Z287" s="4">
        <f>Games[[#This Row],[K]]*Games[[#This Row],[POMult]]</f>
        <v>72.099999999999994</v>
      </c>
      <c r="AA287" s="4">
        <f>(Games[[#This Row],[Keff]]*Games[[#This Row],[MOVMult]])*(Games[[#This Row],[Result]]-Games[[#This Row],[ExpectedWin%]])</f>
        <v>-13.134505861447048</v>
      </c>
      <c r="AB287" s="4">
        <f>Games[[#This Row],[PreGmRate]]+Games[[#This Row],[RatingChange]]</f>
        <v>1421.1821783644273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41845</v>
      </c>
      <c r="B288" s="2">
        <v>2014</v>
      </c>
      <c r="C288" s="2">
        <f>COUNTIFS(Games[Team],Games[[#This Row],[Team]],Games[Season],Games[[#This Row],[Season]],Games[Date],"&lt;=" &amp; Games[[#This Row],[Date]])</f>
        <v>24</v>
      </c>
      <c r="D288" s="2" t="s">
        <v>83</v>
      </c>
      <c r="E288" s="2" t="s">
        <v>84</v>
      </c>
      <c r="F288" s="1" t="s">
        <v>77</v>
      </c>
      <c r="G288" s="1" t="s">
        <v>79</v>
      </c>
      <c r="H288" s="1" t="s">
        <v>85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1435.2438958992652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1574.2523882325183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0.21691425261319885</v>
      </c>
      <c r="R288" s="1">
        <v>79</v>
      </c>
      <c r="S288" s="1">
        <v>75</v>
      </c>
      <c r="T288" s="1">
        <v>0</v>
      </c>
      <c r="U288" s="1">
        <f>Games[[#This Row],[PointsFor]]-Games[[#This Row],[PointsAgainst]]</f>
        <v>4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0.2791015023612291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15.823773580708522</v>
      </c>
      <c r="AB288" s="4">
        <f>Games[[#This Row],[PreGmRate]]+Games[[#This Row],[RatingChange]]</f>
        <v>1451.0676694799738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41845</v>
      </c>
      <c r="B289" s="2">
        <v>2014</v>
      </c>
      <c r="C289" s="2">
        <f>COUNTIFS(Games[Team],Games[[#This Row],[Team]],Games[Season],Games[[#This Row],[Season]],Games[Date],"&lt;=" &amp; Games[[#This Row],[Date]])</f>
        <v>23</v>
      </c>
      <c r="D289" s="2" t="s">
        <v>83</v>
      </c>
      <c r="E289" s="2" t="s">
        <v>84</v>
      </c>
      <c r="F289" s="1" t="s">
        <v>79</v>
      </c>
      <c r="G289" s="1" t="s">
        <v>77</v>
      </c>
      <c r="H289" s="1" t="s">
        <v>86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1574.2523882325183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1435.2438958992652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0.78308574738680103</v>
      </c>
      <c r="R289" s="1">
        <v>75</v>
      </c>
      <c r="S289" s="1">
        <v>79</v>
      </c>
      <c r="T289" s="1">
        <v>0</v>
      </c>
      <c r="U289" s="1">
        <f>Games[[#This Row],[PointsFor]]-Games[[#This Row],[PointsAgainst]]</f>
        <v>-4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0.2791015023612291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72.55</v>
      </c>
      <c r="Z289" s="4">
        <f>Games[[#This Row],[K]]*Games[[#This Row],[POMult]]</f>
        <v>72.55</v>
      </c>
      <c r="AA289" s="4">
        <f>(Games[[#This Row],[Keff]]*Games[[#This Row],[MOVMult]])*(Games[[#This Row],[Result]]-Games[[#This Row],[ExpectedWin%]])</f>
        <v>-15.856557641994518</v>
      </c>
      <c r="AB289" s="4">
        <f>Games[[#This Row],[PreGmRate]]+Games[[#This Row],[RatingChange]]</f>
        <v>1558.3958305905239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41845</v>
      </c>
      <c r="B290" s="2">
        <v>2014</v>
      </c>
      <c r="C290" s="2">
        <f>COUNTIFS(Games[Team],Games[[#This Row],[Team]],Games[Season],Games[[#This Row],[Season]],Games[Date],"&lt;=" &amp; Games[[#This Row],[Date]])</f>
        <v>25</v>
      </c>
      <c r="D290" s="2" t="s">
        <v>83</v>
      </c>
      <c r="E290" s="2" t="s">
        <v>84</v>
      </c>
      <c r="F290" s="1" t="s">
        <v>74</v>
      </c>
      <c r="G290" s="1" t="s">
        <v>67</v>
      </c>
      <c r="H290" s="1" t="s">
        <v>85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1469.085387727564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1661.708625636172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0.1690505247284618</v>
      </c>
      <c r="R290" s="1">
        <v>78</v>
      </c>
      <c r="S290" s="1">
        <v>88</v>
      </c>
      <c r="T290" s="1">
        <v>0</v>
      </c>
      <c r="U290" s="1">
        <f>Games[[#This Row],[PointsFor]]-Games[[#This Row],[PointsAgainst]]</f>
        <v>-10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0.36460373874075952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72.25</v>
      </c>
      <c r="Z290" s="4">
        <f>Games[[#This Row],[K]]*Games[[#This Row],[POMult]]</f>
        <v>72.25</v>
      </c>
      <c r="AA290" s="4">
        <f>(Games[[#This Row],[Keff]]*Games[[#This Row],[MOVMult]])*(Games[[#This Row],[Result]]-Games[[#This Row],[ExpectedWin%]])</f>
        <v>-4.4532337546880969</v>
      </c>
      <c r="AB290" s="4">
        <f>Games[[#This Row],[PreGmRate]]+Games[[#This Row],[RatingChange]]</f>
        <v>1464.6321539728758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41845</v>
      </c>
      <c r="B291" s="2">
        <v>2014</v>
      </c>
      <c r="C291" s="2">
        <f>COUNTIFS(Games[Team],Games[[#This Row],[Team]],Games[Season],Games[[#This Row],[Season]],Games[Date],"&lt;=" &amp; Games[[#This Row],[Date]])</f>
        <v>25</v>
      </c>
      <c r="D291" s="2" t="s">
        <v>83</v>
      </c>
      <c r="E291" s="2" t="s">
        <v>84</v>
      </c>
      <c r="F291" s="1" t="s">
        <v>67</v>
      </c>
      <c r="G291" s="1" t="s">
        <v>74</v>
      </c>
      <c r="H291" s="1" t="s">
        <v>86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1661.708625636172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1469.085387727564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0.83094947527153828</v>
      </c>
      <c r="R291" s="1">
        <v>88</v>
      </c>
      <c r="S291" s="1">
        <v>78</v>
      </c>
      <c r="T291" s="1">
        <v>0</v>
      </c>
      <c r="U291" s="1">
        <f>Games[[#This Row],[PointsFor]]-Games[[#This Row],[PointsAgainst]]</f>
        <v>10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0.36460373874075952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72.25</v>
      </c>
      <c r="Z291" s="4">
        <f>Games[[#This Row],[K]]*Games[[#This Row],[POMult]]</f>
        <v>72.25</v>
      </c>
      <c r="AA291" s="4">
        <f>(Games[[#This Row],[Keff]]*Games[[#This Row],[MOVMult]])*(Games[[#This Row],[Result]]-Games[[#This Row],[ExpectedWin%]])</f>
        <v>4.4532337546880951</v>
      </c>
      <c r="AB291" s="4">
        <f>Games[[#This Row],[PreGmRate]]+Games[[#This Row],[RatingChange]]</f>
        <v>1666.1618593908602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41845</v>
      </c>
      <c r="B292" s="2">
        <v>2014</v>
      </c>
      <c r="C292" s="2">
        <f>COUNTIFS(Games[Team],Games[[#This Row],[Team]],Games[Season],Games[[#This Row],[Season]],Games[Date],"&lt;=" &amp; Games[[#This Row],[Date]])</f>
        <v>25</v>
      </c>
      <c r="D292" s="2" t="s">
        <v>83</v>
      </c>
      <c r="E292" s="2" t="s">
        <v>84</v>
      </c>
      <c r="F292" s="1" t="s">
        <v>81</v>
      </c>
      <c r="G292" s="1" t="s">
        <v>65</v>
      </c>
      <c r="H292" s="1" t="s">
        <v>85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1</v>
      </c>
      <c r="L292" s="2">
        <f>Games[[#This Row],[OppDaysOff]]-Games[[#This Row],[DaysOff]]</f>
        <v>-1</v>
      </c>
      <c r="M292" s="1">
        <f>MAX(-16, MIN(16, Games[[#This Row],[RestDiff]]*8))</f>
        <v>8</v>
      </c>
      <c r="N292" s="1">
        <f>MAX(-16, MIN(16, Games[[#This Row],[OppRestDiff]]*8))</f>
        <v>-8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1413.2309459238302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1492.0495499629194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0.3004500205582859</v>
      </c>
      <c r="R292" s="1">
        <v>77</v>
      </c>
      <c r="S292" s="1">
        <v>82</v>
      </c>
      <c r="T292" s="1">
        <v>0</v>
      </c>
      <c r="U292" s="1">
        <f>Games[[#This Row],[PointsFor]]-Games[[#This Row],[PointsAgainst]]</f>
        <v>-5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0.31130855407959679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72.25</v>
      </c>
      <c r="Z292" s="4">
        <f>Games[[#This Row],[K]]*Games[[#This Row],[POMult]]</f>
        <v>72.25</v>
      </c>
      <c r="AA292" s="4">
        <f>(Games[[#This Row],[Keff]]*Games[[#This Row],[MOVMult]])*(Games[[#This Row],[Result]]-Games[[#This Row],[ExpectedWin%]])</f>
        <v>-6.7577347914376249</v>
      </c>
      <c r="AB292" s="4">
        <f>Games[[#This Row],[PreGmRate]]+Games[[#This Row],[RatingChange]]</f>
        <v>1406.4732111323926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41845</v>
      </c>
      <c r="B293" s="2">
        <v>2014</v>
      </c>
      <c r="C293" s="2">
        <f>COUNTIFS(Games[Team],Games[[#This Row],[Team]],Games[Season],Games[[#This Row],[Season]],Games[Date],"&lt;=" &amp; Games[[#This Row],[Date]])</f>
        <v>25</v>
      </c>
      <c r="D293" s="2" t="s">
        <v>83</v>
      </c>
      <c r="E293" s="2" t="s">
        <v>84</v>
      </c>
      <c r="F293" s="1" t="s">
        <v>65</v>
      </c>
      <c r="G293" s="1" t="s">
        <v>81</v>
      </c>
      <c r="H293" s="1" t="s">
        <v>86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3" s="2">
        <f>Games[[#This Row],[DaysOff]]-Games[[#This Row],[OppDaysOff]]</f>
        <v>-1</v>
      </c>
      <c r="L293" s="2">
        <f>Games[[#This Row],[OppDaysOff]]-Games[[#This Row],[DaysOff]]</f>
        <v>1</v>
      </c>
      <c r="M293" s="1">
        <f>MAX(-16, MIN(16, Games[[#This Row],[RestDiff]]*8))</f>
        <v>-8</v>
      </c>
      <c r="N293" s="1">
        <f>MAX(-16, MIN(16, Games[[#This Row],[OppRestDiff]]*8))</f>
        <v>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1492.0495499629194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1413.2309459238302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0.69954997944171415</v>
      </c>
      <c r="R293" s="1">
        <v>82</v>
      </c>
      <c r="S293" s="1">
        <v>77</v>
      </c>
      <c r="T293" s="1">
        <v>0</v>
      </c>
      <c r="U293" s="1">
        <f>Games[[#This Row],[PointsFor]]-Games[[#This Row],[PointsAgainst]]</f>
        <v>5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0.31130855407959679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72.25</v>
      </c>
      <c r="Z293" s="4">
        <f>Games[[#This Row],[K]]*Games[[#This Row],[POMult]]</f>
        <v>72.25</v>
      </c>
      <c r="AA293" s="4">
        <f>(Games[[#This Row],[Keff]]*Games[[#This Row],[MOVMult]])*(Games[[#This Row],[Result]]-Games[[#This Row],[ExpectedWin%]])</f>
        <v>6.757734791437624</v>
      </c>
      <c r="AB293" s="4">
        <f>Games[[#This Row],[PreGmRate]]+Games[[#This Row],[RatingChange]]</f>
        <v>1498.8072847543569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41846</v>
      </c>
      <c r="B294" s="2">
        <v>2014</v>
      </c>
      <c r="C294" s="2">
        <f>COUNTIFS(Games[Team],Games[[#This Row],[Team]],Games[Season],Games[[#This Row],[Season]],Games[Date],"&lt;=" &amp; Games[[#This Row],[Date]])</f>
        <v>24</v>
      </c>
      <c r="D294" s="2" t="s">
        <v>83</v>
      </c>
      <c r="E294" s="2" t="s">
        <v>84</v>
      </c>
      <c r="F294" s="1" t="s">
        <v>60</v>
      </c>
      <c r="G294" s="1" t="s">
        <v>40</v>
      </c>
      <c r="H294" s="1" t="s">
        <v>85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1434.7184887132744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1687.0703802425321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0.12606623687358187</v>
      </c>
      <c r="R294" s="1">
        <v>63</v>
      </c>
      <c r="S294" s="1">
        <v>78</v>
      </c>
      <c r="T294" s="1">
        <v>0</v>
      </c>
      <c r="U294" s="1">
        <f>Games[[#This Row],[PointsFor]]-Games[[#This Row],[PointsAgainst]]</f>
        <v>-15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0.41547619221891607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72.400000000000006</v>
      </c>
      <c r="Z294" s="4">
        <f>Games[[#This Row],[K]]*Games[[#This Row],[POMult]]</f>
        <v>72.400000000000006</v>
      </c>
      <c r="AA294" s="4">
        <f>(Games[[#This Row],[Keff]]*Games[[#This Row],[MOVMult]])*(Games[[#This Row],[Result]]-Games[[#This Row],[ExpectedWin%]])</f>
        <v>-3.7921324526049087</v>
      </c>
      <c r="AB294" s="4">
        <f>Games[[#This Row],[PreGmRate]]+Games[[#This Row],[RatingChange]]</f>
        <v>1430.9263562606695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41846</v>
      </c>
      <c r="B295" s="2">
        <v>2014</v>
      </c>
      <c r="C295" s="2">
        <f>COUNTIFS(Games[Team],Games[[#This Row],[Team]],Games[Season],Games[[#This Row],[Season]],Games[Date],"&lt;=" &amp; Games[[#This Row],[Date]])</f>
        <v>24</v>
      </c>
      <c r="D295" s="2" t="s">
        <v>83</v>
      </c>
      <c r="E295" s="2" t="s">
        <v>84</v>
      </c>
      <c r="F295" s="1" t="s">
        <v>40</v>
      </c>
      <c r="G295" s="1" t="s">
        <v>60</v>
      </c>
      <c r="H295" s="1" t="s">
        <v>86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1687.0703802425321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1434.7184887132744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0.87393376312641813</v>
      </c>
      <c r="R295" s="1">
        <v>78</v>
      </c>
      <c r="S295" s="1">
        <v>63</v>
      </c>
      <c r="T295" s="1">
        <v>0</v>
      </c>
      <c r="U295" s="1">
        <f>Games[[#This Row],[PointsFor]]-Games[[#This Row],[PointsAgainst]]</f>
        <v>15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0.41547619221891607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72.400000000000006</v>
      </c>
      <c r="Z295" s="4">
        <f>Games[[#This Row],[K]]*Games[[#This Row],[POMult]]</f>
        <v>72.400000000000006</v>
      </c>
      <c r="AA295" s="4">
        <f>(Games[[#This Row],[Keff]]*Games[[#This Row],[MOVMult]])*(Games[[#This Row],[Result]]-Games[[#This Row],[ExpectedWin%]])</f>
        <v>3.7921324526049087</v>
      </c>
      <c r="AB295" s="4">
        <f>Games[[#This Row],[PreGmRate]]+Games[[#This Row],[RatingChange]]</f>
        <v>1690.862512695137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41846</v>
      </c>
      <c r="B296" s="2">
        <v>2014</v>
      </c>
      <c r="C296" s="2">
        <f>COUNTIFS(Games[Team],Games[[#This Row],[Team]],Games[Season],Games[[#This Row],[Season]],Games[Date],"&lt;=" &amp; Games[[#This Row],[Date]])</f>
        <v>25</v>
      </c>
      <c r="D296" s="2" t="s">
        <v>83</v>
      </c>
      <c r="E296" s="2" t="s">
        <v>84</v>
      </c>
      <c r="F296" s="1" t="s">
        <v>69</v>
      </c>
      <c r="G296" s="1" t="s">
        <v>74</v>
      </c>
      <c r="H296" s="1" t="s">
        <v>85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6" s="2">
        <f>Games[[#This Row],[DaysOff]]-Games[[#This Row],[OppDaysOff]]</f>
        <v>3</v>
      </c>
      <c r="L296" s="2">
        <f>Games[[#This Row],[OppDaysOff]]-Games[[#This Row],[DaysOff]]</f>
        <v>-3</v>
      </c>
      <c r="M296" s="1">
        <f>MAX(-16, MIN(16, Games[[#This Row],[RestDiff]]*8))</f>
        <v>16</v>
      </c>
      <c r="N296" s="1">
        <f>MAX(-16, MIN(16, Games[[#This Row],[OppRestDiff]]*8))</f>
        <v>-16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1473.3479912281641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1464.6321539728758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0.43802935918669345</v>
      </c>
      <c r="R296" s="1">
        <v>75</v>
      </c>
      <c r="S296" s="1">
        <v>68</v>
      </c>
      <c r="T296" s="1">
        <v>0</v>
      </c>
      <c r="U296" s="1">
        <f>Games[[#This Row],[PointsFor]]-Games[[#This Row],[PointsAgainst]]</f>
        <v>7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0.36743839477862428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14.918872890010533</v>
      </c>
      <c r="AB296" s="4">
        <f>Games[[#This Row],[PreGmRate]]+Games[[#This Row],[RatingChange]]</f>
        <v>1488.2668641181747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41846</v>
      </c>
      <c r="B297" s="2">
        <v>2014</v>
      </c>
      <c r="C297" s="2">
        <f>COUNTIFS(Games[Team],Games[[#This Row],[Team]],Games[Season],Games[[#This Row],[Season]],Games[Date],"&lt;=" &amp; Games[[#This Row],[Date]])</f>
        <v>26</v>
      </c>
      <c r="D297" s="2" t="s">
        <v>83</v>
      </c>
      <c r="E297" s="2" t="s">
        <v>84</v>
      </c>
      <c r="F297" s="1" t="s">
        <v>74</v>
      </c>
      <c r="G297" s="1" t="s">
        <v>69</v>
      </c>
      <c r="H297" s="1" t="s">
        <v>86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7" s="2">
        <f>Games[[#This Row],[DaysOff]]-Games[[#This Row],[OppDaysOff]]</f>
        <v>-3</v>
      </c>
      <c r="L297" s="2">
        <f>Games[[#This Row],[OppDaysOff]]-Games[[#This Row],[DaysOff]]</f>
        <v>3</v>
      </c>
      <c r="M297" s="1">
        <f>MAX(-16, MIN(16, Games[[#This Row],[RestDiff]]*8))</f>
        <v>-16</v>
      </c>
      <c r="N297" s="1">
        <f>MAX(-16, MIN(16, Games[[#This Row],[OppRestDiff]]*8))</f>
        <v>16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1464.6321539728758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1473.3479912281641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0.56197064081330661</v>
      </c>
      <c r="R297" s="1">
        <v>68</v>
      </c>
      <c r="S297" s="1">
        <v>75</v>
      </c>
      <c r="T297" s="1">
        <v>0</v>
      </c>
      <c r="U297" s="1">
        <f>Games[[#This Row],[PointsFor]]-Games[[#This Row],[PointsAgainst]]</f>
        <v>-7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0.36743839477862428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72.099999999999994</v>
      </c>
      <c r="Z297" s="4">
        <f>Games[[#This Row],[K]]*Games[[#This Row],[POMult]]</f>
        <v>72.099999999999994</v>
      </c>
      <c r="AA297" s="4">
        <f>(Games[[#This Row],[Keff]]*Games[[#This Row],[MOVMult]])*(Games[[#This Row],[Result]]-Games[[#This Row],[ExpectedWin%]])</f>
        <v>-14.887899451484563</v>
      </c>
      <c r="AB297" s="4">
        <f>Games[[#This Row],[PreGmRate]]+Games[[#This Row],[RatingChange]]</f>
        <v>1449.7442545213912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41846</v>
      </c>
      <c r="B298" s="2">
        <v>2014</v>
      </c>
      <c r="C298" s="2">
        <f>COUNTIFS(Games[Team],Games[[#This Row],[Team]],Games[Season],Games[[#This Row],[Season]],Games[Date],"&lt;=" &amp; Games[[#This Row],[Date]])</f>
        <v>25</v>
      </c>
      <c r="D298" s="2" t="s">
        <v>83</v>
      </c>
      <c r="E298" s="2" t="s">
        <v>84</v>
      </c>
      <c r="F298" s="1" t="s">
        <v>63</v>
      </c>
      <c r="G298" s="1" t="s">
        <v>71</v>
      </c>
      <c r="H298" s="1" t="s">
        <v>85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1516.1470503949765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1421.1821783644273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0.51577448253174019</v>
      </c>
      <c r="R298" s="1">
        <v>77</v>
      </c>
      <c r="S298" s="1">
        <v>69</v>
      </c>
      <c r="T298" s="1">
        <v>0</v>
      </c>
      <c r="U298" s="1">
        <f>Games[[#This Row],[PointsFor]]-Games[[#This Row],[PointsAgainst]]</f>
        <v>8</v>
      </c>
      <c r="V298" s="1">
        <f>IF(Games[[#This Row],[MOV]]&gt;0,1,IF(Games[[#This Row],[MOV]]=0,0.5,0))</f>
        <v>1</v>
      </c>
      <c r="W298" s="4">
        <f>((ABS(Games[[#This Row],[MOV]])+5)^0.6)/(12+0.01*(ABS(Games[[#This Row],[PreGmRate]]-Games[[#This Row],[OppPreGmRate]])))*IF(Games[[#This Row],[OT]]=1,0.9,1)</f>
        <v>0.35983882811657747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12.58906706368186</v>
      </c>
      <c r="AB298" s="4">
        <f>Games[[#This Row],[PreGmRate]]+Games[[#This Row],[RatingChange]]</f>
        <v>1528.7361174586583</v>
      </c>
      <c r="AC298" s="2">
        <f>IF(Games[[#This Row],[Type]]="R",IF(Games[[#This Row],[Result]]&gt;0.5,1,0),0)</f>
        <v>1</v>
      </c>
      <c r="AD298" s="2">
        <f>IF(Games[[#This Row],[Type]]="R",IF(Games[[#This Row],[Result]]&lt;0.5,1,0),0)</f>
        <v>0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41846</v>
      </c>
      <c r="B299" s="2">
        <v>2014</v>
      </c>
      <c r="C299" s="2">
        <f>COUNTIFS(Games[Team],Games[[#This Row],[Team]],Games[Season],Games[[#This Row],[Season]],Games[Date],"&lt;=" &amp; Games[[#This Row],[Date]])</f>
        <v>27</v>
      </c>
      <c r="D299" s="2" t="s">
        <v>83</v>
      </c>
      <c r="E299" s="2" t="s">
        <v>84</v>
      </c>
      <c r="F299" s="1" t="s">
        <v>71</v>
      </c>
      <c r="G299" s="1" t="s">
        <v>63</v>
      </c>
      <c r="H299" s="1" t="s">
        <v>86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1421.1821783644273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1516.1470503949765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0.48422551746825987</v>
      </c>
      <c r="R299" s="1">
        <v>69</v>
      </c>
      <c r="S299" s="1">
        <v>77</v>
      </c>
      <c r="T299" s="1">
        <v>0</v>
      </c>
      <c r="U299" s="1">
        <f>Games[[#This Row],[PointsFor]]-Games[[#This Row],[PointsAgainst]]</f>
        <v>-8</v>
      </c>
      <c r="V299" s="1">
        <f>IF(Games[[#This Row],[MOV]]&gt;0,1,IF(Games[[#This Row],[MOV]]=0,0.5,0))</f>
        <v>0</v>
      </c>
      <c r="W299" s="4">
        <f>((ABS(Games[[#This Row],[MOV]])+5)^0.6)/(12+0.01*(ABS(Games[[#This Row],[PreGmRate]]-Games[[#This Row],[OppPreGmRate]])))*IF(Games[[#This Row],[OT]]=1,0.9,1)</f>
        <v>0.35983882811657747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71.95</v>
      </c>
      <c r="Z299" s="4">
        <f>Games[[#This Row],[K]]*Games[[#This Row],[POMult]]</f>
        <v>71.95</v>
      </c>
      <c r="AA299" s="4">
        <f>(Games[[#This Row],[Keff]]*Games[[#This Row],[MOVMult]])*(Games[[#This Row],[Result]]-Games[[#This Row],[ExpectedWin%]])</f>
        <v>-12.536794120856884</v>
      </c>
      <c r="AB299" s="4">
        <f>Games[[#This Row],[PreGmRate]]+Games[[#This Row],[RatingChange]]</f>
        <v>1408.6453842435703</v>
      </c>
      <c r="AC299" s="2">
        <f>IF(Games[[#This Row],[Type]]="R",IF(Games[[#This Row],[Result]]&gt;0.5,1,0),0)</f>
        <v>0</v>
      </c>
      <c r="AD299" s="2">
        <f>IF(Games[[#This Row],[Type]]="R",IF(Games[[#This Row],[Result]]&lt;0.5,1,0),0)</f>
        <v>1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41847</v>
      </c>
      <c r="B300" s="2">
        <v>2014</v>
      </c>
      <c r="C300" s="2">
        <f>COUNTIFS(Games[Team],Games[[#This Row],[Team]],Games[Season],Games[[#This Row],[Season]],Games[Date],"&lt;=" &amp; Games[[#This Row],[Date]])</f>
        <v>26</v>
      </c>
      <c r="D300" s="2" t="s">
        <v>83</v>
      </c>
      <c r="E300" s="2" t="s">
        <v>84</v>
      </c>
      <c r="F300" s="1" t="s">
        <v>67</v>
      </c>
      <c r="G300" s="1" t="s">
        <v>76</v>
      </c>
      <c r="H300" s="1" t="s">
        <v>85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0" s="2">
        <f>Games[[#This Row],[DaysOff]]-Games[[#This Row],[OppDaysOff]]</f>
        <v>-2</v>
      </c>
      <c r="L300" s="2">
        <f>Games[[#This Row],[OppDaysOff]]-Games[[#This Row],[DaysOff]]</f>
        <v>2</v>
      </c>
      <c r="M300" s="1">
        <f>MAX(-16, MIN(16, Games[[#This Row],[RestDiff]]*8))</f>
        <v>-16</v>
      </c>
      <c r="N300" s="1">
        <f>MAX(-16, MIN(16, Games[[#This Row],[OppRestDiff]]*8))</f>
        <v>16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1666.1618593908602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1424.4199679016349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0.67344952378989731</v>
      </c>
      <c r="R300" s="1">
        <v>76</v>
      </c>
      <c r="S300" s="1">
        <v>65</v>
      </c>
      <c r="T300" s="1">
        <v>0</v>
      </c>
      <c r="U300" s="1">
        <f>Games[[#This Row],[PointsFor]]-Games[[#This Row],[PointsAgainst]]</f>
        <v>11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0.36608713905369805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72.099999999999994</v>
      </c>
      <c r="Z300" s="4">
        <f>Games[[#This Row],[K]]*Games[[#This Row],[POMult]]</f>
        <v>72.099999999999994</v>
      </c>
      <c r="AA300" s="4">
        <f>(Games[[#This Row],[Keff]]*Games[[#This Row],[MOVMult]])*(Games[[#This Row],[Result]]-Games[[#This Row],[ExpectedWin%]])</f>
        <v>8.6192615236105379</v>
      </c>
      <c r="AB300" s="4">
        <f>Games[[#This Row],[PreGmRate]]+Games[[#This Row],[RatingChange]]</f>
        <v>1674.7811209144706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41847</v>
      </c>
      <c r="B301" s="2">
        <v>2014</v>
      </c>
      <c r="C301" s="2">
        <f>COUNTIFS(Games[Team],Games[[#This Row],[Team]],Games[Season],Games[[#This Row],[Season]],Games[Date],"&lt;=" &amp; Games[[#This Row],[Date]])</f>
        <v>26</v>
      </c>
      <c r="D301" s="2" t="s">
        <v>83</v>
      </c>
      <c r="E301" s="2" t="s">
        <v>84</v>
      </c>
      <c r="F301" s="1" t="s">
        <v>76</v>
      </c>
      <c r="G301" s="1" t="s">
        <v>67</v>
      </c>
      <c r="H301" s="1" t="s">
        <v>86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2</v>
      </c>
      <c r="L301" s="2">
        <f>Games[[#This Row],[OppDaysOff]]-Games[[#This Row],[DaysOff]]</f>
        <v>-2</v>
      </c>
      <c r="M301" s="1">
        <f>MAX(-16, MIN(16, Games[[#This Row],[RestDiff]]*8))</f>
        <v>16</v>
      </c>
      <c r="N301" s="1">
        <f>MAX(-16, MIN(16, Games[[#This Row],[OppRestDiff]]*8))</f>
        <v>-16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1424.4199679016349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1666.1618593908602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0.32655047621010269</v>
      </c>
      <c r="R301" s="1">
        <v>65</v>
      </c>
      <c r="S301" s="1">
        <v>76</v>
      </c>
      <c r="T301" s="1">
        <v>0</v>
      </c>
      <c r="U301" s="1">
        <f>Games[[#This Row],[PointsFor]]-Games[[#This Row],[PointsAgainst]]</f>
        <v>-11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0.36608713905369805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72.099999999999994</v>
      </c>
      <c r="Z301" s="4">
        <f>Games[[#This Row],[K]]*Games[[#This Row],[POMult]]</f>
        <v>72.099999999999994</v>
      </c>
      <c r="AA301" s="4">
        <f>(Games[[#This Row],[Keff]]*Games[[#This Row],[MOVMult]])*(Games[[#This Row],[Result]]-Games[[#This Row],[ExpectedWin%]])</f>
        <v>-8.6192615236105379</v>
      </c>
      <c r="AB301" s="4">
        <f>Games[[#This Row],[PreGmRate]]+Games[[#This Row],[RatingChange]]</f>
        <v>1415.8007063780244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41847</v>
      </c>
      <c r="B302" s="2">
        <v>2014</v>
      </c>
      <c r="C302" s="2">
        <f>COUNTIFS(Games[Team],Games[[#This Row],[Team]],Games[Season],Games[[#This Row],[Season]],Games[Date],"&lt;=" &amp; Games[[#This Row],[Date]])</f>
        <v>25</v>
      </c>
      <c r="D302" s="2" t="s">
        <v>83</v>
      </c>
      <c r="E302" s="2" t="s">
        <v>84</v>
      </c>
      <c r="F302" s="1" t="s">
        <v>77</v>
      </c>
      <c r="G302" s="1" t="s">
        <v>81</v>
      </c>
      <c r="H302" s="1" t="s">
        <v>85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1451.0676694799738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1406.4732111323926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0.44353278544473995</v>
      </c>
      <c r="R302" s="1">
        <v>69</v>
      </c>
      <c r="S302" s="1">
        <v>79</v>
      </c>
      <c r="T302" s="1">
        <v>0</v>
      </c>
      <c r="U302" s="1">
        <f>Games[[#This Row],[PointsFor]]-Games[[#This Row],[PointsAgainst]]</f>
        <v>-10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0.40796874499415331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-13.073457875059329</v>
      </c>
      <c r="AB302" s="4">
        <f>Games[[#This Row],[PreGmRate]]+Games[[#This Row],[RatingChange]]</f>
        <v>1437.9942116049144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41847</v>
      </c>
      <c r="B303" s="2">
        <v>2014</v>
      </c>
      <c r="C303" s="2">
        <f>COUNTIFS(Games[Team],Games[[#This Row],[Team]],Games[Season],Games[[#This Row],[Season]],Games[Date],"&lt;=" &amp; Games[[#This Row],[Date]])</f>
        <v>26</v>
      </c>
      <c r="D303" s="2" t="s">
        <v>83</v>
      </c>
      <c r="E303" s="2" t="s">
        <v>84</v>
      </c>
      <c r="F303" s="1" t="s">
        <v>81</v>
      </c>
      <c r="G303" s="1" t="s">
        <v>77</v>
      </c>
      <c r="H303" s="1" t="s">
        <v>86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1406.4732111323926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1451.0676694799738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0.55646721455526005</v>
      </c>
      <c r="R303" s="1">
        <v>79</v>
      </c>
      <c r="S303" s="1">
        <v>69</v>
      </c>
      <c r="T303" s="1">
        <v>0</v>
      </c>
      <c r="U303" s="1">
        <f>Games[[#This Row],[PointsFor]]-Games[[#This Row],[PointsAgainst]]</f>
        <v>10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0.40796874499415331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72.099999999999994</v>
      </c>
      <c r="Z303" s="4">
        <f>Games[[#This Row],[K]]*Games[[#This Row],[POMult]]</f>
        <v>72.099999999999994</v>
      </c>
      <c r="AA303" s="4">
        <f>(Games[[#This Row],[Keff]]*Games[[#This Row],[MOVMult]])*(Games[[#This Row],[Result]]-Games[[#This Row],[ExpectedWin%]])</f>
        <v>13.046315747983082</v>
      </c>
      <c r="AB303" s="4">
        <f>Games[[#This Row],[PreGmRate]]+Games[[#This Row],[RatingChange]]</f>
        <v>1419.5195268803757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41847</v>
      </c>
      <c r="B304" s="2">
        <v>2014</v>
      </c>
      <c r="C304" s="2">
        <f>COUNTIFS(Games[Team],Games[[#This Row],[Team]],Games[Season],Games[[#This Row],[Season]],Games[Date],"&lt;=" &amp; Games[[#This Row],[Date]])</f>
        <v>24</v>
      </c>
      <c r="D304" s="2" t="s">
        <v>83</v>
      </c>
      <c r="E304" s="2" t="s">
        <v>84</v>
      </c>
      <c r="F304" s="1" t="s">
        <v>79</v>
      </c>
      <c r="G304" s="1" t="s">
        <v>65</v>
      </c>
      <c r="H304" s="1" t="s">
        <v>85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1558.3958305905239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1498.8072847543569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0.46492679004570114</v>
      </c>
      <c r="R304" s="1">
        <v>67</v>
      </c>
      <c r="S304" s="1">
        <v>77</v>
      </c>
      <c r="T304" s="1">
        <v>0</v>
      </c>
      <c r="U304" s="1">
        <f>Games[[#This Row],[PointsFor]]-Games[[#This Row],[PointsAgainst]]</f>
        <v>-10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0.40311230272554721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72.400000000000006</v>
      </c>
      <c r="Z304" s="4">
        <f>Games[[#This Row],[K]]*Games[[#This Row],[POMult]]</f>
        <v>72.400000000000006</v>
      </c>
      <c r="AA304" s="4">
        <f>(Games[[#This Row],[Keff]]*Games[[#This Row],[MOVMult]])*(Games[[#This Row],[Result]]-Games[[#This Row],[ExpectedWin%]])</f>
        <v>-13.569042126830261</v>
      </c>
      <c r="AB304" s="4">
        <f>Games[[#This Row],[PreGmRate]]+Games[[#This Row],[RatingChange]]</f>
        <v>1544.8267884636937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41847</v>
      </c>
      <c r="B305" s="2">
        <v>2014</v>
      </c>
      <c r="C305" s="2">
        <f>COUNTIFS(Games[Team],Games[[#This Row],[Team]],Games[Season],Games[[#This Row],[Season]],Games[Date],"&lt;=" &amp; Games[[#This Row],[Date]])</f>
        <v>26</v>
      </c>
      <c r="D305" s="2" t="s">
        <v>83</v>
      </c>
      <c r="E305" s="2" t="s">
        <v>84</v>
      </c>
      <c r="F305" s="1" t="s">
        <v>65</v>
      </c>
      <c r="G305" s="1" t="s">
        <v>79</v>
      </c>
      <c r="H305" s="1" t="s">
        <v>86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1498.8072847543569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1558.3958305905239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0.53507320995429897</v>
      </c>
      <c r="R305" s="1">
        <v>77</v>
      </c>
      <c r="S305" s="1">
        <v>67</v>
      </c>
      <c r="T305" s="1">
        <v>0</v>
      </c>
      <c r="U305" s="1">
        <f>Games[[#This Row],[PointsFor]]-Games[[#This Row],[PointsAgainst]]</f>
        <v>10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0.40311230272554721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72.099999999999994</v>
      </c>
      <c r="Z305" s="4">
        <f>Games[[#This Row],[K]]*Games[[#This Row],[POMult]]</f>
        <v>72.099999999999994</v>
      </c>
      <c r="AA305" s="4">
        <f>(Games[[#This Row],[Keff]]*Games[[#This Row],[MOVMult]])*(Games[[#This Row],[Result]]-Games[[#This Row],[ExpectedWin%]])</f>
        <v>13.512816814150019</v>
      </c>
      <c r="AB305" s="4">
        <f>Games[[#This Row],[PreGmRate]]+Games[[#This Row],[RatingChange]]</f>
        <v>1512.320101568507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41848</v>
      </c>
      <c r="B306" s="2">
        <v>2014</v>
      </c>
      <c r="C306" s="2">
        <f>COUNTIFS(Games[Team],Games[[#This Row],[Team]],Games[Season],Games[[#This Row],[Season]],Games[Date],"&lt;=" &amp; Games[[#This Row],[Date]])</f>
        <v>26</v>
      </c>
      <c r="D306" s="2" t="s">
        <v>83</v>
      </c>
      <c r="E306" s="2" t="s">
        <v>84</v>
      </c>
      <c r="F306" s="1" t="s">
        <v>69</v>
      </c>
      <c r="G306" s="1" t="s">
        <v>63</v>
      </c>
      <c r="H306" s="1" t="s">
        <v>85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1488.2668641181747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1528.7361174586583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0.3281635946614419</v>
      </c>
      <c r="R306" s="1">
        <v>73</v>
      </c>
      <c r="S306" s="1">
        <v>77</v>
      </c>
      <c r="T306" s="1">
        <v>0</v>
      </c>
      <c r="U306" s="1">
        <f>Games[[#This Row],[PointsFor]]-Games[[#This Row],[PointsAgainst]]</f>
        <v>-4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0.30127250705993669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-7.1282868269295934</v>
      </c>
      <c r="AB306" s="4">
        <f>Games[[#This Row],[PreGmRate]]+Games[[#This Row],[RatingChange]]</f>
        <v>1481.1385772912452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41848</v>
      </c>
      <c r="B307" s="2">
        <v>2014</v>
      </c>
      <c r="C307" s="2">
        <f>COUNTIFS(Games[Team],Games[[#This Row],[Team]],Games[Season],Games[[#This Row],[Season]],Games[Date],"&lt;=" &amp; Games[[#This Row],[Date]])</f>
        <v>26</v>
      </c>
      <c r="D307" s="2" t="s">
        <v>83</v>
      </c>
      <c r="E307" s="2" t="s">
        <v>84</v>
      </c>
      <c r="F307" s="1" t="s">
        <v>63</v>
      </c>
      <c r="G307" s="1" t="s">
        <v>69</v>
      </c>
      <c r="H307" s="1" t="s">
        <v>86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1528.7361174586583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1488.2668641181747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0.67183640533855815</v>
      </c>
      <c r="R307" s="1">
        <v>77</v>
      </c>
      <c r="S307" s="1">
        <v>73</v>
      </c>
      <c r="T307" s="1">
        <v>0</v>
      </c>
      <c r="U307" s="1">
        <f>Games[[#This Row],[PointsFor]]-Games[[#This Row],[PointsAgainst]]</f>
        <v>4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0.30127250705993669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72.099999999999994</v>
      </c>
      <c r="Z307" s="4">
        <f>Games[[#This Row],[K]]*Games[[#This Row],[POMult]]</f>
        <v>72.099999999999994</v>
      </c>
      <c r="AA307" s="4">
        <f>(Games[[#This Row],[Keff]]*Games[[#This Row],[MOVMult]])*(Games[[#This Row],[Result]]-Games[[#This Row],[ExpectedWin%]])</f>
        <v>7.1282868269295925</v>
      </c>
      <c r="AB307" s="4">
        <f>Games[[#This Row],[PreGmRate]]+Games[[#This Row],[RatingChange]]</f>
        <v>1535.8644042855879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41849</v>
      </c>
      <c r="B308" s="2">
        <v>2014</v>
      </c>
      <c r="C308" s="2">
        <f>COUNTIFS(Games[Team],Games[[#This Row],[Team]],Games[Season],Games[[#This Row],[Season]],Games[Date],"&lt;=" &amp; Games[[#This Row],[Date]])</f>
        <v>27</v>
      </c>
      <c r="D308" s="2" t="s">
        <v>83</v>
      </c>
      <c r="E308" s="2" t="s">
        <v>84</v>
      </c>
      <c r="F308" s="1" t="s">
        <v>76</v>
      </c>
      <c r="G308" s="1" t="s">
        <v>79</v>
      </c>
      <c r="H308" s="1" t="s">
        <v>85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1415.8007063780244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1544.8267884636937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0.22683375416255405</v>
      </c>
      <c r="R308" s="1">
        <v>80</v>
      </c>
      <c r="S308" s="1">
        <v>89</v>
      </c>
      <c r="T308" s="1">
        <v>0</v>
      </c>
      <c r="U308" s="1">
        <f>Games[[#This Row],[PointsFor]]-Games[[#This Row],[PointsAgainst]]</f>
        <v>-9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0.36655851916176962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71.95</v>
      </c>
      <c r="Z308" s="4">
        <f>Games[[#This Row],[K]]*Games[[#This Row],[POMult]]</f>
        <v>71.95</v>
      </c>
      <c r="AA308" s="4">
        <f>(Games[[#This Row],[Keff]]*Games[[#This Row],[MOVMult]])*(Games[[#This Row],[Result]]-Games[[#This Row],[ExpectedWin%]])</f>
        <v>-5.9824874493135249</v>
      </c>
      <c r="AB308" s="4">
        <f>Games[[#This Row],[PreGmRate]]+Games[[#This Row],[RatingChange]]</f>
        <v>1409.8182189287108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41849</v>
      </c>
      <c r="B309" s="2">
        <v>2014</v>
      </c>
      <c r="C309" s="2">
        <f>COUNTIFS(Games[Team],Games[[#This Row],[Team]],Games[Season],Games[[#This Row],[Season]],Games[Date],"&lt;=" &amp; Games[[#This Row],[Date]])</f>
        <v>25</v>
      </c>
      <c r="D309" s="2" t="s">
        <v>83</v>
      </c>
      <c r="E309" s="2" t="s">
        <v>84</v>
      </c>
      <c r="F309" s="1" t="s">
        <v>79</v>
      </c>
      <c r="G309" s="1" t="s">
        <v>76</v>
      </c>
      <c r="H309" s="1" t="s">
        <v>86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1544.8267884636937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1415.8007063780244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0.77316624583744598</v>
      </c>
      <c r="R309" s="1">
        <v>89</v>
      </c>
      <c r="S309" s="1">
        <v>80</v>
      </c>
      <c r="T309" s="1">
        <v>0</v>
      </c>
      <c r="U309" s="1">
        <f>Games[[#This Row],[PointsFor]]-Games[[#This Row],[PointsAgainst]]</f>
        <v>9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0.36655851916176962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72.25</v>
      </c>
      <c r="Z309" s="4">
        <f>Games[[#This Row],[K]]*Games[[#This Row],[POMult]]</f>
        <v>72.25</v>
      </c>
      <c r="AA309" s="4">
        <f>(Games[[#This Row],[Keff]]*Games[[#This Row],[MOVMult]])*(Games[[#This Row],[Result]]-Games[[#This Row],[ExpectedWin%]])</f>
        <v>6.0074318028200429</v>
      </c>
      <c r="AB309" s="4">
        <f>Games[[#This Row],[PreGmRate]]+Games[[#This Row],[RatingChange]]</f>
        <v>1550.8342202665137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41849</v>
      </c>
      <c r="B310" s="2">
        <v>2014</v>
      </c>
      <c r="C310" s="2">
        <f>COUNTIFS(Games[Team],Games[[#This Row],[Team]],Games[Season],Games[[#This Row],[Season]],Games[Date],"&lt;=" &amp; Games[[#This Row],[Date]])</f>
        <v>27</v>
      </c>
      <c r="D310" s="2" t="s">
        <v>83</v>
      </c>
      <c r="E310" s="2" t="s">
        <v>84</v>
      </c>
      <c r="F310" s="1" t="s">
        <v>65</v>
      </c>
      <c r="G310" s="1" t="s">
        <v>60</v>
      </c>
      <c r="H310" s="1" t="s">
        <v>85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0" s="2">
        <f>Games[[#This Row],[DaysOff]]-Games[[#This Row],[OppDaysOff]]</f>
        <v>-1</v>
      </c>
      <c r="L310" s="2">
        <f>Games[[#This Row],[OppDaysOff]]-Games[[#This Row],[DaysOff]]</f>
        <v>1</v>
      </c>
      <c r="M310" s="1">
        <f>MAX(-16, MIN(16, Games[[#This Row],[RestDiff]]*8))</f>
        <v>-8</v>
      </c>
      <c r="N310" s="1">
        <f>MAX(-16, MIN(16, Games[[#This Row],[OppRestDiff]]*8))</f>
        <v>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1512.320101568507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1430.9263562606695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0.47324901554303106</v>
      </c>
      <c r="R310" s="1">
        <v>76</v>
      </c>
      <c r="S310" s="1">
        <v>80</v>
      </c>
      <c r="T310" s="1">
        <v>1</v>
      </c>
      <c r="U310" s="1">
        <f>Games[[#This Row],[PointsFor]]-Games[[#This Row],[PointsAgainst]]</f>
        <v>-4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0.26248555912483157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71.95</v>
      </c>
      <c r="Z310" s="4">
        <f>Games[[#This Row],[K]]*Games[[#This Row],[POMult]]</f>
        <v>71.95</v>
      </c>
      <c r="AA310" s="4">
        <f>(Games[[#This Row],[Keff]]*Games[[#This Row],[MOVMult]])*(Games[[#This Row],[Result]]-Games[[#This Row],[ExpectedWin%]])</f>
        <v>-8.9377032847838755</v>
      </c>
      <c r="AB310" s="4">
        <f>Games[[#This Row],[PreGmRate]]+Games[[#This Row],[RatingChange]]</f>
        <v>1503.3823982837232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41849</v>
      </c>
      <c r="B311" s="2">
        <v>2014</v>
      </c>
      <c r="C311" s="2">
        <f>COUNTIFS(Games[Team],Games[[#This Row],[Team]],Games[Season],Games[[#This Row],[Season]],Games[Date],"&lt;=" &amp; Games[[#This Row],[Date]])</f>
        <v>25</v>
      </c>
      <c r="D311" s="2" t="s">
        <v>83</v>
      </c>
      <c r="E311" s="2" t="s">
        <v>84</v>
      </c>
      <c r="F311" s="1" t="s">
        <v>60</v>
      </c>
      <c r="G311" s="1" t="s">
        <v>65</v>
      </c>
      <c r="H311" s="1" t="s">
        <v>86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1</v>
      </c>
      <c r="L311" s="2">
        <f>Games[[#This Row],[OppDaysOff]]-Games[[#This Row],[DaysOff]]</f>
        <v>-1</v>
      </c>
      <c r="M311" s="1">
        <f>MAX(-16, MIN(16, Games[[#This Row],[RestDiff]]*8))</f>
        <v>8</v>
      </c>
      <c r="N311" s="1">
        <f>MAX(-16, MIN(16, Games[[#This Row],[OppRestDiff]]*8))</f>
        <v>-8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1430.9263562606695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1512.320101568507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0.526750984456969</v>
      </c>
      <c r="R311" s="1">
        <v>80</v>
      </c>
      <c r="S311" s="1">
        <v>76</v>
      </c>
      <c r="T311" s="1">
        <v>1</v>
      </c>
      <c r="U311" s="1">
        <f>Games[[#This Row],[PointsFor]]-Games[[#This Row],[PointsAgainst]]</f>
        <v>4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0.26248555912483157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72.25</v>
      </c>
      <c r="Z311" s="4">
        <f>Games[[#This Row],[K]]*Games[[#This Row],[POMult]]</f>
        <v>72.25</v>
      </c>
      <c r="AA311" s="4">
        <f>(Games[[#This Row],[Keff]]*Games[[#This Row],[MOVMult]])*(Games[[#This Row],[Result]]-Games[[#This Row],[ExpectedWin%]])</f>
        <v>8.9749695945189014</v>
      </c>
      <c r="AB311" s="4">
        <f>Games[[#This Row],[PreGmRate]]+Games[[#This Row],[RatingChange]]</f>
        <v>1439.9013258551884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41849</v>
      </c>
      <c r="B312" s="2">
        <v>2014</v>
      </c>
      <c r="C312" s="2">
        <f>COUNTIFS(Games[Team],Games[[#This Row],[Team]],Games[Season],Games[[#This Row],[Season]],Games[Date],"&lt;=" &amp; Games[[#This Row],[Date]])</f>
        <v>27</v>
      </c>
      <c r="D312" s="2" t="s">
        <v>83</v>
      </c>
      <c r="E312" s="2" t="s">
        <v>84</v>
      </c>
      <c r="F312" s="1" t="s">
        <v>63</v>
      </c>
      <c r="G312" s="1" t="s">
        <v>40</v>
      </c>
      <c r="H312" s="1" t="s">
        <v>85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-2</v>
      </c>
      <c r="L312" s="2">
        <f>Games[[#This Row],[OppDaysOff]]-Games[[#This Row],[DaysOff]]</f>
        <v>2</v>
      </c>
      <c r="M312" s="1">
        <f>MAX(-16, MIN(16, Games[[#This Row],[RestDiff]]*8))</f>
        <v>-16</v>
      </c>
      <c r="N312" s="1">
        <f>MAX(-16, MIN(16, Games[[#This Row],[OppRestDiff]]*8))</f>
        <v>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1535.8644042855879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1690.862512695137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0.17364800854203069</v>
      </c>
      <c r="R312" s="1">
        <v>69</v>
      </c>
      <c r="S312" s="1">
        <v>90</v>
      </c>
      <c r="T312" s="1">
        <v>0</v>
      </c>
      <c r="U312" s="1">
        <f>Games[[#This Row],[PointsFor]]-Games[[#This Row],[PointsAgainst]]</f>
        <v>-21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0.52124910207727571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71.95</v>
      </c>
      <c r="Z312" s="4">
        <f>Games[[#This Row],[K]]*Games[[#This Row],[POMult]]</f>
        <v>71.95</v>
      </c>
      <c r="AA312" s="4">
        <f>(Games[[#This Row],[Keff]]*Games[[#This Row],[MOVMult]])*(Games[[#This Row],[Result]]-Games[[#This Row],[ExpectedWin%]])</f>
        <v>-6.5124728407364216</v>
      </c>
      <c r="AB312" s="4">
        <f>Games[[#This Row],[PreGmRate]]+Games[[#This Row],[RatingChange]]</f>
        <v>1529.3519314448515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41849</v>
      </c>
      <c r="B313" s="2">
        <v>2014</v>
      </c>
      <c r="C313" s="2">
        <f>COUNTIFS(Games[Team],Games[[#This Row],[Team]],Games[Season],Games[[#This Row],[Season]],Games[Date],"&lt;=" &amp; Games[[#This Row],[Date]])</f>
        <v>25</v>
      </c>
      <c r="D313" s="2" t="s">
        <v>83</v>
      </c>
      <c r="E313" s="2" t="s">
        <v>84</v>
      </c>
      <c r="F313" s="1" t="s">
        <v>40</v>
      </c>
      <c r="G313" s="1" t="s">
        <v>63</v>
      </c>
      <c r="H313" s="1" t="s">
        <v>86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3" s="2">
        <f>Games[[#This Row],[DaysOff]]-Games[[#This Row],[OppDaysOff]]</f>
        <v>2</v>
      </c>
      <c r="L313" s="2">
        <f>Games[[#This Row],[OppDaysOff]]-Games[[#This Row],[DaysOff]]</f>
        <v>-2</v>
      </c>
      <c r="M313" s="1">
        <f>MAX(-16, MIN(16, Games[[#This Row],[RestDiff]]*8))</f>
        <v>16</v>
      </c>
      <c r="N313" s="1">
        <f>MAX(-16, MIN(16, Games[[#This Row],[OppRestDiff]]*8))</f>
        <v>-16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1690.862512695137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1535.8644042855879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0.82635199145796934</v>
      </c>
      <c r="R313" s="1">
        <v>90</v>
      </c>
      <c r="S313" s="1">
        <v>69</v>
      </c>
      <c r="T313" s="1">
        <v>0</v>
      </c>
      <c r="U313" s="1">
        <f>Games[[#This Row],[PointsFor]]-Games[[#This Row],[PointsAgainst]]</f>
        <v>21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0.52124910207727571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72.25</v>
      </c>
      <c r="Z313" s="4">
        <f>Games[[#This Row],[K]]*Games[[#This Row],[POMult]]</f>
        <v>72.25</v>
      </c>
      <c r="AA313" s="4">
        <f>(Games[[#This Row],[Keff]]*Games[[#This Row],[MOVMult]])*(Games[[#This Row],[Result]]-Games[[#This Row],[ExpectedWin%]])</f>
        <v>6.5396270012954325</v>
      </c>
      <c r="AB313" s="4">
        <f>Games[[#This Row],[PreGmRate]]+Games[[#This Row],[RatingChange]]</f>
        <v>1697.4021396964324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41849</v>
      </c>
      <c r="B314" s="2">
        <v>2014</v>
      </c>
      <c r="C314" s="2">
        <f>COUNTIFS(Games[Team],Games[[#This Row],[Team]],Games[Season],Games[[#This Row],[Season]],Games[Date],"&lt;=" &amp; Games[[#This Row],[Date]])</f>
        <v>26</v>
      </c>
      <c r="D314" s="2" t="s">
        <v>83</v>
      </c>
      <c r="E314" s="2" t="s">
        <v>84</v>
      </c>
      <c r="F314" s="1" t="s">
        <v>77</v>
      </c>
      <c r="G314" s="1" t="s">
        <v>74</v>
      </c>
      <c r="H314" s="1" t="s">
        <v>85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4" s="2">
        <f>Games[[#This Row],[DaysOff]]-Games[[#This Row],[OppDaysOff]]</f>
        <v>-1</v>
      </c>
      <c r="L314" s="2">
        <f>Games[[#This Row],[OppDaysOff]]-Games[[#This Row],[DaysOff]]</f>
        <v>1</v>
      </c>
      <c r="M314" s="1">
        <f>MAX(-16, MIN(16, Games[[#This Row],[RestDiff]]*8))</f>
        <v>-8</v>
      </c>
      <c r="N314" s="1">
        <f>MAX(-16, MIN(16, Games[[#This Row],[OppRestDiff]]*8))</f>
        <v>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1437.9942116049144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1449.7442545213912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0.34450434825083009</v>
      </c>
      <c r="R314" s="1">
        <v>74</v>
      </c>
      <c r="S314" s="1">
        <v>92</v>
      </c>
      <c r="T314" s="1">
        <v>0</v>
      </c>
      <c r="U314" s="1">
        <f>Games[[#This Row],[PointsFor]]-Games[[#This Row],[PointsAgainst]]</f>
        <v>-18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0.54153141762819479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-13.450970815097884</v>
      </c>
      <c r="AB314" s="4">
        <f>Games[[#This Row],[PreGmRate]]+Games[[#This Row],[RatingChange]]</f>
        <v>1424.5432407898165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41849</v>
      </c>
      <c r="B315" s="2">
        <v>2014</v>
      </c>
      <c r="C315" s="2">
        <f>COUNTIFS(Games[Team],Games[[#This Row],[Team]],Games[Season],Games[[#This Row],[Season]],Games[Date],"&lt;=" &amp; Games[[#This Row],[Date]])</f>
        <v>27</v>
      </c>
      <c r="D315" s="2" t="s">
        <v>83</v>
      </c>
      <c r="E315" s="2" t="s">
        <v>84</v>
      </c>
      <c r="F315" s="1" t="s">
        <v>74</v>
      </c>
      <c r="G315" s="1" t="s">
        <v>77</v>
      </c>
      <c r="H315" s="1" t="s">
        <v>86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1</v>
      </c>
      <c r="L315" s="2">
        <f>Games[[#This Row],[OppDaysOff]]-Games[[#This Row],[DaysOff]]</f>
        <v>-1</v>
      </c>
      <c r="M315" s="1">
        <f>MAX(-16, MIN(16, Games[[#This Row],[RestDiff]]*8))</f>
        <v>8</v>
      </c>
      <c r="N315" s="1">
        <f>MAX(-16, MIN(16, Games[[#This Row],[OppRestDiff]]*8))</f>
        <v>-8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1449.7442545213912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1437.9942116049144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0.65549565174916991</v>
      </c>
      <c r="R315" s="1">
        <v>92</v>
      </c>
      <c r="S315" s="1">
        <v>74</v>
      </c>
      <c r="T315" s="1">
        <v>0</v>
      </c>
      <c r="U315" s="1">
        <f>Games[[#This Row],[PointsFor]]-Games[[#This Row],[PointsAgainst]]</f>
        <v>18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0.54153141762819479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71.95</v>
      </c>
      <c r="Z315" s="4">
        <f>Games[[#This Row],[K]]*Games[[#This Row],[POMult]]</f>
        <v>71.95</v>
      </c>
      <c r="AA315" s="4">
        <f>(Games[[#This Row],[Keff]]*Games[[#This Row],[MOVMult]])*(Games[[#This Row],[Result]]-Games[[#This Row],[ExpectedWin%]])</f>
        <v>13.422986825884784</v>
      </c>
      <c r="AB315" s="4">
        <f>Games[[#This Row],[PreGmRate]]+Games[[#This Row],[RatingChange]]</f>
        <v>1463.1672413472761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41849</v>
      </c>
      <c r="B316" s="2">
        <v>2014</v>
      </c>
      <c r="C316" s="2">
        <f>COUNTIFS(Games[Team],Games[[#This Row],[Team]],Games[Season],Games[[#This Row],[Season]],Games[Date],"&lt;=" &amp; Games[[#This Row],[Date]])</f>
        <v>28</v>
      </c>
      <c r="D316" s="2" t="s">
        <v>83</v>
      </c>
      <c r="E316" s="2" t="s">
        <v>84</v>
      </c>
      <c r="F316" s="1" t="s">
        <v>71</v>
      </c>
      <c r="G316" s="1" t="s">
        <v>81</v>
      </c>
      <c r="H316" s="1" t="s">
        <v>85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1</v>
      </c>
      <c r="L316" s="2">
        <f>Games[[#This Row],[OppDaysOff]]-Games[[#This Row],[DaysOff]]</f>
        <v>-1</v>
      </c>
      <c r="M316" s="1">
        <f>MAX(-16, MIN(16, Games[[#This Row],[RestDiff]]*8))</f>
        <v>8</v>
      </c>
      <c r="N316" s="1">
        <f>MAX(-16, MIN(16, Games[[#This Row],[OppRestDiff]]*8))</f>
        <v>-8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1408.6453842435703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1419.5195268803757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0.38840158561515276</v>
      </c>
      <c r="R316" s="1">
        <v>74</v>
      </c>
      <c r="S316" s="1">
        <v>80</v>
      </c>
      <c r="T316" s="1">
        <v>0</v>
      </c>
      <c r="U316" s="1">
        <f>Games[[#This Row],[PointsFor]]-Games[[#This Row],[PointsAgainst]]</f>
        <v>-6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0.34812611688217998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71.8</v>
      </c>
      <c r="Z316" s="4">
        <f>Games[[#This Row],[K]]*Games[[#This Row],[POMult]]</f>
        <v>71.8</v>
      </c>
      <c r="AA316" s="4">
        <f>(Games[[#This Row],[Keff]]*Games[[#This Row],[MOVMult]])*(Games[[#This Row],[Result]]-Games[[#This Row],[ExpectedWin%]])</f>
        <v>-9.7082744297998822</v>
      </c>
      <c r="AB316" s="4">
        <f>Games[[#This Row],[PreGmRate]]+Games[[#This Row],[RatingChange]]</f>
        <v>1398.9371098137703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41849</v>
      </c>
      <c r="B317" s="2">
        <v>2014</v>
      </c>
      <c r="C317" s="2">
        <f>COUNTIFS(Games[Team],Games[[#This Row],[Team]],Games[Season],Games[[#This Row],[Season]],Games[Date],"&lt;=" &amp; Games[[#This Row],[Date]])</f>
        <v>27</v>
      </c>
      <c r="D317" s="2" t="s">
        <v>83</v>
      </c>
      <c r="E317" s="2" t="s">
        <v>84</v>
      </c>
      <c r="F317" s="1" t="s">
        <v>81</v>
      </c>
      <c r="G317" s="1" t="s">
        <v>71</v>
      </c>
      <c r="H317" s="1" t="s">
        <v>86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7" s="2">
        <f>Games[[#This Row],[DaysOff]]-Games[[#This Row],[OppDaysOff]]</f>
        <v>-1</v>
      </c>
      <c r="L317" s="2">
        <f>Games[[#This Row],[OppDaysOff]]-Games[[#This Row],[DaysOff]]</f>
        <v>1</v>
      </c>
      <c r="M317" s="1">
        <f>MAX(-16, MIN(16, Games[[#This Row],[RestDiff]]*8))</f>
        <v>-8</v>
      </c>
      <c r="N317" s="1">
        <f>MAX(-16, MIN(16, Games[[#This Row],[OppRestDiff]]*8))</f>
        <v>8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1419.5195268803757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1408.6453842435703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0.6115984143848473</v>
      </c>
      <c r="R317" s="1">
        <v>80</v>
      </c>
      <c r="S317" s="1">
        <v>74</v>
      </c>
      <c r="T317" s="1">
        <v>0</v>
      </c>
      <c r="U317" s="1">
        <f>Games[[#This Row],[PointsFor]]-Games[[#This Row],[PointsAgainst]]</f>
        <v>6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0.34812611688217998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71.95</v>
      </c>
      <c r="Z317" s="4">
        <f>Games[[#This Row],[K]]*Games[[#This Row],[POMult]]</f>
        <v>71.95</v>
      </c>
      <c r="AA317" s="4">
        <f>(Games[[#This Row],[Keff]]*Games[[#This Row],[MOVMult]])*(Games[[#This Row],[Result]]-Games[[#This Row],[ExpectedWin%]])</f>
        <v>9.7285563401685433</v>
      </c>
      <c r="AB317" s="4">
        <f>Games[[#This Row],[PreGmRate]]+Games[[#This Row],[RatingChange]]</f>
        <v>1429.2480832205442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41851</v>
      </c>
      <c r="B318" s="2">
        <v>2014</v>
      </c>
      <c r="C318" s="2">
        <f>COUNTIFS(Games[Team],Games[[#This Row],[Team]],Games[Season],Games[[#This Row],[Season]],Games[Date],"&lt;=" &amp; Games[[#This Row],[Date]])</f>
        <v>26</v>
      </c>
      <c r="D318" s="2" t="s">
        <v>83</v>
      </c>
      <c r="E318" s="2" t="s">
        <v>84</v>
      </c>
      <c r="F318" s="1" t="s">
        <v>60</v>
      </c>
      <c r="G318" s="1" t="s">
        <v>77</v>
      </c>
      <c r="H318" s="1" t="s">
        <v>85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1439.9013258551884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1424.5432407898165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0.40248185770327549</v>
      </c>
      <c r="R318" s="1">
        <v>74</v>
      </c>
      <c r="S318" s="1">
        <v>87</v>
      </c>
      <c r="T318" s="1">
        <v>0</v>
      </c>
      <c r="U318" s="1">
        <f>Games[[#This Row],[PointsFor]]-Games[[#This Row],[PointsAgainst]]</f>
        <v>-13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0.46607869214649827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72.099999999999994</v>
      </c>
      <c r="Z318" s="4">
        <f>Games[[#This Row],[K]]*Games[[#This Row],[POMult]]</f>
        <v>72.099999999999994</v>
      </c>
      <c r="AA318" s="4">
        <f>(Games[[#This Row],[Keff]]*Games[[#This Row],[MOVMult]])*(Games[[#This Row],[Result]]-Games[[#This Row],[ExpectedWin%]])</f>
        <v>-13.52511050705967</v>
      </c>
      <c r="AB318" s="4">
        <f>Games[[#This Row],[PreGmRate]]+Games[[#This Row],[RatingChange]]</f>
        <v>1426.3762153481287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41851</v>
      </c>
      <c r="B319" s="2">
        <v>2014</v>
      </c>
      <c r="C319" s="2">
        <f>COUNTIFS(Games[Team],Games[[#This Row],[Team]],Games[Season],Games[[#This Row],[Season]],Games[Date],"&lt;=" &amp; Games[[#This Row],[Date]])</f>
        <v>27</v>
      </c>
      <c r="D319" s="2" t="s">
        <v>83</v>
      </c>
      <c r="E319" s="2" t="s">
        <v>84</v>
      </c>
      <c r="F319" s="1" t="s">
        <v>77</v>
      </c>
      <c r="G319" s="1" t="s">
        <v>60</v>
      </c>
      <c r="H319" s="1" t="s">
        <v>86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1424.5432407898165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1439.9013258551884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0.59751814229672451</v>
      </c>
      <c r="R319" s="1">
        <v>87</v>
      </c>
      <c r="S319" s="1">
        <v>74</v>
      </c>
      <c r="T319" s="1">
        <v>0</v>
      </c>
      <c r="U319" s="1">
        <f>Games[[#This Row],[PointsFor]]-Games[[#This Row],[PointsAgainst]]</f>
        <v>13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0.46607869214649827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71.95</v>
      </c>
      <c r="Z319" s="4">
        <f>Games[[#This Row],[K]]*Games[[#This Row],[POMult]]</f>
        <v>71.95</v>
      </c>
      <c r="AA319" s="4">
        <f>(Games[[#This Row],[Keff]]*Games[[#This Row],[MOVMult]])*(Games[[#This Row],[Result]]-Games[[#This Row],[ExpectedWin%]])</f>
        <v>13.496972274382015</v>
      </c>
      <c r="AB319" s="4">
        <f>Games[[#This Row],[PreGmRate]]+Games[[#This Row],[RatingChange]]</f>
        <v>1438.0402130641985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41851</v>
      </c>
      <c r="B320" s="2">
        <v>2014</v>
      </c>
      <c r="C320" s="2">
        <f>COUNTIFS(Games[Team],Games[[#This Row],[Team]],Games[Season],Games[[#This Row],[Season]],Games[Date],"&lt;=" &amp; Games[[#This Row],[Date]])</f>
        <v>26</v>
      </c>
      <c r="D320" s="2" t="s">
        <v>83</v>
      </c>
      <c r="E320" s="2" t="s">
        <v>84</v>
      </c>
      <c r="F320" s="1" t="s">
        <v>40</v>
      </c>
      <c r="G320" s="1" t="s">
        <v>67</v>
      </c>
      <c r="H320" s="1" t="s">
        <v>85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0" s="2">
        <f>Games[[#This Row],[DaysOff]]-Games[[#This Row],[OppDaysOff]]</f>
        <v>-2</v>
      </c>
      <c r="L320" s="2">
        <f>Games[[#This Row],[OppDaysOff]]-Games[[#This Row],[DaysOff]]</f>
        <v>2</v>
      </c>
      <c r="M320" s="1">
        <f>MAX(-16, MIN(16, Games[[#This Row],[RestDiff]]*8))</f>
        <v>-16</v>
      </c>
      <c r="N320" s="1">
        <f>MAX(-16, MIN(16, Games[[#This Row],[OppRestDiff]]*8))</f>
        <v>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1697.4021396964324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1674.7811209144706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0.36876174292888453</v>
      </c>
      <c r="R320" s="1">
        <v>67</v>
      </c>
      <c r="S320" s="1">
        <v>75</v>
      </c>
      <c r="T320" s="1">
        <v>0</v>
      </c>
      <c r="U320" s="1">
        <f>Games[[#This Row],[PointsFor]]-Games[[#This Row],[PointsAgainst]]</f>
        <v>-8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0.38113089407528639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72.099999999999994</v>
      </c>
      <c r="Z320" s="4">
        <f>Games[[#This Row],[K]]*Games[[#This Row],[POMult]]</f>
        <v>72.099999999999994</v>
      </c>
      <c r="AA320" s="4">
        <f>(Games[[#This Row],[Keff]]*Games[[#This Row],[MOVMult]])*(Games[[#This Row],[Result]]-Games[[#This Row],[ExpectedWin%]])</f>
        <v>-10.133402129672085</v>
      </c>
      <c r="AB320" s="4">
        <f>Games[[#This Row],[PreGmRate]]+Games[[#This Row],[RatingChange]]</f>
        <v>1687.2687375667604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41851</v>
      </c>
      <c r="B321" s="2">
        <v>2014</v>
      </c>
      <c r="C321" s="2">
        <f>COUNTIFS(Games[Team],Games[[#This Row],[Team]],Games[Season],Games[[#This Row],[Season]],Games[Date],"&lt;=" &amp; Games[[#This Row],[Date]])</f>
        <v>27</v>
      </c>
      <c r="D321" s="2" t="s">
        <v>83</v>
      </c>
      <c r="E321" s="2" t="s">
        <v>84</v>
      </c>
      <c r="F321" s="1" t="s">
        <v>67</v>
      </c>
      <c r="G321" s="1" t="s">
        <v>40</v>
      </c>
      <c r="H321" s="1" t="s">
        <v>86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2</v>
      </c>
      <c r="L321" s="2">
        <f>Games[[#This Row],[OppDaysOff]]-Games[[#This Row],[DaysOff]]</f>
        <v>-2</v>
      </c>
      <c r="M321" s="1">
        <f>MAX(-16, MIN(16, Games[[#This Row],[RestDiff]]*8))</f>
        <v>16</v>
      </c>
      <c r="N321" s="1">
        <f>MAX(-16, MIN(16, Games[[#This Row],[OppRestDiff]]*8))</f>
        <v>-16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1674.7811209144706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1697.4021396964324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0.63123825707111547</v>
      </c>
      <c r="R321" s="1">
        <v>75</v>
      </c>
      <c r="S321" s="1">
        <v>67</v>
      </c>
      <c r="T321" s="1">
        <v>0</v>
      </c>
      <c r="U321" s="1">
        <f>Games[[#This Row],[PointsFor]]-Games[[#This Row],[PointsAgainst]]</f>
        <v>8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0.38113089407528639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71.95</v>
      </c>
      <c r="Z321" s="4">
        <f>Games[[#This Row],[K]]*Games[[#This Row],[POMult]]</f>
        <v>71.95</v>
      </c>
      <c r="AA321" s="4">
        <f>(Games[[#This Row],[Keff]]*Games[[#This Row],[MOVMult]])*(Games[[#This Row],[Result]]-Games[[#This Row],[ExpectedWin%]])</f>
        <v>10.112320155754599</v>
      </c>
      <c r="AB321" s="4">
        <f>Games[[#This Row],[PreGmRate]]+Games[[#This Row],[RatingChange]]</f>
        <v>1684.8934410702252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41851</v>
      </c>
      <c r="B322" s="2">
        <v>2014</v>
      </c>
      <c r="C322" s="2">
        <f>COUNTIFS(Games[Team],Games[[#This Row],[Team]],Games[Season],Games[[#This Row],[Season]],Games[Date],"&lt;=" &amp; Games[[#This Row],[Date]])</f>
        <v>27</v>
      </c>
      <c r="D322" s="2" t="s">
        <v>83</v>
      </c>
      <c r="E322" s="2" t="s">
        <v>84</v>
      </c>
      <c r="F322" s="1" t="s">
        <v>69</v>
      </c>
      <c r="G322" s="1" t="s">
        <v>71</v>
      </c>
      <c r="H322" s="1" t="s">
        <v>85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1</v>
      </c>
      <c r="L322" s="2">
        <f>Games[[#This Row],[OppDaysOff]]-Games[[#This Row],[DaysOff]]</f>
        <v>-1</v>
      </c>
      <c r="M322" s="1">
        <f>MAX(-16, MIN(16, Games[[#This Row],[RestDiff]]*8))</f>
        <v>8</v>
      </c>
      <c r="N322" s="1">
        <f>MAX(-16, MIN(16, Games[[#This Row],[OppRestDiff]]*8))</f>
        <v>-8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1481.1385772912452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1398.9371098137703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0.52042617998985952</v>
      </c>
      <c r="R322" s="1">
        <v>76</v>
      </c>
      <c r="S322" s="1">
        <v>67</v>
      </c>
      <c r="T322" s="1">
        <v>0</v>
      </c>
      <c r="U322" s="1">
        <f>Games[[#This Row],[PointsFor]]-Games[[#This Row],[PointsAgainst]]</f>
        <v>9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0.37994484091108699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71.95</v>
      </c>
      <c r="Z322" s="4">
        <f>Games[[#This Row],[K]]*Games[[#This Row],[POMult]]</f>
        <v>71.95</v>
      </c>
      <c r="AA322" s="4">
        <f>(Games[[#This Row],[Keff]]*Games[[#This Row],[MOVMult]])*(Games[[#This Row],[Result]]-Games[[#This Row],[ExpectedWin%]])</f>
        <v>13.110124529981563</v>
      </c>
      <c r="AB322" s="4">
        <f>Games[[#This Row],[PreGmRate]]+Games[[#This Row],[RatingChange]]</f>
        <v>1494.2487018212266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41851</v>
      </c>
      <c r="B323" s="2">
        <v>2014</v>
      </c>
      <c r="C323" s="2">
        <f>COUNTIFS(Games[Team],Games[[#This Row],[Team]],Games[Season],Games[[#This Row],[Season]],Games[Date],"&lt;=" &amp; Games[[#This Row],[Date]])</f>
        <v>29</v>
      </c>
      <c r="D323" s="2" t="s">
        <v>83</v>
      </c>
      <c r="E323" s="2" t="s">
        <v>84</v>
      </c>
      <c r="F323" s="1" t="s">
        <v>71</v>
      </c>
      <c r="G323" s="1" t="s">
        <v>69</v>
      </c>
      <c r="H323" s="1" t="s">
        <v>86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-1</v>
      </c>
      <c r="L323" s="2">
        <f>Games[[#This Row],[OppDaysOff]]-Games[[#This Row],[DaysOff]]</f>
        <v>1</v>
      </c>
      <c r="M323" s="1">
        <f>MAX(-16, MIN(16, Games[[#This Row],[RestDiff]]*8))</f>
        <v>-8</v>
      </c>
      <c r="N323" s="1">
        <f>MAX(-16, MIN(16, Games[[#This Row],[OppRestDiff]]*8))</f>
        <v>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1398.9371098137703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1481.1385772912452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0.47957382001014048</v>
      </c>
      <c r="R323" s="1">
        <v>67</v>
      </c>
      <c r="S323" s="1">
        <v>76</v>
      </c>
      <c r="T323" s="1">
        <v>0</v>
      </c>
      <c r="U323" s="1">
        <f>Games[[#This Row],[PointsFor]]-Games[[#This Row],[PointsAgainst]]</f>
        <v>-9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0.37994484091108699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71.650000000000006</v>
      </c>
      <c r="Z323" s="4">
        <f>Games[[#This Row],[K]]*Games[[#This Row],[POMult]]</f>
        <v>71.650000000000006</v>
      </c>
      <c r="AA323" s="4">
        <f>(Games[[#This Row],[Keff]]*Games[[#This Row],[MOVMult]])*(Games[[#This Row],[Result]]-Games[[#This Row],[ExpectedWin%]])</f>
        <v>-13.055461050356902</v>
      </c>
      <c r="AB323" s="4">
        <f>Games[[#This Row],[PreGmRate]]+Games[[#This Row],[RatingChange]]</f>
        <v>1385.8816487634135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41851</v>
      </c>
      <c r="B324" s="2">
        <v>2014</v>
      </c>
      <c r="C324" s="2">
        <f>COUNTIFS(Games[Team],Games[[#This Row],[Team]],Games[Season],Games[[#This Row],[Season]],Games[Date],"&lt;=" &amp; Games[[#This Row],[Date]])</f>
        <v>26</v>
      </c>
      <c r="D324" s="2" t="s">
        <v>83</v>
      </c>
      <c r="E324" s="2" t="s">
        <v>84</v>
      </c>
      <c r="F324" s="1" t="s">
        <v>79</v>
      </c>
      <c r="G324" s="1" t="s">
        <v>81</v>
      </c>
      <c r="H324" s="1" t="s">
        <v>85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1550.8342202665137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1429.2480832205442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0.5538807695840553</v>
      </c>
      <c r="R324" s="1">
        <v>85</v>
      </c>
      <c r="S324" s="1">
        <v>75</v>
      </c>
      <c r="T324" s="1">
        <v>0</v>
      </c>
      <c r="U324" s="1">
        <f>Games[[#This Row],[PointsFor]]-Games[[#This Row],[PointsAgainst]]</f>
        <v>10</v>
      </c>
      <c r="V324" s="1">
        <f>IF(Games[[#This Row],[MOV]]&gt;0,1,IF(Games[[#This Row],[MOV]]=0,0.5,0))</f>
        <v>1</v>
      </c>
      <c r="W324" s="4">
        <f>((ABS(Games[[#This Row],[MOV]])+5)^0.6)/(12+0.01*(ABS(Games[[#This Row],[PreGmRate]]-Games[[#This Row],[OppPreGmRate]])))*IF(Games[[#This Row],[OT]]=1,0.9,1)</f>
        <v>0.38420169897792988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72.099999999999994</v>
      </c>
      <c r="Z324" s="4">
        <f>Games[[#This Row],[K]]*Games[[#This Row],[POMult]]</f>
        <v>72.099999999999994</v>
      </c>
      <c r="AA324" s="4">
        <f>(Games[[#This Row],[Keff]]*Games[[#This Row],[MOVMult]])*(Games[[#This Row],[Result]]-Games[[#This Row],[ExpectedWin%]])</f>
        <v>12.357923148249593</v>
      </c>
      <c r="AB324" s="4">
        <f>Games[[#This Row],[PreGmRate]]+Games[[#This Row],[RatingChange]]</f>
        <v>1563.1921434147632</v>
      </c>
      <c r="AC324" s="2">
        <f>IF(Games[[#This Row],[Type]]="R",IF(Games[[#This Row],[Result]]&gt;0.5,1,0),0)</f>
        <v>1</v>
      </c>
      <c r="AD324" s="2">
        <f>IF(Games[[#This Row],[Type]]="R",IF(Games[[#This Row],[Result]]&lt;0.5,1,0),0)</f>
        <v>0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41851</v>
      </c>
      <c r="B325" s="2">
        <v>2014</v>
      </c>
      <c r="C325" s="2">
        <f>COUNTIFS(Games[Team],Games[[#This Row],[Team]],Games[Season],Games[[#This Row],[Season]],Games[Date],"&lt;=" &amp; Games[[#This Row],[Date]])</f>
        <v>28</v>
      </c>
      <c r="D325" s="2" t="s">
        <v>83</v>
      </c>
      <c r="E325" s="2" t="s">
        <v>84</v>
      </c>
      <c r="F325" s="1" t="s">
        <v>81</v>
      </c>
      <c r="G325" s="1" t="s">
        <v>79</v>
      </c>
      <c r="H325" s="1" t="s">
        <v>86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1429.2480832205442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1550.8342202665137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0.4461192304159447</v>
      </c>
      <c r="R325" s="1">
        <v>75</v>
      </c>
      <c r="S325" s="1">
        <v>85</v>
      </c>
      <c r="T325" s="1">
        <v>0</v>
      </c>
      <c r="U325" s="1">
        <f>Games[[#This Row],[PointsFor]]-Games[[#This Row],[PointsAgainst]]</f>
        <v>-10</v>
      </c>
      <c r="V325" s="1">
        <f>IF(Games[[#This Row],[MOV]]&gt;0,1,IF(Games[[#This Row],[MOV]]=0,0.5,0))</f>
        <v>0</v>
      </c>
      <c r="W325" s="4">
        <f>((ABS(Games[[#This Row],[MOV]])+5)^0.6)/(12+0.01*(ABS(Games[[#This Row],[PreGmRate]]-Games[[#This Row],[OppPreGmRate]])))*IF(Games[[#This Row],[OT]]=1,0.9,1)</f>
        <v>0.38420169897792988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71.8</v>
      </c>
      <c r="Z325" s="4">
        <f>Games[[#This Row],[K]]*Games[[#This Row],[POMult]]</f>
        <v>71.8</v>
      </c>
      <c r="AA325" s="4">
        <f>(Games[[#This Row],[Keff]]*Games[[#This Row],[MOVMult]])*(Games[[#This Row],[Result]]-Games[[#This Row],[ExpectedWin%]])</f>
        <v>-12.306503218367833</v>
      </c>
      <c r="AB325" s="4">
        <f>Games[[#This Row],[PreGmRate]]+Games[[#This Row],[RatingChange]]</f>
        <v>1416.9415800021764</v>
      </c>
      <c r="AC325" s="2">
        <f>IF(Games[[#This Row],[Type]]="R",IF(Games[[#This Row],[Result]]&gt;0.5,1,0),0)</f>
        <v>0</v>
      </c>
      <c r="AD325" s="2">
        <f>IF(Games[[#This Row],[Type]]="R",IF(Games[[#This Row],[Result]]&lt;0.5,1,0),0)</f>
        <v>1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41852</v>
      </c>
      <c r="B326" s="2">
        <v>2014</v>
      </c>
      <c r="C326" s="2">
        <f>COUNTIFS(Games[Team],Games[[#This Row],[Team]],Games[Season],Games[[#This Row],[Season]],Games[Date],"&lt;=" &amp; Games[[#This Row],[Date]])</f>
        <v>28</v>
      </c>
      <c r="D326" s="2" t="s">
        <v>83</v>
      </c>
      <c r="E326" s="2" t="s">
        <v>84</v>
      </c>
      <c r="F326" s="1" t="s">
        <v>76</v>
      </c>
      <c r="G326" s="1" t="s">
        <v>74</v>
      </c>
      <c r="H326" s="1" t="s">
        <v>85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1409.8182189287108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1463.1672413472761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0.31203029332200055</v>
      </c>
      <c r="R326" s="1">
        <v>89</v>
      </c>
      <c r="S326" s="1">
        <v>79</v>
      </c>
      <c r="T326" s="1">
        <v>0</v>
      </c>
      <c r="U326" s="1">
        <f>Games[[#This Row],[PointsFor]]-Games[[#This Row],[PointsAgainst]]</f>
        <v>10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0.40511910897647152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71.8</v>
      </c>
      <c r="Z326" s="4">
        <f>Games[[#This Row],[K]]*Games[[#This Row],[POMult]]</f>
        <v>71.8</v>
      </c>
      <c r="AA326" s="4">
        <f>(Games[[#This Row],[Keff]]*Games[[#This Row],[MOVMult]])*(Games[[#This Row],[Result]]-Games[[#This Row],[ExpectedWin%]])</f>
        <v>20.011354634283645</v>
      </c>
      <c r="AB326" s="4">
        <f>Games[[#This Row],[PreGmRate]]+Games[[#This Row],[RatingChange]]</f>
        <v>1429.8295735629945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41852</v>
      </c>
      <c r="B327" s="2">
        <v>2014</v>
      </c>
      <c r="C327" s="2">
        <f>COUNTIFS(Games[Team],Games[[#This Row],[Team]],Games[Season],Games[[#This Row],[Season]],Games[Date],"&lt;=" &amp; Games[[#This Row],[Date]])</f>
        <v>28</v>
      </c>
      <c r="D327" s="2" t="s">
        <v>83</v>
      </c>
      <c r="E327" s="2" t="s">
        <v>84</v>
      </c>
      <c r="F327" s="1" t="s">
        <v>74</v>
      </c>
      <c r="G327" s="1" t="s">
        <v>76</v>
      </c>
      <c r="H327" s="1" t="s">
        <v>86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1463.1672413472761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1409.8182189287108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0.6879697066779995</v>
      </c>
      <c r="R327" s="1">
        <v>79</v>
      </c>
      <c r="S327" s="1">
        <v>89</v>
      </c>
      <c r="T327" s="1">
        <v>0</v>
      </c>
      <c r="U327" s="1">
        <f>Games[[#This Row],[PointsFor]]-Games[[#This Row],[PointsAgainst]]</f>
        <v>-10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0.40511910897647152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71.8</v>
      </c>
      <c r="Z327" s="4">
        <f>Games[[#This Row],[K]]*Games[[#This Row],[POMult]]</f>
        <v>71.8</v>
      </c>
      <c r="AA327" s="4">
        <f>(Games[[#This Row],[Keff]]*Games[[#This Row],[MOVMult]])*(Games[[#This Row],[Result]]-Games[[#This Row],[ExpectedWin%]])</f>
        <v>-20.011354634283645</v>
      </c>
      <c r="AB327" s="4">
        <f>Games[[#This Row],[PreGmRate]]+Games[[#This Row],[RatingChange]]</f>
        <v>1443.1558867129925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41853</v>
      </c>
      <c r="B328" s="2">
        <v>2014</v>
      </c>
      <c r="C328" s="2">
        <f>COUNTIFS(Games[Team],Games[[#This Row],[Team]],Games[Season],Games[[#This Row],[Season]],Games[Date],"&lt;=" &amp; Games[[#This Row],[Date]])</f>
        <v>28</v>
      </c>
      <c r="D328" s="2" t="s">
        <v>83</v>
      </c>
      <c r="E328" s="2" t="s">
        <v>84</v>
      </c>
      <c r="F328" s="1" t="s">
        <v>69</v>
      </c>
      <c r="G328" s="1" t="s">
        <v>40</v>
      </c>
      <c r="H328" s="1" t="s">
        <v>85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1494.2487018212266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1687.2687375667604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0.16872990682516331</v>
      </c>
      <c r="R328" s="1">
        <v>69</v>
      </c>
      <c r="S328" s="1">
        <v>79</v>
      </c>
      <c r="T328" s="1">
        <v>0</v>
      </c>
      <c r="U328" s="1">
        <f>Games[[#This Row],[PointsFor]]-Games[[#This Row],[PointsAgainst]]</f>
        <v>-10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0.36449988239185216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71.8</v>
      </c>
      <c r="Z328" s="4">
        <f>Games[[#This Row],[K]]*Games[[#This Row],[POMult]]</f>
        <v>71.8</v>
      </c>
      <c r="AA328" s="4">
        <f>(Games[[#This Row],[Keff]]*Games[[#This Row],[MOVMult]])*(Games[[#This Row],[Result]]-Games[[#This Row],[ExpectedWin%]])</f>
        <v>-4.4158458397119826</v>
      </c>
      <c r="AB328" s="4">
        <f>Games[[#This Row],[PreGmRate]]+Games[[#This Row],[RatingChange]]</f>
        <v>1489.8328559815147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41853</v>
      </c>
      <c r="B329" s="2">
        <v>2014</v>
      </c>
      <c r="C329" s="2">
        <f>COUNTIFS(Games[Team],Games[[#This Row],[Team]],Games[Season],Games[[#This Row],[Season]],Games[Date],"&lt;=" &amp; Games[[#This Row],[Date]])</f>
        <v>27</v>
      </c>
      <c r="D329" s="2" t="s">
        <v>83</v>
      </c>
      <c r="E329" s="2" t="s">
        <v>84</v>
      </c>
      <c r="F329" s="1" t="s">
        <v>40</v>
      </c>
      <c r="G329" s="1" t="s">
        <v>69</v>
      </c>
      <c r="H329" s="1" t="s">
        <v>86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1687.2687375667604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1494.2487018212266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0.83127009317483669</v>
      </c>
      <c r="R329" s="1">
        <v>79</v>
      </c>
      <c r="S329" s="1">
        <v>69</v>
      </c>
      <c r="T329" s="1">
        <v>0</v>
      </c>
      <c r="U329" s="1">
        <f>Games[[#This Row],[PointsFor]]-Games[[#This Row],[PointsAgainst]]</f>
        <v>10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0.36449988239185216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71.95</v>
      </c>
      <c r="Z329" s="4">
        <f>Games[[#This Row],[K]]*Games[[#This Row],[POMult]]</f>
        <v>71.95</v>
      </c>
      <c r="AA329" s="4">
        <f>(Games[[#This Row],[Keff]]*Games[[#This Row],[MOVMult]])*(Games[[#This Row],[Result]]-Games[[#This Row],[ExpectedWin%]])</f>
        <v>4.4250711443910467</v>
      </c>
      <c r="AB329" s="4">
        <f>Games[[#This Row],[PreGmRate]]+Games[[#This Row],[RatingChange]]</f>
        <v>1691.6938087111514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41853</v>
      </c>
      <c r="B330" s="2">
        <v>2014</v>
      </c>
      <c r="C330" s="2">
        <f>COUNTIFS(Games[Team],Games[[#This Row],[Team]],Games[Season],Games[[#This Row],[Season]],Games[Date],"&lt;=" &amp; Games[[#This Row],[Date]])</f>
        <v>28</v>
      </c>
      <c r="D330" s="2" t="s">
        <v>83</v>
      </c>
      <c r="E330" s="2" t="s">
        <v>84</v>
      </c>
      <c r="F330" s="1" t="s">
        <v>67</v>
      </c>
      <c r="G330" s="1" t="s">
        <v>81</v>
      </c>
      <c r="H330" s="1" t="s">
        <v>85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1684.8934410702252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1416.9415800021764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0.74248257846815802</v>
      </c>
      <c r="R330" s="1">
        <v>84</v>
      </c>
      <c r="S330" s="1">
        <v>75</v>
      </c>
      <c r="T330" s="1">
        <v>0</v>
      </c>
      <c r="U330" s="1">
        <f>Games[[#This Row],[PointsFor]]-Games[[#This Row],[PointsAgainst]]</f>
        <v>9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0.33186771684886207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6.1361514049991284</v>
      </c>
      <c r="AB330" s="4">
        <f>Games[[#This Row],[PreGmRate]]+Games[[#This Row],[RatingChange]]</f>
        <v>1691.0295924752243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41853</v>
      </c>
      <c r="B331" s="2">
        <v>2014</v>
      </c>
      <c r="C331" s="2">
        <f>COUNTIFS(Games[Team],Games[[#This Row],[Team]],Games[Season],Games[[#This Row],[Season]],Games[Date],"&lt;=" &amp; Games[[#This Row],[Date]])</f>
        <v>29</v>
      </c>
      <c r="D331" s="2" t="s">
        <v>83</v>
      </c>
      <c r="E331" s="2" t="s">
        <v>84</v>
      </c>
      <c r="F331" s="1" t="s">
        <v>81</v>
      </c>
      <c r="G331" s="1" t="s">
        <v>67</v>
      </c>
      <c r="H331" s="1" t="s">
        <v>86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1416.9415800021764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1684.8934410702252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0.25751742153184198</v>
      </c>
      <c r="R331" s="1">
        <v>75</v>
      </c>
      <c r="S331" s="1">
        <v>84</v>
      </c>
      <c r="T331" s="1">
        <v>0</v>
      </c>
      <c r="U331" s="1">
        <f>Games[[#This Row],[PointsFor]]-Games[[#This Row],[PointsAgainst]]</f>
        <v>-9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0.33186771684886207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71.650000000000006</v>
      </c>
      <c r="Z331" s="4">
        <f>Games[[#This Row],[K]]*Games[[#This Row],[POMult]]</f>
        <v>71.650000000000006</v>
      </c>
      <c r="AA331" s="4">
        <f>(Games[[#This Row],[Keff]]*Games[[#This Row],[MOVMult]])*(Games[[#This Row],[Result]]-Games[[#This Row],[ExpectedWin%]])</f>
        <v>-6.1233321471892426</v>
      </c>
      <c r="AB331" s="4">
        <f>Games[[#This Row],[PreGmRate]]+Games[[#This Row],[RatingChange]]</f>
        <v>1410.818247854987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41854</v>
      </c>
      <c r="B332" s="2">
        <v>2014</v>
      </c>
      <c r="C332" s="2">
        <f>COUNTIFS(Games[Team],Games[[#This Row],[Team]],Games[Season],Games[[#This Row],[Season]],Games[Date],"&lt;=" &amp; Games[[#This Row],[Date]])</f>
        <v>27</v>
      </c>
      <c r="D332" s="2" t="s">
        <v>83</v>
      </c>
      <c r="E332" s="2" t="s">
        <v>84</v>
      </c>
      <c r="F332" s="1" t="s">
        <v>60</v>
      </c>
      <c r="G332" s="1" t="s">
        <v>79</v>
      </c>
      <c r="H332" s="1" t="s">
        <v>85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1426.3762153481287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1563.1921434147632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0.21906581597266581</v>
      </c>
      <c r="R332" s="1">
        <v>83</v>
      </c>
      <c r="S332" s="1">
        <v>76</v>
      </c>
      <c r="T332" s="1">
        <v>0</v>
      </c>
      <c r="U332" s="1">
        <f>Games[[#This Row],[PointsFor]]-Games[[#This Row],[PointsAgainst]]</f>
        <v>7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0.33222869181915232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71.95</v>
      </c>
      <c r="Z332" s="4">
        <f>Games[[#This Row],[K]]*Games[[#This Row],[POMult]]</f>
        <v>71.95</v>
      </c>
      <c r="AA332" s="4">
        <f>(Games[[#This Row],[Keff]]*Games[[#This Row],[MOVMult]])*(Games[[#This Row],[Result]]-Games[[#This Row],[ExpectedWin%]])</f>
        <v>18.667337012532794</v>
      </c>
      <c r="AB332" s="4">
        <f>Games[[#This Row],[PreGmRate]]+Games[[#This Row],[RatingChange]]</f>
        <v>1445.0435523606614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41854</v>
      </c>
      <c r="B333" s="2">
        <v>2014</v>
      </c>
      <c r="C333" s="2">
        <f>COUNTIFS(Games[Team],Games[[#This Row],[Team]],Games[Season],Games[[#This Row],[Season]],Games[Date],"&lt;=" &amp; Games[[#This Row],[Date]])</f>
        <v>27</v>
      </c>
      <c r="D333" s="2" t="s">
        <v>83</v>
      </c>
      <c r="E333" s="2" t="s">
        <v>84</v>
      </c>
      <c r="F333" s="1" t="s">
        <v>79</v>
      </c>
      <c r="G333" s="1" t="s">
        <v>60</v>
      </c>
      <c r="H333" s="1" t="s">
        <v>86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1563.1921434147632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1426.3762153481287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0.78093418402733417</v>
      </c>
      <c r="R333" s="1">
        <v>76</v>
      </c>
      <c r="S333" s="1">
        <v>83</v>
      </c>
      <c r="T333" s="1">
        <v>0</v>
      </c>
      <c r="U333" s="1">
        <f>Games[[#This Row],[PointsFor]]-Games[[#This Row],[PointsAgainst]]</f>
        <v>-7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0.33222869181915232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71.95</v>
      </c>
      <c r="Z333" s="4">
        <f>Games[[#This Row],[K]]*Games[[#This Row],[POMult]]</f>
        <v>71.95</v>
      </c>
      <c r="AA333" s="4">
        <f>(Games[[#This Row],[Keff]]*Games[[#This Row],[MOVMult]])*(Games[[#This Row],[Result]]-Games[[#This Row],[ExpectedWin%]])</f>
        <v>-18.667337012532794</v>
      </c>
      <c r="AB333" s="4">
        <f>Games[[#This Row],[PreGmRate]]+Games[[#This Row],[RatingChange]]</f>
        <v>1544.5248064022305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41854</v>
      </c>
      <c r="B334" s="2">
        <v>2014</v>
      </c>
      <c r="C334" s="2">
        <f>COUNTIFS(Games[Team],Games[[#This Row],[Team]],Games[Season],Games[[#This Row],[Season]],Games[Date],"&lt;=" &amp; Games[[#This Row],[Date]])</f>
        <v>28</v>
      </c>
      <c r="D334" s="2" t="s">
        <v>83</v>
      </c>
      <c r="E334" s="2" t="s">
        <v>84</v>
      </c>
      <c r="F334" s="1" t="s">
        <v>65</v>
      </c>
      <c r="G334" s="1" t="s">
        <v>77</v>
      </c>
      <c r="H334" s="1" t="s">
        <v>85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4" s="2">
        <f>Games[[#This Row],[DaysOff]]-Games[[#This Row],[OppDaysOff]]</f>
        <v>2</v>
      </c>
      <c r="L334" s="2">
        <f>Games[[#This Row],[OppDaysOff]]-Games[[#This Row],[DaysOff]]</f>
        <v>-2</v>
      </c>
      <c r="M334" s="1">
        <f>MAX(-16, MIN(16, Games[[#This Row],[RestDiff]]*8))</f>
        <v>16</v>
      </c>
      <c r="N334" s="1">
        <f>MAX(-16, MIN(16, Games[[#This Row],[OppRestDiff]]*8))</f>
        <v>-16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1503.3823982837232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1438.0402130641985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0.5191915149789107</v>
      </c>
      <c r="R334" s="1">
        <v>65</v>
      </c>
      <c r="S334" s="1">
        <v>76</v>
      </c>
      <c r="T334" s="1">
        <v>0</v>
      </c>
      <c r="U334" s="1">
        <f>Games[[#This Row],[PointsFor]]-Games[[#This Row],[PointsAgainst]]</f>
        <v>-11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0.41712287037801471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71.8</v>
      </c>
      <c r="Z334" s="4">
        <f>Games[[#This Row],[K]]*Games[[#This Row],[POMult]]</f>
        <v>71.8</v>
      </c>
      <c r="AA334" s="4">
        <f>(Games[[#This Row],[Keff]]*Games[[#This Row],[MOVMult]])*(Games[[#This Row],[Result]]-Games[[#This Row],[ExpectedWin%]])</f>
        <v>-15.54948582928097</v>
      </c>
      <c r="AB334" s="4">
        <f>Games[[#This Row],[PreGmRate]]+Games[[#This Row],[RatingChange]]</f>
        <v>1487.8329124544423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41854</v>
      </c>
      <c r="B335" s="2">
        <v>2014</v>
      </c>
      <c r="C335" s="2">
        <f>COUNTIFS(Games[Team],Games[[#This Row],[Team]],Games[Season],Games[[#This Row],[Season]],Games[Date],"&lt;=" &amp; Games[[#This Row],[Date]])</f>
        <v>28</v>
      </c>
      <c r="D335" s="2" t="s">
        <v>83</v>
      </c>
      <c r="E335" s="2" t="s">
        <v>84</v>
      </c>
      <c r="F335" s="1" t="s">
        <v>77</v>
      </c>
      <c r="G335" s="1" t="s">
        <v>65</v>
      </c>
      <c r="H335" s="1" t="s">
        <v>86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5" s="2">
        <f>Games[[#This Row],[DaysOff]]-Games[[#This Row],[OppDaysOff]]</f>
        <v>-2</v>
      </c>
      <c r="L335" s="2">
        <f>Games[[#This Row],[OppDaysOff]]-Games[[#This Row],[DaysOff]]</f>
        <v>2</v>
      </c>
      <c r="M335" s="1">
        <f>MAX(-16, MIN(16, Games[[#This Row],[RestDiff]]*8))</f>
        <v>-16</v>
      </c>
      <c r="N335" s="1">
        <f>MAX(-16, MIN(16, Games[[#This Row],[OppRestDiff]]*8))</f>
        <v>16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1438.0402130641985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1503.3823982837232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0.4808084850210893</v>
      </c>
      <c r="R335" s="1">
        <v>76</v>
      </c>
      <c r="S335" s="1">
        <v>65</v>
      </c>
      <c r="T335" s="1">
        <v>0</v>
      </c>
      <c r="U335" s="1">
        <f>Games[[#This Row],[PointsFor]]-Games[[#This Row],[PointsAgainst]]</f>
        <v>11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0.41712287037801471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71.8</v>
      </c>
      <c r="Z335" s="4">
        <f>Games[[#This Row],[K]]*Games[[#This Row],[POMult]]</f>
        <v>71.8</v>
      </c>
      <c r="AA335" s="4">
        <f>(Games[[#This Row],[Keff]]*Games[[#This Row],[MOVMult]])*(Games[[#This Row],[Result]]-Games[[#This Row],[ExpectedWin%]])</f>
        <v>15.54948582928097</v>
      </c>
      <c r="AB335" s="4">
        <f>Games[[#This Row],[PreGmRate]]+Games[[#This Row],[RatingChange]]</f>
        <v>1453.5896988934794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41854</v>
      </c>
      <c r="B336" s="2">
        <v>2014</v>
      </c>
      <c r="C336" s="2">
        <f>COUNTIFS(Games[Team],Games[[#This Row],[Team]],Games[Season],Games[[#This Row],[Season]],Games[Date],"&lt;=" &amp; Games[[#This Row],[Date]])</f>
        <v>29</v>
      </c>
      <c r="D336" s="2" t="s">
        <v>83</v>
      </c>
      <c r="E336" s="2" t="s">
        <v>84</v>
      </c>
      <c r="F336" s="1" t="s">
        <v>76</v>
      </c>
      <c r="G336" s="1" t="s">
        <v>63</v>
      </c>
      <c r="H336" s="1" t="s">
        <v>85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6" s="2">
        <f>Games[[#This Row],[DaysOff]]-Games[[#This Row],[OppDaysOff]]</f>
        <v>-3</v>
      </c>
      <c r="L336" s="2">
        <f>Games[[#This Row],[OppDaysOff]]-Games[[#This Row],[DaysOff]]</f>
        <v>3</v>
      </c>
      <c r="M336" s="1">
        <f>MAX(-16, MIN(16, Games[[#This Row],[RestDiff]]*8))</f>
        <v>-16</v>
      </c>
      <c r="N336" s="1">
        <f>MAX(-16, MIN(16, Games[[#This Row],[OppRestDiff]]*8))</f>
        <v>16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1429.8295735629945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1529.3519314448515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0.22432348681436232</v>
      </c>
      <c r="R336" s="1">
        <v>69</v>
      </c>
      <c r="S336" s="1">
        <v>70</v>
      </c>
      <c r="T336" s="1">
        <v>0</v>
      </c>
      <c r="U336" s="1">
        <f>Games[[#This Row],[PointsFor]]-Games[[#This Row],[PointsAgainst]]</f>
        <v>-1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0.22547946434407626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71.650000000000006</v>
      </c>
      <c r="Z336" s="4">
        <f>Games[[#This Row],[K]]*Games[[#This Row],[POMult]]</f>
        <v>71.650000000000006</v>
      </c>
      <c r="AA336" s="4">
        <f>(Games[[#This Row],[Keff]]*Games[[#This Row],[MOVMult]])*(Games[[#This Row],[Result]]-Games[[#This Row],[ExpectedWin%]])</f>
        <v>-3.6240813356859025</v>
      </c>
      <c r="AB336" s="4">
        <f>Games[[#This Row],[PreGmRate]]+Games[[#This Row],[RatingChange]]</f>
        <v>1426.2054922273085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41854</v>
      </c>
      <c r="B337" s="2">
        <v>2014</v>
      </c>
      <c r="C337" s="2">
        <f>COUNTIFS(Games[Team],Games[[#This Row],[Team]],Games[Season],Games[[#This Row],[Season]],Games[Date],"&lt;=" &amp; Games[[#This Row],[Date]])</f>
        <v>28</v>
      </c>
      <c r="D337" s="2" t="s">
        <v>83</v>
      </c>
      <c r="E337" s="2" t="s">
        <v>84</v>
      </c>
      <c r="F337" s="1" t="s">
        <v>63</v>
      </c>
      <c r="G337" s="1" t="s">
        <v>76</v>
      </c>
      <c r="H337" s="1" t="s">
        <v>86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3</v>
      </c>
      <c r="L337" s="2">
        <f>Games[[#This Row],[OppDaysOff]]-Games[[#This Row],[DaysOff]]</f>
        <v>-3</v>
      </c>
      <c r="M337" s="1">
        <f>MAX(-16, MIN(16, Games[[#This Row],[RestDiff]]*8))</f>
        <v>16</v>
      </c>
      <c r="N337" s="1">
        <f>MAX(-16, MIN(16, Games[[#This Row],[OppRestDiff]]*8))</f>
        <v>-16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1529.3519314448515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1429.8295735629945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0.77567651318563779</v>
      </c>
      <c r="R337" s="1">
        <v>70</v>
      </c>
      <c r="S337" s="1">
        <v>69</v>
      </c>
      <c r="T337" s="1">
        <v>0</v>
      </c>
      <c r="U337" s="1">
        <f>Games[[#This Row],[PointsFor]]-Games[[#This Row],[PointsAgainst]]</f>
        <v>1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0.22547946434407626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71.8</v>
      </c>
      <c r="Z337" s="4">
        <f>Games[[#This Row],[K]]*Games[[#This Row],[POMult]]</f>
        <v>71.8</v>
      </c>
      <c r="AA337" s="4">
        <f>(Games[[#This Row],[Keff]]*Games[[#This Row],[MOVMult]])*(Games[[#This Row],[Result]]-Games[[#This Row],[ExpectedWin%]])</f>
        <v>3.6316683866329051</v>
      </c>
      <c r="AB337" s="4">
        <f>Games[[#This Row],[PreGmRate]]+Games[[#This Row],[RatingChange]]</f>
        <v>1532.9835998314845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41854</v>
      </c>
      <c r="B338" s="2">
        <v>2014</v>
      </c>
      <c r="C338" s="2">
        <f>COUNTIFS(Games[Team],Games[[#This Row],[Team]],Games[Season],Games[[#This Row],[Season]],Games[Date],"&lt;=" &amp; Games[[#This Row],[Date]])</f>
        <v>29</v>
      </c>
      <c r="D338" s="2" t="s">
        <v>83</v>
      </c>
      <c r="E338" s="2" t="s">
        <v>84</v>
      </c>
      <c r="F338" s="1" t="s">
        <v>74</v>
      </c>
      <c r="G338" s="1" t="s">
        <v>71</v>
      </c>
      <c r="H338" s="1" t="s">
        <v>85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8" s="2">
        <f>Games[[#This Row],[DaysOff]]-Games[[#This Row],[OppDaysOff]]</f>
        <v>-1</v>
      </c>
      <c r="L338" s="2">
        <f>Games[[#This Row],[OppDaysOff]]-Games[[#This Row],[DaysOff]]</f>
        <v>1</v>
      </c>
      <c r="M338" s="1">
        <f>MAX(-16, MIN(16, Games[[#This Row],[RestDiff]]*8))</f>
        <v>-8</v>
      </c>
      <c r="N338" s="1">
        <f>MAX(-16, MIN(16, Games[[#This Row],[OppRestDiff]]*8))</f>
        <v>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1443.1558867129925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1385.8816487634135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0.43882077484793075</v>
      </c>
      <c r="R338" s="1">
        <v>65</v>
      </c>
      <c r="S338" s="1">
        <v>71</v>
      </c>
      <c r="T338" s="1">
        <v>0</v>
      </c>
      <c r="U338" s="1">
        <f>Games[[#This Row],[PointsFor]]-Games[[#This Row],[PointsAgainst]]</f>
        <v>-6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0.33527841467319963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71.650000000000006</v>
      </c>
      <c r="Z338" s="4">
        <f>Games[[#This Row],[K]]*Games[[#This Row],[POMult]]</f>
        <v>71.650000000000006</v>
      </c>
      <c r="AA338" s="4">
        <f>(Games[[#This Row],[Keff]]*Games[[#This Row],[MOVMult]])*(Games[[#This Row],[Result]]-Games[[#This Row],[ExpectedWin%]])</f>
        <v>-10.541659130800072</v>
      </c>
      <c r="AB338" s="4">
        <f>Games[[#This Row],[PreGmRate]]+Games[[#This Row],[RatingChange]]</f>
        <v>1432.6142275821924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41854</v>
      </c>
      <c r="B339" s="2">
        <v>2014</v>
      </c>
      <c r="C339" s="2">
        <f>COUNTIFS(Games[Team],Games[[#This Row],[Team]],Games[Season],Games[[#This Row],[Season]],Games[Date],"&lt;=" &amp; Games[[#This Row],[Date]])</f>
        <v>30</v>
      </c>
      <c r="D339" s="2" t="s">
        <v>83</v>
      </c>
      <c r="E339" s="2" t="s">
        <v>84</v>
      </c>
      <c r="F339" s="1" t="s">
        <v>71</v>
      </c>
      <c r="G339" s="1" t="s">
        <v>74</v>
      </c>
      <c r="H339" s="1" t="s">
        <v>86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1</v>
      </c>
      <c r="L339" s="2">
        <f>Games[[#This Row],[OppDaysOff]]-Games[[#This Row],[DaysOff]]</f>
        <v>-1</v>
      </c>
      <c r="M339" s="1">
        <f>MAX(-16, MIN(16, Games[[#This Row],[RestDiff]]*8))</f>
        <v>8</v>
      </c>
      <c r="N339" s="1">
        <f>MAX(-16, MIN(16, Games[[#This Row],[OppRestDiff]]*8))</f>
        <v>-8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1385.8816487634135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1443.1558867129925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0.56117922515206931</v>
      </c>
      <c r="R339" s="1">
        <v>71</v>
      </c>
      <c r="S339" s="1">
        <v>65</v>
      </c>
      <c r="T339" s="1">
        <v>0</v>
      </c>
      <c r="U339" s="1">
        <f>Games[[#This Row],[PointsFor]]-Games[[#This Row],[PointsAgainst]]</f>
        <v>6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0.33527841467319963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71.5</v>
      </c>
      <c r="Z339" s="4">
        <f>Games[[#This Row],[K]]*Games[[#This Row],[POMult]]</f>
        <v>71.5</v>
      </c>
      <c r="AA339" s="4">
        <f>(Games[[#This Row],[Keff]]*Games[[#This Row],[MOVMult]])*(Games[[#This Row],[Result]]-Games[[#This Row],[ExpectedWin%]])</f>
        <v>10.519590060742569</v>
      </c>
      <c r="AB339" s="4">
        <f>Games[[#This Row],[PreGmRate]]+Games[[#This Row],[RatingChange]]</f>
        <v>1396.4012388241561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41856</v>
      </c>
      <c r="B340" s="2">
        <v>2014</v>
      </c>
      <c r="C340" s="2">
        <f>COUNTIFS(Games[Team],Games[[#This Row],[Team]],Games[Season],Games[[#This Row],[Season]],Games[Date],"&lt;=" &amp; Games[[#This Row],[Date]])</f>
        <v>29</v>
      </c>
      <c r="D340" s="2" t="s">
        <v>83</v>
      </c>
      <c r="E340" s="2" t="s">
        <v>84</v>
      </c>
      <c r="F340" s="1" t="s">
        <v>77</v>
      </c>
      <c r="G340" s="1" t="s">
        <v>76</v>
      </c>
      <c r="H340" s="1" t="s">
        <v>85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1453.5896988934794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1426.2054922273085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0.41923691706681615</v>
      </c>
      <c r="R340" s="1">
        <v>82</v>
      </c>
      <c r="S340" s="1">
        <v>66</v>
      </c>
      <c r="T340" s="1">
        <v>0</v>
      </c>
      <c r="U340" s="1">
        <f>Games[[#This Row],[PointsFor]]-Games[[#This Row],[PointsAgainst]]</f>
        <v>16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0.50623369223869263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71.650000000000006</v>
      </c>
      <c r="Z340" s="4">
        <f>Games[[#This Row],[K]]*Games[[#This Row],[POMult]]</f>
        <v>71.650000000000006</v>
      </c>
      <c r="AA340" s="4">
        <f>(Games[[#This Row],[Keff]]*Games[[#This Row],[MOVMult]])*(Games[[#This Row],[Result]]-Games[[#This Row],[ExpectedWin%]])</f>
        <v>21.065231820895587</v>
      </c>
      <c r="AB340" s="4">
        <f>Games[[#This Row],[PreGmRate]]+Games[[#This Row],[RatingChange]]</f>
        <v>1474.654930714375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41856</v>
      </c>
      <c r="B341" s="2">
        <v>2014</v>
      </c>
      <c r="C341" s="2">
        <f>COUNTIFS(Games[Team],Games[[#This Row],[Team]],Games[Season],Games[[#This Row],[Season]],Games[Date],"&lt;=" &amp; Games[[#This Row],[Date]])</f>
        <v>30</v>
      </c>
      <c r="D341" s="2" t="s">
        <v>83</v>
      </c>
      <c r="E341" s="2" t="s">
        <v>84</v>
      </c>
      <c r="F341" s="1" t="s">
        <v>76</v>
      </c>
      <c r="G341" s="1" t="s">
        <v>77</v>
      </c>
      <c r="H341" s="1" t="s">
        <v>86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1426.2054922273085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1453.5896988934794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0.58076308293318379</v>
      </c>
      <c r="R341" s="1">
        <v>66</v>
      </c>
      <c r="S341" s="1">
        <v>82</v>
      </c>
      <c r="T341" s="1">
        <v>0</v>
      </c>
      <c r="U341" s="1">
        <f>Games[[#This Row],[PointsFor]]-Games[[#This Row],[PointsAgainst]]</f>
        <v>-16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0.50623369223869263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71.5</v>
      </c>
      <c r="Z341" s="4">
        <f>Games[[#This Row],[K]]*Games[[#This Row],[POMult]]</f>
        <v>71.5</v>
      </c>
      <c r="AA341" s="4">
        <f>(Games[[#This Row],[Keff]]*Games[[#This Row],[MOVMult]])*(Games[[#This Row],[Result]]-Games[[#This Row],[ExpectedWin%]])</f>
        <v>-21.021131544927208</v>
      </c>
      <c r="AB341" s="4">
        <f>Games[[#This Row],[PreGmRate]]+Games[[#This Row],[RatingChange]]</f>
        <v>1405.1843606823813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41856</v>
      </c>
      <c r="B342" s="2">
        <v>2014</v>
      </c>
      <c r="C342" s="2">
        <f>COUNTIFS(Games[Team],Games[[#This Row],[Team]],Games[Season],Games[[#This Row],[Season]],Games[Date],"&lt;=" &amp; Games[[#This Row],[Date]])</f>
        <v>29</v>
      </c>
      <c r="D342" s="2" t="s">
        <v>83</v>
      </c>
      <c r="E342" s="2" t="s">
        <v>84</v>
      </c>
      <c r="F342" s="1" t="s">
        <v>67</v>
      </c>
      <c r="G342" s="1" t="s">
        <v>69</v>
      </c>
      <c r="H342" s="1" t="s">
        <v>85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1691.0295924752243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1489.8328559815147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0.66254105024044785</v>
      </c>
      <c r="R342" s="1">
        <v>66</v>
      </c>
      <c r="S342" s="1">
        <v>64</v>
      </c>
      <c r="T342" s="1">
        <v>0</v>
      </c>
      <c r="U342" s="1">
        <f>Games[[#This Row],[PointsFor]]-Games[[#This Row],[PointsAgainst]]</f>
        <v>2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0.22938219637585255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71.650000000000006</v>
      </c>
      <c r="Z342" s="4">
        <f>Games[[#This Row],[K]]*Games[[#This Row],[POMult]]</f>
        <v>71.650000000000006</v>
      </c>
      <c r="AA342" s="4">
        <f>(Games[[#This Row],[Keff]]*Games[[#This Row],[MOVMult]])*(Games[[#This Row],[Result]]-Games[[#This Row],[ExpectedWin%]])</f>
        <v>5.5462169296636015</v>
      </c>
      <c r="AB342" s="4">
        <f>Games[[#This Row],[PreGmRate]]+Games[[#This Row],[RatingChange]]</f>
        <v>1696.5758094048879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41856</v>
      </c>
      <c r="B343" s="2">
        <v>2014</v>
      </c>
      <c r="C343" s="2">
        <f>COUNTIFS(Games[Team],Games[[#This Row],[Team]],Games[Season],Games[[#This Row],[Season]],Games[Date],"&lt;=" &amp; Games[[#This Row],[Date]])</f>
        <v>29</v>
      </c>
      <c r="D343" s="2" t="s">
        <v>83</v>
      </c>
      <c r="E343" s="2" t="s">
        <v>84</v>
      </c>
      <c r="F343" s="1" t="s">
        <v>69</v>
      </c>
      <c r="G343" s="1" t="s">
        <v>67</v>
      </c>
      <c r="H343" s="1" t="s">
        <v>86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1489.8328559815147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1691.0295924752243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0.33745894975955215</v>
      </c>
      <c r="R343" s="1">
        <v>64</v>
      </c>
      <c r="S343" s="1">
        <v>66</v>
      </c>
      <c r="T343" s="1">
        <v>0</v>
      </c>
      <c r="U343" s="1">
        <f>Games[[#This Row],[PointsFor]]-Games[[#This Row],[PointsAgainst]]</f>
        <v>-2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0.22938219637585255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71.650000000000006</v>
      </c>
      <c r="Z343" s="4">
        <f>Games[[#This Row],[K]]*Games[[#This Row],[POMult]]</f>
        <v>71.650000000000006</v>
      </c>
      <c r="AA343" s="4">
        <f>(Games[[#This Row],[Keff]]*Games[[#This Row],[MOVMult]])*(Games[[#This Row],[Result]]-Games[[#This Row],[ExpectedWin%]])</f>
        <v>-5.5462169296636015</v>
      </c>
      <c r="AB343" s="4">
        <f>Games[[#This Row],[PreGmRate]]+Games[[#This Row],[RatingChange]]</f>
        <v>1484.2866390518511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41856</v>
      </c>
      <c r="B344" s="2">
        <v>2014</v>
      </c>
      <c r="C344" s="2">
        <f>COUNTIFS(Games[Team],Games[[#This Row],[Team]],Games[Season],Games[[#This Row],[Season]],Games[Date],"&lt;=" &amp; Games[[#This Row],[Date]])</f>
        <v>30</v>
      </c>
      <c r="D344" s="2" t="s">
        <v>83</v>
      </c>
      <c r="E344" s="2" t="s">
        <v>84</v>
      </c>
      <c r="F344" s="1" t="s">
        <v>81</v>
      </c>
      <c r="G344" s="1" t="s">
        <v>63</v>
      </c>
      <c r="H344" s="1" t="s">
        <v>85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1</v>
      </c>
      <c r="L344" s="2">
        <f>Games[[#This Row],[OppDaysOff]]-Games[[#This Row],[DaysOff]]</f>
        <v>-1</v>
      </c>
      <c r="M344" s="1">
        <f>MAX(-16, MIN(16, Games[[#This Row],[RestDiff]]*8))</f>
        <v>8</v>
      </c>
      <c r="N344" s="1">
        <f>MAX(-16, MIN(16, Games[[#This Row],[OppRestDiff]]*8))</f>
        <v>-8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1410.818247854987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1532.9835998314845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0.25073807348582988</v>
      </c>
      <c r="R344" s="1">
        <v>96</v>
      </c>
      <c r="S344" s="1">
        <v>90</v>
      </c>
      <c r="T344" s="1">
        <v>0</v>
      </c>
      <c r="U344" s="1">
        <f>Games[[#This Row],[PointsFor]]-Games[[#This Row],[PointsAgainst]]</f>
        <v>6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0.3188231431711902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71.5</v>
      </c>
      <c r="Z344" s="4">
        <f>Games[[#This Row],[K]]*Games[[#This Row],[POMult]]</f>
        <v>71.5</v>
      </c>
      <c r="AA344" s="4">
        <f>(Games[[#This Row],[Keff]]*Games[[#This Row],[MOVMult]])*(Games[[#This Row],[Result]]-Games[[#This Row],[ExpectedWin%]])</f>
        <v>17.080066036587059</v>
      </c>
      <c r="AB344" s="4">
        <f>Games[[#This Row],[PreGmRate]]+Games[[#This Row],[RatingChange]]</f>
        <v>1427.8983138915742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41856</v>
      </c>
      <c r="B345" s="2">
        <v>2014</v>
      </c>
      <c r="C345" s="2">
        <f>COUNTIFS(Games[Team],Games[[#This Row],[Team]],Games[Season],Games[[#This Row],[Season]],Games[Date],"&lt;=" &amp; Games[[#This Row],[Date]])</f>
        <v>29</v>
      </c>
      <c r="D345" s="2" t="s">
        <v>83</v>
      </c>
      <c r="E345" s="2" t="s">
        <v>84</v>
      </c>
      <c r="F345" s="1" t="s">
        <v>63</v>
      </c>
      <c r="G345" s="1" t="s">
        <v>81</v>
      </c>
      <c r="H345" s="1" t="s">
        <v>86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5" s="2">
        <f>Games[[#This Row],[DaysOff]]-Games[[#This Row],[OppDaysOff]]</f>
        <v>-1</v>
      </c>
      <c r="L345" s="2">
        <f>Games[[#This Row],[OppDaysOff]]-Games[[#This Row],[DaysOff]]</f>
        <v>1</v>
      </c>
      <c r="M345" s="1">
        <f>MAX(-16, MIN(16, Games[[#This Row],[RestDiff]]*8))</f>
        <v>-8</v>
      </c>
      <c r="N345" s="1">
        <f>MAX(-16, MIN(16, Games[[#This Row],[OppRestDiff]]*8))</f>
        <v>8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1532.9835998314845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1410.818247854987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0.74926192651417012</v>
      </c>
      <c r="R345" s="1">
        <v>90</v>
      </c>
      <c r="S345" s="1">
        <v>96</v>
      </c>
      <c r="T345" s="1">
        <v>0</v>
      </c>
      <c r="U345" s="1">
        <f>Games[[#This Row],[PointsFor]]-Games[[#This Row],[PointsAgainst]]</f>
        <v>-6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0.3188231431711902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-17.115898342957522</v>
      </c>
      <c r="AB345" s="4">
        <f>Games[[#This Row],[PreGmRate]]+Games[[#This Row],[RatingChange]]</f>
        <v>1515.867701488527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41856</v>
      </c>
      <c r="B346" s="2">
        <v>2014</v>
      </c>
      <c r="C346" s="2">
        <f>COUNTIFS(Games[Team],Games[[#This Row],[Team]],Games[Season],Games[[#This Row],[Season]],Games[Date],"&lt;=" &amp; Games[[#This Row],[Date]])</f>
        <v>28</v>
      </c>
      <c r="D346" s="2" t="s">
        <v>83</v>
      </c>
      <c r="E346" s="2" t="s">
        <v>84</v>
      </c>
      <c r="F346" s="1" t="s">
        <v>79</v>
      </c>
      <c r="G346" s="1" t="s">
        <v>40</v>
      </c>
      <c r="H346" s="1" t="s">
        <v>85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6" s="2">
        <f>Games[[#This Row],[DaysOff]]-Games[[#This Row],[OppDaysOff]]</f>
        <v>-1</v>
      </c>
      <c r="L346" s="2">
        <f>Games[[#This Row],[OppDaysOff]]-Games[[#This Row],[DaysOff]]</f>
        <v>1</v>
      </c>
      <c r="M346" s="1">
        <f>MAX(-16, MIN(16, Games[[#This Row],[RestDiff]]*8))</f>
        <v>-8</v>
      </c>
      <c r="N346" s="1">
        <f>MAX(-16, MIN(16, Games[[#This Row],[OppRestDiff]]*8))</f>
        <v>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1544.5248064022305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1691.6938087111514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0.19422001014292148</v>
      </c>
      <c r="R346" s="1">
        <v>67</v>
      </c>
      <c r="S346" s="1">
        <v>75</v>
      </c>
      <c r="T346" s="1">
        <v>0</v>
      </c>
      <c r="U346" s="1">
        <f>Games[[#This Row],[PointsFor]]-Games[[#This Row],[PointsAgainst]]</f>
        <v>-8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0.3458947178898587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71.8</v>
      </c>
      <c r="Z346" s="4">
        <f>Games[[#This Row],[K]]*Games[[#This Row],[POMult]]</f>
        <v>71.8</v>
      </c>
      <c r="AA346" s="4">
        <f>(Games[[#This Row],[Keff]]*Games[[#This Row],[MOVMult]])*(Games[[#This Row],[Result]]-Games[[#This Row],[ExpectedWin%]])</f>
        <v>-4.8235007092971047</v>
      </c>
      <c r="AB346" s="4">
        <f>Games[[#This Row],[PreGmRate]]+Games[[#This Row],[RatingChange]]</f>
        <v>1539.7013056929334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41856</v>
      </c>
      <c r="B347" s="2">
        <v>2014</v>
      </c>
      <c r="C347" s="2">
        <f>COUNTIFS(Games[Team],Games[[#This Row],[Team]],Games[Season],Games[[#This Row],[Season]],Games[Date],"&lt;=" &amp; Games[[#This Row],[Date]])</f>
        <v>28</v>
      </c>
      <c r="D347" s="2" t="s">
        <v>83</v>
      </c>
      <c r="E347" s="2" t="s">
        <v>84</v>
      </c>
      <c r="F347" s="1" t="s">
        <v>40</v>
      </c>
      <c r="G347" s="1" t="s">
        <v>79</v>
      </c>
      <c r="H347" s="1" t="s">
        <v>86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1</v>
      </c>
      <c r="L347" s="2">
        <f>Games[[#This Row],[OppDaysOff]]-Games[[#This Row],[DaysOff]]</f>
        <v>-1</v>
      </c>
      <c r="M347" s="1">
        <f>MAX(-16, MIN(16, Games[[#This Row],[RestDiff]]*8))</f>
        <v>8</v>
      </c>
      <c r="N347" s="1">
        <f>MAX(-16, MIN(16, Games[[#This Row],[OppRestDiff]]*8))</f>
        <v>-8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1691.6938087111514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1544.5248064022305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0.80577998985707855</v>
      </c>
      <c r="R347" s="1">
        <v>75</v>
      </c>
      <c r="S347" s="1">
        <v>67</v>
      </c>
      <c r="T347" s="1">
        <v>0</v>
      </c>
      <c r="U347" s="1">
        <f>Games[[#This Row],[PointsFor]]-Games[[#This Row],[PointsAgainst]]</f>
        <v>8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0.3458947178898587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71.8</v>
      </c>
      <c r="Z347" s="4">
        <f>Games[[#This Row],[K]]*Games[[#This Row],[POMult]]</f>
        <v>71.8</v>
      </c>
      <c r="AA347" s="4">
        <f>(Games[[#This Row],[Keff]]*Games[[#This Row],[MOVMult]])*(Games[[#This Row],[Result]]-Games[[#This Row],[ExpectedWin%]])</f>
        <v>4.8235007092971038</v>
      </c>
      <c r="AB347" s="4">
        <f>Games[[#This Row],[PreGmRate]]+Games[[#This Row],[RatingChange]]</f>
        <v>1696.5173094204486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41856</v>
      </c>
      <c r="B348" s="2">
        <v>2014</v>
      </c>
      <c r="C348" s="2">
        <f>COUNTIFS(Games[Team],Games[[#This Row],[Team]],Games[Season],Games[[#This Row],[Season]],Games[Date],"&lt;=" &amp; Games[[#This Row],[Date]])</f>
        <v>28</v>
      </c>
      <c r="D348" s="2" t="s">
        <v>83</v>
      </c>
      <c r="E348" s="2" t="s">
        <v>84</v>
      </c>
      <c r="F348" s="1" t="s">
        <v>60</v>
      </c>
      <c r="G348" s="1" t="s">
        <v>65</v>
      </c>
      <c r="H348" s="1" t="s">
        <v>85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1445.0435523606614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1487.8329124544423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0.32522583946103717</v>
      </c>
      <c r="R348" s="1">
        <v>46</v>
      </c>
      <c r="S348" s="1">
        <v>79</v>
      </c>
      <c r="T348" s="1">
        <v>0</v>
      </c>
      <c r="U348" s="1">
        <f>Games[[#This Row],[PointsFor]]-Games[[#This Row],[PointsAgainst]]</f>
        <v>-33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0.71362923200654127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71.8</v>
      </c>
      <c r="Z348" s="4">
        <f>Games[[#This Row],[K]]*Games[[#This Row],[POMult]]</f>
        <v>71.8</v>
      </c>
      <c r="AA348" s="4">
        <f>(Games[[#This Row],[Keff]]*Games[[#This Row],[MOVMult]])*(Games[[#This Row],[Result]]-Games[[#This Row],[ExpectedWin%]])</f>
        <v>-16.664109821906255</v>
      </c>
      <c r="AB348" s="4">
        <f>Games[[#This Row],[PreGmRate]]+Games[[#This Row],[RatingChange]]</f>
        <v>1428.379442538755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41856</v>
      </c>
      <c r="B349" s="2">
        <v>2014</v>
      </c>
      <c r="C349" s="2">
        <f>COUNTIFS(Games[Team],Games[[#This Row],[Team]],Games[Season],Games[[#This Row],[Season]],Games[Date],"&lt;=" &amp; Games[[#This Row],[Date]])</f>
        <v>29</v>
      </c>
      <c r="D349" s="2" t="s">
        <v>83</v>
      </c>
      <c r="E349" s="2" t="s">
        <v>84</v>
      </c>
      <c r="F349" s="1" t="s">
        <v>65</v>
      </c>
      <c r="G349" s="1" t="s">
        <v>60</v>
      </c>
      <c r="H349" s="1" t="s">
        <v>86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1487.8329124544423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1445.0435523606614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0.67477416053896278</v>
      </c>
      <c r="R349" s="1">
        <v>79</v>
      </c>
      <c r="S349" s="1">
        <v>46</v>
      </c>
      <c r="T349" s="1">
        <v>0</v>
      </c>
      <c r="U349" s="1">
        <f>Games[[#This Row],[PointsFor]]-Games[[#This Row],[PointsAgainst]]</f>
        <v>33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0.71362923200654127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16.629296221999773</v>
      </c>
      <c r="AB349" s="4">
        <f>Games[[#This Row],[PreGmRate]]+Games[[#This Row],[RatingChange]]</f>
        <v>1504.4622086764421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41858</v>
      </c>
      <c r="B350" s="2">
        <v>2014</v>
      </c>
      <c r="C350" s="2">
        <f>COUNTIFS(Games[Team],Games[[#This Row],[Team]],Games[Season],Games[[#This Row],[Season]],Games[Date],"&lt;=" &amp; Games[[#This Row],[Date]])</f>
        <v>30</v>
      </c>
      <c r="D350" s="2" t="s">
        <v>83</v>
      </c>
      <c r="E350" s="2" t="s">
        <v>84</v>
      </c>
      <c r="F350" s="1" t="s">
        <v>77</v>
      </c>
      <c r="G350" s="1" t="s">
        <v>67</v>
      </c>
      <c r="H350" s="1" t="s">
        <v>85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1474.654930714375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1696.5758094048879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0.14666237054034648</v>
      </c>
      <c r="R350" s="1">
        <v>64</v>
      </c>
      <c r="S350" s="1">
        <v>74</v>
      </c>
      <c r="T350" s="1">
        <v>0</v>
      </c>
      <c r="U350" s="1">
        <f>Games[[#This Row],[PointsFor]]-Games[[#This Row],[PointsAgainst]]</f>
        <v>-10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0.35709134510096463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71.5</v>
      </c>
      <c r="Z350" s="4">
        <f>Games[[#This Row],[K]]*Games[[#This Row],[POMult]]</f>
        <v>71.5</v>
      </c>
      <c r="AA350" s="4">
        <f>(Games[[#This Row],[Keff]]*Games[[#This Row],[MOVMult]])*(Games[[#This Row],[Result]]-Games[[#This Row],[ExpectedWin%]])</f>
        <v>-3.7445882167943112</v>
      </c>
      <c r="AB350" s="4">
        <f>Games[[#This Row],[PreGmRate]]+Games[[#This Row],[RatingChange]]</f>
        <v>1470.9103424975808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41858</v>
      </c>
      <c r="B351" s="2">
        <v>2014</v>
      </c>
      <c r="C351" s="2">
        <f>COUNTIFS(Games[Team],Games[[#This Row],[Team]],Games[Season],Games[[#This Row],[Season]],Games[Date],"&lt;=" &amp; Games[[#This Row],[Date]])</f>
        <v>30</v>
      </c>
      <c r="D351" s="2" t="s">
        <v>83</v>
      </c>
      <c r="E351" s="2" t="s">
        <v>84</v>
      </c>
      <c r="F351" s="1" t="s">
        <v>67</v>
      </c>
      <c r="G351" s="1" t="s">
        <v>77</v>
      </c>
      <c r="H351" s="1" t="s">
        <v>86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1696.5758094048879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1474.654930714375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0.85333762945965341</v>
      </c>
      <c r="R351" s="1">
        <v>74</v>
      </c>
      <c r="S351" s="1">
        <v>64</v>
      </c>
      <c r="T351" s="1">
        <v>0</v>
      </c>
      <c r="U351" s="1">
        <f>Games[[#This Row],[PointsFor]]-Games[[#This Row],[PointsAgainst]]</f>
        <v>10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0.35709134510096463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71.5</v>
      </c>
      <c r="Z351" s="4">
        <f>Games[[#This Row],[K]]*Games[[#This Row],[POMult]]</f>
        <v>71.5</v>
      </c>
      <c r="AA351" s="4">
        <f>(Games[[#This Row],[Keff]]*Games[[#This Row],[MOVMult]])*(Games[[#This Row],[Result]]-Games[[#This Row],[ExpectedWin%]])</f>
        <v>3.7445882167943143</v>
      </c>
      <c r="AB351" s="4">
        <f>Games[[#This Row],[PreGmRate]]+Games[[#This Row],[RatingChange]]</f>
        <v>1700.3203976216821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41858</v>
      </c>
      <c r="B352" s="2">
        <v>2014</v>
      </c>
      <c r="C352" s="2">
        <f>COUNTIFS(Games[Team],Games[[#This Row],[Team]],Games[Season],Games[[#This Row],[Season]],Games[Date],"&lt;=" &amp; Games[[#This Row],[Date]])</f>
        <v>29</v>
      </c>
      <c r="D352" s="2" t="s">
        <v>83</v>
      </c>
      <c r="E352" s="2" t="s">
        <v>84</v>
      </c>
      <c r="F352" s="1" t="s">
        <v>40</v>
      </c>
      <c r="G352" s="1" t="s">
        <v>74</v>
      </c>
      <c r="H352" s="1" t="s">
        <v>85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2" s="2">
        <f>Games[[#This Row],[DaysOff]]-Games[[#This Row],[OppDaysOff]]</f>
        <v>-2</v>
      </c>
      <c r="L352" s="2">
        <f>Games[[#This Row],[OppDaysOff]]-Games[[#This Row],[DaysOff]]</f>
        <v>2</v>
      </c>
      <c r="M352" s="1">
        <f>MAX(-16, MIN(16, Games[[#This Row],[RestDiff]]*8))</f>
        <v>-16</v>
      </c>
      <c r="N352" s="1">
        <f>MAX(-16, MIN(16, Games[[#This Row],[OppRestDiff]]*8))</f>
        <v>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1696.5173094204486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1432.6142275821924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0.70086044393583891</v>
      </c>
      <c r="R352" s="1">
        <v>78</v>
      </c>
      <c r="S352" s="1">
        <v>73</v>
      </c>
      <c r="T352" s="1">
        <v>1</v>
      </c>
      <c r="U352" s="1">
        <f>Games[[#This Row],[PointsFor]]-Games[[#This Row],[PointsAgainst]]</f>
        <v>5</v>
      </c>
      <c r="V352" s="1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0.24475421764139374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71.650000000000006</v>
      </c>
      <c r="Z352" s="4">
        <f>Games[[#This Row],[K]]*Games[[#This Row],[POMult]]</f>
        <v>71.650000000000006</v>
      </c>
      <c r="AA352" s="4">
        <f>(Games[[#This Row],[Keff]]*Games[[#This Row],[MOVMult]])*(Games[[#This Row],[Result]]-Games[[#This Row],[ExpectedWin%]])</f>
        <v>5.2459026129220598</v>
      </c>
      <c r="AB352" s="4">
        <f>Games[[#This Row],[PreGmRate]]+Games[[#This Row],[RatingChange]]</f>
        <v>1701.7632120333706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41858</v>
      </c>
      <c r="B353" s="2">
        <v>2014</v>
      </c>
      <c r="C353" s="2">
        <f>COUNTIFS(Games[Team],Games[[#This Row],[Team]],Games[Season],Games[[#This Row],[Season]],Games[Date],"&lt;=" &amp; Games[[#This Row],[Date]])</f>
        <v>30</v>
      </c>
      <c r="D353" s="2" t="s">
        <v>83</v>
      </c>
      <c r="E353" s="2" t="s">
        <v>84</v>
      </c>
      <c r="F353" s="1" t="s">
        <v>74</v>
      </c>
      <c r="G353" s="1" t="s">
        <v>40</v>
      </c>
      <c r="H353" s="1" t="s">
        <v>86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2</v>
      </c>
      <c r="L353" s="2">
        <f>Games[[#This Row],[OppDaysOff]]-Games[[#This Row],[DaysOff]]</f>
        <v>-2</v>
      </c>
      <c r="M353" s="1">
        <f>MAX(-16, MIN(16, Games[[#This Row],[RestDiff]]*8))</f>
        <v>16</v>
      </c>
      <c r="N353" s="1">
        <f>MAX(-16, MIN(16, Games[[#This Row],[OppRestDiff]]*8))</f>
        <v>-16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1432.6142275821924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1696.5173094204486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0.29913955606416109</v>
      </c>
      <c r="R353" s="1">
        <v>73</v>
      </c>
      <c r="S353" s="1">
        <v>78</v>
      </c>
      <c r="T353" s="1">
        <v>1</v>
      </c>
      <c r="U353" s="1">
        <f>Games[[#This Row],[PointsFor]]-Games[[#This Row],[PointsAgainst]]</f>
        <v>-5</v>
      </c>
      <c r="V353" s="1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0.24475421764139374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71.5</v>
      </c>
      <c r="Z353" s="4">
        <f>Games[[#This Row],[K]]*Games[[#This Row],[POMult]]</f>
        <v>71.5</v>
      </c>
      <c r="AA353" s="4">
        <f>(Games[[#This Row],[Keff]]*Games[[#This Row],[MOVMult]])*(Games[[#This Row],[Result]]-Games[[#This Row],[ExpectedWin%]])</f>
        <v>-5.2349202627205473</v>
      </c>
      <c r="AB353" s="4">
        <f>Games[[#This Row],[PreGmRate]]+Games[[#This Row],[RatingChange]]</f>
        <v>1427.3793073194718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41858</v>
      </c>
      <c r="B354" s="2">
        <v>2014</v>
      </c>
      <c r="C354" s="2">
        <f>COUNTIFS(Games[Team],Games[[#This Row],[Team]],Games[Season],Games[[#This Row],[Season]],Games[Date],"&lt;=" &amp; Games[[#This Row],[Date]])</f>
        <v>29</v>
      </c>
      <c r="D354" s="2" t="s">
        <v>83</v>
      </c>
      <c r="E354" s="2" t="s">
        <v>84</v>
      </c>
      <c r="F354" s="1" t="s">
        <v>79</v>
      </c>
      <c r="G354" s="1" t="s">
        <v>71</v>
      </c>
      <c r="H354" s="1" t="s">
        <v>85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-2</v>
      </c>
      <c r="L354" s="2">
        <f>Games[[#This Row],[OppDaysOff]]-Games[[#This Row],[DaysOff]]</f>
        <v>2</v>
      </c>
      <c r="M354" s="1">
        <f>MAX(-16, MIN(16, Games[[#This Row],[RestDiff]]*8))</f>
        <v>-16</v>
      </c>
      <c r="N354" s="1">
        <f>MAX(-16, MIN(16, Games[[#This Row],[OppRestDiff]]*8))</f>
        <v>16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1539.7013056929334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1396.4012388241561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0.53920729669163237</v>
      </c>
      <c r="R354" s="1">
        <v>68</v>
      </c>
      <c r="S354" s="1">
        <v>88</v>
      </c>
      <c r="T354" s="1">
        <v>0</v>
      </c>
      <c r="U354" s="1">
        <f>Games[[#This Row],[PointsFor]]-Games[[#This Row],[PointsAgainst]]</f>
        <v>-20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0.51355973824871248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71.650000000000006</v>
      </c>
      <c r="Z354" s="4">
        <f>Games[[#This Row],[K]]*Games[[#This Row],[POMult]]</f>
        <v>71.650000000000006</v>
      </c>
      <c r="AA354" s="4">
        <f>(Games[[#This Row],[Keff]]*Games[[#This Row],[MOVMult]])*(Games[[#This Row],[Result]]-Games[[#This Row],[ExpectedWin%]])</f>
        <v>-19.84097108150128</v>
      </c>
      <c r="AB354" s="4">
        <f>Games[[#This Row],[PreGmRate]]+Games[[#This Row],[RatingChange]]</f>
        <v>1519.8603346114321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41858</v>
      </c>
      <c r="B355" s="2">
        <v>2014</v>
      </c>
      <c r="C355" s="2">
        <f>COUNTIFS(Games[Team],Games[[#This Row],[Team]],Games[Season],Games[[#This Row],[Season]],Games[Date],"&lt;=" &amp; Games[[#This Row],[Date]])</f>
        <v>31</v>
      </c>
      <c r="D355" s="2" t="s">
        <v>83</v>
      </c>
      <c r="E355" s="2" t="s">
        <v>84</v>
      </c>
      <c r="F355" s="1" t="s">
        <v>71</v>
      </c>
      <c r="G355" s="1" t="s">
        <v>79</v>
      </c>
      <c r="H355" s="1" t="s">
        <v>86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2</v>
      </c>
      <c r="L355" s="2">
        <f>Games[[#This Row],[OppDaysOff]]-Games[[#This Row],[DaysOff]]</f>
        <v>-2</v>
      </c>
      <c r="M355" s="1">
        <f>MAX(-16, MIN(16, Games[[#This Row],[RestDiff]]*8))</f>
        <v>16</v>
      </c>
      <c r="N355" s="1">
        <f>MAX(-16, MIN(16, Games[[#This Row],[OppRestDiff]]*8))</f>
        <v>-16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1396.4012388241561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1539.7013056929334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0.46079270330836763</v>
      </c>
      <c r="R355" s="1">
        <v>88</v>
      </c>
      <c r="S355" s="1">
        <v>68</v>
      </c>
      <c r="T355" s="1">
        <v>0</v>
      </c>
      <c r="U355" s="1">
        <f>Games[[#This Row],[PointsFor]]-Games[[#This Row],[PointsAgainst]]</f>
        <v>20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0.51355973824871248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71.349999999999994</v>
      </c>
      <c r="Z355" s="4">
        <f>Games[[#This Row],[K]]*Games[[#This Row],[POMult]]</f>
        <v>71.349999999999994</v>
      </c>
      <c r="AA355" s="4">
        <f>(Games[[#This Row],[Keff]]*Games[[#This Row],[MOVMult]])*(Games[[#This Row],[Result]]-Games[[#This Row],[ExpectedWin%]])</f>
        <v>19.757896534056052</v>
      </c>
      <c r="AB355" s="4">
        <f>Games[[#This Row],[PreGmRate]]+Games[[#This Row],[RatingChange]]</f>
        <v>1416.1591353582121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41859</v>
      </c>
      <c r="B356" s="2">
        <v>2014</v>
      </c>
      <c r="C356" s="2">
        <f>COUNTIFS(Games[Team],Games[[#This Row],[Team]],Games[Season],Games[[#This Row],[Season]],Games[Date],"&lt;=" &amp; Games[[#This Row],[Date]])</f>
        <v>30</v>
      </c>
      <c r="D356" s="2" t="s">
        <v>83</v>
      </c>
      <c r="E356" s="2" t="s">
        <v>84</v>
      </c>
      <c r="F356" s="1" t="s">
        <v>65</v>
      </c>
      <c r="G356" s="1" t="s">
        <v>69</v>
      </c>
      <c r="H356" s="1" t="s">
        <v>85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1504.4622086764421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1484.2866390518511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0.40916870796539628</v>
      </c>
      <c r="R356" s="1">
        <v>74</v>
      </c>
      <c r="S356" s="1">
        <v>61</v>
      </c>
      <c r="T356" s="1">
        <v>0</v>
      </c>
      <c r="U356" s="1">
        <f>Games[[#This Row],[PointsFor]]-Games[[#This Row],[PointsAgainst]]</f>
        <v>13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0.46423852507653501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19.611495302199369</v>
      </c>
      <c r="AB356" s="4">
        <f>Games[[#This Row],[PreGmRate]]+Games[[#This Row],[RatingChange]]</f>
        <v>1524.0737039786413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41859</v>
      </c>
      <c r="B357" s="2">
        <v>2014</v>
      </c>
      <c r="C357" s="2">
        <f>COUNTIFS(Games[Team],Games[[#This Row],[Team]],Games[Season],Games[[#This Row],[Season]],Games[Date],"&lt;=" &amp; Games[[#This Row],[Date]])</f>
        <v>30</v>
      </c>
      <c r="D357" s="2" t="s">
        <v>83</v>
      </c>
      <c r="E357" s="2" t="s">
        <v>84</v>
      </c>
      <c r="F357" s="1" t="s">
        <v>69</v>
      </c>
      <c r="G357" s="1" t="s">
        <v>65</v>
      </c>
      <c r="H357" s="1" t="s">
        <v>86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1484.2866390518511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1504.4622086764421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0.59083129203460372</v>
      </c>
      <c r="R357" s="1">
        <v>61</v>
      </c>
      <c r="S357" s="1">
        <v>74</v>
      </c>
      <c r="T357" s="1">
        <v>0</v>
      </c>
      <c r="U357" s="1">
        <f>Games[[#This Row],[PointsFor]]-Games[[#This Row],[PointsAgainst]]</f>
        <v>-13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0.46423852507653501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71.5</v>
      </c>
      <c r="Z357" s="4">
        <f>Games[[#This Row],[K]]*Games[[#This Row],[POMult]]</f>
        <v>71.5</v>
      </c>
      <c r="AA357" s="4">
        <f>(Games[[#This Row],[Keff]]*Games[[#This Row],[MOVMult]])*(Games[[#This Row],[Result]]-Games[[#This Row],[ExpectedWin%]])</f>
        <v>-19.611495302199369</v>
      </c>
      <c r="AB357" s="4">
        <f>Games[[#This Row],[PreGmRate]]+Games[[#This Row],[RatingChange]]</f>
        <v>1464.6751437496519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41859</v>
      </c>
      <c r="B358" s="2">
        <v>2014</v>
      </c>
      <c r="C358" s="2">
        <f>COUNTIFS(Games[Team],Games[[#This Row],[Team]],Games[Season],Games[[#This Row],[Season]],Games[Date],"&lt;=" &amp; Games[[#This Row],[Date]])</f>
        <v>30</v>
      </c>
      <c r="D358" s="2" t="s">
        <v>83</v>
      </c>
      <c r="E358" s="2" t="s">
        <v>84</v>
      </c>
      <c r="F358" s="1" t="s">
        <v>79</v>
      </c>
      <c r="G358" s="1" t="s">
        <v>63</v>
      </c>
      <c r="H358" s="1" t="s">
        <v>85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-2</v>
      </c>
      <c r="L358" s="2">
        <f>Games[[#This Row],[OppDaysOff]]-Games[[#This Row],[DaysOff]]</f>
        <v>2</v>
      </c>
      <c r="M358" s="1">
        <f>MAX(-16, MIN(16, Games[[#This Row],[RestDiff]]*8))</f>
        <v>-16</v>
      </c>
      <c r="N358" s="1">
        <f>MAX(-16, MIN(16, Games[[#This Row],[OppRestDiff]]*8))</f>
        <v>16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1519.8603346114321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1515.867701488527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0.34416992200945556</v>
      </c>
      <c r="R358" s="1">
        <v>77</v>
      </c>
      <c r="S358" s="1">
        <v>80</v>
      </c>
      <c r="T358" s="1">
        <v>1</v>
      </c>
      <c r="U358" s="1">
        <f>Games[[#This Row],[PointsFor]]-Games[[#This Row],[PointsAgainst]]</f>
        <v>-3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0.2602991033040753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71.5</v>
      </c>
      <c r="Z358" s="4">
        <f>Games[[#This Row],[K]]*Games[[#This Row],[POMult]]</f>
        <v>71.5</v>
      </c>
      <c r="AA358" s="4">
        <f>(Games[[#This Row],[Keff]]*Games[[#This Row],[MOVMult]])*(Games[[#This Row],[Result]]-Games[[#This Row],[ExpectedWin%]])</f>
        <v>-6.4054792289555786</v>
      </c>
      <c r="AB358" s="4">
        <f>Games[[#This Row],[PreGmRate]]+Games[[#This Row],[RatingChange]]</f>
        <v>1513.4548553824766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41859</v>
      </c>
      <c r="B359" s="2">
        <v>2014</v>
      </c>
      <c r="C359" s="2">
        <f>COUNTIFS(Games[Team],Games[[#This Row],[Team]],Games[Season],Games[[#This Row],[Season]],Games[Date],"&lt;=" &amp; Games[[#This Row],[Date]])</f>
        <v>30</v>
      </c>
      <c r="D359" s="2" t="s">
        <v>83</v>
      </c>
      <c r="E359" s="2" t="s">
        <v>84</v>
      </c>
      <c r="F359" s="1" t="s">
        <v>63</v>
      </c>
      <c r="G359" s="1" t="s">
        <v>79</v>
      </c>
      <c r="H359" s="1" t="s">
        <v>86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9" s="2">
        <f>Games[[#This Row],[DaysOff]]-Games[[#This Row],[OppDaysOff]]</f>
        <v>2</v>
      </c>
      <c r="L359" s="2">
        <f>Games[[#This Row],[OppDaysOff]]-Games[[#This Row],[DaysOff]]</f>
        <v>-2</v>
      </c>
      <c r="M359" s="1">
        <f>MAX(-16, MIN(16, Games[[#This Row],[RestDiff]]*8))</f>
        <v>16</v>
      </c>
      <c r="N359" s="1">
        <f>MAX(-16, MIN(16, Games[[#This Row],[OppRestDiff]]*8))</f>
        <v>-16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1515.867701488527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1519.8603346114321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0.65583007799054449</v>
      </c>
      <c r="R359" s="1">
        <v>80</v>
      </c>
      <c r="S359" s="1">
        <v>77</v>
      </c>
      <c r="T359" s="1">
        <v>1</v>
      </c>
      <c r="U359" s="1">
        <f>Games[[#This Row],[PointsFor]]-Games[[#This Row],[PointsAgainst]]</f>
        <v>3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0.2602991033040753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6.4054792289555778</v>
      </c>
      <c r="AB359" s="4">
        <f>Games[[#This Row],[PreGmRate]]+Games[[#This Row],[RatingChange]]</f>
        <v>1522.2731807174825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41859</v>
      </c>
      <c r="B360" s="2">
        <v>2014</v>
      </c>
      <c r="C360" s="2">
        <f>COUNTIFS(Games[Team],Games[[#This Row],[Team]],Games[Season],Games[[#This Row],[Season]],Games[Date],"&lt;=" &amp; Games[[#This Row],[Date]])</f>
        <v>31</v>
      </c>
      <c r="D360" s="2" t="s">
        <v>83</v>
      </c>
      <c r="E360" s="2" t="s">
        <v>84</v>
      </c>
      <c r="F360" s="1" t="s">
        <v>76</v>
      </c>
      <c r="G360" s="1" t="s">
        <v>60</v>
      </c>
      <c r="H360" s="1" t="s">
        <v>85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1405.1843606823813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1428.379442538755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0.35044938053392211</v>
      </c>
      <c r="R360" s="1">
        <v>66</v>
      </c>
      <c r="S360" s="1">
        <v>71</v>
      </c>
      <c r="T360" s="1">
        <v>0</v>
      </c>
      <c r="U360" s="1">
        <f>Games[[#This Row],[PointsFor]]-Games[[#This Row],[PointsAgainst]]</f>
        <v>-5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0.32546498629581849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71.349999999999994</v>
      </c>
      <c r="Z360" s="4">
        <f>Games[[#This Row],[K]]*Games[[#This Row],[POMult]]</f>
        <v>71.349999999999994</v>
      </c>
      <c r="AA360" s="4">
        <f>(Games[[#This Row],[Keff]]*Games[[#This Row],[MOVMult]])*(Games[[#This Row],[Result]]-Games[[#This Row],[ExpectedWin%]])</f>
        <v>-8.1381098521239199</v>
      </c>
      <c r="AB360" s="4">
        <f>Games[[#This Row],[PreGmRate]]+Games[[#This Row],[RatingChange]]</f>
        <v>1397.0462508302573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41859</v>
      </c>
      <c r="B361" s="2">
        <v>2014</v>
      </c>
      <c r="C361" s="2">
        <f>COUNTIFS(Games[Team],Games[[#This Row],[Team]],Games[Season],Games[[#This Row],[Season]],Games[Date],"&lt;=" &amp; Games[[#This Row],[Date]])</f>
        <v>29</v>
      </c>
      <c r="D361" s="2" t="s">
        <v>83</v>
      </c>
      <c r="E361" s="2" t="s">
        <v>84</v>
      </c>
      <c r="F361" s="1" t="s">
        <v>60</v>
      </c>
      <c r="G361" s="1" t="s">
        <v>76</v>
      </c>
      <c r="H361" s="1" t="s">
        <v>86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1428.379442538755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1405.1843606823813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0.64955061946607795</v>
      </c>
      <c r="R361" s="1">
        <v>71</v>
      </c>
      <c r="S361" s="1">
        <v>66</v>
      </c>
      <c r="T361" s="1">
        <v>0</v>
      </c>
      <c r="U361" s="1">
        <f>Games[[#This Row],[PointsFor]]-Games[[#This Row],[PointsAgainst]]</f>
        <v>5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0.32546498629581849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71.650000000000006</v>
      </c>
      <c r="Z361" s="4">
        <f>Games[[#This Row],[K]]*Games[[#This Row],[POMult]]</f>
        <v>71.650000000000006</v>
      </c>
      <c r="AA361" s="4">
        <f>(Games[[#This Row],[Keff]]*Games[[#This Row],[MOVMult]])*(Games[[#This Row],[Result]]-Games[[#This Row],[ExpectedWin%]])</f>
        <v>8.1723275529737762</v>
      </c>
      <c r="AB361" s="4">
        <f>Games[[#This Row],[PreGmRate]]+Games[[#This Row],[RatingChange]]</f>
        <v>1436.5517700917287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41859</v>
      </c>
      <c r="B362" s="2">
        <v>2014</v>
      </c>
      <c r="C362" s="2">
        <f>COUNTIFS(Games[Team],Games[[#This Row],[Team]],Games[Season],Games[[#This Row],[Season]],Games[Date],"&lt;=" &amp; Games[[#This Row],[Date]])</f>
        <v>31</v>
      </c>
      <c r="D362" s="2" t="s">
        <v>83</v>
      </c>
      <c r="E362" s="2" t="s">
        <v>84</v>
      </c>
      <c r="F362" s="1" t="s">
        <v>74</v>
      </c>
      <c r="G362" s="1" t="s">
        <v>81</v>
      </c>
      <c r="H362" s="1" t="s">
        <v>85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2" s="2">
        <f>Games[[#This Row],[DaysOff]]-Games[[#This Row],[OppDaysOff]]</f>
        <v>-2</v>
      </c>
      <c r="L362" s="2">
        <f>Games[[#This Row],[OppDaysOff]]-Games[[#This Row],[DaysOff]]</f>
        <v>2</v>
      </c>
      <c r="M362" s="1">
        <f>MAX(-16, MIN(16, Games[[#This Row],[RestDiff]]*8))</f>
        <v>-16</v>
      </c>
      <c r="N362" s="1">
        <f>MAX(-16, MIN(16, Games[[#This Row],[OppRestDiff]]*8))</f>
        <v>16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1427.3793073194718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1427.8983138915742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0.33833176241211704</v>
      </c>
      <c r="R362" s="1">
        <v>62</v>
      </c>
      <c r="S362" s="1">
        <v>79</v>
      </c>
      <c r="T362" s="1">
        <v>0</v>
      </c>
      <c r="U362" s="1">
        <f>Games[[#This Row],[PointsFor]]-Games[[#This Row],[PointsAgainst]]</f>
        <v>-17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0.53221188452714685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71.349999999999994</v>
      </c>
      <c r="Z362" s="4">
        <f>Games[[#This Row],[K]]*Games[[#This Row],[POMult]]</f>
        <v>71.349999999999994</v>
      </c>
      <c r="AA362" s="4">
        <f>(Games[[#This Row],[Keff]]*Games[[#This Row],[MOVMult]])*(Games[[#This Row],[Result]]-Games[[#This Row],[ExpectedWin%]])</f>
        <v>-12.847579590384862</v>
      </c>
      <c r="AB362" s="4">
        <f>Games[[#This Row],[PreGmRate]]+Games[[#This Row],[RatingChange]]</f>
        <v>1414.5317277290869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41859</v>
      </c>
      <c r="B363" s="2">
        <v>2014</v>
      </c>
      <c r="C363" s="2">
        <f>COUNTIFS(Games[Team],Games[[#This Row],[Team]],Games[Season],Games[[#This Row],[Season]],Games[Date],"&lt;=" &amp; Games[[#This Row],[Date]])</f>
        <v>31</v>
      </c>
      <c r="D363" s="2" t="s">
        <v>83</v>
      </c>
      <c r="E363" s="2" t="s">
        <v>84</v>
      </c>
      <c r="F363" s="1" t="s">
        <v>81</v>
      </c>
      <c r="G363" s="1" t="s">
        <v>74</v>
      </c>
      <c r="H363" s="1" t="s">
        <v>86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3" s="2">
        <f>Games[[#This Row],[DaysOff]]-Games[[#This Row],[OppDaysOff]]</f>
        <v>2</v>
      </c>
      <c r="L363" s="2">
        <f>Games[[#This Row],[OppDaysOff]]-Games[[#This Row],[DaysOff]]</f>
        <v>-2</v>
      </c>
      <c r="M363" s="1">
        <f>MAX(-16, MIN(16, Games[[#This Row],[RestDiff]]*8))</f>
        <v>16</v>
      </c>
      <c r="N363" s="1">
        <f>MAX(-16, MIN(16, Games[[#This Row],[OppRestDiff]]*8))</f>
        <v>-16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1427.8983138915742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1427.3793073194718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0.66166823758788285</v>
      </c>
      <c r="R363" s="1">
        <v>79</v>
      </c>
      <c r="S363" s="1">
        <v>62</v>
      </c>
      <c r="T363" s="1">
        <v>0</v>
      </c>
      <c r="U363" s="1">
        <f>Games[[#This Row],[PointsFor]]-Games[[#This Row],[PointsAgainst]]</f>
        <v>17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0.53221188452714685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71.349999999999994</v>
      </c>
      <c r="Z363" s="4">
        <f>Games[[#This Row],[K]]*Games[[#This Row],[POMult]]</f>
        <v>71.349999999999994</v>
      </c>
      <c r="AA363" s="4">
        <f>(Games[[#This Row],[Keff]]*Games[[#This Row],[MOVMult]])*(Games[[#This Row],[Result]]-Games[[#This Row],[ExpectedWin%]])</f>
        <v>12.847579590384866</v>
      </c>
      <c r="AB363" s="4">
        <f>Games[[#This Row],[PreGmRate]]+Games[[#This Row],[RatingChange]]</f>
        <v>1440.745893481959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41860</v>
      </c>
      <c r="B364" s="2">
        <v>2014</v>
      </c>
      <c r="C364" s="2">
        <f>COUNTIFS(Games[Team],Games[[#This Row],[Team]],Games[Season],Games[[#This Row],[Season]],Games[Date],"&lt;=" &amp; Games[[#This Row],[Date]])</f>
        <v>31</v>
      </c>
      <c r="D364" s="2" t="s">
        <v>83</v>
      </c>
      <c r="E364" s="2" t="s">
        <v>84</v>
      </c>
      <c r="F364" s="1" t="s">
        <v>67</v>
      </c>
      <c r="G364" s="1" t="s">
        <v>40</v>
      </c>
      <c r="H364" s="1" t="s">
        <v>85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1700.3203976216821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1701.7632120333706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0.37945823405896217</v>
      </c>
      <c r="R364" s="1">
        <v>80</v>
      </c>
      <c r="S364" s="1">
        <v>82</v>
      </c>
      <c r="T364" s="1">
        <v>0</v>
      </c>
      <c r="U364" s="1">
        <f>Games[[#This Row],[PointsFor]]-Games[[#This Row],[PointsAgainst]]</f>
        <v>-2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0.26751966978052866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71.349999999999994</v>
      </c>
      <c r="Z364" s="4">
        <f>Games[[#This Row],[K]]*Games[[#This Row],[POMult]]</f>
        <v>71.349999999999994</v>
      </c>
      <c r="AA364" s="4">
        <f>(Games[[#This Row],[Keff]]*Games[[#This Row],[MOVMult]])*(Games[[#This Row],[Result]]-Games[[#This Row],[ExpectedWin%]])</f>
        <v>-7.2429198339527181</v>
      </c>
      <c r="AB364" s="4">
        <f>Games[[#This Row],[PreGmRate]]+Games[[#This Row],[RatingChange]]</f>
        <v>1693.0774777877293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41860</v>
      </c>
      <c r="B365" s="2">
        <v>2014</v>
      </c>
      <c r="C365" s="2">
        <f>COUNTIFS(Games[Team],Games[[#This Row],[Team]],Games[Season],Games[[#This Row],[Season]],Games[Date],"&lt;=" &amp; Games[[#This Row],[Date]])</f>
        <v>30</v>
      </c>
      <c r="D365" s="2" t="s">
        <v>83</v>
      </c>
      <c r="E365" s="2" t="s">
        <v>84</v>
      </c>
      <c r="F365" s="1" t="s">
        <v>40</v>
      </c>
      <c r="G365" s="1" t="s">
        <v>67</v>
      </c>
      <c r="H365" s="1" t="s">
        <v>86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1701.7632120333706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1700.3203976216821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0.62054176594103783</v>
      </c>
      <c r="R365" s="1">
        <v>82</v>
      </c>
      <c r="S365" s="1">
        <v>80</v>
      </c>
      <c r="T365" s="1">
        <v>0</v>
      </c>
      <c r="U365" s="1">
        <f>Games[[#This Row],[PointsFor]]-Games[[#This Row],[PointsAgainst]]</f>
        <v>2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0.26751966978052866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7.2581467151733623</v>
      </c>
      <c r="AB365" s="4">
        <f>Games[[#This Row],[PreGmRate]]+Games[[#This Row],[RatingChange]]</f>
        <v>1709.0213587485439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41861</v>
      </c>
      <c r="B366" s="2">
        <v>2014</v>
      </c>
      <c r="C366" s="2">
        <f>COUNTIFS(Games[Team],Games[[#This Row],[Team]],Games[Season],Games[[#This Row],[Season]],Games[Date],"&lt;=" &amp; Games[[#This Row],[Date]])</f>
        <v>31</v>
      </c>
      <c r="D366" s="2" t="s">
        <v>83</v>
      </c>
      <c r="E366" s="2" t="s">
        <v>84</v>
      </c>
      <c r="F366" s="1" t="s">
        <v>79</v>
      </c>
      <c r="G366" s="1" t="s">
        <v>77</v>
      </c>
      <c r="H366" s="1" t="s">
        <v>85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6" s="2">
        <f>Games[[#This Row],[DaysOff]]-Games[[#This Row],[OppDaysOff]]</f>
        <v>-1</v>
      </c>
      <c r="L366" s="2">
        <f>Games[[#This Row],[OppDaysOff]]-Games[[#This Row],[DaysOff]]</f>
        <v>1</v>
      </c>
      <c r="M366" s="1">
        <f>MAX(-16, MIN(16, Games[[#This Row],[RestDiff]]*8))</f>
        <v>-8</v>
      </c>
      <c r="N366" s="1">
        <f>MAX(-16, MIN(16, Games[[#This Row],[OppRestDiff]]*8))</f>
        <v>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1513.4548553824766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1470.9103424975808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0.41806049055799072</v>
      </c>
      <c r="R366" s="1">
        <v>69</v>
      </c>
      <c r="S366" s="1">
        <v>80</v>
      </c>
      <c r="T366" s="1">
        <v>0</v>
      </c>
      <c r="U366" s="1">
        <f>Games[[#This Row],[PointsFor]]-Games[[#This Row],[PointsAgainst]]</f>
        <v>-11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0.42477606140944035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-12.670482022332191</v>
      </c>
      <c r="AB366" s="4">
        <f>Games[[#This Row],[PreGmRate]]+Games[[#This Row],[RatingChange]]</f>
        <v>1500.7843733601444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41861</v>
      </c>
      <c r="B367" s="2">
        <v>2014</v>
      </c>
      <c r="C367" s="2">
        <f>COUNTIFS(Games[Team],Games[[#This Row],[Team]],Games[Season],Games[[#This Row],[Season]],Games[Date],"&lt;=" &amp; Games[[#This Row],[Date]])</f>
        <v>31</v>
      </c>
      <c r="D367" s="2" t="s">
        <v>83</v>
      </c>
      <c r="E367" s="2" t="s">
        <v>84</v>
      </c>
      <c r="F367" s="1" t="s">
        <v>77</v>
      </c>
      <c r="G367" s="1" t="s">
        <v>79</v>
      </c>
      <c r="H367" s="1" t="s">
        <v>86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1</v>
      </c>
      <c r="L367" s="2">
        <f>Games[[#This Row],[OppDaysOff]]-Games[[#This Row],[DaysOff]]</f>
        <v>-1</v>
      </c>
      <c r="M367" s="1">
        <f>MAX(-16, MIN(16, Games[[#This Row],[RestDiff]]*8))</f>
        <v>8</v>
      </c>
      <c r="N367" s="1">
        <f>MAX(-16, MIN(16, Games[[#This Row],[OppRestDiff]]*8))</f>
        <v>-8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1470.9103424975808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1513.4548553824766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0.58193950944200923</v>
      </c>
      <c r="R367" s="1">
        <v>80</v>
      </c>
      <c r="S367" s="1">
        <v>69</v>
      </c>
      <c r="T367" s="1">
        <v>0</v>
      </c>
      <c r="U367" s="1">
        <f>Games[[#This Row],[PointsFor]]-Games[[#This Row],[PointsAgainst]]</f>
        <v>11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0.42477606140944035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12.670482022332193</v>
      </c>
      <c r="AB367" s="4">
        <f>Games[[#This Row],[PreGmRate]]+Games[[#This Row],[RatingChange]]</f>
        <v>1483.580824519913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41861</v>
      </c>
      <c r="B368" s="2">
        <v>2014</v>
      </c>
      <c r="C368" s="2">
        <f>COUNTIFS(Games[Team],Games[[#This Row],[Team]],Games[Season],Games[[#This Row],[Season]],Games[Date],"&lt;=" &amp; Games[[#This Row],[Date]])</f>
        <v>31</v>
      </c>
      <c r="D368" s="2" t="s">
        <v>83</v>
      </c>
      <c r="E368" s="2" t="s">
        <v>84</v>
      </c>
      <c r="F368" s="1" t="s">
        <v>65</v>
      </c>
      <c r="G368" s="1" t="s">
        <v>76</v>
      </c>
      <c r="H368" s="1" t="s">
        <v>85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0</v>
      </c>
      <c r="L368" s="2">
        <f>Games[[#This Row],[OppDaysOff]]-Games[[#This Row],[DaysOff]]</f>
        <v>0</v>
      </c>
      <c r="M368" s="1">
        <f>MAX(-16, MIN(16, Games[[#This Row],[RestDiff]]*8))</f>
        <v>0</v>
      </c>
      <c r="N368" s="1">
        <f>MAX(-16, MIN(16, Games[[#This Row],[OppRestDiff]]*8))</f>
        <v>0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1524.0737039786413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1397.0462508302573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0.56160684780963932</v>
      </c>
      <c r="R368" s="1">
        <v>81</v>
      </c>
      <c r="S368" s="1">
        <v>89</v>
      </c>
      <c r="T368" s="1">
        <v>1</v>
      </c>
      <c r="U368" s="1">
        <f>Games[[#This Row],[PointsFor]]-Games[[#This Row],[PointsAgainst]]</f>
        <v>-8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0.31603021987846702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-12.663535884955335</v>
      </c>
      <c r="AB368" s="4">
        <f>Games[[#This Row],[PreGmRate]]+Games[[#This Row],[RatingChange]]</f>
        <v>1511.410168093686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41861</v>
      </c>
      <c r="B369" s="2">
        <v>2014</v>
      </c>
      <c r="C369" s="2">
        <f>COUNTIFS(Games[Team],Games[[#This Row],[Team]],Games[Season],Games[[#This Row],[Season]],Games[Date],"&lt;=" &amp; Games[[#This Row],[Date]])</f>
        <v>32</v>
      </c>
      <c r="D369" s="2" t="s">
        <v>83</v>
      </c>
      <c r="E369" s="2" t="s">
        <v>84</v>
      </c>
      <c r="F369" s="1" t="s">
        <v>76</v>
      </c>
      <c r="G369" s="1" t="s">
        <v>65</v>
      </c>
      <c r="H369" s="1" t="s">
        <v>86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0</v>
      </c>
      <c r="L369" s="2">
        <f>Games[[#This Row],[OppDaysOff]]-Games[[#This Row],[DaysOff]]</f>
        <v>0</v>
      </c>
      <c r="M369" s="1">
        <f>MAX(-16, MIN(16, Games[[#This Row],[RestDiff]]*8))</f>
        <v>0</v>
      </c>
      <c r="N369" s="1">
        <f>MAX(-16, MIN(16, Games[[#This Row],[OppRestDiff]]*8))</f>
        <v>0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1397.0462508302573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1524.0737039786413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0.43839315219036079</v>
      </c>
      <c r="R369" s="1">
        <v>89</v>
      </c>
      <c r="S369" s="1">
        <v>81</v>
      </c>
      <c r="T369" s="1">
        <v>1</v>
      </c>
      <c r="U369" s="1">
        <f>Games[[#This Row],[PointsFor]]-Games[[#This Row],[PointsAgainst]]</f>
        <v>8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0.31603021987846702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71.2</v>
      </c>
      <c r="Z369" s="4">
        <f>Games[[#This Row],[K]]*Games[[#This Row],[POMult]]</f>
        <v>71.2</v>
      </c>
      <c r="AA369" s="4">
        <f>(Games[[#This Row],[Keff]]*Games[[#This Row],[MOVMult]])*(Games[[#This Row],[Result]]-Games[[#This Row],[ExpectedWin%]])</f>
        <v>12.636913174615552</v>
      </c>
      <c r="AB369" s="4">
        <f>Games[[#This Row],[PreGmRate]]+Games[[#This Row],[RatingChange]]</f>
        <v>1409.6831640048729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41861</v>
      </c>
      <c r="B370" s="2">
        <v>2014</v>
      </c>
      <c r="C370" s="2">
        <f>COUNTIFS(Games[Team],Games[[#This Row],[Team]],Games[Season],Games[[#This Row],[Season]],Games[Date],"&lt;=" &amp; Games[[#This Row],[Date]])</f>
        <v>31</v>
      </c>
      <c r="D370" s="2" t="s">
        <v>83</v>
      </c>
      <c r="E370" s="2" t="s">
        <v>84</v>
      </c>
      <c r="F370" s="1" t="s">
        <v>69</v>
      </c>
      <c r="G370" s="1" t="s">
        <v>60</v>
      </c>
      <c r="H370" s="1" t="s">
        <v>85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1464.6751437496519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1436.5517700917287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0.42027326454875452</v>
      </c>
      <c r="R370" s="1">
        <v>90</v>
      </c>
      <c r="S370" s="1">
        <v>76</v>
      </c>
      <c r="T370" s="1">
        <v>0</v>
      </c>
      <c r="U370" s="1">
        <f>Games[[#This Row],[PointsFor]]-Games[[#This Row],[PointsAgainst]]</f>
        <v>14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0.47644213667079127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19.707315546756998</v>
      </c>
      <c r="AB370" s="4">
        <f>Games[[#This Row],[PreGmRate]]+Games[[#This Row],[RatingChange]]</f>
        <v>1484.3824592964088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41861</v>
      </c>
      <c r="B371" s="2">
        <v>2014</v>
      </c>
      <c r="C371" s="2">
        <f>COUNTIFS(Games[Team],Games[[#This Row],[Team]],Games[Season],Games[[#This Row],[Season]],Games[Date],"&lt;=" &amp; Games[[#This Row],[Date]])</f>
        <v>30</v>
      </c>
      <c r="D371" s="2" t="s">
        <v>83</v>
      </c>
      <c r="E371" s="2" t="s">
        <v>84</v>
      </c>
      <c r="F371" s="1" t="s">
        <v>60</v>
      </c>
      <c r="G371" s="1" t="s">
        <v>69</v>
      </c>
      <c r="H371" s="1" t="s">
        <v>86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1436.5517700917287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1464.6751437496519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0.57972673545124553</v>
      </c>
      <c r="R371" s="1">
        <v>76</v>
      </c>
      <c r="S371" s="1">
        <v>90</v>
      </c>
      <c r="T371" s="1">
        <v>0</v>
      </c>
      <c r="U371" s="1">
        <f>Games[[#This Row],[PointsFor]]-Games[[#This Row],[PointsAgainst]]</f>
        <v>-14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0.47644213667079127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71.5</v>
      </c>
      <c r="Z371" s="4">
        <f>Games[[#This Row],[K]]*Games[[#This Row],[POMult]]</f>
        <v>71.5</v>
      </c>
      <c r="AA371" s="4">
        <f>(Games[[#This Row],[Keff]]*Games[[#This Row],[MOVMult]])*(Games[[#This Row],[Result]]-Games[[#This Row],[ExpectedWin%]])</f>
        <v>-19.748746483435539</v>
      </c>
      <c r="AB371" s="4">
        <f>Games[[#This Row],[PreGmRate]]+Games[[#This Row],[RatingChange]]</f>
        <v>1416.8030236082932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41861</v>
      </c>
      <c r="B372" s="2">
        <v>2014</v>
      </c>
      <c r="C372" s="2">
        <f>COUNTIFS(Games[Team],Games[[#This Row],[Team]],Games[Season],Games[[#This Row],[Season]],Games[Date],"&lt;=" &amp; Games[[#This Row],[Date]])</f>
        <v>31</v>
      </c>
      <c r="D372" s="2" t="s">
        <v>83</v>
      </c>
      <c r="E372" s="2" t="s">
        <v>84</v>
      </c>
      <c r="F372" s="1" t="s">
        <v>63</v>
      </c>
      <c r="G372" s="1" t="s">
        <v>74</v>
      </c>
      <c r="H372" s="1" t="s">
        <v>85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1522.2731807174825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1414.5317277290869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0.5341136165496152</v>
      </c>
      <c r="R372" s="1">
        <v>76</v>
      </c>
      <c r="S372" s="1">
        <v>82</v>
      </c>
      <c r="T372" s="1">
        <v>0</v>
      </c>
      <c r="U372" s="1">
        <f>Games[[#This Row],[PointsFor]]-Games[[#This Row],[PointsAgainst]]</f>
        <v>-6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0.32233964316563618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-12.284043569763217</v>
      </c>
      <c r="AB372" s="4">
        <f>Games[[#This Row],[PreGmRate]]+Games[[#This Row],[RatingChange]]</f>
        <v>1509.9891371477192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41861</v>
      </c>
      <c r="B373" s="2">
        <v>2014</v>
      </c>
      <c r="C373" s="2">
        <f>COUNTIFS(Games[Team],Games[[#This Row],[Team]],Games[Season],Games[[#This Row],[Season]],Games[Date],"&lt;=" &amp; Games[[#This Row],[Date]])</f>
        <v>32</v>
      </c>
      <c r="D373" s="2" t="s">
        <v>83</v>
      </c>
      <c r="E373" s="2" t="s">
        <v>84</v>
      </c>
      <c r="F373" s="1" t="s">
        <v>74</v>
      </c>
      <c r="G373" s="1" t="s">
        <v>63</v>
      </c>
      <c r="H373" s="1" t="s">
        <v>86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1414.5317277290869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1522.2731807174825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0.46588638345038474</v>
      </c>
      <c r="R373" s="1">
        <v>82</v>
      </c>
      <c r="S373" s="1">
        <v>76</v>
      </c>
      <c r="T373" s="1">
        <v>0</v>
      </c>
      <c r="U373" s="1">
        <f>Games[[#This Row],[PointsFor]]-Games[[#This Row],[PointsAgainst]]</f>
        <v>6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0.32233964316563618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71.2</v>
      </c>
      <c r="Z373" s="4">
        <f>Games[[#This Row],[K]]*Games[[#This Row],[POMult]]</f>
        <v>71.2</v>
      </c>
      <c r="AA373" s="4">
        <f>(Games[[#This Row],[Keff]]*Games[[#This Row],[MOVMult]])*(Games[[#This Row],[Result]]-Games[[#This Row],[ExpectedWin%]])</f>
        <v>12.258218670877939</v>
      </c>
      <c r="AB373" s="4">
        <f>Games[[#This Row],[PreGmRate]]+Games[[#This Row],[RatingChange]]</f>
        <v>1426.7899463999649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41861</v>
      </c>
      <c r="B374" s="2">
        <v>2014</v>
      </c>
      <c r="C374" s="2">
        <f>COUNTIFS(Games[Team],Games[[#This Row],[Team]],Games[Season],Games[[#This Row],[Season]],Games[Date],"&lt;=" &amp; Games[[#This Row],[Date]])</f>
        <v>32</v>
      </c>
      <c r="D374" s="2" t="s">
        <v>83</v>
      </c>
      <c r="E374" s="2" t="s">
        <v>84</v>
      </c>
      <c r="F374" s="1" t="s">
        <v>81</v>
      </c>
      <c r="G374" s="1" t="s">
        <v>71</v>
      </c>
      <c r="H374" s="1" t="s">
        <v>85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-1</v>
      </c>
      <c r="L374" s="2">
        <f>Games[[#This Row],[OppDaysOff]]-Games[[#This Row],[DaysOff]]</f>
        <v>1</v>
      </c>
      <c r="M374" s="1">
        <f>MAX(-16, MIN(16, Games[[#This Row],[RestDiff]]*8))</f>
        <v>-8</v>
      </c>
      <c r="N374" s="1">
        <f>MAX(-16, MIN(16, Games[[#This Row],[OppRestDiff]]*8))</f>
        <v>8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1440.745893481959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1416.1591353582121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0.39314449082454372</v>
      </c>
      <c r="R374" s="1">
        <v>68</v>
      </c>
      <c r="S374" s="1">
        <v>74</v>
      </c>
      <c r="T374" s="1">
        <v>0</v>
      </c>
      <c r="U374" s="1">
        <f>Games[[#This Row],[PointsFor]]-Games[[#This Row],[PointsAgainst]]</f>
        <v>-6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0.34422788790812064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71.2</v>
      </c>
      <c r="Z374" s="4">
        <f>Games[[#This Row],[K]]*Games[[#This Row],[POMult]]</f>
        <v>71.2</v>
      </c>
      <c r="AA374" s="4">
        <f>(Games[[#This Row],[Keff]]*Games[[#This Row],[MOVMult]])*(Games[[#This Row],[Result]]-Games[[#This Row],[ExpectedWin%]])</f>
        <v>-9.6355883976103307</v>
      </c>
      <c r="AB374" s="4">
        <f>Games[[#This Row],[PreGmRate]]+Games[[#This Row],[RatingChange]]</f>
        <v>1431.1103050843487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41861</v>
      </c>
      <c r="B375" s="2">
        <v>2014</v>
      </c>
      <c r="C375" s="2">
        <f>COUNTIFS(Games[Team],Games[[#This Row],[Team]],Games[Season],Games[[#This Row],[Season]],Games[Date],"&lt;=" &amp; Games[[#This Row],[Date]])</f>
        <v>32</v>
      </c>
      <c r="D375" s="2" t="s">
        <v>83</v>
      </c>
      <c r="E375" s="2" t="s">
        <v>84</v>
      </c>
      <c r="F375" s="1" t="s">
        <v>71</v>
      </c>
      <c r="G375" s="1" t="s">
        <v>81</v>
      </c>
      <c r="H375" s="1" t="s">
        <v>86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5" s="2">
        <f>Games[[#This Row],[DaysOff]]-Games[[#This Row],[OppDaysOff]]</f>
        <v>1</v>
      </c>
      <c r="L375" s="2">
        <f>Games[[#This Row],[OppDaysOff]]-Games[[#This Row],[DaysOff]]</f>
        <v>-1</v>
      </c>
      <c r="M375" s="1">
        <f>MAX(-16, MIN(16, Games[[#This Row],[RestDiff]]*8))</f>
        <v>8</v>
      </c>
      <c r="N375" s="1">
        <f>MAX(-16, MIN(16, Games[[#This Row],[OppRestDiff]]*8))</f>
        <v>-8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1416.1591353582121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1440.745893481959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0.60685550917545628</v>
      </c>
      <c r="R375" s="1">
        <v>74</v>
      </c>
      <c r="S375" s="1">
        <v>68</v>
      </c>
      <c r="T375" s="1">
        <v>0</v>
      </c>
      <c r="U375" s="1">
        <f>Games[[#This Row],[PointsFor]]-Games[[#This Row],[PointsAgainst]]</f>
        <v>6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0.34422788790812064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71.2</v>
      </c>
      <c r="Z375" s="4">
        <f>Games[[#This Row],[K]]*Games[[#This Row],[POMult]]</f>
        <v>71.2</v>
      </c>
      <c r="AA375" s="4">
        <f>(Games[[#This Row],[Keff]]*Games[[#This Row],[MOVMult]])*(Games[[#This Row],[Result]]-Games[[#This Row],[ExpectedWin%]])</f>
        <v>9.6355883976103307</v>
      </c>
      <c r="AB375" s="4">
        <f>Games[[#This Row],[PreGmRate]]+Games[[#This Row],[RatingChange]]</f>
        <v>1425.7947237558224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41863</v>
      </c>
      <c r="B376" s="2">
        <v>2014</v>
      </c>
      <c r="C376" s="2">
        <f>COUNTIFS(Games[Team],Games[[#This Row],[Team]],Games[Season],Games[[#This Row],[Season]],Games[Date],"&lt;=" &amp; Games[[#This Row],[Date]])</f>
        <v>32</v>
      </c>
      <c r="D376" s="2" t="s">
        <v>83</v>
      </c>
      <c r="E376" s="2" t="s">
        <v>84</v>
      </c>
      <c r="F376" s="1" t="s">
        <v>63</v>
      </c>
      <c r="G376" s="1" t="s">
        <v>67</v>
      </c>
      <c r="H376" s="1" t="s">
        <v>85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6" s="2">
        <f>Games[[#This Row],[DaysOff]]-Games[[#This Row],[OppDaysOff]]</f>
        <v>-1</v>
      </c>
      <c r="L376" s="2">
        <f>Games[[#This Row],[OppDaysOff]]-Games[[#This Row],[DaysOff]]</f>
        <v>1</v>
      </c>
      <c r="M376" s="1">
        <f>MAX(-16, MIN(16, Games[[#This Row],[RestDiff]]*8))</f>
        <v>-8</v>
      </c>
      <c r="N376" s="1">
        <f>MAX(-16, MIN(16, Games[[#This Row],[OppRestDiff]]*8))</f>
        <v>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1509.9891371477192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1693.0774777877293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0.16388687976774469</v>
      </c>
      <c r="R376" s="1">
        <v>71</v>
      </c>
      <c r="S376" s="1">
        <v>63</v>
      </c>
      <c r="T376" s="1">
        <v>0</v>
      </c>
      <c r="U376" s="1">
        <f>Games[[#This Row],[PointsFor]]-Games[[#This Row],[PointsAgainst]]</f>
        <v>8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0.33691169848773339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71.2</v>
      </c>
      <c r="Z376" s="4">
        <f>Games[[#This Row],[K]]*Games[[#This Row],[POMult]]</f>
        <v>71.2</v>
      </c>
      <c r="AA376" s="4">
        <f>(Games[[#This Row],[Keff]]*Games[[#This Row],[MOVMult]])*(Games[[#This Row],[Result]]-Games[[#This Row],[ExpectedWin%]])</f>
        <v>20.056775952331325</v>
      </c>
      <c r="AB376" s="4">
        <f>Games[[#This Row],[PreGmRate]]+Games[[#This Row],[RatingChange]]</f>
        <v>1530.0459131000505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41863</v>
      </c>
      <c r="B377" s="2">
        <v>2014</v>
      </c>
      <c r="C377" s="2">
        <f>COUNTIFS(Games[Team],Games[[#This Row],[Team]],Games[Season],Games[[#This Row],[Season]],Games[Date],"&lt;=" &amp; Games[[#This Row],[Date]])</f>
        <v>32</v>
      </c>
      <c r="D377" s="2" t="s">
        <v>83</v>
      </c>
      <c r="E377" s="2" t="s">
        <v>84</v>
      </c>
      <c r="F377" s="1" t="s">
        <v>67</v>
      </c>
      <c r="G377" s="1" t="s">
        <v>63</v>
      </c>
      <c r="H377" s="1" t="s">
        <v>86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1</v>
      </c>
      <c r="L377" s="2">
        <f>Games[[#This Row],[OppDaysOff]]-Games[[#This Row],[DaysOff]]</f>
        <v>-1</v>
      </c>
      <c r="M377" s="1">
        <f>MAX(-16, MIN(16, Games[[#This Row],[RestDiff]]*8))</f>
        <v>8</v>
      </c>
      <c r="N377" s="1">
        <f>MAX(-16, MIN(16, Games[[#This Row],[OppRestDiff]]*8))</f>
        <v>-8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1693.0774777877293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1509.9891371477192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0.83611312023225537</v>
      </c>
      <c r="R377" s="1">
        <v>63</v>
      </c>
      <c r="S377" s="1">
        <v>71</v>
      </c>
      <c r="T377" s="1">
        <v>0</v>
      </c>
      <c r="U377" s="1">
        <f>Games[[#This Row],[PointsFor]]-Games[[#This Row],[PointsAgainst]]</f>
        <v>-8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0.33691169848773339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-20.056775952331325</v>
      </c>
      <c r="AB377" s="4">
        <f>Games[[#This Row],[PreGmRate]]+Games[[#This Row],[RatingChange]]</f>
        <v>1673.0207018353981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41863</v>
      </c>
      <c r="B378" s="2">
        <v>2014</v>
      </c>
      <c r="C378" s="2">
        <f>COUNTIFS(Games[Team],Games[[#This Row],[Team]],Games[Season],Games[[#This Row],[Season]],Games[Date],"&lt;=" &amp; Games[[#This Row],[Date]])</f>
        <v>31</v>
      </c>
      <c r="D378" s="2" t="s">
        <v>83</v>
      </c>
      <c r="E378" s="2" t="s">
        <v>84</v>
      </c>
      <c r="F378" s="1" t="s">
        <v>40</v>
      </c>
      <c r="G378" s="1" t="s">
        <v>60</v>
      </c>
      <c r="H378" s="1" t="s">
        <v>85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1</v>
      </c>
      <c r="L378" s="2">
        <f>Games[[#This Row],[OppDaysOff]]-Games[[#This Row],[DaysOff]]</f>
        <v>-1</v>
      </c>
      <c r="M378" s="1">
        <f>MAX(-16, MIN(16, Games[[#This Row],[RestDiff]]*8))</f>
        <v>8</v>
      </c>
      <c r="N378" s="1">
        <f>MAX(-16, MIN(16, Games[[#This Row],[OppRestDiff]]*8))</f>
        <v>-8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1709.0213587485439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1416.8030236082932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0.78426640757861843</v>
      </c>
      <c r="R378" s="1">
        <v>76</v>
      </c>
      <c r="S378" s="1">
        <v>64</v>
      </c>
      <c r="T378" s="1">
        <v>0</v>
      </c>
      <c r="U378" s="1">
        <f>Games[[#This Row],[PointsFor]]-Games[[#This Row],[PointsAgainst]]</f>
        <v>12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0.36680646444436293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71.349999999999994</v>
      </c>
      <c r="Z378" s="4">
        <f>Games[[#This Row],[K]]*Games[[#This Row],[POMult]]</f>
        <v>71.349999999999994</v>
      </c>
      <c r="AA378" s="4">
        <f>(Games[[#This Row],[Keff]]*Games[[#This Row],[MOVMult]])*(Games[[#This Row],[Result]]-Games[[#This Row],[ExpectedWin%]])</f>
        <v>5.6461021838600294</v>
      </c>
      <c r="AB378" s="4">
        <f>Games[[#This Row],[PreGmRate]]+Games[[#This Row],[RatingChange]]</f>
        <v>1714.6674609324039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41863</v>
      </c>
      <c r="B379" s="2">
        <v>2014</v>
      </c>
      <c r="C379" s="2">
        <f>COUNTIFS(Games[Team],Games[[#This Row],[Team]],Games[Season],Games[[#This Row],[Season]],Games[Date],"&lt;=" &amp; Games[[#This Row],[Date]])</f>
        <v>31</v>
      </c>
      <c r="D379" s="2" t="s">
        <v>83</v>
      </c>
      <c r="E379" s="2" t="s">
        <v>84</v>
      </c>
      <c r="F379" s="1" t="s">
        <v>60</v>
      </c>
      <c r="G379" s="1" t="s">
        <v>40</v>
      </c>
      <c r="H379" s="1" t="s">
        <v>86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9" s="2">
        <f>Games[[#This Row],[DaysOff]]-Games[[#This Row],[OppDaysOff]]</f>
        <v>-1</v>
      </c>
      <c r="L379" s="2">
        <f>Games[[#This Row],[OppDaysOff]]-Games[[#This Row],[DaysOff]]</f>
        <v>1</v>
      </c>
      <c r="M379" s="1">
        <f>MAX(-16, MIN(16, Games[[#This Row],[RestDiff]]*8))</f>
        <v>-8</v>
      </c>
      <c r="N379" s="1">
        <f>MAX(-16, MIN(16, Games[[#This Row],[OppRestDiff]]*8))</f>
        <v>8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1416.8030236082932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1709.0213587485439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0.21573359242138149</v>
      </c>
      <c r="R379" s="1">
        <v>64</v>
      </c>
      <c r="S379" s="1">
        <v>76</v>
      </c>
      <c r="T379" s="1">
        <v>0</v>
      </c>
      <c r="U379" s="1">
        <f>Games[[#This Row],[PointsFor]]-Games[[#This Row],[PointsAgainst]]</f>
        <v>-12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0.36680646444436293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71.349999999999994</v>
      </c>
      <c r="Z379" s="4">
        <f>Games[[#This Row],[K]]*Games[[#This Row],[POMult]]</f>
        <v>71.349999999999994</v>
      </c>
      <c r="AA379" s="4">
        <f>(Games[[#This Row],[Keff]]*Games[[#This Row],[MOVMult]])*(Games[[#This Row],[Result]]-Games[[#This Row],[ExpectedWin%]])</f>
        <v>-5.6461021838600276</v>
      </c>
      <c r="AB379" s="4">
        <f>Games[[#This Row],[PreGmRate]]+Games[[#This Row],[RatingChange]]</f>
        <v>1411.1569214244332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41864</v>
      </c>
      <c r="B380" s="2">
        <v>2014</v>
      </c>
      <c r="C380" s="2">
        <f>COUNTIFS(Games[Team],Games[[#This Row],[Team]],Games[Season],Games[[#This Row],[Season]],Games[Date],"&lt;=" &amp; Games[[#This Row],[Date]])</f>
        <v>32</v>
      </c>
      <c r="D380" s="2" t="s">
        <v>83</v>
      </c>
      <c r="E380" s="2" t="s">
        <v>84</v>
      </c>
      <c r="F380" s="1" t="s">
        <v>40</v>
      </c>
      <c r="G380" s="1" t="s">
        <v>79</v>
      </c>
      <c r="H380" s="1" t="s">
        <v>85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0" s="2">
        <f>Games[[#This Row],[DaysOff]]-Games[[#This Row],[OppDaysOff]]</f>
        <v>-2</v>
      </c>
      <c r="L380" s="2">
        <f>Games[[#This Row],[OppDaysOff]]-Games[[#This Row],[DaysOff]]</f>
        <v>2</v>
      </c>
      <c r="M380" s="1">
        <f>MAX(-16, MIN(16, Games[[#This Row],[RestDiff]]*8))</f>
        <v>-16</v>
      </c>
      <c r="N380" s="1">
        <f>MAX(-16, MIN(16, Games[[#This Row],[OppRestDiff]]*8))</f>
        <v>16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1714.6674609324039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1500.7843733601444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0.63725281884976837</v>
      </c>
      <c r="R380" s="1">
        <v>82</v>
      </c>
      <c r="S380" s="1">
        <v>96</v>
      </c>
      <c r="T380" s="1">
        <v>0</v>
      </c>
      <c r="U380" s="1">
        <f>Games[[#This Row],[PointsFor]]-Games[[#This Row],[PointsAgainst]]</f>
        <v>-14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0.4138459037979102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-18.777182176042963</v>
      </c>
      <c r="AB380" s="4">
        <f>Games[[#This Row],[PreGmRate]]+Games[[#This Row],[RatingChange]]</f>
        <v>1695.8902787563609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41864</v>
      </c>
      <c r="B381" s="2">
        <v>2014</v>
      </c>
      <c r="C381" s="2">
        <f>COUNTIFS(Games[Team],Games[[#This Row],[Team]],Games[Season],Games[[#This Row],[Season]],Games[Date],"&lt;=" &amp; Games[[#This Row],[Date]])</f>
        <v>32</v>
      </c>
      <c r="D381" s="2" t="s">
        <v>83</v>
      </c>
      <c r="E381" s="2" t="s">
        <v>84</v>
      </c>
      <c r="F381" s="1" t="s">
        <v>79</v>
      </c>
      <c r="G381" s="1" t="s">
        <v>40</v>
      </c>
      <c r="H381" s="1" t="s">
        <v>86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1" s="2">
        <f>Games[[#This Row],[DaysOff]]-Games[[#This Row],[OppDaysOff]]</f>
        <v>2</v>
      </c>
      <c r="L381" s="2">
        <f>Games[[#This Row],[OppDaysOff]]-Games[[#This Row],[DaysOff]]</f>
        <v>-2</v>
      </c>
      <c r="M381" s="1">
        <f>MAX(-16, MIN(16, Games[[#This Row],[RestDiff]]*8))</f>
        <v>16</v>
      </c>
      <c r="N381" s="1">
        <f>MAX(-16, MIN(16, Games[[#This Row],[OppRestDiff]]*8))</f>
        <v>-16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1500.7843733601444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1714.6674609324039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0.36274718115023163</v>
      </c>
      <c r="R381" s="1">
        <v>96</v>
      </c>
      <c r="S381" s="1">
        <v>82</v>
      </c>
      <c r="T381" s="1">
        <v>0</v>
      </c>
      <c r="U381" s="1">
        <f>Games[[#This Row],[PointsFor]]-Games[[#This Row],[PointsAgainst]]</f>
        <v>14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0.4138459037979102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18.777182176042963</v>
      </c>
      <c r="AB381" s="4">
        <f>Games[[#This Row],[PreGmRate]]+Games[[#This Row],[RatingChange]]</f>
        <v>1519.5615555361874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41864</v>
      </c>
      <c r="B382" s="2">
        <v>2014</v>
      </c>
      <c r="C382" s="2">
        <f>COUNTIFS(Games[Team],Games[[#This Row],[Team]],Games[Season],Games[[#This Row],[Season]],Games[Date],"&lt;=" &amp; Games[[#This Row],[Date]])</f>
        <v>32</v>
      </c>
      <c r="D382" s="2" t="s">
        <v>83</v>
      </c>
      <c r="E382" s="2" t="s">
        <v>84</v>
      </c>
      <c r="F382" s="1" t="s">
        <v>77</v>
      </c>
      <c r="G382" s="1" t="s">
        <v>65</v>
      </c>
      <c r="H382" s="1" t="s">
        <v>85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1483.580824519913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1511.410168093686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0.34440127020567807</v>
      </c>
      <c r="R382" s="1">
        <v>72</v>
      </c>
      <c r="S382" s="1">
        <v>69</v>
      </c>
      <c r="T382" s="1">
        <v>0</v>
      </c>
      <c r="U382" s="1">
        <f>Games[[#This Row],[PointsFor]]-Games[[#This Row],[PointsAgainst]]</f>
        <v>3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0.28360637179830289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13.238356770413105</v>
      </c>
      <c r="AB382" s="4">
        <f>Games[[#This Row],[PreGmRate]]+Games[[#This Row],[RatingChange]]</f>
        <v>1496.819181290326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41864</v>
      </c>
      <c r="B383" s="2">
        <v>2014</v>
      </c>
      <c r="C383" s="2">
        <f>COUNTIFS(Games[Team],Games[[#This Row],[Team]],Games[Season],Games[[#This Row],[Season]],Games[Date],"&lt;=" &amp; Games[[#This Row],[Date]])</f>
        <v>32</v>
      </c>
      <c r="D383" s="2" t="s">
        <v>83</v>
      </c>
      <c r="E383" s="2" t="s">
        <v>84</v>
      </c>
      <c r="F383" s="1" t="s">
        <v>65</v>
      </c>
      <c r="G383" s="1" t="s">
        <v>77</v>
      </c>
      <c r="H383" s="1" t="s">
        <v>86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1511.410168093686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1483.580824519913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0.65559872979432188</v>
      </c>
      <c r="R383" s="1">
        <v>69</v>
      </c>
      <c r="S383" s="1">
        <v>72</v>
      </c>
      <c r="T383" s="1">
        <v>0</v>
      </c>
      <c r="U383" s="1">
        <f>Games[[#This Row],[PointsFor]]-Games[[#This Row],[PointsAgainst]]</f>
        <v>-3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0.28360637179830289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-13.238356770413102</v>
      </c>
      <c r="AB383" s="4">
        <f>Games[[#This Row],[PreGmRate]]+Games[[#This Row],[RatingChange]]</f>
        <v>1498.171811323273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41865</v>
      </c>
      <c r="B384" s="2">
        <v>2014</v>
      </c>
      <c r="C384" s="2">
        <f>COUNTIFS(Games[Team],Games[[#This Row],[Team]],Games[Season],Games[[#This Row],[Season]],Games[Date],"&lt;=" &amp; Games[[#This Row],[Date]])</f>
        <v>32</v>
      </c>
      <c r="D384" s="2" t="s">
        <v>83</v>
      </c>
      <c r="E384" s="2" t="s">
        <v>84</v>
      </c>
      <c r="F384" s="1" t="s">
        <v>60</v>
      </c>
      <c r="G384" s="1" t="s">
        <v>69</v>
      </c>
      <c r="H384" s="1" t="s">
        <v>85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4" s="2">
        <f>Games[[#This Row],[DaysOff]]-Games[[#This Row],[OppDaysOff]]</f>
        <v>-2</v>
      </c>
      <c r="L384" s="2">
        <f>Games[[#This Row],[OppDaysOff]]-Games[[#This Row],[DaysOff]]</f>
        <v>2</v>
      </c>
      <c r="M384" s="1">
        <f>MAX(-16, MIN(16, Games[[#This Row],[RestDiff]]*8))</f>
        <v>-16</v>
      </c>
      <c r="N384" s="1">
        <f>MAX(-16, MIN(16, Games[[#This Row],[OppRestDiff]]*8))</f>
        <v>16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1411.1569214244332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1484.3824592964088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0.25175581288975918</v>
      </c>
      <c r="R384" s="1">
        <v>63</v>
      </c>
      <c r="S384" s="1">
        <v>76</v>
      </c>
      <c r="T384" s="1">
        <v>0</v>
      </c>
      <c r="U384" s="1">
        <f>Games[[#This Row],[PointsFor]]-Games[[#This Row],[PointsAgainst]]</f>
        <v>-13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0.44489565275582665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-7.9747607497992181</v>
      </c>
      <c r="AB384" s="4">
        <f>Games[[#This Row],[PreGmRate]]+Games[[#This Row],[RatingChange]]</f>
        <v>1403.1821606746339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41865</v>
      </c>
      <c r="B385" s="2">
        <v>2014</v>
      </c>
      <c r="C385" s="2">
        <f>COUNTIFS(Games[Team],Games[[#This Row],[Team]],Games[Season],Games[[#This Row],[Season]],Games[Date],"&lt;=" &amp; Games[[#This Row],[Date]])</f>
        <v>32</v>
      </c>
      <c r="D385" s="2" t="s">
        <v>83</v>
      </c>
      <c r="E385" s="2" t="s">
        <v>84</v>
      </c>
      <c r="F385" s="1" t="s">
        <v>69</v>
      </c>
      <c r="G385" s="1" t="s">
        <v>60</v>
      </c>
      <c r="H385" s="1" t="s">
        <v>86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2</v>
      </c>
      <c r="L385" s="2">
        <f>Games[[#This Row],[OppDaysOff]]-Games[[#This Row],[DaysOff]]</f>
        <v>-2</v>
      </c>
      <c r="M385" s="1">
        <f>MAX(-16, MIN(16, Games[[#This Row],[RestDiff]]*8))</f>
        <v>16</v>
      </c>
      <c r="N385" s="1">
        <f>MAX(-16, MIN(16, Games[[#This Row],[OppRestDiff]]*8))</f>
        <v>-16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1484.3824592964088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1411.1569214244332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0.74824418711024088</v>
      </c>
      <c r="R385" s="1">
        <v>76</v>
      </c>
      <c r="S385" s="1">
        <v>63</v>
      </c>
      <c r="T385" s="1">
        <v>0</v>
      </c>
      <c r="U385" s="1">
        <f>Games[[#This Row],[PointsFor]]-Games[[#This Row],[PointsAgainst]]</f>
        <v>13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0.44489565275582665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7.9747607497992163</v>
      </c>
      <c r="AB385" s="4">
        <f>Games[[#This Row],[PreGmRate]]+Games[[#This Row],[RatingChange]]</f>
        <v>1492.3572200462081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41866</v>
      </c>
      <c r="B386" s="2">
        <v>2014</v>
      </c>
      <c r="C386" s="2">
        <f>COUNTIFS(Games[Team],Games[[#This Row],[Team]],Games[Season],Games[[#This Row],[Season]],Games[Date],"&lt;=" &amp; Games[[#This Row],[Date]])</f>
        <v>33</v>
      </c>
      <c r="D386" s="2" t="s">
        <v>83</v>
      </c>
      <c r="E386" s="2" t="s">
        <v>84</v>
      </c>
      <c r="F386" s="1" t="s">
        <v>81</v>
      </c>
      <c r="G386" s="1" t="s">
        <v>79</v>
      </c>
      <c r="H386" s="1" t="s">
        <v>85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3</v>
      </c>
      <c r="L386" s="2">
        <f>Games[[#This Row],[OppDaysOff]]-Games[[#This Row],[DaysOff]]</f>
        <v>-3</v>
      </c>
      <c r="M386" s="1">
        <f>MAX(-16, MIN(16, Games[[#This Row],[RestDiff]]*8))</f>
        <v>16</v>
      </c>
      <c r="N386" s="1">
        <f>MAX(-16, MIN(16, Games[[#This Row],[OppRestDiff]]*8))</f>
        <v>-16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1431.1103050843487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1519.5615555361874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0.30820971931617147</v>
      </c>
      <c r="R386" s="1">
        <v>76</v>
      </c>
      <c r="S386" s="1">
        <v>92</v>
      </c>
      <c r="T386" s="1">
        <v>0</v>
      </c>
      <c r="U386" s="1">
        <f>Games[[#This Row],[PointsFor]]-Games[[#This Row],[PointsAgainst]]</f>
        <v>-16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0.48224039405307684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71.05</v>
      </c>
      <c r="Z386" s="4">
        <f>Games[[#This Row],[K]]*Games[[#This Row],[POMult]]</f>
        <v>71.05</v>
      </c>
      <c r="AA386" s="4">
        <f>(Games[[#This Row],[Keff]]*Games[[#This Row],[MOVMult]])*(Games[[#This Row],[Result]]-Games[[#This Row],[ExpectedWin%]])</f>
        <v>-10.560245089900031</v>
      </c>
      <c r="AB386" s="4">
        <f>Games[[#This Row],[PreGmRate]]+Games[[#This Row],[RatingChange]]</f>
        <v>1420.5500599944487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41866</v>
      </c>
      <c r="B387" s="2">
        <v>2014</v>
      </c>
      <c r="C387" s="2">
        <f>COUNTIFS(Games[Team],Games[[#This Row],[Team]],Games[Season],Games[[#This Row],[Season]],Games[Date],"&lt;=" &amp; Games[[#This Row],[Date]])</f>
        <v>33</v>
      </c>
      <c r="D387" s="2" t="s">
        <v>83</v>
      </c>
      <c r="E387" s="2" t="s">
        <v>84</v>
      </c>
      <c r="F387" s="1" t="s">
        <v>79</v>
      </c>
      <c r="G387" s="1" t="s">
        <v>81</v>
      </c>
      <c r="H387" s="1" t="s">
        <v>86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7" s="2">
        <f>Games[[#This Row],[DaysOff]]-Games[[#This Row],[OppDaysOff]]</f>
        <v>-3</v>
      </c>
      <c r="L387" s="2">
        <f>Games[[#This Row],[OppDaysOff]]-Games[[#This Row],[DaysOff]]</f>
        <v>3</v>
      </c>
      <c r="M387" s="1">
        <f>MAX(-16, MIN(16, Games[[#This Row],[RestDiff]]*8))</f>
        <v>-16</v>
      </c>
      <c r="N387" s="1">
        <f>MAX(-16, MIN(16, Games[[#This Row],[OppRestDiff]]*8))</f>
        <v>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1519.5615555361874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1431.1103050843487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0.69179028068382853</v>
      </c>
      <c r="R387" s="1">
        <v>92</v>
      </c>
      <c r="S387" s="1">
        <v>76</v>
      </c>
      <c r="T387" s="1">
        <v>0</v>
      </c>
      <c r="U387" s="1">
        <f>Games[[#This Row],[PointsFor]]-Games[[#This Row],[PointsAgainst]]</f>
        <v>16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0.48224039405307684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71.05</v>
      </c>
      <c r="Z387" s="4">
        <f>Games[[#This Row],[K]]*Games[[#This Row],[POMult]]</f>
        <v>71.05</v>
      </c>
      <c r="AA387" s="4">
        <f>(Games[[#This Row],[Keff]]*Games[[#This Row],[MOVMult]])*(Games[[#This Row],[Result]]-Games[[#This Row],[ExpectedWin%]])</f>
        <v>10.560245089900031</v>
      </c>
      <c r="AB387" s="4">
        <f>Games[[#This Row],[PreGmRate]]+Games[[#This Row],[RatingChange]]</f>
        <v>1530.1218006260874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41866</v>
      </c>
      <c r="B388" s="2">
        <v>2014</v>
      </c>
      <c r="C388" s="2">
        <f>COUNTIFS(Games[Team],Games[[#This Row],[Team]],Games[Season],Games[[#This Row],[Season]],Games[Date],"&lt;=" &amp; Games[[#This Row],[Date]])</f>
        <v>33</v>
      </c>
      <c r="D388" s="2" t="s">
        <v>83</v>
      </c>
      <c r="E388" s="2" t="s">
        <v>84</v>
      </c>
      <c r="F388" s="1" t="s">
        <v>65</v>
      </c>
      <c r="G388" s="1" t="s">
        <v>76</v>
      </c>
      <c r="H388" s="1" t="s">
        <v>85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88" s="2">
        <f>Games[[#This Row],[DaysOff]]-Games[[#This Row],[OppDaysOff]]</f>
        <v>-3</v>
      </c>
      <c r="L388" s="2">
        <f>Games[[#This Row],[OppDaysOff]]-Games[[#This Row],[DaysOff]]</f>
        <v>3</v>
      </c>
      <c r="M388" s="1">
        <f>MAX(-16, MIN(16, Games[[#This Row],[RestDiff]]*8))</f>
        <v>-16</v>
      </c>
      <c r="N388" s="1">
        <f>MAX(-16, MIN(16, Games[[#This Row],[OppRestDiff]]*8))</f>
        <v>16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1498.171811323273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1409.6831640048729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0.46049052267654389</v>
      </c>
      <c r="R388" s="1">
        <v>71</v>
      </c>
      <c r="S388" s="1">
        <v>67</v>
      </c>
      <c r="T388" s="1">
        <v>0</v>
      </c>
      <c r="U388" s="1">
        <f>Games[[#This Row],[PointsFor]]-Games[[#This Row],[PointsAgainst]]</f>
        <v>4</v>
      </c>
      <c r="V388" s="1">
        <f>IF(Games[[#This Row],[MOV]]&gt;0,1,IF(Games[[#This Row],[MOV]]=0,0.5,0))</f>
        <v>1</v>
      </c>
      <c r="W388" s="4">
        <f>((ABS(Games[[#This Row],[MOV]])+5)^0.6)/(12+0.01*(ABS(Games[[#This Row],[PreGmRate]]-Games[[#This Row],[OppPreGmRate]])))*IF(Games[[#This Row],[OT]]=1,0.9,1)</f>
        <v>0.29004468348435897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71.05</v>
      </c>
      <c r="Z388" s="4">
        <f>Games[[#This Row],[K]]*Games[[#This Row],[POMult]]</f>
        <v>71.05</v>
      </c>
      <c r="AA388" s="4">
        <f>(Games[[#This Row],[Keff]]*Games[[#This Row],[MOVMult]])*(Games[[#This Row],[Result]]-Games[[#This Row],[ExpectedWin%]])</f>
        <v>11.118035839463012</v>
      </c>
      <c r="AB388" s="4">
        <f>Games[[#This Row],[PreGmRate]]+Games[[#This Row],[RatingChange]]</f>
        <v>1509.2898471627361</v>
      </c>
      <c r="AC388" s="2">
        <f>IF(Games[[#This Row],[Type]]="R",IF(Games[[#This Row],[Result]]&gt;0.5,1,0),0)</f>
        <v>1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41866</v>
      </c>
      <c r="B389" s="2">
        <v>2014</v>
      </c>
      <c r="C389" s="2">
        <f>COUNTIFS(Games[Team],Games[[#This Row],[Team]],Games[Season],Games[[#This Row],[Season]],Games[Date],"&lt;=" &amp; Games[[#This Row],[Date]])</f>
        <v>33</v>
      </c>
      <c r="D389" s="2" t="s">
        <v>83</v>
      </c>
      <c r="E389" s="2" t="s">
        <v>84</v>
      </c>
      <c r="F389" s="1" t="s">
        <v>76</v>
      </c>
      <c r="G389" s="1" t="s">
        <v>65</v>
      </c>
      <c r="H389" s="1" t="s">
        <v>86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3</v>
      </c>
      <c r="L389" s="2">
        <f>Games[[#This Row],[OppDaysOff]]-Games[[#This Row],[DaysOff]]</f>
        <v>-3</v>
      </c>
      <c r="M389" s="1">
        <f>MAX(-16, MIN(16, Games[[#This Row],[RestDiff]]*8))</f>
        <v>16</v>
      </c>
      <c r="N389" s="1">
        <f>MAX(-16, MIN(16, Games[[#This Row],[OppRestDiff]]*8))</f>
        <v>-16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1409.6831640048729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1498.171811323273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0.53950947732345611</v>
      </c>
      <c r="R389" s="1">
        <v>67</v>
      </c>
      <c r="S389" s="1">
        <v>71</v>
      </c>
      <c r="T389" s="1">
        <v>0</v>
      </c>
      <c r="U389" s="1">
        <f>Games[[#This Row],[PointsFor]]-Games[[#This Row],[PointsAgainst]]</f>
        <v>-4</v>
      </c>
      <c r="V389" s="1">
        <f>IF(Games[[#This Row],[MOV]]&gt;0,1,IF(Games[[#This Row],[MOV]]=0,0.5,0))</f>
        <v>0</v>
      </c>
      <c r="W389" s="4">
        <f>((ABS(Games[[#This Row],[MOV]])+5)^0.6)/(12+0.01*(ABS(Games[[#This Row],[PreGmRate]]-Games[[#This Row],[OppPreGmRate]])))*IF(Games[[#This Row],[OT]]=1,0.9,1)</f>
        <v>0.29004468348435897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71.05</v>
      </c>
      <c r="Z389" s="4">
        <f>Games[[#This Row],[K]]*Games[[#This Row],[POMult]]</f>
        <v>71.05</v>
      </c>
      <c r="AA389" s="4">
        <f>(Games[[#This Row],[Keff]]*Games[[#This Row],[MOVMult]])*(Games[[#This Row],[Result]]-Games[[#This Row],[ExpectedWin%]])</f>
        <v>-11.118035839463012</v>
      </c>
      <c r="AB389" s="4">
        <f>Games[[#This Row],[PreGmRate]]+Games[[#This Row],[RatingChange]]</f>
        <v>1398.5651281654098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1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41866</v>
      </c>
      <c r="B390" s="2">
        <v>2014</v>
      </c>
      <c r="C390" s="2">
        <f>COUNTIFS(Games[Team],Games[[#This Row],[Team]],Games[Season],Games[[#This Row],[Season]],Games[Date],"&lt;=" &amp; Games[[#This Row],[Date]])</f>
        <v>33</v>
      </c>
      <c r="D390" s="2" t="s">
        <v>83</v>
      </c>
      <c r="E390" s="2" t="s">
        <v>84</v>
      </c>
      <c r="F390" s="1" t="s">
        <v>71</v>
      </c>
      <c r="G390" s="1" t="s">
        <v>63</v>
      </c>
      <c r="H390" s="1" t="s">
        <v>85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0" s="2">
        <f>Games[[#This Row],[DaysOff]]-Games[[#This Row],[OppDaysOff]]</f>
        <v>2</v>
      </c>
      <c r="L390" s="2">
        <f>Games[[#This Row],[OppDaysOff]]-Games[[#This Row],[DaysOff]]</f>
        <v>-2</v>
      </c>
      <c r="M390" s="1">
        <f>MAX(-16, MIN(16, Games[[#This Row],[RestDiff]]*8))</f>
        <v>16</v>
      </c>
      <c r="N390" s="1">
        <f>MAX(-16, MIN(16, Games[[#This Row],[OppRestDiff]]*8))</f>
        <v>-16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1425.7947237558224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1530.0459131000505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0.28916268296850223</v>
      </c>
      <c r="R390" s="1">
        <v>65</v>
      </c>
      <c r="S390" s="1">
        <v>77</v>
      </c>
      <c r="T390" s="1">
        <v>0</v>
      </c>
      <c r="U390" s="1">
        <f>Games[[#This Row],[PointsFor]]-Games[[#This Row],[PointsAgainst]]</f>
        <v>-12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0.41967018022583269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71.05</v>
      </c>
      <c r="Z390" s="4">
        <f>Games[[#This Row],[K]]*Games[[#This Row],[POMult]]</f>
        <v>71.05</v>
      </c>
      <c r="AA390" s="4">
        <f>(Games[[#This Row],[Keff]]*Games[[#This Row],[MOVMult]])*(Games[[#This Row],[Result]]-Games[[#This Row],[ExpectedWin%]])</f>
        <v>-8.6221274723581409</v>
      </c>
      <c r="AB390" s="4">
        <f>Games[[#This Row],[PreGmRate]]+Games[[#This Row],[RatingChange]]</f>
        <v>1417.1725962834641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41866</v>
      </c>
      <c r="B391" s="2">
        <v>2014</v>
      </c>
      <c r="C391" s="2">
        <f>COUNTIFS(Games[Team],Games[[#This Row],[Team]],Games[Season],Games[[#This Row],[Season]],Games[Date],"&lt;=" &amp; Games[[#This Row],[Date]])</f>
        <v>33</v>
      </c>
      <c r="D391" s="2" t="s">
        <v>83</v>
      </c>
      <c r="E391" s="2" t="s">
        <v>84</v>
      </c>
      <c r="F391" s="1" t="s">
        <v>63</v>
      </c>
      <c r="G391" s="1" t="s">
        <v>71</v>
      </c>
      <c r="H391" s="1" t="s">
        <v>86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1" s="2">
        <f>Games[[#This Row],[DaysOff]]-Games[[#This Row],[OppDaysOff]]</f>
        <v>-2</v>
      </c>
      <c r="L391" s="2">
        <f>Games[[#This Row],[OppDaysOff]]-Games[[#This Row],[DaysOff]]</f>
        <v>2</v>
      </c>
      <c r="M391" s="1">
        <f>MAX(-16, MIN(16, Games[[#This Row],[RestDiff]]*8))</f>
        <v>-16</v>
      </c>
      <c r="N391" s="1">
        <f>MAX(-16, MIN(16, Games[[#This Row],[OppRestDiff]]*8))</f>
        <v>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1530.0459131000505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1425.7947237558224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0.71083731703149777</v>
      </c>
      <c r="R391" s="1">
        <v>77</v>
      </c>
      <c r="S391" s="1">
        <v>65</v>
      </c>
      <c r="T391" s="1">
        <v>0</v>
      </c>
      <c r="U391" s="1">
        <f>Games[[#This Row],[PointsFor]]-Games[[#This Row],[PointsAgainst]]</f>
        <v>12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0.41967018022583269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71.05</v>
      </c>
      <c r="Z391" s="4">
        <f>Games[[#This Row],[K]]*Games[[#This Row],[POMult]]</f>
        <v>71.05</v>
      </c>
      <c r="AA391" s="4">
        <f>(Games[[#This Row],[Keff]]*Games[[#This Row],[MOVMult]])*(Games[[#This Row],[Result]]-Games[[#This Row],[ExpectedWin%]])</f>
        <v>8.6221274723581409</v>
      </c>
      <c r="AB391" s="4">
        <f>Games[[#This Row],[PreGmRate]]+Games[[#This Row],[RatingChange]]</f>
        <v>1538.6680405724087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41866</v>
      </c>
      <c r="B392" s="2">
        <v>2014</v>
      </c>
      <c r="C392" s="2">
        <f>COUNTIFS(Games[Team],Games[[#This Row],[Team]],Games[Season],Games[[#This Row],[Season]],Games[Date],"&lt;=" &amp; Games[[#This Row],[Date]])</f>
        <v>33</v>
      </c>
      <c r="D392" s="2" t="s">
        <v>83</v>
      </c>
      <c r="E392" s="2" t="s">
        <v>84</v>
      </c>
      <c r="F392" s="1" t="s">
        <v>67</v>
      </c>
      <c r="G392" s="1" t="s">
        <v>74</v>
      </c>
      <c r="H392" s="1" t="s">
        <v>85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2" s="2">
        <f>Games[[#This Row],[DaysOff]]-Games[[#This Row],[OppDaysOff]]</f>
        <v>-2</v>
      </c>
      <c r="L392" s="2">
        <f>Games[[#This Row],[OppDaysOff]]-Games[[#This Row],[DaysOff]]</f>
        <v>2</v>
      </c>
      <c r="M392" s="1">
        <f>MAX(-16, MIN(16, Games[[#This Row],[RestDiff]]*8))</f>
        <v>-16</v>
      </c>
      <c r="N392" s="1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1673.0207018353981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1426.7899463999649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0.67910646057837232</v>
      </c>
      <c r="R392" s="1">
        <v>76</v>
      </c>
      <c r="S392" s="1">
        <v>92</v>
      </c>
      <c r="T392" s="1">
        <v>0</v>
      </c>
      <c r="U392" s="1">
        <f>Games[[#This Row],[PointsFor]]-Games[[#This Row],[PointsAgainst]]</f>
        <v>-16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0.4296293910227344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71.05</v>
      </c>
      <c r="Z392" s="4">
        <f>Games[[#This Row],[K]]*Games[[#This Row],[POMult]]</f>
        <v>71.05</v>
      </c>
      <c r="AA392" s="4">
        <f>(Games[[#This Row],[Keff]]*Games[[#This Row],[MOVMult]])*(Games[[#This Row],[Result]]-Games[[#This Row],[ExpectedWin%]])</f>
        <v>-20.729838956705134</v>
      </c>
      <c r="AB392" s="4">
        <f>Games[[#This Row],[PreGmRate]]+Games[[#This Row],[RatingChange]]</f>
        <v>1652.2908628786929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41866</v>
      </c>
      <c r="B393" s="2">
        <v>2014</v>
      </c>
      <c r="C393" s="2">
        <f>COUNTIFS(Games[Team],Games[[#This Row],[Team]],Games[Season],Games[[#This Row],[Season]],Games[Date],"&lt;=" &amp; Games[[#This Row],[Date]])</f>
        <v>33</v>
      </c>
      <c r="D393" s="2" t="s">
        <v>83</v>
      </c>
      <c r="E393" s="2" t="s">
        <v>84</v>
      </c>
      <c r="F393" s="1" t="s">
        <v>74</v>
      </c>
      <c r="G393" s="1" t="s">
        <v>67</v>
      </c>
      <c r="H393" s="1" t="s">
        <v>86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3" s="2">
        <f>Games[[#This Row],[DaysOff]]-Games[[#This Row],[OppDaysOff]]</f>
        <v>2</v>
      </c>
      <c r="L393" s="2">
        <f>Games[[#This Row],[OppDaysOff]]-Games[[#This Row],[DaysOff]]</f>
        <v>-2</v>
      </c>
      <c r="M393" s="1">
        <f>MAX(-16, MIN(16, Games[[#This Row],[RestDiff]]*8))</f>
        <v>16</v>
      </c>
      <c r="N393" s="1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1426.7899463999649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1673.0207018353981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0.32089353942162763</v>
      </c>
      <c r="R393" s="1">
        <v>92</v>
      </c>
      <c r="S393" s="1">
        <v>76</v>
      </c>
      <c r="T393" s="1">
        <v>0</v>
      </c>
      <c r="U393" s="1">
        <f>Games[[#This Row],[PointsFor]]-Games[[#This Row],[PointsAgainst]]</f>
        <v>16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0.4296293910227344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71.05</v>
      </c>
      <c r="Z393" s="4">
        <f>Games[[#This Row],[K]]*Games[[#This Row],[POMult]]</f>
        <v>71.05</v>
      </c>
      <c r="AA393" s="4">
        <f>(Games[[#This Row],[Keff]]*Games[[#This Row],[MOVMult]])*(Games[[#This Row],[Result]]-Games[[#This Row],[ExpectedWin%]])</f>
        <v>20.729838956705134</v>
      </c>
      <c r="AB393" s="4">
        <f>Games[[#This Row],[PreGmRate]]+Games[[#This Row],[RatingChange]]</f>
        <v>1447.5197853566701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41867</v>
      </c>
      <c r="B394" s="2">
        <v>2014</v>
      </c>
      <c r="C394" s="2">
        <f>COUNTIFS(Games[Team],Games[[#This Row],[Team]],Games[Season],Games[[#This Row],[Season]],Games[Date],"&lt;=" &amp; Games[[#This Row],[Date]])</f>
        <v>33</v>
      </c>
      <c r="D394" s="2" t="s">
        <v>83</v>
      </c>
      <c r="E394" s="2" t="s">
        <v>84</v>
      </c>
      <c r="F394" s="1" t="s">
        <v>77</v>
      </c>
      <c r="G394" s="1" t="s">
        <v>69</v>
      </c>
      <c r="H394" s="1" t="s">
        <v>85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1</v>
      </c>
      <c r="L394" s="2">
        <f>Games[[#This Row],[OppDaysOff]]-Games[[#This Row],[DaysOff]]</f>
        <v>-1</v>
      </c>
      <c r="M394" s="1">
        <f>MAX(-16, MIN(16, Games[[#This Row],[RestDiff]]*8))</f>
        <v>8</v>
      </c>
      <c r="N394" s="1">
        <f>MAX(-16, MIN(16, Games[[#This Row],[OppRestDiff]]*8))</f>
        <v>-8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1496.819181290326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1492.3572200462081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0.40956731673018787</v>
      </c>
      <c r="R394" s="1">
        <v>67</v>
      </c>
      <c r="S394" s="1">
        <v>71</v>
      </c>
      <c r="T394" s="1">
        <v>0</v>
      </c>
      <c r="U394" s="1">
        <f>Games[[#This Row],[PointsFor]]-Games[[#This Row],[PointsAgainst]]</f>
        <v>-4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0.31027902408693048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71.05</v>
      </c>
      <c r="Z394" s="4">
        <f>Games[[#This Row],[K]]*Games[[#This Row],[POMult]]</f>
        <v>71.05</v>
      </c>
      <c r="AA394" s="4">
        <f>(Games[[#This Row],[Keff]]*Games[[#This Row],[MOVMult]])*(Games[[#This Row],[Result]]-Games[[#This Row],[ExpectedWin%]])</f>
        <v>-9.0290444680057735</v>
      </c>
      <c r="AB394" s="4">
        <f>Games[[#This Row],[PreGmRate]]+Games[[#This Row],[RatingChange]]</f>
        <v>1487.7901368223202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41867</v>
      </c>
      <c r="B395" s="2">
        <v>2014</v>
      </c>
      <c r="C395" s="2">
        <f>COUNTIFS(Games[Team],Games[[#This Row],[Team]],Games[Season],Games[[#This Row],[Season]],Games[Date],"&lt;=" &amp; Games[[#This Row],[Date]])</f>
        <v>33</v>
      </c>
      <c r="D395" s="2" t="s">
        <v>83</v>
      </c>
      <c r="E395" s="2" t="s">
        <v>84</v>
      </c>
      <c r="F395" s="1" t="s">
        <v>69</v>
      </c>
      <c r="G395" s="1" t="s">
        <v>77</v>
      </c>
      <c r="H395" s="1" t="s">
        <v>86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-1</v>
      </c>
      <c r="L395" s="2">
        <f>Games[[#This Row],[OppDaysOff]]-Games[[#This Row],[DaysOff]]</f>
        <v>1</v>
      </c>
      <c r="M395" s="1">
        <f>MAX(-16, MIN(16, Games[[#This Row],[RestDiff]]*8))</f>
        <v>-8</v>
      </c>
      <c r="N395" s="1">
        <f>MAX(-16, MIN(16, Games[[#This Row],[OppRestDiff]]*8))</f>
        <v>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1492.3572200462081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1496.819181290326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0.59043268326981213</v>
      </c>
      <c r="R395" s="1">
        <v>71</v>
      </c>
      <c r="S395" s="1">
        <v>67</v>
      </c>
      <c r="T395" s="1">
        <v>0</v>
      </c>
      <c r="U395" s="1">
        <f>Games[[#This Row],[PointsFor]]-Games[[#This Row],[PointsAgainst]]</f>
        <v>4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0.31027902408693048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71.05</v>
      </c>
      <c r="Z395" s="4">
        <f>Games[[#This Row],[K]]*Games[[#This Row],[POMult]]</f>
        <v>71.05</v>
      </c>
      <c r="AA395" s="4">
        <f>(Games[[#This Row],[Keff]]*Games[[#This Row],[MOVMult]])*(Games[[#This Row],[Result]]-Games[[#This Row],[ExpectedWin%]])</f>
        <v>9.0290444680057735</v>
      </c>
      <c r="AB395" s="4">
        <f>Games[[#This Row],[PreGmRate]]+Games[[#This Row],[RatingChange]]</f>
        <v>1501.386264514214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41867</v>
      </c>
      <c r="B396" s="2">
        <v>2014</v>
      </c>
      <c r="C396" s="2">
        <f>COUNTIFS(Games[Team],Games[[#This Row],[Team]],Games[Season],Games[[#This Row],[Season]],Games[Date],"&lt;=" &amp; Games[[#This Row],[Date]])</f>
        <v>34</v>
      </c>
      <c r="D396" s="2" t="s">
        <v>83</v>
      </c>
      <c r="E396" s="2" t="s">
        <v>84</v>
      </c>
      <c r="F396" s="1" t="s">
        <v>81</v>
      </c>
      <c r="G396" s="1" t="s">
        <v>67</v>
      </c>
      <c r="H396" s="1" t="s">
        <v>85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1420.5500599944487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1652.2908628786929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0.13972809348420823</v>
      </c>
      <c r="R396" s="1">
        <v>63</v>
      </c>
      <c r="S396" s="1">
        <v>80</v>
      </c>
      <c r="T396" s="1">
        <v>0</v>
      </c>
      <c r="U396" s="1">
        <f>Games[[#This Row],[PointsFor]]-Games[[#This Row],[PointsAgainst]]</f>
        <v>-17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0.44626127970319091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70.900000000000006</v>
      </c>
      <c r="Z396" s="4">
        <f>Games[[#This Row],[K]]*Games[[#This Row],[POMult]]</f>
        <v>70.900000000000006</v>
      </c>
      <c r="AA396" s="4">
        <f>(Games[[#This Row],[Keff]]*Games[[#This Row],[MOVMult]])*(Games[[#This Row],[Result]]-Games[[#This Row],[ExpectedWin%]])</f>
        <v>-4.4209863606403648</v>
      </c>
      <c r="AB396" s="4">
        <f>Games[[#This Row],[PreGmRate]]+Games[[#This Row],[RatingChange]]</f>
        <v>1416.1290736338083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41867</v>
      </c>
      <c r="B397" s="2">
        <v>2014</v>
      </c>
      <c r="C397" s="2">
        <f>COUNTIFS(Games[Team],Games[[#This Row],[Team]],Games[Season],Games[[#This Row],[Season]],Games[Date],"&lt;=" &amp; Games[[#This Row],[Date]])</f>
        <v>34</v>
      </c>
      <c r="D397" s="2" t="s">
        <v>83</v>
      </c>
      <c r="E397" s="2" t="s">
        <v>84</v>
      </c>
      <c r="F397" s="1" t="s">
        <v>67</v>
      </c>
      <c r="G397" s="1" t="s">
        <v>81</v>
      </c>
      <c r="H397" s="1" t="s">
        <v>86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1652.2908628786929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1420.5500599944487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0.86027190651579177</v>
      </c>
      <c r="R397" s="1">
        <v>80</v>
      </c>
      <c r="S397" s="1">
        <v>63</v>
      </c>
      <c r="T397" s="1">
        <v>0</v>
      </c>
      <c r="U397" s="1">
        <f>Games[[#This Row],[PointsFor]]-Games[[#This Row],[PointsAgainst]]</f>
        <v>17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0.44626127970319091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70.900000000000006</v>
      </c>
      <c r="Z397" s="4">
        <f>Games[[#This Row],[K]]*Games[[#This Row],[POMult]]</f>
        <v>70.900000000000006</v>
      </c>
      <c r="AA397" s="4">
        <f>(Games[[#This Row],[Keff]]*Games[[#This Row],[MOVMult]])*(Games[[#This Row],[Result]]-Games[[#This Row],[ExpectedWin%]])</f>
        <v>4.4209863606403648</v>
      </c>
      <c r="AB397" s="4">
        <f>Games[[#This Row],[PreGmRate]]+Games[[#This Row],[RatingChange]]</f>
        <v>1656.7118492393333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41867</v>
      </c>
      <c r="B398" s="2">
        <v>2014</v>
      </c>
      <c r="C398" s="2">
        <f>COUNTIFS(Games[Team],Games[[#This Row],[Team]],Games[Season],Games[[#This Row],[Season]],Games[Date],"&lt;=" &amp; Games[[#This Row],[Date]])</f>
        <v>34</v>
      </c>
      <c r="D398" s="2" t="s">
        <v>83</v>
      </c>
      <c r="E398" s="2" t="s">
        <v>84</v>
      </c>
      <c r="F398" s="1" t="s">
        <v>63</v>
      </c>
      <c r="G398" s="1" t="s">
        <v>40</v>
      </c>
      <c r="H398" s="1" t="s">
        <v>85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8" s="2">
        <f>Games[[#This Row],[DaysOff]]-Games[[#This Row],[OppDaysOff]]</f>
        <v>-2</v>
      </c>
      <c r="L398" s="2">
        <f>Games[[#This Row],[OppDaysOff]]-Games[[#This Row],[DaysOff]]</f>
        <v>2</v>
      </c>
      <c r="M398" s="1">
        <f>MAX(-16, MIN(16, Games[[#This Row],[RestDiff]]*8))</f>
        <v>-16</v>
      </c>
      <c r="N398" s="1">
        <f>MAX(-16, MIN(16, Games[[#This Row],[OppRestDiff]]*8))</f>
        <v>16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1538.6680405724087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1695.8902787563609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0.17181850204406918</v>
      </c>
      <c r="R398" s="1">
        <v>69</v>
      </c>
      <c r="S398" s="1">
        <v>76</v>
      </c>
      <c r="T398" s="1">
        <v>0</v>
      </c>
      <c r="U398" s="1">
        <f>Games[[#This Row],[PointsFor]]-Games[[#This Row],[PointsAgainst]]</f>
        <v>-7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0.32723351746642149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70.900000000000006</v>
      </c>
      <c r="Z398" s="4">
        <f>Games[[#This Row],[K]]*Games[[#This Row],[POMult]]</f>
        <v>70.900000000000006</v>
      </c>
      <c r="AA398" s="4">
        <f>(Games[[#This Row],[Keff]]*Games[[#This Row],[MOVMult]])*(Games[[#This Row],[Result]]-Games[[#This Row],[ExpectedWin%]])</f>
        <v>-3.9863363907891833</v>
      </c>
      <c r="AB398" s="4">
        <f>Games[[#This Row],[PreGmRate]]+Games[[#This Row],[RatingChange]]</f>
        <v>1534.6817041816196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41867</v>
      </c>
      <c r="B399" s="2">
        <v>2014</v>
      </c>
      <c r="C399" s="2">
        <f>COUNTIFS(Games[Team],Games[[#This Row],[Team]],Games[Season],Games[[#This Row],[Season]],Games[Date],"&lt;=" &amp; Games[[#This Row],[Date]])</f>
        <v>33</v>
      </c>
      <c r="D399" s="2" t="s">
        <v>83</v>
      </c>
      <c r="E399" s="2" t="s">
        <v>84</v>
      </c>
      <c r="F399" s="1" t="s">
        <v>40</v>
      </c>
      <c r="G399" s="1" t="s">
        <v>63</v>
      </c>
      <c r="H399" s="1" t="s">
        <v>86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9" s="2">
        <f>Games[[#This Row],[DaysOff]]-Games[[#This Row],[OppDaysOff]]</f>
        <v>2</v>
      </c>
      <c r="L399" s="2">
        <f>Games[[#This Row],[OppDaysOff]]-Games[[#This Row],[DaysOff]]</f>
        <v>-2</v>
      </c>
      <c r="M399" s="1">
        <f>MAX(-16, MIN(16, Games[[#This Row],[RestDiff]]*8))</f>
        <v>16</v>
      </c>
      <c r="N399" s="1">
        <f>MAX(-16, MIN(16, Games[[#This Row],[OppRestDiff]]*8))</f>
        <v>-16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1695.8902787563609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1538.6680405724087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0.82818149795593088</v>
      </c>
      <c r="R399" s="1">
        <v>76</v>
      </c>
      <c r="S399" s="1">
        <v>69</v>
      </c>
      <c r="T399" s="1">
        <v>0</v>
      </c>
      <c r="U399" s="1">
        <f>Games[[#This Row],[PointsFor]]-Games[[#This Row],[PointsAgainst]]</f>
        <v>7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0.32723351746642149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71.05</v>
      </c>
      <c r="Z399" s="4">
        <f>Games[[#This Row],[K]]*Games[[#This Row],[POMult]]</f>
        <v>71.05</v>
      </c>
      <c r="AA399" s="4">
        <f>(Games[[#This Row],[Keff]]*Games[[#This Row],[MOVMult]])*(Games[[#This Row],[Result]]-Games[[#This Row],[ExpectedWin%]])</f>
        <v>3.9947701067076355</v>
      </c>
      <c r="AB399" s="4">
        <f>Games[[#This Row],[PreGmRate]]+Games[[#This Row],[RatingChange]]</f>
        <v>1699.8850488630685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41867</v>
      </c>
      <c r="B400" s="2">
        <v>2014</v>
      </c>
      <c r="C400" s="2">
        <f>COUNTIFS(Games[Team],Games[[#This Row],[Team]],Games[Season],Games[[#This Row],[Season]],Games[Date],"&lt;=" &amp; Games[[#This Row],[Date]])</f>
        <v>33</v>
      </c>
      <c r="D400" s="2" t="s">
        <v>83</v>
      </c>
      <c r="E400" s="2" t="s">
        <v>84</v>
      </c>
      <c r="F400" s="1" t="s">
        <v>60</v>
      </c>
      <c r="G400" s="1" t="s">
        <v>65</v>
      </c>
      <c r="H400" s="1" t="s">
        <v>85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0" s="2">
        <f>Games[[#This Row],[DaysOff]]-Games[[#This Row],[OppDaysOff]]</f>
        <v>1</v>
      </c>
      <c r="L400" s="2">
        <f>Games[[#This Row],[OppDaysOff]]-Games[[#This Row],[DaysOff]]</f>
        <v>-1</v>
      </c>
      <c r="M400" s="1">
        <f>MAX(-16, MIN(16, Games[[#This Row],[RestDiff]]*8))</f>
        <v>8</v>
      </c>
      <c r="N400" s="1">
        <f>MAX(-16, MIN(16, Games[[#This Row],[OppRestDiff]]*8))</f>
        <v>-8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1403.1821606746339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1509.2898471627361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0.2685003727434393</v>
      </c>
      <c r="R400" s="1">
        <v>73</v>
      </c>
      <c r="S400" s="1">
        <v>61</v>
      </c>
      <c r="T400" s="1">
        <v>0</v>
      </c>
      <c r="U400" s="1">
        <f>Games[[#This Row],[PointsFor]]-Games[[#This Row],[PointsAgainst]]</f>
        <v>12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0.41907366242028077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71.05</v>
      </c>
      <c r="Z400" s="4">
        <f>Games[[#This Row],[K]]*Games[[#This Row],[POMult]]</f>
        <v>71.05</v>
      </c>
      <c r="AA400" s="4">
        <f>(Games[[#This Row],[Keff]]*Games[[#This Row],[MOVMult]])*(Games[[#This Row],[Result]]-Games[[#This Row],[ExpectedWin%]])</f>
        <v>21.78053578898955</v>
      </c>
      <c r="AB400" s="4">
        <f>Games[[#This Row],[PreGmRate]]+Games[[#This Row],[RatingChange]]</f>
        <v>1424.9626964636234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41867</v>
      </c>
      <c r="B401" s="2">
        <v>2014</v>
      </c>
      <c r="C401" s="2">
        <f>COUNTIFS(Games[Team],Games[[#This Row],[Team]],Games[Season],Games[[#This Row],[Season]],Games[Date],"&lt;=" &amp; Games[[#This Row],[Date]])</f>
        <v>34</v>
      </c>
      <c r="D401" s="2" t="s">
        <v>83</v>
      </c>
      <c r="E401" s="2" t="s">
        <v>84</v>
      </c>
      <c r="F401" s="1" t="s">
        <v>65</v>
      </c>
      <c r="G401" s="1" t="s">
        <v>60</v>
      </c>
      <c r="H401" s="1" t="s">
        <v>86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-1</v>
      </c>
      <c r="L401" s="2">
        <f>Games[[#This Row],[OppDaysOff]]-Games[[#This Row],[DaysOff]]</f>
        <v>1</v>
      </c>
      <c r="M401" s="1">
        <f>MAX(-16, MIN(16, Games[[#This Row],[RestDiff]]*8))</f>
        <v>-8</v>
      </c>
      <c r="N401" s="1">
        <f>MAX(-16, MIN(16, Games[[#This Row],[OppRestDiff]]*8))</f>
        <v>8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1509.2898471627361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1403.1821606746339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0.7314996272565607</v>
      </c>
      <c r="R401" s="1">
        <v>61</v>
      </c>
      <c r="S401" s="1">
        <v>73</v>
      </c>
      <c r="T401" s="1">
        <v>0</v>
      </c>
      <c r="U401" s="1">
        <f>Games[[#This Row],[PointsFor]]-Games[[#This Row],[PointsAgainst]]</f>
        <v>-12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0.41907366242028077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70.900000000000006</v>
      </c>
      <c r="Z401" s="4">
        <f>Games[[#This Row],[K]]*Games[[#This Row],[POMult]]</f>
        <v>70.900000000000006</v>
      </c>
      <c r="AA401" s="4">
        <f>(Games[[#This Row],[Keff]]*Games[[#This Row],[MOVMult]])*(Games[[#This Row],[Result]]-Games[[#This Row],[ExpectedWin%]])</f>
        <v>-21.73455295481153</v>
      </c>
      <c r="AB401" s="4">
        <f>Games[[#This Row],[PreGmRate]]+Games[[#This Row],[RatingChange]]</f>
        <v>1487.5552942079246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41868</v>
      </c>
      <c r="B402" s="2">
        <v>2014</v>
      </c>
      <c r="C402" s="2">
        <f>COUNTIFS(Games[Team],Games[[#This Row],[Team]],Games[Season],Games[[#This Row],[Season]],Games[Date],"&lt;=" &amp; Games[[#This Row],[Date]])</f>
        <v>34</v>
      </c>
      <c r="D402" s="2" t="s">
        <v>83</v>
      </c>
      <c r="E402" s="2" t="s">
        <v>84</v>
      </c>
      <c r="F402" s="1" t="s">
        <v>74</v>
      </c>
      <c r="G402" s="1" t="s">
        <v>77</v>
      </c>
      <c r="H402" s="1" t="s">
        <v>85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2" s="2">
        <f>Games[[#This Row],[DaysOff]]-Games[[#This Row],[OppDaysOff]]</f>
        <v>1</v>
      </c>
      <c r="L402" s="2">
        <f>Games[[#This Row],[OppDaysOff]]-Games[[#This Row],[DaysOff]]</f>
        <v>-1</v>
      </c>
      <c r="M402" s="1">
        <f>MAX(-16, MIN(16, Games[[#This Row],[RestDiff]]*8))</f>
        <v>8</v>
      </c>
      <c r="N402" s="1">
        <f>MAX(-16, MIN(16, Games[[#This Row],[OppRestDiff]]*8))</f>
        <v>-8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1447.5197853566701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1487.7901368223202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0.34904168689145465</v>
      </c>
      <c r="R402" s="1">
        <v>84</v>
      </c>
      <c r="S402" s="1">
        <v>72</v>
      </c>
      <c r="T402" s="1">
        <v>0</v>
      </c>
      <c r="U402" s="1">
        <f>Games[[#This Row],[PointsFor]]-Games[[#This Row],[PointsAgainst]]</f>
        <v>12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0.44131937125242821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70.900000000000006</v>
      </c>
      <c r="Z402" s="4">
        <f>Games[[#This Row],[K]]*Games[[#This Row],[POMult]]</f>
        <v>70.900000000000006</v>
      </c>
      <c r="AA402" s="4">
        <f>(Games[[#This Row],[Keff]]*Games[[#This Row],[MOVMult]])*(Games[[#This Row],[Result]]-Games[[#This Row],[ExpectedWin%]])</f>
        <v>20.368188403789663</v>
      </c>
      <c r="AB402" s="4">
        <f>Games[[#This Row],[PreGmRate]]+Games[[#This Row],[RatingChange]]</f>
        <v>1467.8879737604598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41868</v>
      </c>
      <c r="B403" s="2">
        <v>2014</v>
      </c>
      <c r="C403" s="2">
        <f>COUNTIFS(Games[Team],Games[[#This Row],[Team]],Games[Season],Games[[#This Row],[Season]],Games[Date],"&lt;=" &amp; Games[[#This Row],[Date]])</f>
        <v>34</v>
      </c>
      <c r="D403" s="2" t="s">
        <v>83</v>
      </c>
      <c r="E403" s="2" t="s">
        <v>84</v>
      </c>
      <c r="F403" s="1" t="s">
        <v>77</v>
      </c>
      <c r="G403" s="1" t="s">
        <v>74</v>
      </c>
      <c r="H403" s="1" t="s">
        <v>86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-1</v>
      </c>
      <c r="L403" s="2">
        <f>Games[[#This Row],[OppDaysOff]]-Games[[#This Row],[DaysOff]]</f>
        <v>1</v>
      </c>
      <c r="M403" s="1">
        <f>MAX(-16, MIN(16, Games[[#This Row],[RestDiff]]*8))</f>
        <v>-8</v>
      </c>
      <c r="N403" s="1">
        <f>MAX(-16, MIN(16, Games[[#This Row],[OppRestDiff]]*8))</f>
        <v>8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1487.7901368223202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1447.5197853566701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0.65095831310854535</v>
      </c>
      <c r="R403" s="1">
        <v>72</v>
      </c>
      <c r="S403" s="1">
        <v>84</v>
      </c>
      <c r="T403" s="1">
        <v>0</v>
      </c>
      <c r="U403" s="1">
        <f>Games[[#This Row],[PointsFor]]-Games[[#This Row],[PointsAgainst]]</f>
        <v>-12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0.44131937125242821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70.900000000000006</v>
      </c>
      <c r="Z403" s="4">
        <f>Games[[#This Row],[K]]*Games[[#This Row],[POMult]]</f>
        <v>70.900000000000006</v>
      </c>
      <c r="AA403" s="4">
        <f>(Games[[#This Row],[Keff]]*Games[[#This Row],[MOVMult]])*(Games[[#This Row],[Result]]-Games[[#This Row],[ExpectedWin%]])</f>
        <v>-20.368188403789663</v>
      </c>
      <c r="AB403" s="4">
        <f>Games[[#This Row],[PreGmRate]]+Games[[#This Row],[RatingChange]]</f>
        <v>1467.4219484185305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41868</v>
      </c>
      <c r="B404" s="2">
        <v>2014</v>
      </c>
      <c r="C404" s="2">
        <f>COUNTIFS(Games[Team],Games[[#This Row],[Team]],Games[Season],Games[[#This Row],[Season]],Games[Date],"&lt;=" &amp; Games[[#This Row],[Date]])</f>
        <v>34</v>
      </c>
      <c r="D404" s="2" t="s">
        <v>83</v>
      </c>
      <c r="E404" s="2" t="s">
        <v>84</v>
      </c>
      <c r="F404" s="1" t="s">
        <v>79</v>
      </c>
      <c r="G404" s="1" t="s">
        <v>76</v>
      </c>
      <c r="H404" s="1" t="s">
        <v>85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1530.1218006260874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1398.5651281654098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0.56801530703562242</v>
      </c>
      <c r="R404" s="1">
        <v>55</v>
      </c>
      <c r="S404" s="1">
        <v>84</v>
      </c>
      <c r="T404" s="1">
        <v>0</v>
      </c>
      <c r="U404" s="1">
        <f>Games[[#This Row],[PointsFor]]-Games[[#This Row],[PointsAgainst]]</f>
        <v>-29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0.62305687859307335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70.900000000000006</v>
      </c>
      <c r="Z404" s="4">
        <f>Games[[#This Row],[K]]*Games[[#This Row],[POMult]]</f>
        <v>70.900000000000006</v>
      </c>
      <c r="AA404" s="4">
        <f>(Games[[#This Row],[Keff]]*Games[[#This Row],[MOVMult]])*(Games[[#This Row],[Result]]-Games[[#This Row],[ExpectedWin%]])</f>
        <v>-25.091924353404309</v>
      </c>
      <c r="AB404" s="4">
        <f>Games[[#This Row],[PreGmRate]]+Games[[#This Row],[RatingChange]]</f>
        <v>1505.0298762726832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41868</v>
      </c>
      <c r="B405" s="2">
        <v>2014</v>
      </c>
      <c r="C405" s="2">
        <f>COUNTIFS(Games[Team],Games[[#This Row],[Team]],Games[Season],Games[[#This Row],[Season]],Games[Date],"&lt;=" &amp; Games[[#This Row],[Date]])</f>
        <v>34</v>
      </c>
      <c r="D405" s="2" t="s">
        <v>83</v>
      </c>
      <c r="E405" s="2" t="s">
        <v>84</v>
      </c>
      <c r="F405" s="1" t="s">
        <v>76</v>
      </c>
      <c r="G405" s="1" t="s">
        <v>79</v>
      </c>
      <c r="H405" s="1" t="s">
        <v>86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1398.5651281654098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1530.1218006260874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0.43198469296437764</v>
      </c>
      <c r="R405" s="1">
        <v>84</v>
      </c>
      <c r="S405" s="1">
        <v>55</v>
      </c>
      <c r="T405" s="1">
        <v>0</v>
      </c>
      <c r="U405" s="1">
        <f>Games[[#This Row],[PointsFor]]-Games[[#This Row],[PointsAgainst]]</f>
        <v>29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0.62305687859307335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70.900000000000006</v>
      </c>
      <c r="Z405" s="4">
        <f>Games[[#This Row],[K]]*Games[[#This Row],[POMult]]</f>
        <v>70.900000000000006</v>
      </c>
      <c r="AA405" s="4">
        <f>(Games[[#This Row],[Keff]]*Games[[#This Row],[MOVMult]])*(Games[[#This Row],[Result]]-Games[[#This Row],[ExpectedWin%]])</f>
        <v>25.091924353404309</v>
      </c>
      <c r="AB405" s="4">
        <f>Games[[#This Row],[PreGmRate]]+Games[[#This Row],[RatingChange]]</f>
        <v>1423.657052518814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41868</v>
      </c>
      <c r="B406" s="2">
        <v>2014</v>
      </c>
      <c r="C406" s="2">
        <f>COUNTIFS(Games[Team],Games[[#This Row],[Team]],Games[Season],Games[[#This Row],[Season]],Games[Date],"&lt;=" &amp; Games[[#This Row],[Date]])</f>
        <v>34</v>
      </c>
      <c r="D406" s="2" t="s">
        <v>83</v>
      </c>
      <c r="E406" s="2" t="s">
        <v>84</v>
      </c>
      <c r="F406" s="1" t="s">
        <v>69</v>
      </c>
      <c r="G406" s="1" t="s">
        <v>60</v>
      </c>
      <c r="H406" s="1" t="s">
        <v>85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1501.386264514214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1424.9626964636234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0.48909836593442307</v>
      </c>
      <c r="R406" s="1">
        <v>61</v>
      </c>
      <c r="S406" s="1">
        <v>73</v>
      </c>
      <c r="T406" s="1">
        <v>0</v>
      </c>
      <c r="U406" s="1">
        <f>Games[[#This Row],[PointsFor]]-Games[[#This Row],[PointsAgainst]]</f>
        <v>-12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0.42881951210583935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70.900000000000006</v>
      </c>
      <c r="Z406" s="4">
        <f>Games[[#This Row],[K]]*Games[[#This Row],[POMult]]</f>
        <v>70.900000000000006</v>
      </c>
      <c r="AA406" s="4">
        <f>(Games[[#This Row],[Keff]]*Games[[#This Row],[MOVMult]])*(Games[[#This Row],[Result]]-Games[[#This Row],[ExpectedWin%]])</f>
        <v>-14.870206016009968</v>
      </c>
      <c r="AB406" s="4">
        <f>Games[[#This Row],[PreGmRate]]+Games[[#This Row],[RatingChange]]</f>
        <v>1486.5160584982041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41868</v>
      </c>
      <c r="B407" s="2">
        <v>2014</v>
      </c>
      <c r="C407" s="2">
        <f>COUNTIFS(Games[Team],Games[[#This Row],[Team]],Games[Season],Games[[#This Row],[Season]],Games[Date],"&lt;=" &amp; Games[[#This Row],[Date]])</f>
        <v>34</v>
      </c>
      <c r="D407" s="2" t="s">
        <v>83</v>
      </c>
      <c r="E407" s="2" t="s">
        <v>84</v>
      </c>
      <c r="F407" s="1" t="s">
        <v>60</v>
      </c>
      <c r="G407" s="1" t="s">
        <v>69</v>
      </c>
      <c r="H407" s="1" t="s">
        <v>86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1424.9626964636234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1501.386264514214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0.51090163406557687</v>
      </c>
      <c r="R407" s="1">
        <v>73</v>
      </c>
      <c r="S407" s="1">
        <v>61</v>
      </c>
      <c r="T407" s="1">
        <v>0</v>
      </c>
      <c r="U407" s="1">
        <f>Games[[#This Row],[PointsFor]]-Games[[#This Row],[PointsAgainst]]</f>
        <v>12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0.42881951210583935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70.900000000000006</v>
      </c>
      <c r="Z407" s="4">
        <f>Games[[#This Row],[K]]*Games[[#This Row],[POMult]]</f>
        <v>70.900000000000006</v>
      </c>
      <c r="AA407" s="4">
        <f>(Games[[#This Row],[Keff]]*Games[[#This Row],[MOVMult]])*(Games[[#This Row],[Result]]-Games[[#This Row],[ExpectedWin%]])</f>
        <v>14.87020601600997</v>
      </c>
      <c r="AB407" s="4">
        <f>Games[[#This Row],[PreGmRate]]+Games[[#This Row],[RatingChange]]</f>
        <v>1439.8329024796333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41868</v>
      </c>
      <c r="B408" s="2">
        <v>2014</v>
      </c>
      <c r="C408" s="2">
        <f>COUNTIFS(Games[Team],Games[[#This Row],[Team]],Games[Season],Games[[#This Row],[Season]],Games[Date],"&lt;=" &amp; Games[[#This Row],[Date]])</f>
        <v>34</v>
      </c>
      <c r="D408" s="2" t="s">
        <v>83</v>
      </c>
      <c r="E408" s="2" t="s">
        <v>84</v>
      </c>
      <c r="F408" s="1" t="s">
        <v>40</v>
      </c>
      <c r="G408" s="1" t="s">
        <v>71</v>
      </c>
      <c r="H408" s="1" t="s">
        <v>85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-1</v>
      </c>
      <c r="L408" s="2">
        <f>Games[[#This Row],[OppDaysOff]]-Games[[#This Row],[DaysOff]]</f>
        <v>1</v>
      </c>
      <c r="M408" s="1">
        <f>MAX(-16, MIN(16, Games[[#This Row],[RestDiff]]*8))</f>
        <v>-8</v>
      </c>
      <c r="N408" s="1">
        <f>MAX(-16, MIN(16, Games[[#This Row],[OppRestDiff]]*8))</f>
        <v>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1699.8850488630685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1417.1725962834641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0.74111606728774693</v>
      </c>
      <c r="R408" s="1">
        <v>78</v>
      </c>
      <c r="S408" s="1">
        <v>65</v>
      </c>
      <c r="T408" s="1">
        <v>0</v>
      </c>
      <c r="U408" s="1">
        <f>Games[[#This Row],[PointsFor]]-Games[[#This Row],[PointsAgainst]]</f>
        <v>13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0.38203800459855458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70.900000000000006</v>
      </c>
      <c r="Z408" s="4">
        <f>Games[[#This Row],[K]]*Games[[#This Row],[POMult]]</f>
        <v>70.900000000000006</v>
      </c>
      <c r="AA408" s="4">
        <f>(Games[[#This Row],[Keff]]*Games[[#This Row],[MOVMult]])*(Games[[#This Row],[Result]]-Games[[#This Row],[ExpectedWin%]])</f>
        <v>7.012258226289509</v>
      </c>
      <c r="AB408" s="4">
        <f>Games[[#This Row],[PreGmRate]]+Games[[#This Row],[RatingChange]]</f>
        <v>1706.897307089358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41868</v>
      </c>
      <c r="B409" s="2">
        <v>2014</v>
      </c>
      <c r="C409" s="2">
        <f>COUNTIFS(Games[Team],Games[[#This Row],[Team]],Games[Season],Games[[#This Row],[Season]],Games[Date],"&lt;=" &amp; Games[[#This Row],[Date]])</f>
        <v>34</v>
      </c>
      <c r="D409" s="2" t="s">
        <v>83</v>
      </c>
      <c r="E409" s="2" t="s">
        <v>84</v>
      </c>
      <c r="F409" s="1" t="s">
        <v>71</v>
      </c>
      <c r="G409" s="1" t="s">
        <v>40</v>
      </c>
      <c r="H409" s="1" t="s">
        <v>86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9" s="2">
        <f>Games[[#This Row],[DaysOff]]-Games[[#This Row],[OppDaysOff]]</f>
        <v>1</v>
      </c>
      <c r="L409" s="2">
        <f>Games[[#This Row],[OppDaysOff]]-Games[[#This Row],[DaysOff]]</f>
        <v>-1</v>
      </c>
      <c r="M409" s="1">
        <f>MAX(-16, MIN(16, Games[[#This Row],[RestDiff]]*8))</f>
        <v>8</v>
      </c>
      <c r="N409" s="1">
        <f>MAX(-16, MIN(16, Games[[#This Row],[OppRestDiff]]*8))</f>
        <v>-8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1417.1725962834641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1699.8850488630685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0.25888393271225302</v>
      </c>
      <c r="R409" s="1">
        <v>65</v>
      </c>
      <c r="S409" s="1">
        <v>78</v>
      </c>
      <c r="T409" s="1">
        <v>0</v>
      </c>
      <c r="U409" s="1">
        <f>Games[[#This Row],[PointsFor]]-Games[[#This Row],[PointsAgainst]]</f>
        <v>-13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0.38203800459855458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70.900000000000006</v>
      </c>
      <c r="Z409" s="4">
        <f>Games[[#This Row],[K]]*Games[[#This Row],[POMult]]</f>
        <v>70.900000000000006</v>
      </c>
      <c r="AA409" s="4">
        <f>(Games[[#This Row],[Keff]]*Games[[#This Row],[MOVMult]])*(Games[[#This Row],[Result]]-Games[[#This Row],[ExpectedWin%]])</f>
        <v>-7.0122582262895081</v>
      </c>
      <c r="AB409" s="4">
        <f>Games[[#This Row],[PreGmRate]]+Games[[#This Row],[RatingChange]]</f>
        <v>1410.1603380571746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41872</v>
      </c>
      <c r="B410" s="2">
        <v>2014</v>
      </c>
      <c r="C410" s="2">
        <f>COUNTIFS(Games[Team],Games[[#This Row],[Team]],Games[Season],Games[[#This Row],[Season]],Games[Date],"&lt;=" &amp; Games[[#This Row],[Date]])</f>
        <v>35</v>
      </c>
      <c r="D410" s="2" t="s">
        <v>87</v>
      </c>
      <c r="E410" s="2">
        <v>1</v>
      </c>
      <c r="F410" s="1" t="s">
        <v>65</v>
      </c>
      <c r="G410" s="1" t="s">
        <v>69</v>
      </c>
      <c r="H410" s="1" t="s">
        <v>85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0" s="2">
        <f>Games[[#This Row],[DaysOff]]-Games[[#This Row],[OppDaysOff]]</f>
        <v>1</v>
      </c>
      <c r="L410" s="2">
        <f>Games[[#This Row],[OppDaysOff]]-Games[[#This Row],[DaysOff]]</f>
        <v>-1</v>
      </c>
      <c r="M410" s="1">
        <f>MAX(-16, MIN(16, Games[[#This Row],[RestDiff]]*8))</f>
        <v>8</v>
      </c>
      <c r="N410" s="1">
        <f>MAX(-16, MIN(16, Games[[#This Row],[OppRestDiff]]*8))</f>
        <v>-8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1487.5552942079246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1486.5160584982041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0.40481137742445855</v>
      </c>
      <c r="R410" s="1">
        <v>73</v>
      </c>
      <c r="S410" s="1">
        <v>78</v>
      </c>
      <c r="T410" s="1">
        <v>0</v>
      </c>
      <c r="U410" s="1">
        <f>Games[[#This Row],[PointsFor]]-Games[[#This Row],[PointsAgainst]]</f>
        <v>-5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0.33146891351825569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0" s="9">
        <f>MAX(kmin, kmax - 0.15 * MIN(Games[[#This Row],[GamesPlayed]], 82))</f>
        <v>70.75</v>
      </c>
      <c r="Z410" s="4">
        <f>Games[[#This Row],[K]]*Games[[#This Row],[POMult]]</f>
        <v>77.825000000000003</v>
      </c>
      <c r="AA410" s="4">
        <f>(Games[[#This Row],[Keff]]*Games[[#This Row],[MOVMult]])*(Games[[#This Row],[Result]]-Games[[#This Row],[ExpectedWin%]])</f>
        <v>-10.442744303663103</v>
      </c>
      <c r="AB410" s="4">
        <f>Games[[#This Row],[PreGmRate]]+Games[[#This Row],[RatingChange]]</f>
        <v>1477.1125499042614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1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41872</v>
      </c>
      <c r="B411" s="2">
        <v>2014</v>
      </c>
      <c r="C411" s="2">
        <f>COUNTIFS(Games[Team],Games[[#This Row],[Team]],Games[Season],Games[[#This Row],[Season]],Games[Date],"&lt;=" &amp; Games[[#This Row],[Date]])</f>
        <v>35</v>
      </c>
      <c r="D411" s="2" t="s">
        <v>87</v>
      </c>
      <c r="E411" s="2">
        <v>1</v>
      </c>
      <c r="F411" s="1" t="s">
        <v>69</v>
      </c>
      <c r="G411" s="1" t="s">
        <v>65</v>
      </c>
      <c r="H411" s="1" t="s">
        <v>86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1" s="2">
        <f>Games[[#This Row],[DaysOff]]-Games[[#This Row],[OppDaysOff]]</f>
        <v>-1</v>
      </c>
      <c r="L411" s="2">
        <f>Games[[#This Row],[OppDaysOff]]-Games[[#This Row],[DaysOff]]</f>
        <v>1</v>
      </c>
      <c r="M411" s="1">
        <f>MAX(-16, MIN(16, Games[[#This Row],[RestDiff]]*8))</f>
        <v>-8</v>
      </c>
      <c r="N411" s="1">
        <f>MAX(-16, MIN(16, Games[[#This Row],[OppRestDiff]]*8))</f>
        <v>8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1486.5160584982041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1487.5552942079246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0.5951886225755415</v>
      </c>
      <c r="R411" s="1">
        <v>78</v>
      </c>
      <c r="S411" s="1">
        <v>73</v>
      </c>
      <c r="T411" s="1">
        <v>0</v>
      </c>
      <c r="U411" s="1">
        <f>Games[[#This Row],[PointsFor]]-Games[[#This Row],[PointsAgainst]]</f>
        <v>5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0.33146891351825569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1" s="9">
        <f>MAX(kmin, kmax - 0.15 * MIN(Games[[#This Row],[GamesPlayed]], 82))</f>
        <v>70.75</v>
      </c>
      <c r="Z411" s="4">
        <f>Games[[#This Row],[K]]*Games[[#This Row],[POMult]]</f>
        <v>77.825000000000003</v>
      </c>
      <c r="AA411" s="4">
        <f>(Games[[#This Row],[Keff]]*Games[[#This Row],[MOVMult]])*(Games[[#This Row],[Result]]-Games[[#This Row],[ExpectedWin%]])</f>
        <v>10.442744303663103</v>
      </c>
      <c r="AB411" s="4">
        <f>Games[[#This Row],[PreGmRate]]+Games[[#This Row],[RatingChange]]</f>
        <v>1496.9588028018673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1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41872</v>
      </c>
      <c r="B412" s="2">
        <v>2014</v>
      </c>
      <c r="C412" s="2">
        <f>COUNTIFS(Games[Team],Games[[#This Row],[Team]],Games[Season],Games[[#This Row],[Season]],Games[Date],"&lt;=" &amp; Games[[#This Row],[Date]])</f>
        <v>35</v>
      </c>
      <c r="D412" s="2" t="s">
        <v>87</v>
      </c>
      <c r="E412" s="2">
        <v>1</v>
      </c>
      <c r="F412" s="1" t="s">
        <v>74</v>
      </c>
      <c r="G412" s="1" t="s">
        <v>67</v>
      </c>
      <c r="H412" s="1" t="s">
        <v>85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2" s="2">
        <f>Games[[#This Row],[DaysOff]]-Games[[#This Row],[OppDaysOff]]</f>
        <v>-1</v>
      </c>
      <c r="L412" s="2">
        <f>Games[[#This Row],[OppDaysOff]]-Games[[#This Row],[DaysOff]]</f>
        <v>1</v>
      </c>
      <c r="M412" s="1">
        <f>MAX(-16, MIN(16, Games[[#This Row],[RestDiff]]*8))</f>
        <v>-8</v>
      </c>
      <c r="N412" s="1">
        <f>MAX(-16, MIN(16, Games[[#This Row],[OppRestDiff]]*8))</f>
        <v>8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1467.8879737604598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1656.7118492393333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0.15941276724079881</v>
      </c>
      <c r="R412" s="1">
        <v>84</v>
      </c>
      <c r="S412" s="1">
        <v>88</v>
      </c>
      <c r="T412" s="1">
        <v>0</v>
      </c>
      <c r="U412" s="1">
        <f>Games[[#This Row],[PointsFor]]-Games[[#This Row],[PointsAgainst]]</f>
        <v>-4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0.26909047898949384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2" s="9">
        <f>MAX(kmin, kmax - 0.15 * MIN(Games[[#This Row],[GamesPlayed]], 82))</f>
        <v>70.75</v>
      </c>
      <c r="Z412" s="4">
        <f>Games[[#This Row],[K]]*Games[[#This Row],[POMult]]</f>
        <v>77.825000000000003</v>
      </c>
      <c r="AA412" s="4">
        <f>(Games[[#This Row],[Keff]]*Games[[#This Row],[MOVMult]])*(Games[[#This Row],[Result]]-Games[[#This Row],[ExpectedWin%]])</f>
        <v>-3.3384168355902184</v>
      </c>
      <c r="AB412" s="4">
        <f>Games[[#This Row],[PreGmRate]]+Games[[#This Row],[RatingChange]]</f>
        <v>1464.5495569248696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1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41872</v>
      </c>
      <c r="B413" s="2">
        <v>2014</v>
      </c>
      <c r="C413" s="2">
        <f>COUNTIFS(Games[Team],Games[[#This Row],[Team]],Games[Season],Games[[#This Row],[Season]],Games[Date],"&lt;=" &amp; Games[[#This Row],[Date]])</f>
        <v>35</v>
      </c>
      <c r="D413" s="2" t="s">
        <v>87</v>
      </c>
      <c r="E413" s="2">
        <v>1</v>
      </c>
      <c r="F413" s="1" t="s">
        <v>67</v>
      </c>
      <c r="G413" s="1" t="s">
        <v>74</v>
      </c>
      <c r="H413" s="1" t="s">
        <v>86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3" s="2">
        <f>Games[[#This Row],[DaysOff]]-Games[[#This Row],[OppDaysOff]]</f>
        <v>1</v>
      </c>
      <c r="L413" s="2">
        <f>Games[[#This Row],[OppDaysOff]]-Games[[#This Row],[DaysOff]]</f>
        <v>-1</v>
      </c>
      <c r="M413" s="1">
        <f>MAX(-16, MIN(16, Games[[#This Row],[RestDiff]]*8))</f>
        <v>8</v>
      </c>
      <c r="N413" s="1">
        <f>MAX(-16, MIN(16, Games[[#This Row],[OppRestDiff]]*8))</f>
        <v>-8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1656.7118492393333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1467.8879737604598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0.84058723275920122</v>
      </c>
      <c r="R413" s="1">
        <v>88</v>
      </c>
      <c r="S413" s="1">
        <v>84</v>
      </c>
      <c r="T413" s="1">
        <v>0</v>
      </c>
      <c r="U413" s="1">
        <f>Games[[#This Row],[PointsFor]]-Games[[#This Row],[PointsAgainst]]</f>
        <v>4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0.26909047898949384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3" s="9">
        <f>MAX(kmin, kmax - 0.15 * MIN(Games[[#This Row],[GamesPlayed]], 82))</f>
        <v>70.75</v>
      </c>
      <c r="Z413" s="4">
        <f>Games[[#This Row],[K]]*Games[[#This Row],[POMult]]</f>
        <v>77.825000000000003</v>
      </c>
      <c r="AA413" s="4">
        <f>(Games[[#This Row],[Keff]]*Games[[#This Row],[MOVMult]])*(Games[[#This Row],[Result]]-Games[[#This Row],[ExpectedWin%]])</f>
        <v>3.3384168355902175</v>
      </c>
      <c r="AB413" s="4">
        <f>Games[[#This Row],[PreGmRate]]+Games[[#This Row],[RatingChange]]</f>
        <v>1660.0502660749235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1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41873</v>
      </c>
      <c r="B414" s="2">
        <v>2014</v>
      </c>
      <c r="C414" s="2">
        <f>COUNTIFS(Games[Team],Games[[#This Row],[Team]],Games[Season],Games[[#This Row],[Season]],Games[Date],"&lt;=" &amp; Games[[#This Row],[Date]])</f>
        <v>35</v>
      </c>
      <c r="D414" s="2" t="s">
        <v>87</v>
      </c>
      <c r="E414" s="2">
        <v>1</v>
      </c>
      <c r="F414" s="1" t="s">
        <v>77</v>
      </c>
      <c r="G414" s="1" t="s">
        <v>79</v>
      </c>
      <c r="H414" s="1" t="s">
        <v>85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1467.4219484185305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1505.0298762726832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0.33180524287856561</v>
      </c>
      <c r="R414" s="1">
        <v>80</v>
      </c>
      <c r="S414" s="1">
        <v>77</v>
      </c>
      <c r="T414" s="1">
        <v>0</v>
      </c>
      <c r="U414" s="1">
        <f>Games[[#This Row],[PointsFor]]-Games[[#This Row],[PointsAgainst]]</f>
        <v>3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0.28136554193072855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4" s="9">
        <f>MAX(kmin, kmax - 0.15 * MIN(Games[[#This Row],[GamesPlayed]], 82))</f>
        <v>70.75</v>
      </c>
      <c r="Z414" s="4">
        <f>Games[[#This Row],[K]]*Games[[#This Row],[POMult]]</f>
        <v>77.825000000000003</v>
      </c>
      <c r="AA414" s="4">
        <f>(Games[[#This Row],[Keff]]*Games[[#This Row],[MOVMult]])*(Games[[#This Row],[Result]]-Games[[#This Row],[ExpectedWin%]])</f>
        <v>14.631643214822297</v>
      </c>
      <c r="AB414" s="4">
        <f>Games[[#This Row],[PreGmRate]]+Games[[#This Row],[RatingChange]]</f>
        <v>1482.0535916333529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1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41873</v>
      </c>
      <c r="B415" s="2">
        <v>2014</v>
      </c>
      <c r="C415" s="2">
        <f>COUNTIFS(Games[Team],Games[[#This Row],[Team]],Games[Season],Games[[#This Row],[Season]],Games[Date],"&lt;=" &amp; Games[[#This Row],[Date]])</f>
        <v>35</v>
      </c>
      <c r="D415" s="2" t="s">
        <v>87</v>
      </c>
      <c r="E415" s="2">
        <v>1</v>
      </c>
      <c r="F415" s="1" t="s">
        <v>79</v>
      </c>
      <c r="G415" s="1" t="s">
        <v>77</v>
      </c>
      <c r="H415" s="1" t="s">
        <v>86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1505.0298762726832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1467.4219484185305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0.66819475712143439</v>
      </c>
      <c r="R415" s="1">
        <v>77</v>
      </c>
      <c r="S415" s="1">
        <v>80</v>
      </c>
      <c r="T415" s="1">
        <v>0</v>
      </c>
      <c r="U415" s="1">
        <f>Games[[#This Row],[PointsFor]]-Games[[#This Row],[PointsAgainst]]</f>
        <v>-3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0.28136554193072855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5" s="9">
        <f>MAX(kmin, kmax - 0.15 * MIN(Games[[#This Row],[GamesPlayed]], 82))</f>
        <v>70.75</v>
      </c>
      <c r="Z415" s="4">
        <f>Games[[#This Row],[K]]*Games[[#This Row],[POMult]]</f>
        <v>77.825000000000003</v>
      </c>
      <c r="AA415" s="4">
        <f>(Games[[#This Row],[Keff]]*Games[[#This Row],[MOVMult]])*(Games[[#This Row],[Result]]-Games[[#This Row],[ExpectedWin%]])</f>
        <v>-14.631643214822297</v>
      </c>
      <c r="AB415" s="4">
        <f>Games[[#This Row],[PreGmRate]]+Games[[#This Row],[RatingChange]]</f>
        <v>1490.3982330578608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1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41873</v>
      </c>
      <c r="B416" s="2">
        <v>2014</v>
      </c>
      <c r="C416" s="2">
        <f>COUNTIFS(Games[Team],Games[[#This Row],[Team]],Games[Season],Games[[#This Row],[Season]],Games[Date],"&lt;=" &amp; Games[[#This Row],[Date]])</f>
        <v>35</v>
      </c>
      <c r="D416" s="2" t="s">
        <v>87</v>
      </c>
      <c r="E416" s="2">
        <v>1</v>
      </c>
      <c r="F416" s="1" t="s">
        <v>63</v>
      </c>
      <c r="G416" s="1" t="s">
        <v>40</v>
      </c>
      <c r="H416" s="1" t="s">
        <v>85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5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6" s="2">
        <f>Games[[#This Row],[DaysOff]]-Games[[#This Row],[OppDaysOff]]</f>
        <v>1</v>
      </c>
      <c r="L416" s="2">
        <f>Games[[#This Row],[OppDaysOff]]-Games[[#This Row],[DaysOff]]</f>
        <v>-1</v>
      </c>
      <c r="M416" s="1">
        <f>MAX(-16, MIN(16, Games[[#This Row],[RestDiff]]*8))</f>
        <v>8</v>
      </c>
      <c r="N416" s="1">
        <f>MAX(-16, MIN(16, Games[[#This Row],[OppRestDiff]]*8))</f>
        <v>-8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1534.6817041816196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1706.897307089358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0.20056094001829874</v>
      </c>
      <c r="R416" s="1">
        <v>72</v>
      </c>
      <c r="S416" s="1">
        <v>75</v>
      </c>
      <c r="T416" s="1">
        <v>0</v>
      </c>
      <c r="U416" s="1">
        <f>Games[[#This Row],[PointsFor]]-Games[[#This Row],[PointsAgainst]]</f>
        <v>-3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0.25376495106203978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6" s="9">
        <f>MAX(kmin, kmax - 0.15 * MIN(Games[[#This Row],[GamesPlayed]], 82))</f>
        <v>70.75</v>
      </c>
      <c r="Z416" s="4">
        <f>Games[[#This Row],[K]]*Games[[#This Row],[POMult]]</f>
        <v>77.825000000000003</v>
      </c>
      <c r="AA416" s="4">
        <f>(Games[[#This Row],[Keff]]*Games[[#This Row],[MOVMult]])*(Games[[#This Row],[Result]]-Games[[#This Row],[ExpectedWin%]])</f>
        <v>-3.9609296120410988</v>
      </c>
      <c r="AB416" s="4">
        <f>Games[[#This Row],[PreGmRate]]+Games[[#This Row],[RatingChange]]</f>
        <v>1530.7207745695785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1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41873</v>
      </c>
      <c r="B417" s="2">
        <v>2014</v>
      </c>
      <c r="C417" s="2">
        <f>COUNTIFS(Games[Team],Games[[#This Row],[Team]],Games[Season],Games[[#This Row],[Season]],Games[Date],"&lt;=" &amp; Games[[#This Row],[Date]])</f>
        <v>35</v>
      </c>
      <c r="D417" s="2" t="s">
        <v>87</v>
      </c>
      <c r="E417" s="2">
        <v>1</v>
      </c>
      <c r="F417" s="1" t="s">
        <v>40</v>
      </c>
      <c r="G417" s="1" t="s">
        <v>63</v>
      </c>
      <c r="H417" s="1" t="s">
        <v>86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17" s="2">
        <f>Games[[#This Row],[DaysOff]]-Games[[#This Row],[OppDaysOff]]</f>
        <v>-1</v>
      </c>
      <c r="L417" s="2">
        <f>Games[[#This Row],[OppDaysOff]]-Games[[#This Row],[DaysOff]]</f>
        <v>1</v>
      </c>
      <c r="M417" s="1">
        <f>MAX(-16, MIN(16, Games[[#This Row],[RestDiff]]*8))</f>
        <v>-8</v>
      </c>
      <c r="N417" s="1">
        <f>MAX(-16, MIN(16, Games[[#This Row],[OppRestDiff]]*8))</f>
        <v>8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1706.897307089358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1534.6817041816196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0.79943905998170128</v>
      </c>
      <c r="R417" s="1">
        <v>75</v>
      </c>
      <c r="S417" s="1">
        <v>72</v>
      </c>
      <c r="T417" s="1">
        <v>0</v>
      </c>
      <c r="U417" s="1">
        <f>Games[[#This Row],[PointsFor]]-Games[[#This Row],[PointsAgainst]]</f>
        <v>3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0.25376495106203978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7" s="9">
        <f>MAX(kmin, kmax - 0.15 * MIN(Games[[#This Row],[GamesPlayed]], 82))</f>
        <v>70.75</v>
      </c>
      <c r="Z417" s="4">
        <f>Games[[#This Row],[K]]*Games[[#This Row],[POMult]]</f>
        <v>77.825000000000003</v>
      </c>
      <c r="AA417" s="4">
        <f>(Games[[#This Row],[Keff]]*Games[[#This Row],[MOVMult]])*(Games[[#This Row],[Result]]-Games[[#This Row],[ExpectedWin%]])</f>
        <v>3.9609296120410984</v>
      </c>
      <c r="AB417" s="4">
        <f>Games[[#This Row],[PreGmRate]]+Games[[#This Row],[RatingChange]]</f>
        <v>1710.8582367013992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1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41874</v>
      </c>
      <c r="B418" s="2">
        <v>2014</v>
      </c>
      <c r="C418" s="2">
        <f>COUNTIFS(Games[Team],Games[[#This Row],[Team]],Games[Season],Games[[#This Row],[Season]],Games[Date],"&lt;=" &amp; Games[[#This Row],[Date]])</f>
        <v>36</v>
      </c>
      <c r="D418" s="2" t="s">
        <v>87</v>
      </c>
      <c r="E418" s="2">
        <v>1</v>
      </c>
      <c r="F418" s="1" t="s">
        <v>67</v>
      </c>
      <c r="G418" s="1" t="s">
        <v>74</v>
      </c>
      <c r="H418" s="1" t="s">
        <v>85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1660.0502660749235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1464.5495569248696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0.65517146282001482</v>
      </c>
      <c r="R418" s="1">
        <v>94</v>
      </c>
      <c r="S418" s="1">
        <v>89</v>
      </c>
      <c r="T418" s="1">
        <v>0</v>
      </c>
      <c r="U418" s="1">
        <f>Games[[#This Row],[PointsFor]]-Games[[#This Row],[PointsAgainst]]</f>
        <v>5</v>
      </c>
      <c r="V418" s="1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0.28527908867632834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8" s="9">
        <f>MAX(kmin, kmax - 0.15 * MIN(Games[[#This Row],[GamesPlayed]], 82))</f>
        <v>70.599999999999994</v>
      </c>
      <c r="Z418" s="4">
        <f>Games[[#This Row],[K]]*Games[[#This Row],[POMult]]</f>
        <v>77.66</v>
      </c>
      <c r="AA418" s="4">
        <f>(Games[[#This Row],[Keff]]*Games[[#This Row],[MOVMult]])*(Games[[#This Row],[Result]]-Games[[#This Row],[ExpectedWin%]])</f>
        <v>7.6395983191468693</v>
      </c>
      <c r="AB418" s="4">
        <f>Games[[#This Row],[PreGmRate]]+Games[[#This Row],[RatingChange]]</f>
        <v>1667.6898643940704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1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41874</v>
      </c>
      <c r="B419" s="2">
        <v>2014</v>
      </c>
      <c r="C419" s="2">
        <f>COUNTIFS(Games[Team],Games[[#This Row],[Team]],Games[Season],Games[[#This Row],[Season]],Games[Date],"&lt;=" &amp; Games[[#This Row],[Date]])</f>
        <v>36</v>
      </c>
      <c r="D419" s="2" t="s">
        <v>87</v>
      </c>
      <c r="E419" s="2">
        <v>1</v>
      </c>
      <c r="F419" s="1" t="s">
        <v>74</v>
      </c>
      <c r="G419" s="1" t="s">
        <v>67</v>
      </c>
      <c r="H419" s="1" t="s">
        <v>86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1464.5495569248696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1660.0502660749235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0.34482853717998513</v>
      </c>
      <c r="R419" s="1">
        <v>89</v>
      </c>
      <c r="S419" s="1">
        <v>94</v>
      </c>
      <c r="T419" s="1">
        <v>0</v>
      </c>
      <c r="U419" s="1">
        <f>Games[[#This Row],[PointsFor]]-Games[[#This Row],[PointsAgainst]]</f>
        <v>-5</v>
      </c>
      <c r="V419" s="1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0.28527908867632834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19" s="9">
        <f>MAX(kmin, kmax - 0.15 * MIN(Games[[#This Row],[GamesPlayed]], 82))</f>
        <v>70.599999999999994</v>
      </c>
      <c r="Z419" s="4">
        <f>Games[[#This Row],[K]]*Games[[#This Row],[POMult]]</f>
        <v>77.66</v>
      </c>
      <c r="AA419" s="4">
        <f>(Games[[#This Row],[Keff]]*Games[[#This Row],[MOVMult]])*(Games[[#This Row],[Result]]-Games[[#This Row],[ExpectedWin%]])</f>
        <v>-7.6395983191468684</v>
      </c>
      <c r="AB419" s="4">
        <f>Games[[#This Row],[PreGmRate]]+Games[[#This Row],[RatingChange]]</f>
        <v>1456.9099586057227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1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41874</v>
      </c>
      <c r="B420" s="2">
        <v>2014</v>
      </c>
      <c r="C420" s="2">
        <f>COUNTIFS(Games[Team],Games[[#This Row],[Team]],Games[Season],Games[[#This Row],[Season]],Games[Date],"&lt;=" &amp; Games[[#This Row],[Date]])</f>
        <v>36</v>
      </c>
      <c r="D420" s="2" t="s">
        <v>87</v>
      </c>
      <c r="E420" s="2">
        <v>1</v>
      </c>
      <c r="F420" s="1" t="s">
        <v>69</v>
      </c>
      <c r="G420" s="1" t="s">
        <v>65</v>
      </c>
      <c r="H420" s="1" t="s">
        <v>85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1496.9588028018673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1477.1125499042614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0.40871050226806926</v>
      </c>
      <c r="R420" s="1">
        <v>81</v>
      </c>
      <c r="S420" s="1">
        <v>76</v>
      </c>
      <c r="T420" s="1">
        <v>1</v>
      </c>
      <c r="U420" s="1">
        <f>Games[[#This Row],[PointsFor]]-Games[[#This Row],[PointsAgainst]]</f>
        <v>5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0.2937226331982864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0" s="9">
        <f>MAX(kmin, kmax - 0.15 * MIN(Games[[#This Row],[GamesPlayed]], 82))</f>
        <v>70.599999999999994</v>
      </c>
      <c r="Z420" s="4">
        <f>Games[[#This Row],[K]]*Games[[#This Row],[POMult]]</f>
        <v>77.66</v>
      </c>
      <c r="AA420" s="4">
        <f>(Games[[#This Row],[Keff]]*Games[[#This Row],[MOVMult]])*(Games[[#This Row],[Result]]-Games[[#This Row],[ExpectedWin%]])</f>
        <v>13.487608907185415</v>
      </c>
      <c r="AB420" s="4">
        <f>Games[[#This Row],[PreGmRate]]+Games[[#This Row],[RatingChange]]</f>
        <v>1510.4464117090527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1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41874</v>
      </c>
      <c r="B421" s="2">
        <v>2014</v>
      </c>
      <c r="C421" s="2">
        <f>COUNTIFS(Games[Team],Games[[#This Row],[Team]],Games[Season],Games[[#This Row],[Season]],Games[Date],"&lt;=" &amp; Games[[#This Row],[Date]])</f>
        <v>36</v>
      </c>
      <c r="D421" s="2" t="s">
        <v>87</v>
      </c>
      <c r="E421" s="2">
        <v>1</v>
      </c>
      <c r="F421" s="1" t="s">
        <v>65</v>
      </c>
      <c r="G421" s="1" t="s">
        <v>69</v>
      </c>
      <c r="H421" s="1" t="s">
        <v>86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1477.1125499042614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1496.9588028018673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0.59128949773193074</v>
      </c>
      <c r="R421" s="1">
        <v>76</v>
      </c>
      <c r="S421" s="1">
        <v>81</v>
      </c>
      <c r="T421" s="1">
        <v>1</v>
      </c>
      <c r="U421" s="1">
        <f>Games[[#This Row],[PointsFor]]-Games[[#This Row],[PointsAgainst]]</f>
        <v>-5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0.2937226331982864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1" s="9">
        <f>MAX(kmin, kmax - 0.15 * MIN(Games[[#This Row],[GamesPlayed]], 82))</f>
        <v>70.599999999999994</v>
      </c>
      <c r="Z421" s="4">
        <f>Games[[#This Row],[K]]*Games[[#This Row],[POMult]]</f>
        <v>77.66</v>
      </c>
      <c r="AA421" s="4">
        <f>(Games[[#This Row],[Keff]]*Games[[#This Row],[MOVMult]])*(Games[[#This Row],[Result]]-Games[[#This Row],[ExpectedWin%]])</f>
        <v>-13.487608907185415</v>
      </c>
      <c r="AB421" s="4">
        <f>Games[[#This Row],[PreGmRate]]+Games[[#This Row],[RatingChange]]</f>
        <v>1463.624940997076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1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41875</v>
      </c>
      <c r="B422" s="2">
        <v>2014</v>
      </c>
      <c r="C422" s="2">
        <f>COUNTIFS(Games[Team],Games[[#This Row],[Team]],Games[Season],Games[[#This Row],[Season]],Games[Date],"&lt;=" &amp; Games[[#This Row],[Date]])</f>
        <v>36</v>
      </c>
      <c r="D422" s="2" t="s">
        <v>87</v>
      </c>
      <c r="E422" s="2">
        <v>1</v>
      </c>
      <c r="F422" s="1" t="s">
        <v>79</v>
      </c>
      <c r="G422" s="1" t="s">
        <v>77</v>
      </c>
      <c r="H422" s="1" t="s">
        <v>85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1490.3982330578608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1482.0535916333529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0.39281202026764656</v>
      </c>
      <c r="R422" s="1">
        <v>92</v>
      </c>
      <c r="S422" s="1">
        <v>83</v>
      </c>
      <c r="T422" s="1">
        <v>0</v>
      </c>
      <c r="U422" s="1">
        <f>Games[[#This Row],[PointsFor]]-Games[[#This Row],[PointsAgainst]]</f>
        <v>9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0.40316795049661946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2" s="9">
        <f>MAX(kmin, kmax - 0.15 * MIN(Games[[#This Row],[GamesPlayed]], 82))</f>
        <v>70.599999999999994</v>
      </c>
      <c r="Z422" s="4">
        <f>Games[[#This Row],[K]]*Games[[#This Row],[POMult]]</f>
        <v>77.66</v>
      </c>
      <c r="AA422" s="4">
        <f>(Games[[#This Row],[Keff]]*Games[[#This Row],[MOVMult]])*(Games[[#This Row],[Result]]-Games[[#This Row],[ExpectedWin%]])</f>
        <v>19.011069632339655</v>
      </c>
      <c r="AB422" s="4">
        <f>Games[[#This Row],[PreGmRate]]+Games[[#This Row],[RatingChange]]</f>
        <v>1509.4093026902005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1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41875</v>
      </c>
      <c r="B423" s="2">
        <v>2014</v>
      </c>
      <c r="C423" s="2">
        <f>COUNTIFS(Games[Team],Games[[#This Row],[Team]],Games[Season],Games[[#This Row],[Season]],Games[Date],"&lt;=" &amp; Games[[#This Row],[Date]])</f>
        <v>36</v>
      </c>
      <c r="D423" s="2" t="s">
        <v>87</v>
      </c>
      <c r="E423" s="2">
        <v>1</v>
      </c>
      <c r="F423" s="1" t="s">
        <v>77</v>
      </c>
      <c r="G423" s="1" t="s">
        <v>79</v>
      </c>
      <c r="H423" s="1" t="s">
        <v>86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1482.0535916333529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1490.3982330578608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0.6071879797323535</v>
      </c>
      <c r="R423" s="1">
        <v>83</v>
      </c>
      <c r="S423" s="1">
        <v>92</v>
      </c>
      <c r="T423" s="1">
        <v>0</v>
      </c>
      <c r="U423" s="1">
        <f>Games[[#This Row],[PointsFor]]-Games[[#This Row],[PointsAgainst]]</f>
        <v>-9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0.40316795049661946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3" s="9">
        <f>MAX(kmin, kmax - 0.15 * MIN(Games[[#This Row],[GamesPlayed]], 82))</f>
        <v>70.599999999999994</v>
      </c>
      <c r="Z423" s="4">
        <f>Games[[#This Row],[K]]*Games[[#This Row],[POMult]]</f>
        <v>77.66</v>
      </c>
      <c r="AA423" s="4">
        <f>(Games[[#This Row],[Keff]]*Games[[#This Row],[MOVMult]])*(Games[[#This Row],[Result]]-Games[[#This Row],[ExpectedWin%]])</f>
        <v>-19.011069632339659</v>
      </c>
      <c r="AB423" s="4">
        <f>Games[[#This Row],[PreGmRate]]+Games[[#This Row],[RatingChange]]</f>
        <v>1463.0425220010131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1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41875</v>
      </c>
      <c r="B424" s="2">
        <v>2014</v>
      </c>
      <c r="C424" s="2">
        <f>COUNTIFS(Games[Team],Games[[#This Row],[Team]],Games[Season],Games[[#This Row],[Season]],Games[Date],"&lt;=" &amp; Games[[#This Row],[Date]])</f>
        <v>36</v>
      </c>
      <c r="D424" s="2" t="s">
        <v>87</v>
      </c>
      <c r="E424" s="2">
        <v>1</v>
      </c>
      <c r="F424" s="1" t="s">
        <v>40</v>
      </c>
      <c r="G424" s="1" t="s">
        <v>63</v>
      </c>
      <c r="H424" s="1" t="s">
        <v>85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1710.8582367013992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1530.7207745695785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0.6349267728152892</v>
      </c>
      <c r="R424" s="1">
        <v>93</v>
      </c>
      <c r="S424" s="1">
        <v>68</v>
      </c>
      <c r="T424" s="1">
        <v>0</v>
      </c>
      <c r="U424" s="1">
        <f>Games[[#This Row],[PointsFor]]-Games[[#This Row],[PointsAgainst]]</f>
        <v>25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0.55763549297751036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4" s="9">
        <f>MAX(kmin, kmax - 0.15 * MIN(Games[[#This Row],[GamesPlayed]], 82))</f>
        <v>70.599999999999994</v>
      </c>
      <c r="Z424" s="4">
        <f>Games[[#This Row],[K]]*Games[[#This Row],[POMult]]</f>
        <v>77.66</v>
      </c>
      <c r="AA424" s="4">
        <f>(Games[[#This Row],[Keff]]*Games[[#This Row],[MOVMult]])*(Games[[#This Row],[Result]]-Games[[#This Row],[ExpectedWin%]])</f>
        <v>15.809851094830099</v>
      </c>
      <c r="AB424" s="4">
        <f>Games[[#This Row],[PreGmRate]]+Games[[#This Row],[RatingChange]]</f>
        <v>1726.6680877962292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1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41875</v>
      </c>
      <c r="B425" s="2">
        <v>2014</v>
      </c>
      <c r="C425" s="2">
        <f>COUNTIFS(Games[Team],Games[[#This Row],[Team]],Games[Season],Games[[#This Row],[Season]],Games[Date],"&lt;=" &amp; Games[[#This Row],[Date]])</f>
        <v>36</v>
      </c>
      <c r="D425" s="2" t="s">
        <v>87</v>
      </c>
      <c r="E425" s="2">
        <v>1</v>
      </c>
      <c r="F425" s="1" t="s">
        <v>63</v>
      </c>
      <c r="G425" s="1" t="s">
        <v>40</v>
      </c>
      <c r="H425" s="1" t="s">
        <v>86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1530.7207745695785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1710.8582367013992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0.36507322718471075</v>
      </c>
      <c r="R425" s="1">
        <v>68</v>
      </c>
      <c r="S425" s="1">
        <v>93</v>
      </c>
      <c r="T425" s="1">
        <v>0</v>
      </c>
      <c r="U425" s="1">
        <f>Games[[#This Row],[PointsFor]]-Games[[#This Row],[PointsAgainst]]</f>
        <v>-25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0.55763549297751036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5" s="9">
        <f>MAX(kmin, kmax - 0.15 * MIN(Games[[#This Row],[GamesPlayed]], 82))</f>
        <v>70.599999999999994</v>
      </c>
      <c r="Z425" s="4">
        <f>Games[[#This Row],[K]]*Games[[#This Row],[POMult]]</f>
        <v>77.66</v>
      </c>
      <c r="AA425" s="4">
        <f>(Games[[#This Row],[Keff]]*Games[[#This Row],[MOVMult]])*(Games[[#This Row],[Result]]-Games[[#This Row],[ExpectedWin%]])</f>
        <v>-15.809851094830098</v>
      </c>
      <c r="AB425" s="4">
        <f>Games[[#This Row],[PreGmRate]]+Games[[#This Row],[RatingChange]]</f>
        <v>1514.9109234747484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1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41877</v>
      </c>
      <c r="B426" s="2">
        <v>2014</v>
      </c>
      <c r="C426" s="2">
        <f>COUNTIFS(Games[Team],Games[[#This Row],[Team]],Games[Season],Games[[#This Row],[Season]],Games[Date],"&lt;=" &amp; Games[[#This Row],[Date]])</f>
        <v>37</v>
      </c>
      <c r="D426" s="2" t="s">
        <v>87</v>
      </c>
      <c r="E426" s="2">
        <v>1</v>
      </c>
      <c r="F426" s="1" t="s">
        <v>77</v>
      </c>
      <c r="G426" s="1" t="s">
        <v>79</v>
      </c>
      <c r="H426" s="1" t="s">
        <v>85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1463.0425220010131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1509.4093026902005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0.32072292601590774</v>
      </c>
      <c r="R426" s="1">
        <v>81</v>
      </c>
      <c r="S426" s="1">
        <v>80</v>
      </c>
      <c r="T426" s="1">
        <v>0</v>
      </c>
      <c r="U426" s="1">
        <f>Games[[#This Row],[PointsFor]]-Games[[#This Row],[PointsAgainst]]</f>
        <v>1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0.23509580782980036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6" s="9">
        <f>MAX(kmin, kmax - 0.15 * MIN(Games[[#This Row],[GamesPlayed]], 82))</f>
        <v>70.45</v>
      </c>
      <c r="Z426" s="4">
        <f>Games[[#This Row],[K]]*Games[[#This Row],[POMult]]</f>
        <v>77.495000000000005</v>
      </c>
      <c r="AA426" s="4">
        <f>(Games[[#This Row],[Keff]]*Games[[#This Row],[MOVMult]])*(Games[[#This Row],[Result]]-Games[[#This Row],[ExpectedWin%]])</f>
        <v>12.375578938800635</v>
      </c>
      <c r="AB426" s="4">
        <f>Games[[#This Row],[PreGmRate]]+Games[[#This Row],[RatingChange]]</f>
        <v>1475.4181009398137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1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41877</v>
      </c>
      <c r="B427" s="2">
        <v>2014</v>
      </c>
      <c r="C427" s="2">
        <f>COUNTIFS(Games[Team],Games[[#This Row],[Team]],Games[Season],Games[[#This Row],[Season]],Games[Date],"&lt;=" &amp; Games[[#This Row],[Date]])</f>
        <v>37</v>
      </c>
      <c r="D427" s="2" t="s">
        <v>87</v>
      </c>
      <c r="E427" s="2">
        <v>1</v>
      </c>
      <c r="F427" s="1" t="s">
        <v>79</v>
      </c>
      <c r="G427" s="1" t="s">
        <v>77</v>
      </c>
      <c r="H427" s="1" t="s">
        <v>86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1509.4093026902005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1463.0425220010131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0.67927707398409232</v>
      </c>
      <c r="R427" s="1">
        <v>80</v>
      </c>
      <c r="S427" s="1">
        <v>81</v>
      </c>
      <c r="T427" s="1">
        <v>0</v>
      </c>
      <c r="U427" s="1">
        <f>Games[[#This Row],[PointsFor]]-Games[[#This Row],[PointsAgainst]]</f>
        <v>-1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0.23509580782980036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27" s="9">
        <f>MAX(kmin, kmax - 0.15 * MIN(Games[[#This Row],[GamesPlayed]], 82))</f>
        <v>70.45</v>
      </c>
      <c r="Z427" s="4">
        <f>Games[[#This Row],[K]]*Games[[#This Row],[POMult]]</f>
        <v>77.495000000000005</v>
      </c>
      <c r="AA427" s="4">
        <f>(Games[[#This Row],[Keff]]*Games[[#This Row],[MOVMult]])*(Games[[#This Row],[Result]]-Games[[#This Row],[ExpectedWin%]])</f>
        <v>-12.375578938800635</v>
      </c>
      <c r="AB427" s="4">
        <f>Games[[#This Row],[PreGmRate]]+Games[[#This Row],[RatingChange]]</f>
        <v>1497.0337237514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1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41880</v>
      </c>
      <c r="B428" s="2">
        <v>2014</v>
      </c>
      <c r="C428" s="2">
        <f>COUNTIFS(Games[Team],Games[[#This Row],[Team]],Games[Season],Games[[#This Row],[Season]],Games[Date],"&lt;=" &amp; Games[[#This Row],[Date]])</f>
        <v>37</v>
      </c>
      <c r="D428" s="2" t="s">
        <v>87</v>
      </c>
      <c r="E428" s="2">
        <v>2</v>
      </c>
      <c r="F428" s="1" t="s">
        <v>67</v>
      </c>
      <c r="G428" s="1" t="s">
        <v>40</v>
      </c>
      <c r="H428" s="1" t="s">
        <v>85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5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8" s="2">
        <f>Games[[#This Row],[DaysOff]]-Games[[#This Row],[OppDaysOff]]</f>
        <v>1</v>
      </c>
      <c r="L428" s="2">
        <f>Games[[#This Row],[OppDaysOff]]-Games[[#This Row],[DaysOff]]</f>
        <v>-1</v>
      </c>
      <c r="M428" s="1">
        <f>MAX(-16, MIN(16, Games[[#This Row],[RestDiff]]*8))</f>
        <v>8</v>
      </c>
      <c r="N428" s="1">
        <f>MAX(-16, MIN(16, Games[[#This Row],[OppRestDiff]]*8))</f>
        <v>-8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1667.6898643940704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1726.6680877962292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0.32498729780969771</v>
      </c>
      <c r="R428" s="1">
        <v>71</v>
      </c>
      <c r="S428" s="1">
        <v>85</v>
      </c>
      <c r="T428" s="1">
        <v>0</v>
      </c>
      <c r="U428" s="1">
        <f>Games[[#This Row],[PointsFor]]-Games[[#This Row],[PointsAgainst]]</f>
        <v>-14</v>
      </c>
      <c r="V428" s="1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0.4647655641411455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8" s="9">
        <f>MAX(kmin, kmax - 0.15 * MIN(Games[[#This Row],[GamesPlayed]], 82))</f>
        <v>70.45</v>
      </c>
      <c r="Z428" s="4">
        <f>Games[[#This Row],[K]]*Games[[#This Row],[POMult]]</f>
        <v>84.54</v>
      </c>
      <c r="AA428" s="4">
        <f>(Games[[#This Row],[Keff]]*Games[[#This Row],[MOVMult]])*(Games[[#This Row],[Result]]-Games[[#This Row],[ExpectedWin%]])</f>
        <v>-12.769167172234198</v>
      </c>
      <c r="AB428" s="4">
        <f>Games[[#This Row],[PreGmRate]]+Games[[#This Row],[RatingChange]]</f>
        <v>1654.9206972218362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1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41880</v>
      </c>
      <c r="B429" s="2">
        <v>2014</v>
      </c>
      <c r="C429" s="2">
        <f>COUNTIFS(Games[Team],Games[[#This Row],[Team]],Games[Season],Games[[#This Row],[Season]],Games[Date],"&lt;=" &amp; Games[[#This Row],[Date]])</f>
        <v>37</v>
      </c>
      <c r="D429" s="2" t="s">
        <v>87</v>
      </c>
      <c r="E429" s="2">
        <v>2</v>
      </c>
      <c r="F429" s="1" t="s">
        <v>40</v>
      </c>
      <c r="G429" s="1" t="s">
        <v>67</v>
      </c>
      <c r="H429" s="1" t="s">
        <v>86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29" s="2">
        <f>Games[[#This Row],[DaysOff]]-Games[[#This Row],[OppDaysOff]]</f>
        <v>-1</v>
      </c>
      <c r="L429" s="2">
        <f>Games[[#This Row],[OppDaysOff]]-Games[[#This Row],[DaysOff]]</f>
        <v>1</v>
      </c>
      <c r="M429" s="1">
        <f>MAX(-16, MIN(16, Games[[#This Row],[RestDiff]]*8))</f>
        <v>-8</v>
      </c>
      <c r="N429" s="1">
        <f>MAX(-16, MIN(16, Games[[#This Row],[OppRestDiff]]*8))</f>
        <v>8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1726.6680877962292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1667.6898643940704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0.67501270219030229</v>
      </c>
      <c r="R429" s="1">
        <v>85</v>
      </c>
      <c r="S429" s="1">
        <v>71</v>
      </c>
      <c r="T429" s="1">
        <v>0</v>
      </c>
      <c r="U429" s="1">
        <f>Games[[#This Row],[PointsFor]]-Games[[#This Row],[PointsAgainst]]</f>
        <v>14</v>
      </c>
      <c r="V429" s="1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0.4647655641411455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29" s="9">
        <f>MAX(kmin, kmax - 0.15 * MIN(Games[[#This Row],[GamesPlayed]], 82))</f>
        <v>70.45</v>
      </c>
      <c r="Z429" s="4">
        <f>Games[[#This Row],[K]]*Games[[#This Row],[POMult]]</f>
        <v>84.54</v>
      </c>
      <c r="AA429" s="4">
        <f>(Games[[#This Row],[Keff]]*Games[[#This Row],[MOVMult]])*(Games[[#This Row],[Result]]-Games[[#This Row],[ExpectedWin%]])</f>
        <v>12.769167172234198</v>
      </c>
      <c r="AB429" s="4">
        <f>Games[[#This Row],[PreGmRate]]+Games[[#This Row],[RatingChange]]</f>
        <v>1739.4372549684633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1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41881</v>
      </c>
      <c r="B430" s="2">
        <v>2014</v>
      </c>
      <c r="C430" s="2">
        <f>COUNTIFS(Games[Team],Games[[#This Row],[Team]],Games[Season],Games[[#This Row],[Season]],Games[Date],"&lt;=" &amp; Games[[#This Row],[Date]])</f>
        <v>38</v>
      </c>
      <c r="D430" s="2" t="s">
        <v>87</v>
      </c>
      <c r="E430" s="2">
        <v>2</v>
      </c>
      <c r="F430" s="1" t="s">
        <v>77</v>
      </c>
      <c r="G430" s="1" t="s">
        <v>69</v>
      </c>
      <c r="H430" s="1" t="s">
        <v>85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0" s="2">
        <f>Games[[#This Row],[DaysOff]]-Games[[#This Row],[OppDaysOff]]</f>
        <v>-3</v>
      </c>
      <c r="L430" s="2">
        <f>Games[[#This Row],[OppDaysOff]]-Games[[#This Row],[DaysOff]]</f>
        <v>3</v>
      </c>
      <c r="M430" s="1">
        <f>MAX(-16, MIN(16, Games[[#This Row],[RestDiff]]*8))</f>
        <v>-16</v>
      </c>
      <c r="N430" s="1">
        <f>MAX(-16, MIN(16, Games[[#This Row],[OppRestDiff]]*8))</f>
        <v>16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1475.4181009398137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1510.4464117090527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0.29538148707740508</v>
      </c>
      <c r="R430" s="1">
        <v>70</v>
      </c>
      <c r="S430" s="1">
        <v>77</v>
      </c>
      <c r="T430" s="1">
        <v>0</v>
      </c>
      <c r="U430" s="1">
        <f>Games[[#This Row],[PointsFor]]-Games[[#This Row],[PointsAgainst]]</f>
        <v>-7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0.35961006165758092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0" s="9">
        <f>MAX(kmin, kmax - 0.15 * MIN(Games[[#This Row],[GamesPlayed]], 82))</f>
        <v>70.3</v>
      </c>
      <c r="Z430" s="4">
        <f>Games[[#This Row],[K]]*Games[[#This Row],[POMult]]</f>
        <v>84.36</v>
      </c>
      <c r="AA430" s="4">
        <f>(Games[[#This Row],[Keff]]*Games[[#This Row],[MOVMult]])*(Games[[#This Row],[Result]]-Games[[#This Row],[ExpectedWin%]])</f>
        <v>-8.9609009772756902</v>
      </c>
      <c r="AB430" s="4">
        <f>Games[[#This Row],[PreGmRate]]+Games[[#This Row],[RatingChange]]</f>
        <v>1466.457199962538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1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41881</v>
      </c>
      <c r="B431" s="2">
        <v>2014</v>
      </c>
      <c r="C431" s="2">
        <f>COUNTIFS(Games[Team],Games[[#This Row],[Team]],Games[Season],Games[[#This Row],[Season]],Games[Date],"&lt;=" &amp; Games[[#This Row],[Date]])</f>
        <v>37</v>
      </c>
      <c r="D431" s="2" t="s">
        <v>87</v>
      </c>
      <c r="E431" s="2">
        <v>2</v>
      </c>
      <c r="F431" s="1" t="s">
        <v>69</v>
      </c>
      <c r="G431" s="1" t="s">
        <v>77</v>
      </c>
      <c r="H431" s="1" t="s">
        <v>86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1" s="2">
        <f>Games[[#This Row],[DaysOff]]-Games[[#This Row],[OppDaysOff]]</f>
        <v>3</v>
      </c>
      <c r="L431" s="2">
        <f>Games[[#This Row],[OppDaysOff]]-Games[[#This Row],[DaysOff]]</f>
        <v>-3</v>
      </c>
      <c r="M431" s="1">
        <f>MAX(-16, MIN(16, Games[[#This Row],[RestDiff]]*8))</f>
        <v>16</v>
      </c>
      <c r="N431" s="1">
        <f>MAX(-16, MIN(16, Games[[#This Row],[OppRestDiff]]*8))</f>
        <v>-16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1510.4464117090527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1475.4181009398137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0.70461851292259492</v>
      </c>
      <c r="R431" s="1">
        <v>77</v>
      </c>
      <c r="S431" s="1">
        <v>70</v>
      </c>
      <c r="T431" s="1">
        <v>0</v>
      </c>
      <c r="U431" s="1">
        <f>Games[[#This Row],[PointsFor]]-Games[[#This Row],[PointsAgainst]]</f>
        <v>7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0.35961006165758092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1" s="9">
        <f>MAX(kmin, kmax - 0.15 * MIN(Games[[#This Row],[GamesPlayed]], 82))</f>
        <v>70.45</v>
      </c>
      <c r="Z431" s="4">
        <f>Games[[#This Row],[K]]*Games[[#This Row],[POMult]]</f>
        <v>84.54</v>
      </c>
      <c r="AA431" s="4">
        <f>(Games[[#This Row],[Keff]]*Games[[#This Row],[MOVMult]])*(Games[[#This Row],[Result]]-Games[[#This Row],[ExpectedWin%]])</f>
        <v>8.9800209651361644</v>
      </c>
      <c r="AB431" s="4">
        <f>Games[[#This Row],[PreGmRate]]+Games[[#This Row],[RatingChange]]</f>
        <v>1519.4264326741888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1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41882</v>
      </c>
      <c r="B432" s="2">
        <v>2014</v>
      </c>
      <c r="C432" s="2">
        <f>COUNTIFS(Games[Team],Games[[#This Row],[Team]],Games[Season],Games[[#This Row],[Season]],Games[Date],"&lt;=" &amp; Games[[#This Row],[Date]])</f>
        <v>38</v>
      </c>
      <c r="D432" s="2" t="s">
        <v>87</v>
      </c>
      <c r="E432" s="2">
        <v>2</v>
      </c>
      <c r="F432" s="1" t="s">
        <v>40</v>
      </c>
      <c r="G432" s="1" t="s">
        <v>67</v>
      </c>
      <c r="H432" s="1" t="s">
        <v>85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0</v>
      </c>
      <c r="L432" s="2">
        <f>Games[[#This Row],[OppDaysOff]]-Games[[#This Row],[DaysOff]]</f>
        <v>0</v>
      </c>
      <c r="M432" s="1">
        <f>MAX(-16, MIN(16, Games[[#This Row],[RestDiff]]*8))</f>
        <v>0</v>
      </c>
      <c r="N432" s="1">
        <f>MAX(-16, MIN(16, Games[[#This Row],[OppRestDiff]]*8))</f>
        <v>0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1739.4372549684633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1654.9206972218362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0.50074338580665922</v>
      </c>
      <c r="R432" s="1">
        <v>77</v>
      </c>
      <c r="S432" s="1">
        <v>82</v>
      </c>
      <c r="T432" s="1">
        <v>0</v>
      </c>
      <c r="U432" s="1">
        <f>Games[[#This Row],[PointsFor]]-Games[[#This Row],[PointsAgainst]]</f>
        <v>-5</v>
      </c>
      <c r="V432" s="1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0.30992762853277644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2" s="9">
        <f>MAX(kmin, kmax - 0.15 * MIN(Games[[#This Row],[GamesPlayed]], 82))</f>
        <v>70.3</v>
      </c>
      <c r="Z432" s="4">
        <f>Games[[#This Row],[K]]*Games[[#This Row],[POMult]]</f>
        <v>84.36</v>
      </c>
      <c r="AA432" s="4">
        <f>(Games[[#This Row],[Keff]]*Games[[#This Row],[MOVMult]])*(Games[[#This Row],[Result]]-Games[[#This Row],[ExpectedWin%]])</f>
        <v>-13.092183561212559</v>
      </c>
      <c r="AB432" s="4">
        <f>Games[[#This Row],[PreGmRate]]+Games[[#This Row],[RatingChange]]</f>
        <v>1726.3450714072508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1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41882</v>
      </c>
      <c r="B433" s="2">
        <v>2014</v>
      </c>
      <c r="C433" s="2">
        <f>COUNTIFS(Games[Team],Games[[#This Row],[Team]],Games[Season],Games[[#This Row],[Season]],Games[Date],"&lt;=" &amp; Games[[#This Row],[Date]])</f>
        <v>38</v>
      </c>
      <c r="D433" s="2" t="s">
        <v>87</v>
      </c>
      <c r="E433" s="2">
        <v>2</v>
      </c>
      <c r="F433" s="1" t="s">
        <v>67</v>
      </c>
      <c r="G433" s="1" t="s">
        <v>40</v>
      </c>
      <c r="H433" s="1" t="s">
        <v>86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0</v>
      </c>
      <c r="L433" s="2">
        <f>Games[[#This Row],[OppDaysOff]]-Games[[#This Row],[DaysOff]]</f>
        <v>0</v>
      </c>
      <c r="M433" s="1">
        <f>MAX(-16, MIN(16, Games[[#This Row],[RestDiff]]*8))</f>
        <v>0</v>
      </c>
      <c r="N433" s="1">
        <f>MAX(-16, MIN(16, Games[[#This Row],[OppRestDiff]]*8))</f>
        <v>0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1654.9206972218362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1739.4372549684633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0.49925661419334089</v>
      </c>
      <c r="R433" s="1">
        <v>82</v>
      </c>
      <c r="S433" s="1">
        <v>77</v>
      </c>
      <c r="T433" s="1">
        <v>0</v>
      </c>
      <c r="U433" s="1">
        <f>Games[[#This Row],[PointsFor]]-Games[[#This Row],[PointsAgainst]]</f>
        <v>5</v>
      </c>
      <c r="V433" s="1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0.30992762853277644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3" s="9">
        <f>MAX(kmin, kmax - 0.15 * MIN(Games[[#This Row],[GamesPlayed]], 82))</f>
        <v>70.3</v>
      </c>
      <c r="Z433" s="4">
        <f>Games[[#This Row],[K]]*Games[[#This Row],[POMult]]</f>
        <v>84.36</v>
      </c>
      <c r="AA433" s="4">
        <f>(Games[[#This Row],[Keff]]*Games[[#This Row],[MOVMult]])*(Games[[#This Row],[Result]]-Games[[#This Row],[ExpectedWin%]])</f>
        <v>13.092183561212556</v>
      </c>
      <c r="AB433" s="4">
        <f>Games[[#This Row],[PreGmRate]]+Games[[#This Row],[RatingChange]]</f>
        <v>1668.0128807830488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1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41883</v>
      </c>
      <c r="B434" s="2">
        <v>2014</v>
      </c>
      <c r="C434" s="2">
        <f>COUNTIFS(Games[Team],Games[[#This Row],[Team]],Games[Season],Games[[#This Row],[Season]],Games[Date],"&lt;=" &amp; Games[[#This Row],[Date]])</f>
        <v>38</v>
      </c>
      <c r="D434" s="2" t="s">
        <v>87</v>
      </c>
      <c r="E434" s="2">
        <v>2</v>
      </c>
      <c r="F434" s="1" t="s">
        <v>69</v>
      </c>
      <c r="G434" s="1" t="s">
        <v>77</v>
      </c>
      <c r="H434" s="1" t="s">
        <v>85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">
        <f>MAX(-16, MIN(16, Games[[#This Row],[RestDiff]]*8))</f>
        <v>0</v>
      </c>
      <c r="N434" s="1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1519.4264326741888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1466.457199962538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0.4554615002141012</v>
      </c>
      <c r="R434" s="1">
        <v>84</v>
      </c>
      <c r="S434" s="1">
        <v>86</v>
      </c>
      <c r="T434" s="1">
        <v>1</v>
      </c>
      <c r="U434" s="1">
        <f>Games[[#This Row],[PointsFor]]-Games[[#This Row],[PointsAgainst]]</f>
        <v>-2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0.23086650407880657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4" s="9">
        <f>MAX(kmin, kmax - 0.15 * MIN(Games[[#This Row],[GamesPlayed]], 82))</f>
        <v>70.3</v>
      </c>
      <c r="Z434" s="4">
        <f>Games[[#This Row],[K]]*Games[[#This Row],[POMult]]</f>
        <v>84.36</v>
      </c>
      <c r="AA434" s="4">
        <f>(Games[[#This Row],[Keff]]*Games[[#This Row],[MOVMult]])*(Games[[#This Row],[Result]]-Games[[#This Row],[ExpectedWin%]])</f>
        <v>-8.8705218504880143</v>
      </c>
      <c r="AB434" s="4">
        <f>Games[[#This Row],[PreGmRate]]+Games[[#This Row],[RatingChange]]</f>
        <v>1510.5559108237007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1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41883</v>
      </c>
      <c r="B435" s="2">
        <v>2014</v>
      </c>
      <c r="C435" s="2">
        <f>COUNTIFS(Games[Team],Games[[#This Row],[Team]],Games[Season],Games[[#This Row],[Season]],Games[Date],"&lt;=" &amp; Games[[#This Row],[Date]])</f>
        <v>39</v>
      </c>
      <c r="D435" s="2" t="s">
        <v>87</v>
      </c>
      <c r="E435" s="2">
        <v>2</v>
      </c>
      <c r="F435" s="1" t="s">
        <v>77</v>
      </c>
      <c r="G435" s="1" t="s">
        <v>69</v>
      </c>
      <c r="H435" s="1" t="s">
        <v>86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">
        <f>MAX(-16, MIN(16, Games[[#This Row],[RestDiff]]*8))</f>
        <v>0</v>
      </c>
      <c r="N435" s="1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1466.457199962538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1519.4264326741888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0.54453849978589874</v>
      </c>
      <c r="R435" s="1">
        <v>86</v>
      </c>
      <c r="S435" s="1">
        <v>84</v>
      </c>
      <c r="T435" s="1">
        <v>1</v>
      </c>
      <c r="U435" s="1">
        <f>Games[[#This Row],[PointsFor]]-Games[[#This Row],[PointsAgainst]]</f>
        <v>2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0.23086650407880657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5" s="9">
        <f>MAX(kmin, kmax - 0.15 * MIN(Games[[#This Row],[GamesPlayed]], 82))</f>
        <v>70.150000000000006</v>
      </c>
      <c r="Z435" s="4">
        <f>Games[[#This Row],[K]]*Games[[#This Row],[POMult]]</f>
        <v>84.18</v>
      </c>
      <c r="AA435" s="4">
        <f>(Games[[#This Row],[Keff]]*Games[[#This Row],[MOVMult]])*(Games[[#This Row],[Result]]-Games[[#This Row],[ExpectedWin%]])</f>
        <v>8.8515947057145716</v>
      </c>
      <c r="AB435" s="4">
        <f>Games[[#This Row],[PreGmRate]]+Games[[#This Row],[RatingChange]]</f>
        <v>1475.3087946682526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1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41884</v>
      </c>
      <c r="B436" s="2">
        <v>2014</v>
      </c>
      <c r="C436" s="2">
        <f>COUNTIFS(Games[Team],Games[[#This Row],[Team]],Games[Season],Games[[#This Row],[Season]],Games[Date],"&lt;=" &amp; Games[[#This Row],[Date]])</f>
        <v>39</v>
      </c>
      <c r="D436" s="2" t="s">
        <v>87</v>
      </c>
      <c r="E436" s="2">
        <v>2</v>
      </c>
      <c r="F436" s="1" t="s">
        <v>67</v>
      </c>
      <c r="G436" s="1" t="s">
        <v>40</v>
      </c>
      <c r="H436" s="1" t="s">
        <v>85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">
        <f>MAX(-16, MIN(16, Games[[#This Row],[RestDiff]]*8))</f>
        <v>0</v>
      </c>
      <c r="N436" s="1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1668.0128807830488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1726.3450714072508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0.30590591121353489</v>
      </c>
      <c r="R436" s="1">
        <v>78</v>
      </c>
      <c r="S436" s="1">
        <v>96</v>
      </c>
      <c r="T436" s="1">
        <v>0</v>
      </c>
      <c r="U436" s="1">
        <f>Games[[#This Row],[PointsFor]]-Games[[#This Row],[PointsAgainst]]</f>
        <v>-18</v>
      </c>
      <c r="V436" s="1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0.5214844883099381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6" s="9">
        <f>MAX(kmin, kmax - 0.15 * MIN(Games[[#This Row],[GamesPlayed]], 82))</f>
        <v>70.150000000000006</v>
      </c>
      <c r="Z436" s="4">
        <f>Games[[#This Row],[K]]*Games[[#This Row],[POMult]]</f>
        <v>84.18</v>
      </c>
      <c r="AA436" s="4">
        <f>(Games[[#This Row],[Keff]]*Games[[#This Row],[MOVMult]])*(Games[[#This Row],[Result]]-Games[[#This Row],[ExpectedWin%]])</f>
        <v>-13.428830290499182</v>
      </c>
      <c r="AB436" s="4">
        <f>Games[[#This Row],[PreGmRate]]+Games[[#This Row],[RatingChange]]</f>
        <v>1654.5840504925495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1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41884</v>
      </c>
      <c r="B437" s="2">
        <v>2014</v>
      </c>
      <c r="C437" s="2">
        <f>COUNTIFS(Games[Team],Games[[#This Row],[Team]],Games[Season],Games[[#This Row],[Season]],Games[Date],"&lt;=" &amp; Games[[#This Row],[Date]])</f>
        <v>39</v>
      </c>
      <c r="D437" s="2" t="s">
        <v>87</v>
      </c>
      <c r="E437" s="2">
        <v>2</v>
      </c>
      <c r="F437" s="1" t="s">
        <v>40</v>
      </c>
      <c r="G437" s="1" t="s">
        <v>67</v>
      </c>
      <c r="H437" s="1" t="s">
        <v>86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">
        <f>MAX(-16, MIN(16, Games[[#This Row],[RestDiff]]*8))</f>
        <v>0</v>
      </c>
      <c r="N437" s="1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1726.3450714072508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1668.0128807830488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0.69409408878646506</v>
      </c>
      <c r="R437" s="1">
        <v>96</v>
      </c>
      <c r="S437" s="1">
        <v>78</v>
      </c>
      <c r="T437" s="1">
        <v>0</v>
      </c>
      <c r="U437" s="1">
        <f>Games[[#This Row],[PointsFor]]-Games[[#This Row],[PointsAgainst]]</f>
        <v>18</v>
      </c>
      <c r="V437" s="1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0.5214844883099381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7" s="9">
        <f>MAX(kmin, kmax - 0.15 * MIN(Games[[#This Row],[GamesPlayed]], 82))</f>
        <v>70.150000000000006</v>
      </c>
      <c r="Z437" s="4">
        <f>Games[[#This Row],[K]]*Games[[#This Row],[POMult]]</f>
        <v>84.18</v>
      </c>
      <c r="AA437" s="4">
        <f>(Games[[#This Row],[Keff]]*Games[[#This Row],[MOVMult]])*(Games[[#This Row],[Result]]-Games[[#This Row],[ExpectedWin%]])</f>
        <v>13.428830290499185</v>
      </c>
      <c r="AB437" s="4">
        <f>Games[[#This Row],[PreGmRate]]+Games[[#This Row],[RatingChange]]</f>
        <v>1739.77390169775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1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41885</v>
      </c>
      <c r="B438" s="2">
        <v>2014</v>
      </c>
      <c r="C438" s="2">
        <f>COUNTIFS(Games[Team],Games[[#This Row],[Team]],Games[Season],Games[[#This Row],[Season]],Games[Date],"&lt;=" &amp; Games[[#This Row],[Date]])</f>
        <v>40</v>
      </c>
      <c r="D438" s="2" t="s">
        <v>87</v>
      </c>
      <c r="E438" s="2">
        <v>2</v>
      </c>
      <c r="F438" s="1" t="s">
        <v>77</v>
      </c>
      <c r="G438" s="1" t="s">
        <v>69</v>
      </c>
      <c r="H438" s="1" t="s">
        <v>85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1475.3087946682526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1510.5559108237007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0.33482512840813267</v>
      </c>
      <c r="R438" s="1">
        <v>75</v>
      </c>
      <c r="S438" s="1">
        <v>62</v>
      </c>
      <c r="T438" s="1">
        <v>0</v>
      </c>
      <c r="U438" s="1">
        <f>Games[[#This Row],[PointsFor]]-Games[[#This Row],[PointsAgainst]]</f>
        <v>13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0.45857423941207287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8" s="9">
        <f>MAX(kmin, kmax - 0.15 * MIN(Games[[#This Row],[GamesPlayed]], 82))</f>
        <v>70</v>
      </c>
      <c r="Z438" s="4">
        <f>Games[[#This Row],[K]]*Games[[#This Row],[POMult]]</f>
        <v>84</v>
      </c>
      <c r="AA438" s="4">
        <f>(Games[[#This Row],[Keff]]*Games[[#This Row],[MOVMult]])*(Games[[#This Row],[Result]]-Games[[#This Row],[ExpectedWin%]])</f>
        <v>25.622693108566157</v>
      </c>
      <c r="AB438" s="4">
        <f>Games[[#This Row],[PreGmRate]]+Games[[#This Row],[RatingChange]]</f>
        <v>1500.9314877768188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1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41885</v>
      </c>
      <c r="B439" s="2">
        <v>2014</v>
      </c>
      <c r="C439" s="2">
        <f>COUNTIFS(Games[Team],Games[[#This Row],[Team]],Games[Season],Games[[#This Row],[Season]],Games[Date],"&lt;=" &amp; Games[[#This Row],[Date]])</f>
        <v>39</v>
      </c>
      <c r="D439" s="2" t="s">
        <v>87</v>
      </c>
      <c r="E439" s="2">
        <v>2</v>
      </c>
      <c r="F439" s="1" t="s">
        <v>69</v>
      </c>
      <c r="G439" s="1" t="s">
        <v>77</v>
      </c>
      <c r="H439" s="1" t="s">
        <v>86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1510.5559108237007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1475.3087946682526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0.66517487159186728</v>
      </c>
      <c r="R439" s="1">
        <v>62</v>
      </c>
      <c r="S439" s="1">
        <v>75</v>
      </c>
      <c r="T439" s="1">
        <v>0</v>
      </c>
      <c r="U439" s="1">
        <f>Games[[#This Row],[PointsFor]]-Games[[#This Row],[PointsAgainst]]</f>
        <v>-13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0.45857423941207287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39" s="9">
        <f>MAX(kmin, kmax - 0.15 * MIN(Games[[#This Row],[GamesPlayed]], 82))</f>
        <v>70.150000000000006</v>
      </c>
      <c r="Z439" s="4">
        <f>Games[[#This Row],[K]]*Games[[#This Row],[POMult]]</f>
        <v>84.18</v>
      </c>
      <c r="AA439" s="4">
        <f>(Games[[#This Row],[Keff]]*Games[[#This Row],[MOVMult]])*(Games[[#This Row],[Result]]-Games[[#This Row],[ExpectedWin%]])</f>
        <v>-25.677598879513084</v>
      </c>
      <c r="AB439" s="4">
        <f>Games[[#This Row],[PreGmRate]]+Games[[#This Row],[RatingChange]]</f>
        <v>1484.8783119441878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1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41889</v>
      </c>
      <c r="B440" s="2">
        <v>2014</v>
      </c>
      <c r="C440" s="2">
        <f>COUNTIFS(Games[Team],Games[[#This Row],[Team]],Games[Season],Games[[#This Row],[Season]],Games[Date],"&lt;=" &amp; Games[[#This Row],[Date]])</f>
        <v>41</v>
      </c>
      <c r="D440" s="2" t="s">
        <v>87</v>
      </c>
      <c r="E440" s="2">
        <v>3</v>
      </c>
      <c r="F440" s="1" t="s">
        <v>77</v>
      </c>
      <c r="G440" s="1" t="s">
        <v>40</v>
      </c>
      <c r="H440" s="1" t="s">
        <v>85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0" s="2">
        <f>Games[[#This Row],[DaysOff]]-Games[[#This Row],[OppDaysOff]]</f>
        <v>-1</v>
      </c>
      <c r="L440" s="2">
        <f>Games[[#This Row],[OppDaysOff]]-Games[[#This Row],[DaysOff]]</f>
        <v>1</v>
      </c>
      <c r="M440" s="1">
        <f>MAX(-16, MIN(16, Games[[#This Row],[RestDiff]]*8))</f>
        <v>-8</v>
      </c>
      <c r="N440" s="1">
        <f>MAX(-16, MIN(16, Games[[#This Row],[OppRestDiff]]*8))</f>
        <v>8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1500.9314877768188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1739.77390169775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0.12449517225246826</v>
      </c>
      <c r="R440" s="1">
        <v>62</v>
      </c>
      <c r="S440" s="1">
        <v>83</v>
      </c>
      <c r="T440" s="1">
        <v>0</v>
      </c>
      <c r="U440" s="1">
        <f>Games[[#This Row],[PointsFor]]-Games[[#This Row],[PointsAgainst]]</f>
        <v>-21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0.49087484528635628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0" s="9">
        <f>MAX(kmin, kmax - 0.15 * MIN(Games[[#This Row],[GamesPlayed]], 82))</f>
        <v>69.849999999999994</v>
      </c>
      <c r="Z440" s="4">
        <f>Games[[#This Row],[K]]*Games[[#This Row],[POMult]]</f>
        <v>94.297499999999999</v>
      </c>
      <c r="AA440" s="4">
        <f>(Games[[#This Row],[Keff]]*Games[[#This Row],[MOVMult]])*(Games[[#This Row],[Result]]-Games[[#This Row],[ExpectedWin%]])</f>
        <v>-5.7626662369773447</v>
      </c>
      <c r="AB440" s="4">
        <f>Games[[#This Row],[PreGmRate]]+Games[[#This Row],[RatingChange]]</f>
        <v>1495.1688215398415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0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1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41889</v>
      </c>
      <c r="B441" s="2">
        <v>2014</v>
      </c>
      <c r="C441" s="2">
        <f>COUNTIFS(Games[Team],Games[[#This Row],[Team]],Games[Season],Games[[#This Row],[Season]],Games[Date],"&lt;=" &amp; Games[[#This Row],[Date]])</f>
        <v>40</v>
      </c>
      <c r="D441" s="2" t="s">
        <v>87</v>
      </c>
      <c r="E441" s="2">
        <v>3</v>
      </c>
      <c r="F441" s="1" t="s">
        <v>40</v>
      </c>
      <c r="G441" s="1" t="s">
        <v>77</v>
      </c>
      <c r="H441" s="1" t="s">
        <v>86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1" s="2">
        <f>Games[[#This Row],[DaysOff]]-Games[[#This Row],[OppDaysOff]]</f>
        <v>1</v>
      </c>
      <c r="L441" s="2">
        <f>Games[[#This Row],[OppDaysOff]]-Games[[#This Row],[DaysOff]]</f>
        <v>-1</v>
      </c>
      <c r="M441" s="1">
        <f>MAX(-16, MIN(16, Games[[#This Row],[RestDiff]]*8))</f>
        <v>8</v>
      </c>
      <c r="N441" s="1">
        <f>MAX(-16, MIN(16, Games[[#This Row],[OppRestDiff]]*8))</f>
        <v>-8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1739.77390169775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1500.9314877768188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0.87550482774753169</v>
      </c>
      <c r="R441" s="1">
        <v>83</v>
      </c>
      <c r="S441" s="1">
        <v>62</v>
      </c>
      <c r="T441" s="1">
        <v>0</v>
      </c>
      <c r="U441" s="1">
        <f>Games[[#This Row],[PointsFor]]-Games[[#This Row],[PointsAgainst]]</f>
        <v>21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0.49087484528635628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1" s="9">
        <f>MAX(kmin, kmax - 0.15 * MIN(Games[[#This Row],[GamesPlayed]], 82))</f>
        <v>70</v>
      </c>
      <c r="Z441" s="4">
        <f>Games[[#This Row],[K]]*Games[[#This Row],[POMult]]</f>
        <v>94.5</v>
      </c>
      <c r="AA441" s="4">
        <f>(Games[[#This Row],[Keff]]*Games[[#This Row],[MOVMult]])*(Games[[#This Row],[Result]]-Games[[#This Row],[ExpectedWin%]])</f>
        <v>5.7750413255320581</v>
      </c>
      <c r="AB441" s="4">
        <f>Games[[#This Row],[PreGmRate]]+Games[[#This Row],[RatingChange]]</f>
        <v>1745.5489430232822</v>
      </c>
      <c r="AC441" s="2">
        <f>IF(Games[[#This Row],[Type]]="R",IF(Games[[#This Row],[Result]]&gt;0.5,1,0),0)</f>
        <v>0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1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41891</v>
      </c>
      <c r="B442" s="2">
        <v>2014</v>
      </c>
      <c r="C442" s="2">
        <f>COUNTIFS(Games[Team],Games[[#This Row],[Team]],Games[Season],Games[[#This Row],[Season]],Games[Date],"&lt;=" &amp; Games[[#This Row],[Date]])</f>
        <v>42</v>
      </c>
      <c r="D442" s="2" t="s">
        <v>87</v>
      </c>
      <c r="E442" s="2">
        <v>3</v>
      </c>
      <c r="F442" s="1" t="s">
        <v>77</v>
      </c>
      <c r="G442" s="1" t="s">
        <v>40</v>
      </c>
      <c r="H442" s="1" t="s">
        <v>85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2" s="2">
        <f>Games[[#This Row],[DaysOff]]-Games[[#This Row],[OppDaysOff]]</f>
        <v>0</v>
      </c>
      <c r="L442" s="2">
        <f>Games[[#This Row],[OppDaysOff]]-Games[[#This Row],[DaysOff]]</f>
        <v>0</v>
      </c>
      <c r="M442" s="1">
        <f>MAX(-16, MIN(16, Games[[#This Row],[RestDiff]]*8))</f>
        <v>0</v>
      </c>
      <c r="N442" s="1">
        <f>MAX(-16, MIN(16, Games[[#This Row],[OppRestDiff]]*8))</f>
        <v>0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1495.1688215398415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1745.5489430232822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0.12732206957617648</v>
      </c>
      <c r="R442" s="1">
        <v>68</v>
      </c>
      <c r="S442" s="1">
        <v>97</v>
      </c>
      <c r="T442" s="1">
        <v>0</v>
      </c>
      <c r="U442" s="1">
        <f>Games[[#This Row],[PointsFor]]-Games[[#This Row],[PointsAgainst]]</f>
        <v>-29</v>
      </c>
      <c r="V442" s="1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0.5720124895014298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2" s="9">
        <f>MAX(kmin, kmax - 0.15 * MIN(Games[[#This Row],[GamesPlayed]], 82))</f>
        <v>69.7</v>
      </c>
      <c r="Z442" s="4">
        <f>Games[[#This Row],[K]]*Games[[#This Row],[POMult]]</f>
        <v>94.095000000000013</v>
      </c>
      <c r="AA442" s="4">
        <f>(Games[[#This Row],[Keff]]*Games[[#This Row],[MOVMult]])*(Games[[#This Row],[Result]]-Games[[#This Row],[ExpectedWin%]])</f>
        <v>-6.8529213470825798</v>
      </c>
      <c r="AB442" s="4">
        <f>Games[[#This Row],[PreGmRate]]+Games[[#This Row],[RatingChange]]</f>
        <v>1488.3159001927588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1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41891</v>
      </c>
      <c r="B443" s="2">
        <v>2014</v>
      </c>
      <c r="C443" s="2">
        <f>COUNTIFS(Games[Team],Games[[#This Row],[Team]],Games[Season],Games[[#This Row],[Season]],Games[Date],"&lt;=" &amp; Games[[#This Row],[Date]])</f>
        <v>41</v>
      </c>
      <c r="D443" s="2" t="s">
        <v>87</v>
      </c>
      <c r="E443" s="2">
        <v>3</v>
      </c>
      <c r="F443" s="1" t="s">
        <v>40</v>
      </c>
      <c r="G443" s="1" t="s">
        <v>77</v>
      </c>
      <c r="H443" s="1" t="s">
        <v>86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0</v>
      </c>
      <c r="L443" s="2">
        <f>Games[[#This Row],[OppDaysOff]]-Games[[#This Row],[DaysOff]]</f>
        <v>0</v>
      </c>
      <c r="M443" s="1">
        <f>MAX(-16, MIN(16, Games[[#This Row],[RestDiff]]*8))</f>
        <v>0</v>
      </c>
      <c r="N443" s="1">
        <f>MAX(-16, MIN(16, Games[[#This Row],[OppRestDiff]]*8))</f>
        <v>0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1745.5489430232822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1495.1688215398415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0.87267793042382347</v>
      </c>
      <c r="R443" s="1">
        <v>97</v>
      </c>
      <c r="S443" s="1">
        <v>68</v>
      </c>
      <c r="T443" s="1">
        <v>0</v>
      </c>
      <c r="U443" s="1">
        <f>Games[[#This Row],[PointsFor]]-Games[[#This Row],[PointsAgainst]]</f>
        <v>29</v>
      </c>
      <c r="V443" s="1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0.5720124895014298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3" s="9">
        <f>MAX(kmin, kmax - 0.15 * MIN(Games[[#This Row],[GamesPlayed]], 82))</f>
        <v>69.849999999999994</v>
      </c>
      <c r="Z443" s="4">
        <f>Games[[#This Row],[K]]*Games[[#This Row],[POMult]]</f>
        <v>94.297499999999999</v>
      </c>
      <c r="AA443" s="4">
        <f>(Games[[#This Row],[Keff]]*Games[[#This Row],[MOVMult]])*(Games[[#This Row],[Result]]-Games[[#This Row],[ExpectedWin%]])</f>
        <v>6.8676693844148975</v>
      </c>
      <c r="AB443" s="4">
        <f>Games[[#This Row],[PreGmRate]]+Games[[#This Row],[RatingChange]]</f>
        <v>1752.4166124076971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1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41894</v>
      </c>
      <c r="B444" s="2">
        <v>2014</v>
      </c>
      <c r="C444" s="2">
        <f>COUNTIFS(Games[Team],Games[[#This Row],[Team]],Games[Season],Games[[#This Row],[Season]],Games[Date],"&lt;=" &amp; Games[[#This Row],[Date]])</f>
        <v>42</v>
      </c>
      <c r="D444" s="2" t="s">
        <v>87</v>
      </c>
      <c r="E444" s="2">
        <v>3</v>
      </c>
      <c r="F444" s="1" t="s">
        <v>40</v>
      </c>
      <c r="G444" s="1" t="s">
        <v>77</v>
      </c>
      <c r="H444" s="1" t="s">
        <v>85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6">
        <f>MAX(-16, MIN(16, Games[[#This Row],[RestDiff]]*8))</f>
        <v>0</v>
      </c>
      <c r="N444" s="16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1752.4166124076971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1488.3159001927588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0.73822108436314682</v>
      </c>
      <c r="R444" s="1">
        <v>87</v>
      </c>
      <c r="S444" s="1">
        <v>82</v>
      </c>
      <c r="T444" s="1">
        <v>0</v>
      </c>
      <c r="U444" s="16">
        <f>Games[[#This Row],[PointsFor]]-Games[[#This Row],[PointsAgainst]]</f>
        <v>5</v>
      </c>
      <c r="V444" s="16">
        <f>IF(Games[[#This Row],[MOV]]&gt;0,1,IF(Games[[#This Row],[MOV]]=0,0.5,0))</f>
        <v>1</v>
      </c>
      <c r="W444" s="4">
        <f>((ABS(Games[[#This Row],[MOV]])+5)^0.6)/(12+0.01*(ABS(Games[[#This Row],[PreGmRate]]-Games[[#This Row],[OppPreGmRate]])))*IF(Games[[#This Row],[OT]]=1,0.9,1)</f>
        <v>0.27191242189290932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4" s="9">
        <f>MAX(kmin, kmax - 0.15 * MIN(Games[[#This Row],[GamesPlayed]], 82))</f>
        <v>69.7</v>
      </c>
      <c r="Z444" s="4">
        <f>Games[[#This Row],[K]]*Games[[#This Row],[POMult]]</f>
        <v>94.095000000000013</v>
      </c>
      <c r="AA444" s="4">
        <f>(Games[[#This Row],[Keff]]*Games[[#This Row],[MOVMult]])*(Games[[#This Row],[Result]]-Games[[#This Row],[ExpectedWin%]])</f>
        <v>6.6977704506241116</v>
      </c>
      <c r="AB444" s="4">
        <f>Games[[#This Row],[PreGmRate]]+Games[[#This Row],[RatingChange]]</f>
        <v>1759.1143828583213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1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41894</v>
      </c>
      <c r="B445" s="2">
        <v>2014</v>
      </c>
      <c r="C445" s="2">
        <f>COUNTIFS(Games[Team],Games[[#This Row],[Team]],Games[Season],Games[[#This Row],[Season]],Games[Date],"&lt;=" &amp; Games[[#This Row],[Date]])</f>
        <v>43</v>
      </c>
      <c r="D445" s="2" t="s">
        <v>87</v>
      </c>
      <c r="E445" s="2">
        <v>3</v>
      </c>
      <c r="F445" s="1" t="s">
        <v>77</v>
      </c>
      <c r="G445" s="1" t="s">
        <v>40</v>
      </c>
      <c r="H445" s="1" t="s">
        <v>86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6">
        <f>MAX(-16, MIN(16, Games[[#This Row],[RestDiff]]*8))</f>
        <v>0</v>
      </c>
      <c r="N445" s="16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1488.3159001927588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1752.4166124076971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0.26177891563685318</v>
      </c>
      <c r="R445" s="1">
        <v>82</v>
      </c>
      <c r="S445" s="1">
        <v>87</v>
      </c>
      <c r="T445" s="1">
        <v>0</v>
      </c>
      <c r="U445" s="16">
        <f>Games[[#This Row],[PointsFor]]-Games[[#This Row],[PointsAgainst]]</f>
        <v>-5</v>
      </c>
      <c r="V445" s="16">
        <f>IF(Games[[#This Row],[MOV]]&gt;0,1,IF(Games[[#This Row],[MOV]]=0,0.5,0))</f>
        <v>0</v>
      </c>
      <c r="W445" s="4">
        <f>((ABS(Games[[#This Row],[MOV]])+5)^0.6)/(12+0.01*(ABS(Games[[#This Row],[PreGmRate]]-Games[[#This Row],[OppPreGmRate]])))*IF(Games[[#This Row],[OT]]=1,0.9,1)</f>
        <v>0.27191242189290932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45" s="9">
        <f>MAX(kmin, kmax - 0.15 * MIN(Games[[#This Row],[GamesPlayed]], 82))</f>
        <v>69.55</v>
      </c>
      <c r="Z445" s="4">
        <f>Games[[#This Row],[K]]*Games[[#This Row],[POMult]]</f>
        <v>93.892499999999998</v>
      </c>
      <c r="AA445" s="4">
        <f>(Games[[#This Row],[Keff]]*Games[[#This Row],[MOVMult]])*(Games[[#This Row],[Result]]-Games[[#This Row],[ExpectedWin%]])</f>
        <v>-6.6833563104864693</v>
      </c>
      <c r="AB445" s="4">
        <f>Games[[#This Row],[PreGmRate]]+Games[[#This Row],[RatingChange]]</f>
        <v>1481.6325438822723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1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2026-07-28T21:42:47Z</dcterms:modified>
</cp:coreProperties>
</file>
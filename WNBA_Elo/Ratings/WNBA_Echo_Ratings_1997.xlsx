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8_{6C8C78B0-CCEB-4A7C-A590-D992AE8B7EBE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3" l="1"/>
  <c r="H31" i="3"/>
  <c r="H30" i="3"/>
  <c r="H29" i="3"/>
  <c r="H28" i="3"/>
  <c r="H27" i="3"/>
  <c r="H26" i="3"/>
  <c r="H25" i="3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C226" i="2"/>
  <c r="AC227" i="2"/>
  <c r="AC228" i="2"/>
  <c r="AC229" i="2"/>
  <c r="AC230" i="2"/>
  <c r="AC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AC153" i="2" s="1"/>
  <c r="U154" i="2"/>
  <c r="V154" i="2" s="1"/>
  <c r="AC154" i="2" s="1"/>
  <c r="U155" i="2"/>
  <c r="V155" i="2" s="1"/>
  <c r="AC155" i="2" s="1"/>
  <c r="U156" i="2"/>
  <c r="V156" i="2" s="1"/>
  <c r="AC156" i="2" s="1"/>
  <c r="U157" i="2"/>
  <c r="V157" i="2" s="1"/>
  <c r="AC157" i="2" s="1"/>
  <c r="U158" i="2"/>
  <c r="V158" i="2" s="1"/>
  <c r="AC158" i="2" s="1"/>
  <c r="U159" i="2"/>
  <c r="V159" i="2" s="1"/>
  <c r="AC159" i="2" s="1"/>
  <c r="U160" i="2"/>
  <c r="V160" i="2" s="1"/>
  <c r="AC160" i="2" s="1"/>
  <c r="U161" i="2"/>
  <c r="V161" i="2" s="1"/>
  <c r="AC161" i="2" s="1"/>
  <c r="U162" i="2"/>
  <c r="V162" i="2" s="1"/>
  <c r="AC162" i="2" s="1"/>
  <c r="U163" i="2"/>
  <c r="V163" i="2" s="1"/>
  <c r="AC163" i="2" s="1"/>
  <c r="U164" i="2"/>
  <c r="V164" i="2" s="1"/>
  <c r="AC164" i="2" s="1"/>
  <c r="U165" i="2"/>
  <c r="V165" i="2" s="1"/>
  <c r="AC165" i="2" s="1"/>
  <c r="U166" i="2"/>
  <c r="V166" i="2" s="1"/>
  <c r="AC166" i="2" s="1"/>
  <c r="U167" i="2"/>
  <c r="V167" i="2" s="1"/>
  <c r="AC167" i="2" s="1"/>
  <c r="U168" i="2"/>
  <c r="V168" i="2" s="1"/>
  <c r="AC168" i="2" s="1"/>
  <c r="U169" i="2"/>
  <c r="V169" i="2" s="1"/>
  <c r="AC169" i="2" s="1"/>
  <c r="U170" i="2"/>
  <c r="V170" i="2" s="1"/>
  <c r="AC170" i="2" s="1"/>
  <c r="U171" i="2"/>
  <c r="V171" i="2" s="1"/>
  <c r="AC171" i="2" s="1"/>
  <c r="U172" i="2"/>
  <c r="V172" i="2" s="1"/>
  <c r="AC172" i="2" s="1"/>
  <c r="U173" i="2"/>
  <c r="V173" i="2" s="1"/>
  <c r="AC173" i="2" s="1"/>
  <c r="U174" i="2"/>
  <c r="V174" i="2" s="1"/>
  <c r="AC174" i="2" s="1"/>
  <c r="U175" i="2"/>
  <c r="V175" i="2" s="1"/>
  <c r="AC175" i="2" s="1"/>
  <c r="U176" i="2"/>
  <c r="V176" i="2" s="1"/>
  <c r="AC176" i="2" s="1"/>
  <c r="U177" i="2"/>
  <c r="V177" i="2" s="1"/>
  <c r="AC177" i="2" s="1"/>
  <c r="U178" i="2"/>
  <c r="V178" i="2" s="1"/>
  <c r="AC178" i="2" s="1"/>
  <c r="U179" i="2"/>
  <c r="V179" i="2" s="1"/>
  <c r="AC179" i="2" s="1"/>
  <c r="U180" i="2"/>
  <c r="V180" i="2" s="1"/>
  <c r="AC180" i="2" s="1"/>
  <c r="U181" i="2"/>
  <c r="V181" i="2" s="1"/>
  <c r="AC181" i="2" s="1"/>
  <c r="U182" i="2"/>
  <c r="V182" i="2" s="1"/>
  <c r="AC182" i="2" s="1"/>
  <c r="U183" i="2"/>
  <c r="V183" i="2" s="1"/>
  <c r="AC183" i="2" s="1"/>
  <c r="U184" i="2"/>
  <c r="V184" i="2" s="1"/>
  <c r="AC184" i="2" s="1"/>
  <c r="U185" i="2"/>
  <c r="V185" i="2" s="1"/>
  <c r="AC185" i="2" s="1"/>
  <c r="U186" i="2"/>
  <c r="V186" i="2" s="1"/>
  <c r="AC186" i="2" s="1"/>
  <c r="U187" i="2"/>
  <c r="V187" i="2" s="1"/>
  <c r="AC187" i="2" s="1"/>
  <c r="U188" i="2"/>
  <c r="V188" i="2" s="1"/>
  <c r="AC188" i="2" s="1"/>
  <c r="U189" i="2"/>
  <c r="V189" i="2" s="1"/>
  <c r="AC189" i="2" s="1"/>
  <c r="U190" i="2"/>
  <c r="V190" i="2" s="1"/>
  <c r="AC190" i="2" s="1"/>
  <c r="U191" i="2"/>
  <c r="V191" i="2" s="1"/>
  <c r="AC191" i="2" s="1"/>
  <c r="U192" i="2"/>
  <c r="V192" i="2" s="1"/>
  <c r="AC192" i="2" s="1"/>
  <c r="U193" i="2"/>
  <c r="V193" i="2" s="1"/>
  <c r="AC193" i="2" s="1"/>
  <c r="U194" i="2"/>
  <c r="V194" i="2" s="1"/>
  <c r="AC194" i="2" s="1"/>
  <c r="U195" i="2"/>
  <c r="V195" i="2" s="1"/>
  <c r="AC195" i="2" s="1"/>
  <c r="U196" i="2"/>
  <c r="V196" i="2" s="1"/>
  <c r="AC196" i="2" s="1"/>
  <c r="U197" i="2"/>
  <c r="V197" i="2" s="1"/>
  <c r="AC197" i="2" s="1"/>
  <c r="U198" i="2"/>
  <c r="V198" i="2" s="1"/>
  <c r="AC198" i="2" s="1"/>
  <c r="U199" i="2"/>
  <c r="V199" i="2" s="1"/>
  <c r="AC199" i="2" s="1"/>
  <c r="U200" i="2"/>
  <c r="V200" i="2" s="1"/>
  <c r="AC200" i="2" s="1"/>
  <c r="U201" i="2"/>
  <c r="V201" i="2" s="1"/>
  <c r="AC201" i="2" s="1"/>
  <c r="U202" i="2"/>
  <c r="V202" i="2" s="1"/>
  <c r="AC202" i="2" s="1"/>
  <c r="U203" i="2"/>
  <c r="V203" i="2" s="1"/>
  <c r="AC203" i="2" s="1"/>
  <c r="U204" i="2"/>
  <c r="V204" i="2" s="1"/>
  <c r="AC204" i="2" s="1"/>
  <c r="U205" i="2"/>
  <c r="V205" i="2" s="1"/>
  <c r="AC205" i="2" s="1"/>
  <c r="U206" i="2"/>
  <c r="V206" i="2" s="1"/>
  <c r="AC206" i="2" s="1"/>
  <c r="U207" i="2"/>
  <c r="V207" i="2" s="1"/>
  <c r="AC207" i="2" s="1"/>
  <c r="U208" i="2"/>
  <c r="V208" i="2" s="1"/>
  <c r="AC208" i="2" s="1"/>
  <c r="U209" i="2"/>
  <c r="V209" i="2" s="1"/>
  <c r="AC209" i="2" s="1"/>
  <c r="U210" i="2"/>
  <c r="V210" i="2" s="1"/>
  <c r="AC210" i="2" s="1"/>
  <c r="U211" i="2"/>
  <c r="V211" i="2" s="1"/>
  <c r="AC211" i="2" s="1"/>
  <c r="U212" i="2"/>
  <c r="V212" i="2" s="1"/>
  <c r="AC212" i="2" s="1"/>
  <c r="U213" i="2"/>
  <c r="V213" i="2" s="1"/>
  <c r="AC213" i="2" s="1"/>
  <c r="U214" i="2"/>
  <c r="V214" i="2" s="1"/>
  <c r="AC214" i="2" s="1"/>
  <c r="U215" i="2"/>
  <c r="V215" i="2" s="1"/>
  <c r="AC215" i="2" s="1"/>
  <c r="U216" i="2"/>
  <c r="V216" i="2" s="1"/>
  <c r="AC216" i="2" s="1"/>
  <c r="U217" i="2"/>
  <c r="V217" i="2" s="1"/>
  <c r="AC217" i="2" s="1"/>
  <c r="U218" i="2"/>
  <c r="V218" i="2" s="1"/>
  <c r="AC218" i="2" s="1"/>
  <c r="U219" i="2"/>
  <c r="V219" i="2" s="1"/>
  <c r="AC219" i="2" s="1"/>
  <c r="U220" i="2"/>
  <c r="V220" i="2" s="1"/>
  <c r="AC220" i="2" s="1"/>
  <c r="U221" i="2"/>
  <c r="V221" i="2" s="1"/>
  <c r="AC221" i="2" s="1"/>
  <c r="U222" i="2"/>
  <c r="V222" i="2" s="1"/>
  <c r="AC222" i="2" s="1"/>
  <c r="U223" i="2"/>
  <c r="V223" i="2" s="1"/>
  <c r="AC223" i="2" s="1"/>
  <c r="U224" i="2"/>
  <c r="V224" i="2" s="1"/>
  <c r="AC224" i="2" s="1"/>
  <c r="U225" i="2"/>
  <c r="V225" i="2" s="1"/>
  <c r="AC225" i="2" s="1"/>
  <c r="U226" i="2"/>
  <c r="V226" i="2" s="1"/>
  <c r="AF226" i="2" s="1"/>
  <c r="U227" i="2"/>
  <c r="V227" i="2" s="1"/>
  <c r="AF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Z4" i="2" s="1"/>
  <c r="C5" i="2"/>
  <c r="Y5" i="2" s="1"/>
  <c r="Z5" i="2" s="1"/>
  <c r="C6" i="2"/>
  <c r="Y6" i="2" s="1"/>
  <c r="Z6" i="2" s="1"/>
  <c r="C7" i="2"/>
  <c r="Y7" i="2" s="1"/>
  <c r="Z7" i="2" s="1"/>
  <c r="C8" i="2"/>
  <c r="Y8" i="2" s="1"/>
  <c r="Z8" i="2" s="1"/>
  <c r="C9" i="2"/>
  <c r="Y9" i="2" s="1"/>
  <c r="Z9" i="2" s="1"/>
  <c r="C10" i="2"/>
  <c r="Y10" i="2" s="1"/>
  <c r="Z10" i="2" s="1"/>
  <c r="C11" i="2"/>
  <c r="Y11" i="2" s="1"/>
  <c r="Z11" i="2" s="1"/>
  <c r="C12" i="2"/>
  <c r="Y12" i="2" s="1"/>
  <c r="Z12" i="2" s="1"/>
  <c r="C13" i="2"/>
  <c r="Y13" i="2" s="1"/>
  <c r="Z13" i="2" s="1"/>
  <c r="C14" i="2"/>
  <c r="Y14" i="2" s="1"/>
  <c r="Z14" i="2" s="1"/>
  <c r="C15" i="2"/>
  <c r="Y15" i="2" s="1"/>
  <c r="Z15" i="2" s="1"/>
  <c r="C16" i="2"/>
  <c r="Y16" i="2" s="1"/>
  <c r="Z16" i="2" s="1"/>
  <c r="C17" i="2"/>
  <c r="Y17" i="2" s="1"/>
  <c r="Z17" i="2" s="1"/>
  <c r="C18" i="2"/>
  <c r="Y18" i="2" s="1"/>
  <c r="Z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D27" i="3"/>
  <c r="AD3" i="2" l="1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P4" i="2" a="1"/>
  <c r="O5" i="2" a="1"/>
  <c r="P5" i="2" a="1"/>
  <c r="P7" i="2" a="1"/>
  <c r="O7" i="2" a="1"/>
  <c r="P6" i="2" a="1"/>
  <c r="O4" i="2" a="1"/>
  <c r="O6" i="2" a="1"/>
  <c r="W3" i="2" l="1"/>
  <c r="W5" i="2"/>
  <c r="Q7" i="2"/>
  <c r="W6" i="2"/>
  <c r="W4" i="2"/>
  <c r="Q3" i="2"/>
  <c r="Q4" i="2"/>
  <c r="Q5" i="2"/>
  <c r="W7" i="2"/>
  <c r="Q6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7" i="2" l="1"/>
  <c r="AB7" i="2" s="1"/>
  <c r="P9" i="2" a="1"/>
  <c r="O8" i="2" a="1"/>
  <c r="P8" i="2" a="1"/>
  <c r="O9" i="2" a="1"/>
  <c r="AA3" i="2"/>
  <c r="AB3" i="2" s="1"/>
  <c r="AA4" i="2"/>
  <c r="AB4" i="2" s="1"/>
  <c r="AA5" i="2"/>
  <c r="AB5" i="2" s="1"/>
  <c r="AA6" i="2"/>
  <c r="AB6" i="2" s="1"/>
  <c r="W9" i="2" l="1"/>
  <c r="W8" i="2"/>
  <c r="Q8" i="2"/>
  <c r="Q9" i="2"/>
  <c r="O13" i="2" a="1"/>
  <c r="P11" i="2" a="1"/>
  <c r="O10" i="2" a="1"/>
  <c r="P13" i="2" a="1"/>
  <c r="P10" i="2" a="1"/>
  <c r="O11" i="2" a="1"/>
  <c r="P12" i="2" a="1"/>
  <c r="O12" i="2" a="1"/>
  <c r="W11" i="2" l="1"/>
  <c r="W10" i="2"/>
  <c r="W13" i="2"/>
  <c r="Q12" i="2"/>
  <c r="AA8" i="2"/>
  <c r="AB8" i="2" s="1"/>
  <c r="AA9" i="2"/>
  <c r="AB9" i="2" s="1"/>
  <c r="Q11" i="2"/>
  <c r="Q13" i="2"/>
  <c r="Q10" i="2"/>
  <c r="W12" i="2"/>
  <c r="AA12" i="2" l="1"/>
  <c r="AB12" i="2" s="1"/>
  <c r="AA11" i="2"/>
  <c r="AB11" i="2" s="1"/>
  <c r="AA13" i="2"/>
  <c r="AB13" i="2" s="1"/>
  <c r="AA10" i="2"/>
  <c r="AB10" i="2" s="1"/>
  <c r="P14" i="2" l="1" a="1"/>
  <c r="O14" i="2" a="1"/>
  <c r="P15" i="2" a="1"/>
  <c r="O15" i="2" a="1"/>
  <c r="Q15" i="2" l="1"/>
  <c r="W14" i="2"/>
  <c r="Q14" i="2"/>
  <c r="W15" i="2"/>
  <c r="AA15" i="2" l="1"/>
  <c r="AB15" i="2" s="1"/>
  <c r="AA14" i="2"/>
  <c r="AB14" i="2" s="1"/>
  <c r="P17" i="2" a="1"/>
  <c r="O17" i="2" a="1"/>
  <c r="O16" i="2" a="1"/>
  <c r="P16" i="2" a="1"/>
  <c r="Q17" i="2" l="1"/>
  <c r="W16" i="2"/>
  <c r="W17" i="2"/>
  <c r="Q16" i="2"/>
  <c r="AA17" i="2" l="1"/>
  <c r="AB17" i="2" s="1"/>
  <c r="P19" i="2" a="1"/>
  <c r="O20" i="2" a="1"/>
  <c r="P22" i="2" a="1"/>
  <c r="P18" i="2" a="1"/>
  <c r="O21" i="2" a="1"/>
  <c r="O23" i="2" a="1"/>
  <c r="P20" i="2" a="1"/>
  <c r="O22" i="2" a="1"/>
  <c r="O18" i="2" a="1"/>
  <c r="O19" i="2" a="1"/>
  <c r="P21" i="2" a="1"/>
  <c r="AA16" i="2"/>
  <c r="AB16" i="2" s="1"/>
  <c r="P23" i="2" s="1" a="1"/>
  <c r="Q18" i="2" l="1"/>
  <c r="W21" i="2"/>
  <c r="W19" i="2"/>
  <c r="W22" i="2"/>
  <c r="Q23" i="2"/>
  <c r="W20" i="2"/>
  <c r="Q22" i="2"/>
  <c r="W23" i="2"/>
  <c r="Q20" i="2"/>
  <c r="Q21" i="2"/>
  <c r="W18" i="2"/>
  <c r="Q19" i="2"/>
  <c r="AA18" i="2" l="1"/>
  <c r="AB18" i="2" s="1"/>
  <c r="AA23" i="2"/>
  <c r="AB23" i="2" s="1"/>
  <c r="AA22" i="2"/>
  <c r="AB22" i="2" s="1"/>
  <c r="P24" i="2" a="1"/>
  <c r="O25" i="2" a="1"/>
  <c r="P25" i="2" a="1"/>
  <c r="O24" i="2" a="1"/>
  <c r="AA20" i="2"/>
  <c r="AB20" i="2" s="1"/>
  <c r="AA21" i="2"/>
  <c r="AB21" i="2" s="1"/>
  <c r="AA19" i="2"/>
  <c r="AB19" i="2" s="1"/>
  <c r="Q25" i="2" l="1"/>
  <c r="Q24" i="2"/>
  <c r="W25" i="2"/>
  <c r="O29" i="2" a="1"/>
  <c r="O28" i="2" a="1"/>
  <c r="O27" i="2" a="1"/>
  <c r="P29" i="2" a="1"/>
  <c r="P26" i="2" a="1"/>
  <c r="P28" i="2" a="1"/>
  <c r="O26" i="2" a="1"/>
  <c r="P27" i="2" a="1"/>
  <c r="W24" i="2"/>
  <c r="Q28" i="2" l="1"/>
  <c r="AA25" i="2"/>
  <c r="AB25" i="2" s="1"/>
  <c r="Q27" i="2"/>
  <c r="W29" i="2"/>
  <c r="W26" i="2"/>
  <c r="AA24" i="2"/>
  <c r="AB24" i="2" s="1"/>
  <c r="W28" i="2"/>
  <c r="W27" i="2"/>
  <c r="Q29" i="2"/>
  <c r="Q26" i="2"/>
  <c r="AY9" i="3"/>
  <c r="AY8" i="3"/>
  <c r="AY7" i="3"/>
  <c r="AY6" i="3"/>
  <c r="AY5" i="3"/>
  <c r="AY4" i="3"/>
  <c r="AY3" i="3"/>
  <c r="AY2" i="3"/>
  <c r="AA28" i="2" l="1"/>
  <c r="AB28" i="2" s="1"/>
  <c r="AA27" i="2"/>
  <c r="AB27" i="2" s="1"/>
  <c r="AA29" i="2"/>
  <c r="AB29" i="2" s="1"/>
  <c r="AA26" i="2"/>
  <c r="AB26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32" i="2" l="1" a="1"/>
  <c r="O32" i="2" a="1"/>
  <c r="P33" i="2" a="1"/>
  <c r="O31" i="2" a="1"/>
  <c r="O30" i="2" a="1"/>
  <c r="O33" i="2" a="1"/>
  <c r="P30" i="2" a="1"/>
  <c r="P31" i="2" a="1"/>
  <c r="AV7" i="3"/>
  <c r="AV8" i="3"/>
  <c r="AV5" i="3"/>
  <c r="AW7" i="3"/>
  <c r="AW5" i="3"/>
  <c r="AW9" i="3"/>
  <c r="AW8" i="3"/>
  <c r="AV9" i="3"/>
  <c r="Q31" i="2" l="1"/>
  <c r="W32" i="2"/>
  <c r="Q33" i="2"/>
  <c r="Q30" i="2"/>
  <c r="W30" i="2"/>
  <c r="Q32" i="2"/>
  <c r="W31" i="2"/>
  <c r="W33" i="2"/>
  <c r="AZ9" i="3"/>
  <c r="AZ7" i="3"/>
  <c r="AZ8" i="3"/>
  <c r="AZ5" i="3"/>
  <c r="AA31" i="2" l="1"/>
  <c r="AB31" i="2" s="1"/>
  <c r="AA33" i="2"/>
  <c r="AB33" i="2" s="1"/>
  <c r="AA30" i="2"/>
  <c r="AB30" i="2" s="1"/>
  <c r="AA32" i="2"/>
  <c r="AB32" i="2" s="1"/>
  <c r="P34" i="2" a="1"/>
  <c r="P35" i="2" a="1"/>
  <c r="O34" i="2" a="1"/>
  <c r="O35" i="2" a="1"/>
  <c r="Q34" i="2" l="1"/>
  <c r="W35" i="2"/>
  <c r="Q35" i="2"/>
  <c r="W34" i="2"/>
  <c r="C31" i="3"/>
  <c r="B31" i="3"/>
  <c r="C30" i="3"/>
  <c r="B30" i="3"/>
  <c r="C32" i="3"/>
  <c r="B32" i="3"/>
  <c r="C29" i="3"/>
  <c r="B29" i="3"/>
  <c r="C28" i="3"/>
  <c r="B28" i="3"/>
  <c r="C26" i="3"/>
  <c r="B26" i="3"/>
  <c r="C25" i="3"/>
  <c r="B25" i="3"/>
  <c r="C27" i="3"/>
  <c r="B27" i="3"/>
  <c r="AA34" i="2" l="1"/>
  <c r="AB34" i="2" s="1"/>
  <c r="AA35" i="2"/>
  <c r="AB35" i="2" s="1"/>
  <c r="P37" i="2" l="1" a="1"/>
  <c r="O39" i="2" a="1"/>
  <c r="P36" i="2" a="1"/>
  <c r="P38" i="2" a="1"/>
  <c r="O36" i="2" a="1"/>
  <c r="O37" i="2" a="1"/>
  <c r="P39" i="2" a="1"/>
  <c r="O38" i="2" a="1"/>
  <c r="E31" i="3"/>
  <c r="D31" i="3"/>
  <c r="E30" i="3"/>
  <c r="D30" i="3"/>
  <c r="E32" i="3"/>
  <c r="D32" i="3"/>
  <c r="E29" i="3"/>
  <c r="D29" i="3"/>
  <c r="E28" i="3"/>
  <c r="D28" i="3"/>
  <c r="E26" i="3"/>
  <c r="D26" i="3"/>
  <c r="E25" i="3"/>
  <c r="E27" i="3"/>
  <c r="D25" i="3"/>
  <c r="Q39" i="2" l="1"/>
  <c r="W38" i="2"/>
  <c r="Q36" i="2"/>
  <c r="W37" i="2"/>
  <c r="W36" i="2"/>
  <c r="W39" i="2"/>
  <c r="Q38" i="2"/>
  <c r="Q37" i="2"/>
  <c r="F29" i="3"/>
  <c r="F31" i="3"/>
  <c r="F26" i="3"/>
  <c r="F25" i="3"/>
  <c r="F30" i="3"/>
  <c r="F32" i="3"/>
  <c r="F27" i="3"/>
  <c r="F28" i="3"/>
  <c r="AA39" i="2" l="1"/>
  <c r="AB39" i="2" s="1"/>
  <c r="AA36" i="2"/>
  <c r="AB36" i="2" s="1"/>
  <c r="P43" i="2" a="1"/>
  <c r="P41" i="2" a="1"/>
  <c r="P40" i="2" a="1"/>
  <c r="O42" i="2" a="1"/>
  <c r="O40" i="2" a="1"/>
  <c r="O41" i="2" a="1"/>
  <c r="AA38" i="2"/>
  <c r="AB38" i="2" s="1"/>
  <c r="AA37" i="2"/>
  <c r="AB37" i="2" s="1"/>
  <c r="O43" i="2" l="1" a="1"/>
  <c r="P42" i="2" a="1"/>
  <c r="Q41" i="2"/>
  <c r="W40" i="2"/>
  <c r="Q40" i="2"/>
  <c r="W41" i="2"/>
  <c r="Q43" i="2" l="1"/>
  <c r="W43" i="2"/>
  <c r="W42" i="2"/>
  <c r="Q42" i="2"/>
  <c r="AA41" i="2"/>
  <c r="AB41" i="2" s="1"/>
  <c r="AA40" i="2"/>
  <c r="AB40" i="2" s="1"/>
  <c r="O45" i="2" a="1"/>
  <c r="P45" i="2" a="1"/>
  <c r="P44" i="2" a="1"/>
  <c r="O44" i="2" a="1"/>
  <c r="AA43" i="2" l="1"/>
  <c r="AB43" i="2" s="1"/>
  <c r="AA42" i="2"/>
  <c r="AB42" i="2" s="1"/>
  <c r="W45" i="2"/>
  <c r="Q44" i="2"/>
  <c r="Q45" i="2"/>
  <c r="W44" i="2"/>
  <c r="AA44" i="2" l="1"/>
  <c r="AB44" i="2" s="1"/>
  <c r="AA45" i="2"/>
  <c r="AB45" i="2" s="1"/>
  <c r="AW3" i="3"/>
  <c r="AV3" i="3"/>
  <c r="AZ3" i="3" s="1"/>
  <c r="P48" i="2" l="1" a="1"/>
  <c r="O47" i="2" a="1"/>
  <c r="O49" i="2" a="1"/>
  <c r="P49" i="2" a="1"/>
  <c r="P46" i="2" a="1"/>
  <c r="O46" i="2" a="1"/>
  <c r="P47" i="2" a="1"/>
  <c r="O48" i="2" a="1"/>
  <c r="W48" i="2" s="1"/>
  <c r="AV2" i="3"/>
  <c r="AW2" i="3"/>
  <c r="AV4" i="3"/>
  <c r="AW4" i="3"/>
  <c r="W46" i="2" l="1"/>
  <c r="W47" i="2"/>
  <c r="Q49" i="2"/>
  <c r="W49" i="2"/>
  <c r="Q46" i="2"/>
  <c r="Q47" i="2"/>
  <c r="O50" i="2" a="1"/>
  <c r="P51" i="2" a="1"/>
  <c r="P50" i="2" a="1"/>
  <c r="O51" i="2" a="1"/>
  <c r="Q48" i="2"/>
  <c r="AZ4" i="3"/>
  <c r="AZ2" i="3"/>
  <c r="AW6" i="3"/>
  <c r="AV6" i="3"/>
  <c r="W51" i="2" l="1"/>
  <c r="AA49" i="2"/>
  <c r="AB49" i="2" s="1"/>
  <c r="AA47" i="2"/>
  <c r="AB47" i="2" s="1"/>
  <c r="Q51" i="2"/>
  <c r="Q50" i="2"/>
  <c r="AA46" i="2"/>
  <c r="AB46" i="2" s="1"/>
  <c r="W50" i="2"/>
  <c r="AA48" i="2"/>
  <c r="AB48" i="2" s="1"/>
  <c r="AZ6" i="3"/>
  <c r="AA50" i="2" l="1"/>
  <c r="AB50" i="2" s="1"/>
  <c r="P55" i="2" s="1" a="1"/>
  <c r="AA51" i="2"/>
  <c r="AB51" i="2" s="1"/>
  <c r="O57" i="2" a="1"/>
  <c r="O53" i="2" a="1"/>
  <c r="O59" i="2" a="1"/>
  <c r="P53" i="2" a="1"/>
  <c r="P57" i="2" a="1"/>
  <c r="O55" i="2" a="1"/>
  <c r="P54" i="2" a="1"/>
  <c r="P58" i="2" a="1"/>
  <c r="O56" i="2" a="1"/>
  <c r="P52" i="2" a="1"/>
  <c r="P59" i="2" a="1"/>
  <c r="P56" i="2" a="1"/>
  <c r="O52" i="2" a="1"/>
  <c r="O58" i="2" a="1"/>
  <c r="O54" i="2" a="1"/>
  <c r="Q57" i="2" l="1"/>
  <c r="Q55" i="2"/>
  <c r="Q59" i="2"/>
  <c r="Q56" i="2"/>
  <c r="W53" i="2"/>
  <c r="W55" i="2"/>
  <c r="Q58" i="2"/>
  <c r="Q54" i="2"/>
  <c r="Q52" i="2"/>
  <c r="W57" i="2"/>
  <c r="W59" i="2"/>
  <c r="Q53" i="2"/>
  <c r="W56" i="2"/>
  <c r="W52" i="2"/>
  <c r="W58" i="2"/>
  <c r="W54" i="2"/>
  <c r="AA59" i="2" l="1"/>
  <c r="AB59" i="2" s="1"/>
  <c r="AA55" i="2"/>
  <c r="AB55" i="2" s="1"/>
  <c r="AA57" i="2"/>
  <c r="AB57" i="2" s="1"/>
  <c r="AA56" i="2"/>
  <c r="AB56" i="2" s="1"/>
  <c r="AA52" i="2"/>
  <c r="AB52" i="2" s="1"/>
  <c r="AA58" i="2"/>
  <c r="AB58" i="2" s="1"/>
  <c r="AA54" i="2"/>
  <c r="AB54" i="2" s="1"/>
  <c r="P60" i="2" a="1"/>
  <c r="O61" i="2" a="1"/>
  <c r="O60" i="2" a="1"/>
  <c r="P61" i="2" a="1"/>
  <c r="AA53" i="2"/>
  <c r="AB53" i="2" s="1"/>
  <c r="O62" i="2" l="1" a="1"/>
  <c r="P63" i="2" a="1"/>
  <c r="W60" i="2"/>
  <c r="P62" i="2" a="1"/>
  <c r="O63" i="2" a="1"/>
  <c r="Q61" i="2"/>
  <c r="Q60" i="2"/>
  <c r="W61" i="2"/>
  <c r="Q62" i="2" l="1"/>
  <c r="W62" i="2"/>
  <c r="AA62" i="2" s="1"/>
  <c r="AB62" i="2" s="1"/>
  <c r="Q63" i="2"/>
  <c r="W63" i="2"/>
  <c r="AA61" i="2"/>
  <c r="AB61" i="2" s="1"/>
  <c r="AA60" i="2"/>
  <c r="AB60" i="2" s="1"/>
  <c r="O65" i="2" a="1"/>
  <c r="P64" i="2" a="1"/>
  <c r="P65" i="2" a="1"/>
  <c r="P66" i="2" a="1"/>
  <c r="O64" i="2" a="1"/>
  <c r="O67" i="2" a="1"/>
  <c r="AA63" i="2" l="1"/>
  <c r="AB63" i="2" s="1"/>
  <c r="O66" i="2" a="1"/>
  <c r="P67" i="2" a="1"/>
  <c r="Q65" i="2"/>
  <c r="W64" i="2"/>
  <c r="W65" i="2"/>
  <c r="Q64" i="2"/>
  <c r="AA65" i="2" l="1"/>
  <c r="AB65" i="2" s="1"/>
  <c r="Q66" i="2"/>
  <c r="W66" i="2"/>
  <c r="Q67" i="2"/>
  <c r="W67" i="2"/>
  <c r="AA64" i="2"/>
  <c r="AB64" i="2" s="1"/>
  <c r="O69" i="2" a="1"/>
  <c r="P69" i="2" a="1"/>
  <c r="O68" i="2" a="1"/>
  <c r="P68" i="2" a="1"/>
  <c r="AA66" i="2" l="1"/>
  <c r="AB66" i="2" s="1"/>
  <c r="AA67" i="2"/>
  <c r="AB67" i="2" s="1"/>
  <c r="W69" i="2"/>
  <c r="Q68" i="2"/>
  <c r="Q69" i="2"/>
  <c r="W68" i="2"/>
  <c r="AA68" i="2" l="1"/>
  <c r="AB68" i="2" s="1"/>
  <c r="AA69" i="2"/>
  <c r="AB69" i="2" s="1"/>
  <c r="O75" i="2" l="1" a="1"/>
  <c r="O73" i="2" a="1"/>
  <c r="P70" i="2" a="1"/>
  <c r="P74" i="2" a="1"/>
  <c r="O71" i="2" a="1"/>
  <c r="P71" i="2" a="1"/>
  <c r="P75" i="2" a="1"/>
  <c r="O74" i="2" a="1"/>
  <c r="P72" i="2" a="1"/>
  <c r="O70" i="2" a="1"/>
  <c r="P73" i="2" a="1"/>
  <c r="O72" i="2" a="1"/>
  <c r="Q75" i="2" l="1"/>
  <c r="W71" i="2"/>
  <c r="Q72" i="2"/>
  <c r="W74" i="2"/>
  <c r="W70" i="2"/>
  <c r="Q73" i="2"/>
  <c r="W75" i="2"/>
  <c r="W73" i="2"/>
  <c r="Q70" i="2"/>
  <c r="Q74" i="2"/>
  <c r="Q71" i="2"/>
  <c r="W72" i="2"/>
  <c r="AA73" i="2" l="1"/>
  <c r="AB73" i="2" s="1"/>
  <c r="AA75" i="2"/>
  <c r="AB75" i="2" s="1"/>
  <c r="AA72" i="2"/>
  <c r="AB72" i="2" s="1"/>
  <c r="P77" i="2" a="1"/>
  <c r="O77" i="2" a="1"/>
  <c r="P76" i="2" a="1"/>
  <c r="O76" i="2" a="1"/>
  <c r="AA70" i="2"/>
  <c r="AB70" i="2" s="1"/>
  <c r="AA74" i="2"/>
  <c r="AB74" i="2" s="1"/>
  <c r="AA71" i="2"/>
  <c r="AB71" i="2" s="1"/>
  <c r="W76" i="2" l="1"/>
  <c r="W77" i="2"/>
  <c r="Q76" i="2"/>
  <c r="Q77" i="2"/>
  <c r="AA76" i="2" l="1"/>
  <c r="AB76" i="2" s="1"/>
  <c r="AA77" i="2"/>
  <c r="AB77" i="2" s="1"/>
  <c r="O81" i="2" l="1" a="1"/>
  <c r="O79" i="2" a="1"/>
  <c r="P81" i="2" a="1"/>
  <c r="P79" i="2" a="1"/>
  <c r="P80" i="2" a="1"/>
  <c r="P78" i="2" a="1"/>
  <c r="O80" i="2" a="1"/>
  <c r="O78" i="2" a="1"/>
  <c r="W79" i="2" l="1"/>
  <c r="Q81" i="2"/>
  <c r="Q78" i="2"/>
  <c r="W81" i="2"/>
  <c r="W80" i="2"/>
  <c r="O85" i="2" a="1"/>
  <c r="P84" i="2" a="1"/>
  <c r="P85" i="2" a="1"/>
  <c r="O84" i="2" a="1"/>
  <c r="Q79" i="2"/>
  <c r="Q80" i="2"/>
  <c r="W78" i="2"/>
  <c r="Q85" i="2" l="1"/>
  <c r="AA81" i="2"/>
  <c r="AB81" i="2" s="1"/>
  <c r="AA78" i="2"/>
  <c r="AB78" i="2" s="1"/>
  <c r="W84" i="2"/>
  <c r="AA79" i="2"/>
  <c r="AB79" i="2" s="1"/>
  <c r="AA80" i="2"/>
  <c r="AB80" i="2" s="1"/>
  <c r="W85" i="2"/>
  <c r="Q84" i="2"/>
  <c r="AA85" i="2" l="1"/>
  <c r="AB85" i="2" s="1"/>
  <c r="O83" i="2" a="1"/>
  <c r="P82" i="2" a="1"/>
  <c r="O82" i="2" a="1"/>
  <c r="P83" i="2" a="1"/>
  <c r="P86" i="2" a="1"/>
  <c r="P91" i="2" a="1"/>
  <c r="O87" i="2" a="1"/>
  <c r="O91" i="2" a="1"/>
  <c r="P90" i="2" a="1"/>
  <c r="P89" i="2" a="1"/>
  <c r="O86" i="2" a="1"/>
  <c r="P87" i="2" a="1"/>
  <c r="O88" i="2" a="1"/>
  <c r="O90" i="2" a="1"/>
  <c r="AA84" i="2"/>
  <c r="AB84" i="2" s="1"/>
  <c r="Q87" i="2" l="1"/>
  <c r="W82" i="2"/>
  <c r="Q82" i="2"/>
  <c r="W83" i="2"/>
  <c r="Q83" i="2"/>
  <c r="O89" i="2" a="1"/>
  <c r="P88" i="2" a="1"/>
  <c r="W86" i="2"/>
  <c r="W90" i="2"/>
  <c r="Q91" i="2"/>
  <c r="W91" i="2"/>
  <c r="Q90" i="2"/>
  <c r="W87" i="2"/>
  <c r="Q86" i="2"/>
  <c r="AA87" i="2" l="1"/>
  <c r="AB87" i="2" s="1"/>
  <c r="AA82" i="2"/>
  <c r="AB82" i="2" s="1"/>
  <c r="AA83" i="2"/>
  <c r="AB83" i="2" s="1"/>
  <c r="W89" i="2"/>
  <c r="Q89" i="2"/>
  <c r="Q88" i="2"/>
  <c r="W88" i="2"/>
  <c r="AA91" i="2"/>
  <c r="AB91" i="2" s="1"/>
  <c r="O92" i="2" a="1"/>
  <c r="P92" i="2" a="1"/>
  <c r="P93" i="2" a="1"/>
  <c r="O93" i="2" a="1"/>
  <c r="O95" i="2" a="1"/>
  <c r="P94" i="2" a="1"/>
  <c r="AA90" i="2"/>
  <c r="AB90" i="2" s="1"/>
  <c r="AA86" i="2"/>
  <c r="AB86" i="2" s="1"/>
  <c r="AA88" i="2" l="1"/>
  <c r="AB88" i="2" s="1"/>
  <c r="P95" i="2" a="1"/>
  <c r="O94" i="2" a="1"/>
  <c r="Q92" i="2"/>
  <c r="W93" i="2"/>
  <c r="AA89" i="2"/>
  <c r="AB89" i="2" s="1"/>
  <c r="Q93" i="2"/>
  <c r="W92" i="2"/>
  <c r="W95" i="2" l="1"/>
  <c r="Q95" i="2"/>
  <c r="W94" i="2"/>
  <c r="Q94" i="2"/>
  <c r="AA92" i="2"/>
  <c r="AB92" i="2" s="1"/>
  <c r="AA93" i="2"/>
  <c r="AB93" i="2" s="1"/>
  <c r="AA95" i="2" l="1"/>
  <c r="AB95" i="2" s="1"/>
  <c r="AA94" i="2"/>
  <c r="AB94" i="2" s="1"/>
  <c r="P96" i="2" a="1"/>
  <c r="O97" i="2" a="1"/>
  <c r="O96" i="2" a="1"/>
  <c r="P97" i="2" a="1"/>
  <c r="Q97" i="2" l="1"/>
  <c r="W96" i="2"/>
  <c r="Q96" i="2"/>
  <c r="W97" i="2"/>
  <c r="O101" i="2" a="1"/>
  <c r="O98" i="2" a="1"/>
  <c r="P100" i="2" a="1"/>
  <c r="O99" i="2" a="1"/>
  <c r="P98" i="2" a="1"/>
  <c r="P99" i="2" a="1"/>
  <c r="O100" i="2" a="1"/>
  <c r="P101" i="2" a="1"/>
  <c r="AA97" i="2" l="1"/>
  <c r="AB97" i="2" s="1"/>
  <c r="W101" i="2"/>
  <c r="Q98" i="2"/>
  <c r="Q99" i="2"/>
  <c r="W100" i="2"/>
  <c r="AA96" i="2"/>
  <c r="AB96" i="2" s="1"/>
  <c r="W99" i="2"/>
  <c r="W98" i="2"/>
  <c r="Q100" i="2"/>
  <c r="Q101" i="2"/>
  <c r="AA99" i="2" l="1"/>
  <c r="AB99" i="2" s="1"/>
  <c r="AA98" i="2"/>
  <c r="AB98" i="2" s="1"/>
  <c r="AA100" i="2"/>
  <c r="AB100" i="2" s="1"/>
  <c r="AA101" i="2"/>
  <c r="AB101" i="2" s="1"/>
  <c r="O102" i="2" l="1" a="1"/>
  <c r="P105" i="2" a="1"/>
  <c r="P102" i="2" a="1"/>
  <c r="O105" i="2" a="1"/>
  <c r="P103" i="2" a="1"/>
  <c r="O104" i="2" a="1"/>
  <c r="P104" i="2" a="1"/>
  <c r="O103" i="2" a="1"/>
  <c r="W105" i="2" l="1"/>
  <c r="W103" i="2"/>
  <c r="W102" i="2"/>
  <c r="Q104" i="2"/>
  <c r="Q102" i="2"/>
  <c r="W104" i="2"/>
  <c r="Q103" i="2"/>
  <c r="Q105" i="2"/>
  <c r="AA104" i="2" l="1"/>
  <c r="AB104" i="2" s="1"/>
  <c r="AA102" i="2"/>
  <c r="AB102" i="2" s="1"/>
  <c r="AA103" i="2"/>
  <c r="AB103" i="2" s="1"/>
  <c r="AA105" i="2"/>
  <c r="AB105" i="2" s="1"/>
  <c r="P107" i="2" l="1" a="1"/>
  <c r="O106" i="2" a="1"/>
  <c r="P106" i="2" a="1"/>
  <c r="P109" i="2" a="1"/>
  <c r="P108" i="2" a="1"/>
  <c r="O109" i="2" a="1"/>
  <c r="O108" i="2" a="1"/>
  <c r="O107" i="2" a="1"/>
  <c r="W106" i="2" l="1"/>
  <c r="Q107" i="2"/>
  <c r="Q109" i="2"/>
  <c r="W108" i="2"/>
  <c r="Q106" i="2"/>
  <c r="Q108" i="2"/>
  <c r="W109" i="2"/>
  <c r="W107" i="2"/>
  <c r="AA109" i="2" l="1"/>
  <c r="AB109" i="2" s="1"/>
  <c r="AA107" i="2"/>
  <c r="AB107" i="2" s="1"/>
  <c r="O110" i="2" s="1" a="1"/>
  <c r="AA106" i="2"/>
  <c r="AB106" i="2" s="1"/>
  <c r="AA108" i="2"/>
  <c r="AB108" i="2" s="1"/>
  <c r="O112" i="2" a="1"/>
  <c r="P111" i="2" a="1"/>
  <c r="O111" i="2" a="1"/>
  <c r="P113" i="2" a="1"/>
  <c r="P110" i="2" a="1"/>
  <c r="P112" i="2" a="1"/>
  <c r="O113" i="2" a="1"/>
  <c r="Q112" i="2" l="1"/>
  <c r="W111" i="2"/>
  <c r="Q113" i="2"/>
  <c r="Q110" i="2"/>
  <c r="W112" i="2"/>
  <c r="W110" i="2"/>
  <c r="Q111" i="2"/>
  <c r="W113" i="2"/>
  <c r="AA113" i="2" l="1"/>
  <c r="AB113" i="2" s="1"/>
  <c r="AA112" i="2"/>
  <c r="AB112" i="2" s="1"/>
  <c r="AA110" i="2"/>
  <c r="AB110" i="2" s="1"/>
  <c r="AA111" i="2"/>
  <c r="AB111" i="2" s="1"/>
  <c r="P117" i="2" a="1"/>
  <c r="P115" i="2" a="1"/>
  <c r="O116" i="2" a="1"/>
  <c r="P114" i="2" a="1"/>
  <c r="P116" i="2" a="1"/>
  <c r="O117" i="2" a="1"/>
  <c r="O115" i="2" a="1"/>
  <c r="O114" i="2" a="1"/>
  <c r="W114" i="2" s="1"/>
  <c r="W117" i="2" l="1"/>
  <c r="Q115" i="2"/>
  <c r="W116" i="2"/>
  <c r="Q117" i="2"/>
  <c r="Q114" i="2"/>
  <c r="Q116" i="2"/>
  <c r="W115" i="2"/>
  <c r="AA115" i="2" l="1"/>
  <c r="AB115" i="2" s="1"/>
  <c r="AA117" i="2"/>
  <c r="AB117" i="2" s="1"/>
  <c r="AA114" i="2"/>
  <c r="AB114" i="2" s="1"/>
  <c r="AA116" i="2"/>
  <c r="AB116" i="2" s="1"/>
  <c r="O120" i="2" l="1" a="1"/>
  <c r="O118" i="2" a="1"/>
  <c r="P118" i="2" a="1"/>
  <c r="O121" i="2" a="1"/>
  <c r="P121" i="2" a="1"/>
  <c r="P120" i="2" a="1"/>
  <c r="P119" i="2" a="1"/>
  <c r="O119" i="2" a="1"/>
  <c r="W121" i="2" l="1"/>
  <c r="Q118" i="2"/>
  <c r="W120" i="2"/>
  <c r="W119" i="2"/>
  <c r="W118" i="2"/>
  <c r="Q121" i="2"/>
  <c r="Q120" i="2"/>
  <c r="Q119" i="2"/>
  <c r="AA118" i="2" l="1"/>
  <c r="AB118" i="2" s="1"/>
  <c r="AA121" i="2"/>
  <c r="AB121" i="2" s="1"/>
  <c r="AA120" i="2"/>
  <c r="AB120" i="2" s="1"/>
  <c r="AA119" i="2"/>
  <c r="AB119" i="2" s="1"/>
  <c r="P123" i="2" l="1" a="1"/>
  <c r="P122" i="2" a="1"/>
  <c r="O123" i="2" a="1"/>
  <c r="O122" i="2" a="1"/>
  <c r="Q122" i="2" l="1"/>
  <c r="W123" i="2"/>
  <c r="W122" i="2"/>
  <c r="Q123" i="2"/>
  <c r="AA122" i="2" l="1"/>
  <c r="AB122" i="2" s="1"/>
  <c r="AA123" i="2"/>
  <c r="AB123" i="2" s="1"/>
  <c r="O124" i="2" l="1" a="1"/>
  <c r="P124" i="2" a="1"/>
  <c r="P125" i="2" a="1"/>
  <c r="O125" i="2" a="1"/>
  <c r="Q125" i="2" l="1"/>
  <c r="Q124" i="2"/>
  <c r="W125" i="2"/>
  <c r="W124" i="2"/>
  <c r="AA124" i="2" l="1"/>
  <c r="AB124" i="2" s="1"/>
  <c r="AA125" i="2"/>
  <c r="AB125" i="2" s="1"/>
  <c r="O127" i="2" a="1"/>
  <c r="P126" i="2" a="1"/>
  <c r="P127" i="2" a="1"/>
  <c r="O126" i="2" a="1"/>
  <c r="W126" i="2" l="1"/>
  <c r="Q126" i="2"/>
  <c r="Q127" i="2"/>
  <c r="W127" i="2"/>
  <c r="AA126" i="2" l="1"/>
  <c r="AB126" i="2" s="1"/>
  <c r="AA127" i="2"/>
  <c r="AB127" i="2" s="1"/>
  <c r="P129" i="2" a="1"/>
  <c r="O130" i="2" a="1"/>
  <c r="P130" i="2" a="1"/>
  <c r="O132" i="2" a="1"/>
  <c r="P131" i="2" a="1"/>
  <c r="O128" i="2" a="1"/>
  <c r="P128" i="2" a="1"/>
  <c r="P133" i="2" a="1"/>
  <c r="O129" i="2" a="1"/>
  <c r="P132" i="2" a="1"/>
  <c r="O131" i="2" a="1"/>
  <c r="O133" i="2" a="1"/>
  <c r="Q132" i="2" l="1"/>
  <c r="Q128" i="2"/>
  <c r="W130" i="2"/>
  <c r="Q129" i="2"/>
  <c r="Q133" i="2"/>
  <c r="W131" i="2"/>
  <c r="Q130" i="2"/>
  <c r="W132" i="2"/>
  <c r="Q131" i="2"/>
  <c r="W128" i="2"/>
  <c r="W129" i="2"/>
  <c r="W133" i="2"/>
  <c r="AA132" i="2" l="1"/>
  <c r="AB132" i="2" s="1"/>
  <c r="AA128" i="2"/>
  <c r="AB128" i="2" s="1"/>
  <c r="AA133" i="2"/>
  <c r="AB133" i="2" s="1"/>
  <c r="AA129" i="2"/>
  <c r="AB129" i="2" s="1"/>
  <c r="AA130" i="2"/>
  <c r="AB130" i="2" s="1"/>
  <c r="AA131" i="2"/>
  <c r="AB131" i="2" s="1"/>
  <c r="P135" i="2" a="1"/>
  <c r="P134" i="2" a="1"/>
  <c r="O134" i="2" a="1"/>
  <c r="O135" i="2" a="1"/>
  <c r="Q134" i="2" l="1"/>
  <c r="Q135" i="2"/>
  <c r="W134" i="2"/>
  <c r="W135" i="2"/>
  <c r="AA134" i="2" l="1"/>
  <c r="AB134" i="2" s="1"/>
  <c r="AA135" i="2"/>
  <c r="AB135" i="2" s="1"/>
  <c r="O136" i="2" a="1"/>
  <c r="P136" i="2" a="1"/>
  <c r="O138" i="2" a="1"/>
  <c r="P137" i="2" a="1"/>
  <c r="O139" i="2" a="1"/>
  <c r="P139" i="2" a="1"/>
  <c r="P138" i="2" a="1"/>
  <c r="O137" i="2" a="1"/>
  <c r="Q136" i="2" l="1"/>
  <c r="W138" i="2"/>
  <c r="W139" i="2"/>
  <c r="W137" i="2"/>
  <c r="W136" i="2"/>
  <c r="Q137" i="2"/>
  <c r="Q139" i="2"/>
  <c r="Q138" i="2"/>
  <c r="AA136" i="2" l="1"/>
  <c r="AB136" i="2" s="1"/>
  <c r="AA137" i="2"/>
  <c r="AB137" i="2" s="1"/>
  <c r="AA139" i="2"/>
  <c r="AB139" i="2" s="1"/>
  <c r="AA138" i="2"/>
  <c r="AB138" i="2" s="1"/>
  <c r="P142" i="2" l="1" a="1"/>
  <c r="O140" i="2" a="1"/>
  <c r="O142" i="2" a="1"/>
  <c r="P140" i="2" a="1"/>
  <c r="P143" i="2" a="1"/>
  <c r="O144" i="2" a="1"/>
  <c r="P144" i="2" a="1"/>
  <c r="O145" i="2" a="1"/>
  <c r="O141" i="2" a="1"/>
  <c r="P145" i="2" a="1"/>
  <c r="O143" i="2" a="1"/>
  <c r="P141" i="2" a="1"/>
  <c r="Q143" i="2" l="1"/>
  <c r="W144" i="2"/>
  <c r="Q142" i="2"/>
  <c r="Q141" i="2"/>
  <c r="W140" i="2"/>
  <c r="W145" i="2"/>
  <c r="W142" i="2"/>
  <c r="Q140" i="2"/>
  <c r="W143" i="2"/>
  <c r="Q144" i="2"/>
  <c r="W141" i="2"/>
  <c r="Q145" i="2"/>
  <c r="AA143" i="2" l="1"/>
  <c r="AB143" i="2" s="1"/>
  <c r="AA141" i="2"/>
  <c r="AB141" i="2" s="1"/>
  <c r="AA142" i="2"/>
  <c r="AB142" i="2" s="1"/>
  <c r="AA140" i="2"/>
  <c r="AB140" i="2" s="1"/>
  <c r="AA144" i="2"/>
  <c r="AB144" i="2" s="1"/>
  <c r="AA145" i="2"/>
  <c r="AB145" i="2" s="1"/>
  <c r="P147" i="2" l="1" a="1"/>
  <c r="P146" i="2" a="1"/>
  <c r="O147" i="2" a="1"/>
  <c r="O146" i="2" a="1"/>
  <c r="W146" i="2" l="1"/>
  <c r="Q147" i="2"/>
  <c r="W147" i="2"/>
  <c r="Q146" i="2"/>
  <c r="AA147" i="2" l="1"/>
  <c r="AB147" i="2" s="1"/>
  <c r="P148" i="2" a="1"/>
  <c r="O148" i="2" a="1"/>
  <c r="P149" i="2" a="1"/>
  <c r="P150" i="2" a="1"/>
  <c r="O151" i="2" a="1"/>
  <c r="O149" i="2" a="1"/>
  <c r="AA146" i="2"/>
  <c r="AB146" i="2" s="1"/>
  <c r="O150" i="2" l="1" a="1"/>
  <c r="P151" i="2" a="1"/>
  <c r="W149" i="2"/>
  <c r="W148" i="2"/>
  <c r="Q148" i="2"/>
  <c r="Q149" i="2"/>
  <c r="W150" i="2" l="1"/>
  <c r="Q150" i="2"/>
  <c r="AA150" i="2" s="1"/>
  <c r="AB150" i="2" s="1"/>
  <c r="Q151" i="2"/>
  <c r="W151" i="2"/>
  <c r="AA148" i="2"/>
  <c r="AB148" i="2" s="1"/>
  <c r="AA149" i="2"/>
  <c r="AB149" i="2" s="1"/>
  <c r="P154" i="2" a="1"/>
  <c r="O154" i="2" a="1"/>
  <c r="P155" i="2" a="1"/>
  <c r="P152" i="2" a="1"/>
  <c r="O153" i="2" a="1"/>
  <c r="P153" i="2" a="1"/>
  <c r="O155" i="2" a="1"/>
  <c r="O152" i="2" a="1"/>
  <c r="W152" i="2" l="1"/>
  <c r="AA151" i="2"/>
  <c r="AB151" i="2" s="1"/>
  <c r="W154" i="2"/>
  <c r="W155" i="2"/>
  <c r="Q154" i="2"/>
  <c r="W153" i="2"/>
  <c r="Q152" i="2"/>
  <c r="Q155" i="2"/>
  <c r="Q153" i="2"/>
  <c r="AA154" i="2" l="1"/>
  <c r="AB154" i="2" s="1"/>
  <c r="AA152" i="2"/>
  <c r="AB152" i="2" s="1"/>
  <c r="AA155" i="2"/>
  <c r="AB155" i="2" s="1"/>
  <c r="AA153" i="2"/>
  <c r="AB153" i="2" s="1"/>
  <c r="O156" i="2" l="1" a="1"/>
  <c r="P156" i="2" a="1"/>
  <c r="P159" i="2" a="1"/>
  <c r="O157" i="2" a="1"/>
  <c r="P157" i="2" a="1"/>
  <c r="O159" i="2" a="1"/>
  <c r="O158" i="2" a="1"/>
  <c r="P158" i="2" a="1"/>
  <c r="Q158" i="2" l="1"/>
  <c r="W159" i="2"/>
  <c r="W156" i="2"/>
  <c r="W157" i="2"/>
  <c r="Q159" i="2"/>
  <c r="O161" i="2" a="1"/>
  <c r="O163" i="2" a="1"/>
  <c r="P162" i="2" a="1"/>
  <c r="P160" i="2" a="1"/>
  <c r="O160" i="2" a="1"/>
  <c r="P161" i="2" a="1"/>
  <c r="Q156" i="2"/>
  <c r="Q157" i="2"/>
  <c r="W158" i="2"/>
  <c r="AA158" i="2" l="1"/>
  <c r="AB158" i="2" s="1"/>
  <c r="Q161" i="2"/>
  <c r="Q160" i="2"/>
  <c r="AA159" i="2"/>
  <c r="AB159" i="2" s="1"/>
  <c r="AA156" i="2"/>
  <c r="AB156" i="2" s="1"/>
  <c r="AA157" i="2"/>
  <c r="AB157" i="2" s="1"/>
  <c r="W160" i="2"/>
  <c r="W161" i="2"/>
  <c r="AA160" i="2" l="1"/>
  <c r="AB160" i="2" s="1"/>
  <c r="AA161" i="2"/>
  <c r="AB161" i="2" s="1"/>
  <c r="O162" i="2" a="1"/>
  <c r="P163" i="2" a="1"/>
  <c r="Q162" i="2" l="1"/>
  <c r="W162" i="2"/>
  <c r="W163" i="2"/>
  <c r="Q163" i="2"/>
  <c r="O165" i="2" a="1"/>
  <c r="P165" i="2" a="1"/>
  <c r="O164" i="2" a="1"/>
  <c r="P164" i="2" a="1"/>
  <c r="AA162" i="2" l="1"/>
  <c r="AB162" i="2" s="1"/>
  <c r="W164" i="2"/>
  <c r="AA163" i="2"/>
  <c r="AB163" i="2" s="1"/>
  <c r="Q165" i="2"/>
  <c r="W165" i="2"/>
  <c r="Q164" i="2"/>
  <c r="O167" i="2" a="1"/>
  <c r="O169" i="2" a="1"/>
  <c r="P168" i="2" a="1"/>
  <c r="P166" i="2" a="1"/>
  <c r="O168" i="2" a="1"/>
  <c r="P169" i="2" a="1"/>
  <c r="O166" i="2" a="1"/>
  <c r="P167" i="2" a="1"/>
  <c r="AA165" i="2" l="1"/>
  <c r="AB165" i="2" s="1"/>
  <c r="W168" i="2"/>
  <c r="W166" i="2"/>
  <c r="Q169" i="2"/>
  <c r="Q167" i="2"/>
  <c r="Q168" i="2"/>
  <c r="AA164" i="2"/>
  <c r="AB164" i="2" s="1"/>
  <c r="W169" i="2"/>
  <c r="Q166" i="2"/>
  <c r="W167" i="2"/>
  <c r="AA167" i="2" l="1"/>
  <c r="AB167" i="2" s="1"/>
  <c r="AA169" i="2"/>
  <c r="AB169" i="2" s="1"/>
  <c r="AA168" i="2"/>
  <c r="AB168" i="2" s="1"/>
  <c r="P171" i="2" a="1"/>
  <c r="O170" i="2" a="1"/>
  <c r="O171" i="2" a="1"/>
  <c r="P170" i="2" a="1"/>
  <c r="AA166" i="2"/>
  <c r="AB166" i="2" s="1"/>
  <c r="Q171" i="2" l="1"/>
  <c r="W170" i="2"/>
  <c r="W171" i="2"/>
  <c r="Q170" i="2"/>
  <c r="AA171" i="2" l="1"/>
  <c r="AB171" i="2" s="1"/>
  <c r="P173" i="2" a="1"/>
  <c r="O173" i="2" a="1"/>
  <c r="O174" i="2" a="1"/>
  <c r="P174" i="2" a="1"/>
  <c r="P175" i="2" a="1"/>
  <c r="O175" i="2" a="1"/>
  <c r="O172" i="2" a="1"/>
  <c r="P172" i="2" a="1"/>
  <c r="AA170" i="2"/>
  <c r="AB170" i="2" s="1"/>
  <c r="Q175" i="2" l="1"/>
  <c r="W172" i="2"/>
  <c r="W173" i="2"/>
  <c r="W174" i="2"/>
  <c r="Q172" i="2"/>
  <c r="Q173" i="2"/>
  <c r="Q174" i="2"/>
  <c r="W175" i="2"/>
  <c r="AA175" i="2" l="1"/>
  <c r="AB175" i="2" s="1"/>
  <c r="O176" i="2" s="1" a="1"/>
  <c r="AA172" i="2"/>
  <c r="AB172" i="2" s="1"/>
  <c r="AA173" i="2"/>
  <c r="AB173" i="2" s="1"/>
  <c r="AA174" i="2"/>
  <c r="AB174" i="2" s="1"/>
  <c r="P180" i="2" a="1"/>
  <c r="O180" i="2" a="1"/>
  <c r="P178" i="2" a="1"/>
  <c r="P179" i="2" a="1"/>
  <c r="P181" i="2" a="1"/>
  <c r="O178" i="2" a="1"/>
  <c r="P177" i="2" a="1"/>
  <c r="O177" i="2" a="1"/>
  <c r="O179" i="2" a="1"/>
  <c r="P176" i="2" a="1"/>
  <c r="O181" i="2" a="1"/>
  <c r="W177" i="2" l="1"/>
  <c r="Q176" i="2"/>
  <c r="W178" i="2"/>
  <c r="Q181" i="2"/>
  <c r="Q180" i="2"/>
  <c r="Q179" i="2"/>
  <c r="W180" i="2"/>
  <c r="Q178" i="2"/>
  <c r="W176" i="2"/>
  <c r="W181" i="2"/>
  <c r="Q177" i="2"/>
  <c r="W179" i="2"/>
  <c r="AA176" i="2" l="1"/>
  <c r="AB176" i="2" s="1"/>
  <c r="AA180" i="2"/>
  <c r="AB180" i="2" s="1"/>
  <c r="AA179" i="2"/>
  <c r="AB179" i="2" s="1"/>
  <c r="AA181" i="2"/>
  <c r="AB181" i="2" s="1"/>
  <c r="AA178" i="2"/>
  <c r="AB178" i="2" s="1"/>
  <c r="P184" i="2" a="1"/>
  <c r="O183" i="2" a="1"/>
  <c r="O184" i="2" a="1"/>
  <c r="P185" i="2" a="1"/>
  <c r="P182" i="2" a="1"/>
  <c r="O182" i="2" a="1"/>
  <c r="P183" i="2" a="1"/>
  <c r="O185" i="2" a="1"/>
  <c r="AA177" i="2"/>
  <c r="AB177" i="2" s="1"/>
  <c r="W185" i="2" l="1"/>
  <c r="W182" i="2"/>
  <c r="Q183" i="2"/>
  <c r="W184" i="2"/>
  <c r="Q184" i="2"/>
  <c r="Q185" i="2"/>
  <c r="Q182" i="2"/>
  <c r="W183" i="2"/>
  <c r="AA183" i="2" l="1"/>
  <c r="AB183" i="2" s="1"/>
  <c r="AA184" i="2"/>
  <c r="AB184" i="2" s="1"/>
  <c r="AA185" i="2"/>
  <c r="AB185" i="2" s="1"/>
  <c r="AA182" i="2"/>
  <c r="AB182" i="2" s="1"/>
  <c r="P186" i="2" l="1" a="1"/>
  <c r="O186" i="2" a="1"/>
  <c r="P187" i="2" a="1"/>
  <c r="O187" i="2" a="1"/>
  <c r="Q187" i="2" l="1"/>
  <c r="W186" i="2"/>
  <c r="W187" i="2"/>
  <c r="Q186" i="2"/>
  <c r="AA187" i="2" l="1"/>
  <c r="AB187" i="2" s="1"/>
  <c r="O188" i="2" a="1"/>
  <c r="O191" i="2" a="1"/>
  <c r="O189" i="2" a="1"/>
  <c r="P188" i="2" a="1"/>
  <c r="O190" i="2" a="1"/>
  <c r="P189" i="2" a="1"/>
  <c r="P190" i="2" a="1"/>
  <c r="P191" i="2" a="1"/>
  <c r="AA186" i="2"/>
  <c r="AB186" i="2" s="1"/>
  <c r="Q188" i="2" l="1"/>
  <c r="W189" i="2"/>
  <c r="Q190" i="2"/>
  <c r="Q191" i="2"/>
  <c r="W188" i="2"/>
  <c r="W191" i="2"/>
  <c r="W190" i="2"/>
  <c r="Q189" i="2"/>
  <c r="AA188" i="2" l="1"/>
  <c r="AB188" i="2" s="1"/>
  <c r="P195" i="2" s="1" a="1"/>
  <c r="AA191" i="2"/>
  <c r="AB191" i="2" s="1"/>
  <c r="P197" i="2" s="1" a="1"/>
  <c r="AA190" i="2"/>
  <c r="AB190" i="2" s="1"/>
  <c r="P192" i="2" a="1"/>
  <c r="O197" i="2" a="1"/>
  <c r="P194" i="2" a="1"/>
  <c r="O195" i="2" a="1"/>
  <c r="O194" i="2" a="1"/>
  <c r="O196" i="2" a="1"/>
  <c r="O193" i="2" a="1"/>
  <c r="P196" i="2" a="1"/>
  <c r="AA189" i="2"/>
  <c r="AB189" i="2" s="1"/>
  <c r="O192" i="2" l="1" a="1"/>
  <c r="P193" i="2" a="1"/>
  <c r="Q195" i="2"/>
  <c r="Q194" i="2"/>
  <c r="W197" i="2"/>
  <c r="Q196" i="2"/>
  <c r="W195" i="2"/>
  <c r="W194" i="2"/>
  <c r="W196" i="2"/>
  <c r="Q197" i="2"/>
  <c r="Q192" i="2" l="1"/>
  <c r="W192" i="2"/>
  <c r="W193" i="2"/>
  <c r="Q193" i="2"/>
  <c r="AA195" i="2"/>
  <c r="AB195" i="2" s="1"/>
  <c r="AA194" i="2"/>
  <c r="AB194" i="2" s="1"/>
  <c r="AA196" i="2"/>
  <c r="AB196" i="2" s="1"/>
  <c r="AA197" i="2"/>
  <c r="AB197" i="2" s="1"/>
  <c r="AA192" i="2" l="1"/>
  <c r="AB192" i="2" s="1"/>
  <c r="AA193" i="2"/>
  <c r="AB193" i="2" s="1"/>
  <c r="P198" i="2" a="1"/>
  <c r="P199" i="2" a="1"/>
  <c r="O199" i="2" a="1"/>
  <c r="O198" i="2" a="1"/>
  <c r="W199" i="2" l="1"/>
  <c r="Q198" i="2"/>
  <c r="Q199" i="2"/>
  <c r="W198" i="2"/>
  <c r="AA198" i="2" l="1"/>
  <c r="AB198" i="2" s="1"/>
  <c r="AA199" i="2"/>
  <c r="AB199" i="2" s="1"/>
  <c r="O203" i="2" a="1"/>
  <c r="O201" i="2" a="1"/>
  <c r="P200" i="2" a="1"/>
  <c r="P203" i="2" a="1"/>
  <c r="O202" i="2" a="1"/>
  <c r="P201" i="2" a="1"/>
  <c r="O200" i="2" a="1"/>
  <c r="P202" i="2" a="1"/>
  <c r="Q203" i="2" l="1"/>
  <c r="Q201" i="2"/>
  <c r="W200" i="2"/>
  <c r="Q200" i="2"/>
  <c r="Q202" i="2"/>
  <c r="W203" i="2"/>
  <c r="W201" i="2"/>
  <c r="W202" i="2"/>
  <c r="AA203" i="2" l="1"/>
  <c r="AB203" i="2" s="1"/>
  <c r="AA201" i="2"/>
  <c r="AB201" i="2" s="1"/>
  <c r="AA202" i="2"/>
  <c r="AB202" i="2" s="1"/>
  <c r="AA200" i="2"/>
  <c r="AB200" i="2" s="1"/>
  <c r="P205" i="2" a="1"/>
  <c r="P204" i="2" a="1"/>
  <c r="P207" i="2" a="1"/>
  <c r="O207" i="2" a="1"/>
  <c r="P206" i="2" a="1"/>
  <c r="O206" i="2" a="1"/>
  <c r="O205" i="2" a="1"/>
  <c r="O204" i="2" a="1"/>
  <c r="W205" i="2" l="1"/>
  <c r="W207" i="2"/>
  <c r="Q206" i="2"/>
  <c r="Q205" i="2"/>
  <c r="Q204" i="2"/>
  <c r="Q207" i="2"/>
  <c r="W206" i="2"/>
  <c r="W204" i="2"/>
  <c r="AA206" i="2" l="1"/>
  <c r="AB206" i="2" s="1"/>
  <c r="AA204" i="2"/>
  <c r="AB204" i="2" s="1"/>
  <c r="AA205" i="2"/>
  <c r="AB205" i="2" s="1"/>
  <c r="AA207" i="2"/>
  <c r="AB207" i="2" s="1"/>
  <c r="O209" i="2" l="1" a="1"/>
  <c r="P211" i="2" a="1"/>
  <c r="O208" i="2" a="1"/>
  <c r="P208" i="2" a="1"/>
  <c r="P209" i="2" a="1"/>
  <c r="O211" i="2" a="1"/>
  <c r="P210" i="2" a="1"/>
  <c r="O210" i="2" a="1"/>
  <c r="Q208" i="2" l="1"/>
  <c r="W209" i="2"/>
  <c r="W208" i="2"/>
  <c r="W211" i="2"/>
  <c r="W210" i="2"/>
  <c r="Q211" i="2"/>
  <c r="Q209" i="2"/>
  <c r="Q210" i="2"/>
  <c r="AA208" i="2" l="1"/>
  <c r="AB208" i="2" s="1"/>
  <c r="AA211" i="2"/>
  <c r="AB211" i="2" s="1"/>
  <c r="AA209" i="2"/>
  <c r="AB209" i="2" s="1"/>
  <c r="AA210" i="2"/>
  <c r="AB210" i="2" s="1"/>
  <c r="P212" i="2" l="1" a="1"/>
  <c r="P213" i="2" a="1"/>
  <c r="P215" i="2" a="1"/>
  <c r="O213" i="2" a="1"/>
  <c r="O214" i="2" a="1"/>
  <c r="P214" i="2" a="1"/>
  <c r="O215" i="2" a="1"/>
  <c r="O212" i="2" a="1"/>
  <c r="Q215" i="2" l="1"/>
  <c r="Q213" i="2"/>
  <c r="Q214" i="2"/>
  <c r="W212" i="2"/>
  <c r="Q212" i="2"/>
  <c r="W213" i="2"/>
  <c r="W214" i="2"/>
  <c r="W215" i="2"/>
  <c r="AA215" i="2" l="1"/>
  <c r="AB215" i="2" s="1"/>
  <c r="AA213" i="2"/>
  <c r="AB213" i="2" s="1"/>
  <c r="AA214" i="2"/>
  <c r="AB214" i="2" s="1"/>
  <c r="AA212" i="2"/>
  <c r="AB212" i="2" s="1"/>
  <c r="O216" i="2" a="1"/>
  <c r="O217" i="2" a="1"/>
  <c r="P217" i="2" a="1"/>
  <c r="P216" i="2" a="1"/>
  <c r="Q217" i="2" l="1"/>
  <c r="Q216" i="2"/>
  <c r="W216" i="2"/>
  <c r="W217" i="2"/>
  <c r="AA216" i="2" l="1"/>
  <c r="AB216" i="2" s="1"/>
  <c r="P222" i="2" s="1" a="1"/>
  <c r="AA217" i="2"/>
  <c r="AB217" i="2" s="1"/>
  <c r="P223" i="2" s="1" a="1"/>
  <c r="P218" i="2" a="1"/>
  <c r="P225" i="2" a="1"/>
  <c r="O221" i="2" a="1"/>
  <c r="O219" i="2" a="1"/>
  <c r="P219" i="2" a="1"/>
  <c r="P224" i="2" a="1"/>
  <c r="O223" i="2" a="1"/>
  <c r="O220" i="2" a="1"/>
  <c r="O224" i="2" a="1"/>
  <c r="P220" i="2" a="1"/>
  <c r="O218" i="2" a="1"/>
  <c r="O225" i="2" a="1"/>
  <c r="P221" i="2" a="1"/>
  <c r="O222" i="2" a="1"/>
  <c r="W218" i="2" l="1"/>
  <c r="Q223" i="2"/>
  <c r="W221" i="2"/>
  <c r="Q219" i="2"/>
  <c r="Q225" i="2"/>
  <c r="W220" i="2"/>
  <c r="W224" i="2"/>
  <c r="W222" i="2"/>
  <c r="Q218" i="2"/>
  <c r="W219" i="2"/>
  <c r="Q222" i="2"/>
  <c r="Q224" i="2"/>
  <c r="W223" i="2"/>
  <c r="Q220" i="2"/>
  <c r="W225" i="2"/>
  <c r="Q221" i="2"/>
  <c r="AA223" i="2" l="1"/>
  <c r="AB223" i="2" s="1"/>
  <c r="O228" i="2" s="1" a="1"/>
  <c r="AA219" i="2"/>
  <c r="AB219" i="2" s="1"/>
  <c r="P227" i="2" s="1" a="1"/>
  <c r="AA225" i="2"/>
  <c r="AB225" i="2" s="1"/>
  <c r="AA218" i="2"/>
  <c r="AB218" i="2" s="1"/>
  <c r="AA222" i="2"/>
  <c r="AB222" i="2" s="1"/>
  <c r="AA224" i="2"/>
  <c r="AB224" i="2" s="1"/>
  <c r="AA220" i="2"/>
  <c r="AB220" i="2" s="1"/>
  <c r="O226" i="2" a="1"/>
  <c r="P229" i="2" a="1"/>
  <c r="AA221" i="2"/>
  <c r="AB221" i="2" s="1"/>
  <c r="O229" i="2" l="1" a="1"/>
  <c r="P228" i="2" a="1"/>
  <c r="O227" i="2" a="1"/>
  <c r="P226" i="2" a="1"/>
  <c r="Q229" i="2" l="1"/>
  <c r="W229" i="2"/>
  <c r="W228" i="2"/>
  <c r="Q228" i="2"/>
  <c r="W227" i="2"/>
  <c r="Q227" i="2"/>
  <c r="W226" i="2"/>
  <c r="Q226" i="2"/>
  <c r="AA229" i="2" l="1"/>
  <c r="AB229" i="2" s="1"/>
  <c r="AA228" i="2"/>
  <c r="AB228" i="2" s="1"/>
  <c r="P231" i="2" a="1"/>
  <c r="O230" i="2" a="1"/>
  <c r="AA226" i="2"/>
  <c r="AB226" i="2" s="1"/>
  <c r="AA227" i="2"/>
  <c r="AB227" i="2" s="1"/>
  <c r="P230" i="2" a="1"/>
  <c r="O231" i="2" a="1"/>
  <c r="Q230" i="2" l="1"/>
  <c r="W230" i="2"/>
  <c r="W231" i="2"/>
  <c r="Q231" i="2"/>
  <c r="AA231" i="2" l="1"/>
  <c r="AB231" i="2" s="1"/>
  <c r="AA230" i="2"/>
  <c r="AB230" i="2" s="1"/>
  <c r="G27" i="3" l="1" a="1"/>
  <c r="G30" i="3" l="1" a="1"/>
  <c r="G31" i="3" l="1" a="1"/>
  <c r="G26" i="3" a="1"/>
  <c r="G25" i="3" a="1"/>
  <c r="G28" i="3" l="1" a="1"/>
  <c r="G32" i="3" a="1"/>
  <c r="G29" i="3" a="1"/>
  <c r="A2" i="3" l="1" a="1"/>
  <c r="AX5" i="3" l="1" a="1"/>
  <c r="AX6" i="3" l="1" a="1"/>
  <c r="AX7" i="3" l="1" a="1"/>
  <c r="AX4" i="3" l="1" a="1"/>
  <c r="AX2" i="3" l="1" a="1"/>
  <c r="AX3" i="3" l="1" a="1"/>
  <c r="AX9" i="3" l="1" a="1"/>
  <c r="AX8" i="3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<sst xmlns="http://schemas.openxmlformats.org/spreadsheetml/2006/main" count="1248" uniqueCount="75">
  <si>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</si>
  <si>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</si>
  <si>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</si>
  <si>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</si>
  <si>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</si>
  <si>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</si>
  <si>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</si>
  <si>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</si>
  <si>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</si>
  <si>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</si>
  <si>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</si>
  <si>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</si>
  <si>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</si>
  <si>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</si>
  <si>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</si>
  <si>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</si>
  <si>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</si>
  <si>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</si>
  <si>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</si>
  <si>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</si>
  <si>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</si>
  <si>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</si>
  <si>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</si>
  <si>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</si>
  <si>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</si>
  <si>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</si>
  <si>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</si>
  <si>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</si>
  <si>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</si>
  <si>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</si>
  <si>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</si>
  <si>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</si>
  <si>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</si>
  <si>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</si>
  <si>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</si>
  <si>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</si>
  <si>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</si>
  <si>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</si>
  <si>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</si>
  <si>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</si>
  <si>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</si>
  <si>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</si>
  <si>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</si>
  <si>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</si>
  <si>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</si>
  <si>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</si>
  <si>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</si>
  <si>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</si>
  <si>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</si>
  <si>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</si>
  <si>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</si>
  <si>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</si>
  <si>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</si>
  <si>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</si>
  <si>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</si>
  <si>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</si>
  <si>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</si>
  <si>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</si>
  <si>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</si>
  <si>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</si>
  <si>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</si>
  <si>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</si>
  <si>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</si>
  <si>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</si>
  <si>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</si>
  <si>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Houston Comets</t>
  </si>
  <si>
    <t>NYL</t>
  </si>
  <si>
    <t>New York Liberty</t>
  </si>
  <si>
    <t>Charlotte Sting</t>
  </si>
  <si>
    <t>Cleveland Rockers</t>
  </si>
  <si>
    <t>Phoenix Mercury</t>
  </si>
  <si>
    <t>LAS</t>
  </si>
  <si>
    <t>Los Angeles Sparks</t>
  </si>
  <si>
    <t>Sacramento Monarchs</t>
  </si>
  <si>
    <t>Utah Starzz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</si>
</sst>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7"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076827314813" createdVersion="8" refreshedVersion="8" minRefreshableVersion="3" recordCount="230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1997-06-21T00:00:00" maxDate="1997-08-31T00:00:00"/>
    </cacheField>
    <cacheField name="Season" numFmtId="1">
      <sharedItems containsSemiMixedTypes="0" containsString="0" containsNumber="1" containsInteger="1" minValue="1997" maxValue="1997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2"/>
    </cacheField>
    <cacheField name="Team" numFmtId="0">
      <sharedItems containsBlank="1" count="55">
        <s v="HOU"/>
        <s v="CLE"/>
        <s v="NYL"/>
        <s v="LAS"/>
        <s v="SAC"/>
        <s v="UTA"/>
        <s v="CHA"/>
        <s v="PHX"/>
        <s v="NO" u="1"/>
        <s v="TOR" u="1"/>
        <s v="LAL" u="1"/>
        <s v="LAC" u="1"/>
        <s v="CHI" u="1"/>
        <s v="DET" u="1"/>
        <s v="IND" u="1"/>
        <s v="ORL" u="1"/>
        <s v="MIN" u="1"/>
        <s v="BRK" u="1"/>
        <s v="MEM" u="1"/>
        <s v="MIA" u="1"/>
        <s v="BOS" u="1"/>
        <s v="PHI" u="1"/>
        <s v="WAS" u="1"/>
        <s v="DAL" u="1"/>
        <s v="NY" u="1"/>
        <s v="SA" u="1"/>
        <s v="OKC" u="1"/>
        <s v="DEN" u="1"/>
        <s v="POR" u="1"/>
        <s v="ATL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EA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6"/>
    </cacheField>
    <cacheField name="OppDaysOff" numFmtId="1">
      <sharedItems containsSemiMixedTypes="0" containsString="0" containsNumber="1" containsInteger="1" minValue="0" maxValue="6"/>
    </cacheField>
    <cacheField name="RestDiff" numFmtId="1">
      <sharedItems containsSemiMixedTypes="0" containsString="0" containsNumber="1" containsInteger="1" minValue="-4" maxValue="4"/>
    </cacheField>
    <cacheField name="OppRestDiff" numFmtId="1">
      <sharedItems containsSemiMixedTypes="0" containsString="0" containsNumber="1" containsInteger="1" minValue="-4" maxValue="4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46.9090152664737" maxValue="1629.6625288469882"/>
    </cacheField>
    <cacheField name="OppPreGmRate" numFmtId="165">
      <sharedItems containsSemiMixedTypes="0" containsString="0" containsNumber="1" minValue="1346.9090152664737" maxValue="1629.6625288469882"/>
    </cacheField>
    <cacheField name="ExpectedWin%" numFmtId="165">
      <sharedItems containsSemiMixedTypes="0" containsString="0" containsNumber="1" minValue="0.12757618085288863" maxValue="0.87242381914711131"/>
    </cacheField>
    <cacheField name="PointsFor" numFmtId="0">
      <sharedItems containsSemiMixedTypes="0" containsString="0" containsNumber="1" containsInteger="1" minValue="41" maxValue="102"/>
    </cacheField>
    <cacheField name="PointsAgainst" numFmtId="0">
      <sharedItems containsSemiMixedTypes="0" containsString="0" containsNumber="1" containsInteger="1" minValue="41" maxValue="102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2" maxValue="32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1770405428865247" maxValue="0.7155220326216708"/>
    </cacheField>
    <cacheField name="POMult" numFmtId="166">
      <sharedItems containsSemiMixedTypes="0" containsString="0" containsNumber="1" minValue="1" maxValue="1.2"/>
    </cacheField>
    <cacheField name="K" numFmtId="2">
      <sharedItems containsSemiMixedTypes="0" containsString="0" containsNumber="1" minValue="71.5" maxValue="75.849999999999994"/>
    </cacheField>
    <cacheField name="Keff" numFmtId="165">
      <sharedItems containsSemiMixedTypes="0" containsString="0" containsNumber="1" minValue="71.8" maxValue="85.8"/>
    </cacheField>
    <cacheField name="RatingChange" numFmtId="165">
      <sharedItems containsSemiMixedTypes="0" containsString="0" containsNumber="1" minValue="-28.137737760829065" maxValue="28.137737760829065"/>
    </cacheField>
    <cacheField name="PostGmRate" numFmtId="165">
      <sharedItems containsSemiMixedTypes="0" containsString="0" containsNumber="1" minValue="1342.4400908767454" maxValue="1629.6625288469882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0"/>
    </cacheField>
    <cacheField name="R3L" numFmtId="1">
      <sharedItems containsSemiMixedTypes="0" containsString="0" containsNumber="1" containsInteger="1" minValue="0" maxValue="0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d v="1997-06-21T00:00:00"/>
    <n v="1997"/>
    <x v="0"/>
    <s v="R"/>
    <s v="RS"/>
    <x v="0"/>
    <s v="CLE"/>
    <s v="A"/>
    <n v="0"/>
    <n v="0"/>
    <n v="0"/>
    <n v="0"/>
    <n v="0"/>
    <n v="0"/>
    <n v="1500"/>
    <n v="1500"/>
    <n v="0.38141587791096926"/>
    <n v="76"/>
    <n v="56"/>
    <n v="0"/>
    <n v="20"/>
    <n v="1"/>
    <n v="0.57488735894217269"/>
    <n v="1"/>
    <n v="75.849999999999994"/>
    <n v="75.849999999999994"/>
    <n v="26.973488180746028"/>
    <n v="1526.973488180746"/>
    <n v="1"/>
    <n v="0"/>
    <n v="0"/>
    <n v="0"/>
    <n v="0"/>
    <n v="0"/>
    <n v="0"/>
    <n v="0"/>
    <n v="0"/>
    <n v="0"/>
  </r>
  <r>
    <d v="1997-06-21T00:00:00"/>
    <n v="1997"/>
    <x v="0"/>
    <s v="R"/>
    <s v="RS"/>
    <x v="1"/>
    <s v="HOU"/>
    <s v="H"/>
    <n v="0"/>
    <n v="0"/>
    <n v="0"/>
    <n v="0"/>
    <n v="0"/>
    <n v="0"/>
    <n v="1500"/>
    <n v="1500"/>
    <n v="0.61858412208903069"/>
    <n v="56"/>
    <n v="76"/>
    <n v="0"/>
    <n v="-20"/>
    <n v="0"/>
    <n v="0.57488735894217269"/>
    <n v="1"/>
    <n v="75.849999999999994"/>
    <n v="75.849999999999994"/>
    <n v="-26.973488180746028"/>
    <n v="1473.026511819254"/>
    <n v="0"/>
    <n v="1"/>
    <n v="0"/>
    <n v="0"/>
    <n v="0"/>
    <n v="0"/>
    <n v="0"/>
    <n v="0"/>
    <n v="0"/>
    <n v="0"/>
  </r>
  <r>
    <d v="1997-06-21T00:00:00"/>
    <n v="1997"/>
    <x v="0"/>
    <s v="R"/>
    <s v="RS"/>
    <x v="2"/>
    <s v="LAS"/>
    <s v="A"/>
    <n v="0"/>
    <n v="0"/>
    <n v="0"/>
    <n v="0"/>
    <n v="0"/>
    <n v="0"/>
    <n v="1500"/>
    <n v="1500"/>
    <n v="0.38141587791096926"/>
    <n v="67"/>
    <n v="57"/>
    <n v="0"/>
    <n v="10"/>
    <n v="1"/>
    <n v="0.42312969933228395"/>
    <n v="1"/>
    <n v="75.849999999999994"/>
    <n v="75.849999999999994"/>
    <n v="19.853078635896793"/>
    <n v="1519.8530786358967"/>
    <n v="1"/>
    <n v="0"/>
    <n v="0"/>
    <n v="0"/>
    <n v="0"/>
    <n v="0"/>
    <n v="0"/>
    <n v="0"/>
    <n v="0"/>
    <n v="0"/>
  </r>
  <r>
    <d v="1997-06-21T00:00:00"/>
    <n v="1997"/>
    <x v="0"/>
    <s v="R"/>
    <s v="RS"/>
    <x v="3"/>
    <s v="NYL"/>
    <s v="H"/>
    <n v="0"/>
    <n v="0"/>
    <n v="0"/>
    <n v="0"/>
    <n v="0"/>
    <n v="0"/>
    <n v="1500"/>
    <n v="1500"/>
    <n v="0.61858412208903069"/>
    <n v="57"/>
    <n v="67"/>
    <n v="0"/>
    <n v="-10"/>
    <n v="0"/>
    <n v="0.42312969933228395"/>
    <n v="1"/>
    <n v="75.849999999999994"/>
    <n v="75.849999999999994"/>
    <n v="-19.853078635896793"/>
    <n v="1480.1469213641033"/>
    <n v="0"/>
    <n v="1"/>
    <n v="0"/>
    <n v="0"/>
    <n v="0"/>
    <n v="0"/>
    <n v="0"/>
    <n v="0"/>
    <n v="0"/>
    <n v="0"/>
  </r>
  <r>
    <d v="1997-06-21T00:00:00"/>
    <n v="1997"/>
    <x v="0"/>
    <s v="R"/>
    <s v="RS"/>
    <x v="4"/>
    <s v="UTA"/>
    <s v="A"/>
    <n v="0"/>
    <n v="0"/>
    <n v="0"/>
    <n v="0"/>
    <n v="0"/>
    <n v="0"/>
    <n v="1500"/>
    <n v="1500"/>
    <n v="0.38141587791096926"/>
    <n v="70"/>
    <n v="60"/>
    <n v="0"/>
    <n v="10"/>
    <n v="1"/>
    <n v="0.42312969933228395"/>
    <n v="1"/>
    <n v="75.849999999999994"/>
    <n v="75.849999999999994"/>
    <n v="19.853078635896793"/>
    <n v="1519.8530786358967"/>
    <n v="1"/>
    <n v="0"/>
    <n v="0"/>
    <n v="0"/>
    <n v="0"/>
    <n v="0"/>
    <n v="0"/>
    <n v="0"/>
    <n v="0"/>
    <n v="0"/>
  </r>
  <r>
    <d v="1997-06-21T00:00:00"/>
    <n v="1997"/>
    <x v="0"/>
    <s v="R"/>
    <s v="RS"/>
    <x v="5"/>
    <s v="SAC"/>
    <s v="H"/>
    <n v="0"/>
    <n v="0"/>
    <n v="0"/>
    <n v="0"/>
    <n v="0"/>
    <n v="0"/>
    <n v="1500"/>
    <n v="1500"/>
    <n v="0.61858412208903069"/>
    <n v="60"/>
    <n v="70"/>
    <n v="0"/>
    <n v="-10"/>
    <n v="0"/>
    <n v="0.42312969933228395"/>
    <n v="1"/>
    <n v="75.849999999999994"/>
    <n v="75.849999999999994"/>
    <n v="-19.853078635896793"/>
    <n v="1480.1469213641033"/>
    <n v="0"/>
    <n v="1"/>
    <n v="0"/>
    <n v="0"/>
    <n v="0"/>
    <n v="0"/>
    <n v="0"/>
    <n v="0"/>
    <n v="0"/>
    <n v="0"/>
  </r>
  <r>
    <d v="1997-06-22T00:00:00"/>
    <n v="1997"/>
    <x v="0"/>
    <s v="R"/>
    <s v="RS"/>
    <x v="6"/>
    <s v="PHX"/>
    <s v="A"/>
    <n v="1"/>
    <n v="1"/>
    <n v="0"/>
    <n v="0"/>
    <n v="0"/>
    <n v="0"/>
    <n v="1500"/>
    <n v="1500"/>
    <n v="0.38141587791096926"/>
    <n v="59"/>
    <n v="76"/>
    <n v="0"/>
    <n v="-17"/>
    <n v="0"/>
    <n v="0.53244206908199732"/>
    <n v="1"/>
    <n v="75.849999999999994"/>
    <n v="75.849999999999994"/>
    <n v="-15.403759021506518"/>
    <n v="1484.5962409784934"/>
    <n v="0"/>
    <n v="1"/>
    <n v="0"/>
    <n v="0"/>
    <n v="0"/>
    <n v="0"/>
    <n v="0"/>
    <n v="0"/>
    <n v="0"/>
    <n v="0"/>
  </r>
  <r>
    <d v="1997-06-22T00:00:00"/>
    <n v="1997"/>
    <x v="0"/>
    <s v="R"/>
    <s v="RS"/>
    <x v="7"/>
    <s v="CHA"/>
    <s v="H"/>
    <n v="1"/>
    <n v="1"/>
    <n v="0"/>
    <n v="0"/>
    <n v="0"/>
    <n v="0"/>
    <n v="1500"/>
    <n v="1500"/>
    <n v="0.61858412208903069"/>
    <n v="76"/>
    <n v="59"/>
    <n v="0"/>
    <n v="17"/>
    <n v="1"/>
    <n v="0.53244206908199732"/>
    <n v="1"/>
    <n v="75.849999999999994"/>
    <n v="75.849999999999994"/>
    <n v="15.40375902150652"/>
    <n v="1515.4037590215066"/>
    <n v="1"/>
    <n v="0"/>
    <n v="0"/>
    <n v="0"/>
    <n v="0"/>
    <n v="0"/>
    <n v="0"/>
    <n v="0"/>
    <n v="0"/>
    <n v="0"/>
  </r>
  <r>
    <d v="1997-06-23T00:00:00"/>
    <n v="1997"/>
    <x v="1"/>
    <s v="R"/>
    <s v="RS"/>
    <x v="2"/>
    <s v="SAC"/>
    <s v="A"/>
    <n v="1"/>
    <n v="1"/>
    <n v="0"/>
    <n v="0"/>
    <n v="0"/>
    <n v="0"/>
    <n v="1519.8530786358967"/>
    <n v="1519.8530786358967"/>
    <n v="0.38141587791096926"/>
    <n v="73"/>
    <n v="62"/>
    <n v="0"/>
    <n v="11"/>
    <n v="1"/>
    <n v="0.43983597025763138"/>
    <n v="1"/>
    <n v="75.7"/>
    <n v="75.7"/>
    <n v="20.59611894764204"/>
    <n v="1540.4491975835388"/>
    <n v="1"/>
    <n v="0"/>
    <n v="0"/>
    <n v="0"/>
    <n v="0"/>
    <n v="0"/>
    <n v="0"/>
    <n v="0"/>
    <n v="0"/>
    <n v="0"/>
  </r>
  <r>
    <d v="1997-06-23T00:00:00"/>
    <n v="1997"/>
    <x v="1"/>
    <s v="R"/>
    <s v="RS"/>
    <x v="4"/>
    <s v="NYL"/>
    <s v="H"/>
    <n v="1"/>
    <n v="1"/>
    <n v="0"/>
    <n v="0"/>
    <n v="0"/>
    <n v="0"/>
    <n v="1519.8530786358967"/>
    <n v="1519.8530786358967"/>
    <n v="0.61858412208903069"/>
    <n v="62"/>
    <n v="73"/>
    <n v="0"/>
    <n v="-11"/>
    <n v="0"/>
    <n v="0.43983597025763138"/>
    <n v="1"/>
    <n v="75.7"/>
    <n v="75.7"/>
    <n v="-20.59611894764204"/>
    <n v="1499.2569596882547"/>
    <n v="0"/>
    <n v="1"/>
    <n v="0"/>
    <n v="0"/>
    <n v="0"/>
    <n v="0"/>
    <n v="0"/>
    <n v="0"/>
    <n v="0"/>
    <n v="0"/>
  </r>
  <r>
    <d v="1997-06-23T00:00:00"/>
    <n v="1997"/>
    <x v="1"/>
    <s v="R"/>
    <s v="RS"/>
    <x v="3"/>
    <s v="UTA"/>
    <s v="A"/>
    <n v="1"/>
    <n v="1"/>
    <n v="0"/>
    <n v="0"/>
    <n v="0"/>
    <n v="0"/>
    <n v="1480.1469213641033"/>
    <n v="1480.1469213641033"/>
    <n v="0.38141587791096926"/>
    <n v="89"/>
    <n v="102"/>
    <n v="0"/>
    <n v="-13"/>
    <n v="0"/>
    <n v="0.47204375564745088"/>
    <n v="1"/>
    <n v="75.7"/>
    <n v="75.7"/>
    <n v="-13.62940524888063"/>
    <n v="1466.5175161152226"/>
    <n v="0"/>
    <n v="1"/>
    <n v="0"/>
    <n v="0"/>
    <n v="0"/>
    <n v="0"/>
    <n v="0"/>
    <n v="0"/>
    <n v="0"/>
    <n v="0"/>
  </r>
  <r>
    <d v="1997-06-23T00:00:00"/>
    <n v="1997"/>
    <x v="1"/>
    <s v="R"/>
    <s v="RS"/>
    <x v="5"/>
    <s v="LAS"/>
    <s v="H"/>
    <n v="1"/>
    <n v="1"/>
    <n v="0"/>
    <n v="0"/>
    <n v="0"/>
    <n v="0"/>
    <n v="1480.1469213641033"/>
    <n v="1480.1469213641033"/>
    <n v="0.61858412208903069"/>
    <n v="102"/>
    <n v="89"/>
    <n v="0"/>
    <n v="13"/>
    <n v="1"/>
    <n v="0.47204375564745088"/>
    <n v="1"/>
    <n v="75.7"/>
    <n v="75.7"/>
    <n v="13.629405248880632"/>
    <n v="1493.7763266129839"/>
    <n v="1"/>
    <n v="0"/>
    <n v="0"/>
    <n v="0"/>
    <n v="0"/>
    <n v="0"/>
    <n v="0"/>
    <n v="0"/>
    <n v="0"/>
    <n v="0"/>
  </r>
  <r>
    <d v="1997-06-24T00:00:00"/>
    <n v="1997"/>
    <x v="1"/>
    <s v="R"/>
    <s v="RS"/>
    <x v="7"/>
    <s v="HOU"/>
    <s v="A"/>
    <n v="1"/>
    <n v="2"/>
    <n v="-1"/>
    <n v="1"/>
    <n v="-8"/>
    <n v="8"/>
    <n v="1515.4037590215066"/>
    <n v="1526.973488180746"/>
    <n v="0.34473878146663883"/>
    <n v="55"/>
    <n v="70"/>
    <n v="0"/>
    <n v="-15"/>
    <n v="0"/>
    <n v="0.49804614553489529"/>
    <n v="1"/>
    <n v="75.7"/>
    <n v="75.7"/>
    <n v="-12.997373674367307"/>
    <n v="1502.4063853471393"/>
    <n v="0"/>
    <n v="1"/>
    <n v="0"/>
    <n v="0"/>
    <n v="0"/>
    <n v="0"/>
    <n v="0"/>
    <n v="0"/>
    <n v="0"/>
    <n v="0"/>
  </r>
  <r>
    <d v="1997-06-24T00:00:00"/>
    <n v="1997"/>
    <x v="1"/>
    <s v="R"/>
    <s v="RS"/>
    <x v="0"/>
    <s v="PHX"/>
    <s v="H"/>
    <n v="2"/>
    <n v="1"/>
    <n v="1"/>
    <n v="-1"/>
    <n v="8"/>
    <n v="-8"/>
    <n v="1526.973488180746"/>
    <n v="1515.4037590215066"/>
    <n v="0.65526121853336128"/>
    <n v="70"/>
    <n v="55"/>
    <n v="0"/>
    <n v="15"/>
    <n v="1"/>
    <n v="0.49804614553489529"/>
    <n v="1"/>
    <n v="75.7"/>
    <n v="75.7"/>
    <n v="12.997373674367301"/>
    <n v="1539.9708618551133"/>
    <n v="1"/>
    <n v="0"/>
    <n v="0"/>
    <n v="0"/>
    <n v="0"/>
    <n v="0"/>
    <n v="0"/>
    <n v="0"/>
    <n v="0"/>
    <n v="0"/>
  </r>
  <r>
    <d v="1997-06-25T00:00:00"/>
    <n v="1997"/>
    <x v="1"/>
    <s v="R"/>
    <s v="RS"/>
    <x v="6"/>
    <s v="LAS"/>
    <s v="A"/>
    <n v="2"/>
    <n v="1"/>
    <n v="1"/>
    <n v="-1"/>
    <n v="8"/>
    <n v="-8"/>
    <n v="1484.5962409784934"/>
    <n v="1466.5175161152226"/>
    <n v="0.42864786600608462"/>
    <n v="54"/>
    <n v="74"/>
    <n v="0"/>
    <n v="-20"/>
    <n v="0"/>
    <n v="0.56635488055835181"/>
    <n v="1"/>
    <n v="75.7"/>
    <n v="75.7"/>
    <n v="-18.377447589177564"/>
    <n v="1466.2187933893158"/>
    <n v="0"/>
    <n v="1"/>
    <n v="0"/>
    <n v="0"/>
    <n v="0"/>
    <n v="0"/>
    <n v="0"/>
    <n v="0"/>
    <n v="0"/>
    <n v="0"/>
  </r>
  <r>
    <d v="1997-06-25T00:00:00"/>
    <n v="1997"/>
    <x v="2"/>
    <s v="R"/>
    <s v="RS"/>
    <x v="3"/>
    <s v="CHA"/>
    <s v="H"/>
    <n v="1"/>
    <n v="2"/>
    <n v="-1"/>
    <n v="1"/>
    <n v="-8"/>
    <n v="8"/>
    <n v="1466.5175161152226"/>
    <n v="1484.5962409784934"/>
    <n v="0.57135213399391527"/>
    <n v="74"/>
    <n v="54"/>
    <n v="0"/>
    <n v="20"/>
    <n v="1"/>
    <n v="0.56635488055835181"/>
    <n v="1"/>
    <n v="75.55"/>
    <n v="75.55"/>
    <n v="18.341032567534544"/>
    <n v="1484.8585486827571"/>
    <n v="1"/>
    <n v="0"/>
    <n v="0"/>
    <n v="0"/>
    <n v="0"/>
    <n v="0"/>
    <n v="0"/>
    <n v="0"/>
    <n v="0"/>
    <n v="0"/>
  </r>
  <r>
    <d v="1997-06-26T00:00:00"/>
    <n v="1997"/>
    <x v="2"/>
    <s v="R"/>
    <s v="RS"/>
    <x v="5"/>
    <s v="CLE"/>
    <s v="A"/>
    <n v="2"/>
    <n v="4"/>
    <n v="-2"/>
    <n v="2"/>
    <n v="-16"/>
    <n v="16"/>
    <n v="1493.7763266129839"/>
    <n v="1473.026511819254"/>
    <n v="0.36625795057226973"/>
    <n v="63"/>
    <n v="74"/>
    <n v="0"/>
    <n v="-11"/>
    <n v="0"/>
    <n v="0.43235981518321226"/>
    <n v="1"/>
    <n v="75.55"/>
    <n v="75.55"/>
    <n v="-11.963736857310991"/>
    <n v="1481.8125897556729"/>
    <n v="0"/>
    <n v="1"/>
    <n v="0"/>
    <n v="0"/>
    <n v="0"/>
    <n v="0"/>
    <n v="0"/>
    <n v="0"/>
    <n v="0"/>
    <n v="0"/>
  </r>
  <r>
    <d v="1997-06-26T00:00:00"/>
    <n v="1997"/>
    <x v="1"/>
    <s v="R"/>
    <s v="RS"/>
    <x v="1"/>
    <s v="UTA"/>
    <s v="H"/>
    <n v="4"/>
    <n v="2"/>
    <n v="2"/>
    <n v="-2"/>
    <n v="16"/>
    <n v="-16"/>
    <n v="1473.026511819254"/>
    <n v="1493.7763266129839"/>
    <n v="0.63374204942773027"/>
    <n v="74"/>
    <n v="63"/>
    <n v="0"/>
    <n v="11"/>
    <n v="1"/>
    <n v="0.43235981518321226"/>
    <n v="1"/>
    <n v="75.7"/>
    <n v="75.7"/>
    <n v="11.987490140283814"/>
    <n v="1485.0140019595378"/>
    <n v="1"/>
    <n v="0"/>
    <n v="0"/>
    <n v="0"/>
    <n v="0"/>
    <n v="0"/>
    <n v="0"/>
    <n v="0"/>
    <n v="0"/>
    <n v="0"/>
  </r>
  <r>
    <d v="1997-06-26T00:00:00"/>
    <n v="1997"/>
    <x v="2"/>
    <s v="R"/>
    <s v="RS"/>
    <x v="2"/>
    <s v="HOU"/>
    <s v="A"/>
    <n v="2"/>
    <n v="1"/>
    <n v="1"/>
    <n v="-1"/>
    <n v="8"/>
    <n v="-8"/>
    <n v="1540.4491975835388"/>
    <n v="1539.9708618551133"/>
    <n v="0.40403367291204068"/>
    <n v="62"/>
    <n v="60"/>
    <n v="1"/>
    <n v="2"/>
    <n v="1"/>
    <n v="0.24096113846062972"/>
    <n v="1"/>
    <n v="75.55"/>
    <n v="75.55"/>
    <n v="10.849336948011226"/>
    <n v="1551.2985345315499"/>
    <n v="1"/>
    <n v="0"/>
    <n v="0"/>
    <n v="0"/>
    <n v="0"/>
    <n v="0"/>
    <n v="0"/>
    <n v="0"/>
    <n v="0"/>
    <n v="0"/>
  </r>
  <r>
    <d v="1997-06-26T00:00:00"/>
    <n v="1997"/>
    <x v="2"/>
    <s v="R"/>
    <s v="RS"/>
    <x v="0"/>
    <s v="NYL"/>
    <s v="H"/>
    <n v="1"/>
    <n v="2"/>
    <n v="-1"/>
    <n v="1"/>
    <n v="-8"/>
    <n v="8"/>
    <n v="1539.9708618551133"/>
    <n v="1540.4491975835388"/>
    <n v="0.59596632708795927"/>
    <n v="60"/>
    <n v="62"/>
    <n v="1"/>
    <n v="-2"/>
    <n v="0"/>
    <n v="0.24096113846062972"/>
    <n v="1"/>
    <n v="75.55"/>
    <n v="75.55"/>
    <n v="-10.849336948011224"/>
    <n v="1529.1215249071022"/>
    <n v="0"/>
    <n v="1"/>
    <n v="0"/>
    <n v="0"/>
    <n v="0"/>
    <n v="0"/>
    <n v="0"/>
    <n v="0"/>
    <n v="0"/>
    <n v="0"/>
  </r>
  <r>
    <d v="1997-06-26T00:00:00"/>
    <n v="1997"/>
    <x v="2"/>
    <s v="R"/>
    <s v="RS"/>
    <x v="6"/>
    <s v="SAC"/>
    <s v="A"/>
    <n v="0"/>
    <n v="2"/>
    <n v="-2"/>
    <n v="2"/>
    <n v="-16"/>
    <n v="16"/>
    <n v="1466.2187933893158"/>
    <n v="1499.2569596882547"/>
    <n v="0.29777145520236709"/>
    <n v="70"/>
    <n v="78"/>
    <n v="0"/>
    <n v="-8"/>
    <n v="0"/>
    <n v="0.37791096394224211"/>
    <n v="1"/>
    <n v="75.55"/>
    <n v="75.55"/>
    <n v="-8.5017244289693092"/>
    <n v="1457.7170689603465"/>
    <n v="0"/>
    <n v="1"/>
    <n v="0"/>
    <n v="0"/>
    <n v="0"/>
    <n v="0"/>
    <n v="0"/>
    <n v="0"/>
    <n v="0"/>
    <n v="0"/>
  </r>
  <r>
    <d v="1997-06-26T00:00:00"/>
    <n v="1997"/>
    <x v="2"/>
    <s v="R"/>
    <s v="RS"/>
    <x v="4"/>
    <s v="CHA"/>
    <s v="H"/>
    <n v="2"/>
    <n v="0"/>
    <n v="2"/>
    <n v="-2"/>
    <n v="16"/>
    <n v="-16"/>
    <n v="1499.2569596882547"/>
    <n v="1466.2187933893158"/>
    <n v="0.70222854479763286"/>
    <n v="78"/>
    <n v="70"/>
    <n v="0"/>
    <n v="8"/>
    <n v="1"/>
    <n v="0.37791096394224211"/>
    <n v="1"/>
    <n v="75.55"/>
    <n v="75.55"/>
    <n v="8.501724428969311"/>
    <n v="1507.758684117224"/>
    <n v="1"/>
    <n v="0"/>
    <n v="0"/>
    <n v="0"/>
    <n v="0"/>
    <n v="0"/>
    <n v="0"/>
    <n v="0"/>
    <n v="0"/>
    <n v="0"/>
  </r>
  <r>
    <d v="1997-06-27T00:00:00"/>
    <n v="1997"/>
    <x v="3"/>
    <s v="R"/>
    <s v="RS"/>
    <x v="4"/>
    <s v="LAS"/>
    <s v="A"/>
    <n v="0"/>
    <n v="1"/>
    <n v="-1"/>
    <n v="1"/>
    <n v="-8"/>
    <n v="8"/>
    <n v="1507.758684117224"/>
    <n v="1484.8585486827571"/>
    <n v="0.39083052259340312"/>
    <n v="73"/>
    <n v="93"/>
    <n v="0"/>
    <n v="-20"/>
    <n v="0"/>
    <n v="0.56412196772348466"/>
    <n v="1"/>
    <n v="75.400000000000006"/>
    <n v="75.400000000000006"/>
    <n v="-16.623896692264847"/>
    <n v="1491.1347874249591"/>
    <n v="0"/>
    <n v="1"/>
    <n v="0"/>
    <n v="0"/>
    <n v="0"/>
    <n v="0"/>
    <n v="0"/>
    <n v="0"/>
    <n v="0"/>
    <n v="0"/>
  </r>
  <r>
    <d v="1997-06-27T00:00:00"/>
    <n v="1997"/>
    <x v="3"/>
    <s v="R"/>
    <s v="RS"/>
    <x v="3"/>
    <s v="SAC"/>
    <s v="H"/>
    <n v="1"/>
    <n v="0"/>
    <n v="1"/>
    <n v="-1"/>
    <n v="8"/>
    <n v="-8"/>
    <n v="1484.8585486827571"/>
    <n v="1507.758684117224"/>
    <n v="0.60916947740659688"/>
    <n v="93"/>
    <n v="73"/>
    <n v="0"/>
    <n v="20"/>
    <n v="1"/>
    <n v="0.56412196772348466"/>
    <n v="1"/>
    <n v="75.400000000000006"/>
    <n v="75.400000000000006"/>
    <n v="16.623896692264847"/>
    <n v="1501.4824453750221"/>
    <n v="1"/>
    <n v="0"/>
    <n v="0"/>
    <n v="0"/>
    <n v="0"/>
    <n v="0"/>
    <n v="0"/>
    <n v="0"/>
    <n v="0"/>
    <n v="0"/>
  </r>
  <r>
    <d v="1997-06-28T00:00:00"/>
    <n v="1997"/>
    <x v="2"/>
    <s v="R"/>
    <s v="RS"/>
    <x v="7"/>
    <s v="CLE"/>
    <s v="A"/>
    <n v="3"/>
    <n v="1"/>
    <n v="2"/>
    <n v="-2"/>
    <n v="16"/>
    <n v="-16"/>
    <n v="1502.4063853471393"/>
    <n v="1485.0140019595378"/>
    <n v="0.45035970301619349"/>
    <n v="68"/>
    <n v="63"/>
    <n v="0"/>
    <n v="5"/>
    <n v="1"/>
    <n v="0.32701631453097835"/>
    <n v="1"/>
    <n v="75.55"/>
    <n v="75.55"/>
    <n v="13.579458557132309"/>
    <n v="1515.9858439042716"/>
    <n v="1"/>
    <n v="0"/>
    <n v="0"/>
    <n v="0"/>
    <n v="0"/>
    <n v="0"/>
    <n v="0"/>
    <n v="0"/>
    <n v="0"/>
    <n v="0"/>
  </r>
  <r>
    <d v="1997-06-28T00:00:00"/>
    <n v="1997"/>
    <x v="2"/>
    <s v="R"/>
    <s v="RS"/>
    <x v="1"/>
    <s v="PHX"/>
    <s v="H"/>
    <n v="1"/>
    <n v="3"/>
    <n v="-2"/>
    <n v="2"/>
    <n v="-16"/>
    <n v="16"/>
    <n v="1485.0140019595378"/>
    <n v="1502.4063853471393"/>
    <n v="0.54964029698380656"/>
    <n v="63"/>
    <n v="68"/>
    <n v="0"/>
    <n v="-5"/>
    <n v="0"/>
    <n v="0.32701631453097835"/>
    <n v="1"/>
    <n v="75.55"/>
    <n v="75.55"/>
    <n v="-13.579458557132309"/>
    <n v="1471.4345434024056"/>
    <n v="0"/>
    <n v="1"/>
    <n v="0"/>
    <n v="0"/>
    <n v="0"/>
    <n v="0"/>
    <n v="0"/>
    <n v="0"/>
    <n v="0"/>
    <n v="0"/>
  </r>
  <r>
    <d v="1997-06-28T00:00:00"/>
    <n v="1997"/>
    <x v="3"/>
    <s v="R"/>
    <s v="RS"/>
    <x v="0"/>
    <s v="UTA"/>
    <s v="A"/>
    <n v="1"/>
    <n v="1"/>
    <n v="0"/>
    <n v="0"/>
    <n v="0"/>
    <n v="0"/>
    <n v="1529.1215249071022"/>
    <n v="1481.8125897556729"/>
    <n v="0.44739273531398055"/>
    <n v="76"/>
    <n v="58"/>
    <n v="0"/>
    <n v="18"/>
    <n v="1"/>
    <n v="0.5260931755226459"/>
    <n v="1"/>
    <n v="75.400000000000006"/>
    <n v="75.400000000000006"/>
    <n v="21.920507466444565"/>
    <n v="1551.0420323735468"/>
    <n v="1"/>
    <n v="0"/>
    <n v="0"/>
    <n v="0"/>
    <n v="0"/>
    <n v="0"/>
    <n v="0"/>
    <n v="0"/>
    <n v="0"/>
    <n v="0"/>
  </r>
  <r>
    <d v="1997-06-28T00:00:00"/>
    <n v="1997"/>
    <x v="3"/>
    <s v="R"/>
    <s v="RS"/>
    <x v="5"/>
    <s v="HOU"/>
    <s v="H"/>
    <n v="1"/>
    <n v="1"/>
    <n v="0"/>
    <n v="0"/>
    <n v="0"/>
    <n v="0"/>
    <n v="1481.8125897556729"/>
    <n v="1529.1215249071022"/>
    <n v="0.55260726468601939"/>
    <n v="58"/>
    <n v="76"/>
    <n v="0"/>
    <n v="-18"/>
    <n v="0"/>
    <n v="0.5260931755226459"/>
    <n v="1"/>
    <n v="75.400000000000006"/>
    <n v="75.400000000000006"/>
    <n v="-21.920507466444565"/>
    <n v="1459.8920822892283"/>
    <n v="0"/>
    <n v="1"/>
    <n v="0"/>
    <n v="0"/>
    <n v="0"/>
    <n v="0"/>
    <n v="0"/>
    <n v="0"/>
    <n v="0"/>
    <n v="0"/>
  </r>
  <r>
    <d v="1997-06-29T00:00:00"/>
    <n v="1997"/>
    <x v="3"/>
    <s v="R"/>
    <s v="RS"/>
    <x v="1"/>
    <s v="CHA"/>
    <s v="A"/>
    <n v="0"/>
    <n v="2"/>
    <n v="-2"/>
    <n v="2"/>
    <n v="-16"/>
    <n v="16"/>
    <n v="1471.4345434024056"/>
    <n v="1457.7170689603465"/>
    <n v="0.35691355480854015"/>
    <n v="44"/>
    <n v="67"/>
    <n v="0"/>
    <n v="-23"/>
    <n v="0"/>
    <n v="0.6083832017115548"/>
    <n v="1"/>
    <n v="75.400000000000006"/>
    <n v="75.400000000000006"/>
    <n v="-16.372371925133884"/>
    <n v="1455.0621714772717"/>
    <n v="0"/>
    <n v="1"/>
    <n v="0"/>
    <n v="0"/>
    <n v="0"/>
    <n v="0"/>
    <n v="0"/>
    <n v="0"/>
    <n v="0"/>
    <n v="0"/>
  </r>
  <r>
    <d v="1997-06-29T00:00:00"/>
    <n v="1997"/>
    <x v="3"/>
    <s v="R"/>
    <s v="RS"/>
    <x v="6"/>
    <s v="CLE"/>
    <s v="H"/>
    <n v="2"/>
    <n v="0"/>
    <n v="2"/>
    <n v="-2"/>
    <n v="16"/>
    <n v="-16"/>
    <n v="1457.7170689603465"/>
    <n v="1471.4345434024056"/>
    <n v="0.64308644519145985"/>
    <n v="67"/>
    <n v="44"/>
    <n v="0"/>
    <n v="23"/>
    <n v="1"/>
    <n v="0.6083832017115548"/>
    <n v="1"/>
    <n v="75.400000000000006"/>
    <n v="75.400000000000006"/>
    <n v="16.372371925133884"/>
    <n v="1474.0894408854804"/>
    <n v="1"/>
    <n v="0"/>
    <n v="0"/>
    <n v="0"/>
    <n v="0"/>
    <n v="0"/>
    <n v="0"/>
    <n v="0"/>
    <n v="0"/>
    <n v="0"/>
  </r>
  <r>
    <d v="1997-06-29T00:00:00"/>
    <n v="1997"/>
    <x v="3"/>
    <s v="R"/>
    <s v="RS"/>
    <x v="7"/>
    <s v="NYL"/>
    <s v="A"/>
    <n v="0"/>
    <n v="2"/>
    <n v="-2"/>
    <n v="2"/>
    <n v="-16"/>
    <n v="16"/>
    <n v="1515.9858439042716"/>
    <n v="1551.2985345315499"/>
    <n v="0.29504088577327819"/>
    <n v="57"/>
    <n v="65"/>
    <n v="0"/>
    <n v="-8"/>
    <n v="0"/>
    <n v="0.37721513390021738"/>
    <n v="1"/>
    <n v="75.400000000000006"/>
    <n v="75.400000000000006"/>
    <n v="-8.3915590973686438"/>
    <n v="1507.594284806903"/>
    <n v="0"/>
    <n v="1"/>
    <n v="0"/>
    <n v="0"/>
    <n v="0"/>
    <n v="0"/>
    <n v="0"/>
    <n v="0"/>
    <n v="0"/>
    <n v="0"/>
  </r>
  <r>
    <d v="1997-06-29T00:00:00"/>
    <n v="1997"/>
    <x v="3"/>
    <s v="R"/>
    <s v="RS"/>
    <x v="2"/>
    <s v="PHX"/>
    <s v="H"/>
    <n v="2"/>
    <n v="0"/>
    <n v="2"/>
    <n v="-2"/>
    <n v="16"/>
    <n v="-16"/>
    <n v="1551.2985345315499"/>
    <n v="1515.9858439042716"/>
    <n v="0.70495911422672175"/>
    <n v="65"/>
    <n v="57"/>
    <n v="0"/>
    <n v="8"/>
    <n v="1"/>
    <n v="0.37721513390021738"/>
    <n v="1"/>
    <n v="75.400000000000006"/>
    <n v="75.400000000000006"/>
    <n v="8.3915590973686456"/>
    <n v="1559.6900936289185"/>
    <n v="1"/>
    <n v="0"/>
    <n v="0"/>
    <n v="0"/>
    <n v="0"/>
    <n v="0"/>
    <n v="0"/>
    <n v="0"/>
    <n v="0"/>
    <n v="0"/>
  </r>
  <r>
    <d v="1997-06-30T00:00:00"/>
    <n v="1997"/>
    <x v="4"/>
    <s v="R"/>
    <s v="RS"/>
    <x v="3"/>
    <s v="HOU"/>
    <s v="A"/>
    <n v="2"/>
    <n v="1"/>
    <n v="1"/>
    <n v="-1"/>
    <n v="8"/>
    <n v="-8"/>
    <n v="1501.4824453750221"/>
    <n v="1551.0420323735468"/>
    <n v="0.33699210811176483"/>
    <n v="66"/>
    <n v="71"/>
    <n v="1"/>
    <n v="-5"/>
    <n v="0"/>
    <n v="0.28673818937981593"/>
    <n v="1"/>
    <n v="75.25"/>
    <n v="75.25"/>
    <n v="-7.2712951453729113"/>
    <n v="1494.2111502296491"/>
    <n v="0"/>
    <n v="1"/>
    <n v="0"/>
    <n v="0"/>
    <n v="0"/>
    <n v="0"/>
    <n v="0"/>
    <n v="0"/>
    <n v="0"/>
    <n v="0"/>
  </r>
  <r>
    <d v="1997-06-30T00:00:00"/>
    <n v="1997"/>
    <x v="4"/>
    <s v="R"/>
    <s v="RS"/>
    <x v="0"/>
    <s v="LAS"/>
    <s v="H"/>
    <n v="1"/>
    <n v="2"/>
    <n v="-1"/>
    <n v="1"/>
    <n v="-8"/>
    <n v="8"/>
    <n v="1551.0420323735468"/>
    <n v="1501.4824453750221"/>
    <n v="0.66300789188823517"/>
    <n v="71"/>
    <n v="66"/>
    <n v="1"/>
    <n v="5"/>
    <n v="1"/>
    <n v="0.28673818937981593"/>
    <n v="1"/>
    <n v="75.25"/>
    <n v="75.25"/>
    <n v="7.2712951453729113"/>
    <n v="1558.3133275189198"/>
    <n v="1"/>
    <n v="0"/>
    <n v="0"/>
    <n v="0"/>
    <n v="0"/>
    <n v="0"/>
    <n v="0"/>
    <n v="0"/>
    <n v="0"/>
    <n v="0"/>
  </r>
  <r>
    <d v="1997-07-02T00:00:00"/>
    <n v="1997"/>
    <x v="5"/>
    <s v="R"/>
    <s v="RS"/>
    <x v="0"/>
    <s v="NYL"/>
    <s v="A"/>
    <n v="1"/>
    <n v="2"/>
    <n v="-1"/>
    <n v="1"/>
    <n v="-8"/>
    <n v="8"/>
    <n v="1558.3133275189198"/>
    <n v="1559.6900936289185"/>
    <n v="0.35811118878652071"/>
    <n v="67"/>
    <n v="72"/>
    <n v="0"/>
    <n v="-5"/>
    <n v="0"/>
    <n v="0.33137578633433168"/>
    <n v="1"/>
    <n v="75.099999999999994"/>
    <n v="75.099999999999994"/>
    <n v="-8.9120701961220945"/>
    <n v="1549.4012573227976"/>
    <n v="0"/>
    <n v="1"/>
    <n v="0"/>
    <n v="0"/>
    <n v="0"/>
    <n v="0"/>
    <n v="0"/>
    <n v="0"/>
    <n v="0"/>
    <n v="0"/>
  </r>
  <r>
    <d v="1997-07-02T00:00:00"/>
    <n v="1997"/>
    <x v="4"/>
    <s v="R"/>
    <s v="RS"/>
    <x v="2"/>
    <s v="HOU"/>
    <s v="H"/>
    <n v="2"/>
    <n v="1"/>
    <n v="1"/>
    <n v="-1"/>
    <n v="8"/>
    <n v="-8"/>
    <n v="1559.6900936289185"/>
    <n v="1558.3133275189198"/>
    <n v="0.64188881121347929"/>
    <n v="72"/>
    <n v="67"/>
    <n v="0"/>
    <n v="5"/>
    <n v="1"/>
    <n v="0.33137578633433168"/>
    <n v="1"/>
    <n v="75.25"/>
    <n v="75.25"/>
    <n v="8.9298706026389834"/>
    <n v="1568.6199642315576"/>
    <n v="1"/>
    <n v="0"/>
    <n v="0"/>
    <n v="0"/>
    <n v="0"/>
    <n v="0"/>
    <n v="0"/>
    <n v="0"/>
    <n v="0"/>
    <n v="0"/>
  </r>
  <r>
    <d v="1997-07-02T00:00:00"/>
    <n v="1997"/>
    <x v="4"/>
    <s v="R"/>
    <s v="RS"/>
    <x v="5"/>
    <s v="SAC"/>
    <s v="A"/>
    <n v="3"/>
    <n v="4"/>
    <n v="-1"/>
    <n v="1"/>
    <n v="-8"/>
    <n v="8"/>
    <n v="1459.8920822892283"/>
    <n v="1491.1347874249591"/>
    <n v="0.31962542234270624"/>
    <n v="73"/>
    <n v="68"/>
    <n v="1"/>
    <n v="5"/>
    <n v="1"/>
    <n v="0.29100391986375207"/>
    <n v="1"/>
    <n v="75.25"/>
    <n v="75.25"/>
    <n v="14.898873097812276"/>
    <n v="1474.7909553870406"/>
    <n v="1"/>
    <n v="0"/>
    <n v="0"/>
    <n v="0"/>
    <n v="0"/>
    <n v="0"/>
    <n v="0"/>
    <n v="0"/>
    <n v="0"/>
    <n v="0"/>
  </r>
  <r>
    <d v="1997-07-02T00:00:00"/>
    <n v="1997"/>
    <x v="4"/>
    <s v="R"/>
    <s v="RS"/>
    <x v="4"/>
    <s v="UTA"/>
    <s v="H"/>
    <n v="4"/>
    <n v="3"/>
    <n v="1"/>
    <n v="-1"/>
    <n v="8"/>
    <n v="-8"/>
    <n v="1491.1347874249591"/>
    <n v="1459.8920822892283"/>
    <n v="0.6803745776572937"/>
    <n v="68"/>
    <n v="73"/>
    <n v="1"/>
    <n v="-5"/>
    <n v="0"/>
    <n v="0.29100391986375207"/>
    <n v="1"/>
    <n v="75.25"/>
    <n v="75.25"/>
    <n v="-14.898873097812272"/>
    <n v="1476.2359143271467"/>
    <n v="0"/>
    <n v="1"/>
    <n v="0"/>
    <n v="0"/>
    <n v="0"/>
    <n v="0"/>
    <n v="0"/>
    <n v="0"/>
    <n v="0"/>
    <n v="0"/>
  </r>
  <r>
    <d v="1997-07-03T00:00:00"/>
    <n v="1997"/>
    <x v="5"/>
    <s v="R"/>
    <s v="RS"/>
    <x v="3"/>
    <s v="CLE"/>
    <s v="A"/>
    <n v="2"/>
    <n v="3"/>
    <n v="-1"/>
    <n v="1"/>
    <n v="-8"/>
    <n v="8"/>
    <n v="1494.2111502296491"/>
    <n v="1455.0621714772717"/>
    <n v="0.41331291431446304"/>
    <n v="74"/>
    <n v="62"/>
    <n v="0"/>
    <n v="12"/>
    <n v="1"/>
    <n v="0.44171874494295849"/>
    <n v="1"/>
    <n v="75.099999999999994"/>
    <n v="75.099999999999994"/>
    <n v="19.462216305560627"/>
    <n v="1513.6733665352097"/>
    <n v="1"/>
    <n v="0"/>
    <n v="0"/>
    <n v="0"/>
    <n v="0"/>
    <n v="0"/>
    <n v="0"/>
    <n v="0"/>
    <n v="0"/>
    <n v="0"/>
  </r>
  <r>
    <d v="1997-07-03T00:00:00"/>
    <n v="1997"/>
    <x v="4"/>
    <s v="R"/>
    <s v="RS"/>
    <x v="1"/>
    <s v="LAS"/>
    <s v="H"/>
    <n v="3"/>
    <n v="2"/>
    <n v="1"/>
    <n v="-1"/>
    <n v="8"/>
    <n v="-8"/>
    <n v="1455.0621714772717"/>
    <n v="1494.2111502296491"/>
    <n v="0.58668708568553696"/>
    <n v="62"/>
    <n v="74"/>
    <n v="0"/>
    <n v="-12"/>
    <n v="0"/>
    <n v="0.44171874494295849"/>
    <n v="1"/>
    <n v="75.25"/>
    <n v="75.25"/>
    <n v="-19.501088908035115"/>
    <n v="1435.5610825692365"/>
    <n v="0"/>
    <n v="1"/>
    <n v="0"/>
    <n v="0"/>
    <n v="0"/>
    <n v="0"/>
    <n v="0"/>
    <n v="0"/>
    <n v="0"/>
    <n v="0"/>
  </r>
  <r>
    <d v="1997-07-03T00:00:00"/>
    <n v="1997"/>
    <x v="4"/>
    <s v="R"/>
    <s v="RS"/>
    <x v="7"/>
    <s v="UTA"/>
    <s v="A"/>
    <n v="3"/>
    <n v="0"/>
    <n v="3"/>
    <n v="-3"/>
    <n v="16"/>
    <n v="-16"/>
    <n v="1507.594284806903"/>
    <n v="1474.7909553870406"/>
    <n v="0.47240184878424191"/>
    <n v="77"/>
    <n v="55"/>
    <n v="0"/>
    <n v="22"/>
    <n v="1"/>
    <n v="0.58603622195292837"/>
    <n v="1"/>
    <n v="75.25"/>
    <n v="75.25"/>
    <n v="23.266669950399415"/>
    <n v="1530.8609547573024"/>
    <n v="1"/>
    <n v="0"/>
    <n v="0"/>
    <n v="0"/>
    <n v="0"/>
    <n v="0"/>
    <n v="0"/>
    <n v="0"/>
    <n v="0"/>
    <n v="0"/>
  </r>
  <r>
    <d v="1997-07-03T00:00:00"/>
    <n v="1997"/>
    <x v="5"/>
    <s v="R"/>
    <s v="RS"/>
    <x v="5"/>
    <s v="PHX"/>
    <s v="H"/>
    <n v="0"/>
    <n v="3"/>
    <n v="-3"/>
    <n v="3"/>
    <n v="-16"/>
    <n v="16"/>
    <n v="1474.7909553870406"/>
    <n v="1507.594284806903"/>
    <n v="0.52759815121575804"/>
    <n v="55"/>
    <n v="77"/>
    <n v="0"/>
    <n v="-22"/>
    <n v="0"/>
    <n v="0.58603622195292837"/>
    <n v="1"/>
    <n v="75.099999999999994"/>
    <n v="75.099999999999994"/>
    <n v="-23.220291206312229"/>
    <n v="1451.5706641807285"/>
    <n v="0"/>
    <n v="1"/>
    <n v="0"/>
    <n v="0"/>
    <n v="0"/>
    <n v="0"/>
    <n v="0"/>
    <n v="0"/>
    <n v="0"/>
    <n v="0"/>
  </r>
  <r>
    <d v="1997-07-04T00:00:00"/>
    <n v="1997"/>
    <x v="5"/>
    <s v="R"/>
    <s v="RS"/>
    <x v="2"/>
    <s v="HOU"/>
    <s v="A"/>
    <n v="1"/>
    <n v="1"/>
    <n v="0"/>
    <n v="0"/>
    <n v="0"/>
    <n v="0"/>
    <n v="1568.6199642315576"/>
    <n v="1549.4012573227976"/>
    <n v="0.40783778504114382"/>
    <n v="65"/>
    <n v="58"/>
    <n v="0"/>
    <n v="7"/>
    <n v="1"/>
    <n v="0.36427312381930199"/>
    <n v="1"/>
    <n v="75.099999999999994"/>
    <n v="75.099999999999994"/>
    <n v="16.199729366796543"/>
    <n v="1584.8196935983542"/>
    <n v="1"/>
    <n v="0"/>
    <n v="0"/>
    <n v="0"/>
    <n v="0"/>
    <n v="0"/>
    <n v="0"/>
    <n v="0"/>
    <n v="0"/>
    <n v="0"/>
  </r>
  <r>
    <d v="1997-07-04T00:00:00"/>
    <n v="1997"/>
    <x v="6"/>
    <s v="R"/>
    <s v="RS"/>
    <x v="0"/>
    <s v="NYL"/>
    <s v="H"/>
    <n v="1"/>
    <n v="1"/>
    <n v="0"/>
    <n v="0"/>
    <n v="0"/>
    <n v="0"/>
    <n v="1549.4012573227976"/>
    <n v="1568.6199642315576"/>
    <n v="0.59216221495885624"/>
    <n v="58"/>
    <n v="65"/>
    <n v="0"/>
    <n v="-7"/>
    <n v="0"/>
    <n v="0.36427312381930199"/>
    <n v="1"/>
    <n v="74.95"/>
    <n v="74.95"/>
    <n v="-16.167373049818927"/>
    <n v="1533.2338842729787"/>
    <n v="0"/>
    <n v="1"/>
    <n v="0"/>
    <n v="0"/>
    <n v="0"/>
    <n v="0"/>
    <n v="0"/>
    <n v="0"/>
    <n v="0"/>
    <n v="0"/>
  </r>
  <r>
    <d v="1997-07-05T00:00:00"/>
    <n v="1997"/>
    <x v="6"/>
    <s v="R"/>
    <s v="RS"/>
    <x v="3"/>
    <s v="CHA"/>
    <s v="A"/>
    <n v="1"/>
    <n v="5"/>
    <n v="-4"/>
    <n v="4"/>
    <n v="-16"/>
    <n v="16"/>
    <n v="1513.6733665352097"/>
    <n v="1474.0894408854804"/>
    <n v="0.39176806579533913"/>
    <n v="66"/>
    <n v="78"/>
    <n v="0"/>
    <n v="-12"/>
    <n v="0"/>
    <n v="0.441563754067682"/>
    <n v="1"/>
    <n v="74.95"/>
    <n v="74.95"/>
    <n v="-12.965643810339024"/>
    <n v="1500.7077227248706"/>
    <n v="0"/>
    <n v="1"/>
    <n v="0"/>
    <n v="0"/>
    <n v="0"/>
    <n v="0"/>
    <n v="0"/>
    <n v="0"/>
    <n v="0"/>
    <n v="0"/>
  </r>
  <r>
    <d v="1997-07-05T00:00:00"/>
    <n v="1997"/>
    <x v="4"/>
    <s v="R"/>
    <s v="RS"/>
    <x v="6"/>
    <s v="LAS"/>
    <s v="H"/>
    <n v="5"/>
    <n v="1"/>
    <n v="4"/>
    <n v="-4"/>
    <n v="16"/>
    <n v="-16"/>
    <n v="1474.0894408854804"/>
    <n v="1513.6733665352097"/>
    <n v="0.60823193420466093"/>
    <n v="78"/>
    <n v="66"/>
    <n v="0"/>
    <n v="12"/>
    <n v="1"/>
    <n v="0.441563754067682"/>
    <n v="1"/>
    <n v="75.25"/>
    <n v="75.25"/>
    <n v="13.017540983695948"/>
    <n v="1487.1069818691763"/>
    <n v="1"/>
    <n v="0"/>
    <n v="0"/>
    <n v="0"/>
    <n v="0"/>
    <n v="0"/>
    <n v="0"/>
    <n v="0"/>
    <n v="0"/>
    <n v="0"/>
  </r>
  <r>
    <d v="1997-07-05T00:00:00"/>
    <n v="1997"/>
    <x v="6"/>
    <s v="R"/>
    <s v="RS"/>
    <x v="2"/>
    <s v="UTA"/>
    <s v="A"/>
    <n v="0"/>
    <n v="1"/>
    <n v="-1"/>
    <n v="1"/>
    <n v="-8"/>
    <n v="8"/>
    <n v="1584.8196935983542"/>
    <n v="1451.5706641807285"/>
    <n v="0.54770366221782796"/>
    <n v="66"/>
    <n v="53"/>
    <n v="0"/>
    <n v="13"/>
    <n v="1"/>
    <n v="0.42486624349869001"/>
    <n v="1"/>
    <n v="74.95"/>
    <n v="74.95"/>
    <n v="14.402800176330368"/>
    <n v="1599.2224937746846"/>
    <n v="1"/>
    <n v="0"/>
    <n v="0"/>
    <n v="0"/>
    <n v="0"/>
    <n v="0"/>
    <n v="0"/>
    <n v="0"/>
    <n v="0"/>
    <n v="0"/>
  </r>
  <r>
    <d v="1997-07-05T00:00:00"/>
    <n v="1997"/>
    <x v="6"/>
    <s v="R"/>
    <s v="RS"/>
    <x v="5"/>
    <s v="NYL"/>
    <s v="H"/>
    <n v="1"/>
    <n v="0"/>
    <n v="1"/>
    <n v="-1"/>
    <n v="8"/>
    <n v="-8"/>
    <n v="1451.5706641807285"/>
    <n v="1584.8196935983542"/>
    <n v="0.45229633778217204"/>
    <n v="53"/>
    <n v="66"/>
    <n v="0"/>
    <n v="-13"/>
    <n v="0"/>
    <n v="0.42486624349869001"/>
    <n v="1"/>
    <n v="74.95"/>
    <n v="74.95"/>
    <n v="-14.402800176330368"/>
    <n v="1437.1678640043981"/>
    <n v="0"/>
    <n v="1"/>
    <n v="0"/>
    <n v="0"/>
    <n v="0"/>
    <n v="0"/>
    <n v="0"/>
    <n v="0"/>
    <n v="0"/>
    <n v="0"/>
  </r>
  <r>
    <d v="1997-07-06T00:00:00"/>
    <n v="1997"/>
    <x v="5"/>
    <s v="R"/>
    <s v="RS"/>
    <x v="1"/>
    <s v="SAC"/>
    <s v="A"/>
    <n v="2"/>
    <n v="3"/>
    <n v="-1"/>
    <n v="1"/>
    <n v="-8"/>
    <n v="8"/>
    <n v="1435.5610825692365"/>
    <n v="1476.2359143271467"/>
    <n v="0.30793536946829581"/>
    <n v="67"/>
    <n v="70"/>
    <n v="0"/>
    <n v="-3"/>
    <n v="0"/>
    <n v="0.28067001635316241"/>
    <n v="1"/>
    <n v="75.099999999999994"/>
    <n v="75.099999999999994"/>
    <n v="-6.4907597113472146"/>
    <n v="1429.0703228578893"/>
    <n v="0"/>
    <n v="1"/>
    <n v="0"/>
    <n v="0"/>
    <n v="0"/>
    <n v="0"/>
    <n v="0"/>
    <n v="0"/>
    <n v="0"/>
    <n v="0"/>
  </r>
  <r>
    <d v="1997-07-06T00:00:00"/>
    <n v="1997"/>
    <x v="5"/>
    <s v="R"/>
    <s v="RS"/>
    <x v="4"/>
    <s v="CLE"/>
    <s v="H"/>
    <n v="3"/>
    <n v="2"/>
    <n v="1"/>
    <n v="-1"/>
    <n v="8"/>
    <n v="-8"/>
    <n v="1476.2359143271467"/>
    <n v="1435.5610825692365"/>
    <n v="0.69206463053170419"/>
    <n v="70"/>
    <n v="67"/>
    <n v="0"/>
    <n v="3"/>
    <n v="1"/>
    <n v="0.28067001635316241"/>
    <n v="1"/>
    <n v="75.099999999999994"/>
    <n v="75.099999999999994"/>
    <n v="6.4907597113472146"/>
    <n v="1482.7266740384939"/>
    <n v="1"/>
    <n v="0"/>
    <n v="0"/>
    <n v="0"/>
    <n v="0"/>
    <n v="0"/>
    <n v="0"/>
    <n v="0"/>
    <n v="0"/>
    <n v="0"/>
  </r>
  <r>
    <d v="1997-07-07T00:00:00"/>
    <n v="1997"/>
    <x v="5"/>
    <s v="R"/>
    <s v="RS"/>
    <x v="6"/>
    <s v="HOU"/>
    <s v="A"/>
    <n v="1"/>
    <n v="2"/>
    <n v="-1"/>
    <n v="1"/>
    <n v="-8"/>
    <n v="8"/>
    <n v="1487.1069818691763"/>
    <n v="1533.2338842729787"/>
    <n v="0.30128756935988038"/>
    <n v="56"/>
    <n v="74"/>
    <n v="0"/>
    <n v="-18"/>
    <n v="0"/>
    <n v="0.52659220925714856"/>
    <n v="1"/>
    <n v="75.099999999999994"/>
    <n v="75.099999999999994"/>
    <n v="-11.915042076497276"/>
    <n v="1475.191939792679"/>
    <n v="0"/>
    <n v="1"/>
    <n v="0"/>
    <n v="0"/>
    <n v="0"/>
    <n v="0"/>
    <n v="0"/>
    <n v="0"/>
    <n v="0"/>
    <n v="0"/>
  </r>
  <r>
    <d v="1997-07-07T00:00:00"/>
    <n v="1997"/>
    <x v="7"/>
    <s v="R"/>
    <s v="RS"/>
    <x v="0"/>
    <s v="CHA"/>
    <s v="H"/>
    <n v="2"/>
    <n v="1"/>
    <n v="1"/>
    <n v="-1"/>
    <n v="8"/>
    <n v="-8"/>
    <n v="1533.2338842729787"/>
    <n v="1487.1069818691763"/>
    <n v="0.69871243064011956"/>
    <n v="74"/>
    <n v="56"/>
    <n v="0"/>
    <n v="18"/>
    <n v="1"/>
    <n v="0.52659220925714856"/>
    <n v="1"/>
    <n v="74.8"/>
    <n v="74.8"/>
    <n v="11.867445370465999"/>
    <n v="1545.1013296434446"/>
    <n v="1"/>
    <n v="0"/>
    <n v="0"/>
    <n v="0"/>
    <n v="0"/>
    <n v="0"/>
    <n v="0"/>
    <n v="0"/>
    <n v="0"/>
    <n v="0"/>
  </r>
  <r>
    <d v="1997-07-07T00:00:00"/>
    <n v="1997"/>
    <x v="6"/>
    <s v="R"/>
    <s v="RS"/>
    <x v="1"/>
    <s v="LAS"/>
    <s v="A"/>
    <n v="0"/>
    <n v="1"/>
    <n v="-1"/>
    <n v="1"/>
    <n v="-8"/>
    <n v="8"/>
    <n v="1429.0703228578893"/>
    <n v="1500.7077227248706"/>
    <n v="0.27130249279484037"/>
    <n v="81"/>
    <n v="70"/>
    <n v="0"/>
    <n v="11"/>
    <n v="1"/>
    <n v="0.41505791223533389"/>
    <n v="1"/>
    <n v="74.95"/>
    <n v="74.95"/>
    <n v="22.668752366075346"/>
    <n v="1451.7390752239646"/>
    <n v="1"/>
    <n v="0"/>
    <n v="0"/>
    <n v="0"/>
    <n v="0"/>
    <n v="0"/>
    <n v="0"/>
    <n v="0"/>
    <n v="0"/>
    <n v="0"/>
  </r>
  <r>
    <d v="1997-07-07T00:00:00"/>
    <n v="1997"/>
    <x v="7"/>
    <s v="R"/>
    <s v="RS"/>
    <x v="3"/>
    <s v="CLE"/>
    <s v="H"/>
    <n v="1"/>
    <n v="0"/>
    <n v="1"/>
    <n v="-1"/>
    <n v="8"/>
    <n v="-8"/>
    <n v="1500.7077227248706"/>
    <n v="1429.0703228578893"/>
    <n v="0.72869750720515969"/>
    <n v="70"/>
    <n v="81"/>
    <n v="0"/>
    <n v="-11"/>
    <n v="0"/>
    <n v="0.41505791223533389"/>
    <n v="1"/>
    <n v="74.8"/>
    <n v="74.8"/>
    <n v="-22.623384616176597"/>
    <n v="1478.0843381086941"/>
    <n v="0"/>
    <n v="1"/>
    <n v="0"/>
    <n v="0"/>
    <n v="0"/>
    <n v="0"/>
    <n v="0"/>
    <n v="0"/>
    <n v="0"/>
    <n v="0"/>
  </r>
  <r>
    <d v="1997-07-07T00:00:00"/>
    <n v="1997"/>
    <x v="7"/>
    <s v="R"/>
    <s v="RS"/>
    <x v="2"/>
    <s v="PHX"/>
    <s v="A"/>
    <n v="1"/>
    <n v="3"/>
    <n v="-2"/>
    <n v="2"/>
    <n v="-16"/>
    <n v="16"/>
    <n v="1599.2224937746846"/>
    <n v="1530.8609547573024"/>
    <n v="0.43186917153875931"/>
    <n v="50"/>
    <n v="69"/>
    <n v="0"/>
    <n v="-19"/>
    <n v="0"/>
    <n v="0.53074227383876404"/>
    <n v="1"/>
    <n v="74.8"/>
    <n v="74.8"/>
    <n v="-17.144999712530158"/>
    <n v="1582.0774940621545"/>
    <n v="0"/>
    <n v="1"/>
    <n v="0"/>
    <n v="0"/>
    <n v="0"/>
    <n v="0"/>
    <n v="0"/>
    <n v="0"/>
    <n v="0"/>
    <n v="0"/>
  </r>
  <r>
    <d v="1997-07-07T00:00:00"/>
    <n v="1997"/>
    <x v="5"/>
    <s v="R"/>
    <s v="RS"/>
    <x v="7"/>
    <s v="NYL"/>
    <s v="H"/>
    <n v="3"/>
    <n v="1"/>
    <n v="2"/>
    <n v="-2"/>
    <n v="16"/>
    <n v="-16"/>
    <n v="1530.8609547573024"/>
    <n v="1599.2224937746846"/>
    <n v="0.56813082846124074"/>
    <n v="69"/>
    <n v="50"/>
    <n v="0"/>
    <n v="19"/>
    <n v="1"/>
    <n v="0.53074227383876404"/>
    <n v="1"/>
    <n v="75.099999999999994"/>
    <n v="75.099999999999994"/>
    <n v="17.213763080361158"/>
    <n v="1548.0747178376635"/>
    <n v="1"/>
    <n v="0"/>
    <n v="0"/>
    <n v="0"/>
    <n v="0"/>
    <n v="0"/>
    <n v="0"/>
    <n v="0"/>
    <n v="0"/>
    <n v="0"/>
  </r>
  <r>
    <d v="1997-07-07T00:00:00"/>
    <n v="1997"/>
    <x v="6"/>
    <s v="R"/>
    <s v="RS"/>
    <x v="4"/>
    <s v="UTA"/>
    <s v="A"/>
    <n v="0"/>
    <n v="1"/>
    <n v="-1"/>
    <n v="1"/>
    <n v="-8"/>
    <n v="8"/>
    <n v="1482.7266740384939"/>
    <n v="1437.1678640043981"/>
    <n v="0.42228781647548719"/>
    <n v="79"/>
    <n v="69"/>
    <n v="0"/>
    <n v="10"/>
    <n v="1"/>
    <n v="0.40765288247195769"/>
    <n v="1"/>
    <n v="74.95"/>
    <n v="74.95"/>
    <n v="17.651177462127574"/>
    <n v="1500.3778515006215"/>
    <n v="1"/>
    <n v="0"/>
    <n v="0"/>
    <n v="0"/>
    <n v="0"/>
    <n v="0"/>
    <n v="0"/>
    <n v="0"/>
    <n v="0"/>
    <n v="0"/>
  </r>
  <r>
    <d v="1997-07-07T00:00:00"/>
    <n v="1997"/>
    <x v="7"/>
    <s v="R"/>
    <s v="RS"/>
    <x v="5"/>
    <s v="SAC"/>
    <s v="H"/>
    <n v="1"/>
    <n v="0"/>
    <n v="1"/>
    <n v="-1"/>
    <n v="8"/>
    <n v="-8"/>
    <n v="1437.1678640043981"/>
    <n v="1482.7266740384939"/>
    <n v="0.57771218352451281"/>
    <n v="69"/>
    <n v="79"/>
    <n v="0"/>
    <n v="-10"/>
    <n v="0"/>
    <n v="0.40765288247195769"/>
    <n v="1"/>
    <n v="74.8"/>
    <n v="74.8"/>
    <n v="-17.615851556599633"/>
    <n v="1419.5520124477985"/>
    <n v="0"/>
    <n v="1"/>
    <n v="0"/>
    <n v="0"/>
    <n v="0"/>
    <n v="0"/>
    <n v="0"/>
    <n v="0"/>
    <n v="0"/>
    <n v="0"/>
  </r>
  <r>
    <d v="1997-07-09T00:00:00"/>
    <n v="1997"/>
    <x v="8"/>
    <s v="R"/>
    <s v="RS"/>
    <x v="2"/>
    <s v="CHA"/>
    <s v="A"/>
    <n v="1"/>
    <n v="1"/>
    <n v="0"/>
    <n v="0"/>
    <n v="0"/>
    <n v="0"/>
    <n v="1582.0774940621545"/>
    <n v="1475.191939792679"/>
    <n v="0.53288740934646106"/>
    <n v="69"/>
    <n v="87"/>
    <n v="0"/>
    <n v="-18"/>
    <n v="0"/>
    <n v="0.50211031593993649"/>
    <n v="1"/>
    <n v="74.650000000000006"/>
    <n v="74.650000000000006"/>
    <n v="-19.973971017138862"/>
    <n v="1562.1035230450157"/>
    <n v="0"/>
    <n v="1"/>
    <n v="0"/>
    <n v="0"/>
    <n v="0"/>
    <n v="0"/>
    <n v="0"/>
    <n v="0"/>
    <n v="0"/>
    <n v="0"/>
  </r>
  <r>
    <d v="1997-07-09T00:00:00"/>
    <n v="1997"/>
    <x v="6"/>
    <s v="R"/>
    <s v="RS"/>
    <x v="6"/>
    <s v="NYL"/>
    <s v="H"/>
    <n v="1"/>
    <n v="1"/>
    <n v="0"/>
    <n v="0"/>
    <n v="0"/>
    <n v="0"/>
    <n v="1475.191939792679"/>
    <n v="1582.0774940621545"/>
    <n v="0.46711259065353899"/>
    <n v="87"/>
    <n v="69"/>
    <n v="0"/>
    <n v="18"/>
    <n v="1"/>
    <n v="0.50211031593993649"/>
    <n v="1"/>
    <n v="74.95"/>
    <n v="74.95"/>
    <n v="20.054241496779067"/>
    <n v="1495.246181289458"/>
    <n v="1"/>
    <n v="0"/>
    <n v="0"/>
    <n v="0"/>
    <n v="0"/>
    <n v="0"/>
    <n v="0"/>
    <n v="0"/>
    <n v="0"/>
    <n v="0"/>
  </r>
  <r>
    <d v="1997-07-09T00:00:00"/>
    <n v="1997"/>
    <x v="8"/>
    <s v="R"/>
    <s v="RS"/>
    <x v="0"/>
    <s v="PHX"/>
    <s v="A"/>
    <n v="1"/>
    <n v="1"/>
    <n v="0"/>
    <n v="0"/>
    <n v="0"/>
    <n v="0"/>
    <n v="1545.1013296434446"/>
    <n v="1548.0747178376635"/>
    <n v="0.37738579791000887"/>
    <n v="64"/>
    <n v="69"/>
    <n v="0"/>
    <n v="-5"/>
    <n v="0"/>
    <n v="0.33093597452816076"/>
    <n v="1"/>
    <n v="74.650000000000006"/>
    <n v="74.650000000000006"/>
    <n v="-9.3230785724511716"/>
    <n v="1535.7782510709935"/>
    <n v="0"/>
    <n v="1"/>
    <n v="0"/>
    <n v="0"/>
    <n v="0"/>
    <n v="0"/>
    <n v="0"/>
    <n v="0"/>
    <n v="0"/>
    <n v="0"/>
  </r>
  <r>
    <d v="1997-07-09T00:00:00"/>
    <n v="1997"/>
    <x v="6"/>
    <s v="R"/>
    <s v="RS"/>
    <x v="7"/>
    <s v="HOU"/>
    <s v="H"/>
    <n v="1"/>
    <n v="1"/>
    <n v="0"/>
    <n v="0"/>
    <n v="0"/>
    <n v="0"/>
    <n v="1548.0747178376635"/>
    <n v="1545.1013296434446"/>
    <n v="0.62261420208999119"/>
    <n v="69"/>
    <n v="64"/>
    <n v="0"/>
    <n v="5"/>
    <n v="1"/>
    <n v="0.33093597452816076"/>
    <n v="1"/>
    <n v="74.95"/>
    <n v="74.95"/>
    <n v="9.3605457334925006"/>
    <n v="1557.4352635711559"/>
    <n v="1"/>
    <n v="0"/>
    <n v="0"/>
    <n v="0"/>
    <n v="0"/>
    <n v="0"/>
    <n v="0"/>
    <n v="0"/>
    <n v="0"/>
    <n v="0"/>
  </r>
  <r>
    <d v="1997-07-10T00:00:00"/>
    <n v="1997"/>
    <x v="7"/>
    <s v="R"/>
    <s v="RS"/>
    <x v="4"/>
    <s v="CLE"/>
    <s v="A"/>
    <n v="2"/>
    <n v="2"/>
    <n v="0"/>
    <n v="0"/>
    <n v="0"/>
    <n v="0"/>
    <n v="1500.3778515006215"/>
    <n v="1451.7390752239646"/>
    <n v="0.44928609787950397"/>
    <n v="61"/>
    <n v="77"/>
    <n v="0"/>
    <n v="-16"/>
    <n v="0"/>
    <n v="0.497616484880336"/>
    <n v="1"/>
    <n v="74.8"/>
    <n v="74.8"/>
    <n v="-16.723198221183619"/>
    <n v="1483.654653279438"/>
    <n v="0"/>
    <n v="1"/>
    <n v="0"/>
    <n v="0"/>
    <n v="0"/>
    <n v="0"/>
    <n v="0"/>
    <n v="0"/>
    <n v="0"/>
    <n v="0"/>
  </r>
  <r>
    <d v="1997-07-10T00:00:00"/>
    <n v="1997"/>
    <x v="7"/>
    <s v="R"/>
    <s v="RS"/>
    <x v="1"/>
    <s v="SAC"/>
    <s v="H"/>
    <n v="2"/>
    <n v="2"/>
    <n v="0"/>
    <n v="0"/>
    <n v="0"/>
    <n v="0"/>
    <n v="1451.7390752239646"/>
    <n v="1500.3778515006215"/>
    <n v="0.55071390212049598"/>
    <n v="77"/>
    <n v="61"/>
    <n v="0"/>
    <n v="16"/>
    <n v="1"/>
    <n v="0.497616484880336"/>
    <n v="1"/>
    <n v="74.8"/>
    <n v="74.8"/>
    <n v="16.723198221183623"/>
    <n v="1468.4622734451482"/>
    <n v="1"/>
    <n v="0"/>
    <n v="0"/>
    <n v="0"/>
    <n v="0"/>
    <n v="0"/>
    <n v="0"/>
    <n v="0"/>
    <n v="0"/>
    <n v="0"/>
  </r>
  <r>
    <d v="1997-07-10T00:00:00"/>
    <n v="1997"/>
    <x v="7"/>
    <s v="R"/>
    <s v="RS"/>
    <x v="6"/>
    <s v="NYL"/>
    <s v="A"/>
    <n v="0"/>
    <n v="0"/>
    <n v="0"/>
    <n v="0"/>
    <n v="0"/>
    <n v="0"/>
    <n v="1495.246181289458"/>
    <n v="1562.1035230450157"/>
    <n v="0.29558636627192358"/>
    <n v="48"/>
    <n v="62"/>
    <n v="0"/>
    <n v="-14"/>
    <n v="0"/>
    <n v="0.46187499172564556"/>
    <n v="1"/>
    <n v="74.8"/>
    <n v="74.8"/>
    <n v="-10.211991495609164"/>
    <n v="1485.0341897938488"/>
    <n v="0"/>
    <n v="1"/>
    <n v="0"/>
    <n v="0"/>
    <n v="0"/>
    <n v="0"/>
    <n v="0"/>
    <n v="0"/>
    <n v="0"/>
    <n v="0"/>
  </r>
  <r>
    <d v="1997-07-10T00:00:00"/>
    <n v="1997"/>
    <x v="9"/>
    <s v="R"/>
    <s v="RS"/>
    <x v="2"/>
    <s v="CHA"/>
    <s v="H"/>
    <n v="0"/>
    <n v="0"/>
    <n v="0"/>
    <n v="0"/>
    <n v="0"/>
    <n v="0"/>
    <n v="1562.1035230450157"/>
    <n v="1495.246181289458"/>
    <n v="0.70441363372807642"/>
    <n v="62"/>
    <n v="48"/>
    <n v="0"/>
    <n v="14"/>
    <n v="1"/>
    <n v="0.46187499172564556"/>
    <n v="1"/>
    <n v="74.5"/>
    <n v="74.5"/>
    <n v="10.171034310466347"/>
    <n v="1572.2745573554821"/>
    <n v="1"/>
    <n v="0"/>
    <n v="0"/>
    <n v="0"/>
    <n v="0"/>
    <n v="0"/>
    <n v="0"/>
    <n v="0"/>
    <n v="0"/>
    <n v="0"/>
  </r>
  <r>
    <d v="1997-07-11T00:00:00"/>
    <n v="1997"/>
    <x v="8"/>
    <s v="R"/>
    <s v="RS"/>
    <x v="5"/>
    <s v="LAS"/>
    <s v="A"/>
    <n v="3"/>
    <n v="3"/>
    <n v="0"/>
    <n v="0"/>
    <n v="0"/>
    <n v="0"/>
    <n v="1419.5520124477985"/>
    <n v="1478.0843381086941"/>
    <n v="0.30566134982708748"/>
    <n v="68"/>
    <n v="75"/>
    <n v="0"/>
    <n v="-7"/>
    <n v="0"/>
    <n v="0.35289407981742377"/>
    <n v="1"/>
    <n v="74.650000000000006"/>
    <n v="74.650000000000006"/>
    <n v="-8.0522029304495835"/>
    <n v="1411.4998095173489"/>
    <n v="0"/>
    <n v="1"/>
    <n v="0"/>
    <n v="0"/>
    <n v="0"/>
    <n v="0"/>
    <n v="0"/>
    <n v="0"/>
    <n v="0"/>
    <n v="0"/>
  </r>
  <r>
    <d v="1997-07-11T00:00:00"/>
    <n v="1997"/>
    <x v="8"/>
    <s v="R"/>
    <s v="RS"/>
    <x v="3"/>
    <s v="UTA"/>
    <s v="H"/>
    <n v="3"/>
    <n v="3"/>
    <n v="0"/>
    <n v="0"/>
    <n v="0"/>
    <n v="0"/>
    <n v="1478.0843381086941"/>
    <n v="1419.5520124477985"/>
    <n v="0.69433865017291252"/>
    <n v="75"/>
    <n v="68"/>
    <n v="0"/>
    <n v="7"/>
    <n v="1"/>
    <n v="0.35289407981742377"/>
    <n v="1"/>
    <n v="74.650000000000006"/>
    <n v="74.650000000000006"/>
    <n v="8.0522029304495835"/>
    <n v="1486.1365410391436"/>
    <n v="1"/>
    <n v="0"/>
    <n v="0"/>
    <n v="0"/>
    <n v="0"/>
    <n v="0"/>
    <n v="0"/>
    <n v="0"/>
    <n v="0"/>
    <n v="0"/>
  </r>
  <r>
    <d v="1997-07-12T00:00:00"/>
    <n v="1997"/>
    <x v="8"/>
    <s v="R"/>
    <s v="RS"/>
    <x v="1"/>
    <s v="CHA"/>
    <s v="A"/>
    <n v="1"/>
    <n v="1"/>
    <n v="0"/>
    <n v="0"/>
    <n v="0"/>
    <n v="0"/>
    <n v="1468.4622734451482"/>
    <n v="1485.0341897938488"/>
    <n v="0.35917688402959297"/>
    <n v="43"/>
    <n v="72"/>
    <n v="0"/>
    <n v="-29"/>
    <n v="0"/>
    <n v="0.68194533579495709"/>
    <n v="1"/>
    <n v="74.650000000000006"/>
    <n v="74.650000000000006"/>
    <n v="-18.284696408924766"/>
    <n v="1450.1775770362235"/>
    <n v="0"/>
    <n v="1"/>
    <n v="0"/>
    <n v="0"/>
    <n v="0"/>
    <n v="0"/>
    <n v="0"/>
    <n v="0"/>
    <n v="0"/>
    <n v="0"/>
  </r>
  <r>
    <d v="1997-07-12T00:00:00"/>
    <n v="1997"/>
    <x v="8"/>
    <s v="R"/>
    <s v="RS"/>
    <x v="6"/>
    <s v="CLE"/>
    <s v="H"/>
    <n v="1"/>
    <n v="1"/>
    <n v="0"/>
    <n v="0"/>
    <n v="0"/>
    <n v="0"/>
    <n v="1485.0341897938488"/>
    <n v="1468.4622734451482"/>
    <n v="0.64082311597040709"/>
    <n v="72"/>
    <n v="43"/>
    <n v="0"/>
    <n v="29"/>
    <n v="1"/>
    <n v="0.68194533579495709"/>
    <n v="1"/>
    <n v="74.650000000000006"/>
    <n v="74.650000000000006"/>
    <n v="18.284696408924763"/>
    <n v="1503.3188862027735"/>
    <n v="1"/>
    <n v="0"/>
    <n v="0"/>
    <n v="0"/>
    <n v="0"/>
    <n v="0"/>
    <n v="0"/>
    <n v="0"/>
    <n v="0"/>
    <n v="0"/>
  </r>
  <r>
    <d v="1997-07-12T00:00:00"/>
    <n v="1997"/>
    <x v="8"/>
    <s v="R"/>
    <s v="RS"/>
    <x v="4"/>
    <s v="HOU"/>
    <s v="A"/>
    <n v="1"/>
    <n v="2"/>
    <n v="-1"/>
    <n v="1"/>
    <n v="-8"/>
    <n v="8"/>
    <n v="1483.654653279438"/>
    <n v="1535.7782510709935"/>
    <n v="0.29407091896878335"/>
    <n v="61"/>
    <n v="89"/>
    <n v="0"/>
    <n v="-28"/>
    <n v="0"/>
    <n v="0.65082040904155436"/>
    <n v="1"/>
    <n v="74.650000000000006"/>
    <n v="74.650000000000006"/>
    <n v="-14.287066108267032"/>
    <n v="1469.367587171171"/>
    <n v="0"/>
    <n v="1"/>
    <n v="0"/>
    <n v="0"/>
    <n v="0"/>
    <n v="0"/>
    <n v="0"/>
    <n v="0"/>
    <n v="0"/>
    <n v="0"/>
  </r>
  <r>
    <d v="1997-07-12T00:00:00"/>
    <n v="1997"/>
    <x v="9"/>
    <s v="R"/>
    <s v="RS"/>
    <x v="0"/>
    <s v="SAC"/>
    <s v="H"/>
    <n v="2"/>
    <n v="1"/>
    <n v="1"/>
    <n v="-1"/>
    <n v="8"/>
    <n v="-8"/>
    <n v="1535.7782510709935"/>
    <n v="1483.654653279438"/>
    <n v="0.70592908103121665"/>
    <n v="89"/>
    <n v="61"/>
    <n v="0"/>
    <n v="28"/>
    <n v="1"/>
    <n v="0.65082040904155436"/>
    <n v="1"/>
    <n v="74.5"/>
    <n v="74.5"/>
    <n v="14.258358004901456"/>
    <n v="1550.0366090758951"/>
    <n v="1"/>
    <n v="0"/>
    <n v="0"/>
    <n v="0"/>
    <n v="0"/>
    <n v="0"/>
    <n v="0"/>
    <n v="0"/>
    <n v="0"/>
    <n v="0"/>
  </r>
  <r>
    <d v="1997-07-12T00:00:00"/>
    <n v="1997"/>
    <x v="7"/>
    <s v="R"/>
    <s v="RS"/>
    <x v="7"/>
    <s v="UTA"/>
    <s v="A"/>
    <n v="2"/>
    <n v="0"/>
    <n v="2"/>
    <n v="-2"/>
    <n v="16"/>
    <n v="-16"/>
    <n v="1557.4352635711559"/>
    <n v="1411.4998095173489"/>
    <n v="0.63198359964416428"/>
    <n v="51"/>
    <n v="52"/>
    <n v="0"/>
    <n v="-1"/>
    <n v="0"/>
    <n v="0.21770405428865247"/>
    <n v="1"/>
    <n v="74.8"/>
    <n v="74.8"/>
    <n v="-10.291387313108041"/>
    <n v="1547.1438762580478"/>
    <n v="0"/>
    <n v="1"/>
    <n v="0"/>
    <n v="0"/>
    <n v="0"/>
    <n v="0"/>
    <n v="0"/>
    <n v="0"/>
    <n v="0"/>
    <n v="0"/>
  </r>
  <r>
    <d v="1997-07-12T00:00:00"/>
    <n v="1997"/>
    <x v="9"/>
    <s v="R"/>
    <s v="RS"/>
    <x v="5"/>
    <s v="PHX"/>
    <s v="H"/>
    <n v="0"/>
    <n v="2"/>
    <n v="-2"/>
    <n v="2"/>
    <n v="-16"/>
    <n v="16"/>
    <n v="1411.4998095173489"/>
    <n v="1557.4352635711559"/>
    <n v="0.36801640035583577"/>
    <n v="52"/>
    <n v="51"/>
    <n v="0"/>
    <n v="1"/>
    <n v="1"/>
    <n v="0.21770405428865247"/>
    <n v="1"/>
    <n v="74.5"/>
    <n v="74.5"/>
    <n v="10.250111695542099"/>
    <n v="1421.749921212891"/>
    <n v="1"/>
    <n v="0"/>
    <n v="0"/>
    <n v="0"/>
    <n v="0"/>
    <n v="0"/>
    <n v="0"/>
    <n v="0"/>
    <n v="0"/>
    <n v="0"/>
  </r>
  <r>
    <d v="1997-07-13T00:00:00"/>
    <n v="1997"/>
    <x v="8"/>
    <s v="R"/>
    <s v="RS"/>
    <x v="7"/>
    <s v="LAS"/>
    <s v="A"/>
    <n v="0"/>
    <n v="1"/>
    <n v="-1"/>
    <n v="1"/>
    <n v="-8"/>
    <n v="8"/>
    <n v="1547.1438762580478"/>
    <n v="1486.1365410391436"/>
    <n v="0.44411946323414342"/>
    <n v="57"/>
    <n v="56"/>
    <n v="0"/>
    <n v="1"/>
    <n v="1"/>
    <n v="0.23236629714567533"/>
    <n v="1"/>
    <n v="74.650000000000006"/>
    <n v="74.650000000000006"/>
    <n v="9.6423838830781676"/>
    <n v="1556.7862601411259"/>
    <n v="1"/>
    <n v="0"/>
    <n v="0"/>
    <n v="0"/>
    <n v="0"/>
    <n v="0"/>
    <n v="0"/>
    <n v="0"/>
    <n v="0"/>
    <n v="0"/>
  </r>
  <r>
    <d v="1997-07-13T00:00:00"/>
    <n v="1997"/>
    <x v="9"/>
    <s v="R"/>
    <s v="RS"/>
    <x v="3"/>
    <s v="PHX"/>
    <s v="H"/>
    <n v="1"/>
    <n v="0"/>
    <n v="1"/>
    <n v="-1"/>
    <n v="8"/>
    <n v="-8"/>
    <n v="1486.1365410391436"/>
    <n v="1547.1438762580478"/>
    <n v="0.55588053676585658"/>
    <n v="56"/>
    <n v="57"/>
    <n v="0"/>
    <n v="-1"/>
    <n v="0"/>
    <n v="0.23236629714567533"/>
    <n v="1"/>
    <n v="74.5"/>
    <n v="74.5"/>
    <n v="-9.6230086977806231"/>
    <n v="1476.5135323413629"/>
    <n v="0"/>
    <n v="1"/>
    <n v="0"/>
    <n v="0"/>
    <n v="0"/>
    <n v="0"/>
    <n v="0"/>
    <n v="0"/>
    <n v="0"/>
    <n v="0"/>
  </r>
  <r>
    <d v="1997-07-14T00:00:00"/>
    <n v="1997"/>
    <x v="10"/>
    <s v="R"/>
    <s v="RS"/>
    <x v="2"/>
    <s v="CLE"/>
    <s v="A"/>
    <n v="3"/>
    <n v="1"/>
    <n v="2"/>
    <n v="-2"/>
    <n v="16"/>
    <n v="-16"/>
    <n v="1572.2745573554821"/>
    <n v="1450.1775770362235"/>
    <n v="0.59953083967640708"/>
    <n v="68"/>
    <n v="57"/>
    <n v="0"/>
    <n v="11"/>
    <n v="1"/>
    <n v="0.39921667787313475"/>
    <n v="1"/>
    <n v="74.349999999999994"/>
    <n v="74.349999999999994"/>
    <n v="11.886629504073372"/>
    <n v="1584.1611868595555"/>
    <n v="1"/>
    <n v="0"/>
    <n v="0"/>
    <n v="0"/>
    <n v="0"/>
    <n v="0"/>
    <n v="0"/>
    <n v="0"/>
    <n v="0"/>
    <n v="0"/>
  </r>
  <r>
    <d v="1997-07-14T00:00:00"/>
    <n v="1997"/>
    <x v="9"/>
    <s v="R"/>
    <s v="RS"/>
    <x v="1"/>
    <s v="NYL"/>
    <s v="H"/>
    <n v="1"/>
    <n v="3"/>
    <n v="-2"/>
    <n v="2"/>
    <n v="-16"/>
    <n v="16"/>
    <n v="1450.1775770362235"/>
    <n v="1572.2745573554821"/>
    <n v="0.40046916032359287"/>
    <n v="57"/>
    <n v="68"/>
    <n v="0"/>
    <n v="-11"/>
    <n v="0"/>
    <n v="0.39921667787313475"/>
    <n v="1"/>
    <n v="74.5"/>
    <n v="74.5"/>
    <n v="-11.910610599239625"/>
    <n v="1438.2669664369839"/>
    <n v="0"/>
    <n v="1"/>
    <n v="0"/>
    <n v="0"/>
    <n v="0"/>
    <n v="0"/>
    <n v="0"/>
    <n v="0"/>
    <n v="0"/>
    <n v="0"/>
  </r>
  <r>
    <d v="1997-07-14T00:00:00"/>
    <n v="1997"/>
    <x v="10"/>
    <s v="R"/>
    <s v="RS"/>
    <x v="5"/>
    <s v="HOU"/>
    <s v="A"/>
    <n v="1"/>
    <n v="1"/>
    <n v="0"/>
    <n v="0"/>
    <n v="0"/>
    <n v="0"/>
    <n v="1421.749921212891"/>
    <n v="1550.0366090758951"/>
    <n v="0.22758109187394296"/>
    <n v="56"/>
    <n v="79"/>
    <n v="0"/>
    <n v="-23"/>
    <n v="0"/>
    <n v="0.55590809561021448"/>
    <n v="1"/>
    <n v="74.349999999999994"/>
    <n v="74.349999999999994"/>
    <n v="-9.4063286421429169"/>
    <n v="1412.3435925707481"/>
    <n v="0"/>
    <n v="1"/>
    <n v="0"/>
    <n v="0"/>
    <n v="0"/>
    <n v="0"/>
    <n v="0"/>
    <n v="0"/>
    <n v="0"/>
    <n v="0"/>
  </r>
  <r>
    <d v="1997-07-14T00:00:00"/>
    <n v="1997"/>
    <x v="10"/>
    <s v="R"/>
    <s v="RS"/>
    <x v="0"/>
    <s v="UTA"/>
    <s v="H"/>
    <n v="1"/>
    <n v="1"/>
    <n v="0"/>
    <n v="0"/>
    <n v="0"/>
    <n v="0"/>
    <n v="1550.0366090758951"/>
    <n v="1421.749921212891"/>
    <n v="0.77241890812605707"/>
    <n v="79"/>
    <n v="56"/>
    <n v="0"/>
    <n v="23"/>
    <n v="1"/>
    <n v="0.55590809561021448"/>
    <n v="1"/>
    <n v="74.349999999999994"/>
    <n v="74.349999999999994"/>
    <n v="9.4063286421429151"/>
    <n v="1559.4429377180379"/>
    <n v="1"/>
    <n v="0"/>
    <n v="0"/>
    <n v="0"/>
    <n v="0"/>
    <n v="0"/>
    <n v="0"/>
    <n v="0"/>
    <n v="0"/>
    <n v="0"/>
  </r>
  <r>
    <d v="1997-07-15T00:00:00"/>
    <n v="1997"/>
    <x v="10"/>
    <s v="R"/>
    <s v="RS"/>
    <x v="1"/>
    <s v="NYL"/>
    <s v="A"/>
    <n v="0"/>
    <n v="0"/>
    <n v="0"/>
    <n v="0"/>
    <n v="0"/>
    <n v="0"/>
    <n v="1438.2669664369839"/>
    <n v="1584.1611868595555"/>
    <n v="0.21025691229383628"/>
    <n v="59"/>
    <n v="76"/>
    <n v="0"/>
    <n v="-17"/>
    <n v="0"/>
    <n v="0.47472563088783548"/>
    <n v="1"/>
    <n v="74.349999999999994"/>
    <n v="74.349999999999994"/>
    <n v="-7.421196575822286"/>
    <n v="1430.8457698611617"/>
    <n v="0"/>
    <n v="1"/>
    <n v="0"/>
    <n v="0"/>
    <n v="0"/>
    <n v="0"/>
    <n v="0"/>
    <n v="0"/>
    <n v="0"/>
    <n v="0"/>
  </r>
  <r>
    <d v="1997-07-15T00:00:00"/>
    <n v="1997"/>
    <x v="11"/>
    <s v="R"/>
    <s v="RS"/>
    <x v="2"/>
    <s v="CLE"/>
    <s v="H"/>
    <n v="0"/>
    <n v="0"/>
    <n v="0"/>
    <n v="0"/>
    <n v="0"/>
    <n v="0"/>
    <n v="1584.1611868595555"/>
    <n v="1438.2669664369839"/>
    <n v="0.78974308770616375"/>
    <n v="76"/>
    <n v="59"/>
    <n v="0"/>
    <n v="17"/>
    <n v="1"/>
    <n v="0.47472563088783548"/>
    <n v="1"/>
    <n v="74.2"/>
    <n v="74.2"/>
    <n v="7.406224424021703"/>
    <n v="1591.5674112835773"/>
    <n v="1"/>
    <n v="0"/>
    <n v="0"/>
    <n v="0"/>
    <n v="0"/>
    <n v="0"/>
    <n v="0"/>
    <n v="0"/>
    <n v="0"/>
    <n v="0"/>
  </r>
  <r>
    <d v="1997-07-15T00:00:00"/>
    <n v="1997"/>
    <x v="10"/>
    <s v="R"/>
    <s v="RS"/>
    <x v="3"/>
    <s v="SAC"/>
    <s v="A"/>
    <n v="1"/>
    <n v="2"/>
    <n v="-1"/>
    <n v="1"/>
    <n v="-8"/>
    <n v="8"/>
    <n v="1476.5135323413629"/>
    <n v="1469.367587171171"/>
    <n v="0.36946540671938344"/>
    <n v="73"/>
    <n v="78"/>
    <n v="0"/>
    <n v="-5"/>
    <n v="0"/>
    <n v="0.32979207870127858"/>
    <n v="1"/>
    <n v="74.349999999999994"/>
    <n v="74.349999999999994"/>
    <n v="-9.0593069398462802"/>
    <n v="1467.4542254015166"/>
    <n v="0"/>
    <n v="1"/>
    <n v="0"/>
    <n v="0"/>
    <n v="0"/>
    <n v="0"/>
    <n v="0"/>
    <n v="0"/>
    <n v="0"/>
    <n v="0"/>
  </r>
  <r>
    <d v="1997-07-15T00:00:00"/>
    <n v="1997"/>
    <x v="9"/>
    <s v="R"/>
    <s v="RS"/>
    <x v="4"/>
    <s v="LAS"/>
    <s v="H"/>
    <n v="2"/>
    <n v="1"/>
    <n v="1"/>
    <n v="-1"/>
    <n v="8"/>
    <n v="-8"/>
    <n v="1469.367587171171"/>
    <n v="1476.5135323413629"/>
    <n v="0.63053459328061656"/>
    <n v="78"/>
    <n v="73"/>
    <n v="0"/>
    <n v="5"/>
    <n v="1"/>
    <n v="0.32979207870127858"/>
    <n v="1"/>
    <n v="74.5"/>
    <n v="74.5"/>
    <n v="9.0775839545198114"/>
    <n v="1478.4451711256909"/>
    <n v="1"/>
    <n v="0"/>
    <n v="0"/>
    <n v="0"/>
    <n v="0"/>
    <n v="0"/>
    <n v="0"/>
    <n v="0"/>
    <n v="0"/>
    <n v="0"/>
  </r>
  <r>
    <d v="1997-07-16T00:00:00"/>
    <n v="1997"/>
    <x v="11"/>
    <s v="R"/>
    <s v="RS"/>
    <x v="5"/>
    <s v="CHA"/>
    <s v="A"/>
    <n v="1"/>
    <n v="3"/>
    <n v="-2"/>
    <n v="2"/>
    <n v="-16"/>
    <n v="16"/>
    <n v="1412.3435925707481"/>
    <n v="1503.3188862027735"/>
    <n v="0.2330004974359399"/>
    <n v="63"/>
    <n v="75"/>
    <n v="0"/>
    <n v="-12"/>
    <n v="0"/>
    <n v="0.42398590770232431"/>
    <n v="1"/>
    <n v="74.2"/>
    <n v="74.2"/>
    <n v="-7.330138413114879"/>
    <n v="1405.0134541576333"/>
    <n v="0"/>
    <n v="1"/>
    <n v="0"/>
    <n v="0"/>
    <n v="0"/>
    <n v="0"/>
    <n v="0"/>
    <n v="0"/>
    <n v="0"/>
    <n v="0"/>
  </r>
  <r>
    <d v="1997-07-16T00:00:00"/>
    <n v="1997"/>
    <x v="9"/>
    <s v="R"/>
    <s v="RS"/>
    <x v="6"/>
    <s v="UTA"/>
    <s v="H"/>
    <n v="3"/>
    <n v="1"/>
    <n v="2"/>
    <n v="-2"/>
    <n v="16"/>
    <n v="-16"/>
    <n v="1503.3188862027735"/>
    <n v="1412.3435925707481"/>
    <n v="0.76699950256406013"/>
    <n v="75"/>
    <n v="63"/>
    <n v="0"/>
    <n v="12"/>
    <n v="1"/>
    <n v="0.42398590770232431"/>
    <n v="1"/>
    <n v="74.5"/>
    <n v="74.5"/>
    <n v="7.3597750913350186"/>
    <n v="1510.6786612941085"/>
    <n v="1"/>
    <n v="0"/>
    <n v="0"/>
    <n v="0"/>
    <n v="0"/>
    <n v="0"/>
    <n v="0"/>
    <n v="0"/>
    <n v="0"/>
    <n v="0"/>
  </r>
  <r>
    <d v="1997-07-16T00:00:00"/>
    <n v="1997"/>
    <x v="11"/>
    <s v="R"/>
    <s v="RS"/>
    <x v="0"/>
    <s v="LAS"/>
    <s v="A"/>
    <n v="1"/>
    <n v="0"/>
    <n v="1"/>
    <n v="-1"/>
    <n v="8"/>
    <n v="-8"/>
    <n v="1559.4429377180379"/>
    <n v="1467.4542254015166"/>
    <n v="0.53446777767535414"/>
    <n v="52"/>
    <n v="77"/>
    <n v="0"/>
    <n v="-25"/>
    <n v="0"/>
    <n v="0.59568139159102962"/>
    <n v="1"/>
    <n v="74.2"/>
    <n v="74.2"/>
    <n v="-23.623240209813524"/>
    <n v="1535.8196975082244"/>
    <n v="0"/>
    <n v="1"/>
    <n v="0"/>
    <n v="0"/>
    <n v="0"/>
    <n v="0"/>
    <n v="0"/>
    <n v="0"/>
    <n v="0"/>
    <n v="0"/>
  </r>
  <r>
    <d v="1997-07-16T00:00:00"/>
    <n v="1997"/>
    <x v="11"/>
    <s v="R"/>
    <s v="RS"/>
    <x v="3"/>
    <s v="HOU"/>
    <s v="H"/>
    <n v="0"/>
    <n v="1"/>
    <n v="-1"/>
    <n v="1"/>
    <n v="-8"/>
    <n v="8"/>
    <n v="1467.4542254015166"/>
    <n v="1559.4429377180379"/>
    <n v="0.46553222232464581"/>
    <n v="77"/>
    <n v="52"/>
    <n v="0"/>
    <n v="25"/>
    <n v="1"/>
    <n v="0.59568139159102962"/>
    <n v="1"/>
    <n v="74.2"/>
    <n v="74.2"/>
    <n v="23.623240209813524"/>
    <n v="1491.0774656113301"/>
    <n v="1"/>
    <n v="0"/>
    <n v="0"/>
    <n v="0"/>
    <n v="0"/>
    <n v="0"/>
    <n v="0"/>
    <n v="0"/>
    <n v="0"/>
    <n v="0"/>
  </r>
  <r>
    <d v="1997-07-16T00:00:00"/>
    <n v="1997"/>
    <x v="10"/>
    <s v="R"/>
    <s v="RS"/>
    <x v="4"/>
    <s v="PHX"/>
    <s v="A"/>
    <n v="0"/>
    <n v="2"/>
    <n v="-2"/>
    <n v="2"/>
    <n v="-16"/>
    <n v="16"/>
    <n v="1478.4451711256909"/>
    <n v="1556.7862601411259"/>
    <n v="0.24624930055949709"/>
    <n v="67"/>
    <n v="84"/>
    <n v="0"/>
    <n v="-17"/>
    <n v="0"/>
    <n v="0.49981220848536939"/>
    <n v="1"/>
    <n v="74.349999999999994"/>
    <n v="74.349999999999994"/>
    <n v="-9.1508795419085782"/>
    <n v="1469.2942915837823"/>
    <n v="0"/>
    <n v="1"/>
    <n v="0"/>
    <n v="0"/>
    <n v="0"/>
    <n v="0"/>
    <n v="0"/>
    <n v="0"/>
    <n v="0"/>
    <n v="0"/>
  </r>
  <r>
    <d v="1997-07-16T00:00:00"/>
    <n v="1997"/>
    <x v="9"/>
    <s v="R"/>
    <s v="RS"/>
    <x v="7"/>
    <s v="SAC"/>
    <s v="H"/>
    <n v="2"/>
    <n v="0"/>
    <n v="2"/>
    <n v="-2"/>
    <n v="16"/>
    <n v="-16"/>
    <n v="1556.7862601411259"/>
    <n v="1478.4451711256909"/>
    <n v="0.75375069944050299"/>
    <n v="84"/>
    <n v="67"/>
    <n v="0"/>
    <n v="17"/>
    <n v="1"/>
    <n v="0.49981220848536939"/>
    <n v="1"/>
    <n v="74.5"/>
    <n v="74.5"/>
    <n v="9.1693413029211683"/>
    <n v="1565.955601444047"/>
    <n v="1"/>
    <n v="0"/>
    <n v="0"/>
    <n v="0"/>
    <n v="0"/>
    <n v="0"/>
    <n v="0"/>
    <n v="0"/>
    <n v="0"/>
    <n v="0"/>
  </r>
  <r>
    <d v="1997-07-17T00:00:00"/>
    <n v="1997"/>
    <x v="10"/>
    <s v="R"/>
    <s v="RS"/>
    <x v="6"/>
    <s v="CLE"/>
    <s v="A"/>
    <n v="0"/>
    <n v="1"/>
    <n v="-1"/>
    <n v="1"/>
    <n v="-8"/>
    <n v="8"/>
    <n v="1510.6786612941085"/>
    <n v="1430.8457698611617"/>
    <n v="0.47100974934202633"/>
    <n v="47"/>
    <n v="65"/>
    <n v="0"/>
    <n v="-18"/>
    <n v="0"/>
    <n v="0.51272374928329878"/>
    <n v="1"/>
    <n v="74.349999999999994"/>
    <n v="74.349999999999994"/>
    <n v="-17.955367722361729"/>
    <n v="1492.7232935717468"/>
    <n v="0"/>
    <n v="1"/>
    <n v="0"/>
    <n v="0"/>
    <n v="0"/>
    <n v="0"/>
    <n v="0"/>
    <n v="0"/>
    <n v="0"/>
    <n v="0"/>
  </r>
  <r>
    <d v="1997-07-17T00:00:00"/>
    <n v="1997"/>
    <x v="11"/>
    <s v="R"/>
    <s v="RS"/>
    <x v="1"/>
    <s v="CHA"/>
    <s v="H"/>
    <n v="1"/>
    <n v="0"/>
    <n v="1"/>
    <n v="-1"/>
    <n v="8"/>
    <n v="-8"/>
    <n v="1430.8457698611617"/>
    <n v="1510.6786612941085"/>
    <n v="0.52899025065797367"/>
    <n v="65"/>
    <n v="47"/>
    <n v="0"/>
    <n v="18"/>
    <n v="1"/>
    <n v="0.51272374928329878"/>
    <n v="1"/>
    <n v="74.2"/>
    <n v="74.2"/>
    <n v="17.919143039666984"/>
    <n v="1448.7649129008287"/>
    <n v="1"/>
    <n v="0"/>
    <n v="0"/>
    <n v="0"/>
    <n v="0"/>
    <n v="0"/>
    <n v="0"/>
    <n v="0"/>
    <n v="0"/>
    <n v="0"/>
  </r>
  <r>
    <d v="1997-07-17T00:00:00"/>
    <n v="1997"/>
    <x v="12"/>
    <s v="R"/>
    <s v="RS"/>
    <x v="5"/>
    <s v="NYL"/>
    <s v="A"/>
    <n v="0"/>
    <n v="1"/>
    <n v="-1"/>
    <n v="1"/>
    <n v="-8"/>
    <n v="8"/>
    <n v="1405.0134541576333"/>
    <n v="1591.5674112835773"/>
    <n v="0.16117151150305858"/>
    <n v="54"/>
    <n v="80"/>
    <n v="0"/>
    <n v="-26"/>
    <n v="0"/>
    <n v="0.56608316797649783"/>
    <n v="1"/>
    <n v="74.05"/>
    <n v="74.05"/>
    <n v="-6.7560613306126456"/>
    <n v="1398.2573928270206"/>
    <n v="0"/>
    <n v="1"/>
    <n v="0"/>
    <n v="0"/>
    <n v="0"/>
    <n v="0"/>
    <n v="0"/>
    <n v="0"/>
    <n v="0"/>
    <n v="0"/>
  </r>
  <r>
    <d v="1997-07-17T00:00:00"/>
    <n v="1997"/>
    <x v="12"/>
    <s v="R"/>
    <s v="RS"/>
    <x v="2"/>
    <s v="UTA"/>
    <s v="H"/>
    <n v="1"/>
    <n v="0"/>
    <n v="1"/>
    <n v="-1"/>
    <n v="8"/>
    <n v="-8"/>
    <n v="1591.5674112835773"/>
    <n v="1405.0134541576333"/>
    <n v="0.83882848849694147"/>
    <n v="80"/>
    <n v="54"/>
    <n v="0"/>
    <n v="26"/>
    <n v="1"/>
    <n v="0.56608316797649783"/>
    <n v="1"/>
    <n v="74.05"/>
    <n v="74.05"/>
    <n v="6.7560613306126429"/>
    <n v="1598.32347261419"/>
    <n v="1"/>
    <n v="0"/>
    <n v="0"/>
    <n v="0"/>
    <n v="0"/>
    <n v="0"/>
    <n v="0"/>
    <n v="0"/>
    <n v="0"/>
    <n v="0"/>
  </r>
  <r>
    <d v="1997-07-18T00:00:00"/>
    <n v="1997"/>
    <x v="12"/>
    <s v="R"/>
    <s v="RS"/>
    <x v="0"/>
    <s v="SAC"/>
    <s v="A"/>
    <n v="1"/>
    <n v="1"/>
    <n v="0"/>
    <n v="0"/>
    <n v="0"/>
    <n v="0"/>
    <n v="1535.8196975082244"/>
    <n v="1469.2942915837823"/>
    <n v="0.47487322160736523"/>
    <n v="82"/>
    <n v="60"/>
    <n v="0"/>
    <n v="22"/>
    <n v="1"/>
    <n v="0.57043261998907602"/>
    <n v="1"/>
    <n v="74.05"/>
    <n v="74.05"/>
    <n v="22.181636330046331"/>
    <n v="1558.0013338382707"/>
    <n v="1"/>
    <n v="0"/>
    <n v="0"/>
    <n v="0"/>
    <n v="0"/>
    <n v="0"/>
    <n v="0"/>
    <n v="0"/>
    <n v="0"/>
    <n v="0"/>
  </r>
  <r>
    <d v="1997-07-18T00:00:00"/>
    <n v="1997"/>
    <x v="11"/>
    <s v="R"/>
    <s v="RS"/>
    <x v="4"/>
    <s v="HOU"/>
    <s v="H"/>
    <n v="1"/>
    <n v="1"/>
    <n v="0"/>
    <n v="0"/>
    <n v="0"/>
    <n v="0"/>
    <n v="1469.2942915837823"/>
    <n v="1535.8196975082244"/>
    <n v="0.52512677839263477"/>
    <n v="60"/>
    <n v="82"/>
    <n v="0"/>
    <n v="-22"/>
    <n v="0"/>
    <n v="0.57043261998907602"/>
    <n v="1"/>
    <n v="74.2"/>
    <n v="74.2"/>
    <n v="-22.226568746650074"/>
    <n v="1447.0677228371321"/>
    <n v="0"/>
    <n v="1"/>
    <n v="0"/>
    <n v="0"/>
    <n v="0"/>
    <n v="0"/>
    <n v="0"/>
    <n v="0"/>
    <n v="0"/>
    <n v="0"/>
  </r>
  <r>
    <d v="1997-07-19T00:00:00"/>
    <n v="1997"/>
    <x v="13"/>
    <s v="R"/>
    <s v="RS"/>
    <x v="5"/>
    <s v="CLE"/>
    <s v="A"/>
    <n v="1"/>
    <n v="1"/>
    <n v="0"/>
    <n v="0"/>
    <n v="0"/>
    <n v="0"/>
    <n v="1398.2573928270206"/>
    <n v="1448.7649129008287"/>
    <n v="0.31555235880359545"/>
    <n v="68"/>
    <n v="95"/>
    <n v="0"/>
    <n v="-27"/>
    <n v="0"/>
    <n v="0.63974025518277711"/>
    <n v="1"/>
    <n v="73.900000000000006"/>
    <n v="73.900000000000006"/>
    <n v="-14.918307289641461"/>
    <n v="1383.3390855373791"/>
    <n v="0"/>
    <n v="1"/>
    <n v="0"/>
    <n v="0"/>
    <n v="0"/>
    <n v="0"/>
    <n v="0"/>
    <n v="0"/>
    <n v="0"/>
    <n v="0"/>
  </r>
  <r>
    <d v="1997-07-19T00:00:00"/>
    <n v="1997"/>
    <x v="12"/>
    <s v="R"/>
    <s v="RS"/>
    <x v="1"/>
    <s v="UTA"/>
    <s v="H"/>
    <n v="1"/>
    <n v="1"/>
    <n v="0"/>
    <n v="0"/>
    <n v="0"/>
    <n v="0"/>
    <n v="1448.7649129008287"/>
    <n v="1398.2573928270206"/>
    <n v="0.68444764119640455"/>
    <n v="95"/>
    <n v="68"/>
    <n v="0"/>
    <n v="27"/>
    <n v="1"/>
    <n v="0.63974025518277711"/>
    <n v="1"/>
    <n v="74.05"/>
    <n v="74.05"/>
    <n v="14.948588021623141"/>
    <n v="1463.7135009224519"/>
    <n v="1"/>
    <n v="0"/>
    <n v="0"/>
    <n v="0"/>
    <n v="0"/>
    <n v="0"/>
    <n v="0"/>
    <n v="0"/>
    <n v="0"/>
    <n v="0"/>
  </r>
  <r>
    <d v="1997-07-19T00:00:00"/>
    <n v="1997"/>
    <x v="12"/>
    <s v="R"/>
    <s v="RS"/>
    <x v="3"/>
    <s v="NYL"/>
    <s v="A"/>
    <n v="2"/>
    <n v="1"/>
    <n v="1"/>
    <n v="-1"/>
    <n v="8"/>
    <n v="-8"/>
    <n v="1491.0774656113301"/>
    <n v="1598.32347261419"/>
    <n v="0.26721532457235714"/>
    <n v="57"/>
    <n v="69"/>
    <n v="0"/>
    <n v="-12"/>
    <n v="0"/>
    <n v="0.41870874247057571"/>
    <n v="1"/>
    <n v="74.05"/>
    <n v="74.05"/>
    <n v="-8.2851133161473491"/>
    <n v="1482.7923522951828"/>
    <n v="0"/>
    <n v="1"/>
    <n v="0"/>
    <n v="0"/>
    <n v="0"/>
    <n v="0"/>
    <n v="0"/>
    <n v="0"/>
    <n v="0"/>
    <n v="0"/>
  </r>
  <r>
    <d v="1997-07-19T00:00:00"/>
    <n v="1997"/>
    <x v="13"/>
    <s v="R"/>
    <s v="RS"/>
    <x v="2"/>
    <s v="LAS"/>
    <s v="H"/>
    <n v="1"/>
    <n v="2"/>
    <n v="-1"/>
    <n v="1"/>
    <n v="-8"/>
    <n v="8"/>
    <n v="1598.32347261419"/>
    <n v="1491.0774656113301"/>
    <n v="0.73278467542764292"/>
    <n v="69"/>
    <n v="57"/>
    <n v="0"/>
    <n v="12"/>
    <n v="1"/>
    <n v="0.41870874247057571"/>
    <n v="1"/>
    <n v="73.900000000000006"/>
    <n v="73.900000000000006"/>
    <n v="8.2683305072692637"/>
    <n v="1606.5918031214592"/>
    <n v="1"/>
    <n v="0"/>
    <n v="0"/>
    <n v="0"/>
    <n v="0"/>
    <n v="0"/>
    <n v="0"/>
    <n v="0"/>
    <n v="0"/>
    <n v="0"/>
  </r>
  <r>
    <d v="1997-07-21T00:00:00"/>
    <n v="1997"/>
    <x v="13"/>
    <s v="R"/>
    <s v="RS"/>
    <x v="3"/>
    <s v="CHA"/>
    <s v="A"/>
    <n v="1"/>
    <n v="3"/>
    <n v="-2"/>
    <n v="2"/>
    <n v="-16"/>
    <n v="16"/>
    <n v="1482.7923522951828"/>
    <n v="1492.7232935717468"/>
    <n v="0.32631119684343907"/>
    <n v="64"/>
    <n v="75"/>
    <n v="0"/>
    <n v="-11"/>
    <n v="0"/>
    <n v="0.43622585909927014"/>
    <n v="1"/>
    <n v="73.900000000000006"/>
    <n v="73.900000000000006"/>
    <n v="-10.519323742861106"/>
    <n v="1472.2730285523216"/>
    <n v="0"/>
    <n v="1"/>
    <n v="0"/>
    <n v="0"/>
    <n v="0"/>
    <n v="0"/>
    <n v="0"/>
    <n v="0"/>
    <n v="0"/>
    <n v="0"/>
  </r>
  <r>
    <d v="1997-07-21T00:00:00"/>
    <n v="1997"/>
    <x v="11"/>
    <s v="R"/>
    <s v="RS"/>
    <x v="6"/>
    <s v="LAS"/>
    <s v="H"/>
    <n v="3"/>
    <n v="1"/>
    <n v="2"/>
    <n v="-2"/>
    <n v="16"/>
    <n v="-16"/>
    <n v="1492.7232935717468"/>
    <n v="1482.7923522951828"/>
    <n v="0.67368880315656088"/>
    <n v="75"/>
    <n v="64"/>
    <n v="0"/>
    <n v="11"/>
    <n v="1"/>
    <n v="0.43622585909927014"/>
    <n v="1"/>
    <n v="74.2"/>
    <n v="74.2"/>
    <n v="10.562027357514129"/>
    <n v="1503.2853209292609"/>
    <n v="1"/>
    <n v="0"/>
    <n v="0"/>
    <n v="0"/>
    <n v="0"/>
    <n v="0"/>
    <n v="0"/>
    <n v="0"/>
    <n v="0"/>
    <n v="0"/>
  </r>
  <r>
    <d v="1997-07-21T00:00:00"/>
    <n v="1997"/>
    <x v="10"/>
    <s v="R"/>
    <s v="RS"/>
    <x v="7"/>
    <s v="SAC"/>
    <s v="A"/>
    <n v="4"/>
    <n v="2"/>
    <n v="2"/>
    <n v="-2"/>
    <n v="16"/>
    <n v="-16"/>
    <n v="1565.955601444047"/>
    <n v="1447.0677228371321"/>
    <n v="0.59508752922353081"/>
    <n v="70"/>
    <n v="57"/>
    <n v="0"/>
    <n v="13"/>
    <n v="1"/>
    <n v="0.42949254137907517"/>
    <n v="1"/>
    <n v="74.349999999999994"/>
    <n v="74.349999999999994"/>
    <n v="12.929976982268554"/>
    <n v="1578.8855784263155"/>
    <n v="1"/>
    <n v="0"/>
    <n v="0"/>
    <n v="0"/>
    <n v="0"/>
    <n v="0"/>
    <n v="0"/>
    <n v="0"/>
    <n v="0"/>
    <n v="0"/>
  </r>
  <r>
    <d v="1997-07-21T00:00:00"/>
    <n v="1997"/>
    <x v="12"/>
    <s v="R"/>
    <s v="RS"/>
    <x v="4"/>
    <s v="PHX"/>
    <s v="H"/>
    <n v="2"/>
    <n v="4"/>
    <n v="-2"/>
    <n v="2"/>
    <n v="-16"/>
    <n v="16"/>
    <n v="1447.0677228371321"/>
    <n v="1565.955601444047"/>
    <n v="0.40491247077646908"/>
    <n v="57"/>
    <n v="70"/>
    <n v="0"/>
    <n v="-13"/>
    <n v="0"/>
    <n v="0.42949254137907517"/>
    <n v="1"/>
    <n v="74.05"/>
    <n v="74.05"/>
    <n v="-12.877804916435593"/>
    <n v="1434.1899179206966"/>
    <n v="0"/>
    <n v="1"/>
    <n v="0"/>
    <n v="0"/>
    <n v="0"/>
    <n v="0"/>
    <n v="0"/>
    <n v="0"/>
    <n v="0"/>
    <n v="0"/>
  </r>
  <r>
    <d v="1997-07-22T00:00:00"/>
    <n v="1997"/>
    <x v="14"/>
    <s v="R"/>
    <s v="RS"/>
    <x v="5"/>
    <s v="NYL"/>
    <s v="A"/>
    <n v="2"/>
    <n v="2"/>
    <n v="0"/>
    <n v="0"/>
    <n v="0"/>
    <n v="0"/>
    <n v="1383.3390855373791"/>
    <n v="1606.5918031214592"/>
    <n v="0.14570546298130332"/>
    <n v="78"/>
    <n v="71"/>
    <n v="0"/>
    <n v="7"/>
    <n v="1"/>
    <n v="0.31205182431583633"/>
    <n v="1"/>
    <n v="73.75"/>
    <n v="73.75"/>
    <n v="19.660582447505611"/>
    <n v="1402.9996679848848"/>
    <n v="1"/>
    <n v="0"/>
    <n v="0"/>
    <n v="0"/>
    <n v="0"/>
    <n v="0"/>
    <n v="0"/>
    <n v="0"/>
    <n v="0"/>
    <n v="0"/>
  </r>
  <r>
    <d v="1997-07-22T00:00:00"/>
    <n v="1997"/>
    <x v="14"/>
    <s v="R"/>
    <s v="RS"/>
    <x v="2"/>
    <s v="UTA"/>
    <s v="H"/>
    <n v="2"/>
    <n v="2"/>
    <n v="0"/>
    <n v="0"/>
    <n v="0"/>
    <n v="0"/>
    <n v="1606.5918031214592"/>
    <n v="1383.3390855373791"/>
    <n v="0.85429453701869673"/>
    <n v="71"/>
    <n v="78"/>
    <n v="0"/>
    <n v="-7"/>
    <n v="0"/>
    <n v="0.31205182431583633"/>
    <n v="1"/>
    <n v="73.75"/>
    <n v="73.75"/>
    <n v="-19.660582447505611"/>
    <n v="1586.9312206739535"/>
    <n v="0"/>
    <n v="1"/>
    <n v="0"/>
    <n v="0"/>
    <n v="0"/>
    <n v="0"/>
    <n v="0"/>
    <n v="0"/>
    <n v="0"/>
    <n v="0"/>
  </r>
  <r>
    <d v="1997-07-22T00:00:00"/>
    <n v="1997"/>
    <x v="13"/>
    <s v="R"/>
    <s v="RS"/>
    <x v="0"/>
    <s v="PHX"/>
    <s v="A"/>
    <n v="3"/>
    <n v="0"/>
    <n v="3"/>
    <n v="-3"/>
    <n v="16"/>
    <n v="-16"/>
    <n v="1558.0013338382707"/>
    <n v="1578.8855784263155"/>
    <n v="0.39662313486802397"/>
    <n v="77"/>
    <n v="69"/>
    <n v="0"/>
    <n v="8"/>
    <n v="1"/>
    <n v="0.38167307348686347"/>
    <n v="1"/>
    <n v="73.900000000000006"/>
    <n v="73.900000000000006"/>
    <n v="17.018630721089881"/>
    <n v="1575.0199645593607"/>
    <n v="1"/>
    <n v="0"/>
    <n v="0"/>
    <n v="0"/>
    <n v="0"/>
    <n v="0"/>
    <n v="0"/>
    <n v="0"/>
    <n v="0"/>
    <n v="0"/>
  </r>
  <r>
    <d v="1997-07-22T00:00:00"/>
    <n v="1997"/>
    <x v="11"/>
    <s v="R"/>
    <s v="RS"/>
    <x v="7"/>
    <s v="HOU"/>
    <s v="H"/>
    <n v="0"/>
    <n v="3"/>
    <n v="-3"/>
    <n v="3"/>
    <n v="-16"/>
    <n v="16"/>
    <n v="1578.8855784263155"/>
    <n v="1558.0013338382707"/>
    <n v="0.60337686513197597"/>
    <n v="69"/>
    <n v="77"/>
    <n v="0"/>
    <n v="-8"/>
    <n v="0"/>
    <n v="0.38167307348686347"/>
    <n v="1"/>
    <n v="74.2"/>
    <n v="74.2"/>
    <n v="-17.087718531865615"/>
    <n v="1561.7978598944499"/>
    <n v="0"/>
    <n v="1"/>
    <n v="0"/>
    <n v="0"/>
    <n v="0"/>
    <n v="0"/>
    <n v="0"/>
    <n v="0"/>
    <n v="0"/>
    <n v="0"/>
  </r>
  <r>
    <d v="1997-07-23T00:00:00"/>
    <n v="1997"/>
    <x v="15"/>
    <s v="R"/>
    <s v="RS"/>
    <x v="2"/>
    <s v="CHA"/>
    <s v="A"/>
    <n v="0"/>
    <n v="1"/>
    <n v="-1"/>
    <n v="1"/>
    <n v="-8"/>
    <n v="8"/>
    <n v="1586.9312206739535"/>
    <n v="1503.2853209292609"/>
    <n v="0.47648192469094325"/>
    <n v="65"/>
    <n v="63"/>
    <n v="0"/>
    <n v="2"/>
    <n v="1"/>
    <n v="0.25038804317883129"/>
    <n v="1"/>
    <n v="73.599999999999994"/>
    <n v="73.599999999999994"/>
    <n v="9.6476842503801681"/>
    <n v="1596.5789049243338"/>
    <n v="1"/>
    <n v="0"/>
    <n v="0"/>
    <n v="0"/>
    <n v="0"/>
    <n v="0"/>
    <n v="0"/>
    <n v="0"/>
    <n v="0"/>
    <n v="0"/>
  </r>
  <r>
    <d v="1997-07-23T00:00:00"/>
    <n v="1997"/>
    <x v="12"/>
    <s v="R"/>
    <s v="RS"/>
    <x v="6"/>
    <s v="NYL"/>
    <s v="H"/>
    <n v="1"/>
    <n v="0"/>
    <n v="1"/>
    <n v="-1"/>
    <n v="8"/>
    <n v="-8"/>
    <n v="1503.2853209292609"/>
    <n v="1586.9312206739535"/>
    <n v="0.52351807530905681"/>
    <n v="63"/>
    <n v="65"/>
    <n v="0"/>
    <n v="-2"/>
    <n v="0"/>
    <n v="0.25038804317883129"/>
    <n v="1"/>
    <n v="74.05"/>
    <n v="74.05"/>
    <n v="-9.7066714502805933"/>
    <n v="1493.5786494789804"/>
    <n v="0"/>
    <n v="1"/>
    <n v="0"/>
    <n v="0"/>
    <n v="0"/>
    <n v="0"/>
    <n v="0"/>
    <n v="0"/>
    <n v="0"/>
    <n v="0"/>
  </r>
  <r>
    <d v="1997-07-23T00:00:00"/>
    <n v="1997"/>
    <x v="13"/>
    <s v="R"/>
    <s v="RS"/>
    <x v="1"/>
    <s v="LAS"/>
    <s v="A"/>
    <n v="3"/>
    <n v="1"/>
    <n v="2"/>
    <n v="-2"/>
    <n v="16"/>
    <n v="-16"/>
    <n v="1463.7135009224519"/>
    <n v="1472.2730285523216"/>
    <n v="0.41371985707432773"/>
    <n v="89"/>
    <n v="85"/>
    <n v="0"/>
    <n v="4"/>
    <n v="1"/>
    <n v="0.30922703709726534"/>
    <n v="1"/>
    <n v="73.900000000000006"/>
    <n v="73.900000000000006"/>
    <n v="13.397602324283564"/>
    <n v="1477.1111032467354"/>
    <n v="1"/>
    <n v="0"/>
    <n v="0"/>
    <n v="0"/>
    <n v="0"/>
    <n v="0"/>
    <n v="0"/>
    <n v="0"/>
    <n v="0"/>
    <n v="0"/>
  </r>
  <r>
    <d v="1997-07-23T00:00:00"/>
    <n v="1997"/>
    <x v="14"/>
    <s v="R"/>
    <s v="RS"/>
    <x v="3"/>
    <s v="CLE"/>
    <s v="H"/>
    <n v="1"/>
    <n v="3"/>
    <n v="-2"/>
    <n v="2"/>
    <n v="-16"/>
    <n v="16"/>
    <n v="1472.2730285523216"/>
    <n v="1463.7135009224519"/>
    <n v="0.58628014292567232"/>
    <n v="85"/>
    <n v="89"/>
    <n v="0"/>
    <n v="-4"/>
    <n v="0"/>
    <n v="0.30922703709726534"/>
    <n v="1"/>
    <n v="73.75"/>
    <n v="73.75"/>
    <n v="-13.370408273557684"/>
    <n v="1458.9026202787641"/>
    <n v="0"/>
    <n v="1"/>
    <n v="0"/>
    <n v="0"/>
    <n v="0"/>
    <n v="0"/>
    <n v="0"/>
    <n v="0"/>
    <n v="0"/>
    <n v="0"/>
  </r>
  <r>
    <d v="1997-07-25T00:00:00"/>
    <n v="1997"/>
    <x v="15"/>
    <s v="R"/>
    <s v="RS"/>
    <x v="3"/>
    <s v="PHX"/>
    <s v="A"/>
    <n v="1"/>
    <n v="2"/>
    <n v="-1"/>
    <n v="1"/>
    <n v="-8"/>
    <n v="8"/>
    <n v="1458.9026202787641"/>
    <n v="1561.7978598944499"/>
    <n v="0.23722412346325189"/>
    <n v="86"/>
    <n v="83"/>
    <n v="1"/>
    <n v="3"/>
    <n v="1"/>
    <n v="0.24053983256477901"/>
    <n v="1"/>
    <n v="73.599999999999994"/>
    <n v="73.599999999999994"/>
    <n v="13.503979447717901"/>
    <n v="1472.406599726482"/>
    <n v="1"/>
    <n v="0"/>
    <n v="0"/>
    <n v="0"/>
    <n v="0"/>
    <n v="0"/>
    <n v="0"/>
    <n v="0"/>
    <n v="0"/>
    <n v="0"/>
  </r>
  <r>
    <d v="1997-07-25T00:00:00"/>
    <n v="1997"/>
    <x v="12"/>
    <s v="R"/>
    <s v="RS"/>
    <x v="7"/>
    <s v="LAS"/>
    <s v="H"/>
    <n v="2"/>
    <n v="1"/>
    <n v="1"/>
    <n v="-1"/>
    <n v="8"/>
    <n v="-8"/>
    <n v="1561.7978598944499"/>
    <n v="1458.9026202787641"/>
    <n v="0.76277587653674817"/>
    <n v="83"/>
    <n v="86"/>
    <n v="1"/>
    <n v="-3"/>
    <n v="0"/>
    <n v="0.24053983256477901"/>
    <n v="1"/>
    <n v="74.05"/>
    <n v="74.05"/>
    <n v="-13.586544539449873"/>
    <n v="1548.2113153549999"/>
    <n v="0"/>
    <n v="1"/>
    <n v="0"/>
    <n v="0"/>
    <n v="0"/>
    <n v="0"/>
    <n v="0"/>
    <n v="0"/>
    <n v="0"/>
    <n v="0"/>
  </r>
  <r>
    <d v="1997-07-25T00:00:00"/>
    <n v="1997"/>
    <x v="14"/>
    <s v="R"/>
    <s v="RS"/>
    <x v="0"/>
    <s v="SAC"/>
    <s v="A"/>
    <n v="2"/>
    <n v="3"/>
    <n v="-1"/>
    <n v="1"/>
    <n v="-8"/>
    <n v="8"/>
    <n v="1575.0199645593607"/>
    <n v="1434.1899179206966"/>
    <n v="0.55849014756249304"/>
    <n v="86"/>
    <n v="76"/>
    <n v="0"/>
    <n v="10"/>
    <n v="1"/>
    <n v="0.37868754542877137"/>
    <n v="1"/>
    <n v="73.75"/>
    <n v="73.75"/>
    <n v="12.330578319785667"/>
    <n v="1587.3505428791464"/>
    <n v="1"/>
    <n v="0"/>
    <n v="0"/>
    <n v="0"/>
    <n v="0"/>
    <n v="0"/>
    <n v="0"/>
    <n v="0"/>
    <n v="0"/>
    <n v="0"/>
  </r>
  <r>
    <d v="1997-07-25T00:00:00"/>
    <n v="1997"/>
    <x v="13"/>
    <s v="R"/>
    <s v="RS"/>
    <x v="4"/>
    <s v="HOU"/>
    <s v="H"/>
    <n v="3"/>
    <n v="2"/>
    <n v="1"/>
    <n v="-1"/>
    <n v="8"/>
    <n v="-8"/>
    <n v="1434.1899179206966"/>
    <n v="1575.0199645593607"/>
    <n v="0.4415098524375069"/>
    <n v="76"/>
    <n v="86"/>
    <n v="0"/>
    <n v="-10"/>
    <n v="0"/>
    <n v="0.37868754542877137"/>
    <n v="1"/>
    <n v="73.900000000000006"/>
    <n v="73.900000000000006"/>
    <n v="-12.355657462130996"/>
    <n v="1421.8342604585657"/>
    <n v="0"/>
    <n v="1"/>
    <n v="0"/>
    <n v="0"/>
    <n v="0"/>
    <n v="0"/>
    <n v="0"/>
    <n v="0"/>
    <n v="0"/>
    <n v="0"/>
  </r>
  <r>
    <d v="1997-07-26T00:00:00"/>
    <n v="1997"/>
    <x v="13"/>
    <s v="R"/>
    <s v="RS"/>
    <x v="6"/>
    <s v="NYL"/>
    <s v="A"/>
    <n v="2"/>
    <n v="2"/>
    <n v="0"/>
    <n v="0"/>
    <n v="0"/>
    <n v="0"/>
    <n v="1493.5786494789804"/>
    <n v="1596.5789049243338"/>
    <n v="0.25417651289278775"/>
    <n v="64"/>
    <n v="61"/>
    <n v="0"/>
    <n v="3"/>
    <n v="1"/>
    <n v="0.26724494017802874"/>
    <n v="1"/>
    <n v="73.900000000000006"/>
    <n v="73.900000000000006"/>
    <n v="14.729567181135311"/>
    <n v="1508.3082166601157"/>
    <n v="1"/>
    <n v="0"/>
    <n v="0"/>
    <n v="0"/>
    <n v="0"/>
    <n v="0"/>
    <n v="0"/>
    <n v="0"/>
    <n v="0"/>
    <n v="0"/>
  </r>
  <r>
    <d v="1997-07-26T00:00:00"/>
    <n v="1997"/>
    <x v="16"/>
    <s v="R"/>
    <s v="RS"/>
    <x v="2"/>
    <s v="CHA"/>
    <s v="H"/>
    <n v="2"/>
    <n v="2"/>
    <n v="0"/>
    <n v="0"/>
    <n v="0"/>
    <n v="0"/>
    <n v="1596.5789049243338"/>
    <n v="1493.5786494789804"/>
    <n v="0.74582348710721225"/>
    <n v="61"/>
    <n v="64"/>
    <n v="0"/>
    <n v="-3"/>
    <n v="0"/>
    <n v="0.26724494017802874"/>
    <n v="1"/>
    <n v="73.45"/>
    <n v="73.45"/>
    <n v="-14.639874282197409"/>
    <n v="1581.9390306421365"/>
    <n v="0"/>
    <n v="1"/>
    <n v="0"/>
    <n v="0"/>
    <n v="0"/>
    <n v="0"/>
    <n v="0"/>
    <n v="0"/>
    <n v="0"/>
    <n v="0"/>
  </r>
  <r>
    <d v="1997-07-26T00:00:00"/>
    <n v="1997"/>
    <x v="14"/>
    <s v="R"/>
    <s v="RS"/>
    <x v="1"/>
    <s v="UTA"/>
    <s v="A"/>
    <n v="2"/>
    <n v="3"/>
    <n v="-1"/>
    <n v="1"/>
    <n v="-8"/>
    <n v="8"/>
    <n v="1477.1111032467354"/>
    <n v="1402.9996679848848"/>
    <n v="0.46281216014104343"/>
    <n v="77"/>
    <n v="66"/>
    <n v="0"/>
    <n v="11"/>
    <n v="1"/>
    <n v="0.41425196391921992"/>
    <n v="1"/>
    <n v="73.75"/>
    <n v="73.75"/>
    <n v="16.411669927063343"/>
    <n v="1493.5227731737987"/>
    <n v="1"/>
    <n v="0"/>
    <n v="0"/>
    <n v="0"/>
    <n v="0"/>
    <n v="0"/>
    <n v="0"/>
    <n v="0"/>
    <n v="0"/>
    <n v="0"/>
  </r>
  <r>
    <d v="1997-07-26T00:00:00"/>
    <n v="1997"/>
    <x v="15"/>
    <s v="R"/>
    <s v="RS"/>
    <x v="5"/>
    <s v="CLE"/>
    <s v="H"/>
    <n v="3"/>
    <n v="2"/>
    <n v="1"/>
    <n v="-1"/>
    <n v="8"/>
    <n v="-8"/>
    <n v="1402.9996679848848"/>
    <n v="1477.1111032467354"/>
    <n v="0.53718783985895646"/>
    <n v="66"/>
    <n v="77"/>
    <n v="0"/>
    <n v="-11"/>
    <n v="0"/>
    <n v="0.41425196391921992"/>
    <n v="1"/>
    <n v="73.599999999999994"/>
    <n v="73.599999999999994"/>
    <n v="-16.378290259415074"/>
    <n v="1386.6213777254698"/>
    <n v="0"/>
    <n v="1"/>
    <n v="0"/>
    <n v="0"/>
    <n v="0"/>
    <n v="0"/>
    <n v="0"/>
    <n v="0"/>
    <n v="0"/>
    <n v="0"/>
  </r>
  <r>
    <d v="1997-07-27T00:00:00"/>
    <n v="1997"/>
    <x v="16"/>
    <s v="R"/>
    <s v="RS"/>
    <x v="3"/>
    <s v="SAC"/>
    <s v="A"/>
    <n v="1"/>
    <n v="1"/>
    <n v="0"/>
    <n v="0"/>
    <n v="0"/>
    <n v="0"/>
    <n v="1472.406599726482"/>
    <n v="1421.8342604585657"/>
    <n v="0.45204161917790042"/>
    <n v="84"/>
    <n v="62"/>
    <n v="0"/>
    <n v="22"/>
    <n v="1"/>
    <n v="0.57770940784372316"/>
    <n v="1"/>
    <n v="73.45"/>
    <n v="73.45"/>
    <n v="23.251384274933539"/>
    <n v="1495.6579840014156"/>
    <n v="1"/>
    <n v="0"/>
    <n v="0"/>
    <n v="0"/>
    <n v="0"/>
    <n v="0"/>
    <n v="0"/>
    <n v="0"/>
    <n v="0"/>
    <n v="0"/>
  </r>
  <r>
    <d v="1997-07-27T00:00:00"/>
    <n v="1997"/>
    <x v="14"/>
    <s v="R"/>
    <s v="RS"/>
    <x v="4"/>
    <s v="LAS"/>
    <s v="H"/>
    <n v="1"/>
    <n v="1"/>
    <n v="0"/>
    <n v="0"/>
    <n v="0"/>
    <n v="0"/>
    <n v="1421.8342604585657"/>
    <n v="1472.406599726482"/>
    <n v="0.54795838082209958"/>
    <n v="62"/>
    <n v="84"/>
    <n v="0"/>
    <n v="-22"/>
    <n v="0"/>
    <n v="0.57770940784372316"/>
    <n v="1"/>
    <n v="73.75"/>
    <n v="73.75"/>
    <n v="-23.346352488445863"/>
    <n v="1398.4879079701197"/>
    <n v="0"/>
    <n v="1"/>
    <n v="0"/>
    <n v="0"/>
    <n v="0"/>
    <n v="0"/>
    <n v="0"/>
    <n v="0"/>
    <n v="0"/>
    <n v="0"/>
  </r>
  <r>
    <d v="1997-07-28T00:00:00"/>
    <n v="1997"/>
    <x v="15"/>
    <s v="R"/>
    <s v="RS"/>
    <x v="1"/>
    <s v="PHX"/>
    <s v="A"/>
    <n v="1"/>
    <n v="2"/>
    <n v="-1"/>
    <n v="1"/>
    <n v="-8"/>
    <n v="8"/>
    <n v="1493.5227731737987"/>
    <n v="1548.2113153549999"/>
    <n v="0.29101515047437898"/>
    <n v="76"/>
    <n v="64"/>
    <n v="0"/>
    <n v="12"/>
    <n v="1"/>
    <n v="0.43624797173990626"/>
    <n v="1"/>
    <n v="73.599999999999994"/>
    <n v="73.599999999999994"/>
    <n v="22.763979711350785"/>
    <n v="1516.2867528851496"/>
    <n v="1"/>
    <n v="0"/>
    <n v="0"/>
    <n v="0"/>
    <n v="0"/>
    <n v="0"/>
    <n v="0"/>
    <n v="0"/>
    <n v="0"/>
    <n v="0"/>
  </r>
  <r>
    <d v="1997-07-28T00:00:00"/>
    <n v="1997"/>
    <x v="13"/>
    <s v="R"/>
    <s v="RS"/>
    <x v="7"/>
    <s v="CLE"/>
    <s v="H"/>
    <n v="2"/>
    <n v="1"/>
    <n v="1"/>
    <n v="-1"/>
    <n v="8"/>
    <n v="-8"/>
    <n v="1548.2113153549999"/>
    <n v="1493.5227731737987"/>
    <n v="0.70898484952562102"/>
    <n v="64"/>
    <n v="76"/>
    <n v="0"/>
    <n v="-12"/>
    <n v="0"/>
    <n v="0.43624797173990626"/>
    <n v="1"/>
    <n v="73.900000000000006"/>
    <n v="73.900000000000006"/>
    <n v="-22.856767672130747"/>
    <n v="1525.3545476828692"/>
    <n v="0"/>
    <n v="1"/>
    <n v="0"/>
    <n v="0"/>
    <n v="0"/>
    <n v="0"/>
    <n v="0"/>
    <n v="0"/>
    <n v="0"/>
    <n v="0"/>
  </r>
  <r>
    <d v="1997-07-29T00:00:00"/>
    <n v="1997"/>
    <x v="16"/>
    <s v="R"/>
    <s v="RS"/>
    <x v="1"/>
    <s v="HOU"/>
    <s v="A"/>
    <n v="0"/>
    <n v="3"/>
    <n v="-3"/>
    <n v="3"/>
    <n v="-16"/>
    <n v="16"/>
    <n v="1516.2867528851496"/>
    <n v="1587.3505428791464"/>
    <n v="0.25410718658505538"/>
    <n v="73"/>
    <n v="64"/>
    <n v="0"/>
    <n v="9"/>
    <n v="1"/>
    <n v="0.38327410190718458"/>
    <n v="1"/>
    <n v="73.45"/>
    <n v="73.45"/>
    <n v="20.997988696367724"/>
    <n v="1537.2847415815172"/>
    <n v="1"/>
    <n v="0"/>
    <n v="0"/>
    <n v="0"/>
    <n v="0"/>
    <n v="0"/>
    <n v="0"/>
    <n v="0"/>
    <n v="0"/>
    <n v="0"/>
  </r>
  <r>
    <d v="1997-07-29T00:00:00"/>
    <n v="1997"/>
    <x v="15"/>
    <s v="R"/>
    <s v="RS"/>
    <x v="0"/>
    <s v="CLE"/>
    <s v="H"/>
    <n v="3"/>
    <n v="0"/>
    <n v="3"/>
    <n v="-3"/>
    <n v="16"/>
    <n v="-16"/>
    <n v="1587.3505428791464"/>
    <n v="1516.2867528851496"/>
    <n v="0.74589281341494462"/>
    <n v="64"/>
    <n v="73"/>
    <n v="0"/>
    <n v="-9"/>
    <n v="0"/>
    <n v="0.38327410190718458"/>
    <n v="1"/>
    <n v="73.599999999999994"/>
    <n v="73.599999999999994"/>
    <n v="-21.040870906094813"/>
    <n v="1566.3096719730515"/>
    <n v="0"/>
    <n v="1"/>
    <n v="0"/>
    <n v="0"/>
    <n v="0"/>
    <n v="0"/>
    <n v="0"/>
    <n v="0"/>
    <n v="0"/>
    <n v="0"/>
  </r>
  <r>
    <d v="1997-07-30T00:00:00"/>
    <n v="1997"/>
    <x v="14"/>
    <s v="R"/>
    <s v="RS"/>
    <x v="7"/>
    <s v="CHA"/>
    <s v="A"/>
    <n v="1"/>
    <n v="3"/>
    <n v="-2"/>
    <n v="2"/>
    <n v="-16"/>
    <n v="16"/>
    <n v="1525.3545476828692"/>
    <n v="1508.3082166601157"/>
    <n v="0.36132379532753478"/>
    <n v="67"/>
    <n v="68"/>
    <n v="0"/>
    <n v="-1"/>
    <n v="0"/>
    <n v="0.24075961423104933"/>
    <n v="1"/>
    <n v="73.75"/>
    <n v="73.75"/>
    <n v="-6.4156730961972475"/>
    <n v="1518.938874586672"/>
    <n v="0"/>
    <n v="1"/>
    <n v="0"/>
    <n v="0"/>
    <n v="0"/>
    <n v="0"/>
    <n v="0"/>
    <n v="0"/>
    <n v="0"/>
    <n v="0"/>
  </r>
  <r>
    <d v="1997-07-30T00:00:00"/>
    <n v="1997"/>
    <x v="14"/>
    <s v="R"/>
    <s v="RS"/>
    <x v="6"/>
    <s v="PHX"/>
    <s v="H"/>
    <n v="3"/>
    <n v="1"/>
    <n v="2"/>
    <n v="-2"/>
    <n v="16"/>
    <n v="-16"/>
    <n v="1508.3082166601157"/>
    <n v="1525.3545476828692"/>
    <n v="0.63867620467246522"/>
    <n v="68"/>
    <n v="67"/>
    <n v="0"/>
    <n v="1"/>
    <n v="1"/>
    <n v="0.24075961423104933"/>
    <n v="1"/>
    <n v="73.75"/>
    <n v="73.75"/>
    <n v="6.4156730961972475"/>
    <n v="1514.7238897563129"/>
    <n v="1"/>
    <n v="0"/>
    <n v="0"/>
    <n v="0"/>
    <n v="0"/>
    <n v="0"/>
    <n v="0"/>
    <n v="0"/>
    <n v="0"/>
    <n v="0"/>
  </r>
  <r>
    <d v="1997-07-30T00:00:00"/>
    <n v="1997"/>
    <x v="16"/>
    <s v="R"/>
    <s v="RS"/>
    <x v="5"/>
    <s v="LAS"/>
    <s v="A"/>
    <n v="3"/>
    <n v="2"/>
    <n v="1"/>
    <n v="-1"/>
    <n v="8"/>
    <n v="-8"/>
    <n v="1386.6213777254698"/>
    <n v="1495.6579840014156"/>
    <n v="0.26520184516296913"/>
    <n v="69"/>
    <n v="91"/>
    <n v="0"/>
    <n v="-22"/>
    <n v="0"/>
    <n v="0.55190771756913803"/>
    <n v="1"/>
    <n v="73.45"/>
    <n v="73.45"/>
    <n v="-10.75065211458489"/>
    <n v="1375.8707256108848"/>
    <n v="0"/>
    <n v="1"/>
    <n v="0"/>
    <n v="0"/>
    <n v="0"/>
    <n v="0"/>
    <n v="0"/>
    <n v="0"/>
    <n v="0"/>
    <n v="0"/>
  </r>
  <r>
    <d v="1997-07-30T00:00:00"/>
    <n v="1997"/>
    <x v="17"/>
    <s v="R"/>
    <s v="RS"/>
    <x v="3"/>
    <s v="UTA"/>
    <s v="H"/>
    <n v="2"/>
    <n v="3"/>
    <n v="-1"/>
    <n v="1"/>
    <n v="-8"/>
    <n v="8"/>
    <n v="1495.6579840014156"/>
    <n v="1386.6213777254698"/>
    <n v="0.73479815483703081"/>
    <n v="91"/>
    <n v="69"/>
    <n v="0"/>
    <n v="22"/>
    <n v="1"/>
    <n v="0.55190771756913803"/>
    <n v="1"/>
    <n v="73.3"/>
    <n v="73.3"/>
    <n v="10.728697072826039"/>
    <n v="1506.3866810742416"/>
    <n v="1"/>
    <n v="0"/>
    <n v="0"/>
    <n v="0"/>
    <n v="0"/>
    <n v="0"/>
    <n v="0"/>
    <n v="0"/>
    <n v="0"/>
    <n v="0"/>
  </r>
  <r>
    <d v="1997-07-30T00:00:00"/>
    <n v="1997"/>
    <x v="15"/>
    <s v="R"/>
    <s v="RS"/>
    <x v="4"/>
    <s v="NYL"/>
    <s v="A"/>
    <n v="2"/>
    <n v="3"/>
    <n v="-1"/>
    <n v="1"/>
    <n v="-8"/>
    <n v="8"/>
    <n v="1398.4879079701197"/>
    <n v="1581.9390306421365"/>
    <n v="0.1636009194300041"/>
    <n v="68"/>
    <n v="73"/>
    <n v="1"/>
    <n v="-5"/>
    <n v="0"/>
    <n v="0.25898743195648921"/>
    <n v="1"/>
    <n v="73.599999999999994"/>
    <n v="73.599999999999994"/>
    <n v="-3.1184748343828379"/>
    <n v="1395.3694331357369"/>
    <n v="0"/>
    <n v="1"/>
    <n v="0"/>
    <n v="0"/>
    <n v="0"/>
    <n v="0"/>
    <n v="0"/>
    <n v="0"/>
    <n v="0"/>
    <n v="0"/>
  </r>
  <r>
    <d v="1997-07-30T00:00:00"/>
    <n v="1997"/>
    <x v="17"/>
    <s v="R"/>
    <s v="RS"/>
    <x v="2"/>
    <s v="SAC"/>
    <s v="H"/>
    <n v="3"/>
    <n v="2"/>
    <n v="1"/>
    <n v="-1"/>
    <n v="8"/>
    <n v="-8"/>
    <n v="1581.9390306421365"/>
    <n v="1398.4879079701197"/>
    <n v="0.8363990805699959"/>
    <n v="73"/>
    <n v="68"/>
    <n v="1"/>
    <n v="5"/>
    <n v="1"/>
    <n v="0.25898743195648921"/>
    <n v="1"/>
    <n v="73.3"/>
    <n v="73.3"/>
    <n v="3.1057636597861689"/>
    <n v="1585.0447943019226"/>
    <n v="1"/>
    <n v="0"/>
    <n v="0"/>
    <n v="0"/>
    <n v="0"/>
    <n v="0"/>
    <n v="0"/>
    <n v="0"/>
    <n v="0"/>
    <n v="0"/>
  </r>
  <r>
    <d v="1997-07-31T00:00:00"/>
    <n v="1997"/>
    <x v="15"/>
    <s v="R"/>
    <s v="RS"/>
    <x v="7"/>
    <s v="CLE"/>
    <s v="A"/>
    <n v="0"/>
    <n v="1"/>
    <n v="-1"/>
    <n v="1"/>
    <n v="-8"/>
    <n v="8"/>
    <n v="1518.938874586672"/>
    <n v="1537.2847415815172"/>
    <n v="0.33598157556574199"/>
    <n v="67"/>
    <n v="79"/>
    <n v="0"/>
    <n v="-12"/>
    <n v="0"/>
    <n v="0.44926104033327402"/>
    <n v="1"/>
    <n v="73.599999999999994"/>
    <n v="73.599999999999994"/>
    <n v="-11.109436607820761"/>
    <n v="1507.8294379788513"/>
    <n v="0"/>
    <n v="1"/>
    <n v="0"/>
    <n v="0"/>
    <n v="0"/>
    <n v="0"/>
    <n v="0"/>
    <n v="0"/>
    <n v="0"/>
    <n v="0"/>
  </r>
  <r>
    <d v="1997-07-31T00:00:00"/>
    <n v="1997"/>
    <x v="17"/>
    <s v="R"/>
    <s v="RS"/>
    <x v="1"/>
    <s v="PHX"/>
    <s v="H"/>
    <n v="1"/>
    <n v="0"/>
    <n v="1"/>
    <n v="-1"/>
    <n v="8"/>
    <n v="-8"/>
    <n v="1537.2847415815172"/>
    <n v="1518.938874586672"/>
    <n v="0.66401842443425796"/>
    <n v="79"/>
    <n v="67"/>
    <n v="0"/>
    <n v="12"/>
    <n v="1"/>
    <n v="0.44926104033327402"/>
    <n v="1"/>
    <n v="73.3"/>
    <n v="73.3"/>
    <n v="11.064153578169323"/>
    <n v="1548.3488951596864"/>
    <n v="1"/>
    <n v="0"/>
    <n v="0"/>
    <n v="0"/>
    <n v="0"/>
    <n v="0"/>
    <n v="0"/>
    <n v="0"/>
    <n v="0"/>
    <n v="0"/>
  </r>
  <r>
    <d v="1997-08-01T00:00:00"/>
    <n v="1997"/>
    <x v="16"/>
    <s v="R"/>
    <s v="RS"/>
    <x v="4"/>
    <s v="CHA"/>
    <s v="A"/>
    <n v="1"/>
    <n v="1"/>
    <n v="0"/>
    <n v="0"/>
    <n v="0"/>
    <n v="0"/>
    <n v="1395.3694331357369"/>
    <n v="1514.7238897563129"/>
    <n v="0.23674612375291026"/>
    <n v="61"/>
    <n v="85"/>
    <n v="0"/>
    <n v="-24"/>
    <n v="0"/>
    <n v="0.57158037671648643"/>
    <n v="1"/>
    <n v="73.45"/>
    <n v="73.45"/>
    <n v="-9.9392127652328988"/>
    <n v="1385.430220370504"/>
    <n v="0"/>
    <n v="1"/>
    <n v="0"/>
    <n v="0"/>
    <n v="0"/>
    <n v="0"/>
    <n v="0"/>
    <n v="0"/>
    <n v="0"/>
    <n v="0"/>
  </r>
  <r>
    <d v="1997-08-01T00:00:00"/>
    <n v="1997"/>
    <x v="15"/>
    <s v="R"/>
    <s v="RS"/>
    <x v="6"/>
    <s v="SAC"/>
    <s v="H"/>
    <n v="1"/>
    <n v="1"/>
    <n v="0"/>
    <n v="0"/>
    <n v="0"/>
    <n v="0"/>
    <n v="1514.7238897563129"/>
    <n v="1395.3694331357369"/>
    <n v="0.76325387624708974"/>
    <n v="85"/>
    <n v="61"/>
    <n v="0"/>
    <n v="24"/>
    <n v="1"/>
    <n v="0.57158037671648643"/>
    <n v="1"/>
    <n v="73.599999999999994"/>
    <n v="73.599999999999994"/>
    <n v="9.9595106810230263"/>
    <n v="1524.6834004373359"/>
    <n v="1"/>
    <n v="0"/>
    <n v="0"/>
    <n v="0"/>
    <n v="0"/>
    <n v="0"/>
    <n v="0"/>
    <n v="0"/>
    <n v="0"/>
    <n v="0"/>
  </r>
  <r>
    <d v="1997-08-01T00:00:00"/>
    <n v="1997"/>
    <x v="16"/>
    <s v="R"/>
    <s v="RS"/>
    <x v="0"/>
    <s v="LAS"/>
    <s v="A"/>
    <n v="2"/>
    <n v="1"/>
    <n v="1"/>
    <n v="-1"/>
    <n v="8"/>
    <n v="-8"/>
    <n v="1566.3096719730515"/>
    <n v="1506.3866810742416"/>
    <n v="0.48837834308149553"/>
    <n v="81"/>
    <n v="57"/>
    <n v="0"/>
    <n v="24"/>
    <n v="1"/>
    <n v="0.59854223058489342"/>
    <n v="1"/>
    <n v="73.45"/>
    <n v="73.45"/>
    <n v="22.49238547105687"/>
    <n v="1588.8020574441084"/>
    <n v="1"/>
    <n v="0"/>
    <n v="0"/>
    <n v="0"/>
    <n v="0"/>
    <n v="0"/>
    <n v="0"/>
    <n v="0"/>
    <n v="0"/>
    <n v="0"/>
  </r>
  <r>
    <d v="1997-08-01T00:00:00"/>
    <n v="1997"/>
    <x v="18"/>
    <s v="R"/>
    <s v="RS"/>
    <x v="3"/>
    <s v="HOU"/>
    <s v="H"/>
    <n v="1"/>
    <n v="2"/>
    <n v="-1"/>
    <n v="1"/>
    <n v="-8"/>
    <n v="8"/>
    <n v="1506.3866810742416"/>
    <n v="1566.3096719730515"/>
    <n v="0.51162165691850447"/>
    <n v="57"/>
    <n v="81"/>
    <n v="0"/>
    <n v="-24"/>
    <n v="0"/>
    <n v="0.59854223058489342"/>
    <n v="1"/>
    <n v="73.150000000000006"/>
    <n v="73.150000000000006"/>
    <n v="-22.400517320732607"/>
    <n v="1483.9861637535089"/>
    <n v="0"/>
    <n v="1"/>
    <n v="0"/>
    <n v="0"/>
    <n v="0"/>
    <n v="0"/>
    <n v="0"/>
    <n v="0"/>
    <n v="0"/>
    <n v="0"/>
  </r>
  <r>
    <d v="1997-08-02T00:00:00"/>
    <n v="1997"/>
    <x v="17"/>
    <s v="R"/>
    <s v="RS"/>
    <x v="4"/>
    <s v="CLE"/>
    <s v="A"/>
    <n v="0"/>
    <n v="1"/>
    <n v="-1"/>
    <n v="1"/>
    <n v="-8"/>
    <n v="8"/>
    <n v="1385.430220370504"/>
    <n v="1548.3488951596864"/>
    <n v="0.18042340020377765"/>
    <n v="51"/>
    <n v="72"/>
    <n v="0"/>
    <n v="-21"/>
    <n v="0"/>
    <n v="0.51821987649713175"/>
    <n v="1"/>
    <n v="73.3"/>
    <n v="73.3"/>
    <n v="-6.853476126119217"/>
    <n v="1378.5767442443848"/>
    <n v="0"/>
    <n v="1"/>
    <n v="0"/>
    <n v="0"/>
    <n v="0"/>
    <n v="0"/>
    <n v="0"/>
    <n v="0"/>
    <n v="0"/>
    <n v="0"/>
  </r>
  <r>
    <d v="1997-08-02T00:00:00"/>
    <n v="1997"/>
    <x v="18"/>
    <s v="R"/>
    <s v="RS"/>
    <x v="1"/>
    <s v="SAC"/>
    <s v="H"/>
    <n v="1"/>
    <n v="0"/>
    <n v="1"/>
    <n v="-1"/>
    <n v="8"/>
    <n v="-8"/>
    <n v="1548.3488951596864"/>
    <n v="1385.430220370504"/>
    <n v="0.81957659979622233"/>
    <n v="72"/>
    <n v="51"/>
    <n v="0"/>
    <n v="21"/>
    <n v="1"/>
    <n v="0.51821987649713175"/>
    <n v="1"/>
    <n v="73.150000000000006"/>
    <n v="73.150000000000006"/>
    <n v="6.8394512772935991"/>
    <n v="1555.1883464369801"/>
    <n v="1"/>
    <n v="0"/>
    <n v="0"/>
    <n v="0"/>
    <n v="0"/>
    <n v="0"/>
    <n v="0"/>
    <n v="0"/>
    <n v="0"/>
    <n v="0"/>
  </r>
  <r>
    <d v="1997-08-02T00:00:00"/>
    <n v="1997"/>
    <x v="16"/>
    <s v="R"/>
    <s v="RS"/>
    <x v="7"/>
    <s v="NYL"/>
    <s v="A"/>
    <n v="1"/>
    <n v="2"/>
    <n v="-1"/>
    <n v="1"/>
    <n v="-8"/>
    <n v="8"/>
    <n v="1507.8294379788513"/>
    <n v="1585.0447943019226"/>
    <n v="0.26500137880064761"/>
    <n v="70"/>
    <n v="80"/>
    <n v="0"/>
    <n v="-10"/>
    <n v="0"/>
    <n v="0.39754896203291817"/>
    <n v="1"/>
    <n v="73.45"/>
    <n v="73.45"/>
    <n v="-7.7380326451885137"/>
    <n v="1500.0914053336628"/>
    <n v="0"/>
    <n v="1"/>
    <n v="0"/>
    <n v="0"/>
    <n v="0"/>
    <n v="0"/>
    <n v="0"/>
    <n v="0"/>
    <n v="0"/>
    <n v="0"/>
  </r>
  <r>
    <d v="1997-08-02T00:00:00"/>
    <n v="1997"/>
    <x v="18"/>
    <s v="R"/>
    <s v="RS"/>
    <x v="2"/>
    <s v="PHX"/>
    <s v="H"/>
    <n v="2"/>
    <n v="1"/>
    <n v="1"/>
    <n v="-1"/>
    <n v="8"/>
    <n v="-8"/>
    <n v="1585.0447943019226"/>
    <n v="1507.8294379788513"/>
    <n v="0.73499862119935244"/>
    <n v="80"/>
    <n v="70"/>
    <n v="0"/>
    <n v="10"/>
    <n v="1"/>
    <n v="0.39754896203291817"/>
    <n v="1"/>
    <n v="73.150000000000006"/>
    <n v="73.150000000000006"/>
    <n v="7.7064273382646649"/>
    <n v="1592.7512216401872"/>
    <n v="1"/>
    <n v="0"/>
    <n v="0"/>
    <n v="0"/>
    <n v="0"/>
    <n v="0"/>
    <n v="0"/>
    <n v="0"/>
    <n v="0"/>
    <n v="0"/>
  </r>
  <r>
    <d v="1997-08-02T00:00:00"/>
    <n v="1997"/>
    <x v="17"/>
    <s v="R"/>
    <s v="RS"/>
    <x v="0"/>
    <s v="UTA"/>
    <s v="A"/>
    <n v="0"/>
    <n v="2"/>
    <n v="-2"/>
    <n v="2"/>
    <n v="-16"/>
    <n v="16"/>
    <n v="1588.8020574441084"/>
    <n v="1375.8707256108848"/>
    <n v="0.63598539280676558"/>
    <n v="63"/>
    <n v="74"/>
    <n v="0"/>
    <n v="-11"/>
    <n v="0"/>
    <n v="0.37355188636404113"/>
    <n v="1"/>
    <n v="73.3"/>
    <n v="73.3"/>
    <n v="-17.414140715309721"/>
    <n v="1571.3879167287987"/>
    <n v="0"/>
    <n v="1"/>
    <n v="0"/>
    <n v="0"/>
    <n v="0"/>
    <n v="0"/>
    <n v="0"/>
    <n v="0"/>
    <n v="0"/>
    <n v="0"/>
  </r>
  <r>
    <d v="1997-08-02T00:00:00"/>
    <n v="1997"/>
    <x v="17"/>
    <s v="R"/>
    <s v="RS"/>
    <x v="5"/>
    <s v="HOU"/>
    <s v="H"/>
    <n v="2"/>
    <n v="0"/>
    <n v="2"/>
    <n v="-2"/>
    <n v="16"/>
    <n v="-16"/>
    <n v="1375.8707256108848"/>
    <n v="1588.8020574441084"/>
    <n v="0.36401460719323447"/>
    <n v="74"/>
    <n v="63"/>
    <n v="0"/>
    <n v="11"/>
    <n v="1"/>
    <n v="0.37355188636404113"/>
    <n v="1"/>
    <n v="73.3"/>
    <n v="73.3"/>
    <n v="17.414140715309721"/>
    <n v="1393.2848663261946"/>
    <n v="1"/>
    <n v="0"/>
    <n v="0"/>
    <n v="0"/>
    <n v="0"/>
    <n v="0"/>
    <n v="0"/>
    <n v="0"/>
    <n v="0"/>
    <n v="0"/>
  </r>
  <r>
    <d v="1997-08-03T00:00:00"/>
    <n v="1997"/>
    <x v="16"/>
    <s v="R"/>
    <s v="RS"/>
    <x v="6"/>
    <s v="LAS"/>
    <s v="A"/>
    <n v="1"/>
    <n v="1"/>
    <n v="0"/>
    <n v="0"/>
    <n v="0"/>
    <n v="0"/>
    <n v="1524.6834004373359"/>
    <n v="1483.9861637535089"/>
    <n v="0.43800300218831051"/>
    <n v="77"/>
    <n v="70"/>
    <n v="0"/>
    <n v="7"/>
    <n v="1"/>
    <n v="0.35796695104412768"/>
    <n v="1"/>
    <n v="73.45"/>
    <n v="73.45"/>
    <n v="14.776403039901247"/>
    <n v="1539.4598034772371"/>
    <n v="1"/>
    <n v="0"/>
    <n v="0"/>
    <n v="0"/>
    <n v="0"/>
    <n v="0"/>
    <n v="0"/>
    <n v="0"/>
    <n v="0"/>
    <n v="0"/>
  </r>
  <r>
    <d v="1997-08-03T00:00:00"/>
    <n v="1997"/>
    <x v="19"/>
    <s v="R"/>
    <s v="RS"/>
    <x v="3"/>
    <s v="CHA"/>
    <s v="H"/>
    <n v="1"/>
    <n v="1"/>
    <n v="0"/>
    <n v="0"/>
    <n v="0"/>
    <n v="0"/>
    <n v="1483.9861637535089"/>
    <n v="1524.6834004373359"/>
    <n v="0.56199699781168955"/>
    <n v="70"/>
    <n v="77"/>
    <n v="0"/>
    <n v="-7"/>
    <n v="0"/>
    <n v="0.35796695104412768"/>
    <n v="1"/>
    <n v="73"/>
    <n v="73"/>
    <n v="-14.685873681590078"/>
    <n v="1469.3002900719189"/>
    <n v="0"/>
    <n v="1"/>
    <n v="0"/>
    <n v="0"/>
    <n v="0"/>
    <n v="0"/>
    <n v="0"/>
    <n v="0"/>
    <n v="0"/>
    <n v="0"/>
  </r>
  <r>
    <d v="1997-08-04T00:00:00"/>
    <n v="1997"/>
    <x v="18"/>
    <s v="R"/>
    <s v="RS"/>
    <x v="4"/>
    <s v="PHX"/>
    <s v="A"/>
    <n v="1"/>
    <n v="1"/>
    <n v="0"/>
    <n v="0"/>
    <n v="0"/>
    <n v="0"/>
    <n v="1378.5767442443848"/>
    <n v="1500.0914053336628"/>
    <n v="0.23450648748567327"/>
    <n v="60"/>
    <n v="83"/>
    <n v="0"/>
    <n v="-23"/>
    <n v="0"/>
    <n v="0.55875681505166241"/>
    <n v="1"/>
    <n v="73.150000000000006"/>
    <n v="73.150000000000006"/>
    <n v="-9.5849979728291217"/>
    <n v="1368.9917462715557"/>
    <n v="0"/>
    <n v="1"/>
    <n v="0"/>
    <n v="0"/>
    <n v="0"/>
    <n v="0"/>
    <n v="0"/>
    <n v="0"/>
    <n v="0"/>
    <n v="0"/>
  </r>
  <r>
    <d v="1997-08-04T00:00:00"/>
    <n v="1997"/>
    <x v="17"/>
    <s v="R"/>
    <s v="RS"/>
    <x v="7"/>
    <s v="SAC"/>
    <s v="H"/>
    <n v="1"/>
    <n v="1"/>
    <n v="0"/>
    <n v="0"/>
    <n v="0"/>
    <n v="0"/>
    <n v="1500.0914053336628"/>
    <n v="1378.5767442443848"/>
    <n v="0.76549351251432673"/>
    <n v="83"/>
    <n v="60"/>
    <n v="0"/>
    <n v="23"/>
    <n v="1"/>
    <n v="0.55875681505166241"/>
    <n v="1"/>
    <n v="73.3"/>
    <n v="73.3"/>
    <n v="9.6046527875375887"/>
    <n v="1509.6960581212004"/>
    <n v="1"/>
    <n v="0"/>
    <n v="0"/>
    <n v="0"/>
    <n v="0"/>
    <n v="0"/>
    <n v="0"/>
    <n v="0"/>
    <n v="0"/>
    <n v="0"/>
  </r>
  <r>
    <d v="1997-08-04T00:00:00"/>
    <n v="1997"/>
    <x v="17"/>
    <s v="R"/>
    <s v="RS"/>
    <x v="6"/>
    <s v="UTA"/>
    <s v="A"/>
    <n v="0"/>
    <n v="1"/>
    <n v="-1"/>
    <n v="1"/>
    <n v="-8"/>
    <n v="8"/>
    <n v="1539.4598034772371"/>
    <n v="1393.2848663261946"/>
    <n v="0.56606257940498172"/>
    <n v="70"/>
    <n v="73"/>
    <n v="0"/>
    <n v="-3"/>
    <n v="0"/>
    <n v="0.2586738288675916"/>
    <n v="1"/>
    <n v="73.3"/>
    <n v="73.3"/>
    <n v="-10.73299463235268"/>
    <n v="1528.7268088448843"/>
    <n v="0"/>
    <n v="1"/>
    <n v="0"/>
    <n v="0"/>
    <n v="0"/>
    <n v="0"/>
    <n v="0"/>
    <n v="0"/>
    <n v="0"/>
    <n v="0"/>
  </r>
  <r>
    <d v="1997-08-04T00:00:00"/>
    <n v="1997"/>
    <x v="18"/>
    <s v="R"/>
    <s v="RS"/>
    <x v="5"/>
    <s v="CHA"/>
    <s v="H"/>
    <n v="1"/>
    <n v="0"/>
    <n v="1"/>
    <n v="-1"/>
    <n v="8"/>
    <n v="-8"/>
    <n v="1393.2848663261946"/>
    <n v="1539.4598034772371"/>
    <n v="0.43393742059501828"/>
    <n v="73"/>
    <n v="70"/>
    <n v="0"/>
    <n v="3"/>
    <n v="1"/>
    <n v="0.2586738288675916"/>
    <n v="1"/>
    <n v="73.150000000000006"/>
    <n v="73.150000000000006"/>
    <n v="10.711030796133681"/>
    <n v="1403.9958971223282"/>
    <n v="1"/>
    <n v="0"/>
    <n v="0"/>
    <n v="0"/>
    <n v="0"/>
    <n v="0"/>
    <n v="0"/>
    <n v="0"/>
    <n v="0"/>
    <n v="0"/>
  </r>
  <r>
    <d v="1997-08-05T00:00:00"/>
    <n v="1997"/>
    <x v="18"/>
    <s v="R"/>
    <s v="RS"/>
    <x v="0"/>
    <s v="CLE"/>
    <s v="A"/>
    <n v="2"/>
    <n v="2"/>
    <n v="0"/>
    <n v="0"/>
    <n v="0"/>
    <n v="0"/>
    <n v="1571.3879167287987"/>
    <n v="1555.1883464369801"/>
    <n v="0.4036473353467403"/>
    <n v="76"/>
    <n v="66"/>
    <n v="0"/>
    <n v="10"/>
    <n v="1"/>
    <n v="0.41749368409734622"/>
    <n v="1"/>
    <n v="73.150000000000006"/>
    <n v="73.150000000000006"/>
    <n v="18.212409402725289"/>
    <n v="1589.6003261315241"/>
    <n v="1"/>
    <n v="0"/>
    <n v="0"/>
    <n v="0"/>
    <n v="0"/>
    <n v="0"/>
    <n v="0"/>
    <n v="0"/>
    <n v="0"/>
    <n v="0"/>
  </r>
  <r>
    <d v="1997-08-05T00:00:00"/>
    <n v="1997"/>
    <x v="19"/>
    <s v="R"/>
    <s v="RS"/>
    <x v="1"/>
    <s v="HOU"/>
    <s v="H"/>
    <n v="2"/>
    <n v="2"/>
    <n v="0"/>
    <n v="0"/>
    <n v="0"/>
    <n v="0"/>
    <n v="1555.1883464369801"/>
    <n v="1571.3879167287987"/>
    <n v="0.59635266465325976"/>
    <n v="66"/>
    <n v="76"/>
    <n v="0"/>
    <n v="-10"/>
    <n v="0"/>
    <n v="0.41749368409734622"/>
    <n v="1"/>
    <n v="73"/>
    <n v="73"/>
    <n v="-18.175063382077184"/>
    <n v="1537.0132830549028"/>
    <n v="0"/>
    <n v="1"/>
    <n v="0"/>
    <n v="0"/>
    <n v="0"/>
    <n v="0"/>
    <n v="0"/>
    <n v="0"/>
    <n v="0"/>
    <n v="0"/>
  </r>
  <r>
    <d v="1997-08-05T00:00:00"/>
    <n v="1997"/>
    <x v="20"/>
    <s v="R"/>
    <s v="RS"/>
    <x v="3"/>
    <s v="NYL"/>
    <s v="A"/>
    <n v="1"/>
    <n v="2"/>
    <n v="-1"/>
    <n v="1"/>
    <n v="-8"/>
    <n v="8"/>
    <n v="1469.3002900719189"/>
    <n v="1592.7512216401872"/>
    <n v="0.21648194439041266"/>
    <n v="67"/>
    <n v="50"/>
    <n v="0"/>
    <n v="17"/>
    <n v="1"/>
    <n v="0.48277610273111848"/>
    <n v="1"/>
    <n v="72.849999999999994"/>
    <n v="72.849999999999994"/>
    <n v="27.556517342390205"/>
    <n v="1496.8568074143091"/>
    <n v="1"/>
    <n v="0"/>
    <n v="0"/>
    <n v="0"/>
    <n v="0"/>
    <n v="0"/>
    <n v="0"/>
    <n v="0"/>
    <n v="0"/>
    <n v="0"/>
  </r>
  <r>
    <d v="1997-08-05T00:00:00"/>
    <n v="1997"/>
    <x v="19"/>
    <s v="R"/>
    <s v="RS"/>
    <x v="2"/>
    <s v="LAS"/>
    <s v="H"/>
    <n v="2"/>
    <n v="1"/>
    <n v="1"/>
    <n v="-1"/>
    <n v="8"/>
    <n v="-8"/>
    <n v="1592.7512216401872"/>
    <n v="1469.3002900719189"/>
    <n v="0.78351805560958732"/>
    <n v="50"/>
    <n v="67"/>
    <n v="0"/>
    <n v="-17"/>
    <n v="0"/>
    <n v="0.48277610273111848"/>
    <n v="1"/>
    <n v="73"/>
    <n v="73"/>
    <n v="-27.613256911386205"/>
    <n v="1565.1379647288009"/>
    <n v="0"/>
    <n v="1"/>
    <n v="0"/>
    <n v="0"/>
    <n v="0"/>
    <n v="0"/>
    <n v="0"/>
    <n v="0"/>
    <n v="0"/>
    <n v="0"/>
  </r>
  <r>
    <d v="1997-08-06T00:00:00"/>
    <n v="1997"/>
    <x v="19"/>
    <s v="R"/>
    <s v="RS"/>
    <x v="5"/>
    <s v="PHX"/>
    <s v="A"/>
    <n v="1"/>
    <n v="1"/>
    <n v="0"/>
    <n v="0"/>
    <n v="0"/>
    <n v="0"/>
    <n v="1403.9958971223282"/>
    <n v="1509.6960581212004"/>
    <n v="0.25124149370314341"/>
    <n v="46"/>
    <n v="78"/>
    <n v="0"/>
    <n v="-32"/>
    <n v="0"/>
    <n v="0.66846331258771041"/>
    <n v="1"/>
    <n v="73"/>
    <n v="73"/>
    <n v="-12.260037643240997"/>
    <n v="1391.7358594790871"/>
    <n v="0"/>
    <n v="1"/>
    <n v="0"/>
    <n v="0"/>
    <n v="0"/>
    <n v="0"/>
    <n v="0"/>
    <n v="0"/>
    <n v="0"/>
    <n v="0"/>
  </r>
  <r>
    <d v="1997-08-06T00:00:00"/>
    <n v="1997"/>
    <x v="18"/>
    <s v="R"/>
    <s v="RS"/>
    <x v="7"/>
    <s v="UTA"/>
    <s v="H"/>
    <n v="1"/>
    <n v="1"/>
    <n v="0"/>
    <n v="0"/>
    <n v="0"/>
    <n v="0"/>
    <n v="1509.6960581212004"/>
    <n v="1403.9958971223282"/>
    <n v="0.74875850629685647"/>
    <n v="78"/>
    <n v="46"/>
    <n v="0"/>
    <n v="32"/>
    <n v="1"/>
    <n v="0.66846331258771041"/>
    <n v="1"/>
    <n v="73.150000000000006"/>
    <n v="73.150000000000006"/>
    <n v="12.285229501412047"/>
    <n v="1521.9812876226124"/>
    <n v="1"/>
    <n v="0"/>
    <n v="0"/>
    <n v="0"/>
    <n v="0"/>
    <n v="0"/>
    <n v="0"/>
    <n v="0"/>
    <n v="0"/>
    <n v="0"/>
  </r>
  <r>
    <d v="1997-08-06T00:00:00"/>
    <n v="1997"/>
    <x v="18"/>
    <s v="R"/>
    <s v="RS"/>
    <x v="6"/>
    <s v="SAC"/>
    <s v="A"/>
    <n v="1"/>
    <n v="1"/>
    <n v="0"/>
    <n v="0"/>
    <n v="0"/>
    <n v="0"/>
    <n v="1528.7268088448843"/>
    <n v="1368.9917462715557"/>
    <n v="0.60729740619792172"/>
    <n v="64"/>
    <n v="77"/>
    <n v="0"/>
    <n v="-13"/>
    <n v="0"/>
    <n v="0.41659035084740492"/>
    <n v="1"/>
    <n v="73.150000000000006"/>
    <n v="73.150000000000006"/>
    <n v="-18.506528620647426"/>
    <n v="1510.2202802242368"/>
    <n v="0"/>
    <n v="1"/>
    <n v="0"/>
    <n v="0"/>
    <n v="0"/>
    <n v="0"/>
    <n v="0"/>
    <n v="0"/>
    <n v="0"/>
    <n v="0"/>
  </r>
  <r>
    <d v="1997-08-06T00:00:00"/>
    <n v="1997"/>
    <x v="19"/>
    <s v="R"/>
    <s v="RS"/>
    <x v="4"/>
    <s v="CHA"/>
    <s v="H"/>
    <n v="1"/>
    <n v="1"/>
    <n v="0"/>
    <n v="0"/>
    <n v="0"/>
    <n v="0"/>
    <n v="1368.9917462715557"/>
    <n v="1528.7268088448843"/>
    <n v="0.39270259380207839"/>
    <n v="77"/>
    <n v="64"/>
    <n v="0"/>
    <n v="13"/>
    <n v="1"/>
    <n v="0.41659035084740492"/>
    <n v="1"/>
    <n v="73"/>
    <n v="73"/>
    <n v="18.468579484719914"/>
    <n v="1387.4603257562756"/>
    <n v="1"/>
    <n v="0"/>
    <n v="0"/>
    <n v="0"/>
    <n v="0"/>
    <n v="0"/>
    <n v="0"/>
    <n v="0"/>
    <n v="0"/>
    <n v="0"/>
  </r>
  <r>
    <d v="1997-08-07T00:00:00"/>
    <n v="1997"/>
    <x v="21"/>
    <s v="R"/>
    <s v="RS"/>
    <x v="3"/>
    <s v="CLE"/>
    <s v="A"/>
    <n v="1"/>
    <n v="1"/>
    <n v="0"/>
    <n v="0"/>
    <n v="0"/>
    <n v="0"/>
    <n v="1496.8568074143091"/>
    <n v="1537.0132830549028"/>
    <n v="0.32856067618792822"/>
    <n v="87"/>
    <n v="84"/>
    <n v="1"/>
    <n v="3"/>
    <n v="1"/>
    <n v="0.25270859681212499"/>
    <n v="1"/>
    <n v="72.7"/>
    <n v="72.7"/>
    <n v="12.335626176837732"/>
    <n v="1509.1924335911467"/>
    <n v="1"/>
    <n v="0"/>
    <n v="0"/>
    <n v="0"/>
    <n v="0"/>
    <n v="0"/>
    <n v="0"/>
    <n v="0"/>
    <n v="0"/>
    <n v="0"/>
  </r>
  <r>
    <d v="1997-08-07T00:00:00"/>
    <n v="1997"/>
    <x v="20"/>
    <s v="R"/>
    <s v="RS"/>
    <x v="1"/>
    <s v="LAS"/>
    <s v="H"/>
    <n v="1"/>
    <n v="1"/>
    <n v="0"/>
    <n v="0"/>
    <n v="0"/>
    <n v="0"/>
    <n v="1537.0132830549028"/>
    <n v="1496.8568074143091"/>
    <n v="0.67143932381207172"/>
    <n v="84"/>
    <n v="87"/>
    <n v="1"/>
    <n v="-3"/>
    <n v="0"/>
    <n v="0.25270859681212499"/>
    <n v="1"/>
    <n v="72.849999999999994"/>
    <n v="72.849999999999994"/>
    <n v="-12.361077950242482"/>
    <n v="1524.6522051046602"/>
    <n v="0"/>
    <n v="1"/>
    <n v="0"/>
    <n v="0"/>
    <n v="0"/>
    <n v="0"/>
    <n v="0"/>
    <n v="0"/>
    <n v="0"/>
    <n v="0"/>
  </r>
  <r>
    <d v="1997-08-07T00:00:00"/>
    <n v="1997"/>
    <x v="19"/>
    <s v="R"/>
    <s v="RS"/>
    <x v="7"/>
    <s v="HOU"/>
    <s v="A"/>
    <n v="0"/>
    <n v="1"/>
    <n v="-1"/>
    <n v="1"/>
    <n v="-8"/>
    <n v="8"/>
    <n v="1521.9812876226124"/>
    <n v="1589.6003261315241"/>
    <n v="0.27589965532908739"/>
    <n v="70"/>
    <n v="74"/>
    <n v="0"/>
    <n v="-4"/>
    <n v="0"/>
    <n v="0.29481987137417698"/>
    <n v="1"/>
    <n v="73"/>
    <n v="73"/>
    <n v="-5.9378711654299954"/>
    <n v="1516.0434164571825"/>
    <n v="0"/>
    <n v="1"/>
    <n v="0"/>
    <n v="0"/>
    <n v="0"/>
    <n v="0"/>
    <n v="0"/>
    <n v="0"/>
    <n v="0"/>
    <n v="0"/>
  </r>
  <r>
    <d v="1997-08-07T00:00:00"/>
    <n v="1997"/>
    <x v="19"/>
    <s v="R"/>
    <s v="RS"/>
    <x v="0"/>
    <s v="PHX"/>
    <s v="H"/>
    <n v="1"/>
    <n v="0"/>
    <n v="1"/>
    <n v="-1"/>
    <n v="8"/>
    <n v="-8"/>
    <n v="1589.6003261315241"/>
    <n v="1521.9812876226124"/>
    <n v="0.72410034467091255"/>
    <n v="74"/>
    <n v="70"/>
    <n v="0"/>
    <n v="4"/>
    <n v="1"/>
    <n v="0.29481987137417698"/>
    <n v="1"/>
    <n v="73"/>
    <n v="73"/>
    <n v="5.9378711654299972"/>
    <n v="1595.538197296954"/>
    <n v="1"/>
    <n v="0"/>
    <n v="0"/>
    <n v="0"/>
    <n v="0"/>
    <n v="0"/>
    <n v="0"/>
    <n v="0"/>
    <n v="0"/>
    <n v="0"/>
  </r>
  <r>
    <d v="1997-08-08T00:00:00"/>
    <n v="1997"/>
    <x v="20"/>
    <s v="R"/>
    <s v="RS"/>
    <x v="5"/>
    <s v="SAC"/>
    <s v="A"/>
    <n v="1"/>
    <n v="1"/>
    <n v="0"/>
    <n v="0"/>
    <n v="0"/>
    <n v="0"/>
    <n v="1391.7358594790871"/>
    <n v="1387.4603257562756"/>
    <n v="0.38723947021367827"/>
    <n v="78"/>
    <n v="93"/>
    <n v="0"/>
    <n v="-15"/>
    <n v="0"/>
    <n v="0.50106276907341452"/>
    <n v="1"/>
    <n v="72.849999999999994"/>
    <n v="72.849999999999994"/>
    <n v="-14.135178838318531"/>
    <n v="1377.6006806407686"/>
    <n v="0"/>
    <n v="1"/>
    <n v="0"/>
    <n v="0"/>
    <n v="0"/>
    <n v="0"/>
    <n v="0"/>
    <n v="0"/>
    <n v="0"/>
    <n v="0"/>
  </r>
  <r>
    <d v="1997-08-08T00:00:00"/>
    <n v="1997"/>
    <x v="20"/>
    <s v="R"/>
    <s v="RS"/>
    <x v="4"/>
    <s v="UTA"/>
    <s v="H"/>
    <n v="1"/>
    <n v="1"/>
    <n v="0"/>
    <n v="0"/>
    <n v="0"/>
    <n v="0"/>
    <n v="1387.4603257562756"/>
    <n v="1391.7358594790871"/>
    <n v="0.61276052978632178"/>
    <n v="93"/>
    <n v="78"/>
    <n v="0"/>
    <n v="15"/>
    <n v="1"/>
    <n v="0.50106276907341452"/>
    <n v="1"/>
    <n v="72.849999999999994"/>
    <n v="72.849999999999994"/>
    <n v="14.135178838318529"/>
    <n v="1401.5955045945941"/>
    <n v="1"/>
    <n v="0"/>
    <n v="0"/>
    <n v="0"/>
    <n v="0"/>
    <n v="0"/>
    <n v="0"/>
    <n v="0"/>
    <n v="0"/>
    <n v="0"/>
  </r>
  <r>
    <d v="1997-08-09T00:00:00"/>
    <n v="1997"/>
    <x v="20"/>
    <s v="R"/>
    <s v="RS"/>
    <x v="7"/>
    <s v="CHA"/>
    <s v="A"/>
    <n v="1"/>
    <n v="2"/>
    <n v="-1"/>
    <n v="1"/>
    <n v="-8"/>
    <n v="8"/>
    <n v="1516.0434164571825"/>
    <n v="1510.2202802242368"/>
    <n v="0.36769325069757203"/>
    <n v="59"/>
    <n v="79"/>
    <n v="0"/>
    <n v="-20"/>
    <n v="0"/>
    <n v="0.57211112475896009"/>
    <n v="1"/>
    <n v="72.849999999999994"/>
    <n v="72.849999999999994"/>
    <n v="-15.324827933385803"/>
    <n v="1500.7185885237966"/>
    <n v="0"/>
    <n v="1"/>
    <n v="0"/>
    <n v="0"/>
    <n v="0"/>
    <n v="0"/>
    <n v="0"/>
    <n v="0"/>
    <n v="0"/>
    <n v="0"/>
  </r>
  <r>
    <d v="1997-08-09T00:00:00"/>
    <n v="1997"/>
    <x v="19"/>
    <s v="R"/>
    <s v="RS"/>
    <x v="6"/>
    <s v="PHX"/>
    <s v="H"/>
    <n v="2"/>
    <n v="1"/>
    <n v="1"/>
    <n v="-1"/>
    <n v="8"/>
    <n v="-8"/>
    <n v="1510.2202802242368"/>
    <n v="1516.0434164571825"/>
    <n v="0.63230674930242792"/>
    <n v="79"/>
    <n v="59"/>
    <n v="0"/>
    <n v="20"/>
    <n v="1"/>
    <n v="0.57211112475896009"/>
    <n v="1"/>
    <n v="73"/>
    <n v="73"/>
    <n v="15.356382143269236"/>
    <n v="1525.5766623675061"/>
    <n v="1"/>
    <n v="0"/>
    <n v="0"/>
    <n v="0"/>
    <n v="0"/>
    <n v="0"/>
    <n v="0"/>
    <n v="0"/>
    <n v="0"/>
    <n v="0"/>
  </r>
  <r>
    <d v="1997-08-09T00:00:00"/>
    <n v="1997"/>
    <x v="22"/>
    <s v="R"/>
    <s v="RS"/>
    <x v="3"/>
    <s v="HOU"/>
    <s v="A"/>
    <n v="1"/>
    <n v="1"/>
    <n v="0"/>
    <n v="0"/>
    <n v="0"/>
    <n v="0"/>
    <n v="1509.1924335911467"/>
    <n v="1595.538197296954"/>
    <n v="0.27277492080321414"/>
    <n v="71"/>
    <n v="72"/>
    <n v="0"/>
    <n v="-1"/>
    <n v="0"/>
    <n v="0.22778914769712419"/>
    <n v="1"/>
    <n v="72.55"/>
    <n v="72.55"/>
    <n v="-4.507906345747462"/>
    <n v="1504.6845272453993"/>
    <n v="0"/>
    <n v="1"/>
    <n v="0"/>
    <n v="0"/>
    <n v="0"/>
    <n v="0"/>
    <n v="0"/>
    <n v="0"/>
    <n v="0"/>
    <n v="0"/>
  </r>
  <r>
    <d v="1997-08-09T00:00:00"/>
    <n v="1997"/>
    <x v="20"/>
    <s v="R"/>
    <s v="RS"/>
    <x v="0"/>
    <s v="LAS"/>
    <s v="H"/>
    <n v="1"/>
    <n v="1"/>
    <n v="0"/>
    <n v="0"/>
    <n v="0"/>
    <n v="0"/>
    <n v="1595.538197296954"/>
    <n v="1509.1924335911467"/>
    <n v="0.72722507919678581"/>
    <n v="72"/>
    <n v="71"/>
    <n v="0"/>
    <n v="1"/>
    <n v="1"/>
    <n v="0.22778914769712419"/>
    <n v="1"/>
    <n v="72.849999999999994"/>
    <n v="72.849999999999994"/>
    <n v="4.5265468957643362"/>
    <n v="1600.0647441927183"/>
    <n v="1"/>
    <n v="0"/>
    <n v="0"/>
    <n v="0"/>
    <n v="0"/>
    <n v="0"/>
    <n v="0"/>
    <n v="0"/>
    <n v="0"/>
    <n v="0"/>
  </r>
  <r>
    <d v="1997-08-10T00:00:00"/>
    <n v="1997"/>
    <x v="20"/>
    <s v="R"/>
    <s v="RS"/>
    <x v="2"/>
    <s v="SAC"/>
    <s v="A"/>
    <n v="4"/>
    <n v="1"/>
    <n v="3"/>
    <n v="-3"/>
    <n v="16"/>
    <n v="-16"/>
    <n v="1565.1379647288009"/>
    <n v="1401.5955045945941"/>
    <n v="0.65522575838901875"/>
    <n v="69"/>
    <n v="76"/>
    <n v="0"/>
    <n v="-7"/>
    <n v="0"/>
    <n v="0.32571674148003471"/>
    <n v="1"/>
    <n v="72.849999999999994"/>
    <n v="72.849999999999994"/>
    <n v="-15.547501223963227"/>
    <n v="1549.5904635048375"/>
    <n v="0"/>
    <n v="1"/>
    <n v="0"/>
    <n v="0"/>
    <n v="0"/>
    <n v="0"/>
    <n v="0"/>
    <n v="0"/>
    <n v="0"/>
    <n v="0"/>
  </r>
  <r>
    <d v="1997-08-10T00:00:00"/>
    <n v="1997"/>
    <x v="21"/>
    <s v="R"/>
    <s v="RS"/>
    <x v="4"/>
    <s v="NYL"/>
    <s v="H"/>
    <n v="1"/>
    <n v="4"/>
    <n v="-3"/>
    <n v="3"/>
    <n v="-16"/>
    <n v="16"/>
    <n v="1401.5955045945941"/>
    <n v="1565.1379647288009"/>
    <n v="0.34477424161098125"/>
    <n v="76"/>
    <n v="69"/>
    <n v="0"/>
    <n v="7"/>
    <n v="1"/>
    <n v="0.32571674148003471"/>
    <n v="1"/>
    <n v="72.7"/>
    <n v="72.7"/>
    <n v="15.515488524119791"/>
    <n v="1417.1109931187138"/>
    <n v="1"/>
    <n v="0"/>
    <n v="0"/>
    <n v="0"/>
    <n v="0"/>
    <n v="0"/>
    <n v="0"/>
    <n v="0"/>
    <n v="0"/>
    <n v="0"/>
  </r>
  <r>
    <d v="1997-08-11T00:00:00"/>
    <n v="1997"/>
    <x v="21"/>
    <s v="R"/>
    <s v="RS"/>
    <x v="0"/>
    <s v="CHA"/>
    <s v="A"/>
    <n v="1"/>
    <n v="1"/>
    <n v="0"/>
    <n v="0"/>
    <n v="0"/>
    <n v="0"/>
    <n v="1600.0647441927183"/>
    <n v="1525.5766623675061"/>
    <n v="0.48631466838506077"/>
    <n v="72"/>
    <n v="62"/>
    <n v="0"/>
    <n v="10"/>
    <n v="1"/>
    <n v="0.39839967626184214"/>
    <n v="1"/>
    <n v="72.7"/>
    <n v="72.7"/>
    <n v="14.878205475612209"/>
    <n v="1614.9429496683306"/>
    <n v="1"/>
    <n v="0"/>
    <n v="0"/>
    <n v="0"/>
    <n v="0"/>
    <n v="0"/>
    <n v="0"/>
    <n v="0"/>
    <n v="0"/>
    <n v="0"/>
  </r>
  <r>
    <d v="1997-08-11T00:00:00"/>
    <n v="1997"/>
    <x v="20"/>
    <s v="R"/>
    <s v="RS"/>
    <x v="6"/>
    <s v="HOU"/>
    <s v="H"/>
    <n v="1"/>
    <n v="1"/>
    <n v="0"/>
    <n v="0"/>
    <n v="0"/>
    <n v="0"/>
    <n v="1525.5766623675061"/>
    <n v="1600.0647441927183"/>
    <n v="0.51368533161493912"/>
    <n v="62"/>
    <n v="72"/>
    <n v="0"/>
    <n v="-10"/>
    <n v="0"/>
    <n v="0.39839967626184214"/>
    <n v="1"/>
    <n v="72.849999999999994"/>
    <n v="72.849999999999994"/>
    <n v="-14.90890328608458"/>
    <n v="1510.6677590814215"/>
    <n v="0"/>
    <n v="1"/>
    <n v="0"/>
    <n v="0"/>
    <n v="0"/>
    <n v="0"/>
    <n v="0"/>
    <n v="0"/>
    <n v="0"/>
    <n v="0"/>
  </r>
  <r>
    <d v="1997-08-11T00:00:00"/>
    <n v="1997"/>
    <x v="21"/>
    <s v="R"/>
    <s v="RS"/>
    <x v="1"/>
    <s v="UTA"/>
    <s v="A"/>
    <n v="3"/>
    <n v="2"/>
    <n v="1"/>
    <n v="-1"/>
    <n v="8"/>
    <n v="-8"/>
    <n v="1524.6522051046602"/>
    <n v="1377.6006806407686"/>
    <n v="0.61184094280770307"/>
    <n v="74"/>
    <n v="59"/>
    <n v="0"/>
    <n v="15"/>
    <n v="1"/>
    <n v="0.44795438236460056"/>
    <n v="1"/>
    <n v="72.7"/>
    <n v="72.7"/>
    <n v="12.640897937620336"/>
    <n v="1537.2931030422806"/>
    <n v="1"/>
    <n v="0"/>
    <n v="0"/>
    <n v="0"/>
    <n v="0"/>
    <n v="0"/>
    <n v="0"/>
    <n v="0"/>
    <n v="0"/>
    <n v="0"/>
  </r>
  <r>
    <d v="1997-08-11T00:00:00"/>
    <n v="1997"/>
    <x v="21"/>
    <s v="R"/>
    <s v="RS"/>
    <x v="5"/>
    <s v="CLE"/>
    <s v="H"/>
    <n v="2"/>
    <n v="3"/>
    <n v="-1"/>
    <n v="1"/>
    <n v="-8"/>
    <n v="8"/>
    <n v="1377.6006806407686"/>
    <n v="1524.6522051046602"/>
    <n v="0.38815905719229687"/>
    <n v="59"/>
    <n v="74"/>
    <n v="0"/>
    <n v="-15"/>
    <n v="0"/>
    <n v="0.44795438236460056"/>
    <n v="1"/>
    <n v="72.7"/>
    <n v="72.7"/>
    <n v="-12.640897937620334"/>
    <n v="1364.9597827031482"/>
    <n v="0"/>
    <n v="1"/>
    <n v="0"/>
    <n v="0"/>
    <n v="0"/>
    <n v="0"/>
    <n v="0"/>
    <n v="0"/>
    <n v="0"/>
    <n v="0"/>
  </r>
  <r>
    <d v="1997-08-12T00:00:00"/>
    <n v="1997"/>
    <x v="22"/>
    <s v="R"/>
    <s v="RS"/>
    <x v="5"/>
    <s v="HOU"/>
    <s v="A"/>
    <n v="0"/>
    <n v="0"/>
    <n v="0"/>
    <n v="0"/>
    <n v="0"/>
    <n v="0"/>
    <n v="1364.9597827031482"/>
    <n v="1614.9429496683306"/>
    <n v="0.12757618085288863"/>
    <n v="56"/>
    <n v="76"/>
    <n v="0"/>
    <n v="-20"/>
    <n v="0"/>
    <n v="0.47577437203943251"/>
    <n v="1"/>
    <n v="72.55"/>
    <n v="72.55"/>
    <n v="-4.4036019804708557"/>
    <n v="1360.5561807226773"/>
    <n v="0"/>
    <n v="1"/>
    <n v="0"/>
    <n v="0"/>
    <n v="0"/>
    <n v="0"/>
    <n v="0"/>
    <n v="0"/>
    <n v="0"/>
    <n v="0"/>
  </r>
  <r>
    <d v="1997-08-12T00:00:00"/>
    <n v="1997"/>
    <x v="22"/>
    <s v="R"/>
    <s v="RS"/>
    <x v="0"/>
    <s v="UTA"/>
    <s v="H"/>
    <n v="0"/>
    <n v="0"/>
    <n v="0"/>
    <n v="0"/>
    <n v="0"/>
    <n v="0"/>
    <n v="1614.9429496683306"/>
    <n v="1364.9597827031482"/>
    <n v="0.87242381914711131"/>
    <n v="76"/>
    <n v="56"/>
    <n v="0"/>
    <n v="20"/>
    <n v="1"/>
    <n v="0.47577437203943251"/>
    <n v="1"/>
    <n v="72.55"/>
    <n v="72.55"/>
    <n v="4.4036019804708575"/>
    <n v="1619.3465516488016"/>
    <n v="1"/>
    <n v="0"/>
    <n v="0"/>
    <n v="0"/>
    <n v="0"/>
    <n v="0"/>
    <n v="0"/>
    <n v="0"/>
    <n v="0"/>
    <n v="0"/>
  </r>
  <r>
    <d v="1997-08-12T00:00:00"/>
    <n v="1997"/>
    <x v="21"/>
    <s v="R"/>
    <s v="RS"/>
    <x v="2"/>
    <s v="PHX"/>
    <s v="A"/>
    <n v="1"/>
    <n v="2"/>
    <n v="-1"/>
    <n v="1"/>
    <n v="-8"/>
    <n v="8"/>
    <n v="1549.5904635048375"/>
    <n v="1500.7185885237966"/>
    <n v="0.42694728823188549"/>
    <n v="67"/>
    <n v="77"/>
    <n v="0"/>
    <n v="-10"/>
    <n v="0"/>
    <n v="0.40657144209164686"/>
    <n v="1"/>
    <n v="72.7"/>
    <n v="72.7"/>
    <n v="-12.6195985787675"/>
    <n v="1536.9708649260701"/>
    <n v="0"/>
    <n v="1"/>
    <n v="0"/>
    <n v="0"/>
    <n v="0"/>
    <n v="0"/>
    <n v="0"/>
    <n v="0"/>
    <n v="0"/>
    <n v="0"/>
  </r>
  <r>
    <d v="1997-08-12T00:00:00"/>
    <n v="1997"/>
    <x v="21"/>
    <s v="R"/>
    <s v="RS"/>
    <x v="7"/>
    <s v="NYL"/>
    <s v="H"/>
    <n v="2"/>
    <n v="1"/>
    <n v="1"/>
    <n v="-1"/>
    <n v="8"/>
    <n v="-8"/>
    <n v="1500.7185885237966"/>
    <n v="1549.5904635048375"/>
    <n v="0.57305271176811456"/>
    <n v="77"/>
    <n v="67"/>
    <n v="0"/>
    <n v="10"/>
    <n v="1"/>
    <n v="0.40657144209164686"/>
    <n v="1"/>
    <n v="72.7"/>
    <n v="72.7"/>
    <n v="12.619598578767498"/>
    <n v="1513.338187102564"/>
    <n v="1"/>
    <n v="0"/>
    <n v="0"/>
    <n v="0"/>
    <n v="0"/>
    <n v="0"/>
    <n v="0"/>
    <n v="0"/>
    <n v="0"/>
    <n v="0"/>
  </r>
  <r>
    <d v="1997-08-12T00:00:00"/>
    <n v="1997"/>
    <x v="22"/>
    <s v="R"/>
    <s v="RS"/>
    <x v="1"/>
    <s v="SAC"/>
    <s v="A"/>
    <n v="0"/>
    <n v="1"/>
    <n v="-1"/>
    <n v="1"/>
    <n v="-8"/>
    <n v="8"/>
    <n v="1537.2931030422806"/>
    <n v="1417.1109931187138"/>
    <n v="0.52901176671600025"/>
    <n v="76"/>
    <n v="81"/>
    <n v="0"/>
    <n v="-5"/>
    <n v="0"/>
    <n v="0.30155473821452261"/>
    <n v="1"/>
    <n v="72.55"/>
    <n v="72.55"/>
    <n v="-11.573611650013525"/>
    <n v="1525.7194913922669"/>
    <n v="0"/>
    <n v="1"/>
    <n v="0"/>
    <n v="0"/>
    <n v="0"/>
    <n v="0"/>
    <n v="0"/>
    <n v="0"/>
    <n v="0"/>
    <n v="0"/>
  </r>
  <r>
    <d v="1997-08-12T00:00:00"/>
    <n v="1997"/>
    <x v="22"/>
    <s v="R"/>
    <s v="RS"/>
    <x v="4"/>
    <s v="CLE"/>
    <s v="H"/>
    <n v="1"/>
    <n v="0"/>
    <n v="1"/>
    <n v="-1"/>
    <n v="8"/>
    <n v="-8"/>
    <n v="1417.1109931187138"/>
    <n v="1537.2931030422806"/>
    <n v="0.47098823328399975"/>
    <n v="81"/>
    <n v="76"/>
    <n v="0"/>
    <n v="5"/>
    <n v="1"/>
    <n v="0.30155473821452261"/>
    <n v="1"/>
    <n v="72.55"/>
    <n v="72.55"/>
    <n v="11.573611650013525"/>
    <n v="1428.6846047687275"/>
    <n v="1"/>
    <n v="0"/>
    <n v="0"/>
    <n v="0"/>
    <n v="0"/>
    <n v="0"/>
    <n v="0"/>
    <n v="0"/>
    <n v="0"/>
    <n v="0"/>
  </r>
  <r>
    <d v="1997-08-14T00:00:00"/>
    <n v="1997"/>
    <x v="23"/>
    <s v="R"/>
    <s v="RS"/>
    <x v="4"/>
    <s v="CHA"/>
    <s v="A"/>
    <n v="1"/>
    <n v="2"/>
    <n v="-1"/>
    <n v="1"/>
    <n v="-8"/>
    <n v="8"/>
    <n v="1428.6846047687275"/>
    <n v="1510.6677590814215"/>
    <n v="0.25969022295272282"/>
    <n v="51"/>
    <n v="68"/>
    <n v="0"/>
    <n v="-17"/>
    <n v="0"/>
    <n v="0.4983922610441357"/>
    <n v="1"/>
    <n v="72.400000000000006"/>
    <n v="72.400000000000006"/>
    <n v="-9.3705580509247373"/>
    <n v="1419.3140467178027"/>
    <n v="0"/>
    <n v="1"/>
    <n v="0"/>
    <n v="0"/>
    <n v="0"/>
    <n v="0"/>
    <n v="0"/>
    <n v="0"/>
    <n v="0"/>
    <n v="0"/>
  </r>
  <r>
    <d v="1997-08-14T00:00:00"/>
    <n v="1997"/>
    <x v="21"/>
    <s v="R"/>
    <s v="RS"/>
    <x v="6"/>
    <s v="SAC"/>
    <s v="H"/>
    <n v="2"/>
    <n v="1"/>
    <n v="1"/>
    <n v="-1"/>
    <n v="8"/>
    <n v="-8"/>
    <n v="1510.6677590814215"/>
    <n v="1428.6846047687275"/>
    <n v="0.74030977704727718"/>
    <n v="68"/>
    <n v="51"/>
    <n v="0"/>
    <n v="17"/>
    <n v="1"/>
    <n v="0.4983922610441357"/>
    <n v="1"/>
    <n v="72.7"/>
    <n v="72.7"/>
    <n v="9.4093863301412775"/>
    <n v="1520.0771454115629"/>
    <n v="1"/>
    <n v="0"/>
    <n v="0"/>
    <n v="0"/>
    <n v="0"/>
    <n v="0"/>
    <n v="0"/>
    <n v="0"/>
    <n v="0"/>
    <n v="0"/>
  </r>
  <r>
    <d v="1997-08-14T00:00:00"/>
    <n v="1997"/>
    <x v="23"/>
    <s v="R"/>
    <s v="RS"/>
    <x v="1"/>
    <s v="PHX"/>
    <s v="A"/>
    <n v="1"/>
    <n v="1"/>
    <n v="0"/>
    <n v="0"/>
    <n v="0"/>
    <n v="0"/>
    <n v="1525.7194913922669"/>
    <n v="1513.338187102564"/>
    <n v="0.39836785828389776"/>
    <n v="55"/>
    <n v="61"/>
    <n v="0"/>
    <n v="-6"/>
    <n v="0"/>
    <n v="0.34769334681893299"/>
    <n v="1"/>
    <n v="72.400000000000006"/>
    <n v="72.400000000000006"/>
    <n v="-10.028113423215682"/>
    <n v="1515.6913779690512"/>
    <n v="0"/>
    <n v="1"/>
    <n v="0"/>
    <n v="0"/>
    <n v="0"/>
    <n v="0"/>
    <n v="0"/>
    <n v="0"/>
    <n v="0"/>
    <n v="0"/>
  </r>
  <r>
    <d v="1997-08-14T00:00:00"/>
    <n v="1997"/>
    <x v="22"/>
    <s v="R"/>
    <s v="RS"/>
    <x v="7"/>
    <s v="CLE"/>
    <s v="H"/>
    <n v="1"/>
    <n v="1"/>
    <n v="0"/>
    <n v="0"/>
    <n v="0"/>
    <n v="0"/>
    <n v="1513.338187102564"/>
    <n v="1525.7194913922669"/>
    <n v="0.60163214171610224"/>
    <n v="61"/>
    <n v="55"/>
    <n v="0"/>
    <n v="6"/>
    <n v="1"/>
    <n v="0.34769334681893299"/>
    <n v="1"/>
    <n v="72.55"/>
    <n v="72.55"/>
    <n v="10.048889901302454"/>
    <n v="1523.3870770038664"/>
    <n v="1"/>
    <n v="0"/>
    <n v="0"/>
    <n v="0"/>
    <n v="0"/>
    <n v="0"/>
    <n v="0"/>
    <n v="0"/>
    <n v="0"/>
    <n v="0"/>
  </r>
  <r>
    <d v="1997-08-15T00:00:00"/>
    <n v="1997"/>
    <x v="24"/>
    <s v="R"/>
    <s v="RS"/>
    <x v="4"/>
    <s v="NYL"/>
    <s v="A"/>
    <n v="0"/>
    <n v="2"/>
    <n v="-2"/>
    <n v="2"/>
    <n v="-16"/>
    <n v="16"/>
    <n v="1419.3140467178027"/>
    <n v="1536.9708649260701"/>
    <n v="0.20668298439659058"/>
    <n v="63"/>
    <n v="79"/>
    <n v="0"/>
    <n v="-16"/>
    <n v="0"/>
    <n v="0.47155164391056598"/>
    <n v="1"/>
    <n v="72.25"/>
    <n v="72.25"/>
    <n v="-7.0416079016250377"/>
    <n v="1412.2724388161778"/>
    <n v="0"/>
    <n v="1"/>
    <n v="0"/>
    <n v="0"/>
    <n v="0"/>
    <n v="0"/>
    <n v="0"/>
    <n v="0"/>
    <n v="0"/>
    <n v="0"/>
  </r>
  <r>
    <d v="1997-08-15T00:00:00"/>
    <n v="1997"/>
    <x v="22"/>
    <s v="R"/>
    <s v="RS"/>
    <x v="2"/>
    <s v="SAC"/>
    <s v="H"/>
    <n v="2"/>
    <n v="0"/>
    <n v="2"/>
    <n v="-2"/>
    <n v="16"/>
    <n v="-16"/>
    <n v="1536.9708649260701"/>
    <n v="1419.3140467178027"/>
    <n v="0.79331701560340939"/>
    <n v="79"/>
    <n v="63"/>
    <n v="0"/>
    <n v="16"/>
    <n v="1"/>
    <n v="0.47155164391056598"/>
    <n v="1"/>
    <n v="72.55"/>
    <n v="72.55"/>
    <n v="7.0708464119432035"/>
    <n v="1544.0417113380133"/>
    <n v="1"/>
    <n v="0"/>
    <n v="0"/>
    <n v="0"/>
    <n v="0"/>
    <n v="0"/>
    <n v="0"/>
    <n v="0"/>
    <n v="0"/>
    <n v="0"/>
  </r>
  <r>
    <d v="1997-08-16T00:00:00"/>
    <n v="1997"/>
    <x v="23"/>
    <s v="R"/>
    <s v="RS"/>
    <x v="0"/>
    <s v="CHA"/>
    <s v="A"/>
    <n v="3"/>
    <n v="1"/>
    <n v="2"/>
    <n v="-2"/>
    <n v="16"/>
    <n v="-16"/>
    <n v="1619.3465516488016"/>
    <n v="1520.0771454115629"/>
    <n v="0.56760950202052596"/>
    <n v="71"/>
    <n v="80"/>
    <n v="0"/>
    <n v="-9"/>
    <n v="0"/>
    <n v="0.37495367029964366"/>
    <n v="1"/>
    <n v="72.400000000000006"/>
    <n v="72.400000000000006"/>
    <n v="-15.408694064159365"/>
    <n v="1603.9378575846422"/>
    <n v="0"/>
    <n v="1"/>
    <n v="0"/>
    <n v="0"/>
    <n v="0"/>
    <n v="0"/>
    <n v="0"/>
    <n v="0"/>
    <n v="0"/>
    <n v="0"/>
  </r>
  <r>
    <d v="1997-08-16T00:00:00"/>
    <n v="1997"/>
    <x v="22"/>
    <s v="R"/>
    <s v="RS"/>
    <x v="6"/>
    <s v="HOU"/>
    <s v="H"/>
    <n v="1"/>
    <n v="3"/>
    <n v="-2"/>
    <n v="2"/>
    <n v="-16"/>
    <n v="16"/>
    <n v="1520.0771454115629"/>
    <n v="1619.3465516488016"/>
    <n v="0.43239049797947399"/>
    <n v="80"/>
    <n v="71"/>
    <n v="0"/>
    <n v="9"/>
    <n v="1"/>
    <n v="0.37495367029964366"/>
    <n v="1"/>
    <n v="72.55"/>
    <n v="72.55"/>
    <n v="15.440618154071297"/>
    <n v="1535.5177635656341"/>
    <n v="1"/>
    <n v="0"/>
    <n v="0"/>
    <n v="0"/>
    <n v="0"/>
    <n v="0"/>
    <n v="0"/>
    <n v="0"/>
    <n v="0"/>
    <n v="0"/>
  </r>
  <r>
    <d v="1997-08-16T00:00:00"/>
    <n v="1997"/>
    <x v="23"/>
    <s v="R"/>
    <s v="RS"/>
    <x v="3"/>
    <s v="UTA"/>
    <s v="A"/>
    <n v="6"/>
    <n v="3"/>
    <n v="3"/>
    <n v="-3"/>
    <n v="16"/>
    <n v="-16"/>
    <n v="1504.6845272453993"/>
    <n v="1360.5561807226773"/>
    <n v="0.62956086731906269"/>
    <n v="74"/>
    <n v="64"/>
    <n v="0"/>
    <n v="10"/>
    <n v="1"/>
    <n v="0.3777583000256719"/>
    <n v="1"/>
    <n v="72.400000000000006"/>
    <n v="72.400000000000006"/>
    <n v="10.131399488576349"/>
    <n v="1514.8159267339756"/>
    <n v="1"/>
    <n v="0"/>
    <n v="0"/>
    <n v="0"/>
    <n v="0"/>
    <n v="0"/>
    <n v="0"/>
    <n v="0"/>
    <n v="0"/>
    <n v="0"/>
  </r>
  <r>
    <d v="1997-08-16T00:00:00"/>
    <n v="1997"/>
    <x v="23"/>
    <s v="R"/>
    <s v="RS"/>
    <x v="5"/>
    <s v="LAS"/>
    <s v="H"/>
    <n v="3"/>
    <n v="6"/>
    <n v="-3"/>
    <n v="3"/>
    <n v="-16"/>
    <n v="16"/>
    <n v="1360.5561807226773"/>
    <n v="1504.6845272453993"/>
    <n v="0.37043913268093737"/>
    <n v="64"/>
    <n v="74"/>
    <n v="0"/>
    <n v="-10"/>
    <n v="0"/>
    <n v="0.3777583000256719"/>
    <n v="1"/>
    <n v="72.400000000000006"/>
    <n v="72.400000000000006"/>
    <n v="-10.131399488576351"/>
    <n v="1350.4247812341009"/>
    <n v="0"/>
    <n v="1"/>
    <n v="0"/>
    <n v="0"/>
    <n v="0"/>
    <n v="0"/>
    <n v="0"/>
    <n v="0"/>
    <n v="0"/>
    <n v="0"/>
  </r>
  <r>
    <d v="1997-08-17T00:00:00"/>
    <n v="1997"/>
    <x v="23"/>
    <s v="R"/>
    <s v="RS"/>
    <x v="6"/>
    <s v="CLE"/>
    <s v="A"/>
    <n v="0"/>
    <n v="2"/>
    <n v="-2"/>
    <n v="2"/>
    <n v="-16"/>
    <n v="16"/>
    <n v="1535.5177635656341"/>
    <n v="1515.6913779690512"/>
    <n v="0.36502498991509214"/>
    <n v="49"/>
    <n v="81"/>
    <n v="0"/>
    <n v="-32"/>
    <n v="0"/>
    <n v="0.7155220326216708"/>
    <n v="1"/>
    <n v="72.400000000000006"/>
    <n v="72.400000000000006"/>
    <n v="-18.909679806502819"/>
    <n v="1516.6080837591314"/>
    <n v="0"/>
    <n v="1"/>
    <n v="0"/>
    <n v="0"/>
    <n v="0"/>
    <n v="0"/>
    <n v="0"/>
    <n v="0"/>
    <n v="0"/>
    <n v="0"/>
  </r>
  <r>
    <d v="1997-08-17T00:00:00"/>
    <n v="1997"/>
    <x v="24"/>
    <s v="R"/>
    <s v="RS"/>
    <x v="1"/>
    <s v="CHA"/>
    <s v="H"/>
    <n v="2"/>
    <n v="0"/>
    <n v="2"/>
    <n v="-2"/>
    <n v="16"/>
    <n v="-16"/>
    <n v="1515.6913779690512"/>
    <n v="1535.5177635656341"/>
    <n v="0.63497501008490786"/>
    <n v="81"/>
    <n v="49"/>
    <n v="0"/>
    <n v="32"/>
    <n v="1"/>
    <n v="0.7155220326216708"/>
    <n v="1"/>
    <n v="72.25"/>
    <n v="72.25"/>
    <n v="18.870502293091551"/>
    <n v="1534.5618802621427"/>
    <n v="1"/>
    <n v="0"/>
    <n v="0"/>
    <n v="0"/>
    <n v="0"/>
    <n v="0"/>
    <n v="0"/>
    <n v="0"/>
    <n v="0"/>
    <n v="0"/>
  </r>
  <r>
    <d v="1997-08-17T00:00:00"/>
    <n v="1997"/>
    <x v="24"/>
    <s v="R"/>
    <s v="RS"/>
    <x v="0"/>
    <s v="NYL"/>
    <s v="A"/>
    <n v="0"/>
    <n v="1"/>
    <n v="-1"/>
    <n v="1"/>
    <n v="-8"/>
    <n v="8"/>
    <n v="1603.9378575846422"/>
    <n v="1544.0417113380133"/>
    <n v="0.44254087737747166"/>
    <n v="70"/>
    <n v="55"/>
    <n v="0"/>
    <n v="15"/>
    <n v="1"/>
    <n v="0.47894236001289842"/>
    <n v="1"/>
    <n v="72.25"/>
    <n v="72.25"/>
    <n v="19.290084418517733"/>
    <n v="1623.22794200316"/>
    <n v="1"/>
    <n v="0"/>
    <n v="0"/>
    <n v="0"/>
    <n v="0"/>
    <n v="0"/>
    <n v="0"/>
    <n v="0"/>
    <n v="0"/>
    <n v="0"/>
  </r>
  <r>
    <d v="1997-08-17T00:00:00"/>
    <n v="1997"/>
    <x v="23"/>
    <s v="R"/>
    <s v="RS"/>
    <x v="2"/>
    <s v="HOU"/>
    <s v="H"/>
    <n v="1"/>
    <n v="0"/>
    <n v="1"/>
    <n v="-1"/>
    <n v="8"/>
    <n v="-8"/>
    <n v="1544.0417113380133"/>
    <n v="1603.9378575846422"/>
    <n v="0.55745912262252839"/>
    <n v="55"/>
    <n v="70"/>
    <n v="0"/>
    <n v="-15"/>
    <n v="0"/>
    <n v="0.47894236001289842"/>
    <n v="1"/>
    <n v="72.400000000000006"/>
    <n v="72.400000000000006"/>
    <n v="-19.330133036687673"/>
    <n v="1524.7115783013257"/>
    <n v="0"/>
    <n v="1"/>
    <n v="0"/>
    <n v="0"/>
    <n v="0"/>
    <n v="0"/>
    <n v="0"/>
    <n v="0"/>
    <n v="0"/>
    <n v="0"/>
  </r>
  <r>
    <d v="1997-08-17T00:00:00"/>
    <n v="1997"/>
    <x v="24"/>
    <s v="R"/>
    <s v="RS"/>
    <x v="5"/>
    <s v="PHX"/>
    <s v="A"/>
    <n v="0"/>
    <n v="2"/>
    <n v="-2"/>
    <n v="2"/>
    <n v="-16"/>
    <n v="16"/>
    <n v="1350.4247812341009"/>
    <n v="1523.3870770038664"/>
    <n v="0.15930602323964582"/>
    <n v="63"/>
    <n v="71"/>
    <n v="1"/>
    <n v="-8"/>
    <n v="0"/>
    <n v="0.30545687896557699"/>
    <n v="1"/>
    <n v="72.25"/>
    <n v="72.25"/>
    <n v="-3.5157659676271922"/>
    <n v="1346.9090152664737"/>
    <n v="0"/>
    <n v="1"/>
    <n v="0"/>
    <n v="0"/>
    <n v="0"/>
    <n v="0"/>
    <n v="0"/>
    <n v="0"/>
    <n v="0"/>
    <n v="0"/>
  </r>
  <r>
    <d v="1997-08-17T00:00:00"/>
    <n v="1997"/>
    <x v="23"/>
    <s v="R"/>
    <s v="RS"/>
    <x v="7"/>
    <s v="UTA"/>
    <s v="H"/>
    <n v="2"/>
    <n v="0"/>
    <n v="2"/>
    <n v="-2"/>
    <n v="16"/>
    <n v="-16"/>
    <n v="1523.3870770038664"/>
    <n v="1350.4247812341009"/>
    <n v="0.84069397676035429"/>
    <n v="71"/>
    <n v="63"/>
    <n v="1"/>
    <n v="8"/>
    <n v="1"/>
    <n v="0.30545687896557699"/>
    <n v="1"/>
    <n v="72.400000000000006"/>
    <n v="72.400000000000006"/>
    <n v="3.5230651357260698"/>
    <n v="1526.9101421395924"/>
    <n v="1"/>
    <n v="0"/>
    <n v="0"/>
    <n v="0"/>
    <n v="0"/>
    <n v="0"/>
    <n v="0"/>
    <n v="0"/>
    <n v="0"/>
    <n v="0"/>
  </r>
  <r>
    <d v="1997-08-18T00:00:00"/>
    <n v="1997"/>
    <x v="24"/>
    <s v="R"/>
    <s v="RS"/>
    <x v="7"/>
    <s v="LAS"/>
    <s v="A"/>
    <n v="0"/>
    <n v="1"/>
    <n v="-1"/>
    <n v="1"/>
    <n v="-8"/>
    <n v="8"/>
    <n v="1526.9101421395924"/>
    <n v="1514.8159267339756"/>
    <n v="0.3761254974339997"/>
    <n v="66"/>
    <n v="75"/>
    <n v="0"/>
    <n v="-9"/>
    <n v="0"/>
    <n v="0.40192076357172085"/>
    <n v="1"/>
    <n v="72.25"/>
    <n v="72.25"/>
    <n v="-10.922223754959454"/>
    <n v="1515.9879183846328"/>
    <n v="0"/>
    <n v="1"/>
    <n v="0"/>
    <n v="0"/>
    <n v="0"/>
    <n v="0"/>
    <n v="0"/>
    <n v="0"/>
    <n v="0"/>
    <n v="0"/>
  </r>
  <r>
    <d v="1997-08-18T00:00:00"/>
    <n v="1997"/>
    <x v="24"/>
    <s v="R"/>
    <s v="RS"/>
    <x v="3"/>
    <s v="PHX"/>
    <s v="H"/>
    <n v="1"/>
    <n v="0"/>
    <n v="1"/>
    <n v="-1"/>
    <n v="8"/>
    <n v="-8"/>
    <n v="1514.8159267339756"/>
    <n v="1526.9101421395924"/>
    <n v="0.6238745025660003"/>
    <n v="75"/>
    <n v="66"/>
    <n v="0"/>
    <n v="9"/>
    <n v="1"/>
    <n v="0.40192076357172085"/>
    <n v="1"/>
    <n v="72.25"/>
    <n v="72.25"/>
    <n v="10.922223754959454"/>
    <n v="1525.7381504889352"/>
    <n v="1"/>
    <n v="0"/>
    <n v="0"/>
    <n v="0"/>
    <n v="0"/>
    <n v="0"/>
    <n v="0"/>
    <n v="0"/>
    <n v="0"/>
    <n v="0"/>
  </r>
  <r>
    <d v="1997-08-19T00:00:00"/>
    <n v="1997"/>
    <x v="24"/>
    <s v="R"/>
    <s v="RS"/>
    <x v="6"/>
    <s v="HOU"/>
    <s v="A"/>
    <n v="1"/>
    <n v="1"/>
    <n v="0"/>
    <n v="0"/>
    <n v="0"/>
    <n v="0"/>
    <n v="1516.6080837591314"/>
    <n v="1623.22794200316"/>
    <n v="0.25024686468413515"/>
    <n v="69"/>
    <n v="77"/>
    <n v="0"/>
    <n v="-8"/>
    <n v="0"/>
    <n v="0.3566290830983061"/>
    <n v="1"/>
    <n v="72.25"/>
    <n v="72.25"/>
    <n v="-6.4479736403132195"/>
    <n v="1510.1601101188182"/>
    <n v="0"/>
    <n v="1"/>
    <n v="0"/>
    <n v="0"/>
    <n v="0"/>
    <n v="0"/>
    <n v="0"/>
    <n v="0"/>
    <n v="0"/>
    <n v="0"/>
  </r>
  <r>
    <d v="1997-08-19T00:00:00"/>
    <n v="1997"/>
    <x v="25"/>
    <s v="R"/>
    <s v="RS"/>
    <x v="0"/>
    <s v="CHA"/>
    <s v="H"/>
    <n v="1"/>
    <n v="1"/>
    <n v="0"/>
    <n v="0"/>
    <n v="0"/>
    <n v="0"/>
    <n v="1623.22794200316"/>
    <n v="1516.6080837591314"/>
    <n v="0.74975313531586485"/>
    <n v="77"/>
    <n v="69"/>
    <n v="0"/>
    <n v="8"/>
    <n v="1"/>
    <n v="0.3566290830983061"/>
    <n v="1"/>
    <n v="72.099999999999994"/>
    <n v="72.099999999999994"/>
    <n v="6.4345868438281402"/>
    <n v="1629.6625288469882"/>
    <n v="1"/>
    <n v="0"/>
    <n v="0"/>
    <n v="0"/>
    <n v="0"/>
    <n v="0"/>
    <n v="0"/>
    <n v="0"/>
    <n v="0"/>
    <n v="0"/>
  </r>
  <r>
    <d v="1997-08-19T00:00:00"/>
    <n v="1997"/>
    <x v="24"/>
    <s v="R"/>
    <s v="RS"/>
    <x v="2"/>
    <s v="UTA"/>
    <s v="A"/>
    <n v="1"/>
    <n v="1"/>
    <n v="0"/>
    <n v="0"/>
    <n v="0"/>
    <n v="0"/>
    <n v="1524.7115783013257"/>
    <n v="1346.9090152664737"/>
    <n v="0.63180566187569875"/>
    <n v="75"/>
    <n v="81"/>
    <n v="0"/>
    <n v="-6"/>
    <n v="0"/>
    <n v="0.30594870746987213"/>
    <n v="1"/>
    <n v="72.25"/>
    <n v="72.25"/>
    <n v="-13.965934076262986"/>
    <n v="1510.7456442250627"/>
    <n v="0"/>
    <n v="1"/>
    <n v="0"/>
    <n v="0"/>
    <n v="0"/>
    <n v="0"/>
    <n v="0"/>
    <n v="0"/>
    <n v="0"/>
    <n v="0"/>
  </r>
  <r>
    <d v="1997-08-19T00:00:00"/>
    <n v="1997"/>
    <x v="25"/>
    <s v="R"/>
    <s v="RS"/>
    <x v="5"/>
    <s v="NYL"/>
    <s v="H"/>
    <n v="1"/>
    <n v="1"/>
    <n v="0"/>
    <n v="0"/>
    <n v="0"/>
    <n v="0"/>
    <n v="1346.9090152664737"/>
    <n v="1524.7115783013257"/>
    <n v="0.36819433812430125"/>
    <n v="81"/>
    <n v="75"/>
    <n v="0"/>
    <n v="6"/>
    <n v="1"/>
    <n v="0.30594870746987213"/>
    <n v="1"/>
    <n v="72.099999999999994"/>
    <n v="72.099999999999994"/>
    <n v="13.936939057419533"/>
    <n v="1360.8459543238932"/>
    <n v="1"/>
    <n v="0"/>
    <n v="0"/>
    <n v="0"/>
    <n v="0"/>
    <n v="0"/>
    <n v="0"/>
    <n v="0"/>
    <n v="0"/>
    <n v="0"/>
  </r>
  <r>
    <d v="1997-08-20T00:00:00"/>
    <n v="1997"/>
    <x v="25"/>
    <s v="R"/>
    <s v="RS"/>
    <x v="2"/>
    <s v="LAS"/>
    <s v="A"/>
    <n v="0"/>
    <n v="1"/>
    <n v="-1"/>
    <n v="1"/>
    <n v="-8"/>
    <n v="8"/>
    <n v="1510.7456442250627"/>
    <n v="1525.7381504889352"/>
    <n v="0.34030168998455063"/>
    <n v="76"/>
    <n v="78"/>
    <n v="0"/>
    <n v="-2"/>
    <n v="0"/>
    <n v="0.26453626941284197"/>
    <n v="1"/>
    <n v="72.099999999999994"/>
    <n v="72.099999999999994"/>
    <n v="-6.4905962610790322"/>
    <n v="1504.2550479639838"/>
    <n v="0"/>
    <n v="1"/>
    <n v="0"/>
    <n v="0"/>
    <n v="0"/>
    <n v="0"/>
    <n v="0"/>
    <n v="0"/>
    <n v="0"/>
    <n v="0"/>
  </r>
  <r>
    <d v="1997-08-20T00:00:00"/>
    <n v="1997"/>
    <x v="25"/>
    <s v="R"/>
    <s v="RS"/>
    <x v="3"/>
    <s v="NYL"/>
    <s v="H"/>
    <n v="1"/>
    <n v="0"/>
    <n v="1"/>
    <n v="-1"/>
    <n v="8"/>
    <n v="-8"/>
    <n v="1525.7381504889352"/>
    <n v="1510.7456442250627"/>
    <n v="0.65969831001544932"/>
    <n v="78"/>
    <n v="76"/>
    <n v="0"/>
    <n v="2"/>
    <n v="1"/>
    <n v="0.26453626941284197"/>
    <n v="1"/>
    <n v="72.099999999999994"/>
    <n v="72.099999999999994"/>
    <n v="6.4905962610790331"/>
    <n v="1532.2287467500141"/>
    <n v="1"/>
    <n v="0"/>
    <n v="0"/>
    <n v="0"/>
    <n v="0"/>
    <n v="0"/>
    <n v="0"/>
    <n v="0"/>
    <n v="0"/>
    <n v="0"/>
  </r>
  <r>
    <d v="1997-08-20T00:00:00"/>
    <n v="1997"/>
    <x v="25"/>
    <s v="R"/>
    <s v="RS"/>
    <x v="7"/>
    <s v="SAC"/>
    <s v="A"/>
    <n v="1"/>
    <n v="4"/>
    <n v="-3"/>
    <n v="3"/>
    <n v="-16"/>
    <n v="16"/>
    <n v="1515.9879183846328"/>
    <n v="1412.2724388161778"/>
    <n v="0.48232851747146865"/>
    <n v="69"/>
    <n v="54"/>
    <n v="0"/>
    <n v="15"/>
    <n v="1"/>
    <n v="0.46284457238649529"/>
    <n v="1"/>
    <n v="72.099999999999994"/>
    <n v="72.099999999999994"/>
    <n v="17.275263533264042"/>
    <n v="1533.2631819178969"/>
    <n v="1"/>
    <n v="0"/>
    <n v="0"/>
    <n v="0"/>
    <n v="0"/>
    <n v="0"/>
    <n v="0"/>
    <n v="0"/>
    <n v="0"/>
    <n v="0"/>
  </r>
  <r>
    <d v="1997-08-20T00:00:00"/>
    <n v="1997"/>
    <x v="25"/>
    <s v="R"/>
    <s v="RS"/>
    <x v="4"/>
    <s v="PHX"/>
    <s v="H"/>
    <n v="4"/>
    <n v="1"/>
    <n v="3"/>
    <n v="-3"/>
    <n v="16"/>
    <n v="-16"/>
    <n v="1412.2724388161778"/>
    <n v="1515.9879183846328"/>
    <n v="0.51767148252853135"/>
    <n v="54"/>
    <n v="69"/>
    <n v="0"/>
    <n v="-15"/>
    <n v="0"/>
    <n v="0.46284457238649529"/>
    <n v="1"/>
    <n v="72.099999999999994"/>
    <n v="72.099999999999994"/>
    <n v="-17.275263533264042"/>
    <n v="1394.9971752829138"/>
    <n v="0"/>
    <n v="1"/>
    <n v="0"/>
    <n v="0"/>
    <n v="0"/>
    <n v="0"/>
    <n v="0"/>
    <n v="0"/>
    <n v="0"/>
    <n v="0"/>
  </r>
  <r>
    <d v="1997-08-21T00:00:00"/>
    <n v="1997"/>
    <x v="25"/>
    <s v="R"/>
    <s v="RS"/>
    <x v="1"/>
    <s v="HOU"/>
    <s v="A"/>
    <n v="3"/>
    <n v="1"/>
    <n v="2"/>
    <n v="-2"/>
    <n v="16"/>
    <n v="-16"/>
    <n v="1534.5618802621427"/>
    <n v="1629.6625288469882"/>
    <n v="0.30010888765398708"/>
    <n v="76"/>
    <n v="75"/>
    <n v="0"/>
    <n v="1"/>
    <n v="1"/>
    <n v="0.22624929226815679"/>
    <n v="1"/>
    <n v="72.099999999999994"/>
    <n v="72.099999999999994"/>
    <n v="11.417025542863513"/>
    <n v="1545.9789058050062"/>
    <n v="1"/>
    <n v="0"/>
    <n v="0"/>
    <n v="0"/>
    <n v="0"/>
    <n v="0"/>
    <n v="0"/>
    <n v="0"/>
    <n v="0"/>
    <n v="0"/>
  </r>
  <r>
    <d v="1997-08-21T00:00:00"/>
    <n v="1997"/>
    <x v="26"/>
    <s v="R"/>
    <s v="RS"/>
    <x v="0"/>
    <s v="CLE"/>
    <s v="H"/>
    <n v="1"/>
    <n v="3"/>
    <n v="-2"/>
    <n v="2"/>
    <n v="-16"/>
    <n v="16"/>
    <n v="1629.6625288469882"/>
    <n v="1534.5618802621427"/>
    <n v="0.69989111234601298"/>
    <n v="75"/>
    <n v="76"/>
    <n v="0"/>
    <n v="-1"/>
    <n v="0"/>
    <n v="0.22624929226815679"/>
    <n v="1"/>
    <n v="71.95"/>
    <n v="71.95"/>
    <n v="-11.393273062538555"/>
    <n v="1618.2692557844496"/>
    <n v="0"/>
    <n v="1"/>
    <n v="0"/>
    <n v="0"/>
    <n v="0"/>
    <n v="0"/>
    <n v="0"/>
    <n v="0"/>
    <n v="0"/>
    <n v="0"/>
  </r>
  <r>
    <d v="1997-08-21T00:00:00"/>
    <n v="1997"/>
    <x v="25"/>
    <s v="R"/>
    <s v="RS"/>
    <x v="6"/>
    <s v="UTA"/>
    <s v="A"/>
    <n v="1"/>
    <n v="1"/>
    <n v="0"/>
    <n v="0"/>
    <n v="0"/>
    <n v="0"/>
    <n v="1510.1601101188182"/>
    <n v="1360.8459543238932"/>
    <n v="0.59290280194378642"/>
    <n v="66"/>
    <n v="56"/>
    <n v="0"/>
    <n v="10"/>
    <n v="1"/>
    <n v="0.37630646430119552"/>
    <n v="1"/>
    <n v="72.099999999999994"/>
    <n v="72.099999999999994"/>
    <n v="11.045237451099668"/>
    <n v="1521.2053475699179"/>
    <n v="1"/>
    <n v="0"/>
    <n v="0"/>
    <n v="0"/>
    <n v="0"/>
    <n v="0"/>
    <n v="0"/>
    <n v="0"/>
    <n v="0"/>
    <n v="0"/>
  </r>
  <r>
    <d v="1997-08-21T00:00:00"/>
    <n v="1997"/>
    <x v="26"/>
    <s v="R"/>
    <s v="RS"/>
    <x v="5"/>
    <s v="CHA"/>
    <s v="H"/>
    <n v="1"/>
    <n v="1"/>
    <n v="0"/>
    <n v="0"/>
    <n v="0"/>
    <n v="0"/>
    <n v="1360.8459543238932"/>
    <n v="1510.1601101188182"/>
    <n v="0.40709719805621364"/>
    <n v="56"/>
    <n v="66"/>
    <n v="0"/>
    <n v="-10"/>
    <n v="0"/>
    <n v="0.37630646430119552"/>
    <n v="1"/>
    <n v="71.95"/>
    <n v="71.95"/>
    <n v="-11.022258455015551"/>
    <n v="1349.8236958688776"/>
    <n v="0"/>
    <n v="1"/>
    <n v="0"/>
    <n v="0"/>
    <n v="0"/>
    <n v="0"/>
    <n v="0"/>
    <n v="0"/>
    <n v="0"/>
    <n v="0"/>
  </r>
  <r>
    <d v="1997-08-22T00:00:00"/>
    <n v="1997"/>
    <x v="26"/>
    <s v="R"/>
    <s v="RS"/>
    <x v="4"/>
    <s v="LAS"/>
    <s v="A"/>
    <n v="1"/>
    <n v="1"/>
    <n v="0"/>
    <n v="0"/>
    <n v="0"/>
    <n v="0"/>
    <n v="1394.9971752829138"/>
    <n v="1532.2287467500141"/>
    <n v="0.21865676860349398"/>
    <n v="77"/>
    <n v="88"/>
    <n v="0"/>
    <n v="-11"/>
    <n v="0"/>
    <n v="0.39469840196047384"/>
    <n v="1"/>
    <n v="71.95"/>
    <n v="71.95"/>
    <n v="-6.2095351806288122"/>
    <n v="1388.787640102285"/>
    <n v="0"/>
    <n v="1"/>
    <n v="0"/>
    <n v="0"/>
    <n v="0"/>
    <n v="0"/>
    <n v="0"/>
    <n v="0"/>
    <n v="0"/>
    <n v="0"/>
  </r>
  <r>
    <d v="1997-08-22T00:00:00"/>
    <n v="1997"/>
    <x v="26"/>
    <s v="R"/>
    <s v="RS"/>
    <x v="3"/>
    <s v="SAC"/>
    <s v="H"/>
    <n v="1"/>
    <n v="1"/>
    <n v="0"/>
    <n v="0"/>
    <n v="0"/>
    <n v="0"/>
    <n v="1532.2287467500141"/>
    <n v="1394.9971752829138"/>
    <n v="0.78134323139650597"/>
    <n v="88"/>
    <n v="77"/>
    <n v="0"/>
    <n v="11"/>
    <n v="1"/>
    <n v="0.39469840196047384"/>
    <n v="1"/>
    <n v="71.95"/>
    <n v="71.95"/>
    <n v="6.209535180628813"/>
    <n v="1538.4382819306429"/>
    <n v="1"/>
    <n v="0"/>
    <n v="0"/>
    <n v="0"/>
    <n v="0"/>
    <n v="0"/>
    <n v="0"/>
    <n v="0"/>
    <n v="0"/>
    <n v="0"/>
  </r>
  <r>
    <d v="1997-08-22T00:00:00"/>
    <n v="1997"/>
    <x v="26"/>
    <s v="R"/>
    <s v="RS"/>
    <x v="6"/>
    <s v="PHX"/>
    <s v="A"/>
    <n v="0"/>
    <n v="1"/>
    <n v="-1"/>
    <n v="1"/>
    <n v="-8"/>
    <n v="8"/>
    <n v="1521.2053475699179"/>
    <n v="1533.2631819178969"/>
    <n v="0.34410435100763376"/>
    <n v="63"/>
    <n v="78"/>
    <n v="0"/>
    <n v="-15"/>
    <n v="0"/>
    <n v="0.49784557844892108"/>
    <n v="1"/>
    <n v="71.95"/>
    <n v="71.95"/>
    <n v="-12.325814195057683"/>
    <n v="1508.8795333748601"/>
    <n v="0"/>
    <n v="1"/>
    <n v="0"/>
    <n v="0"/>
    <n v="0"/>
    <n v="0"/>
    <n v="0"/>
    <n v="0"/>
    <n v="0"/>
    <n v="0"/>
  </r>
  <r>
    <d v="1997-08-22T00:00:00"/>
    <n v="1997"/>
    <x v="26"/>
    <s v="R"/>
    <s v="RS"/>
    <x v="7"/>
    <s v="CHA"/>
    <s v="H"/>
    <n v="1"/>
    <n v="0"/>
    <n v="1"/>
    <n v="-1"/>
    <n v="8"/>
    <n v="-8"/>
    <n v="1533.2631819178969"/>
    <n v="1521.2053475699179"/>
    <n v="0.6558956489923663"/>
    <n v="78"/>
    <n v="63"/>
    <n v="0"/>
    <n v="15"/>
    <n v="1"/>
    <n v="0.49784557844892108"/>
    <n v="1"/>
    <n v="71.95"/>
    <n v="71.95"/>
    <n v="12.325814195057681"/>
    <n v="1545.5889961129546"/>
    <n v="1"/>
    <n v="0"/>
    <n v="0"/>
    <n v="0"/>
    <n v="0"/>
    <n v="0"/>
    <n v="0"/>
    <n v="0"/>
    <n v="0"/>
    <n v="0"/>
  </r>
  <r>
    <d v="1997-08-23T00:00:00"/>
    <n v="1997"/>
    <x v="26"/>
    <s v="R"/>
    <s v="RS"/>
    <x v="2"/>
    <s v="CLE"/>
    <s v="A"/>
    <n v="2"/>
    <n v="1"/>
    <n v="1"/>
    <n v="-1"/>
    <n v="8"/>
    <n v="-8"/>
    <n v="1504.2550479639838"/>
    <n v="1545.9789058050062"/>
    <n v="0.34714300423497879"/>
    <n v="71"/>
    <n v="72"/>
    <n v="0"/>
    <n v="-1"/>
    <n v="0"/>
    <n v="0.23597485327197992"/>
    <n v="1"/>
    <n v="71.95"/>
    <n v="71.95"/>
    <n v="-5.8939295522150896"/>
    <n v="1498.3611184117688"/>
    <n v="0"/>
    <n v="1"/>
    <n v="0"/>
    <n v="0"/>
    <n v="0"/>
    <n v="0"/>
    <n v="0"/>
    <n v="0"/>
    <n v="0"/>
    <n v="0"/>
  </r>
  <r>
    <d v="1997-08-23T00:00:00"/>
    <n v="1997"/>
    <x v="26"/>
    <s v="R"/>
    <s v="RS"/>
    <x v="1"/>
    <s v="NYL"/>
    <s v="H"/>
    <n v="1"/>
    <n v="2"/>
    <n v="-1"/>
    <n v="1"/>
    <n v="-8"/>
    <n v="8"/>
    <n v="1545.9789058050062"/>
    <n v="1504.2550479639838"/>
    <n v="0.65285699576502132"/>
    <n v="72"/>
    <n v="71"/>
    <n v="0"/>
    <n v="1"/>
    <n v="1"/>
    <n v="0.23597485327197992"/>
    <n v="1"/>
    <n v="71.95"/>
    <n v="71.95"/>
    <n v="5.8939295522150879"/>
    <n v="1551.8728353572212"/>
    <n v="1"/>
    <n v="0"/>
    <n v="0"/>
    <n v="0"/>
    <n v="0"/>
    <n v="0"/>
    <n v="0"/>
    <n v="0"/>
    <n v="0"/>
    <n v="0"/>
  </r>
  <r>
    <d v="1997-08-24T00:00:00"/>
    <n v="1997"/>
    <x v="27"/>
    <s v="R"/>
    <s v="RS"/>
    <x v="5"/>
    <s v="CHA"/>
    <s v="A"/>
    <n v="2"/>
    <n v="1"/>
    <n v="1"/>
    <n v="-1"/>
    <n v="8"/>
    <n v="-8"/>
    <n v="1349.8236958688776"/>
    <n v="1508.8795333748601"/>
    <n v="0.21298283775719076"/>
    <n v="52"/>
    <n v="70"/>
    <n v="0"/>
    <n v="-18"/>
    <n v="0"/>
    <n v="0.48283573083780446"/>
    <n v="1"/>
    <n v="71.8"/>
    <n v="71.8"/>
    <n v="-7.3836049921321161"/>
    <n v="1342.4400908767454"/>
    <n v="0"/>
    <n v="1"/>
    <n v="0"/>
    <n v="0"/>
    <n v="0"/>
    <n v="0"/>
    <n v="0"/>
    <n v="0"/>
    <n v="0"/>
    <n v="0"/>
  </r>
  <r>
    <d v="1997-08-24T00:00:00"/>
    <n v="1997"/>
    <x v="27"/>
    <s v="R"/>
    <s v="RS"/>
    <x v="6"/>
    <s v="UTA"/>
    <s v="H"/>
    <n v="1"/>
    <n v="2"/>
    <n v="-1"/>
    <n v="1"/>
    <n v="-8"/>
    <n v="8"/>
    <n v="1508.8795333748601"/>
    <n v="1349.8236958688776"/>
    <n v="0.78701716224280915"/>
    <n v="70"/>
    <n v="52"/>
    <n v="0"/>
    <n v="18"/>
    <n v="1"/>
    <n v="0.48283573083780446"/>
    <n v="1"/>
    <n v="71.8"/>
    <n v="71.8"/>
    <n v="7.3836049921321187"/>
    <n v="1516.2631383669923"/>
    <n v="1"/>
    <n v="0"/>
    <n v="0"/>
    <n v="0"/>
    <n v="0"/>
    <n v="0"/>
    <n v="0"/>
    <n v="0"/>
    <n v="0"/>
    <n v="0"/>
  </r>
  <r>
    <d v="1997-08-24T00:00:00"/>
    <n v="1997"/>
    <x v="27"/>
    <s v="R"/>
    <s v="RS"/>
    <x v="4"/>
    <s v="HOU"/>
    <s v="A"/>
    <n v="1"/>
    <n v="2"/>
    <n v="-1"/>
    <n v="1"/>
    <n v="-8"/>
    <n v="8"/>
    <n v="1388.787640102285"/>
    <n v="1618.2692557844496"/>
    <n v="0.13048825239497042"/>
    <n v="68"/>
    <n v="58"/>
    <n v="0"/>
    <n v="10"/>
    <n v="1"/>
    <n v="0.35520263683589526"/>
    <n v="1"/>
    <n v="71.8"/>
    <n v="71.8"/>
    <n v="22.175635743552945"/>
    <n v="1410.9632758458379"/>
    <n v="1"/>
    <n v="0"/>
    <n v="0"/>
    <n v="0"/>
    <n v="0"/>
    <n v="0"/>
    <n v="0"/>
    <n v="0"/>
    <n v="0"/>
    <n v="0"/>
  </r>
  <r>
    <d v="1997-08-24T00:00:00"/>
    <n v="1997"/>
    <x v="27"/>
    <s v="R"/>
    <s v="RS"/>
    <x v="0"/>
    <s v="SAC"/>
    <s v="H"/>
    <n v="2"/>
    <n v="1"/>
    <n v="1"/>
    <n v="-1"/>
    <n v="8"/>
    <n v="-8"/>
    <n v="1618.2692557844496"/>
    <n v="1388.787640102285"/>
    <n v="0.86951174760502969"/>
    <n v="58"/>
    <n v="68"/>
    <n v="0"/>
    <n v="-10"/>
    <n v="0"/>
    <n v="0.35520263683589526"/>
    <n v="1"/>
    <n v="71.8"/>
    <n v="71.8"/>
    <n v="-22.175635743552945"/>
    <n v="1596.0936200408967"/>
    <n v="0"/>
    <n v="1"/>
    <n v="0"/>
    <n v="0"/>
    <n v="0"/>
    <n v="0"/>
    <n v="0"/>
    <n v="0"/>
    <n v="0"/>
    <n v="0"/>
  </r>
  <r>
    <d v="1997-08-24T00:00:00"/>
    <n v="1997"/>
    <x v="27"/>
    <s v="R"/>
    <s v="RS"/>
    <x v="1"/>
    <s v="NYL"/>
    <s v="A"/>
    <n v="0"/>
    <n v="0"/>
    <n v="0"/>
    <n v="0"/>
    <n v="0"/>
    <n v="0"/>
    <n v="1551.8728353572212"/>
    <n v="1498.3611184117688"/>
    <n v="0.45623611027924282"/>
    <n v="72"/>
    <n v="79"/>
    <n v="1"/>
    <n v="-7"/>
    <n v="0"/>
    <n v="0.31887675311097197"/>
    <n v="1"/>
    <n v="71.8"/>
    <n v="71.8"/>
    <n v="-10.445685825943784"/>
    <n v="1541.4271495312773"/>
    <n v="0"/>
    <n v="1"/>
    <n v="0"/>
    <n v="0"/>
    <n v="0"/>
    <n v="0"/>
    <n v="0"/>
    <n v="0"/>
    <n v="0"/>
    <n v="0"/>
  </r>
  <r>
    <d v="1997-08-24T00:00:00"/>
    <n v="1997"/>
    <x v="27"/>
    <s v="R"/>
    <s v="RS"/>
    <x v="2"/>
    <s v="CLE"/>
    <s v="H"/>
    <n v="0"/>
    <n v="0"/>
    <n v="0"/>
    <n v="0"/>
    <n v="0"/>
    <n v="0"/>
    <n v="1498.3611184117688"/>
    <n v="1551.8728353572212"/>
    <n v="0.54376388972075718"/>
    <n v="79"/>
    <n v="72"/>
    <n v="1"/>
    <n v="7"/>
    <n v="1"/>
    <n v="0.31887675311097197"/>
    <n v="1"/>
    <n v="71.8"/>
    <n v="71.8"/>
    <n v="10.445685825943784"/>
    <n v="1508.8068042377126"/>
    <n v="1"/>
    <n v="0"/>
    <n v="0"/>
    <n v="0"/>
    <n v="0"/>
    <n v="0"/>
    <n v="0"/>
    <n v="0"/>
    <n v="0"/>
    <n v="0"/>
  </r>
  <r>
    <d v="1997-08-24T00:00:00"/>
    <n v="1997"/>
    <x v="27"/>
    <s v="R"/>
    <s v="RS"/>
    <x v="3"/>
    <s v="PHX"/>
    <s v="A"/>
    <n v="1"/>
    <n v="1"/>
    <n v="0"/>
    <n v="0"/>
    <n v="0"/>
    <n v="0"/>
    <n v="1538.4382819306429"/>
    <n v="1545.5889961129546"/>
    <n v="0.37175254615258052"/>
    <n v="68"/>
    <n v="73"/>
    <n v="1"/>
    <n v="-5"/>
    <n v="0"/>
    <n v="0.29681169823177134"/>
    <n v="1"/>
    <n v="71.8"/>
    <n v="71.8"/>
    <n v="-7.9224482263692249"/>
    <n v="1530.5158337042737"/>
    <n v="0"/>
    <n v="1"/>
    <n v="0"/>
    <n v="0"/>
    <n v="0"/>
    <n v="0"/>
    <n v="0"/>
    <n v="0"/>
    <n v="0"/>
    <n v="0"/>
  </r>
  <r>
    <d v="1997-08-24T00:00:00"/>
    <n v="1997"/>
    <x v="27"/>
    <s v="R"/>
    <s v="RS"/>
    <x v="7"/>
    <s v="LAS"/>
    <s v="H"/>
    <n v="1"/>
    <n v="1"/>
    <n v="0"/>
    <n v="0"/>
    <n v="0"/>
    <n v="0"/>
    <n v="1545.5889961129546"/>
    <n v="1538.4382819306429"/>
    <n v="0.62824745384741942"/>
    <n v="73"/>
    <n v="68"/>
    <n v="1"/>
    <n v="5"/>
    <n v="1"/>
    <n v="0.29681169823177134"/>
    <n v="1"/>
    <n v="71.8"/>
    <n v="71.8"/>
    <n v="7.9224482263692257"/>
    <n v="1553.5114443393238"/>
    <n v="1"/>
    <n v="0"/>
    <n v="0"/>
    <n v="0"/>
    <n v="0"/>
    <n v="0"/>
    <n v="0"/>
    <n v="0"/>
    <n v="0"/>
    <n v="0"/>
  </r>
  <r>
    <d v="1997-08-28T00:00:00"/>
    <n v="1997"/>
    <x v="28"/>
    <s v="P"/>
    <n v="1"/>
    <x v="6"/>
    <s v="HOU"/>
    <s v="A"/>
    <n v="3"/>
    <n v="3"/>
    <n v="0"/>
    <n v="0"/>
    <n v="0"/>
    <n v="0"/>
    <n v="1516.2631383669923"/>
    <n v="1596.0936200408967"/>
    <n v="0.28027779754807847"/>
    <n v="54"/>
    <n v="70"/>
    <n v="0"/>
    <n v="-16"/>
    <n v="0"/>
    <n v="0.48548870153757595"/>
    <n v="1.1000000000000001"/>
    <n v="71.650000000000006"/>
    <n v="78.815000000000012"/>
    <n v="-10.724491350872565"/>
    <n v="1505.5386470161197"/>
    <n v="0"/>
    <n v="0"/>
    <n v="0"/>
    <n v="1"/>
    <n v="0"/>
    <n v="0"/>
    <n v="0"/>
    <n v="0"/>
    <n v="0"/>
    <n v="0"/>
  </r>
  <r>
    <d v="1997-08-28T00:00:00"/>
    <n v="1997"/>
    <x v="28"/>
    <s v="P"/>
    <n v="1"/>
    <x v="0"/>
    <s v="CHA"/>
    <s v="H"/>
    <n v="3"/>
    <n v="3"/>
    <n v="0"/>
    <n v="0"/>
    <n v="0"/>
    <n v="0"/>
    <n v="1596.0936200408967"/>
    <n v="1516.2631383669923"/>
    <n v="0.71972220245192153"/>
    <n v="70"/>
    <n v="54"/>
    <n v="0"/>
    <n v="16"/>
    <n v="1"/>
    <n v="0.48548870153757595"/>
    <n v="1.1000000000000001"/>
    <n v="71.650000000000006"/>
    <n v="78.815000000000012"/>
    <n v="10.724491350872565"/>
    <n v="1606.8181113917692"/>
    <n v="0"/>
    <n v="0"/>
    <n v="1"/>
    <n v="0"/>
    <n v="0"/>
    <n v="0"/>
    <n v="0"/>
    <n v="0"/>
    <n v="0"/>
    <n v="0"/>
  </r>
  <r>
    <d v="1997-08-28T00:00:00"/>
    <n v="1997"/>
    <x v="28"/>
    <s v="P"/>
    <n v="1"/>
    <x v="2"/>
    <s v="PHX"/>
    <s v="A"/>
    <n v="3"/>
    <n v="3"/>
    <n v="0"/>
    <n v="0"/>
    <n v="0"/>
    <n v="0"/>
    <n v="1508.8068042377126"/>
    <n v="1553.5114443393238"/>
    <n v="0.32281098467285679"/>
    <n v="59"/>
    <n v="41"/>
    <n v="0"/>
    <n v="18"/>
    <n v="1"/>
    <n v="0.52719392007570298"/>
    <n v="1.1000000000000001"/>
    <n v="71.650000000000006"/>
    <n v="78.815000000000012"/>
    <n v="28.137737760829065"/>
    <n v="1536.9445419985418"/>
    <n v="0"/>
    <n v="0"/>
    <n v="1"/>
    <n v="0"/>
    <n v="0"/>
    <n v="0"/>
    <n v="0"/>
    <n v="0"/>
    <n v="0"/>
    <n v="0"/>
  </r>
  <r>
    <d v="1997-08-28T00:00:00"/>
    <n v="1997"/>
    <x v="28"/>
    <s v="P"/>
    <n v="1"/>
    <x v="7"/>
    <s v="NYL"/>
    <s v="H"/>
    <n v="3"/>
    <n v="3"/>
    <n v="0"/>
    <n v="0"/>
    <n v="0"/>
    <n v="0"/>
    <n v="1553.5114443393238"/>
    <n v="1508.8068042377126"/>
    <n v="0.67718901532714315"/>
    <n v="41"/>
    <n v="59"/>
    <n v="0"/>
    <n v="-18"/>
    <n v="0"/>
    <n v="0.52719392007570298"/>
    <n v="1.1000000000000001"/>
    <n v="71.650000000000006"/>
    <n v="78.815000000000012"/>
    <n v="-28.137737760829065"/>
    <n v="1525.3737065784946"/>
    <n v="0"/>
    <n v="0"/>
    <n v="0"/>
    <n v="1"/>
    <n v="0"/>
    <n v="0"/>
    <n v="0"/>
    <n v="0"/>
    <n v="0"/>
    <n v="0"/>
  </r>
  <r>
    <d v="1997-08-30T00:00:00"/>
    <n v="1997"/>
    <x v="29"/>
    <s v="P"/>
    <n v="2"/>
    <x v="2"/>
    <s v="HOU"/>
    <s v="A"/>
    <n v="1"/>
    <n v="1"/>
    <n v="0"/>
    <n v="0"/>
    <n v="0"/>
    <n v="0"/>
    <n v="1536.9445419985418"/>
    <n v="1606.8181113917692"/>
    <n v="0.29198404513633408"/>
    <n v="51"/>
    <n v="65"/>
    <n v="0"/>
    <n v="-14"/>
    <n v="0"/>
    <n v="0.46077793753948981"/>
    <n v="1.2"/>
    <n v="71.5"/>
    <n v="85.8"/>
    <n v="-11.543515364440259"/>
    <n v="1525.4010266341015"/>
    <n v="0"/>
    <n v="0"/>
    <n v="0"/>
    <n v="0"/>
    <n v="0"/>
    <n v="1"/>
    <n v="0"/>
    <n v="0"/>
    <n v="0"/>
    <n v="0"/>
  </r>
  <r>
    <d v="1997-08-30T00:00:00"/>
    <n v="1997"/>
    <x v="29"/>
    <s v="P"/>
    <n v="2"/>
    <x v="0"/>
    <s v="NYL"/>
    <s v="H"/>
    <n v="1"/>
    <n v="1"/>
    <n v="0"/>
    <n v="0"/>
    <n v="0"/>
    <n v="0"/>
    <n v="1606.8181113917692"/>
    <n v="1536.9445419985418"/>
    <n v="0.70801595486366586"/>
    <n v="65"/>
    <n v="51"/>
    <n v="0"/>
    <n v="14"/>
    <n v="1"/>
    <n v="0.46077793753948981"/>
    <n v="1.2"/>
    <n v="71.5"/>
    <n v="85.8"/>
    <n v="11.54351536444026"/>
    <n v="1618.3616267562095"/>
    <n v="0"/>
    <n v="0"/>
    <n v="0"/>
    <n v="0"/>
    <n v="1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2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6">
        <item m="1" x="35"/>
        <item m="1" x="29"/>
        <item m="1" x="46"/>
        <item m="1" x="20"/>
        <item m="1" x="17"/>
        <item m="1" x="34"/>
        <item m="1" x="51"/>
        <item x="6"/>
        <item m="1" x="12"/>
        <item m="1" x="36"/>
        <item x="1"/>
        <item m="1" x="23"/>
        <item m="1" x="27"/>
        <item m="1" x="13"/>
        <item m="1" x="52"/>
        <item m="1" x="31"/>
        <item x="0"/>
        <item m="1" x="14"/>
        <item m="1" x="45"/>
        <item m="1" x="44"/>
        <item m="1" x="11"/>
        <item m="1" x="10"/>
        <item m="1" x="54"/>
        <item x="3"/>
        <item m="1" x="53"/>
        <item m="1" x="18"/>
        <item m="1" x="19"/>
        <item m="1" x="30"/>
        <item m="1" x="16"/>
        <item m="1" x="38"/>
        <item m="1" x="8"/>
        <item m="1" x="24"/>
        <item m="1" x="39"/>
        <item m="1" x="47"/>
        <item x="2"/>
        <item m="1" x="40"/>
        <item m="1" x="26"/>
        <item m="1" x="15"/>
        <item m="1" x="21"/>
        <item x="7"/>
        <item m="1" x="42"/>
        <item m="1" x="28"/>
        <item m="1" x="25"/>
        <item x="4"/>
        <item m="1" x="37"/>
        <item m="1" x="48"/>
        <item m="1" x="49"/>
        <item m="1" x="43"/>
        <item m="1" x="50"/>
        <item m="1" x="41"/>
        <item m="1" x="9"/>
        <item x="5"/>
        <item m="1" x="33"/>
        <item m="1" x="22"/>
        <item m="1" x="3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9">
    <i>
      <x v="7"/>
    </i>
    <i>
      <x v="10"/>
    </i>
    <i>
      <x v="16"/>
    </i>
    <i>
      <x v="23"/>
    </i>
    <i>
      <x v="34"/>
    </i>
    <i>
      <x v="39"/>
    </i>
    <i>
      <x v="43"/>
    </i>
    <i>
      <x v="5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4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9" totalsRowShown="0">
  <autoFilter ref="A1:D9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9">
    <sortCondition ref="C2:C9"/>
  </sortState>
  <tableColumns count="4">
    <tableColumn id="1" xr3:uid="{8C17ECDF-4459-4994-A3F5-8E8FEDF92B6F}" name="TeamID"/>
    <tableColumn id="4" xr3:uid="{789F069E-DAF9-4B19-A6DB-107BA6995CE5}" name="Logo" dataDxfId="6"/>
    <tableColumn id="5" xr3:uid="{A9DA91BA-5529-4913-978B-19C8EF225B29}" name="TeamName" dataDxfId="5"/>
    <tableColumn id="2" xr3:uid="{AA4C8157-DB69-4779-8EEE-6F419B992D71}" name="PreSeasonElo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231" totalsRowShown="0" headerRowDxfId="46" dataDxfId="45">
  <autoFilter ref="A1:AL231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44"/>
    <tableColumn id="21" xr3:uid="{D754AB95-C77C-4DD5-B1B9-A24A4FEE7279}" name="Season" dataDxfId="43"/>
    <tableColumn id="19" xr3:uid="{4C42B78B-6AFC-42C3-A5F4-3266E247C458}" name="GamesPlayed" dataDxfId="42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41"/>
    <tableColumn id="14" xr3:uid="{EFA83923-8CCA-4DC9-BC85-5D86949A45D9}" name="Round" dataDxfId="40"/>
    <tableColumn id="2" xr3:uid="{6E102E51-A49B-416B-8CD2-B93B2A4EA389}" name="Team" dataDxfId="39"/>
    <tableColumn id="3" xr3:uid="{19101345-1C34-4AF3-88E6-76A7F19B7FE6}" name="Opponent" dataDxfId="38"/>
    <tableColumn id="16" xr3:uid="{4CBCDF29-B095-48DF-8EF6-06DC7D78C844}" name="HomeAway" dataDxfId="37"/>
    <tableColumn id="32" xr3:uid="{E3FA53E3-DAD6-4BC2-969A-C53F4798E86D}" name="DaysOff" dataDxfId="36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5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34">
      <calculatedColumnFormula>Games[[#This Row],[DaysOff]]-Games[[#This Row],[OppDaysOff]]</calculatedColumnFormula>
    </tableColumn>
    <tableColumn id="35" xr3:uid="{3F2DB366-7372-41BA-8B0C-09F9BA7EA850}" name="OppRestDiff" dataDxfId="33">
      <calculatedColumnFormula>Games[[#This Row],[OppDaysOff]]-Games[[#This Row],[DaysOff]]</calculatedColumnFormula>
    </tableColumn>
    <tableColumn id="36" xr3:uid="{BDD0FD2C-608F-4CCC-867B-4481F0F4B802}" name="RestAdj" dataDxfId="32">
      <calculatedColumnFormula>MAX(-16, MIN(16, Games[[#This Row],[RestDiff]]*8))</calculatedColumnFormula>
    </tableColumn>
    <tableColumn id="37" xr3:uid="{5F89213A-4C28-428C-B766-3B05D4F530A5}" name="OppRestAdj" dataDxfId="31">
      <calculatedColumnFormula>MAX(-16, MIN(16, Games[[#This Row],[OppRestDiff]]*8))</calculatedColumnFormula>
    </tableColumn>
    <tableColumn id="4" xr3:uid="{68053CFA-948B-4F2C-A114-7C46ABD9EA33}" name="PreGmRate" dataDxfId="30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9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8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7"/>
    <tableColumn id="8" xr3:uid="{0CDDF0F9-2F1E-487C-96DD-90F70CE7DAFC}" name="PointsAgainst" dataDxfId="26"/>
    <tableColumn id="22" xr3:uid="{AB7B5B5C-5BAD-4213-990E-8EB9B177497C}" name="OT" dataDxfId="25"/>
    <tableColumn id="9" xr3:uid="{CE171F1D-5E5D-4800-A6DC-8F6DBD74C939}" name="MOV" dataDxfId="24">
      <calculatedColumnFormula>Games[[#This Row],[PointsFor]]-Games[[#This Row],[PointsAgainst]]</calculatedColumnFormula>
    </tableColumn>
    <tableColumn id="10" xr3:uid="{883A3911-25F6-4C39-9637-F1C42D6A1FC2}" name="Result" dataDxfId="23">
      <calculatedColumnFormula>IF(Games[[#This Row],[MOV]]&gt;0,1,IF(Games[[#This Row],[MOV]]=0,0.5,0))</calculatedColumnFormula>
    </tableColumn>
    <tableColumn id="15" xr3:uid="{00048431-5FD6-47EE-807E-5B63FD521193}" name="MOVMult" dataDxfId="22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21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20">
      <calculatedColumnFormula>MAX(kmin, kmax - 0.15 * MIN(Games[[#This Row],[GamesPlayed]], 82))</calculatedColumnFormula>
    </tableColumn>
    <tableColumn id="29" xr3:uid="{FBA5D644-15ED-4725-9E52-1D37FD0FAC64}" name="Keff" dataDxfId="19">
      <calculatedColumnFormula>Games[[#This Row],[K]]*Games[[#This Row],[POMult]]</calculatedColumnFormula>
    </tableColumn>
    <tableColumn id="11" xr3:uid="{309DAEBD-E62C-4090-89E9-A58FD32AB89B}" name="RatingChange" dataDxfId="18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7">
      <calculatedColumnFormula>Games[[#This Row],[PreGmRate]]+Games[[#This Row],[RatingChange]]</calculatedColumnFormula>
    </tableColumn>
    <tableColumn id="17" xr3:uid="{90B7BF87-E472-4474-A10D-555BD3BF8F04}" name="W" dataDxfId="16">
      <calculatedColumnFormula>IF(Games[[#This Row],[Type]]="R",IF(Games[[#This Row],[Result]]&gt;0.5,1,0),0)</calculatedColumnFormula>
    </tableColumn>
    <tableColumn id="18" xr3:uid="{29756EA1-783D-4C76-A7B8-F906AF0EC7E7}" name="L" dataDxfId="15">
      <calculatedColumnFormula>IF(Games[[#This Row],[Type]]="R",IF(Games[[#This Row],[Result]]&lt;0.5,1,0),0)</calculatedColumnFormula>
    </tableColumn>
    <tableColumn id="23" xr3:uid="{C253CFA7-28A4-4AE5-B131-DC1E8F2B73F8}" name="R1W" dataDxfId="14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13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12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11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10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9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8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7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31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64</v>
      </c>
      <c r="B2" s="8"/>
      <c r="C2" s="15" t="s">
        <v>68</v>
      </c>
      <c r="D2" s="13">
        <v>1500</v>
      </c>
      <c r="G2" t="s">
        <v>68</v>
      </c>
      <c r="H2" s="12">
        <v>1505.5386470161197</v>
      </c>
    </row>
    <row r="3" spans="1:8" x14ac:dyDescent="0.35">
      <c r="A3" t="s">
        <v>1</v>
      </c>
      <c r="B3" s="8"/>
      <c r="C3" s="15" t="s">
        <v>69</v>
      </c>
      <c r="D3" s="13">
        <v>1500</v>
      </c>
      <c r="G3" t="s">
        <v>69</v>
      </c>
      <c r="H3" s="12">
        <v>1541.4271495312773</v>
      </c>
    </row>
    <row r="4" spans="1:8" x14ac:dyDescent="0.35">
      <c r="A4" t="s">
        <v>2</v>
      </c>
      <c r="B4" s="8"/>
      <c r="C4" s="15" t="s">
        <v>65</v>
      </c>
      <c r="D4" s="13">
        <v>1500</v>
      </c>
      <c r="G4" t="s">
        <v>65</v>
      </c>
      <c r="H4" s="12">
        <v>1618.3616267562095</v>
      </c>
    </row>
    <row r="5" spans="1:8" x14ac:dyDescent="0.35">
      <c r="A5" t="s">
        <v>71</v>
      </c>
      <c r="B5" s="8"/>
      <c r="C5" s="15" t="s">
        <v>72</v>
      </c>
      <c r="D5" s="13">
        <v>1500</v>
      </c>
      <c r="G5" t="s">
        <v>72</v>
      </c>
      <c r="H5" s="12">
        <v>1530.5158337042737</v>
      </c>
    </row>
    <row r="6" spans="1:8" x14ac:dyDescent="0.35">
      <c r="A6" t="s">
        <v>66</v>
      </c>
      <c r="B6" s="8"/>
      <c r="C6" s="15" t="s">
        <v>67</v>
      </c>
      <c r="D6" s="13">
        <v>1500</v>
      </c>
      <c r="G6" t="s">
        <v>67</v>
      </c>
      <c r="H6" s="12">
        <v>1525.4010266341015</v>
      </c>
    </row>
    <row r="7" spans="1:8" x14ac:dyDescent="0.35">
      <c r="A7" t="s">
        <v>44</v>
      </c>
      <c r="B7" s="8"/>
      <c r="C7" s="15" t="s">
        <v>70</v>
      </c>
      <c r="D7" s="13">
        <v>1500</v>
      </c>
      <c r="G7" t="s">
        <v>70</v>
      </c>
      <c r="H7" s="12">
        <v>1525.3737065784946</v>
      </c>
    </row>
    <row r="8" spans="1:8" x14ac:dyDescent="0.35">
      <c r="A8" t="s">
        <v>45</v>
      </c>
      <c r="B8" s="8"/>
      <c r="C8" s="15" t="s">
        <v>73</v>
      </c>
      <c r="D8" s="13">
        <v>1500</v>
      </c>
      <c r="G8" t="s">
        <v>73</v>
      </c>
      <c r="H8" s="12">
        <v>1410.9632758458379</v>
      </c>
    </row>
    <row r="9" spans="1:8" x14ac:dyDescent="0.35">
      <c r="A9" t="s">
        <v>43</v>
      </c>
      <c r="B9" s="8"/>
      <c r="C9" s="15" t="s">
        <v>74</v>
      </c>
      <c r="D9" s="13">
        <v>1500</v>
      </c>
      <c r="G9" t="s">
        <v>74</v>
      </c>
      <c r="H9" s="12">
        <v>1342.4400908767454</v>
      </c>
    </row>
    <row r="10" spans="1:8" x14ac:dyDescent="0.35">
      <c r="B10" s="8"/>
      <c r="C10" s="15"/>
      <c r="D10" s="13"/>
    </row>
    <row r="11" spans="1:8" x14ac:dyDescent="0.35">
      <c r="B11" s="8"/>
      <c r="C11" s="15"/>
      <c r="D11" s="13"/>
    </row>
    <row r="12" spans="1:8" x14ac:dyDescent="0.35">
      <c r="B12" s="8"/>
      <c r="C12" s="15"/>
      <c r="D12" s="13"/>
    </row>
    <row r="13" spans="1:8" x14ac:dyDescent="0.35">
      <c r="B13" s="8"/>
      <c r="C13" s="15"/>
      <c r="D13" s="13"/>
    </row>
    <row r="14" spans="1:8" x14ac:dyDescent="0.35">
      <c r="B14" s="8"/>
      <c r="C14" s="15"/>
      <c r="D14" s="13"/>
    </row>
    <row r="15" spans="1:8" x14ac:dyDescent="0.35">
      <c r="B15" s="8"/>
      <c r="C15" s="15"/>
      <c r="D15" s="13"/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15"/>
      <c r="D23" s="13"/>
    </row>
    <row r="24" spans="2:4" x14ac:dyDescent="0.35">
      <c r="B24" s="8"/>
      <c r="C24" s="15"/>
      <c r="D24" s="13"/>
    </row>
    <row r="25" spans="2:4" x14ac:dyDescent="0.35">
      <c r="B25" s="8"/>
      <c r="C25" s="15"/>
      <c r="D25" s="13"/>
    </row>
    <row r="26" spans="2:4" x14ac:dyDescent="0.35">
      <c r="B26" s="8"/>
      <c r="C26" s="15"/>
      <c r="D26" s="13"/>
    </row>
    <row r="27" spans="2:4" x14ac:dyDescent="0.35">
      <c r="B27" s="8"/>
      <c r="C27" s="15"/>
      <c r="D27" s="13"/>
    </row>
    <row r="28" spans="2:4" x14ac:dyDescent="0.35">
      <c r="B28" s="8"/>
      <c r="C28" s="15"/>
      <c r="D28" s="13"/>
    </row>
    <row r="29" spans="2:4" x14ac:dyDescent="0.35">
      <c r="B29" s="8"/>
      <c r="C29" s="8"/>
      <c r="D29" s="13"/>
    </row>
    <row r="30" spans="2:4" x14ac:dyDescent="0.35">
      <c r="B30" s="8"/>
      <c r="C30" s="8"/>
      <c r="D30" s="13"/>
    </row>
    <row r="31" spans="2:4" x14ac:dyDescent="0.35">
      <c r="B31" s="8"/>
      <c r="C31" s="8"/>
      <c r="D31" s="13"/>
    </row>
  </sheetData>
  <sortState xmlns:xlrd2="http://schemas.microsoft.com/office/spreadsheetml/2017/richdata2" ref="G2:H9">
    <sortCondition ref="G2:G9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5"/>
  <sheetViews>
    <sheetView workbookViewId="0">
      <selection activeCell="G2" sqref="G2:G9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9">_xlfn.SORTBY(A25:H32,G25:G32,-1)</f>
        <v>HOU</v>
      </c>
      <c r="B2">
        <v>0</v>
      </c>
      <c r="C2" t="str">
        <v>Houston Comets</v>
      </c>
      <c r="D2" s="1">
        <v>18</v>
      </c>
      <c r="E2" s="1">
        <v>10</v>
      </c>
      <c r="F2" s="3">
        <v>0.6428571428571429</v>
      </c>
      <c r="G2" s="9">
        <v>1618.3616267562095</v>
      </c>
      <c r="H2" s="1">
        <v>35672</v>
      </c>
      <c r="O2" s="4"/>
      <c r="P2" s="4"/>
      <c r="Q2" s="1"/>
      <c r="AK2" t="s">
        <v>2</v>
      </c>
      <c r="AL2">
        <f>_xlfn.XLOOKUP(AK2,ConfDiv[TeamID],ConfDiv[Logo])</f>
        <v>0</v>
      </c>
      <c r="AM2" t="str">
        <f>_xlfn.XLOOKUP(AK2,ConfDiv[TeamID],ConfDiv[TeamName])</f>
        <v>Houston Comets</v>
      </c>
      <c r="AN2" s="1">
        <f>_xlfn.XLOOKUP($AK2,StandingsPivot!$A$4:$A$33,StandingsPivot!D$4:D$33)</f>
        <v>1</v>
      </c>
      <c r="AO2" s="1">
        <f>_xlfn.XLOOKUP($AK2,StandingsPivot!$A$4:$A$33,StandingsPivot!E$4:E$33)</f>
        <v>0</v>
      </c>
      <c r="AP2" s="1">
        <f>_xlfn.XLOOKUP($AK2,StandingsPivot!$A$4:$A$33,StandingsPivot!F$4:F$33)</f>
        <v>1</v>
      </c>
      <c r="AQ2" s="1">
        <f>_xlfn.XLOOKUP($AK2,StandingsPivot!$A$4:$A$33,StandingsPivot!G$4:G$33)</f>
        <v>0</v>
      </c>
      <c r="AR2" s="1">
        <f>_xlfn.XLOOKUP($AK2,StandingsPivot!$A$4:$A$33,StandingsPivot!H$4:H$33)</f>
        <v>0</v>
      </c>
      <c r="AS2" s="1">
        <f>_xlfn.XLOOKUP($AK2,StandingsPivot!$A$4:$A$33,StandingsPivot!I$4:I$33)</f>
        <v>0</v>
      </c>
      <c r="AT2" s="1">
        <f>_xlfn.XLOOKUP($AK2,StandingsPivot!$A$4:$A$33,StandingsPivot!J$4:J$33)</f>
        <v>0</v>
      </c>
      <c r="AU2" s="1">
        <f>_xlfn.XLOOKUP($AK2,StandingsPivot!$A$4:$A$33,StandingsPivot!K$4:K$33)</f>
        <v>0</v>
      </c>
      <c r="AV2" s="1">
        <f t="shared" ref="AV2:AV5" si="0">SUM(AN2,AP2,AR2,AT2)</f>
        <v>2</v>
      </c>
      <c r="AW2" s="1">
        <f t="shared" ref="AW2:AW5" si="1">SUM(AO2,AQ2,AS2,AU2)</f>
        <v>0</v>
      </c>
      <c r="AX2" s="4" cm="1">
        <f t="array" ref="AX2">_xlfn.IFNA(INDEX(Games[PostGmRate], MATCH(1, (Games[Team]=AK2)*(Games[Date]=AY2), 0)),0)</f>
        <v>1618.3616267562095</v>
      </c>
      <c r="AY2" s="1">
        <f>_xlfn.MAXIFS(Games[Date], Games[Team], AK2)</f>
        <v>35672</v>
      </c>
      <c r="AZ2">
        <f t="shared" ref="AZ2:AZ5" si="2">SUM(AV2:AW2)</f>
        <v>2</v>
      </c>
    </row>
    <row r="3" spans="1:68" x14ac:dyDescent="0.35">
      <c r="A3" t="str">
        <v>CLE</v>
      </c>
      <c r="B3">
        <v>0</v>
      </c>
      <c r="C3" t="str">
        <v>Cleveland Rockers</v>
      </c>
      <c r="D3" s="1">
        <v>15</v>
      </c>
      <c r="E3" s="1">
        <v>13</v>
      </c>
      <c r="F3" s="3">
        <v>0.5357142857142857</v>
      </c>
      <c r="G3" s="9">
        <v>1541.4271495312773</v>
      </c>
      <c r="H3" s="1">
        <v>35666</v>
      </c>
      <c r="O3" s="4"/>
      <c r="P3" s="4"/>
      <c r="Q3" s="1"/>
      <c r="AK3" t="s">
        <v>66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1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1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1</v>
      </c>
      <c r="AW3" s="1">
        <f t="shared" si="1"/>
        <v>1</v>
      </c>
      <c r="AX3" s="4" cm="1">
        <f t="array" ref="AX3">_xlfn.IFNA(INDEX(Games[PostGmRate], MATCH(1, (Games[Team]=AK3)*(Games[Date]=AY3), 0)),0)</f>
        <v>1525.4010266341015</v>
      </c>
      <c r="AY3" s="1">
        <f>_xlfn.MAXIFS(Games[Date], Games[Team], AK3)</f>
        <v>35672</v>
      </c>
      <c r="AZ3">
        <f t="shared" si="2"/>
        <v>2</v>
      </c>
    </row>
    <row r="4" spans="1:68" x14ac:dyDescent="0.35">
      <c r="A4" t="str">
        <v>LAS</v>
      </c>
      <c r="B4">
        <v>0</v>
      </c>
      <c r="C4" t="str">
        <v>Los Angeles Sparks</v>
      </c>
      <c r="D4" s="1">
        <v>14</v>
      </c>
      <c r="E4" s="1">
        <v>14</v>
      </c>
      <c r="F4" s="3">
        <v>0.5</v>
      </c>
      <c r="G4" s="9">
        <v>1530.5158337042737</v>
      </c>
      <c r="H4" s="1">
        <v>35666</v>
      </c>
      <c r="O4" s="4"/>
      <c r="P4" s="4"/>
      <c r="Q4" s="1"/>
      <c r="AK4" t="s">
        <v>64</v>
      </c>
      <c r="AL4">
        <f>_xlfn.XLOOKUP(AK4,ConfDiv[TeamID],ConfDiv[Logo])</f>
        <v>0</v>
      </c>
      <c r="AM4" t="str">
        <f>_xlfn.XLOOKUP(AK4,ConfDiv[TeamID],ConfDiv[TeamName])</f>
        <v>Charlotte Sting</v>
      </c>
      <c r="AN4" s="1">
        <f>_xlfn.XLOOKUP($AK4,StandingsPivot!$A$4:$A$33,StandingsPivot!D$4:D$33)</f>
        <v>0</v>
      </c>
      <c r="AO4" s="1">
        <f>_xlfn.XLOOKUP($AK4,StandingsPivot!$A$4:$A$33,StandingsPivot!E$4:E$33)</f>
        <v>1</v>
      </c>
      <c r="AP4" s="1">
        <f>_xlfn.XLOOKUP($AK4,StandingsPivot!$A$4:$A$33,StandingsPivot!F$4:F$33)</f>
        <v>0</v>
      </c>
      <c r="AQ4" s="1">
        <f>_xlfn.XLOOKUP($AK4,StandingsPivot!$A$4:$A$33,StandingsPivot!G$4:G$33)</f>
        <v>0</v>
      </c>
      <c r="AR4" s="1">
        <f>_xlfn.XLOOKUP($AK4,StandingsPivot!$A$4:$A$33,StandingsPivot!H$4:H$33)</f>
        <v>0</v>
      </c>
      <c r="AS4" s="1">
        <f>_xlfn.XLOOKUP($AK4,StandingsPivot!$A$4:$A$33,StandingsPivot!I$4:I$33)</f>
        <v>0</v>
      </c>
      <c r="AT4" s="1">
        <f>_xlfn.XLOOKUP($AK4,StandingsPivot!$A$4:$A$33,StandingsPivot!J$4:J$33)</f>
        <v>0</v>
      </c>
      <c r="AU4" s="1">
        <f>_xlfn.XLOOKUP($AK4,StandingsPivot!$A$4:$A$33,StandingsPivot!K$4:K$33)</f>
        <v>0</v>
      </c>
      <c r="AV4" s="1">
        <f t="shared" si="0"/>
        <v>0</v>
      </c>
      <c r="AW4" s="1">
        <f t="shared" si="1"/>
        <v>1</v>
      </c>
      <c r="AX4" s="4" cm="1">
        <f t="array" ref="AX4">_xlfn.IFNA(INDEX(Games[PostGmRate], MATCH(1, (Games[Team]=AK4)*(Games[Date]=AY4), 0)),0)</f>
        <v>1505.5386470161197</v>
      </c>
      <c r="AY4" s="1">
        <f>_xlfn.MAXIFS(Games[Date], Games[Team], AK4)</f>
        <v>35670</v>
      </c>
      <c r="AZ4">
        <f t="shared" si="2"/>
        <v>1</v>
      </c>
    </row>
    <row r="5" spans="1:68" x14ac:dyDescent="0.35">
      <c r="A5" t="str">
        <v>NYL</v>
      </c>
      <c r="B5">
        <v>0</v>
      </c>
      <c r="C5" t="str">
        <v>New York Liberty</v>
      </c>
      <c r="D5" s="1">
        <v>17</v>
      </c>
      <c r="E5" s="1">
        <v>11</v>
      </c>
      <c r="F5" s="3">
        <v>0.6071428571428571</v>
      </c>
      <c r="G5" s="9">
        <v>1525.4010266341015</v>
      </c>
      <c r="H5" s="1">
        <v>35672</v>
      </c>
      <c r="O5" s="4"/>
      <c r="P5" s="4"/>
      <c r="Q5" s="1"/>
      <c r="AK5" t="s">
        <v>1</v>
      </c>
      <c r="AL5">
        <f>_xlfn.XLOOKUP(AK5,ConfDiv[TeamID],ConfDiv[Logo])</f>
        <v>0</v>
      </c>
      <c r="AM5" t="str">
        <f>_xlfn.XLOOKUP(AK5,ConfDiv[TeamID],ConfDiv[TeamName])</f>
        <v>Cleveland Rockers</v>
      </c>
      <c r="AN5" s="1">
        <f>_xlfn.XLOOKUP($AK5,StandingsPivot!$A$4:$A$33,StandingsPivot!D$4:D$33)</f>
        <v>0</v>
      </c>
      <c r="AO5" s="1">
        <f>_xlfn.XLOOKUP($AK5,StandingsPivot!$A$4:$A$33,StandingsPivot!E$4:E$33)</f>
        <v>0</v>
      </c>
      <c r="AP5" s="1">
        <f>_xlfn.XLOOKUP($AK5,StandingsPivot!$A$4:$A$33,StandingsPivot!F$4:F$33)</f>
        <v>0</v>
      </c>
      <c r="AQ5" s="1">
        <f>_xlfn.XLOOKUP($AK5,StandingsPivot!$A$4:$A$33,StandingsPivot!G$4:G$33)</f>
        <v>0</v>
      </c>
      <c r="AR5" s="1">
        <f>_xlfn.XLOOKUP($AK5,StandingsPivot!$A$4:$A$33,StandingsPivot!H$4:H$33)</f>
        <v>0</v>
      </c>
      <c r="AS5" s="1">
        <f>_xlfn.XLOOKUP($AK5,StandingsPivot!$A$4:$A$33,StandingsPivot!I$4:I$33)</f>
        <v>0</v>
      </c>
      <c r="AT5" s="1">
        <f>_xlfn.XLOOKUP($AK5,StandingsPivot!$A$4:$A$33,StandingsPivot!J$4:J$33)</f>
        <v>0</v>
      </c>
      <c r="AU5" s="1">
        <f>_xlfn.XLOOKUP($AK5,StandingsPivot!$A$4:$A$33,StandingsPivot!K$4:K$33)</f>
        <v>0</v>
      </c>
      <c r="AV5" s="1">
        <f t="shared" si="0"/>
        <v>0</v>
      </c>
      <c r="AW5" s="1">
        <f t="shared" si="1"/>
        <v>0</v>
      </c>
      <c r="AX5" s="4" cm="1">
        <f t="array" ref="AX5">_xlfn.IFNA(INDEX(Games[PostGmRate], MATCH(1, (Games[Team]=AK5)*(Games[Date]=AY5), 0)),0)</f>
        <v>1541.4271495312773</v>
      </c>
      <c r="AY5" s="1">
        <f>_xlfn.MAXIFS(Games[Date], Games[Team], AK5)</f>
        <v>35666</v>
      </c>
      <c r="AZ5">
        <f t="shared" si="2"/>
        <v>0</v>
      </c>
    </row>
    <row r="6" spans="1:68" x14ac:dyDescent="0.35">
      <c r="A6" t="str">
        <v>PHX</v>
      </c>
      <c r="B6">
        <v>0</v>
      </c>
      <c r="C6" t="str">
        <v>Phoenix Mercury</v>
      </c>
      <c r="D6" s="1">
        <v>16</v>
      </c>
      <c r="E6" s="1">
        <v>12</v>
      </c>
      <c r="F6" s="3">
        <v>0.5714285714285714</v>
      </c>
      <c r="G6" s="9">
        <v>1525.3737065784946</v>
      </c>
      <c r="H6" s="1">
        <v>35670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1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1</v>
      </c>
      <c r="AX6" s="4" cm="1">
        <f t="array" ref="AX6">_xlfn.IFNA(INDEX(Games[PostGmRate], MATCH(1, (Games[Team]=AK6)*(Games[Date]=AY6), 0)),0)</f>
        <v>1525.3737065784946</v>
      </c>
      <c r="AY6" s="1">
        <f>_xlfn.MAXIFS(Games[Date], Games[Team], AK6)</f>
        <v>35670</v>
      </c>
      <c r="AZ6">
        <f>SUM(AV6:AW6)</f>
        <v>1</v>
      </c>
      <c r="BO6" s="4"/>
      <c r="BP6" s="1"/>
    </row>
    <row r="7" spans="1:68" x14ac:dyDescent="0.35">
      <c r="A7" t="str">
        <v>CHA</v>
      </c>
      <c r="B7">
        <v>0</v>
      </c>
      <c r="C7" t="str">
        <v>Charlotte Sting</v>
      </c>
      <c r="D7" s="1">
        <v>15</v>
      </c>
      <c r="E7" s="1">
        <v>13</v>
      </c>
      <c r="F7" s="3">
        <v>0.5357142857142857</v>
      </c>
      <c r="G7" s="9">
        <v>1505.5386470161197</v>
      </c>
      <c r="H7" s="1">
        <v>35670</v>
      </c>
      <c r="AK7" t="s">
        <v>71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0</v>
      </c>
      <c r="AX7" s="4" cm="1">
        <f t="array" ref="AX7">_xlfn.IFNA(INDEX(Games[PostGmRate], MATCH(1, (Games[Team]=AK7)*(Games[Date]=AY7), 0)),0)</f>
        <v>1530.5158337042737</v>
      </c>
      <c r="AY7" s="1">
        <f>_xlfn.MAXIFS(Games[Date], Games[Team], AK7)</f>
        <v>35666</v>
      </c>
      <c r="AZ7">
        <f>SUM(AV7:AW7)</f>
        <v>0</v>
      </c>
      <c r="BO7" s="4"/>
      <c r="BP7" s="1"/>
    </row>
    <row r="8" spans="1:68" x14ac:dyDescent="0.35">
      <c r="A8" t="str">
        <v>SAC</v>
      </c>
      <c r="B8">
        <v>0</v>
      </c>
      <c r="C8" t="str">
        <v>Sacramento Monarchs</v>
      </c>
      <c r="D8" s="1">
        <v>10</v>
      </c>
      <c r="E8" s="1">
        <v>18</v>
      </c>
      <c r="F8" s="3">
        <v>0.35714285714285715</v>
      </c>
      <c r="G8" s="9">
        <v>1410.9632758458379</v>
      </c>
      <c r="H8" s="1">
        <v>35666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0</v>
      </c>
      <c r="AO8" s="1">
        <f>_xlfn.XLOOKUP($AK8,StandingsPivot!$A$4:$A$33,StandingsPivot!E$4:E$33)</f>
        <v>0</v>
      </c>
      <c r="AP8" s="1">
        <f>_xlfn.XLOOKUP($AK8,StandingsPivot!$A$4:$A$33,StandingsPivot!F$4:F$33)</f>
        <v>0</v>
      </c>
      <c r="AQ8" s="1">
        <f>_xlfn.XLOOKUP($AK8,StandingsPivot!$A$4:$A$33,StandingsPivot!G$4:G$33)</f>
        <v>0</v>
      </c>
      <c r="AR8" s="1">
        <f>_xlfn.XLOOKUP($AK8,StandingsPivot!$A$4:$A$33,StandingsPivot!H$4:H$33)</f>
        <v>0</v>
      </c>
      <c r="AS8" s="1">
        <f>_xlfn.XLOOKUP($AK8,StandingsPivot!$A$4:$A$33,StandingsPivot!I$4:I$33)</f>
        <v>0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0</v>
      </c>
      <c r="AW8" s="1">
        <f t="shared" si="3"/>
        <v>0</v>
      </c>
      <c r="AX8" s="4" cm="1">
        <f t="array" ref="AX8">_xlfn.IFNA(INDEX(Games[PostGmRate], MATCH(1, (Games[Team]=AK8)*(Games[Date]=AY8), 0)),0)</f>
        <v>1410.9632758458379</v>
      </c>
      <c r="AY8" s="1">
        <f>_xlfn.MAXIFS(Games[Date], Games[Team], AK8)</f>
        <v>35666</v>
      </c>
      <c r="AZ8">
        <f>SUM(AV8:AW8)</f>
        <v>0</v>
      </c>
      <c r="BO8" s="4"/>
      <c r="BP8" s="1"/>
    </row>
    <row r="9" spans="1:68" x14ac:dyDescent="0.35">
      <c r="A9" t="str">
        <v>UTA</v>
      </c>
      <c r="B9">
        <v>0</v>
      </c>
      <c r="C9" t="str">
        <v>Utah Starzz</v>
      </c>
      <c r="D9" s="1">
        <v>7</v>
      </c>
      <c r="E9" s="1">
        <v>21</v>
      </c>
      <c r="F9" s="3">
        <v>0.25</v>
      </c>
      <c r="G9" s="9">
        <v>1342.4400908767454</v>
      </c>
      <c r="H9" s="1">
        <v>35666</v>
      </c>
      <c r="O9" s="3"/>
      <c r="P9" s="4"/>
      <c r="Q9" s="1"/>
      <c r="AK9" t="s">
        <v>43</v>
      </c>
      <c r="AL9">
        <f>_xlfn.XLOOKUP(AK9,ConfDiv[TeamID],ConfDiv[Logo])</f>
        <v>0</v>
      </c>
      <c r="AM9" t="str">
        <f>_xlfn.XLOOKUP(AK9,ConfDiv[TeamID],ConfDiv[TeamName])</f>
        <v>Utah Starzz</v>
      </c>
      <c r="AN9" s="1">
        <f>_xlfn.XLOOKUP($AK9,StandingsPivot!$A$4:$A$33,StandingsPivot!D$4:D$33)</f>
        <v>0</v>
      </c>
      <c r="AO9" s="1">
        <f>_xlfn.XLOOKUP($AK9,StandingsPivot!$A$4:$A$33,StandingsPivot!E$4:E$33)</f>
        <v>0</v>
      </c>
      <c r="AP9" s="1">
        <f>_xlfn.XLOOKUP($AK9,StandingsPivot!$A$4:$A$33,StandingsPivot!F$4:F$33)</f>
        <v>0</v>
      </c>
      <c r="AQ9" s="1">
        <f>_xlfn.XLOOKUP($AK9,StandingsPivot!$A$4:$A$33,StandingsPivot!G$4:G$33)</f>
        <v>0</v>
      </c>
      <c r="AR9" s="1">
        <f>_xlfn.XLOOKUP($AK9,StandingsPivot!$A$4:$A$33,StandingsPivot!H$4:H$33)</f>
        <v>0</v>
      </c>
      <c r="AS9" s="1">
        <f>_xlfn.XLOOKUP($AK9,StandingsPivot!$A$4:$A$33,StandingsPivot!I$4:I$33)</f>
        <v>0</v>
      </c>
      <c r="AT9" s="1">
        <f>_xlfn.XLOOKUP($AK9,StandingsPivot!$A$4:$A$33,StandingsPivot!J$4:J$33)</f>
        <v>0</v>
      </c>
      <c r="AU9" s="1">
        <f>_xlfn.XLOOKUP($AK9,StandingsPivot!$A$4:$A$33,StandingsPivot!K$4:K$33)</f>
        <v>0</v>
      </c>
      <c r="AV9" s="1">
        <f t="shared" si="3"/>
        <v>0</v>
      </c>
      <c r="AW9" s="1">
        <f t="shared" si="3"/>
        <v>0</v>
      </c>
      <c r="AX9" s="4" cm="1">
        <f t="array" ref="AX9">_xlfn.IFNA(INDEX(Games[PostGmRate], MATCH(1, (Games[Team]=AK9)*(Games[Date]=AY9), 0)),0)</f>
        <v>1342.4400908767454</v>
      </c>
      <c r="AY9" s="1">
        <f>_xlfn.MAXIFS(Games[Date], Games[Team], AK9)</f>
        <v>35666</v>
      </c>
      <c r="AZ9">
        <f>SUM(AV9:AW9)</f>
        <v>0</v>
      </c>
      <c r="BO9" s="4"/>
      <c r="BP9" s="1"/>
    </row>
    <row r="10" spans="1:68" x14ac:dyDescent="0.35">
      <c r="F10" s="3"/>
      <c r="G10" s="9"/>
      <c r="O10" s="3"/>
      <c r="P10" s="4"/>
      <c r="Q10" s="1"/>
      <c r="AX10" s="4"/>
      <c r="BO10" s="4"/>
      <c r="BP10" s="1"/>
    </row>
    <row r="11" spans="1:68" x14ac:dyDescent="0.35">
      <c r="F11" s="3"/>
      <c r="G11" s="9"/>
      <c r="O11" s="3"/>
      <c r="P11" s="4"/>
      <c r="Q11" s="1"/>
      <c r="AX11" s="4"/>
      <c r="BO11" s="4"/>
      <c r="BP11" s="1"/>
    </row>
    <row r="12" spans="1:68" x14ac:dyDescent="0.35">
      <c r="F12" s="3"/>
      <c r="G12" s="9"/>
      <c r="O12" s="3"/>
      <c r="P12" s="4"/>
      <c r="Q12" s="1"/>
      <c r="AX12" s="4"/>
      <c r="BO12" s="4"/>
      <c r="BP12" s="1"/>
    </row>
    <row r="13" spans="1:68" x14ac:dyDescent="0.35">
      <c r="F13" s="3"/>
      <c r="G13" s="9"/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64</v>
      </c>
      <c r="B25">
        <f>_xlfn.XLOOKUP(A25,ConfDiv[TeamID],ConfDiv[Logo])</f>
        <v>0</v>
      </c>
      <c r="C25" t="str">
        <f>_xlfn.XLOOKUP(A25,ConfDiv[TeamID],ConfDiv[TeamName])</f>
        <v>Charlotte Sting</v>
      </c>
      <c r="D25" s="1">
        <f>_xlfn.XLOOKUP($A25,StandingsPivot!$A$4:$A$35,StandingsPivot!B$4:B$35)</f>
        <v>15</v>
      </c>
      <c r="E25" s="1">
        <f>_xlfn.XLOOKUP($A25,StandingsPivot!$A$4:$A$35,StandingsPivot!C$4:C$35)</f>
        <v>13</v>
      </c>
      <c r="F25" s="3">
        <f>(D25)/(D25+E25)</f>
        <v>0.5357142857142857</v>
      </c>
      <c r="G25" s="9" cm="1">
        <f t="array" ref="G25">INDEX(Games[PostGmRate], MATCH(1, (Games[Team]=A25)*(Games[Date]=H25), 0))</f>
        <v>1505.5386470161197</v>
      </c>
      <c r="H25" s="1">
        <f>_xlfn.MAXIFS(Games[Date], Games[Team], A25)</f>
        <v>35670</v>
      </c>
      <c r="AR25" s="3"/>
      <c r="AS25" s="4"/>
      <c r="BD25" s="1"/>
      <c r="BG25" s="3"/>
      <c r="BH25" s="4"/>
    </row>
    <row r="26" spans="1:60" x14ac:dyDescent="0.35">
      <c r="A26" t="s">
        <v>1</v>
      </c>
      <c r="B26">
        <f>_xlfn.XLOOKUP(A26,ConfDiv[TeamID],ConfDiv[Logo])</f>
        <v>0</v>
      </c>
      <c r="C26" t="str">
        <f>_xlfn.XLOOKUP(A26,ConfDiv[TeamID],ConfDiv[TeamName])</f>
        <v>Cleveland Rockers</v>
      </c>
      <c r="D26" s="1">
        <f>_xlfn.XLOOKUP($A26,StandingsPivot!$A$4:$A$35,StandingsPivot!B$4:B$35)</f>
        <v>15</v>
      </c>
      <c r="E26" s="1">
        <f>_xlfn.XLOOKUP($A26,StandingsPivot!$A$4:$A$35,StandingsPivot!C$4:C$35)</f>
        <v>13</v>
      </c>
      <c r="F26" s="3">
        <f>(D26)/(D26+E26)</f>
        <v>0.5357142857142857</v>
      </c>
      <c r="G26" s="9" cm="1">
        <f t="array" ref="G26">INDEX(Games[PostGmRate], MATCH(1, (Games[Team]=A26)*(Games[Date]=H26), 0))</f>
        <v>1541.4271495312773</v>
      </c>
      <c r="H26" s="1">
        <f>_xlfn.MAXIFS(Games[Date], Games[Team], A26)</f>
        <v>35666</v>
      </c>
      <c r="AR26" s="3"/>
      <c r="AS26" s="4"/>
      <c r="BD26" s="1"/>
      <c r="BG26" s="3"/>
      <c r="BH26" s="4"/>
    </row>
    <row r="27" spans="1:60" x14ac:dyDescent="0.35">
      <c r="A27" t="s">
        <v>2</v>
      </c>
      <c r="B27">
        <f>_xlfn.XLOOKUP(A27,ConfDiv[TeamID],ConfDiv[Logo])</f>
        <v>0</v>
      </c>
      <c r="C27" t="str">
        <f>_xlfn.XLOOKUP(A27,ConfDiv[TeamID],ConfDiv[TeamName])</f>
        <v>Houston Comets</v>
      </c>
      <c r="D27" s="1">
        <f>_xlfn.XLOOKUP($A27,StandingsPivot!$A$4:$A$35,StandingsPivot!B$4:B$35)</f>
        <v>18</v>
      </c>
      <c r="E27" s="1">
        <f>_xlfn.XLOOKUP($A27,StandingsPivot!$A$4:$A$35,StandingsPivot!C$4:C$35)</f>
        <v>10</v>
      </c>
      <c r="F27" s="3">
        <f>(D27)/(D27+E27)</f>
        <v>0.6428571428571429</v>
      </c>
      <c r="G27" s="9" cm="1">
        <f t="array" ref="G27">INDEX(Games[PostGmRate], MATCH(1, (Games[Team]=A27)*(Games[Date]=H27), 0))</f>
        <v>1618.3616267562095</v>
      </c>
      <c r="H27" s="1">
        <f>_xlfn.MAXIFS(Games[Date], Games[Team], A27)</f>
        <v>35672</v>
      </c>
      <c r="AR27" s="3"/>
      <c r="AS27" s="4"/>
      <c r="BD27" s="1"/>
      <c r="BG27" s="3"/>
      <c r="BH27" s="4"/>
    </row>
    <row r="28" spans="1:60" x14ac:dyDescent="0.35">
      <c r="A28" t="s">
        <v>66</v>
      </c>
      <c r="B28">
        <f>_xlfn.XLOOKUP(A28,ConfDiv[TeamID],ConfDiv[Logo])</f>
        <v>0</v>
      </c>
      <c r="C28" t="str">
        <f>_xlfn.XLOOKUP(A28,ConfDiv[TeamID],ConfDiv[TeamName])</f>
        <v>New York Liberty</v>
      </c>
      <c r="D28" s="1">
        <f>_xlfn.XLOOKUP($A28,StandingsPivot!$A$4:$A$35,StandingsPivot!B$4:B$35)</f>
        <v>17</v>
      </c>
      <c r="E28" s="1">
        <f>_xlfn.XLOOKUP($A28,StandingsPivot!$A$4:$A$35,StandingsPivot!C$4:C$35)</f>
        <v>11</v>
      </c>
      <c r="F28" s="3">
        <f>(D28)/(D28+E28)</f>
        <v>0.6071428571428571</v>
      </c>
      <c r="G28" s="9" cm="1">
        <f t="array" ref="G28">INDEX(Games[PostGmRate], MATCH(1, (Games[Team]=A28)*(Games[Date]=H28), 0))</f>
        <v>1525.4010266341015</v>
      </c>
      <c r="H28" s="1">
        <f>_xlfn.MAXIFS(Games[Date], Games[Team], A28)</f>
        <v>35672</v>
      </c>
      <c r="AR28" s="3"/>
      <c r="AS28" s="4"/>
      <c r="BD28" s="1"/>
      <c r="BG28" s="3"/>
      <c r="BH28" s="4"/>
    </row>
    <row r="29" spans="1:60" x14ac:dyDescent="0.35">
      <c r="A29" t="s">
        <v>71</v>
      </c>
      <c r="B29">
        <f>_xlfn.XLOOKUP(A29,ConfDiv[TeamID],ConfDiv[Logo])</f>
        <v>0</v>
      </c>
      <c r="C29" t="str">
        <f>_xlfn.XLOOKUP(A29,ConfDiv[TeamID],ConfDiv[TeamName])</f>
        <v>Los Angeles Sparks</v>
      </c>
      <c r="D29" s="1">
        <f>_xlfn.XLOOKUP($A29,StandingsPivot!$A$4:$A$35,StandingsPivot!B$4:B$35)</f>
        <v>14</v>
      </c>
      <c r="E29" s="1">
        <f>_xlfn.XLOOKUP($A29,StandingsPivot!$A$4:$A$35,StandingsPivot!C$4:C$35)</f>
        <v>14</v>
      </c>
      <c r="F29" s="3">
        <f>(D29)/(D29+E29)</f>
        <v>0.5</v>
      </c>
      <c r="G29" s="9" cm="1">
        <f t="array" ref="G29">INDEX(Games[PostGmRate], MATCH(1, (Games[Team]=A29)*(Games[Date]=H29), 0))</f>
        <v>1530.5158337042737</v>
      </c>
      <c r="H29" s="1">
        <f>_xlfn.MAXIFS(Games[Date], Games[Team], A29)</f>
        <v>35666</v>
      </c>
      <c r="AR29" s="3"/>
      <c r="AS29" s="4"/>
      <c r="BD29" s="1"/>
      <c r="BG29" s="3"/>
      <c r="BH29" s="4"/>
    </row>
    <row r="30" spans="1:60" x14ac:dyDescent="0.35">
      <c r="A30" t="s">
        <v>44</v>
      </c>
      <c r="B30">
        <f>_xlfn.XLOOKUP(A30,ConfDiv[TeamID],ConfDiv[Logo])</f>
        <v>0</v>
      </c>
      <c r="C30" t="str">
        <f>_xlfn.XLOOKUP(A30,ConfDiv[TeamID],ConfDiv[TeamName])</f>
        <v>Phoenix Mercury</v>
      </c>
      <c r="D30" s="1">
        <f>_xlfn.XLOOKUP($A30,StandingsPivot!$A$4:$A$35,StandingsPivot!B$4:B$35)</f>
        <v>16</v>
      </c>
      <c r="E30" s="1">
        <f>_xlfn.XLOOKUP($A30,StandingsPivot!$A$4:$A$35,StandingsPivot!C$4:C$35)</f>
        <v>12</v>
      </c>
      <c r="F30" s="3">
        <f>(D30)/(D30+E30)</f>
        <v>0.5714285714285714</v>
      </c>
      <c r="G30" s="9" cm="1">
        <f t="array" ref="G30">INDEX(Games[PostGmRate], MATCH(1, (Games[Team]=A30)*(Games[Date]=H30), 0))</f>
        <v>1525.3737065784946</v>
      </c>
      <c r="H30" s="1">
        <f>_xlfn.MAXIFS(Games[Date], Games[Team], A30)</f>
        <v>35670</v>
      </c>
      <c r="AR30" s="3"/>
      <c r="AS30" s="4"/>
      <c r="BD30" s="1"/>
      <c r="BG30" s="3"/>
      <c r="BH30" s="4"/>
    </row>
    <row r="31" spans="1:60" x14ac:dyDescent="0.35">
      <c r="A31" t="s">
        <v>45</v>
      </c>
      <c r="B31">
        <f>_xlfn.XLOOKUP(A31,ConfDiv[TeamID],ConfDiv[Logo])</f>
        <v>0</v>
      </c>
      <c r="C31" t="str">
        <f>_xlfn.XLOOKUP(A31,ConfDiv[TeamID],ConfDiv[TeamName])</f>
        <v>Sacramento Monarchs</v>
      </c>
      <c r="D31" s="1">
        <f>_xlfn.XLOOKUP($A31,StandingsPivot!$A$4:$A$35,StandingsPivot!B$4:B$35)</f>
        <v>10</v>
      </c>
      <c r="E31" s="1">
        <f>_xlfn.XLOOKUP($A31,StandingsPivot!$A$4:$A$35,StandingsPivot!C$4:C$35)</f>
        <v>18</v>
      </c>
      <c r="F31" s="3">
        <f>(D31)/(D31+E31)</f>
        <v>0.35714285714285715</v>
      </c>
      <c r="G31" s="9" cm="1">
        <f t="array" ref="G31">INDEX(Games[PostGmRate], MATCH(1, (Games[Team]=A31)*(Games[Date]=H31), 0))</f>
        <v>1410.9632758458379</v>
      </c>
      <c r="H31" s="1">
        <f>_xlfn.MAXIFS(Games[Date], Games[Team], A31)</f>
        <v>35666</v>
      </c>
      <c r="AR31" s="3"/>
      <c r="AS31" s="4"/>
      <c r="BD31" s="1"/>
      <c r="BG31" s="3"/>
      <c r="BH31" s="4"/>
    </row>
    <row r="32" spans="1:60" x14ac:dyDescent="0.35">
      <c r="A32" t="s">
        <v>43</v>
      </c>
      <c r="B32">
        <f>_xlfn.XLOOKUP(A32,ConfDiv[TeamID],ConfDiv[Logo])</f>
        <v>0</v>
      </c>
      <c r="C32" t="str">
        <f>_xlfn.XLOOKUP(A32,ConfDiv[TeamID],ConfDiv[TeamName])</f>
        <v>Utah Starzz</v>
      </c>
      <c r="D32" s="1">
        <f>_xlfn.XLOOKUP($A32,StandingsPivot!$A$4:$A$35,StandingsPivot!B$4:B$35)</f>
        <v>7</v>
      </c>
      <c r="E32" s="1">
        <f>_xlfn.XLOOKUP($A32,StandingsPivot!$A$4:$A$35,StandingsPivot!C$4:C$35)</f>
        <v>21</v>
      </c>
      <c r="F32" s="3">
        <f>(D32)/(D32+E32)</f>
        <v>0.25</v>
      </c>
      <c r="G32" s="9" cm="1">
        <f t="array" ref="G32">INDEX(Games[PostGmRate], MATCH(1, (Games[Team]=A32)*(Games[Date]=H32), 0))</f>
        <v>1342.4400908767454</v>
      </c>
      <c r="H32" s="1">
        <f>_xlfn.MAXIFS(Games[Date], Games[Team], A32)</f>
        <v>35666</v>
      </c>
      <c r="AR32" s="3"/>
      <c r="AS32" s="4"/>
      <c r="BD32" s="1"/>
      <c r="BG32" s="3"/>
      <c r="BH32" s="4"/>
    </row>
    <row r="33" spans="44:60" x14ac:dyDescent="0.35">
      <c r="AR33" s="3"/>
      <c r="AS33" s="4"/>
      <c r="BD33" s="1"/>
      <c r="BG33" s="3"/>
      <c r="BH33" s="4"/>
    </row>
    <row r="34" spans="44:60" x14ac:dyDescent="0.35">
      <c r="AR34" s="3"/>
      <c r="AS34" s="4"/>
      <c r="BD34" s="1"/>
      <c r="BG34" s="3"/>
      <c r="BH34" s="4"/>
    </row>
    <row r="35" spans="44:60" x14ac:dyDescent="0.35">
      <c r="AR35" s="3"/>
      <c r="AS35" s="4"/>
      <c r="BD35" s="1"/>
      <c r="BG35" s="3"/>
      <c r="BH35" s="4"/>
    </row>
  </sheetData>
  <sortState xmlns:xlrd2="http://schemas.microsoft.com/office/spreadsheetml/2017/richdata2" ref="A25:H28">
    <sortCondition ref="A25:A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64</v>
      </c>
      <c r="B4" s="2">
        <v>15</v>
      </c>
      <c r="C4" s="2">
        <v>13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1</v>
      </c>
      <c r="B5" s="2">
        <v>15</v>
      </c>
      <c r="C5" s="2">
        <v>13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2</v>
      </c>
      <c r="B6" s="2">
        <v>18</v>
      </c>
      <c r="C6" s="2">
        <v>10</v>
      </c>
      <c r="D6" s="2">
        <v>1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71</v>
      </c>
      <c r="B7" s="2">
        <v>14</v>
      </c>
      <c r="C7" s="2">
        <v>14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66</v>
      </c>
      <c r="B8" s="2">
        <v>17</v>
      </c>
      <c r="C8" s="2">
        <v>11</v>
      </c>
      <c r="D8" s="2">
        <v>1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44</v>
      </c>
      <c r="B9" s="2">
        <v>16</v>
      </c>
      <c r="C9" s="2">
        <v>12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45</v>
      </c>
      <c r="B10" s="2">
        <v>10</v>
      </c>
      <c r="C10" s="2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43</v>
      </c>
      <c r="B11" s="2">
        <v>7</v>
      </c>
      <c r="C11" s="2">
        <v>21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20</v>
      </c>
      <c r="B12" s="2">
        <v>112</v>
      </c>
      <c r="C12" s="2">
        <v>112</v>
      </c>
      <c r="D12" s="2">
        <v>2</v>
      </c>
      <c r="E12" s="2">
        <v>2</v>
      </c>
      <c r="F12" s="2">
        <v>1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B13"/>
      <c r="C13"/>
      <c r="D13"/>
    </row>
    <row r="14" spans="1:11" x14ac:dyDescent="0.35">
      <c r="B14"/>
      <c r="C14"/>
      <c r="D14"/>
    </row>
    <row r="15" spans="1:11" x14ac:dyDescent="0.35">
      <c r="B15"/>
      <c r="C15"/>
      <c r="D15"/>
    </row>
    <row r="16" spans="1:11" x14ac:dyDescent="0.35">
      <c r="B16"/>
      <c r="C16"/>
      <c r="D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34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231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35602</v>
      </c>
      <c r="B2" s="2">
        <v>1997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2</v>
      </c>
      <c r="G2" s="1" t="s">
        <v>1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0.38141587791096926</v>
      </c>
      <c r="R2" s="1">
        <v>76</v>
      </c>
      <c r="S2" s="1">
        <v>56</v>
      </c>
      <c r="T2" s="1">
        <v>0</v>
      </c>
      <c r="U2" s="1">
        <f>Games[[#This Row],[PointsFor]]-Games[[#This Row],[PointsAgainst]]</f>
        <v>20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0.57488735894217269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26.973488180746028</v>
      </c>
      <c r="AB2" s="4">
        <f>Games[[#This Row],[PreGmRate]]+Games[[#This Row],[RatingChange]]</f>
        <v>1526.973488180746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35602</v>
      </c>
      <c r="B3" s="2">
        <v>1997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1</v>
      </c>
      <c r="G3" s="1" t="s">
        <v>2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0.61858412208903069</v>
      </c>
      <c r="R3" s="1">
        <v>56</v>
      </c>
      <c r="S3" s="1">
        <v>76</v>
      </c>
      <c r="T3" s="1">
        <v>0</v>
      </c>
      <c r="U3" s="1">
        <f>Games[[#This Row],[PointsFor]]-Games[[#This Row],[PointsAgainst]]</f>
        <v>-20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0.57488735894217269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-26.973488180746028</v>
      </c>
      <c r="AB3" s="4">
        <f>Games[[#This Row],[PreGmRate]]+Games[[#This Row],[RatingChange]]</f>
        <v>1473.026511819254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35602</v>
      </c>
      <c r="B4" s="2">
        <v>1997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66</v>
      </c>
      <c r="G4" s="1" t="s">
        <v>71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0.38141587791096926</v>
      </c>
      <c r="R4" s="1">
        <v>67</v>
      </c>
      <c r="S4" s="1">
        <v>57</v>
      </c>
      <c r="T4" s="1">
        <v>0</v>
      </c>
      <c r="U4" s="1">
        <f>Games[[#This Row],[PointsFor]]-Games[[#This Row],[PointsAgainst]]</f>
        <v>10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0.42312969933228395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19.853078635896793</v>
      </c>
      <c r="AB4" s="4">
        <f>Games[[#This Row],[PreGmRate]]+Games[[#This Row],[RatingChange]]</f>
        <v>1519.8530786358967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35602</v>
      </c>
      <c r="B5" s="2">
        <v>1997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71</v>
      </c>
      <c r="G5" s="1" t="s">
        <v>66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0.61858412208903069</v>
      </c>
      <c r="R5" s="1">
        <v>57</v>
      </c>
      <c r="S5" s="1">
        <v>67</v>
      </c>
      <c r="T5" s="1">
        <v>0</v>
      </c>
      <c r="U5" s="1">
        <f>Games[[#This Row],[PointsFor]]-Games[[#This Row],[PointsAgainst]]</f>
        <v>-10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0.42312969933228395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-19.853078635896793</v>
      </c>
      <c r="AB5" s="4">
        <f>Games[[#This Row],[PreGmRate]]+Games[[#This Row],[RatingChange]]</f>
        <v>1480.1469213641033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35602</v>
      </c>
      <c r="B6" s="2">
        <v>1997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45</v>
      </c>
      <c r="G6" s="1" t="s">
        <v>43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0.38141587791096926</v>
      </c>
      <c r="R6" s="1">
        <v>70</v>
      </c>
      <c r="S6" s="1">
        <v>60</v>
      </c>
      <c r="T6" s="1">
        <v>0</v>
      </c>
      <c r="U6" s="1">
        <f>Games[[#This Row],[PointsFor]]-Games[[#This Row],[PointsAgainst]]</f>
        <v>10</v>
      </c>
      <c r="V6" s="1">
        <f>IF(Games[[#This Row],[MOV]]&gt;0,1,IF(Games[[#This Row],[MOV]]=0,0.5,0))</f>
        <v>1</v>
      </c>
      <c r="W6" s="4">
        <f>((ABS(Games[[#This Row],[MOV]])+5)^0.6)/(12+0.01*(ABS(Games[[#This Row],[PreGmRate]]-Games[[#This Row],[OppPreGmRate]])))*IF(Games[[#This Row],[OT]]=1,0.9,1)</f>
        <v>0.42312969933228395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19.853078635896793</v>
      </c>
      <c r="AB6" s="4">
        <f>Games[[#This Row],[PreGmRate]]+Games[[#This Row],[RatingChange]]</f>
        <v>1519.8530786358967</v>
      </c>
      <c r="AC6" s="2">
        <f>IF(Games[[#This Row],[Type]]="R",IF(Games[[#This Row],[Result]]&gt;0.5,1,0),0)</f>
        <v>1</v>
      </c>
      <c r="AD6" s="2">
        <f>IF(Games[[#This Row],[Type]]="R",IF(Games[[#This Row],[Result]]&lt;0.5,1,0),0)</f>
        <v>0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35602</v>
      </c>
      <c r="B7" s="2">
        <v>1997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43</v>
      </c>
      <c r="G7" s="1" t="s">
        <v>45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0.61858412208903069</v>
      </c>
      <c r="R7" s="1">
        <v>60</v>
      </c>
      <c r="S7" s="1">
        <v>70</v>
      </c>
      <c r="T7" s="1">
        <v>0</v>
      </c>
      <c r="U7" s="1">
        <f>Games[[#This Row],[PointsFor]]-Games[[#This Row],[PointsAgainst]]</f>
        <v>-10</v>
      </c>
      <c r="V7" s="1">
        <f>IF(Games[[#This Row],[MOV]]&gt;0,1,IF(Games[[#This Row],[MOV]]=0,0.5,0))</f>
        <v>0</v>
      </c>
      <c r="W7" s="4">
        <f>((ABS(Games[[#This Row],[MOV]])+5)^0.6)/(12+0.01*(ABS(Games[[#This Row],[PreGmRate]]-Games[[#This Row],[OppPreGmRate]])))*IF(Games[[#This Row],[OT]]=1,0.9,1)</f>
        <v>0.42312969933228395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-19.853078635896793</v>
      </c>
      <c r="AB7" s="4">
        <f>Games[[#This Row],[PreGmRate]]+Games[[#This Row],[RatingChange]]</f>
        <v>1480.1469213641033</v>
      </c>
      <c r="AC7" s="2">
        <f>IF(Games[[#This Row],[Type]]="R",IF(Games[[#This Row],[Result]]&gt;0.5,1,0),0)</f>
        <v>0</v>
      </c>
      <c r="AD7" s="2">
        <f>IF(Games[[#This Row],[Type]]="R",IF(Games[[#This Row],[Result]]&lt;0.5,1,0),0)</f>
        <v>1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35603</v>
      </c>
      <c r="B8" s="2">
        <v>1997</v>
      </c>
      <c r="C8" s="2">
        <f>COUNTIFS(Games[Team],Games[[#This Row],[Team]],Games[Season],Games[[#This Row],[Season]],Games[Date],"&lt;=" &amp; Games[[#This Row],[Date]])</f>
        <v>1</v>
      </c>
      <c r="D8" s="2" t="s">
        <v>23</v>
      </c>
      <c r="E8" s="2" t="s">
        <v>29</v>
      </c>
      <c r="F8" s="1" t="s">
        <v>64</v>
      </c>
      <c r="G8" s="1" t="s">
        <v>44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0.38141587791096926</v>
      </c>
      <c r="R8" s="1">
        <v>59</v>
      </c>
      <c r="S8" s="1">
        <v>76</v>
      </c>
      <c r="T8" s="1">
        <v>0</v>
      </c>
      <c r="U8" s="1">
        <f>Games[[#This Row],[PointsFor]]-Games[[#This Row],[PointsAgainst]]</f>
        <v>-17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0.53244206908199732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-15.403759021506518</v>
      </c>
      <c r="AB8" s="4">
        <f>Games[[#This Row],[PreGmRate]]+Games[[#This Row],[RatingChange]]</f>
        <v>1484.5962409784934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35603</v>
      </c>
      <c r="B9" s="2">
        <v>1997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44</v>
      </c>
      <c r="G9" s="1" t="s">
        <v>64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0.61858412208903069</v>
      </c>
      <c r="R9" s="1">
        <v>76</v>
      </c>
      <c r="S9" s="1">
        <v>59</v>
      </c>
      <c r="T9" s="1">
        <v>0</v>
      </c>
      <c r="U9" s="1">
        <f>Games[[#This Row],[PointsFor]]-Games[[#This Row],[PointsAgainst]]</f>
        <v>17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0.53244206908199732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15.40375902150652</v>
      </c>
      <c r="AB9" s="4">
        <f>Games[[#This Row],[PreGmRate]]+Games[[#This Row],[RatingChange]]</f>
        <v>1515.4037590215066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35604</v>
      </c>
      <c r="B10" s="2">
        <v>1997</v>
      </c>
      <c r="C10" s="2">
        <f>COUNTIFS(Games[Team],Games[[#This Row],[Team]],Games[Season],Games[[#This Row],[Season]],Games[Date],"&lt;=" &amp; Games[[#This Row],[Date]])</f>
        <v>2</v>
      </c>
      <c r="D10" s="2" t="s">
        <v>23</v>
      </c>
      <c r="E10" s="2" t="s">
        <v>29</v>
      </c>
      <c r="F10" s="1" t="s">
        <v>66</v>
      </c>
      <c r="G10" s="1" t="s">
        <v>45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1519.8530786358967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1519.8530786358967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0.38141587791096926</v>
      </c>
      <c r="R10" s="1">
        <v>73</v>
      </c>
      <c r="S10" s="1">
        <v>62</v>
      </c>
      <c r="T10" s="1">
        <v>0</v>
      </c>
      <c r="U10" s="1">
        <f>Games[[#This Row],[PointsFor]]-Games[[#This Row],[PointsAgainst]]</f>
        <v>11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0.43983597025763138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75.7</v>
      </c>
      <c r="Z10" s="4">
        <f>Games[[#This Row],[K]]*Games[[#This Row],[POMult]]</f>
        <v>75.7</v>
      </c>
      <c r="AA10" s="4">
        <f>(Games[[#This Row],[Keff]]*Games[[#This Row],[MOVMult]])*(Games[[#This Row],[Result]]-Games[[#This Row],[ExpectedWin%]])</f>
        <v>20.59611894764204</v>
      </c>
      <c r="AB10" s="4">
        <f>Games[[#This Row],[PreGmRate]]+Games[[#This Row],[RatingChange]]</f>
        <v>1540.4491975835388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35604</v>
      </c>
      <c r="B11" s="2">
        <v>1997</v>
      </c>
      <c r="C11" s="2">
        <f>COUNTIFS(Games[Team],Games[[#This Row],[Team]],Games[Season],Games[[#This Row],[Season]],Games[Date],"&lt;=" &amp; Games[[#This Row],[Date]])</f>
        <v>2</v>
      </c>
      <c r="D11" s="2" t="s">
        <v>23</v>
      </c>
      <c r="E11" s="2" t="s">
        <v>29</v>
      </c>
      <c r="F11" s="1" t="s">
        <v>45</v>
      </c>
      <c r="G11" s="1" t="s">
        <v>66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1519.8530786358967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1519.8530786358967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0.61858412208903069</v>
      </c>
      <c r="R11" s="1">
        <v>62</v>
      </c>
      <c r="S11" s="1">
        <v>73</v>
      </c>
      <c r="T11" s="1">
        <v>0</v>
      </c>
      <c r="U11" s="1">
        <f>Games[[#This Row],[PointsFor]]-Games[[#This Row],[PointsAgainst]]</f>
        <v>-11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0.43983597025763138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75.7</v>
      </c>
      <c r="Z11" s="4">
        <f>Games[[#This Row],[K]]*Games[[#This Row],[POMult]]</f>
        <v>75.7</v>
      </c>
      <c r="AA11" s="4">
        <f>(Games[[#This Row],[Keff]]*Games[[#This Row],[MOVMult]])*(Games[[#This Row],[Result]]-Games[[#This Row],[ExpectedWin%]])</f>
        <v>-20.59611894764204</v>
      </c>
      <c r="AB11" s="4">
        <f>Games[[#This Row],[PreGmRate]]+Games[[#This Row],[RatingChange]]</f>
        <v>1499.2569596882547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35604</v>
      </c>
      <c r="B12" s="2">
        <v>1997</v>
      </c>
      <c r="C12" s="2">
        <f>COUNTIFS(Games[Team],Games[[#This Row],[Team]],Games[Season],Games[[#This Row],[Season]],Games[Date],"&lt;=" &amp; Games[[#This Row],[Date]])</f>
        <v>2</v>
      </c>
      <c r="D12" s="2" t="s">
        <v>23</v>
      </c>
      <c r="E12" s="2" t="s">
        <v>29</v>
      </c>
      <c r="F12" s="1" t="s">
        <v>71</v>
      </c>
      <c r="G12" s="1" t="s">
        <v>43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1480.1469213641033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1480.1469213641033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0.38141587791096926</v>
      </c>
      <c r="R12" s="1">
        <v>89</v>
      </c>
      <c r="S12" s="1">
        <v>102</v>
      </c>
      <c r="T12" s="1">
        <v>0</v>
      </c>
      <c r="U12" s="1">
        <f>Games[[#This Row],[PointsFor]]-Games[[#This Row],[PointsAgainst]]</f>
        <v>-13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0.47204375564745088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75.7</v>
      </c>
      <c r="Z12" s="4">
        <f>Games[[#This Row],[K]]*Games[[#This Row],[POMult]]</f>
        <v>75.7</v>
      </c>
      <c r="AA12" s="4">
        <f>(Games[[#This Row],[Keff]]*Games[[#This Row],[MOVMult]])*(Games[[#This Row],[Result]]-Games[[#This Row],[ExpectedWin%]])</f>
        <v>-13.62940524888063</v>
      </c>
      <c r="AB12" s="4">
        <f>Games[[#This Row],[PreGmRate]]+Games[[#This Row],[RatingChange]]</f>
        <v>1466.5175161152226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35604</v>
      </c>
      <c r="B13" s="2">
        <v>1997</v>
      </c>
      <c r="C13" s="2">
        <f>COUNTIFS(Games[Team],Games[[#This Row],[Team]],Games[Season],Games[[#This Row],[Season]],Games[Date],"&lt;=" &amp; Games[[#This Row],[Date]])</f>
        <v>2</v>
      </c>
      <c r="D13" s="2" t="s">
        <v>23</v>
      </c>
      <c r="E13" s="2" t="s">
        <v>29</v>
      </c>
      <c r="F13" s="1" t="s">
        <v>43</v>
      </c>
      <c r="G13" s="1" t="s">
        <v>71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1480.1469213641033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1480.1469213641033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0.61858412208903069</v>
      </c>
      <c r="R13" s="1">
        <v>102</v>
      </c>
      <c r="S13" s="1">
        <v>89</v>
      </c>
      <c r="T13" s="1">
        <v>0</v>
      </c>
      <c r="U13" s="1">
        <f>Games[[#This Row],[PointsFor]]-Games[[#This Row],[PointsAgainst]]</f>
        <v>13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0.47204375564745088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75.7</v>
      </c>
      <c r="Z13" s="4">
        <f>Games[[#This Row],[K]]*Games[[#This Row],[POMult]]</f>
        <v>75.7</v>
      </c>
      <c r="AA13" s="4">
        <f>(Games[[#This Row],[Keff]]*Games[[#This Row],[MOVMult]])*(Games[[#This Row],[Result]]-Games[[#This Row],[ExpectedWin%]])</f>
        <v>13.629405248880632</v>
      </c>
      <c r="AB13" s="4">
        <f>Games[[#This Row],[PreGmRate]]+Games[[#This Row],[RatingChange]]</f>
        <v>1493.7763266129839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35605</v>
      </c>
      <c r="B14" s="2">
        <v>1997</v>
      </c>
      <c r="C14" s="2">
        <f>COUNTIFS(Games[Team],Games[[#This Row],[Team]],Games[Season],Games[[#This Row],[Season]],Games[Date],"&lt;=" &amp; Games[[#This Row],[Date]])</f>
        <v>2</v>
      </c>
      <c r="D14" s="2" t="s">
        <v>23</v>
      </c>
      <c r="E14" s="2" t="s">
        <v>29</v>
      </c>
      <c r="F14" s="1" t="s">
        <v>44</v>
      </c>
      <c r="G14" s="1" t="s">
        <v>2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" s="2">
        <f>Games[[#This Row],[DaysOff]]-Games[[#This Row],[OppDaysOff]]</f>
        <v>-1</v>
      </c>
      <c r="L14" s="2">
        <f>Games[[#This Row],[OppDaysOff]]-Games[[#This Row],[DaysOff]]</f>
        <v>1</v>
      </c>
      <c r="M14" s="1">
        <f>MAX(-16, MIN(16, Games[[#This Row],[RestDiff]]*8))</f>
        <v>-8</v>
      </c>
      <c r="N14" s="1">
        <f>MAX(-16, MIN(16, Games[[#This Row],[OppRestDiff]]*8))</f>
        <v>8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1515.4037590215066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1526.973488180746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0.34473878146663883</v>
      </c>
      <c r="R14" s="1">
        <v>55</v>
      </c>
      <c r="S14" s="1">
        <v>70</v>
      </c>
      <c r="T14" s="1">
        <v>0</v>
      </c>
      <c r="U14" s="1">
        <f>Games[[#This Row],[PointsFor]]-Games[[#This Row],[PointsAgainst]]</f>
        <v>-15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0.49804614553489529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-12.997373674367307</v>
      </c>
      <c r="AB14" s="4">
        <f>Games[[#This Row],[PreGmRate]]+Games[[#This Row],[RatingChange]]</f>
        <v>1502.4063853471393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35605</v>
      </c>
      <c r="B15" s="2">
        <v>1997</v>
      </c>
      <c r="C15" s="2">
        <f>COUNTIFS(Games[Team],Games[[#This Row],[Team]],Games[Season],Games[[#This Row],[Season]],Games[Date],"&lt;=" &amp; Games[[#This Row],[Date]])</f>
        <v>2</v>
      </c>
      <c r="D15" s="2" t="s">
        <v>23</v>
      </c>
      <c r="E15" s="2" t="s">
        <v>29</v>
      </c>
      <c r="F15" s="1" t="s">
        <v>2</v>
      </c>
      <c r="G15" s="1" t="s">
        <v>44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1</v>
      </c>
      <c r="L15" s="2">
        <f>Games[[#This Row],[OppDaysOff]]-Games[[#This Row],[DaysOff]]</f>
        <v>-1</v>
      </c>
      <c r="M15" s="1">
        <f>MAX(-16, MIN(16, Games[[#This Row],[RestDiff]]*8))</f>
        <v>8</v>
      </c>
      <c r="N15" s="1">
        <f>MAX(-16, MIN(16, Games[[#This Row],[OppRestDiff]]*8))</f>
        <v>-8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1526.973488180746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1515.4037590215066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0.65526121853336128</v>
      </c>
      <c r="R15" s="1">
        <v>70</v>
      </c>
      <c r="S15" s="1">
        <v>55</v>
      </c>
      <c r="T15" s="1">
        <v>0</v>
      </c>
      <c r="U15" s="1">
        <f>Games[[#This Row],[PointsFor]]-Games[[#This Row],[PointsAgainst]]</f>
        <v>15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0.49804614553489529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12.997373674367301</v>
      </c>
      <c r="AB15" s="4">
        <f>Games[[#This Row],[PreGmRate]]+Games[[#This Row],[RatingChange]]</f>
        <v>1539.9708618551133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35606</v>
      </c>
      <c r="B16" s="2">
        <v>1997</v>
      </c>
      <c r="C16" s="2">
        <f>COUNTIFS(Games[Team],Games[[#This Row],[Team]],Games[Season],Games[[#This Row],[Season]],Games[Date],"&lt;=" &amp; Games[[#This Row],[Date]])</f>
        <v>2</v>
      </c>
      <c r="D16" s="2" t="s">
        <v>23</v>
      </c>
      <c r="E16" s="2" t="s">
        <v>29</v>
      </c>
      <c r="F16" s="1" t="s">
        <v>64</v>
      </c>
      <c r="G16" s="1" t="s">
        <v>71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1</v>
      </c>
      <c r="L16" s="2">
        <f>Games[[#This Row],[OppDaysOff]]-Games[[#This Row],[DaysOff]]</f>
        <v>-1</v>
      </c>
      <c r="M16" s="1">
        <f>MAX(-16, MIN(16, Games[[#This Row],[RestDiff]]*8))</f>
        <v>8</v>
      </c>
      <c r="N16" s="1">
        <f>MAX(-16, MIN(16, Games[[#This Row],[OppRestDiff]]*8))</f>
        <v>-8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1484.5962409784934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1466.5175161152226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0.42864786600608462</v>
      </c>
      <c r="R16" s="1">
        <v>54</v>
      </c>
      <c r="S16" s="1">
        <v>74</v>
      </c>
      <c r="T16" s="1">
        <v>0</v>
      </c>
      <c r="U16" s="1">
        <f>Games[[#This Row],[PointsFor]]-Games[[#This Row],[PointsAgainst]]</f>
        <v>-20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0.56635488055835181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-18.377447589177564</v>
      </c>
      <c r="AB16" s="4">
        <f>Games[[#This Row],[PreGmRate]]+Games[[#This Row],[RatingChange]]</f>
        <v>1466.2187933893158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35606</v>
      </c>
      <c r="B17" s="2">
        <v>1997</v>
      </c>
      <c r="C17" s="2">
        <f>COUNTIFS(Games[Team],Games[[#This Row],[Team]],Games[Season],Games[[#This Row],[Season]],Games[Date],"&lt;=" &amp; Games[[#This Row],[Date]])</f>
        <v>3</v>
      </c>
      <c r="D17" s="2" t="s">
        <v>23</v>
      </c>
      <c r="E17" s="2" t="s">
        <v>29</v>
      </c>
      <c r="F17" s="1" t="s">
        <v>71</v>
      </c>
      <c r="G17" s="1" t="s">
        <v>64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" s="2">
        <f>Games[[#This Row],[DaysOff]]-Games[[#This Row],[OppDaysOff]]</f>
        <v>-1</v>
      </c>
      <c r="L17" s="2">
        <f>Games[[#This Row],[OppDaysOff]]-Games[[#This Row],[DaysOff]]</f>
        <v>1</v>
      </c>
      <c r="M17" s="1">
        <f>MAX(-16, MIN(16, Games[[#This Row],[RestDiff]]*8))</f>
        <v>-8</v>
      </c>
      <c r="N17" s="1">
        <f>MAX(-16, MIN(16, Games[[#This Row],[OppRestDiff]]*8))</f>
        <v>8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1466.5175161152226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1484.5962409784934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0.57135213399391527</v>
      </c>
      <c r="R17" s="1">
        <v>74</v>
      </c>
      <c r="S17" s="1">
        <v>54</v>
      </c>
      <c r="T17" s="1">
        <v>0</v>
      </c>
      <c r="U17" s="1">
        <f>Games[[#This Row],[PointsFor]]-Games[[#This Row],[PointsAgainst]]</f>
        <v>20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0.56635488055835181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75.55</v>
      </c>
      <c r="Z17" s="4">
        <f>Games[[#This Row],[K]]*Games[[#This Row],[POMult]]</f>
        <v>75.55</v>
      </c>
      <c r="AA17" s="4">
        <f>(Games[[#This Row],[Keff]]*Games[[#This Row],[MOVMult]])*(Games[[#This Row],[Result]]-Games[[#This Row],[ExpectedWin%]])</f>
        <v>18.341032567534544</v>
      </c>
      <c r="AB17" s="4">
        <f>Games[[#This Row],[PreGmRate]]+Games[[#This Row],[RatingChange]]</f>
        <v>1484.8585486827571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35607</v>
      </c>
      <c r="B18" s="2">
        <v>1997</v>
      </c>
      <c r="C18" s="2">
        <f>COUNTIFS(Games[Team],Games[[#This Row],[Team]],Games[Season],Games[[#This Row],[Season]],Games[Date],"&lt;=" &amp; Games[[#This Row],[Date]])</f>
        <v>3</v>
      </c>
      <c r="D18" s="2" t="s">
        <v>23</v>
      </c>
      <c r="E18" s="2" t="s">
        <v>29</v>
      </c>
      <c r="F18" s="1" t="s">
        <v>43</v>
      </c>
      <c r="G18" s="1" t="s">
        <v>1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" s="2">
        <f>Games[[#This Row],[DaysOff]]-Games[[#This Row],[OppDaysOff]]</f>
        <v>-2</v>
      </c>
      <c r="L18" s="2">
        <f>Games[[#This Row],[OppDaysOff]]-Games[[#This Row],[DaysOff]]</f>
        <v>2</v>
      </c>
      <c r="M18" s="1">
        <f>MAX(-16, MIN(16, Games[[#This Row],[RestDiff]]*8))</f>
        <v>-16</v>
      </c>
      <c r="N18" s="1">
        <f>MAX(-16, MIN(16, Games[[#This Row],[OppRestDiff]]*8))</f>
        <v>16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1493.7763266129839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1473.026511819254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0.36625795057226973</v>
      </c>
      <c r="R18" s="1">
        <v>63</v>
      </c>
      <c r="S18" s="1">
        <v>74</v>
      </c>
      <c r="T18" s="1">
        <v>0</v>
      </c>
      <c r="U18" s="1">
        <f>Games[[#This Row],[PointsFor]]-Games[[#This Row],[PointsAgainst]]</f>
        <v>-11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0.43235981518321226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75.55</v>
      </c>
      <c r="Z18" s="4">
        <f>Games[[#This Row],[K]]*Games[[#This Row],[POMult]]</f>
        <v>75.55</v>
      </c>
      <c r="AA18" s="4">
        <f>(Games[[#This Row],[Keff]]*Games[[#This Row],[MOVMult]])*(Games[[#This Row],[Result]]-Games[[#This Row],[ExpectedWin%]])</f>
        <v>-11.963736857310991</v>
      </c>
      <c r="AB18" s="4">
        <f>Games[[#This Row],[PreGmRate]]+Games[[#This Row],[RatingChange]]</f>
        <v>1481.8125897556729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35607</v>
      </c>
      <c r="B19" s="2">
        <v>1997</v>
      </c>
      <c r="C19" s="2">
        <f>COUNTIFS(Games[Team],Games[[#This Row],[Team]],Games[Season],Games[[#This Row],[Season]],Games[Date],"&lt;=" &amp; Games[[#This Row],[Date]])</f>
        <v>2</v>
      </c>
      <c r="D19" s="2" t="s">
        <v>23</v>
      </c>
      <c r="E19" s="2" t="s">
        <v>29</v>
      </c>
      <c r="F19" s="1" t="s">
        <v>1</v>
      </c>
      <c r="G19" s="1" t="s">
        <v>43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" s="2">
        <f>Games[[#This Row],[DaysOff]]-Games[[#This Row],[OppDaysOff]]</f>
        <v>2</v>
      </c>
      <c r="L19" s="2">
        <f>Games[[#This Row],[OppDaysOff]]-Games[[#This Row],[DaysOff]]</f>
        <v>-2</v>
      </c>
      <c r="M19" s="1">
        <f>MAX(-16, MIN(16, Games[[#This Row],[RestDiff]]*8))</f>
        <v>16</v>
      </c>
      <c r="N19" s="1">
        <f>MAX(-16, MIN(16, Games[[#This Row],[OppRestDiff]]*8))</f>
        <v>-16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1473.026511819254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1493.7763266129839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0.63374204942773027</v>
      </c>
      <c r="R19" s="1">
        <v>74</v>
      </c>
      <c r="S19" s="1">
        <v>63</v>
      </c>
      <c r="T19" s="1">
        <v>0</v>
      </c>
      <c r="U19" s="1">
        <f>Games[[#This Row],[PointsFor]]-Games[[#This Row],[PointsAgainst]]</f>
        <v>11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0.43235981518321226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11.987490140283814</v>
      </c>
      <c r="AB19" s="4">
        <f>Games[[#This Row],[PreGmRate]]+Games[[#This Row],[RatingChange]]</f>
        <v>1485.0140019595378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35607</v>
      </c>
      <c r="B20" s="2">
        <v>1997</v>
      </c>
      <c r="C20" s="2">
        <f>COUNTIFS(Games[Team],Games[[#This Row],[Team]],Games[Season],Games[[#This Row],[Season]],Games[Date],"&lt;=" &amp; Games[[#This Row],[Date]])</f>
        <v>3</v>
      </c>
      <c r="D20" s="2" t="s">
        <v>23</v>
      </c>
      <c r="E20" s="2" t="s">
        <v>29</v>
      </c>
      <c r="F20" s="1" t="s">
        <v>66</v>
      </c>
      <c r="G20" s="1" t="s">
        <v>2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" s="2">
        <f>Games[[#This Row],[DaysOff]]-Games[[#This Row],[OppDaysOff]]</f>
        <v>1</v>
      </c>
      <c r="L20" s="2">
        <f>Games[[#This Row],[OppDaysOff]]-Games[[#This Row],[DaysOff]]</f>
        <v>-1</v>
      </c>
      <c r="M20" s="1">
        <f>MAX(-16, MIN(16, Games[[#This Row],[RestDiff]]*8))</f>
        <v>8</v>
      </c>
      <c r="N20" s="1">
        <f>MAX(-16, MIN(16, Games[[#This Row],[OppRestDiff]]*8))</f>
        <v>-8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1540.4491975835388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1539.9708618551133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0.40403367291204068</v>
      </c>
      <c r="R20" s="1">
        <v>62</v>
      </c>
      <c r="S20" s="1">
        <v>60</v>
      </c>
      <c r="T20" s="1">
        <v>1</v>
      </c>
      <c r="U20" s="1">
        <f>Games[[#This Row],[PointsFor]]-Games[[#This Row],[PointsAgainst]]</f>
        <v>2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0.24096113846062972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75.55</v>
      </c>
      <c r="Z20" s="4">
        <f>Games[[#This Row],[K]]*Games[[#This Row],[POMult]]</f>
        <v>75.55</v>
      </c>
      <c r="AA20" s="4">
        <f>(Games[[#This Row],[Keff]]*Games[[#This Row],[MOVMult]])*(Games[[#This Row],[Result]]-Games[[#This Row],[ExpectedWin%]])</f>
        <v>10.849336948011226</v>
      </c>
      <c r="AB20" s="4">
        <f>Games[[#This Row],[PreGmRate]]+Games[[#This Row],[RatingChange]]</f>
        <v>1551.2985345315499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35607</v>
      </c>
      <c r="B21" s="2">
        <v>1997</v>
      </c>
      <c r="C21" s="2">
        <f>COUNTIFS(Games[Team],Games[[#This Row],[Team]],Games[Season],Games[[#This Row],[Season]],Games[Date],"&lt;=" &amp; Games[[#This Row],[Date]])</f>
        <v>3</v>
      </c>
      <c r="D21" s="2" t="s">
        <v>23</v>
      </c>
      <c r="E21" s="2" t="s">
        <v>29</v>
      </c>
      <c r="F21" s="1" t="s">
        <v>2</v>
      </c>
      <c r="G21" s="1" t="s">
        <v>66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" s="2">
        <f>Games[[#This Row],[DaysOff]]-Games[[#This Row],[OppDaysOff]]</f>
        <v>-1</v>
      </c>
      <c r="L21" s="2">
        <f>Games[[#This Row],[OppDaysOff]]-Games[[#This Row],[DaysOff]]</f>
        <v>1</v>
      </c>
      <c r="M21" s="1">
        <f>MAX(-16, MIN(16, Games[[#This Row],[RestDiff]]*8))</f>
        <v>-8</v>
      </c>
      <c r="N21" s="1">
        <f>MAX(-16, MIN(16, Games[[#This Row],[OppRestDiff]]*8))</f>
        <v>8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1539.9708618551133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1540.4491975835388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0.59596632708795927</v>
      </c>
      <c r="R21" s="1">
        <v>60</v>
      </c>
      <c r="S21" s="1">
        <v>62</v>
      </c>
      <c r="T21" s="1">
        <v>1</v>
      </c>
      <c r="U21" s="1">
        <f>Games[[#This Row],[PointsFor]]-Games[[#This Row],[PointsAgainst]]</f>
        <v>-2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0.24096113846062972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75.55</v>
      </c>
      <c r="Z21" s="4">
        <f>Games[[#This Row],[K]]*Games[[#This Row],[POMult]]</f>
        <v>75.55</v>
      </c>
      <c r="AA21" s="4">
        <f>(Games[[#This Row],[Keff]]*Games[[#This Row],[MOVMult]])*(Games[[#This Row],[Result]]-Games[[#This Row],[ExpectedWin%]])</f>
        <v>-10.849336948011224</v>
      </c>
      <c r="AB21" s="4">
        <f>Games[[#This Row],[PreGmRate]]+Games[[#This Row],[RatingChange]]</f>
        <v>1529.1215249071022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35607</v>
      </c>
      <c r="B22" s="2">
        <v>1997</v>
      </c>
      <c r="C22" s="2">
        <f>COUNTIFS(Games[Team],Games[[#This Row],[Team]],Games[Season],Games[[#This Row],[Season]],Games[Date],"&lt;=" &amp; Games[[#This Row],[Date]])</f>
        <v>3</v>
      </c>
      <c r="D22" s="2" t="s">
        <v>23</v>
      </c>
      <c r="E22" s="2" t="s">
        <v>29</v>
      </c>
      <c r="F22" s="1" t="s">
        <v>64</v>
      </c>
      <c r="G22" s="1" t="s">
        <v>45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" s="2">
        <f>Games[[#This Row],[DaysOff]]-Games[[#This Row],[OppDaysOff]]</f>
        <v>-2</v>
      </c>
      <c r="L22" s="2">
        <f>Games[[#This Row],[OppDaysOff]]-Games[[#This Row],[DaysOff]]</f>
        <v>2</v>
      </c>
      <c r="M22" s="1">
        <f>MAX(-16, MIN(16, Games[[#This Row],[RestDiff]]*8))</f>
        <v>-16</v>
      </c>
      <c r="N22" s="1">
        <f>MAX(-16, MIN(16, Games[[#This Row],[OppRestDiff]]*8))</f>
        <v>16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1466.2187933893158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1499.2569596882547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0.29777145520236709</v>
      </c>
      <c r="R22" s="1">
        <v>70</v>
      </c>
      <c r="S22" s="1">
        <v>78</v>
      </c>
      <c r="T22" s="1">
        <v>0</v>
      </c>
      <c r="U22" s="1">
        <f>Games[[#This Row],[PointsFor]]-Games[[#This Row],[PointsAgainst]]</f>
        <v>-8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0.37791096394224211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75.55</v>
      </c>
      <c r="Z22" s="4">
        <f>Games[[#This Row],[K]]*Games[[#This Row],[POMult]]</f>
        <v>75.55</v>
      </c>
      <c r="AA22" s="4">
        <f>(Games[[#This Row],[Keff]]*Games[[#This Row],[MOVMult]])*(Games[[#This Row],[Result]]-Games[[#This Row],[ExpectedWin%]])</f>
        <v>-8.5017244289693092</v>
      </c>
      <c r="AB22" s="4">
        <f>Games[[#This Row],[PreGmRate]]+Games[[#This Row],[RatingChange]]</f>
        <v>1457.7170689603465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35607</v>
      </c>
      <c r="B23" s="2">
        <v>1997</v>
      </c>
      <c r="C23" s="2">
        <f>COUNTIFS(Games[Team],Games[[#This Row],[Team]],Games[Season],Games[[#This Row],[Season]],Games[Date],"&lt;=" &amp; Games[[#This Row],[Date]])</f>
        <v>3</v>
      </c>
      <c r="D23" s="2" t="s">
        <v>23</v>
      </c>
      <c r="E23" s="2" t="s">
        <v>29</v>
      </c>
      <c r="F23" s="1" t="s">
        <v>45</v>
      </c>
      <c r="G23" s="1" t="s">
        <v>64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" s="2">
        <f>Games[[#This Row],[DaysOff]]-Games[[#This Row],[OppDaysOff]]</f>
        <v>2</v>
      </c>
      <c r="L23" s="2">
        <f>Games[[#This Row],[OppDaysOff]]-Games[[#This Row],[DaysOff]]</f>
        <v>-2</v>
      </c>
      <c r="M23" s="1">
        <f>MAX(-16, MIN(16, Games[[#This Row],[RestDiff]]*8))</f>
        <v>16</v>
      </c>
      <c r="N23" s="1">
        <f>MAX(-16, MIN(16, Games[[#This Row],[OppRestDiff]]*8))</f>
        <v>-16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1499.2569596882547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1466.2187933893158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0.70222854479763286</v>
      </c>
      <c r="R23" s="1">
        <v>78</v>
      </c>
      <c r="S23" s="1">
        <v>70</v>
      </c>
      <c r="T23" s="1">
        <v>0</v>
      </c>
      <c r="U23" s="1">
        <f>Games[[#This Row],[PointsFor]]-Games[[#This Row],[PointsAgainst]]</f>
        <v>8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0.37791096394224211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75.55</v>
      </c>
      <c r="Z23" s="4">
        <f>Games[[#This Row],[K]]*Games[[#This Row],[POMult]]</f>
        <v>75.55</v>
      </c>
      <c r="AA23" s="4">
        <f>(Games[[#This Row],[Keff]]*Games[[#This Row],[MOVMult]])*(Games[[#This Row],[Result]]-Games[[#This Row],[ExpectedWin%]])</f>
        <v>8.501724428969311</v>
      </c>
      <c r="AB23" s="4">
        <f>Games[[#This Row],[PreGmRate]]+Games[[#This Row],[RatingChange]]</f>
        <v>1507.758684117224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35608</v>
      </c>
      <c r="B24" s="2">
        <v>1997</v>
      </c>
      <c r="C24" s="2">
        <f>COUNTIFS(Games[Team],Games[[#This Row],[Team]],Games[Season],Games[[#This Row],[Season]],Games[Date],"&lt;=" &amp; Games[[#This Row],[Date]])</f>
        <v>4</v>
      </c>
      <c r="D24" s="2" t="s">
        <v>23</v>
      </c>
      <c r="E24" s="2" t="s">
        <v>29</v>
      </c>
      <c r="F24" s="1" t="s">
        <v>45</v>
      </c>
      <c r="G24" s="1" t="s">
        <v>71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" s="2">
        <f>Games[[#This Row],[DaysOff]]-Games[[#This Row],[OppDaysOff]]</f>
        <v>-1</v>
      </c>
      <c r="L24" s="2">
        <f>Games[[#This Row],[OppDaysOff]]-Games[[#This Row],[DaysOff]]</f>
        <v>1</v>
      </c>
      <c r="M24" s="1">
        <f>MAX(-16, MIN(16, Games[[#This Row],[RestDiff]]*8))</f>
        <v>-8</v>
      </c>
      <c r="N24" s="1">
        <f>MAX(-16, MIN(16, Games[[#This Row],[OppRestDiff]]*8))</f>
        <v>8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1507.758684117224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1484.8585486827571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0.39083052259340312</v>
      </c>
      <c r="R24" s="1">
        <v>73</v>
      </c>
      <c r="S24" s="1">
        <v>93</v>
      </c>
      <c r="T24" s="1">
        <v>0</v>
      </c>
      <c r="U24" s="1">
        <f>Games[[#This Row],[PointsFor]]-Games[[#This Row],[PointsAgainst]]</f>
        <v>-20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0.56412196772348466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75.400000000000006</v>
      </c>
      <c r="Z24" s="4">
        <f>Games[[#This Row],[K]]*Games[[#This Row],[POMult]]</f>
        <v>75.400000000000006</v>
      </c>
      <c r="AA24" s="4">
        <f>(Games[[#This Row],[Keff]]*Games[[#This Row],[MOVMult]])*(Games[[#This Row],[Result]]-Games[[#This Row],[ExpectedWin%]])</f>
        <v>-16.623896692264847</v>
      </c>
      <c r="AB24" s="4">
        <f>Games[[#This Row],[PreGmRate]]+Games[[#This Row],[RatingChange]]</f>
        <v>1491.1347874249591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35608</v>
      </c>
      <c r="B25" s="2">
        <v>1997</v>
      </c>
      <c r="C25" s="2">
        <f>COUNTIFS(Games[Team],Games[[#This Row],[Team]],Games[Season],Games[[#This Row],[Season]],Games[Date],"&lt;=" &amp; Games[[#This Row],[Date]])</f>
        <v>4</v>
      </c>
      <c r="D25" s="2" t="s">
        <v>23</v>
      </c>
      <c r="E25" s="2" t="s">
        <v>29</v>
      </c>
      <c r="F25" s="1" t="s">
        <v>71</v>
      </c>
      <c r="G25" s="1" t="s">
        <v>45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" s="2">
        <f>Games[[#This Row],[DaysOff]]-Games[[#This Row],[OppDaysOff]]</f>
        <v>1</v>
      </c>
      <c r="L25" s="2">
        <f>Games[[#This Row],[OppDaysOff]]-Games[[#This Row],[DaysOff]]</f>
        <v>-1</v>
      </c>
      <c r="M25" s="1">
        <f>MAX(-16, MIN(16, Games[[#This Row],[RestDiff]]*8))</f>
        <v>8</v>
      </c>
      <c r="N25" s="1">
        <f>MAX(-16, MIN(16, Games[[#This Row],[OppRestDiff]]*8))</f>
        <v>-8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1484.8585486827571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1507.758684117224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0.60916947740659688</v>
      </c>
      <c r="R25" s="1">
        <v>93</v>
      </c>
      <c r="S25" s="1">
        <v>73</v>
      </c>
      <c r="T25" s="1">
        <v>0</v>
      </c>
      <c r="U25" s="1">
        <f>Games[[#This Row],[PointsFor]]-Games[[#This Row],[PointsAgainst]]</f>
        <v>20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0.56412196772348466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75.400000000000006</v>
      </c>
      <c r="Z25" s="4">
        <f>Games[[#This Row],[K]]*Games[[#This Row],[POMult]]</f>
        <v>75.400000000000006</v>
      </c>
      <c r="AA25" s="4">
        <f>(Games[[#This Row],[Keff]]*Games[[#This Row],[MOVMult]])*(Games[[#This Row],[Result]]-Games[[#This Row],[ExpectedWin%]])</f>
        <v>16.623896692264847</v>
      </c>
      <c r="AB25" s="4">
        <f>Games[[#This Row],[PreGmRate]]+Games[[#This Row],[RatingChange]]</f>
        <v>1501.4824453750221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35609</v>
      </c>
      <c r="B26" s="2">
        <v>1997</v>
      </c>
      <c r="C26" s="2">
        <f>COUNTIFS(Games[Team],Games[[#This Row],[Team]],Games[Season],Games[[#This Row],[Season]],Games[Date],"&lt;=" &amp; Games[[#This Row],[Date]])</f>
        <v>3</v>
      </c>
      <c r="D26" s="2" t="s">
        <v>23</v>
      </c>
      <c r="E26" s="2" t="s">
        <v>29</v>
      </c>
      <c r="F26" s="1" t="s">
        <v>44</v>
      </c>
      <c r="G26" s="1" t="s">
        <v>1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" s="2">
        <f>Games[[#This Row],[DaysOff]]-Games[[#This Row],[OppDaysOff]]</f>
        <v>2</v>
      </c>
      <c r="L26" s="2">
        <f>Games[[#This Row],[OppDaysOff]]-Games[[#This Row],[DaysOff]]</f>
        <v>-2</v>
      </c>
      <c r="M26" s="1">
        <f>MAX(-16, MIN(16, Games[[#This Row],[RestDiff]]*8))</f>
        <v>16</v>
      </c>
      <c r="N26" s="1">
        <f>MAX(-16, MIN(16, Games[[#This Row],[OppRestDiff]]*8))</f>
        <v>-16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1502.4063853471393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1485.0140019595378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0.45035970301619349</v>
      </c>
      <c r="R26" s="1">
        <v>68</v>
      </c>
      <c r="S26" s="1">
        <v>63</v>
      </c>
      <c r="T26" s="1">
        <v>0</v>
      </c>
      <c r="U26" s="1">
        <f>Games[[#This Row],[PointsFor]]-Games[[#This Row],[PointsAgainst]]</f>
        <v>5</v>
      </c>
      <c r="V26" s="1">
        <f>IF(Games[[#This Row],[MOV]]&gt;0,1,IF(Games[[#This Row],[MOV]]=0,0.5,0))</f>
        <v>1</v>
      </c>
      <c r="W26" s="4">
        <f>((ABS(Games[[#This Row],[MOV]])+5)^0.6)/(12+0.01*(ABS(Games[[#This Row],[PreGmRate]]-Games[[#This Row],[OppPreGmRate]])))*IF(Games[[#This Row],[OT]]=1,0.9,1)</f>
        <v>0.32701631453097835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75.55</v>
      </c>
      <c r="Z26" s="4">
        <f>Games[[#This Row],[K]]*Games[[#This Row],[POMult]]</f>
        <v>75.55</v>
      </c>
      <c r="AA26" s="4">
        <f>(Games[[#This Row],[Keff]]*Games[[#This Row],[MOVMult]])*(Games[[#This Row],[Result]]-Games[[#This Row],[ExpectedWin%]])</f>
        <v>13.579458557132309</v>
      </c>
      <c r="AB26" s="4">
        <f>Games[[#This Row],[PreGmRate]]+Games[[#This Row],[RatingChange]]</f>
        <v>1515.9858439042716</v>
      </c>
      <c r="AC26" s="2">
        <f>IF(Games[[#This Row],[Type]]="R",IF(Games[[#This Row],[Result]]&gt;0.5,1,0),0)</f>
        <v>1</v>
      </c>
      <c r="AD26" s="2">
        <f>IF(Games[[#This Row],[Type]]="R",IF(Games[[#This Row],[Result]]&lt;0.5,1,0),0)</f>
        <v>0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35609</v>
      </c>
      <c r="B27" s="2">
        <v>1997</v>
      </c>
      <c r="C27" s="2">
        <f>COUNTIFS(Games[Team],Games[[#This Row],[Team]],Games[Season],Games[[#This Row],[Season]],Games[Date],"&lt;=" &amp; Games[[#This Row],[Date]])</f>
        <v>3</v>
      </c>
      <c r="D27" s="2" t="s">
        <v>23</v>
      </c>
      <c r="E27" s="2" t="s">
        <v>29</v>
      </c>
      <c r="F27" s="1" t="s">
        <v>1</v>
      </c>
      <c r="G27" s="1" t="s">
        <v>44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" s="2">
        <f>Games[[#This Row],[DaysOff]]-Games[[#This Row],[OppDaysOff]]</f>
        <v>-2</v>
      </c>
      <c r="L27" s="2">
        <f>Games[[#This Row],[OppDaysOff]]-Games[[#This Row],[DaysOff]]</f>
        <v>2</v>
      </c>
      <c r="M27" s="1">
        <f>MAX(-16, MIN(16, Games[[#This Row],[RestDiff]]*8))</f>
        <v>-16</v>
      </c>
      <c r="N27" s="1">
        <f>MAX(-16, MIN(16, Games[[#This Row],[OppRestDiff]]*8))</f>
        <v>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1485.0140019595378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1502.4063853471393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0.54964029698380656</v>
      </c>
      <c r="R27" s="1">
        <v>63</v>
      </c>
      <c r="S27" s="1">
        <v>68</v>
      </c>
      <c r="T27" s="1">
        <v>0</v>
      </c>
      <c r="U27" s="1">
        <f>Games[[#This Row],[PointsFor]]-Games[[#This Row],[PointsAgainst]]</f>
        <v>-5</v>
      </c>
      <c r="V27" s="1">
        <f>IF(Games[[#This Row],[MOV]]&gt;0,1,IF(Games[[#This Row],[MOV]]=0,0.5,0))</f>
        <v>0</v>
      </c>
      <c r="W27" s="4">
        <f>((ABS(Games[[#This Row],[MOV]])+5)^0.6)/(12+0.01*(ABS(Games[[#This Row],[PreGmRate]]-Games[[#This Row],[OppPreGmRate]])))*IF(Games[[#This Row],[OT]]=1,0.9,1)</f>
        <v>0.32701631453097835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-13.579458557132309</v>
      </c>
      <c r="AB27" s="4">
        <f>Games[[#This Row],[PreGmRate]]+Games[[#This Row],[RatingChange]]</f>
        <v>1471.4345434024056</v>
      </c>
      <c r="AC27" s="2">
        <f>IF(Games[[#This Row],[Type]]="R",IF(Games[[#This Row],[Result]]&gt;0.5,1,0),0)</f>
        <v>0</v>
      </c>
      <c r="AD27" s="2">
        <f>IF(Games[[#This Row],[Type]]="R",IF(Games[[#This Row],[Result]]&lt;0.5,1,0),0)</f>
        <v>1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35609</v>
      </c>
      <c r="B28" s="2">
        <v>1997</v>
      </c>
      <c r="C28" s="2">
        <f>COUNTIFS(Games[Team],Games[[#This Row],[Team]],Games[Season],Games[[#This Row],[Season]],Games[Date],"&lt;=" &amp; Games[[#This Row],[Date]])</f>
        <v>4</v>
      </c>
      <c r="D28" s="2" t="s">
        <v>23</v>
      </c>
      <c r="E28" s="2" t="s">
        <v>29</v>
      </c>
      <c r="F28" s="1" t="s">
        <v>2</v>
      </c>
      <c r="G28" s="1" t="s">
        <v>43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" s="2">
        <f>Games[[#This Row],[DaysOff]]-Games[[#This Row],[OppDaysOff]]</f>
        <v>0</v>
      </c>
      <c r="L28" s="2">
        <f>Games[[#This Row],[OppDaysOff]]-Games[[#This Row],[DaysOff]]</f>
        <v>0</v>
      </c>
      <c r="M28" s="1">
        <f>MAX(-16, MIN(16, Games[[#This Row],[RestDiff]]*8))</f>
        <v>0</v>
      </c>
      <c r="N28" s="1">
        <f>MAX(-16, MIN(16, Games[[#This Row],[OppRestDiff]]*8))</f>
        <v>0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1529.1215249071022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1481.8125897556729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0.44739273531398055</v>
      </c>
      <c r="R28" s="1">
        <v>76</v>
      </c>
      <c r="S28" s="1">
        <v>58</v>
      </c>
      <c r="T28" s="1">
        <v>0</v>
      </c>
      <c r="U28" s="1">
        <f>Games[[#This Row],[PointsFor]]-Games[[#This Row],[PointsAgainst]]</f>
        <v>18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0.5260931755226459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75.400000000000006</v>
      </c>
      <c r="Z28" s="4">
        <f>Games[[#This Row],[K]]*Games[[#This Row],[POMult]]</f>
        <v>75.400000000000006</v>
      </c>
      <c r="AA28" s="4">
        <f>(Games[[#This Row],[Keff]]*Games[[#This Row],[MOVMult]])*(Games[[#This Row],[Result]]-Games[[#This Row],[ExpectedWin%]])</f>
        <v>21.920507466444565</v>
      </c>
      <c r="AB28" s="4">
        <f>Games[[#This Row],[PreGmRate]]+Games[[#This Row],[RatingChange]]</f>
        <v>1551.0420323735468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35609</v>
      </c>
      <c r="B29" s="2">
        <v>1997</v>
      </c>
      <c r="C29" s="2">
        <f>COUNTIFS(Games[Team],Games[[#This Row],[Team]],Games[Season],Games[[#This Row],[Season]],Games[Date],"&lt;=" &amp; Games[[#This Row],[Date]])</f>
        <v>4</v>
      </c>
      <c r="D29" s="2" t="s">
        <v>23</v>
      </c>
      <c r="E29" s="2" t="s">
        <v>29</v>
      </c>
      <c r="F29" s="1" t="s">
        <v>43</v>
      </c>
      <c r="G29" s="1" t="s">
        <v>2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0</v>
      </c>
      <c r="L29" s="2">
        <f>Games[[#This Row],[OppDaysOff]]-Games[[#This Row],[DaysOff]]</f>
        <v>0</v>
      </c>
      <c r="M29" s="1">
        <f>MAX(-16, MIN(16, Games[[#This Row],[RestDiff]]*8))</f>
        <v>0</v>
      </c>
      <c r="N29" s="1">
        <f>MAX(-16, MIN(16, Games[[#This Row],[OppRestDiff]]*8))</f>
        <v>0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1481.8125897556729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1529.1215249071022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0.55260726468601939</v>
      </c>
      <c r="R29" s="1">
        <v>58</v>
      </c>
      <c r="S29" s="1">
        <v>76</v>
      </c>
      <c r="T29" s="1">
        <v>0</v>
      </c>
      <c r="U29" s="1">
        <f>Games[[#This Row],[PointsFor]]-Games[[#This Row],[PointsAgainst]]</f>
        <v>-18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0.5260931755226459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75.400000000000006</v>
      </c>
      <c r="Z29" s="4">
        <f>Games[[#This Row],[K]]*Games[[#This Row],[POMult]]</f>
        <v>75.400000000000006</v>
      </c>
      <c r="AA29" s="4">
        <f>(Games[[#This Row],[Keff]]*Games[[#This Row],[MOVMult]])*(Games[[#This Row],[Result]]-Games[[#This Row],[ExpectedWin%]])</f>
        <v>-21.920507466444565</v>
      </c>
      <c r="AB29" s="4">
        <f>Games[[#This Row],[PreGmRate]]+Games[[#This Row],[RatingChange]]</f>
        <v>1459.8920822892283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35610</v>
      </c>
      <c r="B30" s="2">
        <v>1997</v>
      </c>
      <c r="C30" s="2">
        <f>COUNTIFS(Games[Team],Games[[#This Row],[Team]],Games[Season],Games[[#This Row],[Season]],Games[Date],"&lt;=" &amp; Games[[#This Row],[Date]])</f>
        <v>4</v>
      </c>
      <c r="D30" s="2" t="s">
        <v>23</v>
      </c>
      <c r="E30" s="2" t="s">
        <v>29</v>
      </c>
      <c r="F30" s="1" t="s">
        <v>1</v>
      </c>
      <c r="G30" s="1" t="s">
        <v>64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" s="2">
        <f>Games[[#This Row],[DaysOff]]-Games[[#This Row],[OppDaysOff]]</f>
        <v>-2</v>
      </c>
      <c r="L30" s="2">
        <f>Games[[#This Row],[OppDaysOff]]-Games[[#This Row],[DaysOff]]</f>
        <v>2</v>
      </c>
      <c r="M30" s="1">
        <f>MAX(-16, MIN(16, Games[[#This Row],[RestDiff]]*8))</f>
        <v>-16</v>
      </c>
      <c r="N30" s="1">
        <f>MAX(-16, MIN(16, Games[[#This Row],[OppRestDiff]]*8))</f>
        <v>16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1471.4345434024056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1457.7170689603465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0.35691355480854015</v>
      </c>
      <c r="R30" s="1">
        <v>44</v>
      </c>
      <c r="S30" s="1">
        <v>67</v>
      </c>
      <c r="T30" s="1">
        <v>0</v>
      </c>
      <c r="U30" s="1">
        <f>Games[[#This Row],[PointsFor]]-Games[[#This Row],[PointsAgainst]]</f>
        <v>-23</v>
      </c>
      <c r="V30" s="1">
        <f>IF(Games[[#This Row],[MOV]]&gt;0,1,IF(Games[[#This Row],[MOV]]=0,0.5,0))</f>
        <v>0</v>
      </c>
      <c r="W30" s="4">
        <f>((ABS(Games[[#This Row],[MOV]])+5)^0.6)/(12+0.01*(ABS(Games[[#This Row],[PreGmRate]]-Games[[#This Row],[OppPreGmRate]])))*IF(Games[[#This Row],[OT]]=1,0.9,1)</f>
        <v>0.6083832017115548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75.400000000000006</v>
      </c>
      <c r="Z30" s="4">
        <f>Games[[#This Row],[K]]*Games[[#This Row],[POMult]]</f>
        <v>75.400000000000006</v>
      </c>
      <c r="AA30" s="4">
        <f>(Games[[#This Row],[Keff]]*Games[[#This Row],[MOVMult]])*(Games[[#This Row],[Result]]-Games[[#This Row],[ExpectedWin%]])</f>
        <v>-16.372371925133884</v>
      </c>
      <c r="AB30" s="4">
        <f>Games[[#This Row],[PreGmRate]]+Games[[#This Row],[RatingChange]]</f>
        <v>1455.0621714772717</v>
      </c>
      <c r="AC30" s="2">
        <f>IF(Games[[#This Row],[Type]]="R",IF(Games[[#This Row],[Result]]&gt;0.5,1,0),0)</f>
        <v>0</v>
      </c>
      <c r="AD30" s="2">
        <f>IF(Games[[#This Row],[Type]]="R",IF(Games[[#This Row],[Result]]&lt;0.5,1,0),0)</f>
        <v>1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35610</v>
      </c>
      <c r="B31" s="2">
        <v>1997</v>
      </c>
      <c r="C31" s="2">
        <f>COUNTIFS(Games[Team],Games[[#This Row],[Team]],Games[Season],Games[[#This Row],[Season]],Games[Date],"&lt;=" &amp; Games[[#This Row],[Date]])</f>
        <v>4</v>
      </c>
      <c r="D31" s="2" t="s">
        <v>23</v>
      </c>
      <c r="E31" s="2" t="s">
        <v>29</v>
      </c>
      <c r="F31" s="1" t="s">
        <v>64</v>
      </c>
      <c r="G31" s="1" t="s">
        <v>1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" s="2">
        <f>Games[[#This Row],[DaysOff]]-Games[[#This Row],[OppDaysOff]]</f>
        <v>2</v>
      </c>
      <c r="L31" s="2">
        <f>Games[[#This Row],[OppDaysOff]]-Games[[#This Row],[DaysOff]]</f>
        <v>-2</v>
      </c>
      <c r="M31" s="1">
        <f>MAX(-16, MIN(16, Games[[#This Row],[RestDiff]]*8))</f>
        <v>16</v>
      </c>
      <c r="N31" s="1">
        <f>MAX(-16, MIN(16, Games[[#This Row],[OppRestDiff]]*8))</f>
        <v>-16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1457.7170689603465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1471.4345434024056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0.64308644519145985</v>
      </c>
      <c r="R31" s="1">
        <v>67</v>
      </c>
      <c r="S31" s="1">
        <v>44</v>
      </c>
      <c r="T31" s="1">
        <v>0</v>
      </c>
      <c r="U31" s="1">
        <f>Games[[#This Row],[PointsFor]]-Games[[#This Row],[PointsAgainst]]</f>
        <v>23</v>
      </c>
      <c r="V31" s="1">
        <f>IF(Games[[#This Row],[MOV]]&gt;0,1,IF(Games[[#This Row],[MOV]]=0,0.5,0))</f>
        <v>1</v>
      </c>
      <c r="W31" s="4">
        <f>((ABS(Games[[#This Row],[MOV]])+5)^0.6)/(12+0.01*(ABS(Games[[#This Row],[PreGmRate]]-Games[[#This Row],[OppPreGmRate]])))*IF(Games[[#This Row],[OT]]=1,0.9,1)</f>
        <v>0.6083832017115548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75.400000000000006</v>
      </c>
      <c r="Z31" s="4">
        <f>Games[[#This Row],[K]]*Games[[#This Row],[POMult]]</f>
        <v>75.400000000000006</v>
      </c>
      <c r="AA31" s="4">
        <f>(Games[[#This Row],[Keff]]*Games[[#This Row],[MOVMult]])*(Games[[#This Row],[Result]]-Games[[#This Row],[ExpectedWin%]])</f>
        <v>16.372371925133884</v>
      </c>
      <c r="AB31" s="4">
        <f>Games[[#This Row],[PreGmRate]]+Games[[#This Row],[RatingChange]]</f>
        <v>1474.0894408854804</v>
      </c>
      <c r="AC31" s="2">
        <f>IF(Games[[#This Row],[Type]]="R",IF(Games[[#This Row],[Result]]&gt;0.5,1,0),0)</f>
        <v>1</v>
      </c>
      <c r="AD31" s="2">
        <f>IF(Games[[#This Row],[Type]]="R",IF(Games[[#This Row],[Result]]&lt;0.5,1,0),0)</f>
        <v>0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35610</v>
      </c>
      <c r="B32" s="2">
        <v>1997</v>
      </c>
      <c r="C32" s="2">
        <f>COUNTIFS(Games[Team],Games[[#This Row],[Team]],Games[Season],Games[[#This Row],[Season]],Games[Date],"&lt;=" &amp; Games[[#This Row],[Date]])</f>
        <v>4</v>
      </c>
      <c r="D32" s="2" t="s">
        <v>23</v>
      </c>
      <c r="E32" s="2" t="s">
        <v>29</v>
      </c>
      <c r="F32" s="1" t="s">
        <v>44</v>
      </c>
      <c r="G32" s="1" t="s">
        <v>66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" s="2">
        <f>Games[[#This Row],[DaysOff]]-Games[[#This Row],[OppDaysOff]]</f>
        <v>-2</v>
      </c>
      <c r="L32" s="2">
        <f>Games[[#This Row],[OppDaysOff]]-Games[[#This Row],[DaysOff]]</f>
        <v>2</v>
      </c>
      <c r="M32" s="1">
        <f>MAX(-16, MIN(16, Games[[#This Row],[RestDiff]]*8))</f>
        <v>-16</v>
      </c>
      <c r="N32" s="1">
        <f>MAX(-16, MIN(16, Games[[#This Row],[OppRestDiff]]*8))</f>
        <v>16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1515.9858439042716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1551.2985345315499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0.29504088577327819</v>
      </c>
      <c r="R32" s="1">
        <v>57</v>
      </c>
      <c r="S32" s="1">
        <v>65</v>
      </c>
      <c r="T32" s="1">
        <v>0</v>
      </c>
      <c r="U32" s="1">
        <f>Games[[#This Row],[PointsFor]]-Games[[#This Row],[PointsAgainst]]</f>
        <v>-8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0.37721513390021738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75.400000000000006</v>
      </c>
      <c r="Z32" s="4">
        <f>Games[[#This Row],[K]]*Games[[#This Row],[POMult]]</f>
        <v>75.400000000000006</v>
      </c>
      <c r="AA32" s="4">
        <f>(Games[[#This Row],[Keff]]*Games[[#This Row],[MOVMult]])*(Games[[#This Row],[Result]]-Games[[#This Row],[ExpectedWin%]])</f>
        <v>-8.3915590973686438</v>
      </c>
      <c r="AB32" s="4">
        <f>Games[[#This Row],[PreGmRate]]+Games[[#This Row],[RatingChange]]</f>
        <v>1507.594284806903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35610</v>
      </c>
      <c r="B33" s="2">
        <v>1997</v>
      </c>
      <c r="C33" s="2">
        <f>COUNTIFS(Games[Team],Games[[#This Row],[Team]],Games[Season],Games[[#This Row],[Season]],Games[Date],"&lt;=" &amp; Games[[#This Row],[Date]])</f>
        <v>4</v>
      </c>
      <c r="D33" s="2" t="s">
        <v>23</v>
      </c>
      <c r="E33" s="2" t="s">
        <v>29</v>
      </c>
      <c r="F33" s="1" t="s">
        <v>66</v>
      </c>
      <c r="G33" s="1" t="s">
        <v>44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" s="2">
        <f>Games[[#This Row],[DaysOff]]-Games[[#This Row],[OppDaysOff]]</f>
        <v>2</v>
      </c>
      <c r="L33" s="2">
        <f>Games[[#This Row],[OppDaysOff]]-Games[[#This Row],[DaysOff]]</f>
        <v>-2</v>
      </c>
      <c r="M33" s="1">
        <f>MAX(-16, MIN(16, Games[[#This Row],[RestDiff]]*8))</f>
        <v>16</v>
      </c>
      <c r="N33" s="1">
        <f>MAX(-16, MIN(16, Games[[#This Row],[OppRestDiff]]*8))</f>
        <v>-16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1551.2985345315499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1515.9858439042716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0.70495911422672175</v>
      </c>
      <c r="R33" s="1">
        <v>65</v>
      </c>
      <c r="S33" s="1">
        <v>57</v>
      </c>
      <c r="T33" s="1">
        <v>0</v>
      </c>
      <c r="U33" s="1">
        <f>Games[[#This Row],[PointsFor]]-Games[[#This Row],[PointsAgainst]]</f>
        <v>8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0.37721513390021738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75.400000000000006</v>
      </c>
      <c r="Z33" s="4">
        <f>Games[[#This Row],[K]]*Games[[#This Row],[POMult]]</f>
        <v>75.400000000000006</v>
      </c>
      <c r="AA33" s="4">
        <f>(Games[[#This Row],[Keff]]*Games[[#This Row],[MOVMult]])*(Games[[#This Row],[Result]]-Games[[#This Row],[ExpectedWin%]])</f>
        <v>8.3915590973686456</v>
      </c>
      <c r="AB33" s="4">
        <f>Games[[#This Row],[PreGmRate]]+Games[[#This Row],[RatingChange]]</f>
        <v>1559.6900936289185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35611</v>
      </c>
      <c r="B34" s="2">
        <v>1997</v>
      </c>
      <c r="C34" s="2">
        <f>COUNTIFS(Games[Team],Games[[#This Row],[Team]],Games[Season],Games[[#This Row],[Season]],Games[Date],"&lt;=" &amp; Games[[#This Row],[Date]])</f>
        <v>5</v>
      </c>
      <c r="D34" s="2" t="s">
        <v>23</v>
      </c>
      <c r="E34" s="2" t="s">
        <v>29</v>
      </c>
      <c r="F34" s="1" t="s">
        <v>71</v>
      </c>
      <c r="G34" s="1" t="s">
        <v>2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" s="2">
        <f>Games[[#This Row],[DaysOff]]-Games[[#This Row],[OppDaysOff]]</f>
        <v>1</v>
      </c>
      <c r="L34" s="2">
        <f>Games[[#This Row],[OppDaysOff]]-Games[[#This Row],[DaysOff]]</f>
        <v>-1</v>
      </c>
      <c r="M34" s="1">
        <f>MAX(-16, MIN(16, Games[[#This Row],[RestDiff]]*8))</f>
        <v>8</v>
      </c>
      <c r="N34" s="1">
        <f>MAX(-16, MIN(16, Games[[#This Row],[OppRestDiff]]*8))</f>
        <v>-8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1501.4824453750221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1551.0420323735468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0.33699210811176483</v>
      </c>
      <c r="R34" s="1">
        <v>66</v>
      </c>
      <c r="S34" s="1">
        <v>71</v>
      </c>
      <c r="T34" s="1">
        <v>1</v>
      </c>
      <c r="U34" s="1">
        <f>Games[[#This Row],[PointsFor]]-Games[[#This Row],[PointsAgainst]]</f>
        <v>-5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0.28673818937981593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75.25</v>
      </c>
      <c r="Z34" s="4">
        <f>Games[[#This Row],[K]]*Games[[#This Row],[POMult]]</f>
        <v>75.25</v>
      </c>
      <c r="AA34" s="4">
        <f>(Games[[#This Row],[Keff]]*Games[[#This Row],[MOVMult]])*(Games[[#This Row],[Result]]-Games[[#This Row],[ExpectedWin%]])</f>
        <v>-7.2712951453729113</v>
      </c>
      <c r="AB34" s="4">
        <f>Games[[#This Row],[PreGmRate]]+Games[[#This Row],[RatingChange]]</f>
        <v>1494.2111502296491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35611</v>
      </c>
      <c r="B35" s="2">
        <v>1997</v>
      </c>
      <c r="C35" s="2">
        <f>COUNTIFS(Games[Team],Games[[#This Row],[Team]],Games[Season],Games[[#This Row],[Season]],Games[Date],"&lt;=" &amp; Games[[#This Row],[Date]])</f>
        <v>5</v>
      </c>
      <c r="D35" s="2" t="s">
        <v>23</v>
      </c>
      <c r="E35" s="2" t="s">
        <v>29</v>
      </c>
      <c r="F35" s="1" t="s">
        <v>2</v>
      </c>
      <c r="G35" s="1" t="s">
        <v>71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" s="2">
        <f>Games[[#This Row],[DaysOff]]-Games[[#This Row],[OppDaysOff]]</f>
        <v>-1</v>
      </c>
      <c r="L35" s="2">
        <f>Games[[#This Row],[OppDaysOff]]-Games[[#This Row],[DaysOff]]</f>
        <v>1</v>
      </c>
      <c r="M35" s="1">
        <f>MAX(-16, MIN(16, Games[[#This Row],[RestDiff]]*8))</f>
        <v>-8</v>
      </c>
      <c r="N35" s="1">
        <f>MAX(-16, MIN(16, Games[[#This Row],[OppRestDiff]]*8))</f>
        <v>8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1551.0420323735468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1501.4824453750221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0.66300789188823517</v>
      </c>
      <c r="R35" s="1">
        <v>71</v>
      </c>
      <c r="S35" s="1">
        <v>66</v>
      </c>
      <c r="T35" s="1">
        <v>1</v>
      </c>
      <c r="U35" s="1">
        <f>Games[[#This Row],[PointsFor]]-Games[[#This Row],[PointsAgainst]]</f>
        <v>5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0.28673818937981593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75.25</v>
      </c>
      <c r="Z35" s="4">
        <f>Games[[#This Row],[K]]*Games[[#This Row],[POMult]]</f>
        <v>75.25</v>
      </c>
      <c r="AA35" s="4">
        <f>(Games[[#This Row],[Keff]]*Games[[#This Row],[MOVMult]])*(Games[[#This Row],[Result]]-Games[[#This Row],[ExpectedWin%]])</f>
        <v>7.2712951453729113</v>
      </c>
      <c r="AB35" s="4">
        <f>Games[[#This Row],[PreGmRate]]+Games[[#This Row],[RatingChange]]</f>
        <v>1558.3133275189198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35613</v>
      </c>
      <c r="B36" s="2">
        <v>1997</v>
      </c>
      <c r="C36" s="2">
        <f>COUNTIFS(Games[Team],Games[[#This Row],[Team]],Games[Season],Games[[#This Row],[Season]],Games[Date],"&lt;=" &amp; Games[[#This Row],[Date]])</f>
        <v>6</v>
      </c>
      <c r="D36" s="2" t="s">
        <v>23</v>
      </c>
      <c r="E36" s="2" t="s">
        <v>29</v>
      </c>
      <c r="F36" s="1" t="s">
        <v>2</v>
      </c>
      <c r="G36" s="1" t="s">
        <v>66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" s="2">
        <f>Games[[#This Row],[DaysOff]]-Games[[#This Row],[OppDaysOff]]</f>
        <v>-1</v>
      </c>
      <c r="L36" s="2">
        <f>Games[[#This Row],[OppDaysOff]]-Games[[#This Row],[DaysOff]]</f>
        <v>1</v>
      </c>
      <c r="M36" s="1">
        <f>MAX(-16, MIN(16, Games[[#This Row],[RestDiff]]*8))</f>
        <v>-8</v>
      </c>
      <c r="N36" s="1">
        <f>MAX(-16, MIN(16, Games[[#This Row],[OppRestDiff]]*8))</f>
        <v>8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1558.3133275189198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1559.6900936289185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0.35811118878652071</v>
      </c>
      <c r="R36" s="1">
        <v>67</v>
      </c>
      <c r="S36" s="1">
        <v>72</v>
      </c>
      <c r="T36" s="1">
        <v>0</v>
      </c>
      <c r="U36" s="1">
        <f>Games[[#This Row],[PointsFor]]-Games[[#This Row],[PointsAgainst]]</f>
        <v>-5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0.33137578633433168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75.099999999999994</v>
      </c>
      <c r="Z36" s="4">
        <f>Games[[#This Row],[K]]*Games[[#This Row],[POMult]]</f>
        <v>75.099999999999994</v>
      </c>
      <c r="AA36" s="4">
        <f>(Games[[#This Row],[Keff]]*Games[[#This Row],[MOVMult]])*(Games[[#This Row],[Result]]-Games[[#This Row],[ExpectedWin%]])</f>
        <v>-8.9120701961220945</v>
      </c>
      <c r="AB36" s="4">
        <f>Games[[#This Row],[PreGmRate]]+Games[[#This Row],[RatingChange]]</f>
        <v>1549.4012573227976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35613</v>
      </c>
      <c r="B37" s="2">
        <v>1997</v>
      </c>
      <c r="C37" s="2">
        <f>COUNTIFS(Games[Team],Games[[#This Row],[Team]],Games[Season],Games[[#This Row],[Season]],Games[Date],"&lt;=" &amp; Games[[#This Row],[Date]])</f>
        <v>5</v>
      </c>
      <c r="D37" s="2" t="s">
        <v>23</v>
      </c>
      <c r="E37" s="2" t="s">
        <v>29</v>
      </c>
      <c r="F37" s="1" t="s">
        <v>66</v>
      </c>
      <c r="G37" s="1" t="s">
        <v>2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" s="2">
        <f>Games[[#This Row],[DaysOff]]-Games[[#This Row],[OppDaysOff]]</f>
        <v>1</v>
      </c>
      <c r="L37" s="2">
        <f>Games[[#This Row],[OppDaysOff]]-Games[[#This Row],[DaysOff]]</f>
        <v>-1</v>
      </c>
      <c r="M37" s="1">
        <f>MAX(-16, MIN(16, Games[[#This Row],[RestDiff]]*8))</f>
        <v>8</v>
      </c>
      <c r="N37" s="1">
        <f>MAX(-16, MIN(16, Games[[#This Row],[OppRestDiff]]*8))</f>
        <v>-8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1559.6900936289185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1558.3133275189198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0.64188881121347929</v>
      </c>
      <c r="R37" s="1">
        <v>72</v>
      </c>
      <c r="S37" s="1">
        <v>67</v>
      </c>
      <c r="T37" s="1">
        <v>0</v>
      </c>
      <c r="U37" s="1">
        <f>Games[[#This Row],[PointsFor]]-Games[[#This Row],[PointsAgainst]]</f>
        <v>5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0.33137578633433168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75.25</v>
      </c>
      <c r="Z37" s="4">
        <f>Games[[#This Row],[K]]*Games[[#This Row],[POMult]]</f>
        <v>75.25</v>
      </c>
      <c r="AA37" s="4">
        <f>(Games[[#This Row],[Keff]]*Games[[#This Row],[MOVMult]])*(Games[[#This Row],[Result]]-Games[[#This Row],[ExpectedWin%]])</f>
        <v>8.9298706026389834</v>
      </c>
      <c r="AB37" s="4">
        <f>Games[[#This Row],[PreGmRate]]+Games[[#This Row],[RatingChange]]</f>
        <v>1568.6199642315576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35613</v>
      </c>
      <c r="B38" s="2">
        <v>1997</v>
      </c>
      <c r="C38" s="2">
        <f>COUNTIFS(Games[Team],Games[[#This Row],[Team]],Games[Season],Games[[#This Row],[Season]],Games[Date],"&lt;=" &amp; Games[[#This Row],[Date]])</f>
        <v>5</v>
      </c>
      <c r="D38" s="2" t="s">
        <v>23</v>
      </c>
      <c r="E38" s="2" t="s">
        <v>29</v>
      </c>
      <c r="F38" s="1" t="s">
        <v>43</v>
      </c>
      <c r="G38" s="1" t="s">
        <v>45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8" s="2">
        <f>Games[[#This Row],[DaysOff]]-Games[[#This Row],[OppDaysOff]]</f>
        <v>-1</v>
      </c>
      <c r="L38" s="2">
        <f>Games[[#This Row],[OppDaysOff]]-Games[[#This Row],[DaysOff]]</f>
        <v>1</v>
      </c>
      <c r="M38" s="1">
        <f>MAX(-16, MIN(16, Games[[#This Row],[RestDiff]]*8))</f>
        <v>-8</v>
      </c>
      <c r="N38" s="1">
        <f>MAX(-16, MIN(16, Games[[#This Row],[OppRestDiff]]*8))</f>
        <v>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1459.8920822892283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1491.1347874249591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0.31962542234270624</v>
      </c>
      <c r="R38" s="1">
        <v>73</v>
      </c>
      <c r="S38" s="1">
        <v>68</v>
      </c>
      <c r="T38" s="1">
        <v>1</v>
      </c>
      <c r="U38" s="1">
        <f>Games[[#This Row],[PointsFor]]-Games[[#This Row],[PointsAgainst]]</f>
        <v>5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0.29100391986375207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75.25</v>
      </c>
      <c r="Z38" s="4">
        <f>Games[[#This Row],[K]]*Games[[#This Row],[POMult]]</f>
        <v>75.25</v>
      </c>
      <c r="AA38" s="4">
        <f>(Games[[#This Row],[Keff]]*Games[[#This Row],[MOVMult]])*(Games[[#This Row],[Result]]-Games[[#This Row],[ExpectedWin%]])</f>
        <v>14.898873097812276</v>
      </c>
      <c r="AB38" s="4">
        <f>Games[[#This Row],[PreGmRate]]+Games[[#This Row],[RatingChange]]</f>
        <v>1474.7909553870406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35613</v>
      </c>
      <c r="B39" s="2">
        <v>1997</v>
      </c>
      <c r="C39" s="2">
        <f>COUNTIFS(Games[Team],Games[[#This Row],[Team]],Games[Season],Games[[#This Row],[Season]],Games[Date],"&lt;=" &amp; Games[[#This Row],[Date]])</f>
        <v>5</v>
      </c>
      <c r="D39" s="2" t="s">
        <v>23</v>
      </c>
      <c r="E39" s="2" t="s">
        <v>29</v>
      </c>
      <c r="F39" s="1" t="s">
        <v>45</v>
      </c>
      <c r="G39" s="1" t="s">
        <v>43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" s="2">
        <f>Games[[#This Row],[DaysOff]]-Games[[#This Row],[OppDaysOff]]</f>
        <v>1</v>
      </c>
      <c r="L39" s="2">
        <f>Games[[#This Row],[OppDaysOff]]-Games[[#This Row],[DaysOff]]</f>
        <v>-1</v>
      </c>
      <c r="M39" s="1">
        <f>MAX(-16, MIN(16, Games[[#This Row],[RestDiff]]*8))</f>
        <v>8</v>
      </c>
      <c r="N39" s="1">
        <f>MAX(-16, MIN(16, Games[[#This Row],[OppRestDiff]]*8))</f>
        <v>-8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1491.1347874249591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1459.8920822892283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0.6803745776572937</v>
      </c>
      <c r="R39" s="1">
        <v>68</v>
      </c>
      <c r="S39" s="1">
        <v>73</v>
      </c>
      <c r="T39" s="1">
        <v>1</v>
      </c>
      <c r="U39" s="1">
        <f>Games[[#This Row],[PointsFor]]-Games[[#This Row],[PointsAgainst]]</f>
        <v>-5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0.29100391986375207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75.25</v>
      </c>
      <c r="Z39" s="4">
        <f>Games[[#This Row],[K]]*Games[[#This Row],[POMult]]</f>
        <v>75.25</v>
      </c>
      <c r="AA39" s="4">
        <f>(Games[[#This Row],[Keff]]*Games[[#This Row],[MOVMult]])*(Games[[#This Row],[Result]]-Games[[#This Row],[ExpectedWin%]])</f>
        <v>-14.898873097812272</v>
      </c>
      <c r="AB39" s="4">
        <f>Games[[#This Row],[PreGmRate]]+Games[[#This Row],[RatingChange]]</f>
        <v>1476.2359143271467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35614</v>
      </c>
      <c r="B40" s="2">
        <v>1997</v>
      </c>
      <c r="C40" s="2">
        <f>COUNTIFS(Games[Team],Games[[#This Row],[Team]],Games[Season],Games[[#This Row],[Season]],Games[Date],"&lt;=" &amp; Games[[#This Row],[Date]])</f>
        <v>6</v>
      </c>
      <c r="D40" s="2" t="s">
        <v>23</v>
      </c>
      <c r="E40" s="2" t="s">
        <v>29</v>
      </c>
      <c r="F40" s="1" t="s">
        <v>71</v>
      </c>
      <c r="G40" s="1" t="s">
        <v>1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" s="2">
        <f>Games[[#This Row],[DaysOff]]-Games[[#This Row],[OppDaysOff]]</f>
        <v>-1</v>
      </c>
      <c r="L40" s="2">
        <f>Games[[#This Row],[OppDaysOff]]-Games[[#This Row],[DaysOff]]</f>
        <v>1</v>
      </c>
      <c r="M40" s="1">
        <f>MAX(-16, MIN(16, Games[[#This Row],[RestDiff]]*8))</f>
        <v>-8</v>
      </c>
      <c r="N40" s="1">
        <f>MAX(-16, MIN(16, Games[[#This Row],[OppRestDiff]]*8))</f>
        <v>8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1494.2111502296491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1455.0621714772717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0.41331291431446304</v>
      </c>
      <c r="R40" s="1">
        <v>74</v>
      </c>
      <c r="S40" s="1">
        <v>62</v>
      </c>
      <c r="T40" s="1">
        <v>0</v>
      </c>
      <c r="U40" s="1">
        <f>Games[[#This Row],[PointsFor]]-Games[[#This Row],[PointsAgainst]]</f>
        <v>12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0.44171874494295849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75.099999999999994</v>
      </c>
      <c r="Z40" s="4">
        <f>Games[[#This Row],[K]]*Games[[#This Row],[POMult]]</f>
        <v>75.099999999999994</v>
      </c>
      <c r="AA40" s="4">
        <f>(Games[[#This Row],[Keff]]*Games[[#This Row],[MOVMult]])*(Games[[#This Row],[Result]]-Games[[#This Row],[ExpectedWin%]])</f>
        <v>19.462216305560627</v>
      </c>
      <c r="AB40" s="4">
        <f>Games[[#This Row],[PreGmRate]]+Games[[#This Row],[RatingChange]]</f>
        <v>1513.6733665352097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35614</v>
      </c>
      <c r="B41" s="2">
        <v>1997</v>
      </c>
      <c r="C41" s="2">
        <f>COUNTIFS(Games[Team],Games[[#This Row],[Team]],Games[Season],Games[[#This Row],[Season]],Games[Date],"&lt;=" &amp; Games[[#This Row],[Date]])</f>
        <v>5</v>
      </c>
      <c r="D41" s="2" t="s">
        <v>23</v>
      </c>
      <c r="E41" s="2" t="s">
        <v>29</v>
      </c>
      <c r="F41" s="1" t="s">
        <v>1</v>
      </c>
      <c r="G41" s="1" t="s">
        <v>71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" s="2">
        <f>Games[[#This Row],[DaysOff]]-Games[[#This Row],[OppDaysOff]]</f>
        <v>1</v>
      </c>
      <c r="L41" s="2">
        <f>Games[[#This Row],[OppDaysOff]]-Games[[#This Row],[DaysOff]]</f>
        <v>-1</v>
      </c>
      <c r="M41" s="1">
        <f>MAX(-16, MIN(16, Games[[#This Row],[RestDiff]]*8))</f>
        <v>8</v>
      </c>
      <c r="N41" s="1">
        <f>MAX(-16, MIN(16, Games[[#This Row],[OppRestDiff]]*8))</f>
        <v>-8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1455.0621714772717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1494.2111502296491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0.58668708568553696</v>
      </c>
      <c r="R41" s="1">
        <v>62</v>
      </c>
      <c r="S41" s="1">
        <v>74</v>
      </c>
      <c r="T41" s="1">
        <v>0</v>
      </c>
      <c r="U41" s="1">
        <f>Games[[#This Row],[PointsFor]]-Games[[#This Row],[PointsAgainst]]</f>
        <v>-12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0.44171874494295849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75.25</v>
      </c>
      <c r="Z41" s="4">
        <f>Games[[#This Row],[K]]*Games[[#This Row],[POMult]]</f>
        <v>75.25</v>
      </c>
      <c r="AA41" s="4">
        <f>(Games[[#This Row],[Keff]]*Games[[#This Row],[MOVMult]])*(Games[[#This Row],[Result]]-Games[[#This Row],[ExpectedWin%]])</f>
        <v>-19.501088908035115</v>
      </c>
      <c r="AB41" s="4">
        <f>Games[[#This Row],[PreGmRate]]+Games[[#This Row],[RatingChange]]</f>
        <v>1435.5610825692365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35614</v>
      </c>
      <c r="B42" s="2">
        <v>1997</v>
      </c>
      <c r="C42" s="2">
        <f>COUNTIFS(Games[Team],Games[[#This Row],[Team]],Games[Season],Games[[#This Row],[Season]],Games[Date],"&lt;=" &amp; Games[[#This Row],[Date]])</f>
        <v>5</v>
      </c>
      <c r="D42" s="2" t="s">
        <v>23</v>
      </c>
      <c r="E42" s="2" t="s">
        <v>29</v>
      </c>
      <c r="F42" s="1" t="s">
        <v>44</v>
      </c>
      <c r="G42" s="1" t="s">
        <v>43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" s="2">
        <f>Games[[#This Row],[DaysOff]]-Games[[#This Row],[OppDaysOff]]</f>
        <v>3</v>
      </c>
      <c r="L42" s="2">
        <f>Games[[#This Row],[OppDaysOff]]-Games[[#This Row],[DaysOff]]</f>
        <v>-3</v>
      </c>
      <c r="M42" s="1">
        <f>MAX(-16, MIN(16, Games[[#This Row],[RestDiff]]*8))</f>
        <v>16</v>
      </c>
      <c r="N42" s="1">
        <f>MAX(-16, MIN(16, Games[[#This Row],[OppRestDiff]]*8))</f>
        <v>-16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1507.594284806903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1474.7909553870406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0.47240184878424191</v>
      </c>
      <c r="R42" s="1">
        <v>77</v>
      </c>
      <c r="S42" s="1">
        <v>55</v>
      </c>
      <c r="T42" s="1">
        <v>0</v>
      </c>
      <c r="U42" s="1">
        <f>Games[[#This Row],[PointsFor]]-Games[[#This Row],[PointsAgainst]]</f>
        <v>22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0.58603622195292837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75.25</v>
      </c>
      <c r="Z42" s="4">
        <f>Games[[#This Row],[K]]*Games[[#This Row],[POMult]]</f>
        <v>75.25</v>
      </c>
      <c r="AA42" s="4">
        <f>(Games[[#This Row],[Keff]]*Games[[#This Row],[MOVMult]])*(Games[[#This Row],[Result]]-Games[[#This Row],[ExpectedWin%]])</f>
        <v>23.266669950399415</v>
      </c>
      <c r="AB42" s="4">
        <f>Games[[#This Row],[PreGmRate]]+Games[[#This Row],[RatingChange]]</f>
        <v>1530.8609547573024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35614</v>
      </c>
      <c r="B43" s="2">
        <v>1997</v>
      </c>
      <c r="C43" s="2">
        <f>COUNTIFS(Games[Team],Games[[#This Row],[Team]],Games[Season],Games[[#This Row],[Season]],Games[Date],"&lt;=" &amp; Games[[#This Row],[Date]])</f>
        <v>6</v>
      </c>
      <c r="D43" s="2" t="s">
        <v>23</v>
      </c>
      <c r="E43" s="2" t="s">
        <v>29</v>
      </c>
      <c r="F43" s="1" t="s">
        <v>43</v>
      </c>
      <c r="G43" s="1" t="s">
        <v>44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" s="2">
        <f>Games[[#This Row],[DaysOff]]-Games[[#This Row],[OppDaysOff]]</f>
        <v>-3</v>
      </c>
      <c r="L43" s="2">
        <f>Games[[#This Row],[OppDaysOff]]-Games[[#This Row],[DaysOff]]</f>
        <v>3</v>
      </c>
      <c r="M43" s="1">
        <f>MAX(-16, MIN(16, Games[[#This Row],[RestDiff]]*8))</f>
        <v>-16</v>
      </c>
      <c r="N43" s="1">
        <f>MAX(-16, MIN(16, Games[[#This Row],[OppRestDiff]]*8))</f>
        <v>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1474.7909553870406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1507.594284806903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0.52759815121575804</v>
      </c>
      <c r="R43" s="1">
        <v>55</v>
      </c>
      <c r="S43" s="1">
        <v>77</v>
      </c>
      <c r="T43" s="1">
        <v>0</v>
      </c>
      <c r="U43" s="1">
        <f>Games[[#This Row],[PointsFor]]-Games[[#This Row],[PointsAgainst]]</f>
        <v>-22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0.58603622195292837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75.099999999999994</v>
      </c>
      <c r="Z43" s="4">
        <f>Games[[#This Row],[K]]*Games[[#This Row],[POMult]]</f>
        <v>75.099999999999994</v>
      </c>
      <c r="AA43" s="4">
        <f>(Games[[#This Row],[Keff]]*Games[[#This Row],[MOVMult]])*(Games[[#This Row],[Result]]-Games[[#This Row],[ExpectedWin%]])</f>
        <v>-23.220291206312229</v>
      </c>
      <c r="AB43" s="4">
        <f>Games[[#This Row],[PreGmRate]]+Games[[#This Row],[RatingChange]]</f>
        <v>1451.5706641807285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35615</v>
      </c>
      <c r="B44" s="2">
        <v>1997</v>
      </c>
      <c r="C44" s="2">
        <f>COUNTIFS(Games[Team],Games[[#This Row],[Team]],Games[Season],Games[[#This Row],[Season]],Games[Date],"&lt;=" &amp; Games[[#This Row],[Date]])</f>
        <v>6</v>
      </c>
      <c r="D44" s="2" t="s">
        <v>23</v>
      </c>
      <c r="E44" s="2" t="s">
        <v>29</v>
      </c>
      <c r="F44" s="1" t="s">
        <v>66</v>
      </c>
      <c r="G44" s="1" t="s">
        <v>2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0</v>
      </c>
      <c r="L44" s="2">
        <f>Games[[#This Row],[OppDaysOff]]-Games[[#This Row],[DaysOff]]</f>
        <v>0</v>
      </c>
      <c r="M44" s="1">
        <f>MAX(-16, MIN(16, Games[[#This Row],[RestDiff]]*8))</f>
        <v>0</v>
      </c>
      <c r="N44" s="1">
        <f>MAX(-16, MIN(16, Games[[#This Row],[OppRestDiff]]*8))</f>
        <v>0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1568.6199642315576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1549.4012573227976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0.40783778504114382</v>
      </c>
      <c r="R44" s="1">
        <v>65</v>
      </c>
      <c r="S44" s="1">
        <v>58</v>
      </c>
      <c r="T44" s="1">
        <v>0</v>
      </c>
      <c r="U44" s="1">
        <f>Games[[#This Row],[PointsFor]]-Games[[#This Row],[PointsAgainst]]</f>
        <v>7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0.36427312381930199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75.099999999999994</v>
      </c>
      <c r="Z44" s="4">
        <f>Games[[#This Row],[K]]*Games[[#This Row],[POMult]]</f>
        <v>75.099999999999994</v>
      </c>
      <c r="AA44" s="4">
        <f>(Games[[#This Row],[Keff]]*Games[[#This Row],[MOVMult]])*(Games[[#This Row],[Result]]-Games[[#This Row],[ExpectedWin%]])</f>
        <v>16.199729366796543</v>
      </c>
      <c r="AB44" s="4">
        <f>Games[[#This Row],[PreGmRate]]+Games[[#This Row],[RatingChange]]</f>
        <v>1584.8196935983542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35615</v>
      </c>
      <c r="B45" s="2">
        <v>1997</v>
      </c>
      <c r="C45" s="2">
        <f>COUNTIFS(Games[Team],Games[[#This Row],[Team]],Games[Season],Games[[#This Row],[Season]],Games[Date],"&lt;=" &amp; Games[[#This Row],[Date]])</f>
        <v>7</v>
      </c>
      <c r="D45" s="2" t="s">
        <v>23</v>
      </c>
      <c r="E45" s="2" t="s">
        <v>29</v>
      </c>
      <c r="F45" s="1" t="s">
        <v>2</v>
      </c>
      <c r="G45" s="1" t="s">
        <v>66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0</v>
      </c>
      <c r="L45" s="2">
        <f>Games[[#This Row],[OppDaysOff]]-Games[[#This Row],[DaysOff]]</f>
        <v>0</v>
      </c>
      <c r="M45" s="1">
        <f>MAX(-16, MIN(16, Games[[#This Row],[RestDiff]]*8))</f>
        <v>0</v>
      </c>
      <c r="N45" s="1">
        <f>MAX(-16, MIN(16, Games[[#This Row],[OppRestDiff]]*8))</f>
        <v>0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1549.4012573227976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1568.6199642315576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0.59216221495885624</v>
      </c>
      <c r="R45" s="1">
        <v>58</v>
      </c>
      <c r="S45" s="1">
        <v>65</v>
      </c>
      <c r="T45" s="1">
        <v>0</v>
      </c>
      <c r="U45" s="1">
        <f>Games[[#This Row],[PointsFor]]-Games[[#This Row],[PointsAgainst]]</f>
        <v>-7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0.36427312381930199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74.95</v>
      </c>
      <c r="Z45" s="4">
        <f>Games[[#This Row],[K]]*Games[[#This Row],[POMult]]</f>
        <v>74.95</v>
      </c>
      <c r="AA45" s="4">
        <f>(Games[[#This Row],[Keff]]*Games[[#This Row],[MOVMult]])*(Games[[#This Row],[Result]]-Games[[#This Row],[ExpectedWin%]])</f>
        <v>-16.167373049818927</v>
      </c>
      <c r="AB45" s="4">
        <f>Games[[#This Row],[PreGmRate]]+Games[[#This Row],[RatingChange]]</f>
        <v>1533.2338842729787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35616</v>
      </c>
      <c r="B46" s="2">
        <v>1997</v>
      </c>
      <c r="C46" s="2">
        <f>COUNTIFS(Games[Team],Games[[#This Row],[Team]],Games[Season],Games[[#This Row],[Season]],Games[Date],"&lt;=" &amp; Games[[#This Row],[Date]])</f>
        <v>7</v>
      </c>
      <c r="D46" s="2" t="s">
        <v>23</v>
      </c>
      <c r="E46" s="2" t="s">
        <v>29</v>
      </c>
      <c r="F46" s="1" t="s">
        <v>71</v>
      </c>
      <c r="G46" s="1" t="s">
        <v>64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6" s="2">
        <f>Games[[#This Row],[DaysOff]]-Games[[#This Row],[OppDaysOff]]</f>
        <v>-4</v>
      </c>
      <c r="L46" s="2">
        <f>Games[[#This Row],[OppDaysOff]]-Games[[#This Row],[DaysOff]]</f>
        <v>4</v>
      </c>
      <c r="M46" s="1">
        <f>MAX(-16, MIN(16, Games[[#This Row],[RestDiff]]*8))</f>
        <v>-16</v>
      </c>
      <c r="N46" s="1">
        <f>MAX(-16, MIN(16, Games[[#This Row],[OppRestDiff]]*8))</f>
        <v>16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1513.6733665352097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1474.0894408854804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0.39176806579533913</v>
      </c>
      <c r="R46" s="1">
        <v>66</v>
      </c>
      <c r="S46" s="1">
        <v>78</v>
      </c>
      <c r="T46" s="1">
        <v>0</v>
      </c>
      <c r="U46" s="1">
        <f>Games[[#This Row],[PointsFor]]-Games[[#This Row],[PointsAgainst]]</f>
        <v>-12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0.441563754067682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74.95</v>
      </c>
      <c r="Z46" s="4">
        <f>Games[[#This Row],[K]]*Games[[#This Row],[POMult]]</f>
        <v>74.95</v>
      </c>
      <c r="AA46" s="4">
        <f>(Games[[#This Row],[Keff]]*Games[[#This Row],[MOVMult]])*(Games[[#This Row],[Result]]-Games[[#This Row],[ExpectedWin%]])</f>
        <v>-12.965643810339024</v>
      </c>
      <c r="AB46" s="4">
        <f>Games[[#This Row],[PreGmRate]]+Games[[#This Row],[RatingChange]]</f>
        <v>1500.7077227248706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35616</v>
      </c>
      <c r="B47" s="2">
        <v>1997</v>
      </c>
      <c r="C47" s="2">
        <f>COUNTIFS(Games[Team],Games[[#This Row],[Team]],Games[Season],Games[[#This Row],[Season]],Games[Date],"&lt;=" &amp; Games[[#This Row],[Date]])</f>
        <v>5</v>
      </c>
      <c r="D47" s="2" t="s">
        <v>23</v>
      </c>
      <c r="E47" s="2" t="s">
        <v>29</v>
      </c>
      <c r="F47" s="1" t="s">
        <v>64</v>
      </c>
      <c r="G47" s="1" t="s">
        <v>71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5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4</v>
      </c>
      <c r="L47" s="2">
        <f>Games[[#This Row],[OppDaysOff]]-Games[[#This Row],[DaysOff]]</f>
        <v>-4</v>
      </c>
      <c r="M47" s="1">
        <f>MAX(-16, MIN(16, Games[[#This Row],[RestDiff]]*8))</f>
        <v>16</v>
      </c>
      <c r="N47" s="1">
        <f>MAX(-16, MIN(16, Games[[#This Row],[OppRestDiff]]*8))</f>
        <v>-16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1474.0894408854804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1513.6733665352097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0.60823193420466093</v>
      </c>
      <c r="R47" s="1">
        <v>78</v>
      </c>
      <c r="S47" s="1">
        <v>66</v>
      </c>
      <c r="T47" s="1">
        <v>0</v>
      </c>
      <c r="U47" s="1">
        <f>Games[[#This Row],[PointsFor]]-Games[[#This Row],[PointsAgainst]]</f>
        <v>12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0.441563754067682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75.25</v>
      </c>
      <c r="Z47" s="4">
        <f>Games[[#This Row],[K]]*Games[[#This Row],[POMult]]</f>
        <v>75.25</v>
      </c>
      <c r="AA47" s="4">
        <f>(Games[[#This Row],[Keff]]*Games[[#This Row],[MOVMult]])*(Games[[#This Row],[Result]]-Games[[#This Row],[ExpectedWin%]])</f>
        <v>13.017540983695948</v>
      </c>
      <c r="AB47" s="4">
        <f>Games[[#This Row],[PreGmRate]]+Games[[#This Row],[RatingChange]]</f>
        <v>1487.1069818691763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35616</v>
      </c>
      <c r="B48" s="2">
        <v>1997</v>
      </c>
      <c r="C48" s="2">
        <f>COUNTIFS(Games[Team],Games[[#This Row],[Team]],Games[Season],Games[[#This Row],[Season]],Games[Date],"&lt;=" &amp; Games[[#This Row],[Date]])</f>
        <v>7</v>
      </c>
      <c r="D48" s="2" t="s">
        <v>23</v>
      </c>
      <c r="E48" s="2" t="s">
        <v>29</v>
      </c>
      <c r="F48" s="1" t="s">
        <v>66</v>
      </c>
      <c r="G48" s="1" t="s">
        <v>43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-1</v>
      </c>
      <c r="L48" s="2">
        <f>Games[[#This Row],[OppDaysOff]]-Games[[#This Row],[DaysOff]]</f>
        <v>1</v>
      </c>
      <c r="M48" s="1">
        <f>MAX(-16, MIN(16, Games[[#This Row],[RestDiff]]*8))</f>
        <v>-8</v>
      </c>
      <c r="N48" s="1">
        <f>MAX(-16, MIN(16, Games[[#This Row],[OppRestDiff]]*8))</f>
        <v>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1584.8196935983542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1451.5706641807285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0.54770366221782796</v>
      </c>
      <c r="R48" s="1">
        <v>66</v>
      </c>
      <c r="S48" s="1">
        <v>53</v>
      </c>
      <c r="T48" s="1">
        <v>0</v>
      </c>
      <c r="U48" s="1">
        <f>Games[[#This Row],[PointsFor]]-Games[[#This Row],[PointsAgainst]]</f>
        <v>13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0.42486624349869001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74.95</v>
      </c>
      <c r="Z48" s="4">
        <f>Games[[#This Row],[K]]*Games[[#This Row],[POMult]]</f>
        <v>74.95</v>
      </c>
      <c r="AA48" s="4">
        <f>(Games[[#This Row],[Keff]]*Games[[#This Row],[MOVMult]])*(Games[[#This Row],[Result]]-Games[[#This Row],[ExpectedWin%]])</f>
        <v>14.402800176330368</v>
      </c>
      <c r="AB48" s="4">
        <f>Games[[#This Row],[PreGmRate]]+Games[[#This Row],[RatingChange]]</f>
        <v>1599.2224937746846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35616</v>
      </c>
      <c r="B49" s="2">
        <v>1997</v>
      </c>
      <c r="C49" s="2">
        <f>COUNTIFS(Games[Team],Games[[#This Row],[Team]],Games[Season],Games[[#This Row],[Season]],Games[Date],"&lt;=" &amp; Games[[#This Row],[Date]])</f>
        <v>7</v>
      </c>
      <c r="D49" s="2" t="s">
        <v>23</v>
      </c>
      <c r="E49" s="2" t="s">
        <v>29</v>
      </c>
      <c r="F49" s="1" t="s">
        <v>43</v>
      </c>
      <c r="G49" s="1" t="s">
        <v>66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9" s="2">
        <f>Games[[#This Row],[DaysOff]]-Games[[#This Row],[OppDaysOff]]</f>
        <v>1</v>
      </c>
      <c r="L49" s="2">
        <f>Games[[#This Row],[OppDaysOff]]-Games[[#This Row],[DaysOff]]</f>
        <v>-1</v>
      </c>
      <c r="M49" s="1">
        <f>MAX(-16, MIN(16, Games[[#This Row],[RestDiff]]*8))</f>
        <v>8</v>
      </c>
      <c r="N49" s="1">
        <f>MAX(-16, MIN(16, Games[[#This Row],[OppRestDiff]]*8))</f>
        <v>-8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1451.5706641807285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1584.8196935983542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0.45229633778217204</v>
      </c>
      <c r="R49" s="1">
        <v>53</v>
      </c>
      <c r="S49" s="1">
        <v>66</v>
      </c>
      <c r="T49" s="1">
        <v>0</v>
      </c>
      <c r="U49" s="1">
        <f>Games[[#This Row],[PointsFor]]-Games[[#This Row],[PointsAgainst]]</f>
        <v>-13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0.42486624349869001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74.95</v>
      </c>
      <c r="Z49" s="4">
        <f>Games[[#This Row],[K]]*Games[[#This Row],[POMult]]</f>
        <v>74.95</v>
      </c>
      <c r="AA49" s="4">
        <f>(Games[[#This Row],[Keff]]*Games[[#This Row],[MOVMult]])*(Games[[#This Row],[Result]]-Games[[#This Row],[ExpectedWin%]])</f>
        <v>-14.402800176330368</v>
      </c>
      <c r="AB49" s="4">
        <f>Games[[#This Row],[PreGmRate]]+Games[[#This Row],[RatingChange]]</f>
        <v>1437.1678640043981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35617</v>
      </c>
      <c r="B50" s="2">
        <v>1997</v>
      </c>
      <c r="C50" s="2">
        <f>COUNTIFS(Games[Team],Games[[#This Row],[Team]],Games[Season],Games[[#This Row],[Season]],Games[Date],"&lt;=" &amp; Games[[#This Row],[Date]])</f>
        <v>6</v>
      </c>
      <c r="D50" s="2" t="s">
        <v>23</v>
      </c>
      <c r="E50" s="2" t="s">
        <v>29</v>
      </c>
      <c r="F50" s="1" t="s">
        <v>1</v>
      </c>
      <c r="G50" s="1" t="s">
        <v>45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0" s="2">
        <f>Games[[#This Row],[DaysOff]]-Games[[#This Row],[OppDaysOff]]</f>
        <v>-1</v>
      </c>
      <c r="L50" s="2">
        <f>Games[[#This Row],[OppDaysOff]]-Games[[#This Row],[DaysOff]]</f>
        <v>1</v>
      </c>
      <c r="M50" s="1">
        <f>MAX(-16, MIN(16, Games[[#This Row],[RestDiff]]*8))</f>
        <v>-8</v>
      </c>
      <c r="N50" s="1">
        <f>MAX(-16, MIN(16, Games[[#This Row],[OppRestDiff]]*8))</f>
        <v>8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1435.5610825692365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1476.2359143271467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0.30793536946829581</v>
      </c>
      <c r="R50" s="1">
        <v>67</v>
      </c>
      <c r="S50" s="1">
        <v>70</v>
      </c>
      <c r="T50" s="1">
        <v>0</v>
      </c>
      <c r="U50" s="1">
        <f>Games[[#This Row],[PointsFor]]-Games[[#This Row],[PointsAgainst]]</f>
        <v>-3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0.28067001635316241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75.099999999999994</v>
      </c>
      <c r="Z50" s="4">
        <f>Games[[#This Row],[K]]*Games[[#This Row],[POMult]]</f>
        <v>75.099999999999994</v>
      </c>
      <c r="AA50" s="4">
        <f>(Games[[#This Row],[Keff]]*Games[[#This Row],[MOVMult]])*(Games[[#This Row],[Result]]-Games[[#This Row],[ExpectedWin%]])</f>
        <v>-6.4907597113472146</v>
      </c>
      <c r="AB50" s="4">
        <f>Games[[#This Row],[PreGmRate]]+Games[[#This Row],[RatingChange]]</f>
        <v>1429.0703228578893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35617</v>
      </c>
      <c r="B51" s="2">
        <v>1997</v>
      </c>
      <c r="C51" s="2">
        <f>COUNTIFS(Games[Team],Games[[#This Row],[Team]],Games[Season],Games[[#This Row],[Season]],Games[Date],"&lt;=" &amp; Games[[#This Row],[Date]])</f>
        <v>6</v>
      </c>
      <c r="D51" s="2" t="s">
        <v>23</v>
      </c>
      <c r="E51" s="2" t="s">
        <v>29</v>
      </c>
      <c r="F51" s="1" t="s">
        <v>45</v>
      </c>
      <c r="G51" s="1" t="s">
        <v>1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3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" s="2">
        <f>Games[[#This Row],[DaysOff]]-Games[[#This Row],[OppDaysOff]]</f>
        <v>1</v>
      </c>
      <c r="L51" s="2">
        <f>Games[[#This Row],[OppDaysOff]]-Games[[#This Row],[DaysOff]]</f>
        <v>-1</v>
      </c>
      <c r="M51" s="1">
        <f>MAX(-16, MIN(16, Games[[#This Row],[RestDiff]]*8))</f>
        <v>8</v>
      </c>
      <c r="N51" s="1">
        <f>MAX(-16, MIN(16, Games[[#This Row],[OppRestDiff]]*8))</f>
        <v>-8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1476.2359143271467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1435.5610825692365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0.69206463053170419</v>
      </c>
      <c r="R51" s="1">
        <v>70</v>
      </c>
      <c r="S51" s="1">
        <v>67</v>
      </c>
      <c r="T51" s="1">
        <v>0</v>
      </c>
      <c r="U51" s="1">
        <f>Games[[#This Row],[PointsFor]]-Games[[#This Row],[PointsAgainst]]</f>
        <v>3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0.28067001635316241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75.099999999999994</v>
      </c>
      <c r="Z51" s="4">
        <f>Games[[#This Row],[K]]*Games[[#This Row],[POMult]]</f>
        <v>75.099999999999994</v>
      </c>
      <c r="AA51" s="4">
        <f>(Games[[#This Row],[Keff]]*Games[[#This Row],[MOVMult]])*(Games[[#This Row],[Result]]-Games[[#This Row],[ExpectedWin%]])</f>
        <v>6.4907597113472146</v>
      </c>
      <c r="AB51" s="4">
        <f>Games[[#This Row],[PreGmRate]]+Games[[#This Row],[RatingChange]]</f>
        <v>1482.7266740384939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35618</v>
      </c>
      <c r="B52" s="2">
        <v>1997</v>
      </c>
      <c r="C52" s="2">
        <f>COUNTIFS(Games[Team],Games[[#This Row],[Team]],Games[Season],Games[[#This Row],[Season]],Games[Date],"&lt;=" &amp; Games[[#This Row],[Date]])</f>
        <v>6</v>
      </c>
      <c r="D52" s="2" t="s">
        <v>23</v>
      </c>
      <c r="E52" s="2" t="s">
        <v>29</v>
      </c>
      <c r="F52" s="1" t="s">
        <v>64</v>
      </c>
      <c r="G52" s="1" t="s">
        <v>2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" s="2">
        <f>Games[[#This Row],[DaysOff]]-Games[[#This Row],[OppDaysOff]]</f>
        <v>-1</v>
      </c>
      <c r="L52" s="2">
        <f>Games[[#This Row],[OppDaysOff]]-Games[[#This Row],[DaysOff]]</f>
        <v>1</v>
      </c>
      <c r="M52" s="1">
        <f>MAX(-16, MIN(16, Games[[#This Row],[RestDiff]]*8))</f>
        <v>-8</v>
      </c>
      <c r="N52" s="1">
        <f>MAX(-16, MIN(16, Games[[#This Row],[OppRestDiff]]*8))</f>
        <v>8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1487.1069818691763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1533.2338842729787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0.30128756935988038</v>
      </c>
      <c r="R52" s="1">
        <v>56</v>
      </c>
      <c r="S52" s="1">
        <v>74</v>
      </c>
      <c r="T52" s="1">
        <v>0</v>
      </c>
      <c r="U52" s="1">
        <f>Games[[#This Row],[PointsFor]]-Games[[#This Row],[PointsAgainst]]</f>
        <v>-18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0.52659220925714856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75.099999999999994</v>
      </c>
      <c r="Z52" s="4">
        <f>Games[[#This Row],[K]]*Games[[#This Row],[POMult]]</f>
        <v>75.099999999999994</v>
      </c>
      <c r="AA52" s="4">
        <f>(Games[[#This Row],[Keff]]*Games[[#This Row],[MOVMult]])*(Games[[#This Row],[Result]]-Games[[#This Row],[ExpectedWin%]])</f>
        <v>-11.915042076497276</v>
      </c>
      <c r="AB52" s="4">
        <f>Games[[#This Row],[PreGmRate]]+Games[[#This Row],[RatingChange]]</f>
        <v>1475.191939792679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35618</v>
      </c>
      <c r="B53" s="2">
        <v>1997</v>
      </c>
      <c r="C53" s="2">
        <f>COUNTIFS(Games[Team],Games[[#This Row],[Team]],Games[Season],Games[[#This Row],[Season]],Games[Date],"&lt;=" &amp; Games[[#This Row],[Date]])</f>
        <v>8</v>
      </c>
      <c r="D53" s="2" t="s">
        <v>23</v>
      </c>
      <c r="E53" s="2" t="s">
        <v>29</v>
      </c>
      <c r="F53" s="1" t="s">
        <v>2</v>
      </c>
      <c r="G53" s="1" t="s">
        <v>64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" s="2">
        <f>Games[[#This Row],[DaysOff]]-Games[[#This Row],[OppDaysOff]]</f>
        <v>1</v>
      </c>
      <c r="L53" s="2">
        <f>Games[[#This Row],[OppDaysOff]]-Games[[#This Row],[DaysOff]]</f>
        <v>-1</v>
      </c>
      <c r="M53" s="1">
        <f>MAX(-16, MIN(16, Games[[#This Row],[RestDiff]]*8))</f>
        <v>8</v>
      </c>
      <c r="N53" s="1">
        <f>MAX(-16, MIN(16, Games[[#This Row],[OppRestDiff]]*8))</f>
        <v>-8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1533.2338842729787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1487.1069818691763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0.69871243064011956</v>
      </c>
      <c r="R53" s="1">
        <v>74</v>
      </c>
      <c r="S53" s="1">
        <v>56</v>
      </c>
      <c r="T53" s="1">
        <v>0</v>
      </c>
      <c r="U53" s="1">
        <f>Games[[#This Row],[PointsFor]]-Games[[#This Row],[PointsAgainst]]</f>
        <v>18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0.52659220925714856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74.8</v>
      </c>
      <c r="Z53" s="4">
        <f>Games[[#This Row],[K]]*Games[[#This Row],[POMult]]</f>
        <v>74.8</v>
      </c>
      <c r="AA53" s="4">
        <f>(Games[[#This Row],[Keff]]*Games[[#This Row],[MOVMult]])*(Games[[#This Row],[Result]]-Games[[#This Row],[ExpectedWin%]])</f>
        <v>11.867445370465999</v>
      </c>
      <c r="AB53" s="4">
        <f>Games[[#This Row],[PreGmRate]]+Games[[#This Row],[RatingChange]]</f>
        <v>1545.1013296434446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35618</v>
      </c>
      <c r="B54" s="2">
        <v>1997</v>
      </c>
      <c r="C54" s="2">
        <f>COUNTIFS(Games[Team],Games[[#This Row],[Team]],Games[Season],Games[[#This Row],[Season]],Games[Date],"&lt;=" &amp; Games[[#This Row],[Date]])</f>
        <v>7</v>
      </c>
      <c r="D54" s="2" t="s">
        <v>23</v>
      </c>
      <c r="E54" s="2" t="s">
        <v>29</v>
      </c>
      <c r="F54" s="1" t="s">
        <v>1</v>
      </c>
      <c r="G54" s="1" t="s">
        <v>71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0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-1</v>
      </c>
      <c r="L54" s="2">
        <f>Games[[#This Row],[OppDaysOff]]-Games[[#This Row],[DaysOff]]</f>
        <v>1</v>
      </c>
      <c r="M54" s="1">
        <f>MAX(-16, MIN(16, Games[[#This Row],[RestDiff]]*8))</f>
        <v>-8</v>
      </c>
      <c r="N54" s="1">
        <f>MAX(-16, MIN(16, Games[[#This Row],[OppRestDiff]]*8))</f>
        <v>8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1429.0703228578893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1500.7077227248706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0.27130249279484037</v>
      </c>
      <c r="R54" s="1">
        <v>81</v>
      </c>
      <c r="S54" s="1">
        <v>70</v>
      </c>
      <c r="T54" s="1">
        <v>0</v>
      </c>
      <c r="U54" s="1">
        <f>Games[[#This Row],[PointsFor]]-Games[[#This Row],[PointsAgainst]]</f>
        <v>11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0.41505791223533389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74.95</v>
      </c>
      <c r="Z54" s="4">
        <f>Games[[#This Row],[K]]*Games[[#This Row],[POMult]]</f>
        <v>74.95</v>
      </c>
      <c r="AA54" s="4">
        <f>(Games[[#This Row],[Keff]]*Games[[#This Row],[MOVMult]])*(Games[[#This Row],[Result]]-Games[[#This Row],[ExpectedWin%]])</f>
        <v>22.668752366075346</v>
      </c>
      <c r="AB54" s="4">
        <f>Games[[#This Row],[PreGmRate]]+Games[[#This Row],[RatingChange]]</f>
        <v>1451.7390752239646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35618</v>
      </c>
      <c r="B55" s="2">
        <v>1997</v>
      </c>
      <c r="C55" s="2">
        <f>COUNTIFS(Games[Team],Games[[#This Row],[Team]],Games[Season],Games[[#This Row],[Season]],Games[Date],"&lt;=" &amp; Games[[#This Row],[Date]])</f>
        <v>8</v>
      </c>
      <c r="D55" s="2" t="s">
        <v>23</v>
      </c>
      <c r="E55" s="2" t="s">
        <v>29</v>
      </c>
      <c r="F55" s="1" t="s">
        <v>71</v>
      </c>
      <c r="G55" s="1" t="s">
        <v>1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5" s="2">
        <f>Games[[#This Row],[DaysOff]]-Games[[#This Row],[OppDaysOff]]</f>
        <v>1</v>
      </c>
      <c r="L55" s="2">
        <f>Games[[#This Row],[OppDaysOff]]-Games[[#This Row],[DaysOff]]</f>
        <v>-1</v>
      </c>
      <c r="M55" s="1">
        <f>MAX(-16, MIN(16, Games[[#This Row],[RestDiff]]*8))</f>
        <v>8</v>
      </c>
      <c r="N55" s="1">
        <f>MAX(-16, MIN(16, Games[[#This Row],[OppRestDiff]]*8))</f>
        <v>-8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1500.7077227248706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1429.0703228578893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0.72869750720515969</v>
      </c>
      <c r="R55" s="1">
        <v>70</v>
      </c>
      <c r="S55" s="1">
        <v>81</v>
      </c>
      <c r="T55" s="1">
        <v>0</v>
      </c>
      <c r="U55" s="1">
        <f>Games[[#This Row],[PointsFor]]-Games[[#This Row],[PointsAgainst]]</f>
        <v>-11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0.41505791223533389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74.8</v>
      </c>
      <c r="Z55" s="4">
        <f>Games[[#This Row],[K]]*Games[[#This Row],[POMult]]</f>
        <v>74.8</v>
      </c>
      <c r="AA55" s="4">
        <f>(Games[[#This Row],[Keff]]*Games[[#This Row],[MOVMult]])*(Games[[#This Row],[Result]]-Games[[#This Row],[ExpectedWin%]])</f>
        <v>-22.623384616176597</v>
      </c>
      <c r="AB55" s="4">
        <f>Games[[#This Row],[PreGmRate]]+Games[[#This Row],[RatingChange]]</f>
        <v>1478.0843381086941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35618</v>
      </c>
      <c r="B56" s="2">
        <v>1997</v>
      </c>
      <c r="C56" s="2">
        <f>COUNTIFS(Games[Team],Games[[#This Row],[Team]],Games[Season],Games[[#This Row],[Season]],Games[Date],"&lt;=" &amp; Games[[#This Row],[Date]])</f>
        <v>8</v>
      </c>
      <c r="D56" s="2" t="s">
        <v>23</v>
      </c>
      <c r="E56" s="2" t="s">
        <v>29</v>
      </c>
      <c r="F56" s="1" t="s">
        <v>66</v>
      </c>
      <c r="G56" s="1" t="s">
        <v>44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6" s="2">
        <f>Games[[#This Row],[DaysOff]]-Games[[#This Row],[OppDaysOff]]</f>
        <v>-2</v>
      </c>
      <c r="L56" s="2">
        <f>Games[[#This Row],[OppDaysOff]]-Games[[#This Row],[DaysOff]]</f>
        <v>2</v>
      </c>
      <c r="M56" s="1">
        <f>MAX(-16, MIN(16, Games[[#This Row],[RestDiff]]*8))</f>
        <v>-16</v>
      </c>
      <c r="N56" s="1">
        <f>MAX(-16, MIN(16, Games[[#This Row],[OppRestDiff]]*8))</f>
        <v>16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1599.2224937746846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1530.8609547573024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0.43186917153875931</v>
      </c>
      <c r="R56" s="1">
        <v>50</v>
      </c>
      <c r="S56" s="1">
        <v>69</v>
      </c>
      <c r="T56" s="1">
        <v>0</v>
      </c>
      <c r="U56" s="1">
        <f>Games[[#This Row],[PointsFor]]-Games[[#This Row],[PointsAgainst]]</f>
        <v>-19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0.53074227383876404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74.8</v>
      </c>
      <c r="Z56" s="4">
        <f>Games[[#This Row],[K]]*Games[[#This Row],[POMult]]</f>
        <v>74.8</v>
      </c>
      <c r="AA56" s="4">
        <f>(Games[[#This Row],[Keff]]*Games[[#This Row],[MOVMult]])*(Games[[#This Row],[Result]]-Games[[#This Row],[ExpectedWin%]])</f>
        <v>-17.144999712530158</v>
      </c>
      <c r="AB56" s="4">
        <f>Games[[#This Row],[PreGmRate]]+Games[[#This Row],[RatingChange]]</f>
        <v>1582.0774940621545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35618</v>
      </c>
      <c r="B57" s="2">
        <v>1997</v>
      </c>
      <c r="C57" s="2">
        <f>COUNTIFS(Games[Team],Games[[#This Row],[Team]],Games[Season],Games[[#This Row],[Season]],Games[Date],"&lt;=" &amp; Games[[#This Row],[Date]])</f>
        <v>6</v>
      </c>
      <c r="D57" s="2" t="s">
        <v>23</v>
      </c>
      <c r="E57" s="2" t="s">
        <v>29</v>
      </c>
      <c r="F57" s="1" t="s">
        <v>44</v>
      </c>
      <c r="G57" s="1" t="s">
        <v>66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3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" s="2">
        <f>Games[[#This Row],[DaysOff]]-Games[[#This Row],[OppDaysOff]]</f>
        <v>2</v>
      </c>
      <c r="L57" s="2">
        <f>Games[[#This Row],[OppDaysOff]]-Games[[#This Row],[DaysOff]]</f>
        <v>-2</v>
      </c>
      <c r="M57" s="1">
        <f>MAX(-16, MIN(16, Games[[#This Row],[RestDiff]]*8))</f>
        <v>16</v>
      </c>
      <c r="N57" s="1">
        <f>MAX(-16, MIN(16, Games[[#This Row],[OppRestDiff]]*8))</f>
        <v>-16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1530.8609547573024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1599.2224937746846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0.56813082846124074</v>
      </c>
      <c r="R57" s="1">
        <v>69</v>
      </c>
      <c r="S57" s="1">
        <v>50</v>
      </c>
      <c r="T57" s="1">
        <v>0</v>
      </c>
      <c r="U57" s="1">
        <f>Games[[#This Row],[PointsFor]]-Games[[#This Row],[PointsAgainst]]</f>
        <v>19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0.53074227383876404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75.099999999999994</v>
      </c>
      <c r="Z57" s="4">
        <f>Games[[#This Row],[K]]*Games[[#This Row],[POMult]]</f>
        <v>75.099999999999994</v>
      </c>
      <c r="AA57" s="4">
        <f>(Games[[#This Row],[Keff]]*Games[[#This Row],[MOVMult]])*(Games[[#This Row],[Result]]-Games[[#This Row],[ExpectedWin%]])</f>
        <v>17.213763080361158</v>
      </c>
      <c r="AB57" s="4">
        <f>Games[[#This Row],[PreGmRate]]+Games[[#This Row],[RatingChange]]</f>
        <v>1548.0747178376635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35618</v>
      </c>
      <c r="B58" s="2">
        <v>1997</v>
      </c>
      <c r="C58" s="2">
        <f>COUNTIFS(Games[Team],Games[[#This Row],[Team]],Games[Season],Games[[#This Row],[Season]],Games[Date],"&lt;=" &amp; Games[[#This Row],[Date]])</f>
        <v>7</v>
      </c>
      <c r="D58" s="2" t="s">
        <v>23</v>
      </c>
      <c r="E58" s="2" t="s">
        <v>29</v>
      </c>
      <c r="F58" s="1" t="s">
        <v>45</v>
      </c>
      <c r="G58" s="1" t="s">
        <v>43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" s="2">
        <f>Games[[#This Row],[DaysOff]]-Games[[#This Row],[OppDaysOff]]</f>
        <v>-1</v>
      </c>
      <c r="L58" s="2">
        <f>Games[[#This Row],[OppDaysOff]]-Games[[#This Row],[DaysOff]]</f>
        <v>1</v>
      </c>
      <c r="M58" s="1">
        <f>MAX(-16, MIN(16, Games[[#This Row],[RestDiff]]*8))</f>
        <v>-8</v>
      </c>
      <c r="N58" s="1">
        <f>MAX(-16, MIN(16, Games[[#This Row],[OppRestDiff]]*8))</f>
        <v>8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1482.7266740384939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1437.1678640043981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0.42228781647548719</v>
      </c>
      <c r="R58" s="1">
        <v>79</v>
      </c>
      <c r="S58" s="1">
        <v>69</v>
      </c>
      <c r="T58" s="1">
        <v>0</v>
      </c>
      <c r="U58" s="1">
        <f>Games[[#This Row],[PointsFor]]-Games[[#This Row],[PointsAgainst]]</f>
        <v>10</v>
      </c>
      <c r="V58" s="1">
        <f>IF(Games[[#This Row],[MOV]]&gt;0,1,IF(Games[[#This Row],[MOV]]=0,0.5,0))</f>
        <v>1</v>
      </c>
      <c r="W58" s="4">
        <f>((ABS(Games[[#This Row],[MOV]])+5)^0.6)/(12+0.01*(ABS(Games[[#This Row],[PreGmRate]]-Games[[#This Row],[OppPreGmRate]])))*IF(Games[[#This Row],[OT]]=1,0.9,1)</f>
        <v>0.40765288247195769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74.95</v>
      </c>
      <c r="Z58" s="4">
        <f>Games[[#This Row],[K]]*Games[[#This Row],[POMult]]</f>
        <v>74.95</v>
      </c>
      <c r="AA58" s="4">
        <f>(Games[[#This Row],[Keff]]*Games[[#This Row],[MOVMult]])*(Games[[#This Row],[Result]]-Games[[#This Row],[ExpectedWin%]])</f>
        <v>17.651177462127574</v>
      </c>
      <c r="AB58" s="4">
        <f>Games[[#This Row],[PreGmRate]]+Games[[#This Row],[RatingChange]]</f>
        <v>1500.3778515006215</v>
      </c>
      <c r="AC58" s="2">
        <f>IF(Games[[#This Row],[Type]]="R",IF(Games[[#This Row],[Result]]&gt;0.5,1,0),0)</f>
        <v>1</v>
      </c>
      <c r="AD58" s="2">
        <f>IF(Games[[#This Row],[Type]]="R",IF(Games[[#This Row],[Result]]&lt;0.5,1,0),0)</f>
        <v>0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35618</v>
      </c>
      <c r="B59" s="2">
        <v>1997</v>
      </c>
      <c r="C59" s="2">
        <f>COUNTIFS(Games[Team],Games[[#This Row],[Team]],Games[Season],Games[[#This Row],[Season]],Games[Date],"&lt;=" &amp; Games[[#This Row],[Date]])</f>
        <v>8</v>
      </c>
      <c r="D59" s="2" t="s">
        <v>23</v>
      </c>
      <c r="E59" s="2" t="s">
        <v>29</v>
      </c>
      <c r="F59" s="1" t="s">
        <v>43</v>
      </c>
      <c r="G59" s="1" t="s">
        <v>45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9" s="2">
        <f>Games[[#This Row],[DaysOff]]-Games[[#This Row],[OppDaysOff]]</f>
        <v>1</v>
      </c>
      <c r="L59" s="2">
        <f>Games[[#This Row],[OppDaysOff]]-Games[[#This Row],[DaysOff]]</f>
        <v>-1</v>
      </c>
      <c r="M59" s="1">
        <f>MAX(-16, MIN(16, Games[[#This Row],[RestDiff]]*8))</f>
        <v>8</v>
      </c>
      <c r="N59" s="1">
        <f>MAX(-16, MIN(16, Games[[#This Row],[OppRestDiff]]*8))</f>
        <v>-8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1437.1678640043981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1482.7266740384939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0.57771218352451281</v>
      </c>
      <c r="R59" s="1">
        <v>69</v>
      </c>
      <c r="S59" s="1">
        <v>79</v>
      </c>
      <c r="T59" s="1">
        <v>0</v>
      </c>
      <c r="U59" s="1">
        <f>Games[[#This Row],[PointsFor]]-Games[[#This Row],[PointsAgainst]]</f>
        <v>-10</v>
      </c>
      <c r="V59" s="1">
        <f>IF(Games[[#This Row],[MOV]]&gt;0,1,IF(Games[[#This Row],[MOV]]=0,0.5,0))</f>
        <v>0</v>
      </c>
      <c r="W59" s="4">
        <f>((ABS(Games[[#This Row],[MOV]])+5)^0.6)/(12+0.01*(ABS(Games[[#This Row],[PreGmRate]]-Games[[#This Row],[OppPreGmRate]])))*IF(Games[[#This Row],[OT]]=1,0.9,1)</f>
        <v>0.40765288247195769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74.8</v>
      </c>
      <c r="Z59" s="4">
        <f>Games[[#This Row],[K]]*Games[[#This Row],[POMult]]</f>
        <v>74.8</v>
      </c>
      <c r="AA59" s="4">
        <f>(Games[[#This Row],[Keff]]*Games[[#This Row],[MOVMult]])*(Games[[#This Row],[Result]]-Games[[#This Row],[ExpectedWin%]])</f>
        <v>-17.615851556599633</v>
      </c>
      <c r="AB59" s="4">
        <f>Games[[#This Row],[PreGmRate]]+Games[[#This Row],[RatingChange]]</f>
        <v>1419.5520124477985</v>
      </c>
      <c r="AC59" s="2">
        <f>IF(Games[[#This Row],[Type]]="R",IF(Games[[#This Row],[Result]]&gt;0.5,1,0),0)</f>
        <v>0</v>
      </c>
      <c r="AD59" s="2">
        <f>IF(Games[[#This Row],[Type]]="R",IF(Games[[#This Row],[Result]]&lt;0.5,1,0),0)</f>
        <v>1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35620</v>
      </c>
      <c r="B60" s="2">
        <v>1997</v>
      </c>
      <c r="C60" s="2">
        <f>COUNTIFS(Games[Team],Games[[#This Row],[Team]],Games[Season],Games[[#This Row],[Season]],Games[Date],"&lt;=" &amp; Games[[#This Row],[Date]])</f>
        <v>9</v>
      </c>
      <c r="D60" s="2" t="s">
        <v>23</v>
      </c>
      <c r="E60" s="2" t="s">
        <v>29</v>
      </c>
      <c r="F60" s="1" t="s">
        <v>66</v>
      </c>
      <c r="G60" s="1" t="s">
        <v>64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" s="2">
        <f>Games[[#This Row],[DaysOff]]-Games[[#This Row],[OppDaysOff]]</f>
        <v>0</v>
      </c>
      <c r="L60" s="2">
        <f>Games[[#This Row],[OppDaysOff]]-Games[[#This Row],[DaysOff]]</f>
        <v>0</v>
      </c>
      <c r="M60" s="1">
        <f>MAX(-16, MIN(16, Games[[#This Row],[RestDiff]]*8))</f>
        <v>0</v>
      </c>
      <c r="N60" s="1">
        <f>MAX(-16, MIN(16, Games[[#This Row],[OppRestDiff]]*8))</f>
        <v>0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1582.0774940621545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1475.191939792679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0.53288740934646106</v>
      </c>
      <c r="R60" s="1">
        <v>69</v>
      </c>
      <c r="S60" s="1">
        <v>87</v>
      </c>
      <c r="T60" s="1">
        <v>0</v>
      </c>
      <c r="U60" s="1">
        <f>Games[[#This Row],[PointsFor]]-Games[[#This Row],[PointsAgainst]]</f>
        <v>-18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0.50211031593993649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74.650000000000006</v>
      </c>
      <c r="Z60" s="4">
        <f>Games[[#This Row],[K]]*Games[[#This Row],[POMult]]</f>
        <v>74.650000000000006</v>
      </c>
      <c r="AA60" s="4">
        <f>(Games[[#This Row],[Keff]]*Games[[#This Row],[MOVMult]])*(Games[[#This Row],[Result]]-Games[[#This Row],[ExpectedWin%]])</f>
        <v>-19.973971017138862</v>
      </c>
      <c r="AB60" s="4">
        <f>Games[[#This Row],[PreGmRate]]+Games[[#This Row],[RatingChange]]</f>
        <v>1562.1035230450157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35620</v>
      </c>
      <c r="B61" s="2">
        <v>1997</v>
      </c>
      <c r="C61" s="2">
        <f>COUNTIFS(Games[Team],Games[[#This Row],[Team]],Games[Season],Games[[#This Row],[Season]],Games[Date],"&lt;=" &amp; Games[[#This Row],[Date]])</f>
        <v>7</v>
      </c>
      <c r="D61" s="2" t="s">
        <v>23</v>
      </c>
      <c r="E61" s="2" t="s">
        <v>29</v>
      </c>
      <c r="F61" s="1" t="s">
        <v>64</v>
      </c>
      <c r="G61" s="1" t="s">
        <v>66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0</v>
      </c>
      <c r="L61" s="2">
        <f>Games[[#This Row],[OppDaysOff]]-Games[[#This Row],[DaysOff]]</f>
        <v>0</v>
      </c>
      <c r="M61" s="1">
        <f>MAX(-16, MIN(16, Games[[#This Row],[RestDiff]]*8))</f>
        <v>0</v>
      </c>
      <c r="N61" s="1">
        <f>MAX(-16, MIN(16, Games[[#This Row],[OppRestDiff]]*8))</f>
        <v>0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1475.191939792679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1582.0774940621545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0.46711259065353899</v>
      </c>
      <c r="R61" s="1">
        <v>87</v>
      </c>
      <c r="S61" s="1">
        <v>69</v>
      </c>
      <c r="T61" s="1">
        <v>0</v>
      </c>
      <c r="U61" s="1">
        <f>Games[[#This Row],[PointsFor]]-Games[[#This Row],[PointsAgainst]]</f>
        <v>18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0.50211031593993649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74.95</v>
      </c>
      <c r="Z61" s="4">
        <f>Games[[#This Row],[K]]*Games[[#This Row],[POMult]]</f>
        <v>74.95</v>
      </c>
      <c r="AA61" s="4">
        <f>(Games[[#This Row],[Keff]]*Games[[#This Row],[MOVMult]])*(Games[[#This Row],[Result]]-Games[[#This Row],[ExpectedWin%]])</f>
        <v>20.054241496779067</v>
      </c>
      <c r="AB61" s="4">
        <f>Games[[#This Row],[PreGmRate]]+Games[[#This Row],[RatingChange]]</f>
        <v>1495.246181289458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35620</v>
      </c>
      <c r="B62" s="2">
        <v>1997</v>
      </c>
      <c r="C62" s="2">
        <f>COUNTIFS(Games[Team],Games[[#This Row],[Team]],Games[Season],Games[[#This Row],[Season]],Games[Date],"&lt;=" &amp; Games[[#This Row],[Date]])</f>
        <v>9</v>
      </c>
      <c r="D62" s="2" t="s">
        <v>23</v>
      </c>
      <c r="E62" s="2" t="s">
        <v>29</v>
      </c>
      <c r="F62" s="1" t="s">
        <v>2</v>
      </c>
      <c r="G62" s="1" t="s">
        <v>44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0</v>
      </c>
      <c r="L62" s="2">
        <f>Games[[#This Row],[OppDaysOff]]-Games[[#This Row],[DaysOff]]</f>
        <v>0</v>
      </c>
      <c r="M62" s="1">
        <f>MAX(-16, MIN(16, Games[[#This Row],[RestDiff]]*8))</f>
        <v>0</v>
      </c>
      <c r="N62" s="1">
        <f>MAX(-16, MIN(16, Games[[#This Row],[OppRestDiff]]*8))</f>
        <v>0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1545.1013296434446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1548.0747178376635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0.37738579791000887</v>
      </c>
      <c r="R62" s="1">
        <v>64</v>
      </c>
      <c r="S62" s="1">
        <v>69</v>
      </c>
      <c r="T62" s="1">
        <v>0</v>
      </c>
      <c r="U62" s="1">
        <f>Games[[#This Row],[PointsFor]]-Games[[#This Row],[PointsAgainst]]</f>
        <v>-5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0.33093597452816076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74.650000000000006</v>
      </c>
      <c r="Z62" s="4">
        <f>Games[[#This Row],[K]]*Games[[#This Row],[POMult]]</f>
        <v>74.650000000000006</v>
      </c>
      <c r="AA62" s="4">
        <f>(Games[[#This Row],[Keff]]*Games[[#This Row],[MOVMult]])*(Games[[#This Row],[Result]]-Games[[#This Row],[ExpectedWin%]])</f>
        <v>-9.3230785724511716</v>
      </c>
      <c r="AB62" s="4">
        <f>Games[[#This Row],[PreGmRate]]+Games[[#This Row],[RatingChange]]</f>
        <v>1535.7782510709935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35620</v>
      </c>
      <c r="B63" s="2">
        <v>1997</v>
      </c>
      <c r="C63" s="2">
        <f>COUNTIFS(Games[Team],Games[[#This Row],[Team]],Games[Season],Games[[#This Row],[Season]],Games[Date],"&lt;=" &amp; Games[[#This Row],[Date]])</f>
        <v>7</v>
      </c>
      <c r="D63" s="2" t="s">
        <v>23</v>
      </c>
      <c r="E63" s="2" t="s">
        <v>29</v>
      </c>
      <c r="F63" s="1" t="s">
        <v>44</v>
      </c>
      <c r="G63" s="1" t="s">
        <v>2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0</v>
      </c>
      <c r="L63" s="2">
        <f>Games[[#This Row],[OppDaysOff]]-Games[[#This Row],[DaysOff]]</f>
        <v>0</v>
      </c>
      <c r="M63" s="1">
        <f>MAX(-16, MIN(16, Games[[#This Row],[RestDiff]]*8))</f>
        <v>0</v>
      </c>
      <c r="N63" s="1">
        <f>MAX(-16, MIN(16, Games[[#This Row],[OppRestDiff]]*8))</f>
        <v>0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1548.0747178376635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1545.1013296434446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0.62261420208999119</v>
      </c>
      <c r="R63" s="1">
        <v>69</v>
      </c>
      <c r="S63" s="1">
        <v>64</v>
      </c>
      <c r="T63" s="1">
        <v>0</v>
      </c>
      <c r="U63" s="1">
        <f>Games[[#This Row],[PointsFor]]-Games[[#This Row],[PointsAgainst]]</f>
        <v>5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0.33093597452816076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74.95</v>
      </c>
      <c r="Z63" s="4">
        <f>Games[[#This Row],[K]]*Games[[#This Row],[POMult]]</f>
        <v>74.95</v>
      </c>
      <c r="AA63" s="4">
        <f>(Games[[#This Row],[Keff]]*Games[[#This Row],[MOVMult]])*(Games[[#This Row],[Result]]-Games[[#This Row],[ExpectedWin%]])</f>
        <v>9.3605457334925006</v>
      </c>
      <c r="AB63" s="4">
        <f>Games[[#This Row],[PreGmRate]]+Games[[#This Row],[RatingChange]]</f>
        <v>1557.4352635711559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35621</v>
      </c>
      <c r="B64" s="2">
        <v>1997</v>
      </c>
      <c r="C64" s="2">
        <f>COUNTIFS(Games[Team],Games[[#This Row],[Team]],Games[Season],Games[[#This Row],[Season]],Games[Date],"&lt;=" &amp; Games[[#This Row],[Date]])</f>
        <v>8</v>
      </c>
      <c r="D64" s="2" t="s">
        <v>23</v>
      </c>
      <c r="E64" s="2" t="s">
        <v>29</v>
      </c>
      <c r="F64" s="1" t="s">
        <v>45</v>
      </c>
      <c r="G64" s="1" t="s">
        <v>1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4" s="2">
        <f>Games[[#This Row],[DaysOff]]-Games[[#This Row],[OppDaysOff]]</f>
        <v>0</v>
      </c>
      <c r="L64" s="2">
        <f>Games[[#This Row],[OppDaysOff]]-Games[[#This Row],[DaysOff]]</f>
        <v>0</v>
      </c>
      <c r="M64" s="1">
        <f>MAX(-16, MIN(16, Games[[#This Row],[RestDiff]]*8))</f>
        <v>0</v>
      </c>
      <c r="N64" s="1">
        <f>MAX(-16, MIN(16, Games[[#This Row],[OppRestDiff]]*8))</f>
        <v>0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1500.3778515006215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1451.7390752239646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0.44928609787950397</v>
      </c>
      <c r="R64" s="1">
        <v>61</v>
      </c>
      <c r="S64" s="1">
        <v>77</v>
      </c>
      <c r="T64" s="1">
        <v>0</v>
      </c>
      <c r="U64" s="1">
        <f>Games[[#This Row],[PointsFor]]-Games[[#This Row],[PointsAgainst]]</f>
        <v>-16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0.497616484880336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74.8</v>
      </c>
      <c r="Z64" s="4">
        <f>Games[[#This Row],[K]]*Games[[#This Row],[POMult]]</f>
        <v>74.8</v>
      </c>
      <c r="AA64" s="4">
        <f>(Games[[#This Row],[Keff]]*Games[[#This Row],[MOVMult]])*(Games[[#This Row],[Result]]-Games[[#This Row],[ExpectedWin%]])</f>
        <v>-16.723198221183619</v>
      </c>
      <c r="AB64" s="4">
        <f>Games[[#This Row],[PreGmRate]]+Games[[#This Row],[RatingChange]]</f>
        <v>1483.654653279438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35621</v>
      </c>
      <c r="B65" s="2">
        <v>1997</v>
      </c>
      <c r="C65" s="2">
        <f>COUNTIFS(Games[Team],Games[[#This Row],[Team]],Games[Season],Games[[#This Row],[Season]],Games[Date],"&lt;=" &amp; Games[[#This Row],[Date]])</f>
        <v>8</v>
      </c>
      <c r="D65" s="2" t="s">
        <v>23</v>
      </c>
      <c r="E65" s="2" t="s">
        <v>29</v>
      </c>
      <c r="F65" s="1" t="s">
        <v>1</v>
      </c>
      <c r="G65" s="1" t="s">
        <v>45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5" s="2">
        <f>Games[[#This Row],[DaysOff]]-Games[[#This Row],[OppDaysOff]]</f>
        <v>0</v>
      </c>
      <c r="L65" s="2">
        <f>Games[[#This Row],[OppDaysOff]]-Games[[#This Row],[DaysOff]]</f>
        <v>0</v>
      </c>
      <c r="M65" s="1">
        <f>MAX(-16, MIN(16, Games[[#This Row],[RestDiff]]*8))</f>
        <v>0</v>
      </c>
      <c r="N65" s="1">
        <f>MAX(-16, MIN(16, Games[[#This Row],[OppRestDiff]]*8))</f>
        <v>0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1451.7390752239646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1500.3778515006215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0.55071390212049598</v>
      </c>
      <c r="R65" s="1">
        <v>77</v>
      </c>
      <c r="S65" s="1">
        <v>61</v>
      </c>
      <c r="T65" s="1">
        <v>0</v>
      </c>
      <c r="U65" s="1">
        <f>Games[[#This Row],[PointsFor]]-Games[[#This Row],[PointsAgainst]]</f>
        <v>16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0.497616484880336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74.8</v>
      </c>
      <c r="Z65" s="4">
        <f>Games[[#This Row],[K]]*Games[[#This Row],[POMult]]</f>
        <v>74.8</v>
      </c>
      <c r="AA65" s="4">
        <f>(Games[[#This Row],[Keff]]*Games[[#This Row],[MOVMult]])*(Games[[#This Row],[Result]]-Games[[#This Row],[ExpectedWin%]])</f>
        <v>16.723198221183623</v>
      </c>
      <c r="AB65" s="4">
        <f>Games[[#This Row],[PreGmRate]]+Games[[#This Row],[RatingChange]]</f>
        <v>1468.4622734451482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35621</v>
      </c>
      <c r="B66" s="2">
        <v>1997</v>
      </c>
      <c r="C66" s="2">
        <f>COUNTIFS(Games[Team],Games[[#This Row],[Team]],Games[Season],Games[[#This Row],[Season]],Games[Date],"&lt;=" &amp; Games[[#This Row],[Date]])</f>
        <v>8</v>
      </c>
      <c r="D66" s="2" t="s">
        <v>23</v>
      </c>
      <c r="E66" s="2" t="s">
        <v>29</v>
      </c>
      <c r="F66" s="1" t="s">
        <v>64</v>
      </c>
      <c r="G66" s="1" t="s">
        <v>66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6" s="2">
        <f>Games[[#This Row],[DaysOff]]-Games[[#This Row],[OppDaysOff]]</f>
        <v>0</v>
      </c>
      <c r="L66" s="2">
        <f>Games[[#This Row],[OppDaysOff]]-Games[[#This Row],[DaysOff]]</f>
        <v>0</v>
      </c>
      <c r="M66" s="1">
        <f>MAX(-16, MIN(16, Games[[#This Row],[RestDiff]]*8))</f>
        <v>0</v>
      </c>
      <c r="N66" s="1">
        <f>MAX(-16, MIN(16, Games[[#This Row],[OppRestDiff]]*8))</f>
        <v>0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1495.246181289458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1562.1035230450157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0.29558636627192358</v>
      </c>
      <c r="R66" s="1">
        <v>48</v>
      </c>
      <c r="S66" s="1">
        <v>62</v>
      </c>
      <c r="T66" s="1">
        <v>0</v>
      </c>
      <c r="U66" s="1">
        <f>Games[[#This Row],[PointsFor]]-Games[[#This Row],[PointsAgainst]]</f>
        <v>-14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0.46187499172564556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74.8</v>
      </c>
      <c r="Z66" s="4">
        <f>Games[[#This Row],[K]]*Games[[#This Row],[POMult]]</f>
        <v>74.8</v>
      </c>
      <c r="AA66" s="4">
        <f>(Games[[#This Row],[Keff]]*Games[[#This Row],[MOVMult]])*(Games[[#This Row],[Result]]-Games[[#This Row],[ExpectedWin%]])</f>
        <v>-10.211991495609164</v>
      </c>
      <c r="AB66" s="4">
        <f>Games[[#This Row],[PreGmRate]]+Games[[#This Row],[RatingChange]]</f>
        <v>1485.0341897938488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35621</v>
      </c>
      <c r="B67" s="2">
        <v>1997</v>
      </c>
      <c r="C67" s="2">
        <f>COUNTIFS(Games[Team],Games[[#This Row],[Team]],Games[Season],Games[[#This Row],[Season]],Games[Date],"&lt;=" &amp; Games[[#This Row],[Date]])</f>
        <v>10</v>
      </c>
      <c r="D67" s="2" t="s">
        <v>23</v>
      </c>
      <c r="E67" s="2" t="s">
        <v>29</v>
      </c>
      <c r="F67" s="1" t="s">
        <v>66</v>
      </c>
      <c r="G67" s="1" t="s">
        <v>64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0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7" s="2">
        <f>Games[[#This Row],[DaysOff]]-Games[[#This Row],[OppDaysOff]]</f>
        <v>0</v>
      </c>
      <c r="L67" s="2">
        <f>Games[[#This Row],[OppDaysOff]]-Games[[#This Row],[DaysOff]]</f>
        <v>0</v>
      </c>
      <c r="M67" s="1">
        <f>MAX(-16, MIN(16, Games[[#This Row],[RestDiff]]*8))</f>
        <v>0</v>
      </c>
      <c r="N67" s="1">
        <f>MAX(-16, MIN(16, Games[[#This Row],[OppRestDiff]]*8))</f>
        <v>0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1562.1035230450157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1495.246181289458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0.70441363372807642</v>
      </c>
      <c r="R67" s="1">
        <v>62</v>
      </c>
      <c r="S67" s="1">
        <v>48</v>
      </c>
      <c r="T67" s="1">
        <v>0</v>
      </c>
      <c r="U67" s="1">
        <f>Games[[#This Row],[PointsFor]]-Games[[#This Row],[PointsAgainst]]</f>
        <v>14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0.46187499172564556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74.5</v>
      </c>
      <c r="Z67" s="4">
        <f>Games[[#This Row],[K]]*Games[[#This Row],[POMult]]</f>
        <v>74.5</v>
      </c>
      <c r="AA67" s="4">
        <f>(Games[[#This Row],[Keff]]*Games[[#This Row],[MOVMult]])*(Games[[#This Row],[Result]]-Games[[#This Row],[ExpectedWin%]])</f>
        <v>10.171034310466347</v>
      </c>
      <c r="AB67" s="4">
        <f>Games[[#This Row],[PreGmRate]]+Games[[#This Row],[RatingChange]]</f>
        <v>1572.2745573554821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35622</v>
      </c>
      <c r="B68" s="2">
        <v>1997</v>
      </c>
      <c r="C68" s="2">
        <f>COUNTIFS(Games[Team],Games[[#This Row],[Team]],Games[Season],Games[[#This Row],[Season]],Games[Date],"&lt;=" &amp; Games[[#This Row],[Date]])</f>
        <v>9</v>
      </c>
      <c r="D68" s="2" t="s">
        <v>23</v>
      </c>
      <c r="E68" s="2" t="s">
        <v>29</v>
      </c>
      <c r="F68" s="1" t="s">
        <v>43</v>
      </c>
      <c r="G68" s="1" t="s">
        <v>71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1419.5520124477985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1478.0843381086941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0.30566134982708748</v>
      </c>
      <c r="R68" s="1">
        <v>68</v>
      </c>
      <c r="S68" s="1">
        <v>75</v>
      </c>
      <c r="T68" s="1">
        <v>0</v>
      </c>
      <c r="U68" s="1">
        <f>Games[[#This Row],[PointsFor]]-Games[[#This Row],[PointsAgainst]]</f>
        <v>-7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0.35289407981742377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74.650000000000006</v>
      </c>
      <c r="Z68" s="4">
        <f>Games[[#This Row],[K]]*Games[[#This Row],[POMult]]</f>
        <v>74.650000000000006</v>
      </c>
      <c r="AA68" s="4">
        <f>(Games[[#This Row],[Keff]]*Games[[#This Row],[MOVMult]])*(Games[[#This Row],[Result]]-Games[[#This Row],[ExpectedWin%]])</f>
        <v>-8.0522029304495835</v>
      </c>
      <c r="AB68" s="4">
        <f>Games[[#This Row],[PreGmRate]]+Games[[#This Row],[RatingChange]]</f>
        <v>1411.4998095173489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35622</v>
      </c>
      <c r="B69" s="2">
        <v>1997</v>
      </c>
      <c r="C69" s="2">
        <f>COUNTIFS(Games[Team],Games[[#This Row],[Team]],Games[Season],Games[[#This Row],[Season]],Games[Date],"&lt;=" &amp; Games[[#This Row],[Date]])</f>
        <v>9</v>
      </c>
      <c r="D69" s="2" t="s">
        <v>23</v>
      </c>
      <c r="E69" s="2" t="s">
        <v>29</v>
      </c>
      <c r="F69" s="1" t="s">
        <v>71</v>
      </c>
      <c r="G69" s="1" t="s">
        <v>43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1478.0843381086941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1419.5520124477985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0.69433865017291252</v>
      </c>
      <c r="R69" s="1">
        <v>75</v>
      </c>
      <c r="S69" s="1">
        <v>68</v>
      </c>
      <c r="T69" s="1">
        <v>0</v>
      </c>
      <c r="U69" s="1">
        <f>Games[[#This Row],[PointsFor]]-Games[[#This Row],[PointsAgainst]]</f>
        <v>7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0.35289407981742377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74.650000000000006</v>
      </c>
      <c r="Z69" s="4">
        <f>Games[[#This Row],[K]]*Games[[#This Row],[POMult]]</f>
        <v>74.650000000000006</v>
      </c>
      <c r="AA69" s="4">
        <f>(Games[[#This Row],[Keff]]*Games[[#This Row],[MOVMult]])*(Games[[#This Row],[Result]]-Games[[#This Row],[ExpectedWin%]])</f>
        <v>8.0522029304495835</v>
      </c>
      <c r="AB69" s="4">
        <f>Games[[#This Row],[PreGmRate]]+Games[[#This Row],[RatingChange]]</f>
        <v>1486.1365410391436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35623</v>
      </c>
      <c r="B70" s="2">
        <v>1997</v>
      </c>
      <c r="C70" s="2">
        <f>COUNTIFS(Games[Team],Games[[#This Row],[Team]],Games[Season],Games[[#This Row],[Season]],Games[Date],"&lt;=" &amp; Games[[#This Row],[Date]])</f>
        <v>9</v>
      </c>
      <c r="D70" s="2" t="s">
        <v>23</v>
      </c>
      <c r="E70" s="2" t="s">
        <v>29</v>
      </c>
      <c r="F70" s="1" t="s">
        <v>1</v>
      </c>
      <c r="G70" s="1" t="s">
        <v>64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1468.4622734451482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1485.0341897938488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0.35917688402959297</v>
      </c>
      <c r="R70" s="1">
        <v>43</v>
      </c>
      <c r="S70" s="1">
        <v>72</v>
      </c>
      <c r="T70" s="1">
        <v>0</v>
      </c>
      <c r="U70" s="1">
        <f>Games[[#This Row],[PointsFor]]-Games[[#This Row],[PointsAgainst]]</f>
        <v>-29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0.68194533579495709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74.650000000000006</v>
      </c>
      <c r="Z70" s="4">
        <f>Games[[#This Row],[K]]*Games[[#This Row],[POMult]]</f>
        <v>74.650000000000006</v>
      </c>
      <c r="AA70" s="4">
        <f>(Games[[#This Row],[Keff]]*Games[[#This Row],[MOVMult]])*(Games[[#This Row],[Result]]-Games[[#This Row],[ExpectedWin%]])</f>
        <v>-18.284696408924766</v>
      </c>
      <c r="AB70" s="4">
        <f>Games[[#This Row],[PreGmRate]]+Games[[#This Row],[RatingChange]]</f>
        <v>1450.1775770362235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35623</v>
      </c>
      <c r="B71" s="2">
        <v>1997</v>
      </c>
      <c r="C71" s="2">
        <f>COUNTIFS(Games[Team],Games[[#This Row],[Team]],Games[Season],Games[[#This Row],[Season]],Games[Date],"&lt;=" &amp; Games[[#This Row],[Date]])</f>
        <v>9</v>
      </c>
      <c r="D71" s="2" t="s">
        <v>23</v>
      </c>
      <c r="E71" s="2" t="s">
        <v>29</v>
      </c>
      <c r="F71" s="1" t="s">
        <v>64</v>
      </c>
      <c r="G71" s="1" t="s">
        <v>1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1485.0341897938488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1468.4622734451482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0.64082311597040709</v>
      </c>
      <c r="R71" s="1">
        <v>72</v>
      </c>
      <c r="S71" s="1">
        <v>43</v>
      </c>
      <c r="T71" s="1">
        <v>0</v>
      </c>
      <c r="U71" s="1">
        <f>Games[[#This Row],[PointsFor]]-Games[[#This Row],[PointsAgainst]]</f>
        <v>29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0.68194533579495709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74.650000000000006</v>
      </c>
      <c r="Z71" s="4">
        <f>Games[[#This Row],[K]]*Games[[#This Row],[POMult]]</f>
        <v>74.650000000000006</v>
      </c>
      <c r="AA71" s="4">
        <f>(Games[[#This Row],[Keff]]*Games[[#This Row],[MOVMult]])*(Games[[#This Row],[Result]]-Games[[#This Row],[ExpectedWin%]])</f>
        <v>18.284696408924763</v>
      </c>
      <c r="AB71" s="4">
        <f>Games[[#This Row],[PreGmRate]]+Games[[#This Row],[RatingChange]]</f>
        <v>1503.3188862027735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35623</v>
      </c>
      <c r="B72" s="2">
        <v>1997</v>
      </c>
      <c r="C72" s="2">
        <f>COUNTIFS(Games[Team],Games[[#This Row],[Team]],Games[Season],Games[[#This Row],[Season]],Games[Date],"&lt;=" &amp; Games[[#This Row],[Date]])</f>
        <v>9</v>
      </c>
      <c r="D72" s="2" t="s">
        <v>23</v>
      </c>
      <c r="E72" s="2" t="s">
        <v>29</v>
      </c>
      <c r="F72" s="1" t="s">
        <v>45</v>
      </c>
      <c r="G72" s="1" t="s">
        <v>2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2" s="2">
        <f>Games[[#This Row],[DaysOff]]-Games[[#This Row],[OppDaysOff]]</f>
        <v>-1</v>
      </c>
      <c r="L72" s="2">
        <f>Games[[#This Row],[OppDaysOff]]-Games[[#This Row],[DaysOff]]</f>
        <v>1</v>
      </c>
      <c r="M72" s="1">
        <f>MAX(-16, MIN(16, Games[[#This Row],[RestDiff]]*8))</f>
        <v>-8</v>
      </c>
      <c r="N72" s="1">
        <f>MAX(-16, MIN(16, Games[[#This Row],[OppRestDiff]]*8))</f>
        <v>8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1483.654653279438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1535.7782510709935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0.29407091896878335</v>
      </c>
      <c r="R72" s="1">
        <v>61</v>
      </c>
      <c r="S72" s="1">
        <v>89</v>
      </c>
      <c r="T72" s="1">
        <v>0</v>
      </c>
      <c r="U72" s="1">
        <f>Games[[#This Row],[PointsFor]]-Games[[#This Row],[PointsAgainst]]</f>
        <v>-28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0.65082040904155436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74.650000000000006</v>
      </c>
      <c r="Z72" s="4">
        <f>Games[[#This Row],[K]]*Games[[#This Row],[POMult]]</f>
        <v>74.650000000000006</v>
      </c>
      <c r="AA72" s="4">
        <f>(Games[[#This Row],[Keff]]*Games[[#This Row],[MOVMult]])*(Games[[#This Row],[Result]]-Games[[#This Row],[ExpectedWin%]])</f>
        <v>-14.287066108267032</v>
      </c>
      <c r="AB72" s="4">
        <f>Games[[#This Row],[PreGmRate]]+Games[[#This Row],[RatingChange]]</f>
        <v>1469.367587171171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35623</v>
      </c>
      <c r="B73" s="2">
        <v>1997</v>
      </c>
      <c r="C73" s="2">
        <f>COUNTIFS(Games[Team],Games[[#This Row],[Team]],Games[Season],Games[[#This Row],[Season]],Games[Date],"&lt;=" &amp; Games[[#This Row],[Date]])</f>
        <v>10</v>
      </c>
      <c r="D73" s="2" t="s">
        <v>23</v>
      </c>
      <c r="E73" s="2" t="s">
        <v>29</v>
      </c>
      <c r="F73" s="1" t="s">
        <v>2</v>
      </c>
      <c r="G73" s="1" t="s">
        <v>45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3" s="2">
        <f>Games[[#This Row],[DaysOff]]-Games[[#This Row],[OppDaysOff]]</f>
        <v>1</v>
      </c>
      <c r="L73" s="2">
        <f>Games[[#This Row],[OppDaysOff]]-Games[[#This Row],[DaysOff]]</f>
        <v>-1</v>
      </c>
      <c r="M73" s="1">
        <f>MAX(-16, MIN(16, Games[[#This Row],[RestDiff]]*8))</f>
        <v>8</v>
      </c>
      <c r="N73" s="1">
        <f>MAX(-16, MIN(16, Games[[#This Row],[OppRestDiff]]*8))</f>
        <v>-8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1535.7782510709935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1483.654653279438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0.70592908103121665</v>
      </c>
      <c r="R73" s="1">
        <v>89</v>
      </c>
      <c r="S73" s="1">
        <v>61</v>
      </c>
      <c r="T73" s="1">
        <v>0</v>
      </c>
      <c r="U73" s="1">
        <f>Games[[#This Row],[PointsFor]]-Games[[#This Row],[PointsAgainst]]</f>
        <v>28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0.65082040904155436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74.5</v>
      </c>
      <c r="Z73" s="4">
        <f>Games[[#This Row],[K]]*Games[[#This Row],[POMult]]</f>
        <v>74.5</v>
      </c>
      <c r="AA73" s="4">
        <f>(Games[[#This Row],[Keff]]*Games[[#This Row],[MOVMult]])*(Games[[#This Row],[Result]]-Games[[#This Row],[ExpectedWin%]])</f>
        <v>14.258358004901456</v>
      </c>
      <c r="AB73" s="4">
        <f>Games[[#This Row],[PreGmRate]]+Games[[#This Row],[RatingChange]]</f>
        <v>1550.0366090758951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35623</v>
      </c>
      <c r="B74" s="2">
        <v>1997</v>
      </c>
      <c r="C74" s="2">
        <f>COUNTIFS(Games[Team],Games[[#This Row],[Team]],Games[Season],Games[[#This Row],[Season]],Games[Date],"&lt;=" &amp; Games[[#This Row],[Date]])</f>
        <v>8</v>
      </c>
      <c r="D74" s="2" t="s">
        <v>23</v>
      </c>
      <c r="E74" s="2" t="s">
        <v>29</v>
      </c>
      <c r="F74" s="1" t="s">
        <v>44</v>
      </c>
      <c r="G74" s="1" t="s">
        <v>43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4" s="2">
        <f>Games[[#This Row],[DaysOff]]-Games[[#This Row],[OppDaysOff]]</f>
        <v>2</v>
      </c>
      <c r="L74" s="2">
        <f>Games[[#This Row],[OppDaysOff]]-Games[[#This Row],[DaysOff]]</f>
        <v>-2</v>
      </c>
      <c r="M74" s="1">
        <f>MAX(-16, MIN(16, Games[[#This Row],[RestDiff]]*8))</f>
        <v>16</v>
      </c>
      <c r="N74" s="1">
        <f>MAX(-16, MIN(16, Games[[#This Row],[OppRestDiff]]*8))</f>
        <v>-16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1557.4352635711559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1411.4998095173489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0.63198359964416428</v>
      </c>
      <c r="R74" s="1">
        <v>51</v>
      </c>
      <c r="S74" s="1">
        <v>52</v>
      </c>
      <c r="T74" s="1">
        <v>0</v>
      </c>
      <c r="U74" s="1">
        <f>Games[[#This Row],[PointsFor]]-Games[[#This Row],[PointsAgainst]]</f>
        <v>-1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0.21770405428865247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74.8</v>
      </c>
      <c r="Z74" s="4">
        <f>Games[[#This Row],[K]]*Games[[#This Row],[POMult]]</f>
        <v>74.8</v>
      </c>
      <c r="AA74" s="4">
        <f>(Games[[#This Row],[Keff]]*Games[[#This Row],[MOVMult]])*(Games[[#This Row],[Result]]-Games[[#This Row],[ExpectedWin%]])</f>
        <v>-10.291387313108041</v>
      </c>
      <c r="AB74" s="4">
        <f>Games[[#This Row],[PreGmRate]]+Games[[#This Row],[RatingChange]]</f>
        <v>1547.1438762580478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35623</v>
      </c>
      <c r="B75" s="2">
        <v>1997</v>
      </c>
      <c r="C75" s="2">
        <f>COUNTIFS(Games[Team],Games[[#This Row],[Team]],Games[Season],Games[[#This Row],[Season]],Games[Date],"&lt;=" &amp; Games[[#This Row],[Date]])</f>
        <v>10</v>
      </c>
      <c r="D75" s="2" t="s">
        <v>23</v>
      </c>
      <c r="E75" s="2" t="s">
        <v>29</v>
      </c>
      <c r="F75" s="1" t="s">
        <v>43</v>
      </c>
      <c r="G75" s="1" t="s">
        <v>44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0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5" s="2">
        <f>Games[[#This Row],[DaysOff]]-Games[[#This Row],[OppDaysOff]]</f>
        <v>-2</v>
      </c>
      <c r="L75" s="2">
        <f>Games[[#This Row],[OppDaysOff]]-Games[[#This Row],[DaysOff]]</f>
        <v>2</v>
      </c>
      <c r="M75" s="1">
        <f>MAX(-16, MIN(16, Games[[#This Row],[RestDiff]]*8))</f>
        <v>-16</v>
      </c>
      <c r="N75" s="1">
        <f>MAX(-16, MIN(16, Games[[#This Row],[OppRestDiff]]*8))</f>
        <v>16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1411.4998095173489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1557.4352635711559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0.36801640035583577</v>
      </c>
      <c r="R75" s="1">
        <v>52</v>
      </c>
      <c r="S75" s="1">
        <v>51</v>
      </c>
      <c r="T75" s="1">
        <v>0</v>
      </c>
      <c r="U75" s="1">
        <f>Games[[#This Row],[PointsFor]]-Games[[#This Row],[PointsAgainst]]</f>
        <v>1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0.21770405428865247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74.5</v>
      </c>
      <c r="Z75" s="4">
        <f>Games[[#This Row],[K]]*Games[[#This Row],[POMult]]</f>
        <v>74.5</v>
      </c>
      <c r="AA75" s="4">
        <f>(Games[[#This Row],[Keff]]*Games[[#This Row],[MOVMult]])*(Games[[#This Row],[Result]]-Games[[#This Row],[ExpectedWin%]])</f>
        <v>10.250111695542099</v>
      </c>
      <c r="AB75" s="4">
        <f>Games[[#This Row],[PreGmRate]]+Games[[#This Row],[RatingChange]]</f>
        <v>1421.749921212891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35624</v>
      </c>
      <c r="B76" s="2">
        <v>1997</v>
      </c>
      <c r="C76" s="2">
        <f>COUNTIFS(Games[Team],Games[[#This Row],[Team]],Games[Season],Games[[#This Row],[Season]],Games[Date],"&lt;=" &amp; Games[[#This Row],[Date]])</f>
        <v>9</v>
      </c>
      <c r="D76" s="2" t="s">
        <v>23</v>
      </c>
      <c r="E76" s="2" t="s">
        <v>29</v>
      </c>
      <c r="F76" s="1" t="s">
        <v>44</v>
      </c>
      <c r="G76" s="1" t="s">
        <v>71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0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6" s="2">
        <f>Games[[#This Row],[DaysOff]]-Games[[#This Row],[OppDaysOff]]</f>
        <v>-1</v>
      </c>
      <c r="L76" s="2">
        <f>Games[[#This Row],[OppDaysOff]]-Games[[#This Row],[DaysOff]]</f>
        <v>1</v>
      </c>
      <c r="M76" s="1">
        <f>MAX(-16, MIN(16, Games[[#This Row],[RestDiff]]*8))</f>
        <v>-8</v>
      </c>
      <c r="N76" s="1">
        <f>MAX(-16, MIN(16, Games[[#This Row],[OppRestDiff]]*8))</f>
        <v>8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1547.1438762580478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1486.1365410391436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0.44411946323414342</v>
      </c>
      <c r="R76" s="1">
        <v>57</v>
      </c>
      <c r="S76" s="1">
        <v>56</v>
      </c>
      <c r="T76" s="1">
        <v>0</v>
      </c>
      <c r="U76" s="1">
        <f>Games[[#This Row],[PointsFor]]-Games[[#This Row],[PointsAgainst]]</f>
        <v>1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0.23236629714567533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74.650000000000006</v>
      </c>
      <c r="Z76" s="4">
        <f>Games[[#This Row],[K]]*Games[[#This Row],[POMult]]</f>
        <v>74.650000000000006</v>
      </c>
      <c r="AA76" s="4">
        <f>(Games[[#This Row],[Keff]]*Games[[#This Row],[MOVMult]])*(Games[[#This Row],[Result]]-Games[[#This Row],[ExpectedWin%]])</f>
        <v>9.6423838830781676</v>
      </c>
      <c r="AB76" s="4">
        <f>Games[[#This Row],[PreGmRate]]+Games[[#This Row],[RatingChange]]</f>
        <v>1556.7862601411259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35624</v>
      </c>
      <c r="B77" s="2">
        <v>1997</v>
      </c>
      <c r="C77" s="2">
        <f>COUNTIFS(Games[Team],Games[[#This Row],[Team]],Games[Season],Games[[#This Row],[Season]],Games[Date],"&lt;=" &amp; Games[[#This Row],[Date]])</f>
        <v>10</v>
      </c>
      <c r="D77" s="2" t="s">
        <v>23</v>
      </c>
      <c r="E77" s="2" t="s">
        <v>29</v>
      </c>
      <c r="F77" s="1" t="s">
        <v>71</v>
      </c>
      <c r="G77" s="1" t="s">
        <v>44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7" s="2">
        <f>Games[[#This Row],[DaysOff]]-Games[[#This Row],[OppDaysOff]]</f>
        <v>1</v>
      </c>
      <c r="L77" s="2">
        <f>Games[[#This Row],[OppDaysOff]]-Games[[#This Row],[DaysOff]]</f>
        <v>-1</v>
      </c>
      <c r="M77" s="1">
        <f>MAX(-16, MIN(16, Games[[#This Row],[RestDiff]]*8))</f>
        <v>8</v>
      </c>
      <c r="N77" s="1">
        <f>MAX(-16, MIN(16, Games[[#This Row],[OppRestDiff]]*8))</f>
        <v>-8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1486.1365410391436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1547.1438762580478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0.55588053676585658</v>
      </c>
      <c r="R77" s="1">
        <v>56</v>
      </c>
      <c r="S77" s="1">
        <v>57</v>
      </c>
      <c r="T77" s="1">
        <v>0</v>
      </c>
      <c r="U77" s="1">
        <f>Games[[#This Row],[PointsFor]]-Games[[#This Row],[PointsAgainst]]</f>
        <v>-1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0.23236629714567533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74.5</v>
      </c>
      <c r="Z77" s="4">
        <f>Games[[#This Row],[K]]*Games[[#This Row],[POMult]]</f>
        <v>74.5</v>
      </c>
      <c r="AA77" s="4">
        <f>(Games[[#This Row],[Keff]]*Games[[#This Row],[MOVMult]])*(Games[[#This Row],[Result]]-Games[[#This Row],[ExpectedWin%]])</f>
        <v>-9.6230086977806231</v>
      </c>
      <c r="AB77" s="4">
        <f>Games[[#This Row],[PreGmRate]]+Games[[#This Row],[RatingChange]]</f>
        <v>1476.5135323413629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35625</v>
      </c>
      <c r="B78" s="2">
        <v>1997</v>
      </c>
      <c r="C78" s="2">
        <f>COUNTIFS(Games[Team],Games[[#This Row],[Team]],Games[Season],Games[[#This Row],[Season]],Games[Date],"&lt;=" &amp; Games[[#This Row],[Date]])</f>
        <v>11</v>
      </c>
      <c r="D78" s="2" t="s">
        <v>23</v>
      </c>
      <c r="E78" s="2" t="s">
        <v>29</v>
      </c>
      <c r="F78" s="1" t="s">
        <v>66</v>
      </c>
      <c r="G78" s="1" t="s">
        <v>1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3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2</v>
      </c>
      <c r="L78" s="2">
        <f>Games[[#This Row],[OppDaysOff]]-Games[[#This Row],[DaysOff]]</f>
        <v>-2</v>
      </c>
      <c r="M78" s="1">
        <f>MAX(-16, MIN(16, Games[[#This Row],[RestDiff]]*8))</f>
        <v>16</v>
      </c>
      <c r="N78" s="1">
        <f>MAX(-16, MIN(16, Games[[#This Row],[OppRestDiff]]*8))</f>
        <v>-16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1572.2745573554821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1450.1775770362235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0.59953083967640708</v>
      </c>
      <c r="R78" s="1">
        <v>68</v>
      </c>
      <c r="S78" s="1">
        <v>57</v>
      </c>
      <c r="T78" s="1">
        <v>0</v>
      </c>
      <c r="U78" s="1">
        <f>Games[[#This Row],[PointsFor]]-Games[[#This Row],[PointsAgainst]]</f>
        <v>11</v>
      </c>
      <c r="V78" s="1">
        <f>IF(Games[[#This Row],[MOV]]&gt;0,1,IF(Games[[#This Row],[MOV]]=0,0.5,0))</f>
        <v>1</v>
      </c>
      <c r="W78" s="4">
        <f>((ABS(Games[[#This Row],[MOV]])+5)^0.6)/(12+0.01*(ABS(Games[[#This Row],[PreGmRate]]-Games[[#This Row],[OppPreGmRate]])))*IF(Games[[#This Row],[OT]]=1,0.9,1)</f>
        <v>0.39921667787313475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74.349999999999994</v>
      </c>
      <c r="Z78" s="4">
        <f>Games[[#This Row],[K]]*Games[[#This Row],[POMult]]</f>
        <v>74.349999999999994</v>
      </c>
      <c r="AA78" s="4">
        <f>(Games[[#This Row],[Keff]]*Games[[#This Row],[MOVMult]])*(Games[[#This Row],[Result]]-Games[[#This Row],[ExpectedWin%]])</f>
        <v>11.886629504073372</v>
      </c>
      <c r="AB78" s="4">
        <f>Games[[#This Row],[PreGmRate]]+Games[[#This Row],[RatingChange]]</f>
        <v>1584.1611868595555</v>
      </c>
      <c r="AC78" s="2">
        <f>IF(Games[[#This Row],[Type]]="R",IF(Games[[#This Row],[Result]]&gt;0.5,1,0),0)</f>
        <v>1</v>
      </c>
      <c r="AD78" s="2">
        <f>IF(Games[[#This Row],[Type]]="R",IF(Games[[#This Row],[Result]]&lt;0.5,1,0),0)</f>
        <v>0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35625</v>
      </c>
      <c r="B79" s="2">
        <v>1997</v>
      </c>
      <c r="C79" s="2">
        <f>COUNTIFS(Games[Team],Games[[#This Row],[Team]],Games[Season],Games[[#This Row],[Season]],Games[Date],"&lt;=" &amp; Games[[#This Row],[Date]])</f>
        <v>10</v>
      </c>
      <c r="D79" s="2" t="s">
        <v>23</v>
      </c>
      <c r="E79" s="2" t="s">
        <v>29</v>
      </c>
      <c r="F79" s="1" t="s">
        <v>1</v>
      </c>
      <c r="G79" s="1" t="s">
        <v>66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9" s="2">
        <f>Games[[#This Row],[DaysOff]]-Games[[#This Row],[OppDaysOff]]</f>
        <v>-2</v>
      </c>
      <c r="L79" s="2">
        <f>Games[[#This Row],[OppDaysOff]]-Games[[#This Row],[DaysOff]]</f>
        <v>2</v>
      </c>
      <c r="M79" s="1">
        <f>MAX(-16, MIN(16, Games[[#This Row],[RestDiff]]*8))</f>
        <v>-16</v>
      </c>
      <c r="N79" s="1">
        <f>MAX(-16, MIN(16, Games[[#This Row],[OppRestDiff]]*8))</f>
        <v>16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1450.1775770362235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1572.2745573554821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0.40046916032359287</v>
      </c>
      <c r="R79" s="1">
        <v>57</v>
      </c>
      <c r="S79" s="1">
        <v>68</v>
      </c>
      <c r="T79" s="1">
        <v>0</v>
      </c>
      <c r="U79" s="1">
        <f>Games[[#This Row],[PointsFor]]-Games[[#This Row],[PointsAgainst]]</f>
        <v>-11</v>
      </c>
      <c r="V79" s="1">
        <f>IF(Games[[#This Row],[MOV]]&gt;0,1,IF(Games[[#This Row],[MOV]]=0,0.5,0))</f>
        <v>0</v>
      </c>
      <c r="W79" s="4">
        <f>((ABS(Games[[#This Row],[MOV]])+5)^0.6)/(12+0.01*(ABS(Games[[#This Row],[PreGmRate]]-Games[[#This Row],[OppPreGmRate]])))*IF(Games[[#This Row],[OT]]=1,0.9,1)</f>
        <v>0.39921667787313475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74.5</v>
      </c>
      <c r="Z79" s="4">
        <f>Games[[#This Row],[K]]*Games[[#This Row],[POMult]]</f>
        <v>74.5</v>
      </c>
      <c r="AA79" s="4">
        <f>(Games[[#This Row],[Keff]]*Games[[#This Row],[MOVMult]])*(Games[[#This Row],[Result]]-Games[[#This Row],[ExpectedWin%]])</f>
        <v>-11.910610599239625</v>
      </c>
      <c r="AB79" s="4">
        <f>Games[[#This Row],[PreGmRate]]+Games[[#This Row],[RatingChange]]</f>
        <v>1438.2669664369839</v>
      </c>
      <c r="AC79" s="2">
        <f>IF(Games[[#This Row],[Type]]="R",IF(Games[[#This Row],[Result]]&gt;0.5,1,0),0)</f>
        <v>0</v>
      </c>
      <c r="AD79" s="2">
        <f>IF(Games[[#This Row],[Type]]="R",IF(Games[[#This Row],[Result]]&lt;0.5,1,0),0)</f>
        <v>1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35625</v>
      </c>
      <c r="B80" s="2">
        <v>1997</v>
      </c>
      <c r="C80" s="2">
        <f>COUNTIFS(Games[Team],Games[[#This Row],[Team]],Games[Season],Games[[#This Row],[Season]],Games[Date],"&lt;=" &amp; Games[[#This Row],[Date]])</f>
        <v>11</v>
      </c>
      <c r="D80" s="2" t="s">
        <v>23</v>
      </c>
      <c r="E80" s="2" t="s">
        <v>29</v>
      </c>
      <c r="F80" s="1" t="s">
        <v>43</v>
      </c>
      <c r="G80" s="1" t="s">
        <v>2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1421.749921212891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1550.0366090758951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0.22758109187394296</v>
      </c>
      <c r="R80" s="1">
        <v>56</v>
      </c>
      <c r="S80" s="1">
        <v>79</v>
      </c>
      <c r="T80" s="1">
        <v>0</v>
      </c>
      <c r="U80" s="1">
        <f>Games[[#This Row],[PointsFor]]-Games[[#This Row],[PointsAgainst]]</f>
        <v>-23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0.55590809561021448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74.349999999999994</v>
      </c>
      <c r="Z80" s="4">
        <f>Games[[#This Row],[K]]*Games[[#This Row],[POMult]]</f>
        <v>74.349999999999994</v>
      </c>
      <c r="AA80" s="4">
        <f>(Games[[#This Row],[Keff]]*Games[[#This Row],[MOVMult]])*(Games[[#This Row],[Result]]-Games[[#This Row],[ExpectedWin%]])</f>
        <v>-9.4063286421429169</v>
      </c>
      <c r="AB80" s="4">
        <f>Games[[#This Row],[PreGmRate]]+Games[[#This Row],[RatingChange]]</f>
        <v>1412.3435925707481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35625</v>
      </c>
      <c r="B81" s="2">
        <v>1997</v>
      </c>
      <c r="C81" s="2">
        <f>COUNTIFS(Games[Team],Games[[#This Row],[Team]],Games[Season],Games[[#This Row],[Season]],Games[Date],"&lt;=" &amp; Games[[#This Row],[Date]])</f>
        <v>11</v>
      </c>
      <c r="D81" s="2" t="s">
        <v>23</v>
      </c>
      <c r="E81" s="2" t="s">
        <v>29</v>
      </c>
      <c r="F81" s="1" t="s">
        <v>2</v>
      </c>
      <c r="G81" s="1" t="s">
        <v>43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1550.0366090758951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1421.749921212891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0.77241890812605707</v>
      </c>
      <c r="R81" s="1">
        <v>79</v>
      </c>
      <c r="S81" s="1">
        <v>56</v>
      </c>
      <c r="T81" s="1">
        <v>0</v>
      </c>
      <c r="U81" s="1">
        <f>Games[[#This Row],[PointsFor]]-Games[[#This Row],[PointsAgainst]]</f>
        <v>23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0.55590809561021448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74.349999999999994</v>
      </c>
      <c r="Z81" s="4">
        <f>Games[[#This Row],[K]]*Games[[#This Row],[POMult]]</f>
        <v>74.349999999999994</v>
      </c>
      <c r="AA81" s="4">
        <f>(Games[[#This Row],[Keff]]*Games[[#This Row],[MOVMult]])*(Games[[#This Row],[Result]]-Games[[#This Row],[ExpectedWin%]])</f>
        <v>9.4063286421429151</v>
      </c>
      <c r="AB81" s="4">
        <f>Games[[#This Row],[PreGmRate]]+Games[[#This Row],[RatingChange]]</f>
        <v>1559.4429377180379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35626</v>
      </c>
      <c r="B82" s="2">
        <v>1997</v>
      </c>
      <c r="C82" s="2">
        <f>COUNTIFS(Games[Team],Games[[#This Row],[Team]],Games[Season],Games[[#This Row],[Season]],Games[Date],"&lt;=" &amp; Games[[#This Row],[Date]])</f>
        <v>11</v>
      </c>
      <c r="D82" s="2" t="s">
        <v>23</v>
      </c>
      <c r="E82" s="2" t="s">
        <v>29</v>
      </c>
      <c r="F82" s="1" t="s">
        <v>1</v>
      </c>
      <c r="G82" s="1" t="s">
        <v>66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2" s="2">
        <f>Games[[#This Row],[DaysOff]]-Games[[#This Row],[OppDaysOff]]</f>
        <v>0</v>
      </c>
      <c r="L82" s="2">
        <f>Games[[#This Row],[OppDaysOff]]-Games[[#This Row],[DaysOff]]</f>
        <v>0</v>
      </c>
      <c r="M82" s="1">
        <f>MAX(-16, MIN(16, Games[[#This Row],[RestDiff]]*8))</f>
        <v>0</v>
      </c>
      <c r="N82" s="1">
        <f>MAX(-16, MIN(16, Games[[#This Row],[OppRestDiff]]*8))</f>
        <v>0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1438.2669664369839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1584.1611868595555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0.21025691229383628</v>
      </c>
      <c r="R82" s="1">
        <v>59</v>
      </c>
      <c r="S82" s="1">
        <v>76</v>
      </c>
      <c r="T82" s="1">
        <v>0</v>
      </c>
      <c r="U82" s="1">
        <f>Games[[#This Row],[PointsFor]]-Games[[#This Row],[PointsAgainst]]</f>
        <v>-17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0.47472563088783548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74.349999999999994</v>
      </c>
      <c r="Z82" s="4">
        <f>Games[[#This Row],[K]]*Games[[#This Row],[POMult]]</f>
        <v>74.349999999999994</v>
      </c>
      <c r="AA82" s="4">
        <f>(Games[[#This Row],[Keff]]*Games[[#This Row],[MOVMult]])*(Games[[#This Row],[Result]]-Games[[#This Row],[ExpectedWin%]])</f>
        <v>-7.421196575822286</v>
      </c>
      <c r="AB82" s="4">
        <f>Games[[#This Row],[PreGmRate]]+Games[[#This Row],[RatingChange]]</f>
        <v>1430.8457698611617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35626</v>
      </c>
      <c r="B83" s="2">
        <v>1997</v>
      </c>
      <c r="C83" s="2">
        <f>COUNTIFS(Games[Team],Games[[#This Row],[Team]],Games[Season],Games[[#This Row],[Season]],Games[Date],"&lt;=" &amp; Games[[#This Row],[Date]])</f>
        <v>12</v>
      </c>
      <c r="D83" s="2" t="s">
        <v>23</v>
      </c>
      <c r="E83" s="2" t="s">
        <v>29</v>
      </c>
      <c r="F83" s="1" t="s">
        <v>66</v>
      </c>
      <c r="G83" s="1" t="s">
        <v>1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3" s="2">
        <f>Games[[#This Row],[DaysOff]]-Games[[#This Row],[OppDaysOff]]</f>
        <v>0</v>
      </c>
      <c r="L83" s="2">
        <f>Games[[#This Row],[OppDaysOff]]-Games[[#This Row],[DaysOff]]</f>
        <v>0</v>
      </c>
      <c r="M83" s="1">
        <f>MAX(-16, MIN(16, Games[[#This Row],[RestDiff]]*8))</f>
        <v>0</v>
      </c>
      <c r="N83" s="1">
        <f>MAX(-16, MIN(16, Games[[#This Row],[OppRestDiff]]*8))</f>
        <v>0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1584.1611868595555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1438.2669664369839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0.78974308770616375</v>
      </c>
      <c r="R83" s="1">
        <v>76</v>
      </c>
      <c r="S83" s="1">
        <v>59</v>
      </c>
      <c r="T83" s="1">
        <v>0</v>
      </c>
      <c r="U83" s="1">
        <f>Games[[#This Row],[PointsFor]]-Games[[#This Row],[PointsAgainst]]</f>
        <v>17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0.47472563088783548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74.2</v>
      </c>
      <c r="Z83" s="4">
        <f>Games[[#This Row],[K]]*Games[[#This Row],[POMult]]</f>
        <v>74.2</v>
      </c>
      <c r="AA83" s="4">
        <f>(Games[[#This Row],[Keff]]*Games[[#This Row],[MOVMult]])*(Games[[#This Row],[Result]]-Games[[#This Row],[ExpectedWin%]])</f>
        <v>7.406224424021703</v>
      </c>
      <c r="AB83" s="4">
        <f>Games[[#This Row],[PreGmRate]]+Games[[#This Row],[RatingChange]]</f>
        <v>1591.5674112835773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35626</v>
      </c>
      <c r="B84" s="2">
        <v>1997</v>
      </c>
      <c r="C84" s="2">
        <f>COUNTIFS(Games[Team],Games[[#This Row],[Team]],Games[Season],Games[[#This Row],[Season]],Games[Date],"&lt;=" &amp; Games[[#This Row],[Date]])</f>
        <v>11</v>
      </c>
      <c r="D84" s="2" t="s">
        <v>23</v>
      </c>
      <c r="E84" s="2" t="s">
        <v>29</v>
      </c>
      <c r="F84" s="1" t="s">
        <v>71</v>
      </c>
      <c r="G84" s="1" t="s">
        <v>45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4" s="2">
        <f>Games[[#This Row],[DaysOff]]-Games[[#This Row],[OppDaysOff]]</f>
        <v>-1</v>
      </c>
      <c r="L84" s="2">
        <f>Games[[#This Row],[OppDaysOff]]-Games[[#This Row],[DaysOff]]</f>
        <v>1</v>
      </c>
      <c r="M84" s="1">
        <f>MAX(-16, MIN(16, Games[[#This Row],[RestDiff]]*8))</f>
        <v>-8</v>
      </c>
      <c r="N84" s="1">
        <f>MAX(-16, MIN(16, Games[[#This Row],[OppRestDiff]]*8))</f>
        <v>8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1476.5135323413629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1469.367587171171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0.36946540671938344</v>
      </c>
      <c r="R84" s="1">
        <v>73</v>
      </c>
      <c r="S84" s="1">
        <v>78</v>
      </c>
      <c r="T84" s="1">
        <v>0</v>
      </c>
      <c r="U84" s="1">
        <f>Games[[#This Row],[PointsFor]]-Games[[#This Row],[PointsAgainst]]</f>
        <v>-5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0.32979207870127858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74.349999999999994</v>
      </c>
      <c r="Z84" s="4">
        <f>Games[[#This Row],[K]]*Games[[#This Row],[POMult]]</f>
        <v>74.349999999999994</v>
      </c>
      <c r="AA84" s="4">
        <f>(Games[[#This Row],[Keff]]*Games[[#This Row],[MOVMult]])*(Games[[#This Row],[Result]]-Games[[#This Row],[ExpectedWin%]])</f>
        <v>-9.0593069398462802</v>
      </c>
      <c r="AB84" s="4">
        <f>Games[[#This Row],[PreGmRate]]+Games[[#This Row],[RatingChange]]</f>
        <v>1467.4542254015166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35626</v>
      </c>
      <c r="B85" s="2">
        <v>1997</v>
      </c>
      <c r="C85" s="2">
        <f>COUNTIFS(Games[Team],Games[[#This Row],[Team]],Games[Season],Games[[#This Row],[Season]],Games[Date],"&lt;=" &amp; Games[[#This Row],[Date]])</f>
        <v>10</v>
      </c>
      <c r="D85" s="2" t="s">
        <v>23</v>
      </c>
      <c r="E85" s="2" t="s">
        <v>29</v>
      </c>
      <c r="F85" s="1" t="s">
        <v>45</v>
      </c>
      <c r="G85" s="1" t="s">
        <v>71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1</v>
      </c>
      <c r="L85" s="2">
        <f>Games[[#This Row],[OppDaysOff]]-Games[[#This Row],[DaysOff]]</f>
        <v>-1</v>
      </c>
      <c r="M85" s="1">
        <f>MAX(-16, MIN(16, Games[[#This Row],[RestDiff]]*8))</f>
        <v>8</v>
      </c>
      <c r="N85" s="1">
        <f>MAX(-16, MIN(16, Games[[#This Row],[OppRestDiff]]*8))</f>
        <v>-8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1469.367587171171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1476.5135323413629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0.63053459328061656</v>
      </c>
      <c r="R85" s="1">
        <v>78</v>
      </c>
      <c r="S85" s="1">
        <v>73</v>
      </c>
      <c r="T85" s="1">
        <v>0</v>
      </c>
      <c r="U85" s="1">
        <f>Games[[#This Row],[PointsFor]]-Games[[#This Row],[PointsAgainst]]</f>
        <v>5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0.32979207870127858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74.5</v>
      </c>
      <c r="Z85" s="4">
        <f>Games[[#This Row],[K]]*Games[[#This Row],[POMult]]</f>
        <v>74.5</v>
      </c>
      <c r="AA85" s="4">
        <f>(Games[[#This Row],[Keff]]*Games[[#This Row],[MOVMult]])*(Games[[#This Row],[Result]]-Games[[#This Row],[ExpectedWin%]])</f>
        <v>9.0775839545198114</v>
      </c>
      <c r="AB85" s="4">
        <f>Games[[#This Row],[PreGmRate]]+Games[[#This Row],[RatingChange]]</f>
        <v>1478.4451711256909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35627</v>
      </c>
      <c r="B86" s="2">
        <v>1997</v>
      </c>
      <c r="C86" s="2">
        <f>COUNTIFS(Games[Team],Games[[#This Row],[Team]],Games[Season],Games[[#This Row],[Season]],Games[Date],"&lt;=" &amp; Games[[#This Row],[Date]])</f>
        <v>12</v>
      </c>
      <c r="D86" s="2" t="s">
        <v>23</v>
      </c>
      <c r="E86" s="2" t="s">
        <v>29</v>
      </c>
      <c r="F86" s="1" t="s">
        <v>43</v>
      </c>
      <c r="G86" s="1" t="s">
        <v>64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6" s="2">
        <f>Games[[#This Row],[DaysOff]]-Games[[#This Row],[OppDaysOff]]</f>
        <v>-2</v>
      </c>
      <c r="L86" s="2">
        <f>Games[[#This Row],[OppDaysOff]]-Games[[#This Row],[DaysOff]]</f>
        <v>2</v>
      </c>
      <c r="M86" s="1">
        <f>MAX(-16, MIN(16, Games[[#This Row],[RestDiff]]*8))</f>
        <v>-16</v>
      </c>
      <c r="N86" s="1">
        <f>MAX(-16, MIN(16, Games[[#This Row],[OppRestDiff]]*8))</f>
        <v>16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1412.3435925707481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1503.3188862027735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0.2330004974359399</v>
      </c>
      <c r="R86" s="1">
        <v>63</v>
      </c>
      <c r="S86" s="1">
        <v>75</v>
      </c>
      <c r="T86" s="1">
        <v>0</v>
      </c>
      <c r="U86" s="1">
        <f>Games[[#This Row],[PointsFor]]-Games[[#This Row],[PointsAgainst]]</f>
        <v>-12</v>
      </c>
      <c r="V86" s="1">
        <f>IF(Games[[#This Row],[MOV]]&gt;0,1,IF(Games[[#This Row],[MOV]]=0,0.5,0))</f>
        <v>0</v>
      </c>
      <c r="W86" s="4">
        <f>((ABS(Games[[#This Row],[MOV]])+5)^0.6)/(12+0.01*(ABS(Games[[#This Row],[PreGmRate]]-Games[[#This Row],[OppPreGmRate]])))*IF(Games[[#This Row],[OT]]=1,0.9,1)</f>
        <v>0.42398590770232431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74.2</v>
      </c>
      <c r="Z86" s="4">
        <f>Games[[#This Row],[K]]*Games[[#This Row],[POMult]]</f>
        <v>74.2</v>
      </c>
      <c r="AA86" s="4">
        <f>(Games[[#This Row],[Keff]]*Games[[#This Row],[MOVMult]])*(Games[[#This Row],[Result]]-Games[[#This Row],[ExpectedWin%]])</f>
        <v>-7.330138413114879</v>
      </c>
      <c r="AB86" s="4">
        <f>Games[[#This Row],[PreGmRate]]+Games[[#This Row],[RatingChange]]</f>
        <v>1405.0134541576333</v>
      </c>
      <c r="AC86" s="2">
        <f>IF(Games[[#This Row],[Type]]="R",IF(Games[[#This Row],[Result]]&gt;0.5,1,0),0)</f>
        <v>0</v>
      </c>
      <c r="AD86" s="2">
        <f>IF(Games[[#This Row],[Type]]="R",IF(Games[[#This Row],[Result]]&lt;0.5,1,0),0)</f>
        <v>1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35627</v>
      </c>
      <c r="B87" s="2">
        <v>1997</v>
      </c>
      <c r="C87" s="2">
        <f>COUNTIFS(Games[Team],Games[[#This Row],[Team]],Games[Season],Games[[#This Row],[Season]],Games[Date],"&lt;=" &amp; Games[[#This Row],[Date]])</f>
        <v>10</v>
      </c>
      <c r="D87" s="2" t="s">
        <v>23</v>
      </c>
      <c r="E87" s="2" t="s">
        <v>29</v>
      </c>
      <c r="F87" s="1" t="s">
        <v>64</v>
      </c>
      <c r="G87" s="1" t="s">
        <v>43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2</v>
      </c>
      <c r="L87" s="2">
        <f>Games[[#This Row],[OppDaysOff]]-Games[[#This Row],[DaysOff]]</f>
        <v>-2</v>
      </c>
      <c r="M87" s="1">
        <f>MAX(-16, MIN(16, Games[[#This Row],[RestDiff]]*8))</f>
        <v>16</v>
      </c>
      <c r="N87" s="1">
        <f>MAX(-16, MIN(16, Games[[#This Row],[OppRestDiff]]*8))</f>
        <v>-16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1503.3188862027735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1412.3435925707481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0.76699950256406013</v>
      </c>
      <c r="R87" s="1">
        <v>75</v>
      </c>
      <c r="S87" s="1">
        <v>63</v>
      </c>
      <c r="T87" s="1">
        <v>0</v>
      </c>
      <c r="U87" s="1">
        <f>Games[[#This Row],[PointsFor]]-Games[[#This Row],[PointsAgainst]]</f>
        <v>12</v>
      </c>
      <c r="V87" s="1">
        <f>IF(Games[[#This Row],[MOV]]&gt;0,1,IF(Games[[#This Row],[MOV]]=0,0.5,0))</f>
        <v>1</v>
      </c>
      <c r="W87" s="4">
        <f>((ABS(Games[[#This Row],[MOV]])+5)^0.6)/(12+0.01*(ABS(Games[[#This Row],[PreGmRate]]-Games[[#This Row],[OppPreGmRate]])))*IF(Games[[#This Row],[OT]]=1,0.9,1)</f>
        <v>0.42398590770232431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74.5</v>
      </c>
      <c r="Z87" s="4">
        <f>Games[[#This Row],[K]]*Games[[#This Row],[POMult]]</f>
        <v>74.5</v>
      </c>
      <c r="AA87" s="4">
        <f>(Games[[#This Row],[Keff]]*Games[[#This Row],[MOVMult]])*(Games[[#This Row],[Result]]-Games[[#This Row],[ExpectedWin%]])</f>
        <v>7.3597750913350186</v>
      </c>
      <c r="AB87" s="4">
        <f>Games[[#This Row],[PreGmRate]]+Games[[#This Row],[RatingChange]]</f>
        <v>1510.6786612941085</v>
      </c>
      <c r="AC87" s="2">
        <f>IF(Games[[#This Row],[Type]]="R",IF(Games[[#This Row],[Result]]&gt;0.5,1,0),0)</f>
        <v>1</v>
      </c>
      <c r="AD87" s="2">
        <f>IF(Games[[#This Row],[Type]]="R",IF(Games[[#This Row],[Result]]&lt;0.5,1,0),0)</f>
        <v>0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35627</v>
      </c>
      <c r="B88" s="2">
        <v>1997</v>
      </c>
      <c r="C88" s="2">
        <f>COUNTIFS(Games[Team],Games[[#This Row],[Team]],Games[Season],Games[[#This Row],[Season]],Games[Date],"&lt;=" &amp; Games[[#This Row],[Date]])</f>
        <v>12</v>
      </c>
      <c r="D88" s="2" t="s">
        <v>23</v>
      </c>
      <c r="E88" s="2" t="s">
        <v>29</v>
      </c>
      <c r="F88" s="1" t="s">
        <v>2</v>
      </c>
      <c r="G88" s="1" t="s">
        <v>71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8" s="2">
        <f>Games[[#This Row],[DaysOff]]-Games[[#This Row],[OppDaysOff]]</f>
        <v>1</v>
      </c>
      <c r="L88" s="2">
        <f>Games[[#This Row],[OppDaysOff]]-Games[[#This Row],[DaysOff]]</f>
        <v>-1</v>
      </c>
      <c r="M88" s="1">
        <f>MAX(-16, MIN(16, Games[[#This Row],[RestDiff]]*8))</f>
        <v>8</v>
      </c>
      <c r="N88" s="1">
        <f>MAX(-16, MIN(16, Games[[#This Row],[OppRestDiff]]*8))</f>
        <v>-8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1559.4429377180379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1467.4542254015166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0.53446777767535414</v>
      </c>
      <c r="R88" s="1">
        <v>52</v>
      </c>
      <c r="S88" s="1">
        <v>77</v>
      </c>
      <c r="T88" s="1">
        <v>0</v>
      </c>
      <c r="U88" s="1">
        <f>Games[[#This Row],[PointsFor]]-Games[[#This Row],[PointsAgainst]]</f>
        <v>-25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0.59568139159102962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74.2</v>
      </c>
      <c r="Z88" s="4">
        <f>Games[[#This Row],[K]]*Games[[#This Row],[POMult]]</f>
        <v>74.2</v>
      </c>
      <c r="AA88" s="4">
        <f>(Games[[#This Row],[Keff]]*Games[[#This Row],[MOVMult]])*(Games[[#This Row],[Result]]-Games[[#This Row],[ExpectedWin%]])</f>
        <v>-23.623240209813524</v>
      </c>
      <c r="AB88" s="4">
        <f>Games[[#This Row],[PreGmRate]]+Games[[#This Row],[RatingChange]]</f>
        <v>1535.8196975082244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35627</v>
      </c>
      <c r="B89" s="2">
        <v>1997</v>
      </c>
      <c r="C89" s="2">
        <f>COUNTIFS(Games[Team],Games[[#This Row],[Team]],Games[Season],Games[[#This Row],[Season]],Games[Date],"&lt;=" &amp; Games[[#This Row],[Date]])</f>
        <v>12</v>
      </c>
      <c r="D89" s="2" t="s">
        <v>23</v>
      </c>
      <c r="E89" s="2" t="s">
        <v>29</v>
      </c>
      <c r="F89" s="1" t="s">
        <v>71</v>
      </c>
      <c r="G89" s="1" t="s">
        <v>2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0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-1</v>
      </c>
      <c r="L89" s="2">
        <f>Games[[#This Row],[OppDaysOff]]-Games[[#This Row],[DaysOff]]</f>
        <v>1</v>
      </c>
      <c r="M89" s="1">
        <f>MAX(-16, MIN(16, Games[[#This Row],[RestDiff]]*8))</f>
        <v>-8</v>
      </c>
      <c r="N89" s="1">
        <f>MAX(-16, MIN(16, Games[[#This Row],[OppRestDiff]]*8))</f>
        <v>8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1467.4542254015166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1559.4429377180379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0.46553222232464581</v>
      </c>
      <c r="R89" s="1">
        <v>77</v>
      </c>
      <c r="S89" s="1">
        <v>52</v>
      </c>
      <c r="T89" s="1">
        <v>0</v>
      </c>
      <c r="U89" s="1">
        <f>Games[[#This Row],[PointsFor]]-Games[[#This Row],[PointsAgainst]]</f>
        <v>25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0.59568139159102962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74.2</v>
      </c>
      <c r="Z89" s="4">
        <f>Games[[#This Row],[K]]*Games[[#This Row],[POMult]]</f>
        <v>74.2</v>
      </c>
      <c r="AA89" s="4">
        <f>(Games[[#This Row],[Keff]]*Games[[#This Row],[MOVMult]])*(Games[[#This Row],[Result]]-Games[[#This Row],[ExpectedWin%]])</f>
        <v>23.623240209813524</v>
      </c>
      <c r="AB89" s="4">
        <f>Games[[#This Row],[PreGmRate]]+Games[[#This Row],[RatingChange]]</f>
        <v>1491.0774656113301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35627</v>
      </c>
      <c r="B90" s="2">
        <v>1997</v>
      </c>
      <c r="C90" s="2">
        <f>COUNTIFS(Games[Team],Games[[#This Row],[Team]],Games[Season],Games[[#This Row],[Season]],Games[Date],"&lt;=" &amp; Games[[#This Row],[Date]])</f>
        <v>11</v>
      </c>
      <c r="D90" s="2" t="s">
        <v>23</v>
      </c>
      <c r="E90" s="2" t="s">
        <v>29</v>
      </c>
      <c r="F90" s="1" t="s">
        <v>45</v>
      </c>
      <c r="G90" s="1" t="s">
        <v>44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0" s="2">
        <f>Games[[#This Row],[DaysOff]]-Games[[#This Row],[OppDaysOff]]</f>
        <v>-2</v>
      </c>
      <c r="L90" s="2">
        <f>Games[[#This Row],[OppDaysOff]]-Games[[#This Row],[DaysOff]]</f>
        <v>2</v>
      </c>
      <c r="M90" s="1">
        <f>MAX(-16, MIN(16, Games[[#This Row],[RestDiff]]*8))</f>
        <v>-16</v>
      </c>
      <c r="N90" s="1">
        <f>MAX(-16, MIN(16, Games[[#This Row],[OppRestDiff]]*8))</f>
        <v>16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1478.4451711256909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1556.7862601411259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0.24624930055949709</v>
      </c>
      <c r="R90" s="1">
        <v>67</v>
      </c>
      <c r="S90" s="1">
        <v>84</v>
      </c>
      <c r="T90" s="1">
        <v>0</v>
      </c>
      <c r="U90" s="1">
        <f>Games[[#This Row],[PointsFor]]-Games[[#This Row],[PointsAgainst]]</f>
        <v>-17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0.49981220848536939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74.349999999999994</v>
      </c>
      <c r="Z90" s="4">
        <f>Games[[#This Row],[K]]*Games[[#This Row],[POMult]]</f>
        <v>74.349999999999994</v>
      </c>
      <c r="AA90" s="4">
        <f>(Games[[#This Row],[Keff]]*Games[[#This Row],[MOVMult]])*(Games[[#This Row],[Result]]-Games[[#This Row],[ExpectedWin%]])</f>
        <v>-9.1508795419085782</v>
      </c>
      <c r="AB90" s="4">
        <f>Games[[#This Row],[PreGmRate]]+Games[[#This Row],[RatingChange]]</f>
        <v>1469.2942915837823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35627</v>
      </c>
      <c r="B91" s="2">
        <v>1997</v>
      </c>
      <c r="C91" s="2">
        <f>COUNTIFS(Games[Team],Games[[#This Row],[Team]],Games[Season],Games[[#This Row],[Season]],Games[Date],"&lt;=" &amp; Games[[#This Row],[Date]])</f>
        <v>10</v>
      </c>
      <c r="D91" s="2" t="s">
        <v>23</v>
      </c>
      <c r="E91" s="2" t="s">
        <v>29</v>
      </c>
      <c r="F91" s="1" t="s">
        <v>44</v>
      </c>
      <c r="G91" s="1" t="s">
        <v>45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1" s="2">
        <f>Games[[#This Row],[DaysOff]]-Games[[#This Row],[OppDaysOff]]</f>
        <v>2</v>
      </c>
      <c r="L91" s="2">
        <f>Games[[#This Row],[OppDaysOff]]-Games[[#This Row],[DaysOff]]</f>
        <v>-2</v>
      </c>
      <c r="M91" s="1">
        <f>MAX(-16, MIN(16, Games[[#This Row],[RestDiff]]*8))</f>
        <v>16</v>
      </c>
      <c r="N91" s="1">
        <f>MAX(-16, MIN(16, Games[[#This Row],[OppRestDiff]]*8))</f>
        <v>-16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1556.7862601411259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1478.4451711256909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0.75375069944050299</v>
      </c>
      <c r="R91" s="1">
        <v>84</v>
      </c>
      <c r="S91" s="1">
        <v>67</v>
      </c>
      <c r="T91" s="1">
        <v>0</v>
      </c>
      <c r="U91" s="1">
        <f>Games[[#This Row],[PointsFor]]-Games[[#This Row],[PointsAgainst]]</f>
        <v>17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0.49981220848536939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74.5</v>
      </c>
      <c r="Z91" s="4">
        <f>Games[[#This Row],[K]]*Games[[#This Row],[POMult]]</f>
        <v>74.5</v>
      </c>
      <c r="AA91" s="4">
        <f>(Games[[#This Row],[Keff]]*Games[[#This Row],[MOVMult]])*(Games[[#This Row],[Result]]-Games[[#This Row],[ExpectedWin%]])</f>
        <v>9.1693413029211683</v>
      </c>
      <c r="AB91" s="4">
        <f>Games[[#This Row],[PreGmRate]]+Games[[#This Row],[RatingChange]]</f>
        <v>1565.955601444047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35628</v>
      </c>
      <c r="B92" s="2">
        <v>1997</v>
      </c>
      <c r="C92" s="2">
        <f>COUNTIFS(Games[Team],Games[[#This Row],[Team]],Games[Season],Games[[#This Row],[Season]],Games[Date],"&lt;=" &amp; Games[[#This Row],[Date]])</f>
        <v>11</v>
      </c>
      <c r="D92" s="2" t="s">
        <v>23</v>
      </c>
      <c r="E92" s="2" t="s">
        <v>29</v>
      </c>
      <c r="F92" s="1" t="s">
        <v>64</v>
      </c>
      <c r="G92" s="1" t="s">
        <v>1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-1</v>
      </c>
      <c r="L92" s="2">
        <f>Games[[#This Row],[OppDaysOff]]-Games[[#This Row],[DaysOff]]</f>
        <v>1</v>
      </c>
      <c r="M92" s="1">
        <f>MAX(-16, MIN(16, Games[[#This Row],[RestDiff]]*8))</f>
        <v>-8</v>
      </c>
      <c r="N92" s="1">
        <f>MAX(-16, MIN(16, Games[[#This Row],[OppRestDiff]]*8))</f>
        <v>8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1510.6786612941085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1430.8457698611617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0.47100974934202633</v>
      </c>
      <c r="R92" s="1">
        <v>47</v>
      </c>
      <c r="S92" s="1">
        <v>65</v>
      </c>
      <c r="T92" s="1">
        <v>0</v>
      </c>
      <c r="U92" s="1">
        <f>Games[[#This Row],[PointsFor]]-Games[[#This Row],[PointsAgainst]]</f>
        <v>-18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0.51272374928329878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74.349999999999994</v>
      </c>
      <c r="Z92" s="4">
        <f>Games[[#This Row],[K]]*Games[[#This Row],[POMult]]</f>
        <v>74.349999999999994</v>
      </c>
      <c r="AA92" s="4">
        <f>(Games[[#This Row],[Keff]]*Games[[#This Row],[MOVMult]])*(Games[[#This Row],[Result]]-Games[[#This Row],[ExpectedWin%]])</f>
        <v>-17.955367722361729</v>
      </c>
      <c r="AB92" s="4">
        <f>Games[[#This Row],[PreGmRate]]+Games[[#This Row],[RatingChange]]</f>
        <v>1492.7232935717468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35628</v>
      </c>
      <c r="B93" s="2">
        <v>1997</v>
      </c>
      <c r="C93" s="2">
        <f>COUNTIFS(Games[Team],Games[[#This Row],[Team]],Games[Season],Games[[#This Row],[Season]],Games[Date],"&lt;=" &amp; Games[[#This Row],[Date]])</f>
        <v>12</v>
      </c>
      <c r="D93" s="2" t="s">
        <v>23</v>
      </c>
      <c r="E93" s="2" t="s">
        <v>29</v>
      </c>
      <c r="F93" s="1" t="s">
        <v>1</v>
      </c>
      <c r="G93" s="1" t="s">
        <v>64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3" s="2">
        <f>Games[[#This Row],[DaysOff]]-Games[[#This Row],[OppDaysOff]]</f>
        <v>1</v>
      </c>
      <c r="L93" s="2">
        <f>Games[[#This Row],[OppDaysOff]]-Games[[#This Row],[DaysOff]]</f>
        <v>-1</v>
      </c>
      <c r="M93" s="1">
        <f>MAX(-16, MIN(16, Games[[#This Row],[RestDiff]]*8))</f>
        <v>8</v>
      </c>
      <c r="N93" s="1">
        <f>MAX(-16, MIN(16, Games[[#This Row],[OppRestDiff]]*8))</f>
        <v>-8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1430.8457698611617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1510.6786612941085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0.52899025065797367</v>
      </c>
      <c r="R93" s="1">
        <v>65</v>
      </c>
      <c r="S93" s="1">
        <v>47</v>
      </c>
      <c r="T93" s="1">
        <v>0</v>
      </c>
      <c r="U93" s="1">
        <f>Games[[#This Row],[PointsFor]]-Games[[#This Row],[PointsAgainst]]</f>
        <v>18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0.51272374928329878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74.2</v>
      </c>
      <c r="Z93" s="4">
        <f>Games[[#This Row],[K]]*Games[[#This Row],[POMult]]</f>
        <v>74.2</v>
      </c>
      <c r="AA93" s="4">
        <f>(Games[[#This Row],[Keff]]*Games[[#This Row],[MOVMult]])*(Games[[#This Row],[Result]]-Games[[#This Row],[ExpectedWin%]])</f>
        <v>17.919143039666984</v>
      </c>
      <c r="AB93" s="4">
        <f>Games[[#This Row],[PreGmRate]]+Games[[#This Row],[RatingChange]]</f>
        <v>1448.7649129008287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35628</v>
      </c>
      <c r="B94" s="2">
        <v>1997</v>
      </c>
      <c r="C94" s="2">
        <f>COUNTIFS(Games[Team],Games[[#This Row],[Team]],Games[Season],Games[[#This Row],[Season]],Games[Date],"&lt;=" &amp; Games[[#This Row],[Date]])</f>
        <v>13</v>
      </c>
      <c r="D94" s="2" t="s">
        <v>23</v>
      </c>
      <c r="E94" s="2" t="s">
        <v>29</v>
      </c>
      <c r="F94" s="1" t="s">
        <v>43</v>
      </c>
      <c r="G94" s="1" t="s">
        <v>66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4" s="2">
        <f>Games[[#This Row],[DaysOff]]-Games[[#This Row],[OppDaysOff]]</f>
        <v>-1</v>
      </c>
      <c r="L94" s="2">
        <f>Games[[#This Row],[OppDaysOff]]-Games[[#This Row],[DaysOff]]</f>
        <v>1</v>
      </c>
      <c r="M94" s="1">
        <f>MAX(-16, MIN(16, Games[[#This Row],[RestDiff]]*8))</f>
        <v>-8</v>
      </c>
      <c r="N94" s="1">
        <f>MAX(-16, MIN(16, Games[[#This Row],[OppRestDiff]]*8))</f>
        <v>8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1405.0134541576333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1591.5674112835773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0.16117151150305858</v>
      </c>
      <c r="R94" s="1">
        <v>54</v>
      </c>
      <c r="S94" s="1">
        <v>80</v>
      </c>
      <c r="T94" s="1">
        <v>0</v>
      </c>
      <c r="U94" s="1">
        <f>Games[[#This Row],[PointsFor]]-Games[[#This Row],[PointsAgainst]]</f>
        <v>-26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0.56608316797649783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74.05</v>
      </c>
      <c r="Z94" s="4">
        <f>Games[[#This Row],[K]]*Games[[#This Row],[POMult]]</f>
        <v>74.05</v>
      </c>
      <c r="AA94" s="4">
        <f>(Games[[#This Row],[Keff]]*Games[[#This Row],[MOVMult]])*(Games[[#This Row],[Result]]-Games[[#This Row],[ExpectedWin%]])</f>
        <v>-6.7560613306126456</v>
      </c>
      <c r="AB94" s="4">
        <f>Games[[#This Row],[PreGmRate]]+Games[[#This Row],[RatingChange]]</f>
        <v>1398.2573928270206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35628</v>
      </c>
      <c r="B95" s="2">
        <v>1997</v>
      </c>
      <c r="C95" s="2">
        <f>COUNTIFS(Games[Team],Games[[#This Row],[Team]],Games[Season],Games[[#This Row],[Season]],Games[Date],"&lt;=" &amp; Games[[#This Row],[Date]])</f>
        <v>13</v>
      </c>
      <c r="D95" s="2" t="s">
        <v>23</v>
      </c>
      <c r="E95" s="2" t="s">
        <v>29</v>
      </c>
      <c r="F95" s="1" t="s">
        <v>66</v>
      </c>
      <c r="G95" s="1" t="s">
        <v>43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5" s="2">
        <f>Games[[#This Row],[DaysOff]]-Games[[#This Row],[OppDaysOff]]</f>
        <v>1</v>
      </c>
      <c r="L95" s="2">
        <f>Games[[#This Row],[OppDaysOff]]-Games[[#This Row],[DaysOff]]</f>
        <v>-1</v>
      </c>
      <c r="M95" s="1">
        <f>MAX(-16, MIN(16, Games[[#This Row],[RestDiff]]*8))</f>
        <v>8</v>
      </c>
      <c r="N95" s="1">
        <f>MAX(-16, MIN(16, Games[[#This Row],[OppRestDiff]]*8))</f>
        <v>-8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1591.5674112835773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1405.0134541576333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0.83882848849694147</v>
      </c>
      <c r="R95" s="1">
        <v>80</v>
      </c>
      <c r="S95" s="1">
        <v>54</v>
      </c>
      <c r="T95" s="1">
        <v>0</v>
      </c>
      <c r="U95" s="1">
        <f>Games[[#This Row],[PointsFor]]-Games[[#This Row],[PointsAgainst]]</f>
        <v>26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0.56608316797649783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74.05</v>
      </c>
      <c r="Z95" s="4">
        <f>Games[[#This Row],[K]]*Games[[#This Row],[POMult]]</f>
        <v>74.05</v>
      </c>
      <c r="AA95" s="4">
        <f>(Games[[#This Row],[Keff]]*Games[[#This Row],[MOVMult]])*(Games[[#This Row],[Result]]-Games[[#This Row],[ExpectedWin%]])</f>
        <v>6.7560613306126429</v>
      </c>
      <c r="AB95" s="4">
        <f>Games[[#This Row],[PreGmRate]]+Games[[#This Row],[RatingChange]]</f>
        <v>1598.32347261419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35629</v>
      </c>
      <c r="B96" s="2">
        <v>1997</v>
      </c>
      <c r="C96" s="2">
        <f>COUNTIFS(Games[Team],Games[[#This Row],[Team]],Games[Season],Games[[#This Row],[Season]],Games[Date],"&lt;=" &amp; Games[[#This Row],[Date]])</f>
        <v>13</v>
      </c>
      <c r="D96" s="2" t="s">
        <v>23</v>
      </c>
      <c r="E96" s="2" t="s">
        <v>29</v>
      </c>
      <c r="F96" s="1" t="s">
        <v>2</v>
      </c>
      <c r="G96" s="1" t="s">
        <v>45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1535.8196975082244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1469.2942915837823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0.47487322160736523</v>
      </c>
      <c r="R96" s="1">
        <v>82</v>
      </c>
      <c r="S96" s="1">
        <v>60</v>
      </c>
      <c r="T96" s="1">
        <v>0</v>
      </c>
      <c r="U96" s="1">
        <f>Games[[#This Row],[PointsFor]]-Games[[#This Row],[PointsAgainst]]</f>
        <v>22</v>
      </c>
      <c r="V96" s="1">
        <f>IF(Games[[#This Row],[MOV]]&gt;0,1,IF(Games[[#This Row],[MOV]]=0,0.5,0))</f>
        <v>1</v>
      </c>
      <c r="W96" s="4">
        <f>((ABS(Games[[#This Row],[MOV]])+5)^0.6)/(12+0.01*(ABS(Games[[#This Row],[PreGmRate]]-Games[[#This Row],[OppPreGmRate]])))*IF(Games[[#This Row],[OT]]=1,0.9,1)</f>
        <v>0.57043261998907602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74.05</v>
      </c>
      <c r="Z96" s="4">
        <f>Games[[#This Row],[K]]*Games[[#This Row],[POMult]]</f>
        <v>74.05</v>
      </c>
      <c r="AA96" s="4">
        <f>(Games[[#This Row],[Keff]]*Games[[#This Row],[MOVMult]])*(Games[[#This Row],[Result]]-Games[[#This Row],[ExpectedWin%]])</f>
        <v>22.181636330046331</v>
      </c>
      <c r="AB96" s="4">
        <f>Games[[#This Row],[PreGmRate]]+Games[[#This Row],[RatingChange]]</f>
        <v>1558.0013338382707</v>
      </c>
      <c r="AC96" s="2">
        <f>IF(Games[[#This Row],[Type]]="R",IF(Games[[#This Row],[Result]]&gt;0.5,1,0),0)</f>
        <v>1</v>
      </c>
      <c r="AD96" s="2">
        <f>IF(Games[[#This Row],[Type]]="R",IF(Games[[#This Row],[Result]]&lt;0.5,1,0),0)</f>
        <v>0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35629</v>
      </c>
      <c r="B97" s="2">
        <v>1997</v>
      </c>
      <c r="C97" s="2">
        <f>COUNTIFS(Games[Team],Games[[#This Row],[Team]],Games[Season],Games[[#This Row],[Season]],Games[Date],"&lt;=" &amp; Games[[#This Row],[Date]])</f>
        <v>12</v>
      </c>
      <c r="D97" s="2" t="s">
        <v>23</v>
      </c>
      <c r="E97" s="2" t="s">
        <v>29</v>
      </c>
      <c r="F97" s="1" t="s">
        <v>45</v>
      </c>
      <c r="G97" s="1" t="s">
        <v>2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1469.2942915837823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1535.8196975082244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0.52512677839263477</v>
      </c>
      <c r="R97" s="1">
        <v>60</v>
      </c>
      <c r="S97" s="1">
        <v>82</v>
      </c>
      <c r="T97" s="1">
        <v>0</v>
      </c>
      <c r="U97" s="1">
        <f>Games[[#This Row],[PointsFor]]-Games[[#This Row],[PointsAgainst]]</f>
        <v>-22</v>
      </c>
      <c r="V97" s="1">
        <f>IF(Games[[#This Row],[MOV]]&gt;0,1,IF(Games[[#This Row],[MOV]]=0,0.5,0))</f>
        <v>0</v>
      </c>
      <c r="W97" s="4">
        <f>((ABS(Games[[#This Row],[MOV]])+5)^0.6)/(12+0.01*(ABS(Games[[#This Row],[PreGmRate]]-Games[[#This Row],[OppPreGmRate]])))*IF(Games[[#This Row],[OT]]=1,0.9,1)</f>
        <v>0.57043261998907602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74.2</v>
      </c>
      <c r="Z97" s="4">
        <f>Games[[#This Row],[K]]*Games[[#This Row],[POMult]]</f>
        <v>74.2</v>
      </c>
      <c r="AA97" s="4">
        <f>(Games[[#This Row],[Keff]]*Games[[#This Row],[MOVMult]])*(Games[[#This Row],[Result]]-Games[[#This Row],[ExpectedWin%]])</f>
        <v>-22.226568746650074</v>
      </c>
      <c r="AB97" s="4">
        <f>Games[[#This Row],[PreGmRate]]+Games[[#This Row],[RatingChange]]</f>
        <v>1447.0677228371321</v>
      </c>
      <c r="AC97" s="2">
        <f>IF(Games[[#This Row],[Type]]="R",IF(Games[[#This Row],[Result]]&gt;0.5,1,0),0)</f>
        <v>0</v>
      </c>
      <c r="AD97" s="2">
        <f>IF(Games[[#This Row],[Type]]="R",IF(Games[[#This Row],[Result]]&lt;0.5,1,0),0)</f>
        <v>1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35630</v>
      </c>
      <c r="B98" s="2">
        <v>1997</v>
      </c>
      <c r="C98" s="2">
        <f>COUNTIFS(Games[Team],Games[[#This Row],[Team]],Games[Season],Games[[#This Row],[Season]],Games[Date],"&lt;=" &amp; Games[[#This Row],[Date]])</f>
        <v>14</v>
      </c>
      <c r="D98" s="2" t="s">
        <v>23</v>
      </c>
      <c r="E98" s="2" t="s">
        <v>29</v>
      </c>
      <c r="F98" s="1" t="s">
        <v>43</v>
      </c>
      <c r="G98" s="1" t="s">
        <v>1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0</v>
      </c>
      <c r="L98" s="2">
        <f>Games[[#This Row],[OppDaysOff]]-Games[[#This Row],[DaysOff]]</f>
        <v>0</v>
      </c>
      <c r="M98" s="1">
        <f>MAX(-16, MIN(16, Games[[#This Row],[RestDiff]]*8))</f>
        <v>0</v>
      </c>
      <c r="N98" s="1">
        <f>MAX(-16, MIN(16, Games[[#This Row],[OppRestDiff]]*8))</f>
        <v>0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1398.2573928270206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1448.7649129008287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0.31555235880359545</v>
      </c>
      <c r="R98" s="1">
        <v>68</v>
      </c>
      <c r="S98" s="1">
        <v>95</v>
      </c>
      <c r="T98" s="1">
        <v>0</v>
      </c>
      <c r="U98" s="1">
        <f>Games[[#This Row],[PointsFor]]-Games[[#This Row],[PointsAgainst]]</f>
        <v>-27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0.63974025518277711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73.900000000000006</v>
      </c>
      <c r="Z98" s="4">
        <f>Games[[#This Row],[K]]*Games[[#This Row],[POMult]]</f>
        <v>73.900000000000006</v>
      </c>
      <c r="AA98" s="4">
        <f>(Games[[#This Row],[Keff]]*Games[[#This Row],[MOVMult]])*(Games[[#This Row],[Result]]-Games[[#This Row],[ExpectedWin%]])</f>
        <v>-14.918307289641461</v>
      </c>
      <c r="AB98" s="4">
        <f>Games[[#This Row],[PreGmRate]]+Games[[#This Row],[RatingChange]]</f>
        <v>1383.3390855373791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35630</v>
      </c>
      <c r="B99" s="2">
        <v>1997</v>
      </c>
      <c r="C99" s="2">
        <f>COUNTIFS(Games[Team],Games[[#This Row],[Team]],Games[Season],Games[[#This Row],[Season]],Games[Date],"&lt;=" &amp; Games[[#This Row],[Date]])</f>
        <v>13</v>
      </c>
      <c r="D99" s="2" t="s">
        <v>23</v>
      </c>
      <c r="E99" s="2" t="s">
        <v>29</v>
      </c>
      <c r="F99" s="1" t="s">
        <v>1</v>
      </c>
      <c r="G99" s="1" t="s">
        <v>43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0</v>
      </c>
      <c r="L99" s="2">
        <f>Games[[#This Row],[OppDaysOff]]-Games[[#This Row],[DaysOff]]</f>
        <v>0</v>
      </c>
      <c r="M99" s="1">
        <f>MAX(-16, MIN(16, Games[[#This Row],[RestDiff]]*8))</f>
        <v>0</v>
      </c>
      <c r="N99" s="1">
        <f>MAX(-16, MIN(16, Games[[#This Row],[OppRestDiff]]*8))</f>
        <v>0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1448.7649129008287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1398.2573928270206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0.68444764119640455</v>
      </c>
      <c r="R99" s="1">
        <v>95</v>
      </c>
      <c r="S99" s="1">
        <v>68</v>
      </c>
      <c r="T99" s="1">
        <v>0</v>
      </c>
      <c r="U99" s="1">
        <f>Games[[#This Row],[PointsFor]]-Games[[#This Row],[PointsAgainst]]</f>
        <v>27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0.63974025518277711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74.05</v>
      </c>
      <c r="Z99" s="4">
        <f>Games[[#This Row],[K]]*Games[[#This Row],[POMult]]</f>
        <v>74.05</v>
      </c>
      <c r="AA99" s="4">
        <f>(Games[[#This Row],[Keff]]*Games[[#This Row],[MOVMult]])*(Games[[#This Row],[Result]]-Games[[#This Row],[ExpectedWin%]])</f>
        <v>14.948588021623141</v>
      </c>
      <c r="AB99" s="4">
        <f>Games[[#This Row],[PreGmRate]]+Games[[#This Row],[RatingChange]]</f>
        <v>1463.7135009224519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35630</v>
      </c>
      <c r="B100" s="2">
        <v>1997</v>
      </c>
      <c r="C100" s="2">
        <f>COUNTIFS(Games[Team],Games[[#This Row],[Team]],Games[Season],Games[[#This Row],[Season]],Games[Date],"&lt;=" &amp; Games[[#This Row],[Date]])</f>
        <v>13</v>
      </c>
      <c r="D100" s="2" t="s">
        <v>23</v>
      </c>
      <c r="E100" s="2" t="s">
        <v>29</v>
      </c>
      <c r="F100" s="1" t="s">
        <v>71</v>
      </c>
      <c r="G100" s="1" t="s">
        <v>66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0" s="2">
        <f>Games[[#This Row],[DaysOff]]-Games[[#This Row],[OppDaysOff]]</f>
        <v>1</v>
      </c>
      <c r="L100" s="2">
        <f>Games[[#This Row],[OppDaysOff]]-Games[[#This Row],[DaysOff]]</f>
        <v>-1</v>
      </c>
      <c r="M100" s="1">
        <f>MAX(-16, MIN(16, Games[[#This Row],[RestDiff]]*8))</f>
        <v>8</v>
      </c>
      <c r="N100" s="1">
        <f>MAX(-16, MIN(16, Games[[#This Row],[OppRestDiff]]*8))</f>
        <v>-8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1491.0774656113301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1598.32347261419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0.26721532457235714</v>
      </c>
      <c r="R100" s="1">
        <v>57</v>
      </c>
      <c r="S100" s="1">
        <v>69</v>
      </c>
      <c r="T100" s="1">
        <v>0</v>
      </c>
      <c r="U100" s="1">
        <f>Games[[#This Row],[PointsFor]]-Games[[#This Row],[PointsAgainst]]</f>
        <v>-12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0.41870874247057571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74.05</v>
      </c>
      <c r="Z100" s="4">
        <f>Games[[#This Row],[K]]*Games[[#This Row],[POMult]]</f>
        <v>74.05</v>
      </c>
      <c r="AA100" s="4">
        <f>(Games[[#This Row],[Keff]]*Games[[#This Row],[MOVMult]])*(Games[[#This Row],[Result]]-Games[[#This Row],[ExpectedWin%]])</f>
        <v>-8.2851133161473491</v>
      </c>
      <c r="AB100" s="4">
        <f>Games[[#This Row],[PreGmRate]]+Games[[#This Row],[RatingChange]]</f>
        <v>1482.7923522951828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35630</v>
      </c>
      <c r="B101" s="2">
        <v>1997</v>
      </c>
      <c r="C101" s="2">
        <f>COUNTIFS(Games[Team],Games[[#This Row],[Team]],Games[Season],Games[[#This Row],[Season]],Games[Date],"&lt;=" &amp; Games[[#This Row],[Date]])</f>
        <v>14</v>
      </c>
      <c r="D101" s="2" t="s">
        <v>23</v>
      </c>
      <c r="E101" s="2" t="s">
        <v>29</v>
      </c>
      <c r="F101" s="1" t="s">
        <v>66</v>
      </c>
      <c r="G101" s="1" t="s">
        <v>71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1" s="2">
        <f>Games[[#This Row],[DaysOff]]-Games[[#This Row],[OppDaysOff]]</f>
        <v>-1</v>
      </c>
      <c r="L101" s="2">
        <f>Games[[#This Row],[OppDaysOff]]-Games[[#This Row],[DaysOff]]</f>
        <v>1</v>
      </c>
      <c r="M101" s="1">
        <f>MAX(-16, MIN(16, Games[[#This Row],[RestDiff]]*8))</f>
        <v>-8</v>
      </c>
      <c r="N101" s="1">
        <f>MAX(-16, MIN(16, Games[[#This Row],[OppRestDiff]]*8))</f>
        <v>8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1598.32347261419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1491.0774656113301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0.73278467542764292</v>
      </c>
      <c r="R101" s="1">
        <v>69</v>
      </c>
      <c r="S101" s="1">
        <v>57</v>
      </c>
      <c r="T101" s="1">
        <v>0</v>
      </c>
      <c r="U101" s="1">
        <f>Games[[#This Row],[PointsFor]]-Games[[#This Row],[PointsAgainst]]</f>
        <v>12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0.41870874247057571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73.900000000000006</v>
      </c>
      <c r="Z101" s="4">
        <f>Games[[#This Row],[K]]*Games[[#This Row],[POMult]]</f>
        <v>73.900000000000006</v>
      </c>
      <c r="AA101" s="4">
        <f>(Games[[#This Row],[Keff]]*Games[[#This Row],[MOVMult]])*(Games[[#This Row],[Result]]-Games[[#This Row],[ExpectedWin%]])</f>
        <v>8.2683305072692637</v>
      </c>
      <c r="AB101" s="4">
        <f>Games[[#This Row],[PreGmRate]]+Games[[#This Row],[RatingChange]]</f>
        <v>1606.5918031214592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35632</v>
      </c>
      <c r="B102" s="2">
        <v>1997</v>
      </c>
      <c r="C102" s="2">
        <f>COUNTIFS(Games[Team],Games[[#This Row],[Team]],Games[Season],Games[[#This Row],[Season]],Games[Date],"&lt;=" &amp; Games[[#This Row],[Date]])</f>
        <v>14</v>
      </c>
      <c r="D102" s="2" t="s">
        <v>23</v>
      </c>
      <c r="E102" s="2" t="s">
        <v>29</v>
      </c>
      <c r="F102" s="1" t="s">
        <v>71</v>
      </c>
      <c r="G102" s="1" t="s">
        <v>64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2" s="2">
        <f>Games[[#This Row],[DaysOff]]-Games[[#This Row],[OppDaysOff]]</f>
        <v>-2</v>
      </c>
      <c r="L102" s="2">
        <f>Games[[#This Row],[OppDaysOff]]-Games[[#This Row],[DaysOff]]</f>
        <v>2</v>
      </c>
      <c r="M102" s="1">
        <f>MAX(-16, MIN(16, Games[[#This Row],[RestDiff]]*8))</f>
        <v>-16</v>
      </c>
      <c r="N102" s="1">
        <f>MAX(-16, MIN(16, Games[[#This Row],[OppRestDiff]]*8))</f>
        <v>16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1482.7923522951828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1492.7232935717468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0.32631119684343907</v>
      </c>
      <c r="R102" s="1">
        <v>64</v>
      </c>
      <c r="S102" s="1">
        <v>75</v>
      </c>
      <c r="T102" s="1">
        <v>0</v>
      </c>
      <c r="U102" s="1">
        <f>Games[[#This Row],[PointsFor]]-Games[[#This Row],[PointsAgainst]]</f>
        <v>-11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0.43622585909927014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73.900000000000006</v>
      </c>
      <c r="Z102" s="4">
        <f>Games[[#This Row],[K]]*Games[[#This Row],[POMult]]</f>
        <v>73.900000000000006</v>
      </c>
      <c r="AA102" s="4">
        <f>(Games[[#This Row],[Keff]]*Games[[#This Row],[MOVMult]])*(Games[[#This Row],[Result]]-Games[[#This Row],[ExpectedWin%]])</f>
        <v>-10.519323742861106</v>
      </c>
      <c r="AB102" s="4">
        <f>Games[[#This Row],[PreGmRate]]+Games[[#This Row],[RatingChange]]</f>
        <v>1472.2730285523216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35632</v>
      </c>
      <c r="B103" s="2">
        <v>1997</v>
      </c>
      <c r="C103" s="2">
        <f>COUNTIFS(Games[Team],Games[[#This Row],[Team]],Games[Season],Games[[#This Row],[Season]],Games[Date],"&lt;=" &amp; Games[[#This Row],[Date]])</f>
        <v>12</v>
      </c>
      <c r="D103" s="2" t="s">
        <v>23</v>
      </c>
      <c r="E103" s="2" t="s">
        <v>29</v>
      </c>
      <c r="F103" s="1" t="s">
        <v>64</v>
      </c>
      <c r="G103" s="1" t="s">
        <v>71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2</v>
      </c>
      <c r="L103" s="2">
        <f>Games[[#This Row],[OppDaysOff]]-Games[[#This Row],[DaysOff]]</f>
        <v>-2</v>
      </c>
      <c r="M103" s="1">
        <f>MAX(-16, MIN(16, Games[[#This Row],[RestDiff]]*8))</f>
        <v>16</v>
      </c>
      <c r="N103" s="1">
        <f>MAX(-16, MIN(16, Games[[#This Row],[OppRestDiff]]*8))</f>
        <v>-16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1492.7232935717468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1482.7923522951828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0.67368880315656088</v>
      </c>
      <c r="R103" s="1">
        <v>75</v>
      </c>
      <c r="S103" s="1">
        <v>64</v>
      </c>
      <c r="T103" s="1">
        <v>0</v>
      </c>
      <c r="U103" s="1">
        <f>Games[[#This Row],[PointsFor]]-Games[[#This Row],[PointsAgainst]]</f>
        <v>11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0.43622585909927014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74.2</v>
      </c>
      <c r="Z103" s="4">
        <f>Games[[#This Row],[K]]*Games[[#This Row],[POMult]]</f>
        <v>74.2</v>
      </c>
      <c r="AA103" s="4">
        <f>(Games[[#This Row],[Keff]]*Games[[#This Row],[MOVMult]])*(Games[[#This Row],[Result]]-Games[[#This Row],[ExpectedWin%]])</f>
        <v>10.562027357514129</v>
      </c>
      <c r="AB103" s="4">
        <f>Games[[#This Row],[PreGmRate]]+Games[[#This Row],[RatingChange]]</f>
        <v>1503.2853209292609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35632</v>
      </c>
      <c r="B104" s="2">
        <v>1997</v>
      </c>
      <c r="C104" s="2">
        <f>COUNTIFS(Games[Team],Games[[#This Row],[Team]],Games[Season],Games[[#This Row],[Season]],Games[Date],"&lt;=" &amp; Games[[#This Row],[Date]])</f>
        <v>11</v>
      </c>
      <c r="D104" s="2" t="s">
        <v>23</v>
      </c>
      <c r="E104" s="2" t="s">
        <v>29</v>
      </c>
      <c r="F104" s="1" t="s">
        <v>44</v>
      </c>
      <c r="G104" s="1" t="s">
        <v>45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4" s="2">
        <f>Games[[#This Row],[DaysOff]]-Games[[#This Row],[OppDaysOff]]</f>
        <v>2</v>
      </c>
      <c r="L104" s="2">
        <f>Games[[#This Row],[OppDaysOff]]-Games[[#This Row],[DaysOff]]</f>
        <v>-2</v>
      </c>
      <c r="M104" s="1">
        <f>MAX(-16, MIN(16, Games[[#This Row],[RestDiff]]*8))</f>
        <v>16</v>
      </c>
      <c r="N104" s="1">
        <f>MAX(-16, MIN(16, Games[[#This Row],[OppRestDiff]]*8))</f>
        <v>-16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1565.955601444047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1447.0677228371321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0.59508752922353081</v>
      </c>
      <c r="R104" s="1">
        <v>70</v>
      </c>
      <c r="S104" s="1">
        <v>57</v>
      </c>
      <c r="T104" s="1">
        <v>0</v>
      </c>
      <c r="U104" s="1">
        <f>Games[[#This Row],[PointsFor]]-Games[[#This Row],[PointsAgainst]]</f>
        <v>13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0.42949254137907517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74.349999999999994</v>
      </c>
      <c r="Z104" s="4">
        <f>Games[[#This Row],[K]]*Games[[#This Row],[POMult]]</f>
        <v>74.349999999999994</v>
      </c>
      <c r="AA104" s="4">
        <f>(Games[[#This Row],[Keff]]*Games[[#This Row],[MOVMult]])*(Games[[#This Row],[Result]]-Games[[#This Row],[ExpectedWin%]])</f>
        <v>12.929976982268554</v>
      </c>
      <c r="AB104" s="4">
        <f>Games[[#This Row],[PreGmRate]]+Games[[#This Row],[RatingChange]]</f>
        <v>1578.8855784263155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35632</v>
      </c>
      <c r="B105" s="2">
        <v>1997</v>
      </c>
      <c r="C105" s="2">
        <f>COUNTIFS(Games[Team],Games[[#This Row],[Team]],Games[Season],Games[[#This Row],[Season]],Games[Date],"&lt;=" &amp; Games[[#This Row],[Date]])</f>
        <v>13</v>
      </c>
      <c r="D105" s="2" t="s">
        <v>23</v>
      </c>
      <c r="E105" s="2" t="s">
        <v>29</v>
      </c>
      <c r="F105" s="1" t="s">
        <v>45</v>
      </c>
      <c r="G105" s="1" t="s">
        <v>44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5" s="2">
        <f>Games[[#This Row],[DaysOff]]-Games[[#This Row],[OppDaysOff]]</f>
        <v>-2</v>
      </c>
      <c r="L105" s="2">
        <f>Games[[#This Row],[OppDaysOff]]-Games[[#This Row],[DaysOff]]</f>
        <v>2</v>
      </c>
      <c r="M105" s="1">
        <f>MAX(-16, MIN(16, Games[[#This Row],[RestDiff]]*8))</f>
        <v>-16</v>
      </c>
      <c r="N105" s="1">
        <f>MAX(-16, MIN(16, Games[[#This Row],[OppRestDiff]]*8))</f>
        <v>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1447.0677228371321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1565.955601444047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0.40491247077646908</v>
      </c>
      <c r="R105" s="1">
        <v>57</v>
      </c>
      <c r="S105" s="1">
        <v>70</v>
      </c>
      <c r="T105" s="1">
        <v>0</v>
      </c>
      <c r="U105" s="1">
        <f>Games[[#This Row],[PointsFor]]-Games[[#This Row],[PointsAgainst]]</f>
        <v>-13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0.42949254137907517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74.05</v>
      </c>
      <c r="Z105" s="4">
        <f>Games[[#This Row],[K]]*Games[[#This Row],[POMult]]</f>
        <v>74.05</v>
      </c>
      <c r="AA105" s="4">
        <f>(Games[[#This Row],[Keff]]*Games[[#This Row],[MOVMult]])*(Games[[#This Row],[Result]]-Games[[#This Row],[ExpectedWin%]])</f>
        <v>-12.877804916435593</v>
      </c>
      <c r="AB105" s="4">
        <f>Games[[#This Row],[PreGmRate]]+Games[[#This Row],[RatingChange]]</f>
        <v>1434.1899179206966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35633</v>
      </c>
      <c r="B106" s="2">
        <v>1997</v>
      </c>
      <c r="C106" s="2">
        <f>COUNTIFS(Games[Team],Games[[#This Row],[Team]],Games[Season],Games[[#This Row],[Season]],Games[Date],"&lt;=" &amp; Games[[#This Row],[Date]])</f>
        <v>15</v>
      </c>
      <c r="D106" s="2" t="s">
        <v>23</v>
      </c>
      <c r="E106" s="2" t="s">
        <v>29</v>
      </c>
      <c r="F106" s="1" t="s">
        <v>43</v>
      </c>
      <c r="G106" s="1" t="s">
        <v>66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1383.3390855373791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1606.5918031214592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0.14570546298130332</v>
      </c>
      <c r="R106" s="1">
        <v>78</v>
      </c>
      <c r="S106" s="1">
        <v>71</v>
      </c>
      <c r="T106" s="1">
        <v>0</v>
      </c>
      <c r="U106" s="1">
        <f>Games[[#This Row],[PointsFor]]-Games[[#This Row],[PointsAgainst]]</f>
        <v>7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0.31205182431583633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73.75</v>
      </c>
      <c r="Z106" s="4">
        <f>Games[[#This Row],[K]]*Games[[#This Row],[POMult]]</f>
        <v>73.75</v>
      </c>
      <c r="AA106" s="4">
        <f>(Games[[#This Row],[Keff]]*Games[[#This Row],[MOVMult]])*(Games[[#This Row],[Result]]-Games[[#This Row],[ExpectedWin%]])</f>
        <v>19.660582447505611</v>
      </c>
      <c r="AB106" s="4">
        <f>Games[[#This Row],[PreGmRate]]+Games[[#This Row],[RatingChange]]</f>
        <v>1402.9996679848848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35633</v>
      </c>
      <c r="B107" s="2">
        <v>1997</v>
      </c>
      <c r="C107" s="2">
        <f>COUNTIFS(Games[Team],Games[[#This Row],[Team]],Games[Season],Games[[#This Row],[Season]],Games[Date],"&lt;=" &amp; Games[[#This Row],[Date]])</f>
        <v>15</v>
      </c>
      <c r="D107" s="2" t="s">
        <v>23</v>
      </c>
      <c r="E107" s="2" t="s">
        <v>29</v>
      </c>
      <c r="F107" s="1" t="s">
        <v>66</v>
      </c>
      <c r="G107" s="1" t="s">
        <v>43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1606.5918031214592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1383.3390855373791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0.85429453701869673</v>
      </c>
      <c r="R107" s="1">
        <v>71</v>
      </c>
      <c r="S107" s="1">
        <v>78</v>
      </c>
      <c r="T107" s="1">
        <v>0</v>
      </c>
      <c r="U107" s="1">
        <f>Games[[#This Row],[PointsFor]]-Games[[#This Row],[PointsAgainst]]</f>
        <v>-7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0.31205182431583633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73.75</v>
      </c>
      <c r="Z107" s="4">
        <f>Games[[#This Row],[K]]*Games[[#This Row],[POMult]]</f>
        <v>73.75</v>
      </c>
      <c r="AA107" s="4">
        <f>(Games[[#This Row],[Keff]]*Games[[#This Row],[MOVMult]])*(Games[[#This Row],[Result]]-Games[[#This Row],[ExpectedWin%]])</f>
        <v>-19.660582447505611</v>
      </c>
      <c r="AB107" s="4">
        <f>Games[[#This Row],[PreGmRate]]+Games[[#This Row],[RatingChange]]</f>
        <v>1586.9312206739535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35633</v>
      </c>
      <c r="B108" s="2">
        <v>1997</v>
      </c>
      <c r="C108" s="2">
        <f>COUNTIFS(Games[Team],Games[[#This Row],[Team]],Games[Season],Games[[#This Row],[Season]],Games[Date],"&lt;=" &amp; Games[[#This Row],[Date]])</f>
        <v>14</v>
      </c>
      <c r="D108" s="2" t="s">
        <v>23</v>
      </c>
      <c r="E108" s="2" t="s">
        <v>29</v>
      </c>
      <c r="F108" s="1" t="s">
        <v>2</v>
      </c>
      <c r="G108" s="1" t="s">
        <v>44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8" s="2">
        <f>Games[[#This Row],[DaysOff]]-Games[[#This Row],[OppDaysOff]]</f>
        <v>3</v>
      </c>
      <c r="L108" s="2">
        <f>Games[[#This Row],[OppDaysOff]]-Games[[#This Row],[DaysOff]]</f>
        <v>-3</v>
      </c>
      <c r="M108" s="1">
        <f>MAX(-16, MIN(16, Games[[#This Row],[RestDiff]]*8))</f>
        <v>16</v>
      </c>
      <c r="N108" s="1">
        <f>MAX(-16, MIN(16, Games[[#This Row],[OppRestDiff]]*8))</f>
        <v>-16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1558.0013338382707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1578.8855784263155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0.39662313486802397</v>
      </c>
      <c r="R108" s="1">
        <v>77</v>
      </c>
      <c r="S108" s="1">
        <v>69</v>
      </c>
      <c r="T108" s="1">
        <v>0</v>
      </c>
      <c r="U108" s="1">
        <f>Games[[#This Row],[PointsFor]]-Games[[#This Row],[PointsAgainst]]</f>
        <v>8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0.38167307348686347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73.900000000000006</v>
      </c>
      <c r="Z108" s="4">
        <f>Games[[#This Row],[K]]*Games[[#This Row],[POMult]]</f>
        <v>73.900000000000006</v>
      </c>
      <c r="AA108" s="4">
        <f>(Games[[#This Row],[Keff]]*Games[[#This Row],[MOVMult]])*(Games[[#This Row],[Result]]-Games[[#This Row],[ExpectedWin%]])</f>
        <v>17.018630721089881</v>
      </c>
      <c r="AB108" s="4">
        <f>Games[[#This Row],[PreGmRate]]+Games[[#This Row],[RatingChange]]</f>
        <v>1575.0199645593607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35633</v>
      </c>
      <c r="B109" s="2">
        <v>1997</v>
      </c>
      <c r="C109" s="2">
        <f>COUNTIFS(Games[Team],Games[[#This Row],[Team]],Games[Season],Games[[#This Row],[Season]],Games[Date],"&lt;=" &amp; Games[[#This Row],[Date]])</f>
        <v>12</v>
      </c>
      <c r="D109" s="2" t="s">
        <v>23</v>
      </c>
      <c r="E109" s="2" t="s">
        <v>29</v>
      </c>
      <c r="F109" s="1" t="s">
        <v>44</v>
      </c>
      <c r="G109" s="1" t="s">
        <v>2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9" s="2">
        <f>Games[[#This Row],[DaysOff]]-Games[[#This Row],[OppDaysOff]]</f>
        <v>-3</v>
      </c>
      <c r="L109" s="2">
        <f>Games[[#This Row],[OppDaysOff]]-Games[[#This Row],[DaysOff]]</f>
        <v>3</v>
      </c>
      <c r="M109" s="1">
        <f>MAX(-16, MIN(16, Games[[#This Row],[RestDiff]]*8))</f>
        <v>-16</v>
      </c>
      <c r="N109" s="1">
        <f>MAX(-16, MIN(16, Games[[#This Row],[OppRestDiff]]*8))</f>
        <v>16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1578.8855784263155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1558.0013338382707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0.60337686513197597</v>
      </c>
      <c r="R109" s="1">
        <v>69</v>
      </c>
      <c r="S109" s="1">
        <v>77</v>
      </c>
      <c r="T109" s="1">
        <v>0</v>
      </c>
      <c r="U109" s="1">
        <f>Games[[#This Row],[PointsFor]]-Games[[#This Row],[PointsAgainst]]</f>
        <v>-8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0.38167307348686347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74.2</v>
      </c>
      <c r="Z109" s="4">
        <f>Games[[#This Row],[K]]*Games[[#This Row],[POMult]]</f>
        <v>74.2</v>
      </c>
      <c r="AA109" s="4">
        <f>(Games[[#This Row],[Keff]]*Games[[#This Row],[MOVMult]])*(Games[[#This Row],[Result]]-Games[[#This Row],[ExpectedWin%]])</f>
        <v>-17.087718531865615</v>
      </c>
      <c r="AB109" s="4">
        <f>Games[[#This Row],[PreGmRate]]+Games[[#This Row],[RatingChange]]</f>
        <v>1561.7978598944499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35634</v>
      </c>
      <c r="B110" s="2">
        <v>1997</v>
      </c>
      <c r="C110" s="2">
        <f>COUNTIFS(Games[Team],Games[[#This Row],[Team]],Games[Season],Games[[#This Row],[Season]],Games[Date],"&lt;=" &amp; Games[[#This Row],[Date]])</f>
        <v>16</v>
      </c>
      <c r="D110" s="2" t="s">
        <v>23</v>
      </c>
      <c r="E110" s="2" t="s">
        <v>29</v>
      </c>
      <c r="F110" s="1" t="s">
        <v>66</v>
      </c>
      <c r="G110" s="1" t="s">
        <v>64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0" s="2">
        <f>Games[[#This Row],[DaysOff]]-Games[[#This Row],[OppDaysOff]]</f>
        <v>-1</v>
      </c>
      <c r="L110" s="2">
        <f>Games[[#This Row],[OppDaysOff]]-Games[[#This Row],[DaysOff]]</f>
        <v>1</v>
      </c>
      <c r="M110" s="1">
        <f>MAX(-16, MIN(16, Games[[#This Row],[RestDiff]]*8))</f>
        <v>-8</v>
      </c>
      <c r="N110" s="1">
        <f>MAX(-16, MIN(16, Games[[#This Row],[OppRestDiff]]*8))</f>
        <v>8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1586.9312206739535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1503.2853209292609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0.47648192469094325</v>
      </c>
      <c r="R110" s="1">
        <v>65</v>
      </c>
      <c r="S110" s="1">
        <v>63</v>
      </c>
      <c r="T110" s="1">
        <v>0</v>
      </c>
      <c r="U110" s="1">
        <f>Games[[#This Row],[PointsFor]]-Games[[#This Row],[PointsAgainst]]</f>
        <v>2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0.25038804317883129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73.599999999999994</v>
      </c>
      <c r="Z110" s="4">
        <f>Games[[#This Row],[K]]*Games[[#This Row],[POMult]]</f>
        <v>73.599999999999994</v>
      </c>
      <c r="AA110" s="4">
        <f>(Games[[#This Row],[Keff]]*Games[[#This Row],[MOVMult]])*(Games[[#This Row],[Result]]-Games[[#This Row],[ExpectedWin%]])</f>
        <v>9.6476842503801681</v>
      </c>
      <c r="AB110" s="4">
        <f>Games[[#This Row],[PreGmRate]]+Games[[#This Row],[RatingChange]]</f>
        <v>1596.5789049243338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35634</v>
      </c>
      <c r="B111" s="2">
        <v>1997</v>
      </c>
      <c r="C111" s="2">
        <f>COUNTIFS(Games[Team],Games[[#This Row],[Team]],Games[Season],Games[[#This Row],[Season]],Games[Date],"&lt;=" &amp; Games[[#This Row],[Date]])</f>
        <v>13</v>
      </c>
      <c r="D111" s="2" t="s">
        <v>23</v>
      </c>
      <c r="E111" s="2" t="s">
        <v>29</v>
      </c>
      <c r="F111" s="1" t="s">
        <v>64</v>
      </c>
      <c r="G111" s="1" t="s">
        <v>66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1" s="2">
        <f>Games[[#This Row],[DaysOff]]-Games[[#This Row],[OppDaysOff]]</f>
        <v>1</v>
      </c>
      <c r="L111" s="2">
        <f>Games[[#This Row],[OppDaysOff]]-Games[[#This Row],[DaysOff]]</f>
        <v>-1</v>
      </c>
      <c r="M111" s="1">
        <f>MAX(-16, MIN(16, Games[[#This Row],[RestDiff]]*8))</f>
        <v>8</v>
      </c>
      <c r="N111" s="1">
        <f>MAX(-16, MIN(16, Games[[#This Row],[OppRestDiff]]*8))</f>
        <v>-8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1503.2853209292609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1586.9312206739535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0.52351807530905681</v>
      </c>
      <c r="R111" s="1">
        <v>63</v>
      </c>
      <c r="S111" s="1">
        <v>65</v>
      </c>
      <c r="T111" s="1">
        <v>0</v>
      </c>
      <c r="U111" s="1">
        <f>Games[[#This Row],[PointsFor]]-Games[[#This Row],[PointsAgainst]]</f>
        <v>-2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0.25038804317883129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74.05</v>
      </c>
      <c r="Z111" s="4">
        <f>Games[[#This Row],[K]]*Games[[#This Row],[POMult]]</f>
        <v>74.05</v>
      </c>
      <c r="AA111" s="4">
        <f>(Games[[#This Row],[Keff]]*Games[[#This Row],[MOVMult]])*(Games[[#This Row],[Result]]-Games[[#This Row],[ExpectedWin%]])</f>
        <v>-9.7066714502805933</v>
      </c>
      <c r="AB111" s="4">
        <f>Games[[#This Row],[PreGmRate]]+Games[[#This Row],[RatingChange]]</f>
        <v>1493.5786494789804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35634</v>
      </c>
      <c r="B112" s="2">
        <v>1997</v>
      </c>
      <c r="C112" s="2">
        <f>COUNTIFS(Games[Team],Games[[#This Row],[Team]],Games[Season],Games[[#This Row],[Season]],Games[Date],"&lt;=" &amp; Games[[#This Row],[Date]])</f>
        <v>14</v>
      </c>
      <c r="D112" s="2" t="s">
        <v>23</v>
      </c>
      <c r="E112" s="2" t="s">
        <v>29</v>
      </c>
      <c r="F112" s="1" t="s">
        <v>1</v>
      </c>
      <c r="G112" s="1" t="s">
        <v>71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2</v>
      </c>
      <c r="L112" s="2">
        <f>Games[[#This Row],[OppDaysOff]]-Games[[#This Row],[DaysOff]]</f>
        <v>-2</v>
      </c>
      <c r="M112" s="1">
        <f>MAX(-16, MIN(16, Games[[#This Row],[RestDiff]]*8))</f>
        <v>16</v>
      </c>
      <c r="N112" s="1">
        <f>MAX(-16, MIN(16, Games[[#This Row],[OppRestDiff]]*8))</f>
        <v>-16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1463.7135009224519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1472.2730285523216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0.41371985707432773</v>
      </c>
      <c r="R112" s="1">
        <v>89</v>
      </c>
      <c r="S112" s="1">
        <v>85</v>
      </c>
      <c r="T112" s="1">
        <v>0</v>
      </c>
      <c r="U112" s="1">
        <f>Games[[#This Row],[PointsFor]]-Games[[#This Row],[PointsAgainst]]</f>
        <v>4</v>
      </c>
      <c r="V112" s="1">
        <f>IF(Games[[#This Row],[MOV]]&gt;0,1,IF(Games[[#This Row],[MOV]]=0,0.5,0))</f>
        <v>1</v>
      </c>
      <c r="W112" s="4">
        <f>((ABS(Games[[#This Row],[MOV]])+5)^0.6)/(12+0.01*(ABS(Games[[#This Row],[PreGmRate]]-Games[[#This Row],[OppPreGmRate]])))*IF(Games[[#This Row],[OT]]=1,0.9,1)</f>
        <v>0.30922703709726534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73.900000000000006</v>
      </c>
      <c r="Z112" s="4">
        <f>Games[[#This Row],[K]]*Games[[#This Row],[POMult]]</f>
        <v>73.900000000000006</v>
      </c>
      <c r="AA112" s="4">
        <f>(Games[[#This Row],[Keff]]*Games[[#This Row],[MOVMult]])*(Games[[#This Row],[Result]]-Games[[#This Row],[ExpectedWin%]])</f>
        <v>13.397602324283564</v>
      </c>
      <c r="AB112" s="4">
        <f>Games[[#This Row],[PreGmRate]]+Games[[#This Row],[RatingChange]]</f>
        <v>1477.1111032467354</v>
      </c>
      <c r="AC112" s="2">
        <f>IF(Games[[#This Row],[Type]]="R",IF(Games[[#This Row],[Result]]&gt;0.5,1,0),0)</f>
        <v>1</v>
      </c>
      <c r="AD112" s="2">
        <f>IF(Games[[#This Row],[Type]]="R",IF(Games[[#This Row],[Result]]&lt;0.5,1,0),0)</f>
        <v>0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35634</v>
      </c>
      <c r="B113" s="2">
        <v>1997</v>
      </c>
      <c r="C113" s="2">
        <f>COUNTIFS(Games[Team],Games[[#This Row],[Team]],Games[Season],Games[[#This Row],[Season]],Games[Date],"&lt;=" &amp; Games[[#This Row],[Date]])</f>
        <v>15</v>
      </c>
      <c r="D113" s="2" t="s">
        <v>23</v>
      </c>
      <c r="E113" s="2" t="s">
        <v>29</v>
      </c>
      <c r="F113" s="1" t="s">
        <v>71</v>
      </c>
      <c r="G113" s="1" t="s">
        <v>1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3" s="2">
        <f>Games[[#This Row],[DaysOff]]-Games[[#This Row],[OppDaysOff]]</f>
        <v>-2</v>
      </c>
      <c r="L113" s="2">
        <f>Games[[#This Row],[OppDaysOff]]-Games[[#This Row],[DaysOff]]</f>
        <v>2</v>
      </c>
      <c r="M113" s="1">
        <f>MAX(-16, MIN(16, Games[[#This Row],[RestDiff]]*8))</f>
        <v>-16</v>
      </c>
      <c r="N113" s="1">
        <f>MAX(-16, MIN(16, Games[[#This Row],[OppRestDiff]]*8))</f>
        <v>16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1472.2730285523216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1463.7135009224519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0.58628014292567232</v>
      </c>
      <c r="R113" s="1">
        <v>85</v>
      </c>
      <c r="S113" s="1">
        <v>89</v>
      </c>
      <c r="T113" s="1">
        <v>0</v>
      </c>
      <c r="U113" s="1">
        <f>Games[[#This Row],[PointsFor]]-Games[[#This Row],[PointsAgainst]]</f>
        <v>-4</v>
      </c>
      <c r="V113" s="1">
        <f>IF(Games[[#This Row],[MOV]]&gt;0,1,IF(Games[[#This Row],[MOV]]=0,0.5,0))</f>
        <v>0</v>
      </c>
      <c r="W113" s="4">
        <f>((ABS(Games[[#This Row],[MOV]])+5)^0.6)/(12+0.01*(ABS(Games[[#This Row],[PreGmRate]]-Games[[#This Row],[OppPreGmRate]])))*IF(Games[[#This Row],[OT]]=1,0.9,1)</f>
        <v>0.30922703709726534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73.75</v>
      </c>
      <c r="Z113" s="4">
        <f>Games[[#This Row],[K]]*Games[[#This Row],[POMult]]</f>
        <v>73.75</v>
      </c>
      <c r="AA113" s="4">
        <f>(Games[[#This Row],[Keff]]*Games[[#This Row],[MOVMult]])*(Games[[#This Row],[Result]]-Games[[#This Row],[ExpectedWin%]])</f>
        <v>-13.370408273557684</v>
      </c>
      <c r="AB113" s="4">
        <f>Games[[#This Row],[PreGmRate]]+Games[[#This Row],[RatingChange]]</f>
        <v>1458.9026202787641</v>
      </c>
      <c r="AC113" s="2">
        <f>IF(Games[[#This Row],[Type]]="R",IF(Games[[#This Row],[Result]]&gt;0.5,1,0),0)</f>
        <v>0</v>
      </c>
      <c r="AD113" s="2">
        <f>IF(Games[[#This Row],[Type]]="R",IF(Games[[#This Row],[Result]]&lt;0.5,1,0),0)</f>
        <v>1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35636</v>
      </c>
      <c r="B114" s="2">
        <v>1997</v>
      </c>
      <c r="C114" s="2">
        <f>COUNTIFS(Games[Team],Games[[#This Row],[Team]],Games[Season],Games[[#This Row],[Season]],Games[Date],"&lt;=" &amp; Games[[#This Row],[Date]])</f>
        <v>16</v>
      </c>
      <c r="D114" s="2" t="s">
        <v>23</v>
      </c>
      <c r="E114" s="2" t="s">
        <v>29</v>
      </c>
      <c r="F114" s="1" t="s">
        <v>71</v>
      </c>
      <c r="G114" s="1" t="s">
        <v>44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4" s="2">
        <f>Games[[#This Row],[DaysOff]]-Games[[#This Row],[OppDaysOff]]</f>
        <v>-1</v>
      </c>
      <c r="L114" s="2">
        <f>Games[[#This Row],[OppDaysOff]]-Games[[#This Row],[DaysOff]]</f>
        <v>1</v>
      </c>
      <c r="M114" s="1">
        <f>MAX(-16, MIN(16, Games[[#This Row],[RestDiff]]*8))</f>
        <v>-8</v>
      </c>
      <c r="N114" s="1">
        <f>MAX(-16, MIN(16, Games[[#This Row],[OppRestDiff]]*8))</f>
        <v>8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1458.9026202787641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1561.7978598944499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0.23722412346325189</v>
      </c>
      <c r="R114" s="1">
        <v>86</v>
      </c>
      <c r="S114" s="1">
        <v>83</v>
      </c>
      <c r="T114" s="1">
        <v>1</v>
      </c>
      <c r="U114" s="1">
        <f>Games[[#This Row],[PointsFor]]-Games[[#This Row],[PointsAgainst]]</f>
        <v>3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0.24053983256477901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73.599999999999994</v>
      </c>
      <c r="Z114" s="4">
        <f>Games[[#This Row],[K]]*Games[[#This Row],[POMult]]</f>
        <v>73.599999999999994</v>
      </c>
      <c r="AA114" s="4">
        <f>(Games[[#This Row],[Keff]]*Games[[#This Row],[MOVMult]])*(Games[[#This Row],[Result]]-Games[[#This Row],[ExpectedWin%]])</f>
        <v>13.503979447717901</v>
      </c>
      <c r="AB114" s="4">
        <f>Games[[#This Row],[PreGmRate]]+Games[[#This Row],[RatingChange]]</f>
        <v>1472.406599726482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35636</v>
      </c>
      <c r="B115" s="2">
        <v>1997</v>
      </c>
      <c r="C115" s="2">
        <f>COUNTIFS(Games[Team],Games[[#This Row],[Team]],Games[Season],Games[[#This Row],[Season]],Games[Date],"&lt;=" &amp; Games[[#This Row],[Date]])</f>
        <v>13</v>
      </c>
      <c r="D115" s="2" t="s">
        <v>23</v>
      </c>
      <c r="E115" s="2" t="s">
        <v>29</v>
      </c>
      <c r="F115" s="1" t="s">
        <v>44</v>
      </c>
      <c r="G115" s="1" t="s">
        <v>71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1</v>
      </c>
      <c r="L115" s="2">
        <f>Games[[#This Row],[OppDaysOff]]-Games[[#This Row],[DaysOff]]</f>
        <v>-1</v>
      </c>
      <c r="M115" s="1">
        <f>MAX(-16, MIN(16, Games[[#This Row],[RestDiff]]*8))</f>
        <v>8</v>
      </c>
      <c r="N115" s="1">
        <f>MAX(-16, MIN(16, Games[[#This Row],[OppRestDiff]]*8))</f>
        <v>-8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1561.7978598944499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1458.9026202787641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0.76277587653674817</v>
      </c>
      <c r="R115" s="1">
        <v>83</v>
      </c>
      <c r="S115" s="1">
        <v>86</v>
      </c>
      <c r="T115" s="1">
        <v>1</v>
      </c>
      <c r="U115" s="1">
        <f>Games[[#This Row],[PointsFor]]-Games[[#This Row],[PointsAgainst]]</f>
        <v>-3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0.24053983256477901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74.05</v>
      </c>
      <c r="Z115" s="4">
        <f>Games[[#This Row],[K]]*Games[[#This Row],[POMult]]</f>
        <v>74.05</v>
      </c>
      <c r="AA115" s="4">
        <f>(Games[[#This Row],[Keff]]*Games[[#This Row],[MOVMult]])*(Games[[#This Row],[Result]]-Games[[#This Row],[ExpectedWin%]])</f>
        <v>-13.586544539449873</v>
      </c>
      <c r="AB115" s="4">
        <f>Games[[#This Row],[PreGmRate]]+Games[[#This Row],[RatingChange]]</f>
        <v>1548.2113153549999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35636</v>
      </c>
      <c r="B116" s="2">
        <v>1997</v>
      </c>
      <c r="C116" s="2">
        <f>COUNTIFS(Games[Team],Games[[#This Row],[Team]],Games[Season],Games[[#This Row],[Season]],Games[Date],"&lt;=" &amp; Games[[#This Row],[Date]])</f>
        <v>15</v>
      </c>
      <c r="D116" s="2" t="s">
        <v>23</v>
      </c>
      <c r="E116" s="2" t="s">
        <v>29</v>
      </c>
      <c r="F116" s="1" t="s">
        <v>2</v>
      </c>
      <c r="G116" s="1" t="s">
        <v>45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6" s="2">
        <f>Games[[#This Row],[DaysOff]]-Games[[#This Row],[OppDaysOff]]</f>
        <v>-1</v>
      </c>
      <c r="L116" s="2">
        <f>Games[[#This Row],[OppDaysOff]]-Games[[#This Row],[DaysOff]]</f>
        <v>1</v>
      </c>
      <c r="M116" s="1">
        <f>MAX(-16, MIN(16, Games[[#This Row],[RestDiff]]*8))</f>
        <v>-8</v>
      </c>
      <c r="N116" s="1">
        <f>MAX(-16, MIN(16, Games[[#This Row],[OppRestDiff]]*8))</f>
        <v>8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1575.0199645593607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1434.1899179206966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0.55849014756249304</v>
      </c>
      <c r="R116" s="1">
        <v>86</v>
      </c>
      <c r="S116" s="1">
        <v>76</v>
      </c>
      <c r="T116" s="1">
        <v>0</v>
      </c>
      <c r="U116" s="1">
        <f>Games[[#This Row],[PointsFor]]-Games[[#This Row],[PointsAgainst]]</f>
        <v>10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0.37868754542877137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73.75</v>
      </c>
      <c r="Z116" s="4">
        <f>Games[[#This Row],[K]]*Games[[#This Row],[POMult]]</f>
        <v>73.75</v>
      </c>
      <c r="AA116" s="4">
        <f>(Games[[#This Row],[Keff]]*Games[[#This Row],[MOVMult]])*(Games[[#This Row],[Result]]-Games[[#This Row],[ExpectedWin%]])</f>
        <v>12.330578319785667</v>
      </c>
      <c r="AB116" s="4">
        <f>Games[[#This Row],[PreGmRate]]+Games[[#This Row],[RatingChange]]</f>
        <v>1587.3505428791464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35636</v>
      </c>
      <c r="B117" s="2">
        <v>1997</v>
      </c>
      <c r="C117" s="2">
        <f>COUNTIFS(Games[Team],Games[[#This Row],[Team]],Games[Season],Games[[#This Row],[Season]],Games[Date],"&lt;=" &amp; Games[[#This Row],[Date]])</f>
        <v>14</v>
      </c>
      <c r="D117" s="2" t="s">
        <v>23</v>
      </c>
      <c r="E117" s="2" t="s">
        <v>29</v>
      </c>
      <c r="F117" s="1" t="s">
        <v>45</v>
      </c>
      <c r="G117" s="1" t="s">
        <v>2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7" s="2">
        <f>Games[[#This Row],[DaysOff]]-Games[[#This Row],[OppDaysOff]]</f>
        <v>1</v>
      </c>
      <c r="L117" s="2">
        <f>Games[[#This Row],[OppDaysOff]]-Games[[#This Row],[DaysOff]]</f>
        <v>-1</v>
      </c>
      <c r="M117" s="1">
        <f>MAX(-16, MIN(16, Games[[#This Row],[RestDiff]]*8))</f>
        <v>8</v>
      </c>
      <c r="N117" s="1">
        <f>MAX(-16, MIN(16, Games[[#This Row],[OppRestDiff]]*8))</f>
        <v>-8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1434.1899179206966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1575.0199645593607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0.4415098524375069</v>
      </c>
      <c r="R117" s="1">
        <v>76</v>
      </c>
      <c r="S117" s="1">
        <v>86</v>
      </c>
      <c r="T117" s="1">
        <v>0</v>
      </c>
      <c r="U117" s="1">
        <f>Games[[#This Row],[PointsFor]]-Games[[#This Row],[PointsAgainst]]</f>
        <v>-10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0.37868754542877137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73.900000000000006</v>
      </c>
      <c r="Z117" s="4">
        <f>Games[[#This Row],[K]]*Games[[#This Row],[POMult]]</f>
        <v>73.900000000000006</v>
      </c>
      <c r="AA117" s="4">
        <f>(Games[[#This Row],[Keff]]*Games[[#This Row],[MOVMult]])*(Games[[#This Row],[Result]]-Games[[#This Row],[ExpectedWin%]])</f>
        <v>-12.355657462130996</v>
      </c>
      <c r="AB117" s="4">
        <f>Games[[#This Row],[PreGmRate]]+Games[[#This Row],[RatingChange]]</f>
        <v>1421.8342604585657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35637</v>
      </c>
      <c r="B118" s="2">
        <v>1997</v>
      </c>
      <c r="C118" s="2">
        <f>COUNTIFS(Games[Team],Games[[#This Row],[Team]],Games[Season],Games[[#This Row],[Season]],Games[Date],"&lt;=" &amp; Games[[#This Row],[Date]])</f>
        <v>14</v>
      </c>
      <c r="D118" s="2" t="s">
        <v>23</v>
      </c>
      <c r="E118" s="2" t="s">
        <v>29</v>
      </c>
      <c r="F118" s="1" t="s">
        <v>64</v>
      </c>
      <c r="G118" s="1" t="s">
        <v>66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8" s="2">
        <f>Games[[#This Row],[DaysOff]]-Games[[#This Row],[OppDaysOff]]</f>
        <v>0</v>
      </c>
      <c r="L118" s="2">
        <f>Games[[#This Row],[OppDaysOff]]-Games[[#This Row],[DaysOff]]</f>
        <v>0</v>
      </c>
      <c r="M118" s="1">
        <f>MAX(-16, MIN(16, Games[[#This Row],[RestDiff]]*8))</f>
        <v>0</v>
      </c>
      <c r="N118" s="1">
        <f>MAX(-16, MIN(16, Games[[#This Row],[OppRestDiff]]*8))</f>
        <v>0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1493.5786494789804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1596.5789049243338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0.25417651289278775</v>
      </c>
      <c r="R118" s="1">
        <v>64</v>
      </c>
      <c r="S118" s="1">
        <v>61</v>
      </c>
      <c r="T118" s="1">
        <v>0</v>
      </c>
      <c r="U118" s="1">
        <f>Games[[#This Row],[PointsFor]]-Games[[#This Row],[PointsAgainst]]</f>
        <v>3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0.26724494017802874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73.900000000000006</v>
      </c>
      <c r="Z118" s="4">
        <f>Games[[#This Row],[K]]*Games[[#This Row],[POMult]]</f>
        <v>73.900000000000006</v>
      </c>
      <c r="AA118" s="4">
        <f>(Games[[#This Row],[Keff]]*Games[[#This Row],[MOVMult]])*(Games[[#This Row],[Result]]-Games[[#This Row],[ExpectedWin%]])</f>
        <v>14.729567181135311</v>
      </c>
      <c r="AB118" s="4">
        <f>Games[[#This Row],[PreGmRate]]+Games[[#This Row],[RatingChange]]</f>
        <v>1508.3082166601157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35637</v>
      </c>
      <c r="B119" s="2">
        <v>1997</v>
      </c>
      <c r="C119" s="2">
        <f>COUNTIFS(Games[Team],Games[[#This Row],[Team]],Games[Season],Games[[#This Row],[Season]],Games[Date],"&lt;=" &amp; Games[[#This Row],[Date]])</f>
        <v>17</v>
      </c>
      <c r="D119" s="2" t="s">
        <v>23</v>
      </c>
      <c r="E119" s="2" t="s">
        <v>29</v>
      </c>
      <c r="F119" s="1" t="s">
        <v>66</v>
      </c>
      <c r="G119" s="1" t="s">
        <v>64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9" s="2">
        <f>Games[[#This Row],[DaysOff]]-Games[[#This Row],[OppDaysOff]]</f>
        <v>0</v>
      </c>
      <c r="L119" s="2">
        <f>Games[[#This Row],[OppDaysOff]]-Games[[#This Row],[DaysOff]]</f>
        <v>0</v>
      </c>
      <c r="M119" s="1">
        <f>MAX(-16, MIN(16, Games[[#This Row],[RestDiff]]*8))</f>
        <v>0</v>
      </c>
      <c r="N119" s="1">
        <f>MAX(-16, MIN(16, Games[[#This Row],[OppRestDiff]]*8))</f>
        <v>0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1596.5789049243338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1493.5786494789804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0.74582348710721225</v>
      </c>
      <c r="R119" s="1">
        <v>61</v>
      </c>
      <c r="S119" s="1">
        <v>64</v>
      </c>
      <c r="T119" s="1">
        <v>0</v>
      </c>
      <c r="U119" s="1">
        <f>Games[[#This Row],[PointsFor]]-Games[[#This Row],[PointsAgainst]]</f>
        <v>-3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0.26724494017802874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73.45</v>
      </c>
      <c r="Z119" s="4">
        <f>Games[[#This Row],[K]]*Games[[#This Row],[POMult]]</f>
        <v>73.45</v>
      </c>
      <c r="AA119" s="4">
        <f>(Games[[#This Row],[Keff]]*Games[[#This Row],[MOVMult]])*(Games[[#This Row],[Result]]-Games[[#This Row],[ExpectedWin%]])</f>
        <v>-14.639874282197409</v>
      </c>
      <c r="AB119" s="4">
        <f>Games[[#This Row],[PreGmRate]]+Games[[#This Row],[RatingChange]]</f>
        <v>1581.9390306421365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35637</v>
      </c>
      <c r="B120" s="2">
        <v>1997</v>
      </c>
      <c r="C120" s="2">
        <f>COUNTIFS(Games[Team],Games[[#This Row],[Team]],Games[Season],Games[[#This Row],[Season]],Games[Date],"&lt;=" &amp; Games[[#This Row],[Date]])</f>
        <v>15</v>
      </c>
      <c r="D120" s="2" t="s">
        <v>23</v>
      </c>
      <c r="E120" s="2" t="s">
        <v>29</v>
      </c>
      <c r="F120" s="1" t="s">
        <v>1</v>
      </c>
      <c r="G120" s="1" t="s">
        <v>43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0" s="2">
        <f>Games[[#This Row],[DaysOff]]-Games[[#This Row],[OppDaysOff]]</f>
        <v>-1</v>
      </c>
      <c r="L120" s="2">
        <f>Games[[#This Row],[OppDaysOff]]-Games[[#This Row],[DaysOff]]</f>
        <v>1</v>
      </c>
      <c r="M120" s="1">
        <f>MAX(-16, MIN(16, Games[[#This Row],[RestDiff]]*8))</f>
        <v>-8</v>
      </c>
      <c r="N120" s="1">
        <f>MAX(-16, MIN(16, Games[[#This Row],[OppRestDiff]]*8))</f>
        <v>8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1477.1111032467354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1402.9996679848848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0.46281216014104343</v>
      </c>
      <c r="R120" s="1">
        <v>77</v>
      </c>
      <c r="S120" s="1">
        <v>66</v>
      </c>
      <c r="T120" s="1">
        <v>0</v>
      </c>
      <c r="U120" s="1">
        <f>Games[[#This Row],[PointsFor]]-Games[[#This Row],[PointsAgainst]]</f>
        <v>11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0.41425196391921992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73.75</v>
      </c>
      <c r="Z120" s="4">
        <f>Games[[#This Row],[K]]*Games[[#This Row],[POMult]]</f>
        <v>73.75</v>
      </c>
      <c r="AA120" s="4">
        <f>(Games[[#This Row],[Keff]]*Games[[#This Row],[MOVMult]])*(Games[[#This Row],[Result]]-Games[[#This Row],[ExpectedWin%]])</f>
        <v>16.411669927063343</v>
      </c>
      <c r="AB120" s="4">
        <f>Games[[#This Row],[PreGmRate]]+Games[[#This Row],[RatingChange]]</f>
        <v>1493.5227731737987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35637</v>
      </c>
      <c r="B121" s="2">
        <v>1997</v>
      </c>
      <c r="C121" s="2">
        <f>COUNTIFS(Games[Team],Games[[#This Row],[Team]],Games[Season],Games[[#This Row],[Season]],Games[Date],"&lt;=" &amp; Games[[#This Row],[Date]])</f>
        <v>16</v>
      </c>
      <c r="D121" s="2" t="s">
        <v>23</v>
      </c>
      <c r="E121" s="2" t="s">
        <v>29</v>
      </c>
      <c r="F121" s="1" t="s">
        <v>43</v>
      </c>
      <c r="G121" s="1" t="s">
        <v>1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1" s="2">
        <f>Games[[#This Row],[DaysOff]]-Games[[#This Row],[OppDaysOff]]</f>
        <v>1</v>
      </c>
      <c r="L121" s="2">
        <f>Games[[#This Row],[OppDaysOff]]-Games[[#This Row],[DaysOff]]</f>
        <v>-1</v>
      </c>
      <c r="M121" s="1">
        <f>MAX(-16, MIN(16, Games[[#This Row],[RestDiff]]*8))</f>
        <v>8</v>
      </c>
      <c r="N121" s="1">
        <f>MAX(-16, MIN(16, Games[[#This Row],[OppRestDiff]]*8))</f>
        <v>-8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1402.9996679848848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1477.1111032467354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0.53718783985895646</v>
      </c>
      <c r="R121" s="1">
        <v>66</v>
      </c>
      <c r="S121" s="1">
        <v>77</v>
      </c>
      <c r="T121" s="1">
        <v>0</v>
      </c>
      <c r="U121" s="1">
        <f>Games[[#This Row],[PointsFor]]-Games[[#This Row],[PointsAgainst]]</f>
        <v>-11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0.41425196391921992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73.599999999999994</v>
      </c>
      <c r="Z121" s="4">
        <f>Games[[#This Row],[K]]*Games[[#This Row],[POMult]]</f>
        <v>73.599999999999994</v>
      </c>
      <c r="AA121" s="4">
        <f>(Games[[#This Row],[Keff]]*Games[[#This Row],[MOVMult]])*(Games[[#This Row],[Result]]-Games[[#This Row],[ExpectedWin%]])</f>
        <v>-16.378290259415074</v>
      </c>
      <c r="AB121" s="4">
        <f>Games[[#This Row],[PreGmRate]]+Games[[#This Row],[RatingChange]]</f>
        <v>1386.6213777254698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35638</v>
      </c>
      <c r="B122" s="2">
        <v>1997</v>
      </c>
      <c r="C122" s="2">
        <f>COUNTIFS(Games[Team],Games[[#This Row],[Team]],Games[Season],Games[[#This Row],[Season]],Games[Date],"&lt;=" &amp; Games[[#This Row],[Date]])</f>
        <v>17</v>
      </c>
      <c r="D122" s="2" t="s">
        <v>23</v>
      </c>
      <c r="E122" s="2" t="s">
        <v>29</v>
      </c>
      <c r="F122" s="1" t="s">
        <v>71</v>
      </c>
      <c r="G122" s="1" t="s">
        <v>45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1472.406599726482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1421.8342604585657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0.45204161917790042</v>
      </c>
      <c r="R122" s="1">
        <v>84</v>
      </c>
      <c r="S122" s="1">
        <v>62</v>
      </c>
      <c r="T122" s="1">
        <v>0</v>
      </c>
      <c r="U122" s="1">
        <f>Games[[#This Row],[PointsFor]]-Games[[#This Row],[PointsAgainst]]</f>
        <v>22</v>
      </c>
      <c r="V122" s="1">
        <f>IF(Games[[#This Row],[MOV]]&gt;0,1,IF(Games[[#This Row],[MOV]]=0,0.5,0))</f>
        <v>1</v>
      </c>
      <c r="W122" s="4">
        <f>((ABS(Games[[#This Row],[MOV]])+5)^0.6)/(12+0.01*(ABS(Games[[#This Row],[PreGmRate]]-Games[[#This Row],[OppPreGmRate]])))*IF(Games[[#This Row],[OT]]=1,0.9,1)</f>
        <v>0.57770940784372316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73.45</v>
      </c>
      <c r="Z122" s="4">
        <f>Games[[#This Row],[K]]*Games[[#This Row],[POMult]]</f>
        <v>73.45</v>
      </c>
      <c r="AA122" s="4">
        <f>(Games[[#This Row],[Keff]]*Games[[#This Row],[MOVMult]])*(Games[[#This Row],[Result]]-Games[[#This Row],[ExpectedWin%]])</f>
        <v>23.251384274933539</v>
      </c>
      <c r="AB122" s="4">
        <f>Games[[#This Row],[PreGmRate]]+Games[[#This Row],[RatingChange]]</f>
        <v>1495.6579840014156</v>
      </c>
      <c r="AC122" s="2">
        <f>IF(Games[[#This Row],[Type]]="R",IF(Games[[#This Row],[Result]]&gt;0.5,1,0),0)</f>
        <v>1</v>
      </c>
      <c r="AD122" s="2">
        <f>IF(Games[[#This Row],[Type]]="R",IF(Games[[#This Row],[Result]]&lt;0.5,1,0),0)</f>
        <v>0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35638</v>
      </c>
      <c r="B123" s="2">
        <v>1997</v>
      </c>
      <c r="C123" s="2">
        <f>COUNTIFS(Games[Team],Games[[#This Row],[Team]],Games[Season],Games[[#This Row],[Season]],Games[Date],"&lt;=" &amp; Games[[#This Row],[Date]])</f>
        <v>15</v>
      </c>
      <c r="D123" s="2" t="s">
        <v>23</v>
      </c>
      <c r="E123" s="2" t="s">
        <v>29</v>
      </c>
      <c r="F123" s="1" t="s">
        <v>45</v>
      </c>
      <c r="G123" s="1" t="s">
        <v>71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1421.8342604585657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1472.406599726482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0.54795838082209958</v>
      </c>
      <c r="R123" s="1">
        <v>62</v>
      </c>
      <c r="S123" s="1">
        <v>84</v>
      </c>
      <c r="T123" s="1">
        <v>0</v>
      </c>
      <c r="U123" s="1">
        <f>Games[[#This Row],[PointsFor]]-Games[[#This Row],[PointsAgainst]]</f>
        <v>-22</v>
      </c>
      <c r="V123" s="1">
        <f>IF(Games[[#This Row],[MOV]]&gt;0,1,IF(Games[[#This Row],[MOV]]=0,0.5,0))</f>
        <v>0</v>
      </c>
      <c r="W123" s="4">
        <f>((ABS(Games[[#This Row],[MOV]])+5)^0.6)/(12+0.01*(ABS(Games[[#This Row],[PreGmRate]]-Games[[#This Row],[OppPreGmRate]])))*IF(Games[[#This Row],[OT]]=1,0.9,1)</f>
        <v>0.57770940784372316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73.75</v>
      </c>
      <c r="Z123" s="4">
        <f>Games[[#This Row],[K]]*Games[[#This Row],[POMult]]</f>
        <v>73.75</v>
      </c>
      <c r="AA123" s="4">
        <f>(Games[[#This Row],[Keff]]*Games[[#This Row],[MOVMult]])*(Games[[#This Row],[Result]]-Games[[#This Row],[ExpectedWin%]])</f>
        <v>-23.346352488445863</v>
      </c>
      <c r="AB123" s="4">
        <f>Games[[#This Row],[PreGmRate]]+Games[[#This Row],[RatingChange]]</f>
        <v>1398.4879079701197</v>
      </c>
      <c r="AC123" s="2">
        <f>IF(Games[[#This Row],[Type]]="R",IF(Games[[#This Row],[Result]]&gt;0.5,1,0),0)</f>
        <v>0</v>
      </c>
      <c r="AD123" s="2">
        <f>IF(Games[[#This Row],[Type]]="R",IF(Games[[#This Row],[Result]]&lt;0.5,1,0),0)</f>
        <v>1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35639</v>
      </c>
      <c r="B124" s="2">
        <v>1997</v>
      </c>
      <c r="C124" s="2">
        <f>COUNTIFS(Games[Team],Games[[#This Row],[Team]],Games[Season],Games[[#This Row],[Season]],Games[Date],"&lt;=" &amp; Games[[#This Row],[Date]])</f>
        <v>16</v>
      </c>
      <c r="D124" s="2" t="s">
        <v>23</v>
      </c>
      <c r="E124" s="2" t="s">
        <v>29</v>
      </c>
      <c r="F124" s="1" t="s">
        <v>1</v>
      </c>
      <c r="G124" s="1" t="s">
        <v>44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4" s="2">
        <f>Games[[#This Row],[DaysOff]]-Games[[#This Row],[OppDaysOff]]</f>
        <v>-1</v>
      </c>
      <c r="L124" s="2">
        <f>Games[[#This Row],[OppDaysOff]]-Games[[#This Row],[DaysOff]]</f>
        <v>1</v>
      </c>
      <c r="M124" s="1">
        <f>MAX(-16, MIN(16, Games[[#This Row],[RestDiff]]*8))</f>
        <v>-8</v>
      </c>
      <c r="N124" s="1">
        <f>MAX(-16, MIN(16, Games[[#This Row],[OppRestDiff]]*8))</f>
        <v>8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1493.5227731737987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1548.2113153549999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0.29101515047437898</v>
      </c>
      <c r="R124" s="1">
        <v>76</v>
      </c>
      <c r="S124" s="1">
        <v>64</v>
      </c>
      <c r="T124" s="1">
        <v>0</v>
      </c>
      <c r="U124" s="1">
        <f>Games[[#This Row],[PointsFor]]-Games[[#This Row],[PointsAgainst]]</f>
        <v>12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0.43624797173990626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73.599999999999994</v>
      </c>
      <c r="Z124" s="4">
        <f>Games[[#This Row],[K]]*Games[[#This Row],[POMult]]</f>
        <v>73.599999999999994</v>
      </c>
      <c r="AA124" s="4">
        <f>(Games[[#This Row],[Keff]]*Games[[#This Row],[MOVMult]])*(Games[[#This Row],[Result]]-Games[[#This Row],[ExpectedWin%]])</f>
        <v>22.763979711350785</v>
      </c>
      <c r="AB124" s="4">
        <f>Games[[#This Row],[PreGmRate]]+Games[[#This Row],[RatingChange]]</f>
        <v>1516.2867528851496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35639</v>
      </c>
      <c r="B125" s="2">
        <v>1997</v>
      </c>
      <c r="C125" s="2">
        <f>COUNTIFS(Games[Team],Games[[#This Row],[Team]],Games[Season],Games[[#This Row],[Season]],Games[Date],"&lt;=" &amp; Games[[#This Row],[Date]])</f>
        <v>14</v>
      </c>
      <c r="D125" s="2" t="s">
        <v>23</v>
      </c>
      <c r="E125" s="2" t="s">
        <v>29</v>
      </c>
      <c r="F125" s="1" t="s">
        <v>44</v>
      </c>
      <c r="G125" s="1" t="s">
        <v>1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5" s="2">
        <f>Games[[#This Row],[DaysOff]]-Games[[#This Row],[OppDaysOff]]</f>
        <v>1</v>
      </c>
      <c r="L125" s="2">
        <f>Games[[#This Row],[OppDaysOff]]-Games[[#This Row],[DaysOff]]</f>
        <v>-1</v>
      </c>
      <c r="M125" s="1">
        <f>MAX(-16, MIN(16, Games[[#This Row],[RestDiff]]*8))</f>
        <v>8</v>
      </c>
      <c r="N125" s="1">
        <f>MAX(-16, MIN(16, Games[[#This Row],[OppRestDiff]]*8))</f>
        <v>-8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1548.2113153549999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1493.5227731737987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0.70898484952562102</v>
      </c>
      <c r="R125" s="1">
        <v>64</v>
      </c>
      <c r="S125" s="1">
        <v>76</v>
      </c>
      <c r="T125" s="1">
        <v>0</v>
      </c>
      <c r="U125" s="1">
        <f>Games[[#This Row],[PointsFor]]-Games[[#This Row],[PointsAgainst]]</f>
        <v>-12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0.43624797173990626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73.900000000000006</v>
      </c>
      <c r="Z125" s="4">
        <f>Games[[#This Row],[K]]*Games[[#This Row],[POMult]]</f>
        <v>73.900000000000006</v>
      </c>
      <c r="AA125" s="4">
        <f>(Games[[#This Row],[Keff]]*Games[[#This Row],[MOVMult]])*(Games[[#This Row],[Result]]-Games[[#This Row],[ExpectedWin%]])</f>
        <v>-22.856767672130747</v>
      </c>
      <c r="AB125" s="4">
        <f>Games[[#This Row],[PreGmRate]]+Games[[#This Row],[RatingChange]]</f>
        <v>1525.3545476828692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35640</v>
      </c>
      <c r="B126" s="2">
        <v>1997</v>
      </c>
      <c r="C126" s="2">
        <f>COUNTIFS(Games[Team],Games[[#This Row],[Team]],Games[Season],Games[[#This Row],[Season]],Games[Date],"&lt;=" &amp; Games[[#This Row],[Date]])</f>
        <v>17</v>
      </c>
      <c r="D126" s="2" t="s">
        <v>23</v>
      </c>
      <c r="E126" s="2" t="s">
        <v>29</v>
      </c>
      <c r="F126" s="1" t="s">
        <v>1</v>
      </c>
      <c r="G126" s="1" t="s">
        <v>2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6" s="2">
        <f>Games[[#This Row],[DaysOff]]-Games[[#This Row],[OppDaysOff]]</f>
        <v>-3</v>
      </c>
      <c r="L126" s="2">
        <f>Games[[#This Row],[OppDaysOff]]-Games[[#This Row],[DaysOff]]</f>
        <v>3</v>
      </c>
      <c r="M126" s="1">
        <f>MAX(-16, MIN(16, Games[[#This Row],[RestDiff]]*8))</f>
        <v>-16</v>
      </c>
      <c r="N126" s="1">
        <f>MAX(-16, MIN(16, Games[[#This Row],[OppRestDiff]]*8))</f>
        <v>16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1516.2867528851496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1587.3505428791464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0.25410718658505538</v>
      </c>
      <c r="R126" s="1">
        <v>73</v>
      </c>
      <c r="S126" s="1">
        <v>64</v>
      </c>
      <c r="T126" s="1">
        <v>0</v>
      </c>
      <c r="U126" s="1">
        <f>Games[[#This Row],[PointsFor]]-Games[[#This Row],[PointsAgainst]]</f>
        <v>9</v>
      </c>
      <c r="V126" s="1">
        <f>IF(Games[[#This Row],[MOV]]&gt;0,1,IF(Games[[#This Row],[MOV]]=0,0.5,0))</f>
        <v>1</v>
      </c>
      <c r="W126" s="4">
        <f>((ABS(Games[[#This Row],[MOV]])+5)^0.6)/(12+0.01*(ABS(Games[[#This Row],[PreGmRate]]-Games[[#This Row],[OppPreGmRate]])))*IF(Games[[#This Row],[OT]]=1,0.9,1)</f>
        <v>0.38327410190718458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73.45</v>
      </c>
      <c r="Z126" s="4">
        <f>Games[[#This Row],[K]]*Games[[#This Row],[POMult]]</f>
        <v>73.45</v>
      </c>
      <c r="AA126" s="4">
        <f>(Games[[#This Row],[Keff]]*Games[[#This Row],[MOVMult]])*(Games[[#This Row],[Result]]-Games[[#This Row],[ExpectedWin%]])</f>
        <v>20.997988696367724</v>
      </c>
      <c r="AB126" s="4">
        <f>Games[[#This Row],[PreGmRate]]+Games[[#This Row],[RatingChange]]</f>
        <v>1537.2847415815172</v>
      </c>
      <c r="AC126" s="2">
        <f>IF(Games[[#This Row],[Type]]="R",IF(Games[[#This Row],[Result]]&gt;0.5,1,0),0)</f>
        <v>1</v>
      </c>
      <c r="AD126" s="2">
        <f>IF(Games[[#This Row],[Type]]="R",IF(Games[[#This Row],[Result]]&lt;0.5,1,0),0)</f>
        <v>0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35640</v>
      </c>
      <c r="B127" s="2">
        <v>1997</v>
      </c>
      <c r="C127" s="2">
        <f>COUNTIFS(Games[Team],Games[[#This Row],[Team]],Games[Season],Games[[#This Row],[Season]],Games[Date],"&lt;=" &amp; Games[[#This Row],[Date]])</f>
        <v>16</v>
      </c>
      <c r="D127" s="2" t="s">
        <v>23</v>
      </c>
      <c r="E127" s="2" t="s">
        <v>29</v>
      </c>
      <c r="F127" s="1" t="s">
        <v>2</v>
      </c>
      <c r="G127" s="1" t="s">
        <v>1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7" s="2">
        <f>Games[[#This Row],[DaysOff]]-Games[[#This Row],[OppDaysOff]]</f>
        <v>3</v>
      </c>
      <c r="L127" s="2">
        <f>Games[[#This Row],[OppDaysOff]]-Games[[#This Row],[DaysOff]]</f>
        <v>-3</v>
      </c>
      <c r="M127" s="1">
        <f>MAX(-16, MIN(16, Games[[#This Row],[RestDiff]]*8))</f>
        <v>16</v>
      </c>
      <c r="N127" s="1">
        <f>MAX(-16, MIN(16, Games[[#This Row],[OppRestDiff]]*8))</f>
        <v>-16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1587.3505428791464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1516.2867528851496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0.74589281341494462</v>
      </c>
      <c r="R127" s="1">
        <v>64</v>
      </c>
      <c r="S127" s="1">
        <v>73</v>
      </c>
      <c r="T127" s="1">
        <v>0</v>
      </c>
      <c r="U127" s="1">
        <f>Games[[#This Row],[PointsFor]]-Games[[#This Row],[PointsAgainst]]</f>
        <v>-9</v>
      </c>
      <c r="V127" s="1">
        <f>IF(Games[[#This Row],[MOV]]&gt;0,1,IF(Games[[#This Row],[MOV]]=0,0.5,0))</f>
        <v>0</v>
      </c>
      <c r="W127" s="4">
        <f>((ABS(Games[[#This Row],[MOV]])+5)^0.6)/(12+0.01*(ABS(Games[[#This Row],[PreGmRate]]-Games[[#This Row],[OppPreGmRate]])))*IF(Games[[#This Row],[OT]]=1,0.9,1)</f>
        <v>0.38327410190718458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73.599999999999994</v>
      </c>
      <c r="Z127" s="4">
        <f>Games[[#This Row],[K]]*Games[[#This Row],[POMult]]</f>
        <v>73.599999999999994</v>
      </c>
      <c r="AA127" s="4">
        <f>(Games[[#This Row],[Keff]]*Games[[#This Row],[MOVMult]])*(Games[[#This Row],[Result]]-Games[[#This Row],[ExpectedWin%]])</f>
        <v>-21.040870906094813</v>
      </c>
      <c r="AB127" s="4">
        <f>Games[[#This Row],[PreGmRate]]+Games[[#This Row],[RatingChange]]</f>
        <v>1566.3096719730515</v>
      </c>
      <c r="AC127" s="2">
        <f>IF(Games[[#This Row],[Type]]="R",IF(Games[[#This Row],[Result]]&gt;0.5,1,0),0)</f>
        <v>0</v>
      </c>
      <c r="AD127" s="2">
        <f>IF(Games[[#This Row],[Type]]="R",IF(Games[[#This Row],[Result]]&lt;0.5,1,0),0)</f>
        <v>1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35641</v>
      </c>
      <c r="B128" s="2">
        <v>1997</v>
      </c>
      <c r="C128" s="2">
        <f>COUNTIFS(Games[Team],Games[[#This Row],[Team]],Games[Season],Games[[#This Row],[Season]],Games[Date],"&lt;=" &amp; Games[[#This Row],[Date]])</f>
        <v>15</v>
      </c>
      <c r="D128" s="2" t="s">
        <v>23</v>
      </c>
      <c r="E128" s="2" t="s">
        <v>29</v>
      </c>
      <c r="F128" s="1" t="s">
        <v>44</v>
      </c>
      <c r="G128" s="1" t="s">
        <v>64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8" s="2">
        <f>Games[[#This Row],[DaysOff]]-Games[[#This Row],[OppDaysOff]]</f>
        <v>-2</v>
      </c>
      <c r="L128" s="2">
        <f>Games[[#This Row],[OppDaysOff]]-Games[[#This Row],[DaysOff]]</f>
        <v>2</v>
      </c>
      <c r="M128" s="1">
        <f>MAX(-16, MIN(16, Games[[#This Row],[RestDiff]]*8))</f>
        <v>-16</v>
      </c>
      <c r="N128" s="1">
        <f>MAX(-16, MIN(16, Games[[#This Row],[OppRestDiff]]*8))</f>
        <v>16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1525.3545476828692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1508.3082166601157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0.36132379532753478</v>
      </c>
      <c r="R128" s="1">
        <v>67</v>
      </c>
      <c r="S128" s="1">
        <v>68</v>
      </c>
      <c r="T128" s="1">
        <v>0</v>
      </c>
      <c r="U128" s="1">
        <f>Games[[#This Row],[PointsFor]]-Games[[#This Row],[PointsAgainst]]</f>
        <v>-1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0.24075961423104933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73.75</v>
      </c>
      <c r="Z128" s="4">
        <f>Games[[#This Row],[K]]*Games[[#This Row],[POMult]]</f>
        <v>73.75</v>
      </c>
      <c r="AA128" s="4">
        <f>(Games[[#This Row],[Keff]]*Games[[#This Row],[MOVMult]])*(Games[[#This Row],[Result]]-Games[[#This Row],[ExpectedWin%]])</f>
        <v>-6.4156730961972475</v>
      </c>
      <c r="AB128" s="4">
        <f>Games[[#This Row],[PreGmRate]]+Games[[#This Row],[RatingChange]]</f>
        <v>1518.938874586672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35641</v>
      </c>
      <c r="B129" s="2">
        <v>1997</v>
      </c>
      <c r="C129" s="2">
        <f>COUNTIFS(Games[Team],Games[[#This Row],[Team]],Games[Season],Games[[#This Row],[Season]],Games[Date],"&lt;=" &amp; Games[[#This Row],[Date]])</f>
        <v>15</v>
      </c>
      <c r="D129" s="2" t="s">
        <v>23</v>
      </c>
      <c r="E129" s="2" t="s">
        <v>29</v>
      </c>
      <c r="F129" s="1" t="s">
        <v>64</v>
      </c>
      <c r="G129" s="1" t="s">
        <v>44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2</v>
      </c>
      <c r="L129" s="2">
        <f>Games[[#This Row],[OppDaysOff]]-Games[[#This Row],[DaysOff]]</f>
        <v>-2</v>
      </c>
      <c r="M129" s="1">
        <f>MAX(-16, MIN(16, Games[[#This Row],[RestDiff]]*8))</f>
        <v>16</v>
      </c>
      <c r="N129" s="1">
        <f>MAX(-16, MIN(16, Games[[#This Row],[OppRestDiff]]*8))</f>
        <v>-16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1508.3082166601157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1525.3545476828692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0.63867620467246522</v>
      </c>
      <c r="R129" s="1">
        <v>68</v>
      </c>
      <c r="S129" s="1">
        <v>67</v>
      </c>
      <c r="T129" s="1">
        <v>0</v>
      </c>
      <c r="U129" s="1">
        <f>Games[[#This Row],[PointsFor]]-Games[[#This Row],[PointsAgainst]]</f>
        <v>1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0.24075961423104933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73.75</v>
      </c>
      <c r="Z129" s="4">
        <f>Games[[#This Row],[K]]*Games[[#This Row],[POMult]]</f>
        <v>73.75</v>
      </c>
      <c r="AA129" s="4">
        <f>(Games[[#This Row],[Keff]]*Games[[#This Row],[MOVMult]])*(Games[[#This Row],[Result]]-Games[[#This Row],[ExpectedWin%]])</f>
        <v>6.4156730961972475</v>
      </c>
      <c r="AB129" s="4">
        <f>Games[[#This Row],[PreGmRate]]+Games[[#This Row],[RatingChange]]</f>
        <v>1514.7238897563129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35641</v>
      </c>
      <c r="B130" s="2">
        <v>1997</v>
      </c>
      <c r="C130" s="2">
        <f>COUNTIFS(Games[Team],Games[[#This Row],[Team]],Games[Season],Games[[#This Row],[Season]],Games[Date],"&lt;=" &amp; Games[[#This Row],[Date]])</f>
        <v>17</v>
      </c>
      <c r="D130" s="2" t="s">
        <v>23</v>
      </c>
      <c r="E130" s="2" t="s">
        <v>29</v>
      </c>
      <c r="F130" s="1" t="s">
        <v>43</v>
      </c>
      <c r="G130" s="1" t="s">
        <v>71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0" s="2">
        <f>Games[[#This Row],[DaysOff]]-Games[[#This Row],[OppDaysOff]]</f>
        <v>1</v>
      </c>
      <c r="L130" s="2">
        <f>Games[[#This Row],[OppDaysOff]]-Games[[#This Row],[DaysOff]]</f>
        <v>-1</v>
      </c>
      <c r="M130" s="1">
        <f>MAX(-16, MIN(16, Games[[#This Row],[RestDiff]]*8))</f>
        <v>8</v>
      </c>
      <c r="N130" s="1">
        <f>MAX(-16, MIN(16, Games[[#This Row],[OppRestDiff]]*8))</f>
        <v>-8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1386.6213777254698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1495.6579840014156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0.26520184516296913</v>
      </c>
      <c r="R130" s="1">
        <v>69</v>
      </c>
      <c r="S130" s="1">
        <v>91</v>
      </c>
      <c r="T130" s="1">
        <v>0</v>
      </c>
      <c r="U130" s="1">
        <f>Games[[#This Row],[PointsFor]]-Games[[#This Row],[PointsAgainst]]</f>
        <v>-22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0.55190771756913803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73.45</v>
      </c>
      <c r="Z130" s="4">
        <f>Games[[#This Row],[K]]*Games[[#This Row],[POMult]]</f>
        <v>73.45</v>
      </c>
      <c r="AA130" s="4">
        <f>(Games[[#This Row],[Keff]]*Games[[#This Row],[MOVMult]])*(Games[[#This Row],[Result]]-Games[[#This Row],[ExpectedWin%]])</f>
        <v>-10.75065211458489</v>
      </c>
      <c r="AB130" s="4">
        <f>Games[[#This Row],[PreGmRate]]+Games[[#This Row],[RatingChange]]</f>
        <v>1375.8707256108848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35641</v>
      </c>
      <c r="B131" s="2">
        <v>1997</v>
      </c>
      <c r="C131" s="2">
        <f>COUNTIFS(Games[Team],Games[[#This Row],[Team]],Games[Season],Games[[#This Row],[Season]],Games[Date],"&lt;=" &amp; Games[[#This Row],[Date]])</f>
        <v>18</v>
      </c>
      <c r="D131" s="2" t="s">
        <v>23</v>
      </c>
      <c r="E131" s="2" t="s">
        <v>29</v>
      </c>
      <c r="F131" s="1" t="s">
        <v>71</v>
      </c>
      <c r="G131" s="1" t="s">
        <v>43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1" s="2">
        <f>Games[[#This Row],[DaysOff]]-Games[[#This Row],[OppDaysOff]]</f>
        <v>-1</v>
      </c>
      <c r="L131" s="2">
        <f>Games[[#This Row],[OppDaysOff]]-Games[[#This Row],[DaysOff]]</f>
        <v>1</v>
      </c>
      <c r="M131" s="1">
        <f>MAX(-16, MIN(16, Games[[#This Row],[RestDiff]]*8))</f>
        <v>-8</v>
      </c>
      <c r="N131" s="1">
        <f>MAX(-16, MIN(16, Games[[#This Row],[OppRestDiff]]*8))</f>
        <v>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1495.6579840014156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1386.6213777254698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0.73479815483703081</v>
      </c>
      <c r="R131" s="1">
        <v>91</v>
      </c>
      <c r="S131" s="1">
        <v>69</v>
      </c>
      <c r="T131" s="1">
        <v>0</v>
      </c>
      <c r="U131" s="1">
        <f>Games[[#This Row],[PointsFor]]-Games[[#This Row],[PointsAgainst]]</f>
        <v>22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0.55190771756913803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73.3</v>
      </c>
      <c r="Z131" s="4">
        <f>Games[[#This Row],[K]]*Games[[#This Row],[POMult]]</f>
        <v>73.3</v>
      </c>
      <c r="AA131" s="4">
        <f>(Games[[#This Row],[Keff]]*Games[[#This Row],[MOVMult]])*(Games[[#This Row],[Result]]-Games[[#This Row],[ExpectedWin%]])</f>
        <v>10.728697072826039</v>
      </c>
      <c r="AB131" s="4">
        <f>Games[[#This Row],[PreGmRate]]+Games[[#This Row],[RatingChange]]</f>
        <v>1506.3866810742416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35641</v>
      </c>
      <c r="B132" s="2">
        <v>1997</v>
      </c>
      <c r="C132" s="2">
        <f>COUNTIFS(Games[Team],Games[[#This Row],[Team]],Games[Season],Games[[#This Row],[Season]],Games[Date],"&lt;=" &amp; Games[[#This Row],[Date]])</f>
        <v>16</v>
      </c>
      <c r="D132" s="2" t="s">
        <v>23</v>
      </c>
      <c r="E132" s="2" t="s">
        <v>29</v>
      </c>
      <c r="F132" s="1" t="s">
        <v>45</v>
      </c>
      <c r="G132" s="1" t="s">
        <v>66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2" s="2">
        <f>Games[[#This Row],[DaysOff]]-Games[[#This Row],[OppDaysOff]]</f>
        <v>-1</v>
      </c>
      <c r="L132" s="2">
        <f>Games[[#This Row],[OppDaysOff]]-Games[[#This Row],[DaysOff]]</f>
        <v>1</v>
      </c>
      <c r="M132" s="1">
        <f>MAX(-16, MIN(16, Games[[#This Row],[RestDiff]]*8))</f>
        <v>-8</v>
      </c>
      <c r="N132" s="1">
        <f>MAX(-16, MIN(16, Games[[#This Row],[OppRestDiff]]*8))</f>
        <v>8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1398.4879079701197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1581.9390306421365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0.1636009194300041</v>
      </c>
      <c r="R132" s="1">
        <v>68</v>
      </c>
      <c r="S132" s="1">
        <v>73</v>
      </c>
      <c r="T132" s="1">
        <v>1</v>
      </c>
      <c r="U132" s="1">
        <f>Games[[#This Row],[PointsFor]]-Games[[#This Row],[PointsAgainst]]</f>
        <v>-5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0.25898743195648921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73.599999999999994</v>
      </c>
      <c r="Z132" s="4">
        <f>Games[[#This Row],[K]]*Games[[#This Row],[POMult]]</f>
        <v>73.599999999999994</v>
      </c>
      <c r="AA132" s="4">
        <f>(Games[[#This Row],[Keff]]*Games[[#This Row],[MOVMult]])*(Games[[#This Row],[Result]]-Games[[#This Row],[ExpectedWin%]])</f>
        <v>-3.1184748343828379</v>
      </c>
      <c r="AB132" s="4">
        <f>Games[[#This Row],[PreGmRate]]+Games[[#This Row],[RatingChange]]</f>
        <v>1395.3694331357369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35641</v>
      </c>
      <c r="B133" s="2">
        <v>1997</v>
      </c>
      <c r="C133" s="2">
        <f>COUNTIFS(Games[Team],Games[[#This Row],[Team]],Games[Season],Games[[#This Row],[Season]],Games[Date],"&lt;=" &amp; Games[[#This Row],[Date]])</f>
        <v>18</v>
      </c>
      <c r="D133" s="2" t="s">
        <v>23</v>
      </c>
      <c r="E133" s="2" t="s">
        <v>29</v>
      </c>
      <c r="F133" s="1" t="s">
        <v>66</v>
      </c>
      <c r="G133" s="1" t="s">
        <v>45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3" s="2">
        <f>Games[[#This Row],[DaysOff]]-Games[[#This Row],[OppDaysOff]]</f>
        <v>1</v>
      </c>
      <c r="L133" s="2">
        <f>Games[[#This Row],[OppDaysOff]]-Games[[#This Row],[DaysOff]]</f>
        <v>-1</v>
      </c>
      <c r="M133" s="1">
        <f>MAX(-16, MIN(16, Games[[#This Row],[RestDiff]]*8))</f>
        <v>8</v>
      </c>
      <c r="N133" s="1">
        <f>MAX(-16, MIN(16, Games[[#This Row],[OppRestDiff]]*8))</f>
        <v>-8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1581.9390306421365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1398.4879079701197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0.8363990805699959</v>
      </c>
      <c r="R133" s="1">
        <v>73</v>
      </c>
      <c r="S133" s="1">
        <v>68</v>
      </c>
      <c r="T133" s="1">
        <v>1</v>
      </c>
      <c r="U133" s="1">
        <f>Games[[#This Row],[PointsFor]]-Games[[#This Row],[PointsAgainst]]</f>
        <v>5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0.25898743195648921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73.3</v>
      </c>
      <c r="Z133" s="4">
        <f>Games[[#This Row],[K]]*Games[[#This Row],[POMult]]</f>
        <v>73.3</v>
      </c>
      <c r="AA133" s="4">
        <f>(Games[[#This Row],[Keff]]*Games[[#This Row],[MOVMult]])*(Games[[#This Row],[Result]]-Games[[#This Row],[ExpectedWin%]])</f>
        <v>3.1057636597861689</v>
      </c>
      <c r="AB133" s="4">
        <f>Games[[#This Row],[PreGmRate]]+Games[[#This Row],[RatingChange]]</f>
        <v>1585.0447943019226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35642</v>
      </c>
      <c r="B134" s="2">
        <v>1997</v>
      </c>
      <c r="C134" s="2">
        <f>COUNTIFS(Games[Team],Games[[#This Row],[Team]],Games[Season],Games[[#This Row],[Season]],Games[Date],"&lt;=" &amp; Games[[#This Row],[Date]])</f>
        <v>16</v>
      </c>
      <c r="D134" s="2" t="s">
        <v>23</v>
      </c>
      <c r="E134" s="2" t="s">
        <v>29</v>
      </c>
      <c r="F134" s="1" t="s">
        <v>44</v>
      </c>
      <c r="G134" s="1" t="s">
        <v>1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4" s="2">
        <f>Games[[#This Row],[DaysOff]]-Games[[#This Row],[OppDaysOff]]</f>
        <v>-1</v>
      </c>
      <c r="L134" s="2">
        <f>Games[[#This Row],[OppDaysOff]]-Games[[#This Row],[DaysOff]]</f>
        <v>1</v>
      </c>
      <c r="M134" s="1">
        <f>MAX(-16, MIN(16, Games[[#This Row],[RestDiff]]*8))</f>
        <v>-8</v>
      </c>
      <c r="N134" s="1">
        <f>MAX(-16, MIN(16, Games[[#This Row],[OppRestDiff]]*8))</f>
        <v>8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1518.938874586672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1537.2847415815172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0.33598157556574199</v>
      </c>
      <c r="R134" s="1">
        <v>67</v>
      </c>
      <c r="S134" s="1">
        <v>79</v>
      </c>
      <c r="T134" s="1">
        <v>0</v>
      </c>
      <c r="U134" s="1">
        <f>Games[[#This Row],[PointsFor]]-Games[[#This Row],[PointsAgainst]]</f>
        <v>-12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0.44926104033327402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73.599999999999994</v>
      </c>
      <c r="Z134" s="4">
        <f>Games[[#This Row],[K]]*Games[[#This Row],[POMult]]</f>
        <v>73.599999999999994</v>
      </c>
      <c r="AA134" s="4">
        <f>(Games[[#This Row],[Keff]]*Games[[#This Row],[MOVMult]])*(Games[[#This Row],[Result]]-Games[[#This Row],[ExpectedWin%]])</f>
        <v>-11.109436607820761</v>
      </c>
      <c r="AB134" s="4">
        <f>Games[[#This Row],[PreGmRate]]+Games[[#This Row],[RatingChange]]</f>
        <v>1507.8294379788513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35642</v>
      </c>
      <c r="B135" s="2">
        <v>1997</v>
      </c>
      <c r="C135" s="2">
        <f>COUNTIFS(Games[Team],Games[[#This Row],[Team]],Games[Season],Games[[#This Row],[Season]],Games[Date],"&lt;=" &amp; Games[[#This Row],[Date]])</f>
        <v>18</v>
      </c>
      <c r="D135" s="2" t="s">
        <v>23</v>
      </c>
      <c r="E135" s="2" t="s">
        <v>29</v>
      </c>
      <c r="F135" s="1" t="s">
        <v>1</v>
      </c>
      <c r="G135" s="1" t="s">
        <v>44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5" s="2">
        <f>Games[[#This Row],[DaysOff]]-Games[[#This Row],[OppDaysOff]]</f>
        <v>1</v>
      </c>
      <c r="L135" s="2">
        <f>Games[[#This Row],[OppDaysOff]]-Games[[#This Row],[DaysOff]]</f>
        <v>-1</v>
      </c>
      <c r="M135" s="1">
        <f>MAX(-16, MIN(16, Games[[#This Row],[RestDiff]]*8))</f>
        <v>8</v>
      </c>
      <c r="N135" s="1">
        <f>MAX(-16, MIN(16, Games[[#This Row],[OppRestDiff]]*8))</f>
        <v>-8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1537.2847415815172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1518.938874586672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0.66401842443425796</v>
      </c>
      <c r="R135" s="1">
        <v>79</v>
      </c>
      <c r="S135" s="1">
        <v>67</v>
      </c>
      <c r="T135" s="1">
        <v>0</v>
      </c>
      <c r="U135" s="1">
        <f>Games[[#This Row],[PointsFor]]-Games[[#This Row],[PointsAgainst]]</f>
        <v>12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0.44926104033327402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73.3</v>
      </c>
      <c r="Z135" s="4">
        <f>Games[[#This Row],[K]]*Games[[#This Row],[POMult]]</f>
        <v>73.3</v>
      </c>
      <c r="AA135" s="4">
        <f>(Games[[#This Row],[Keff]]*Games[[#This Row],[MOVMult]])*(Games[[#This Row],[Result]]-Games[[#This Row],[ExpectedWin%]])</f>
        <v>11.064153578169323</v>
      </c>
      <c r="AB135" s="4">
        <f>Games[[#This Row],[PreGmRate]]+Games[[#This Row],[RatingChange]]</f>
        <v>1548.3488951596864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35643</v>
      </c>
      <c r="B136" s="2">
        <v>1997</v>
      </c>
      <c r="C136" s="2">
        <f>COUNTIFS(Games[Team],Games[[#This Row],[Team]],Games[Season],Games[[#This Row],[Season]],Games[Date],"&lt;=" &amp; Games[[#This Row],[Date]])</f>
        <v>17</v>
      </c>
      <c r="D136" s="2" t="s">
        <v>23</v>
      </c>
      <c r="E136" s="2" t="s">
        <v>29</v>
      </c>
      <c r="F136" s="1" t="s">
        <v>45</v>
      </c>
      <c r="G136" s="1" t="s">
        <v>64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6" s="2">
        <f>Games[[#This Row],[DaysOff]]-Games[[#This Row],[OppDaysOff]]</f>
        <v>0</v>
      </c>
      <c r="L136" s="2">
        <f>Games[[#This Row],[OppDaysOff]]-Games[[#This Row],[DaysOff]]</f>
        <v>0</v>
      </c>
      <c r="M136" s="1">
        <f>MAX(-16, MIN(16, Games[[#This Row],[RestDiff]]*8))</f>
        <v>0</v>
      </c>
      <c r="N136" s="1">
        <f>MAX(-16, MIN(16, Games[[#This Row],[OppRestDiff]]*8))</f>
        <v>0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1395.3694331357369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1514.7238897563129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0.23674612375291026</v>
      </c>
      <c r="R136" s="1">
        <v>61</v>
      </c>
      <c r="S136" s="1">
        <v>85</v>
      </c>
      <c r="T136" s="1">
        <v>0</v>
      </c>
      <c r="U136" s="1">
        <f>Games[[#This Row],[PointsFor]]-Games[[#This Row],[PointsAgainst]]</f>
        <v>-24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0.57158037671648643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73.45</v>
      </c>
      <c r="Z136" s="4">
        <f>Games[[#This Row],[K]]*Games[[#This Row],[POMult]]</f>
        <v>73.45</v>
      </c>
      <c r="AA136" s="4">
        <f>(Games[[#This Row],[Keff]]*Games[[#This Row],[MOVMult]])*(Games[[#This Row],[Result]]-Games[[#This Row],[ExpectedWin%]])</f>
        <v>-9.9392127652328988</v>
      </c>
      <c r="AB136" s="4">
        <f>Games[[#This Row],[PreGmRate]]+Games[[#This Row],[RatingChange]]</f>
        <v>1385.430220370504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35643</v>
      </c>
      <c r="B137" s="2">
        <v>1997</v>
      </c>
      <c r="C137" s="2">
        <f>COUNTIFS(Games[Team],Games[[#This Row],[Team]],Games[Season],Games[[#This Row],[Season]],Games[Date],"&lt;=" &amp; Games[[#This Row],[Date]])</f>
        <v>16</v>
      </c>
      <c r="D137" s="2" t="s">
        <v>23</v>
      </c>
      <c r="E137" s="2" t="s">
        <v>29</v>
      </c>
      <c r="F137" s="1" t="s">
        <v>64</v>
      </c>
      <c r="G137" s="1" t="s">
        <v>45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0</v>
      </c>
      <c r="L137" s="2">
        <f>Games[[#This Row],[OppDaysOff]]-Games[[#This Row],[DaysOff]]</f>
        <v>0</v>
      </c>
      <c r="M137" s="1">
        <f>MAX(-16, MIN(16, Games[[#This Row],[RestDiff]]*8))</f>
        <v>0</v>
      </c>
      <c r="N137" s="1">
        <f>MAX(-16, MIN(16, Games[[#This Row],[OppRestDiff]]*8))</f>
        <v>0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1514.7238897563129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1395.3694331357369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0.76325387624708974</v>
      </c>
      <c r="R137" s="1">
        <v>85</v>
      </c>
      <c r="S137" s="1">
        <v>61</v>
      </c>
      <c r="T137" s="1">
        <v>0</v>
      </c>
      <c r="U137" s="1">
        <f>Games[[#This Row],[PointsFor]]-Games[[#This Row],[PointsAgainst]]</f>
        <v>24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0.57158037671648643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73.599999999999994</v>
      </c>
      <c r="Z137" s="4">
        <f>Games[[#This Row],[K]]*Games[[#This Row],[POMult]]</f>
        <v>73.599999999999994</v>
      </c>
      <c r="AA137" s="4">
        <f>(Games[[#This Row],[Keff]]*Games[[#This Row],[MOVMult]])*(Games[[#This Row],[Result]]-Games[[#This Row],[ExpectedWin%]])</f>
        <v>9.9595106810230263</v>
      </c>
      <c r="AB137" s="4">
        <f>Games[[#This Row],[PreGmRate]]+Games[[#This Row],[RatingChange]]</f>
        <v>1524.6834004373359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35643</v>
      </c>
      <c r="B138" s="2">
        <v>1997</v>
      </c>
      <c r="C138" s="2">
        <f>COUNTIFS(Games[Team],Games[[#This Row],[Team]],Games[Season],Games[[#This Row],[Season]],Games[Date],"&lt;=" &amp; Games[[#This Row],[Date]])</f>
        <v>17</v>
      </c>
      <c r="D138" s="2" t="s">
        <v>23</v>
      </c>
      <c r="E138" s="2" t="s">
        <v>29</v>
      </c>
      <c r="F138" s="1" t="s">
        <v>2</v>
      </c>
      <c r="G138" s="1" t="s">
        <v>71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8" s="2">
        <f>Games[[#This Row],[DaysOff]]-Games[[#This Row],[OppDaysOff]]</f>
        <v>1</v>
      </c>
      <c r="L138" s="2">
        <f>Games[[#This Row],[OppDaysOff]]-Games[[#This Row],[DaysOff]]</f>
        <v>-1</v>
      </c>
      <c r="M138" s="1">
        <f>MAX(-16, MIN(16, Games[[#This Row],[RestDiff]]*8))</f>
        <v>8</v>
      </c>
      <c r="N138" s="1">
        <f>MAX(-16, MIN(16, Games[[#This Row],[OppRestDiff]]*8))</f>
        <v>-8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1566.3096719730515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1506.3866810742416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0.48837834308149553</v>
      </c>
      <c r="R138" s="1">
        <v>81</v>
      </c>
      <c r="S138" s="1">
        <v>57</v>
      </c>
      <c r="T138" s="1">
        <v>0</v>
      </c>
      <c r="U138" s="1">
        <f>Games[[#This Row],[PointsFor]]-Games[[#This Row],[PointsAgainst]]</f>
        <v>24</v>
      </c>
      <c r="V138" s="1">
        <f>IF(Games[[#This Row],[MOV]]&gt;0,1,IF(Games[[#This Row],[MOV]]=0,0.5,0))</f>
        <v>1</v>
      </c>
      <c r="W138" s="4">
        <f>((ABS(Games[[#This Row],[MOV]])+5)^0.6)/(12+0.01*(ABS(Games[[#This Row],[PreGmRate]]-Games[[#This Row],[OppPreGmRate]])))*IF(Games[[#This Row],[OT]]=1,0.9,1)</f>
        <v>0.59854223058489342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73.45</v>
      </c>
      <c r="Z138" s="4">
        <f>Games[[#This Row],[K]]*Games[[#This Row],[POMult]]</f>
        <v>73.45</v>
      </c>
      <c r="AA138" s="4">
        <f>(Games[[#This Row],[Keff]]*Games[[#This Row],[MOVMult]])*(Games[[#This Row],[Result]]-Games[[#This Row],[ExpectedWin%]])</f>
        <v>22.49238547105687</v>
      </c>
      <c r="AB138" s="4">
        <f>Games[[#This Row],[PreGmRate]]+Games[[#This Row],[RatingChange]]</f>
        <v>1588.8020574441084</v>
      </c>
      <c r="AC138" s="2">
        <f>IF(Games[[#This Row],[Type]]="R",IF(Games[[#This Row],[Result]]&gt;0.5,1,0),0)</f>
        <v>1</v>
      </c>
      <c r="AD138" s="2">
        <f>IF(Games[[#This Row],[Type]]="R",IF(Games[[#This Row],[Result]]&lt;0.5,1,0),0)</f>
        <v>0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35643</v>
      </c>
      <c r="B139" s="2">
        <v>1997</v>
      </c>
      <c r="C139" s="2">
        <f>COUNTIFS(Games[Team],Games[[#This Row],[Team]],Games[Season],Games[[#This Row],[Season]],Games[Date],"&lt;=" &amp; Games[[#This Row],[Date]])</f>
        <v>19</v>
      </c>
      <c r="D139" s="2" t="s">
        <v>23</v>
      </c>
      <c r="E139" s="2" t="s">
        <v>29</v>
      </c>
      <c r="F139" s="1" t="s">
        <v>71</v>
      </c>
      <c r="G139" s="1" t="s">
        <v>2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9" s="2">
        <f>Games[[#This Row],[DaysOff]]-Games[[#This Row],[OppDaysOff]]</f>
        <v>-1</v>
      </c>
      <c r="L139" s="2">
        <f>Games[[#This Row],[OppDaysOff]]-Games[[#This Row],[DaysOff]]</f>
        <v>1</v>
      </c>
      <c r="M139" s="1">
        <f>MAX(-16, MIN(16, Games[[#This Row],[RestDiff]]*8))</f>
        <v>-8</v>
      </c>
      <c r="N139" s="1">
        <f>MAX(-16, MIN(16, Games[[#This Row],[OppRestDiff]]*8))</f>
        <v>8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1506.3866810742416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1566.3096719730515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0.51162165691850447</v>
      </c>
      <c r="R139" s="1">
        <v>57</v>
      </c>
      <c r="S139" s="1">
        <v>81</v>
      </c>
      <c r="T139" s="1">
        <v>0</v>
      </c>
      <c r="U139" s="1">
        <f>Games[[#This Row],[PointsFor]]-Games[[#This Row],[PointsAgainst]]</f>
        <v>-24</v>
      </c>
      <c r="V139" s="1">
        <f>IF(Games[[#This Row],[MOV]]&gt;0,1,IF(Games[[#This Row],[MOV]]=0,0.5,0))</f>
        <v>0</v>
      </c>
      <c r="W139" s="4">
        <f>((ABS(Games[[#This Row],[MOV]])+5)^0.6)/(12+0.01*(ABS(Games[[#This Row],[PreGmRate]]-Games[[#This Row],[OppPreGmRate]])))*IF(Games[[#This Row],[OT]]=1,0.9,1)</f>
        <v>0.59854223058489342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73.150000000000006</v>
      </c>
      <c r="Z139" s="4">
        <f>Games[[#This Row],[K]]*Games[[#This Row],[POMult]]</f>
        <v>73.150000000000006</v>
      </c>
      <c r="AA139" s="4">
        <f>(Games[[#This Row],[Keff]]*Games[[#This Row],[MOVMult]])*(Games[[#This Row],[Result]]-Games[[#This Row],[ExpectedWin%]])</f>
        <v>-22.400517320732607</v>
      </c>
      <c r="AB139" s="4">
        <f>Games[[#This Row],[PreGmRate]]+Games[[#This Row],[RatingChange]]</f>
        <v>1483.9861637535089</v>
      </c>
      <c r="AC139" s="2">
        <f>IF(Games[[#This Row],[Type]]="R",IF(Games[[#This Row],[Result]]&gt;0.5,1,0),0)</f>
        <v>0</v>
      </c>
      <c r="AD139" s="2">
        <f>IF(Games[[#This Row],[Type]]="R",IF(Games[[#This Row],[Result]]&lt;0.5,1,0),0)</f>
        <v>1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35644</v>
      </c>
      <c r="B140" s="2">
        <v>1997</v>
      </c>
      <c r="C140" s="2">
        <f>COUNTIFS(Games[Team],Games[[#This Row],[Team]],Games[Season],Games[[#This Row],[Season]],Games[Date],"&lt;=" &amp; Games[[#This Row],[Date]])</f>
        <v>18</v>
      </c>
      <c r="D140" s="2" t="s">
        <v>23</v>
      </c>
      <c r="E140" s="2" t="s">
        <v>29</v>
      </c>
      <c r="F140" s="1" t="s">
        <v>45</v>
      </c>
      <c r="G140" s="1" t="s">
        <v>1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0" s="2">
        <f>Games[[#This Row],[DaysOff]]-Games[[#This Row],[OppDaysOff]]</f>
        <v>-1</v>
      </c>
      <c r="L140" s="2">
        <f>Games[[#This Row],[OppDaysOff]]-Games[[#This Row],[DaysOff]]</f>
        <v>1</v>
      </c>
      <c r="M140" s="1">
        <f>MAX(-16, MIN(16, Games[[#This Row],[RestDiff]]*8))</f>
        <v>-8</v>
      </c>
      <c r="N140" s="1">
        <f>MAX(-16, MIN(16, Games[[#This Row],[OppRestDiff]]*8))</f>
        <v>8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1385.430220370504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1548.3488951596864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0.18042340020377765</v>
      </c>
      <c r="R140" s="1">
        <v>51</v>
      </c>
      <c r="S140" s="1">
        <v>72</v>
      </c>
      <c r="T140" s="1">
        <v>0</v>
      </c>
      <c r="U140" s="1">
        <f>Games[[#This Row],[PointsFor]]-Games[[#This Row],[PointsAgainst]]</f>
        <v>-21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0.51821987649713175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73.3</v>
      </c>
      <c r="Z140" s="4">
        <f>Games[[#This Row],[K]]*Games[[#This Row],[POMult]]</f>
        <v>73.3</v>
      </c>
      <c r="AA140" s="4">
        <f>(Games[[#This Row],[Keff]]*Games[[#This Row],[MOVMult]])*(Games[[#This Row],[Result]]-Games[[#This Row],[ExpectedWin%]])</f>
        <v>-6.853476126119217</v>
      </c>
      <c r="AB140" s="4">
        <f>Games[[#This Row],[PreGmRate]]+Games[[#This Row],[RatingChange]]</f>
        <v>1378.5767442443848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35644</v>
      </c>
      <c r="B141" s="2">
        <v>1997</v>
      </c>
      <c r="C141" s="2">
        <f>COUNTIFS(Games[Team],Games[[#This Row],[Team]],Games[Season],Games[[#This Row],[Season]],Games[Date],"&lt;=" &amp; Games[[#This Row],[Date]])</f>
        <v>19</v>
      </c>
      <c r="D141" s="2" t="s">
        <v>23</v>
      </c>
      <c r="E141" s="2" t="s">
        <v>29</v>
      </c>
      <c r="F141" s="1" t="s">
        <v>1</v>
      </c>
      <c r="G141" s="1" t="s">
        <v>45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1" s="2">
        <f>Games[[#This Row],[DaysOff]]-Games[[#This Row],[OppDaysOff]]</f>
        <v>1</v>
      </c>
      <c r="L141" s="2">
        <f>Games[[#This Row],[OppDaysOff]]-Games[[#This Row],[DaysOff]]</f>
        <v>-1</v>
      </c>
      <c r="M141" s="1">
        <f>MAX(-16, MIN(16, Games[[#This Row],[RestDiff]]*8))</f>
        <v>8</v>
      </c>
      <c r="N141" s="1">
        <f>MAX(-16, MIN(16, Games[[#This Row],[OppRestDiff]]*8))</f>
        <v>-8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1548.3488951596864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1385.430220370504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0.81957659979622233</v>
      </c>
      <c r="R141" s="1">
        <v>72</v>
      </c>
      <c r="S141" s="1">
        <v>51</v>
      </c>
      <c r="T141" s="1">
        <v>0</v>
      </c>
      <c r="U141" s="1">
        <f>Games[[#This Row],[PointsFor]]-Games[[#This Row],[PointsAgainst]]</f>
        <v>21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0.51821987649713175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73.150000000000006</v>
      </c>
      <c r="Z141" s="4">
        <f>Games[[#This Row],[K]]*Games[[#This Row],[POMult]]</f>
        <v>73.150000000000006</v>
      </c>
      <c r="AA141" s="4">
        <f>(Games[[#This Row],[Keff]]*Games[[#This Row],[MOVMult]])*(Games[[#This Row],[Result]]-Games[[#This Row],[ExpectedWin%]])</f>
        <v>6.8394512772935991</v>
      </c>
      <c r="AB141" s="4">
        <f>Games[[#This Row],[PreGmRate]]+Games[[#This Row],[RatingChange]]</f>
        <v>1555.1883464369801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35644</v>
      </c>
      <c r="B142" s="2">
        <v>1997</v>
      </c>
      <c r="C142" s="2">
        <f>COUNTIFS(Games[Team],Games[[#This Row],[Team]],Games[Season],Games[[#This Row],[Season]],Games[Date],"&lt;=" &amp; Games[[#This Row],[Date]])</f>
        <v>17</v>
      </c>
      <c r="D142" s="2" t="s">
        <v>23</v>
      </c>
      <c r="E142" s="2" t="s">
        <v>29</v>
      </c>
      <c r="F142" s="1" t="s">
        <v>44</v>
      </c>
      <c r="G142" s="1" t="s">
        <v>66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2" s="2">
        <f>Games[[#This Row],[DaysOff]]-Games[[#This Row],[OppDaysOff]]</f>
        <v>-1</v>
      </c>
      <c r="L142" s="2">
        <f>Games[[#This Row],[OppDaysOff]]-Games[[#This Row],[DaysOff]]</f>
        <v>1</v>
      </c>
      <c r="M142" s="1">
        <f>MAX(-16, MIN(16, Games[[#This Row],[RestDiff]]*8))</f>
        <v>-8</v>
      </c>
      <c r="N142" s="1">
        <f>MAX(-16, MIN(16, Games[[#This Row],[OppRestDiff]]*8))</f>
        <v>8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1507.8294379788513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1585.0447943019226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0.26500137880064761</v>
      </c>
      <c r="R142" s="1">
        <v>70</v>
      </c>
      <c r="S142" s="1">
        <v>80</v>
      </c>
      <c r="T142" s="1">
        <v>0</v>
      </c>
      <c r="U142" s="1">
        <f>Games[[#This Row],[PointsFor]]-Games[[#This Row],[PointsAgainst]]</f>
        <v>-10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0.39754896203291817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73.45</v>
      </c>
      <c r="Z142" s="4">
        <f>Games[[#This Row],[K]]*Games[[#This Row],[POMult]]</f>
        <v>73.45</v>
      </c>
      <c r="AA142" s="4">
        <f>(Games[[#This Row],[Keff]]*Games[[#This Row],[MOVMult]])*(Games[[#This Row],[Result]]-Games[[#This Row],[ExpectedWin%]])</f>
        <v>-7.7380326451885137</v>
      </c>
      <c r="AB142" s="4">
        <f>Games[[#This Row],[PreGmRate]]+Games[[#This Row],[RatingChange]]</f>
        <v>1500.0914053336628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35644</v>
      </c>
      <c r="B143" s="2">
        <v>1997</v>
      </c>
      <c r="C143" s="2">
        <f>COUNTIFS(Games[Team],Games[[#This Row],[Team]],Games[Season],Games[[#This Row],[Season]],Games[Date],"&lt;=" &amp; Games[[#This Row],[Date]])</f>
        <v>19</v>
      </c>
      <c r="D143" s="2" t="s">
        <v>23</v>
      </c>
      <c r="E143" s="2" t="s">
        <v>29</v>
      </c>
      <c r="F143" s="1" t="s">
        <v>66</v>
      </c>
      <c r="G143" s="1" t="s">
        <v>44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1</v>
      </c>
      <c r="L143" s="2">
        <f>Games[[#This Row],[OppDaysOff]]-Games[[#This Row],[DaysOff]]</f>
        <v>-1</v>
      </c>
      <c r="M143" s="1">
        <f>MAX(-16, MIN(16, Games[[#This Row],[RestDiff]]*8))</f>
        <v>8</v>
      </c>
      <c r="N143" s="1">
        <f>MAX(-16, MIN(16, Games[[#This Row],[OppRestDiff]]*8))</f>
        <v>-8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1585.0447943019226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1507.8294379788513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0.73499862119935244</v>
      </c>
      <c r="R143" s="1">
        <v>80</v>
      </c>
      <c r="S143" s="1">
        <v>70</v>
      </c>
      <c r="T143" s="1">
        <v>0</v>
      </c>
      <c r="U143" s="1">
        <f>Games[[#This Row],[PointsFor]]-Games[[#This Row],[PointsAgainst]]</f>
        <v>10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0.39754896203291817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73.150000000000006</v>
      </c>
      <c r="Z143" s="4">
        <f>Games[[#This Row],[K]]*Games[[#This Row],[POMult]]</f>
        <v>73.150000000000006</v>
      </c>
      <c r="AA143" s="4">
        <f>(Games[[#This Row],[Keff]]*Games[[#This Row],[MOVMult]])*(Games[[#This Row],[Result]]-Games[[#This Row],[ExpectedWin%]])</f>
        <v>7.7064273382646649</v>
      </c>
      <c r="AB143" s="4">
        <f>Games[[#This Row],[PreGmRate]]+Games[[#This Row],[RatingChange]]</f>
        <v>1592.7512216401872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35644</v>
      </c>
      <c r="B144" s="2">
        <v>1997</v>
      </c>
      <c r="C144" s="2">
        <f>COUNTIFS(Games[Team],Games[[#This Row],[Team]],Games[Season],Games[[#This Row],[Season]],Games[Date],"&lt;=" &amp; Games[[#This Row],[Date]])</f>
        <v>18</v>
      </c>
      <c r="D144" s="2" t="s">
        <v>23</v>
      </c>
      <c r="E144" s="2" t="s">
        <v>29</v>
      </c>
      <c r="F144" s="1" t="s">
        <v>2</v>
      </c>
      <c r="G144" s="1" t="s">
        <v>43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4" s="2">
        <f>Games[[#This Row],[DaysOff]]-Games[[#This Row],[OppDaysOff]]</f>
        <v>-2</v>
      </c>
      <c r="L144" s="2">
        <f>Games[[#This Row],[OppDaysOff]]-Games[[#This Row],[DaysOff]]</f>
        <v>2</v>
      </c>
      <c r="M144" s="1">
        <f>MAX(-16, MIN(16, Games[[#This Row],[RestDiff]]*8))</f>
        <v>-16</v>
      </c>
      <c r="N144" s="1">
        <f>MAX(-16, MIN(16, Games[[#This Row],[OppRestDiff]]*8))</f>
        <v>16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1588.8020574441084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1375.8707256108848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0.63598539280676558</v>
      </c>
      <c r="R144" s="1">
        <v>63</v>
      </c>
      <c r="S144" s="1">
        <v>74</v>
      </c>
      <c r="T144" s="1">
        <v>0</v>
      </c>
      <c r="U144" s="1">
        <f>Games[[#This Row],[PointsFor]]-Games[[#This Row],[PointsAgainst]]</f>
        <v>-11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0.37355188636404113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73.3</v>
      </c>
      <c r="Z144" s="4">
        <f>Games[[#This Row],[K]]*Games[[#This Row],[POMult]]</f>
        <v>73.3</v>
      </c>
      <c r="AA144" s="4">
        <f>(Games[[#This Row],[Keff]]*Games[[#This Row],[MOVMult]])*(Games[[#This Row],[Result]]-Games[[#This Row],[ExpectedWin%]])</f>
        <v>-17.414140715309721</v>
      </c>
      <c r="AB144" s="4">
        <f>Games[[#This Row],[PreGmRate]]+Games[[#This Row],[RatingChange]]</f>
        <v>1571.3879167287987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35644</v>
      </c>
      <c r="B145" s="2">
        <v>1997</v>
      </c>
      <c r="C145" s="2">
        <f>COUNTIFS(Games[Team],Games[[#This Row],[Team]],Games[Season],Games[[#This Row],[Season]],Games[Date],"&lt;=" &amp; Games[[#This Row],[Date]])</f>
        <v>18</v>
      </c>
      <c r="D145" s="2" t="s">
        <v>23</v>
      </c>
      <c r="E145" s="2" t="s">
        <v>29</v>
      </c>
      <c r="F145" s="1" t="s">
        <v>43</v>
      </c>
      <c r="G145" s="1" t="s">
        <v>2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5" s="2">
        <f>Games[[#This Row],[DaysOff]]-Games[[#This Row],[OppDaysOff]]</f>
        <v>2</v>
      </c>
      <c r="L145" s="2">
        <f>Games[[#This Row],[OppDaysOff]]-Games[[#This Row],[DaysOff]]</f>
        <v>-2</v>
      </c>
      <c r="M145" s="1">
        <f>MAX(-16, MIN(16, Games[[#This Row],[RestDiff]]*8))</f>
        <v>16</v>
      </c>
      <c r="N145" s="1">
        <f>MAX(-16, MIN(16, Games[[#This Row],[OppRestDiff]]*8))</f>
        <v>-16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1375.8707256108848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1588.8020574441084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0.36401460719323447</v>
      </c>
      <c r="R145" s="1">
        <v>74</v>
      </c>
      <c r="S145" s="1">
        <v>63</v>
      </c>
      <c r="T145" s="1">
        <v>0</v>
      </c>
      <c r="U145" s="1">
        <f>Games[[#This Row],[PointsFor]]-Games[[#This Row],[PointsAgainst]]</f>
        <v>11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0.37355188636404113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73.3</v>
      </c>
      <c r="Z145" s="4">
        <f>Games[[#This Row],[K]]*Games[[#This Row],[POMult]]</f>
        <v>73.3</v>
      </c>
      <c r="AA145" s="4">
        <f>(Games[[#This Row],[Keff]]*Games[[#This Row],[MOVMult]])*(Games[[#This Row],[Result]]-Games[[#This Row],[ExpectedWin%]])</f>
        <v>17.414140715309721</v>
      </c>
      <c r="AB145" s="4">
        <f>Games[[#This Row],[PreGmRate]]+Games[[#This Row],[RatingChange]]</f>
        <v>1393.2848663261946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35645</v>
      </c>
      <c r="B146" s="2">
        <v>1997</v>
      </c>
      <c r="C146" s="2">
        <f>COUNTIFS(Games[Team],Games[[#This Row],[Team]],Games[Season],Games[[#This Row],[Season]],Games[Date],"&lt;=" &amp; Games[[#This Row],[Date]])</f>
        <v>17</v>
      </c>
      <c r="D146" s="2" t="s">
        <v>23</v>
      </c>
      <c r="E146" s="2" t="s">
        <v>29</v>
      </c>
      <c r="F146" s="1" t="s">
        <v>64</v>
      </c>
      <c r="G146" s="1" t="s">
        <v>71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1524.6834004373359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1483.9861637535089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0.43800300218831051</v>
      </c>
      <c r="R146" s="1">
        <v>77</v>
      </c>
      <c r="S146" s="1">
        <v>70</v>
      </c>
      <c r="T146" s="1">
        <v>0</v>
      </c>
      <c r="U146" s="1">
        <f>Games[[#This Row],[PointsFor]]-Games[[#This Row],[PointsAgainst]]</f>
        <v>7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0.35796695104412768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73.45</v>
      </c>
      <c r="Z146" s="4">
        <f>Games[[#This Row],[K]]*Games[[#This Row],[POMult]]</f>
        <v>73.45</v>
      </c>
      <c r="AA146" s="4">
        <f>(Games[[#This Row],[Keff]]*Games[[#This Row],[MOVMult]])*(Games[[#This Row],[Result]]-Games[[#This Row],[ExpectedWin%]])</f>
        <v>14.776403039901247</v>
      </c>
      <c r="AB146" s="4">
        <f>Games[[#This Row],[PreGmRate]]+Games[[#This Row],[RatingChange]]</f>
        <v>1539.4598034772371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35645</v>
      </c>
      <c r="B147" s="2">
        <v>1997</v>
      </c>
      <c r="C147" s="2">
        <f>COUNTIFS(Games[Team],Games[[#This Row],[Team]],Games[Season],Games[[#This Row],[Season]],Games[Date],"&lt;=" &amp; Games[[#This Row],[Date]])</f>
        <v>20</v>
      </c>
      <c r="D147" s="2" t="s">
        <v>23</v>
      </c>
      <c r="E147" s="2" t="s">
        <v>29</v>
      </c>
      <c r="F147" s="1" t="s">
        <v>71</v>
      </c>
      <c r="G147" s="1" t="s">
        <v>64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1483.9861637535089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1524.6834004373359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0.56199699781168955</v>
      </c>
      <c r="R147" s="1">
        <v>70</v>
      </c>
      <c r="S147" s="1">
        <v>77</v>
      </c>
      <c r="T147" s="1">
        <v>0</v>
      </c>
      <c r="U147" s="1">
        <f>Games[[#This Row],[PointsFor]]-Games[[#This Row],[PointsAgainst]]</f>
        <v>-7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0.35796695104412768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73</v>
      </c>
      <c r="Z147" s="4">
        <f>Games[[#This Row],[K]]*Games[[#This Row],[POMult]]</f>
        <v>73</v>
      </c>
      <c r="AA147" s="4">
        <f>(Games[[#This Row],[Keff]]*Games[[#This Row],[MOVMult]])*(Games[[#This Row],[Result]]-Games[[#This Row],[ExpectedWin%]])</f>
        <v>-14.685873681590078</v>
      </c>
      <c r="AB147" s="4">
        <f>Games[[#This Row],[PreGmRate]]+Games[[#This Row],[RatingChange]]</f>
        <v>1469.3002900719189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35646</v>
      </c>
      <c r="B148" s="2">
        <v>1997</v>
      </c>
      <c r="C148" s="2">
        <f>COUNTIFS(Games[Team],Games[[#This Row],[Team]],Games[Season],Games[[#This Row],[Season]],Games[Date],"&lt;=" &amp; Games[[#This Row],[Date]])</f>
        <v>19</v>
      </c>
      <c r="D148" s="2" t="s">
        <v>23</v>
      </c>
      <c r="E148" s="2" t="s">
        <v>29</v>
      </c>
      <c r="F148" s="1" t="s">
        <v>45</v>
      </c>
      <c r="G148" s="1" t="s">
        <v>44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1378.5767442443848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1500.0914053336628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0.23450648748567327</v>
      </c>
      <c r="R148" s="1">
        <v>60</v>
      </c>
      <c r="S148" s="1">
        <v>83</v>
      </c>
      <c r="T148" s="1">
        <v>0</v>
      </c>
      <c r="U148" s="1">
        <f>Games[[#This Row],[PointsFor]]-Games[[#This Row],[PointsAgainst]]</f>
        <v>-23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0.55875681505166241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73.150000000000006</v>
      </c>
      <c r="Z148" s="4">
        <f>Games[[#This Row],[K]]*Games[[#This Row],[POMult]]</f>
        <v>73.150000000000006</v>
      </c>
      <c r="AA148" s="4">
        <f>(Games[[#This Row],[Keff]]*Games[[#This Row],[MOVMult]])*(Games[[#This Row],[Result]]-Games[[#This Row],[ExpectedWin%]])</f>
        <v>-9.5849979728291217</v>
      </c>
      <c r="AB148" s="4">
        <f>Games[[#This Row],[PreGmRate]]+Games[[#This Row],[RatingChange]]</f>
        <v>1368.9917462715557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35646</v>
      </c>
      <c r="B149" s="2">
        <v>1997</v>
      </c>
      <c r="C149" s="2">
        <f>COUNTIFS(Games[Team],Games[[#This Row],[Team]],Games[Season],Games[[#This Row],[Season]],Games[Date],"&lt;=" &amp; Games[[#This Row],[Date]])</f>
        <v>18</v>
      </c>
      <c r="D149" s="2" t="s">
        <v>23</v>
      </c>
      <c r="E149" s="2" t="s">
        <v>29</v>
      </c>
      <c r="F149" s="1" t="s">
        <v>44</v>
      </c>
      <c r="G149" s="1" t="s">
        <v>45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1500.0914053336628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1378.5767442443848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0.76549351251432673</v>
      </c>
      <c r="R149" s="1">
        <v>83</v>
      </c>
      <c r="S149" s="1">
        <v>60</v>
      </c>
      <c r="T149" s="1">
        <v>0</v>
      </c>
      <c r="U149" s="1">
        <f>Games[[#This Row],[PointsFor]]-Games[[#This Row],[PointsAgainst]]</f>
        <v>23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0.55875681505166241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73.3</v>
      </c>
      <c r="Z149" s="4">
        <f>Games[[#This Row],[K]]*Games[[#This Row],[POMult]]</f>
        <v>73.3</v>
      </c>
      <c r="AA149" s="4">
        <f>(Games[[#This Row],[Keff]]*Games[[#This Row],[MOVMult]])*(Games[[#This Row],[Result]]-Games[[#This Row],[ExpectedWin%]])</f>
        <v>9.6046527875375887</v>
      </c>
      <c r="AB149" s="4">
        <f>Games[[#This Row],[PreGmRate]]+Games[[#This Row],[RatingChange]]</f>
        <v>1509.6960581212004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35646</v>
      </c>
      <c r="B150" s="2">
        <v>1997</v>
      </c>
      <c r="C150" s="2">
        <f>COUNTIFS(Games[Team],Games[[#This Row],[Team]],Games[Season],Games[[#This Row],[Season]],Games[Date],"&lt;=" &amp; Games[[#This Row],[Date]])</f>
        <v>18</v>
      </c>
      <c r="D150" s="2" t="s">
        <v>23</v>
      </c>
      <c r="E150" s="2" t="s">
        <v>29</v>
      </c>
      <c r="F150" s="1" t="s">
        <v>64</v>
      </c>
      <c r="G150" s="1" t="s">
        <v>43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-1</v>
      </c>
      <c r="L150" s="2">
        <f>Games[[#This Row],[OppDaysOff]]-Games[[#This Row],[DaysOff]]</f>
        <v>1</v>
      </c>
      <c r="M150" s="1">
        <f>MAX(-16, MIN(16, Games[[#This Row],[RestDiff]]*8))</f>
        <v>-8</v>
      </c>
      <c r="N150" s="1">
        <f>MAX(-16, MIN(16, Games[[#This Row],[OppRestDiff]]*8))</f>
        <v>8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1539.4598034772371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1393.2848663261946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0.56606257940498172</v>
      </c>
      <c r="R150" s="1">
        <v>70</v>
      </c>
      <c r="S150" s="1">
        <v>73</v>
      </c>
      <c r="T150" s="1">
        <v>0</v>
      </c>
      <c r="U150" s="1">
        <f>Games[[#This Row],[PointsFor]]-Games[[#This Row],[PointsAgainst]]</f>
        <v>-3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0.2586738288675916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73.3</v>
      </c>
      <c r="Z150" s="4">
        <f>Games[[#This Row],[K]]*Games[[#This Row],[POMult]]</f>
        <v>73.3</v>
      </c>
      <c r="AA150" s="4">
        <f>(Games[[#This Row],[Keff]]*Games[[#This Row],[MOVMult]])*(Games[[#This Row],[Result]]-Games[[#This Row],[ExpectedWin%]])</f>
        <v>-10.73299463235268</v>
      </c>
      <c r="AB150" s="4">
        <f>Games[[#This Row],[PreGmRate]]+Games[[#This Row],[RatingChange]]</f>
        <v>1528.7268088448843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35646</v>
      </c>
      <c r="B151" s="2">
        <v>1997</v>
      </c>
      <c r="C151" s="2">
        <f>COUNTIFS(Games[Team],Games[[#This Row],[Team]],Games[Season],Games[[#This Row],[Season]],Games[Date],"&lt;=" &amp; Games[[#This Row],[Date]])</f>
        <v>19</v>
      </c>
      <c r="D151" s="2" t="s">
        <v>23</v>
      </c>
      <c r="E151" s="2" t="s">
        <v>29</v>
      </c>
      <c r="F151" s="1" t="s">
        <v>43</v>
      </c>
      <c r="G151" s="1" t="s">
        <v>64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1" s="2">
        <f>Games[[#This Row],[DaysOff]]-Games[[#This Row],[OppDaysOff]]</f>
        <v>1</v>
      </c>
      <c r="L151" s="2">
        <f>Games[[#This Row],[OppDaysOff]]-Games[[#This Row],[DaysOff]]</f>
        <v>-1</v>
      </c>
      <c r="M151" s="1">
        <f>MAX(-16, MIN(16, Games[[#This Row],[RestDiff]]*8))</f>
        <v>8</v>
      </c>
      <c r="N151" s="1">
        <f>MAX(-16, MIN(16, Games[[#This Row],[OppRestDiff]]*8))</f>
        <v>-8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1393.2848663261946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1539.4598034772371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0.43393742059501828</v>
      </c>
      <c r="R151" s="1">
        <v>73</v>
      </c>
      <c r="S151" s="1">
        <v>70</v>
      </c>
      <c r="T151" s="1">
        <v>0</v>
      </c>
      <c r="U151" s="1">
        <f>Games[[#This Row],[PointsFor]]-Games[[#This Row],[PointsAgainst]]</f>
        <v>3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0.2586738288675916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73.150000000000006</v>
      </c>
      <c r="Z151" s="4">
        <f>Games[[#This Row],[K]]*Games[[#This Row],[POMult]]</f>
        <v>73.150000000000006</v>
      </c>
      <c r="AA151" s="4">
        <f>(Games[[#This Row],[Keff]]*Games[[#This Row],[MOVMult]])*(Games[[#This Row],[Result]]-Games[[#This Row],[ExpectedWin%]])</f>
        <v>10.711030796133681</v>
      </c>
      <c r="AB151" s="4">
        <f>Games[[#This Row],[PreGmRate]]+Games[[#This Row],[RatingChange]]</f>
        <v>1403.9958971223282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35647</v>
      </c>
      <c r="B152" s="2">
        <v>1997</v>
      </c>
      <c r="C152" s="2">
        <f>COUNTIFS(Games[Team],Games[[#This Row],[Team]],Games[Season],Games[[#This Row],[Season]],Games[Date],"&lt;=" &amp; Games[[#This Row],[Date]])</f>
        <v>19</v>
      </c>
      <c r="D152" s="2" t="s">
        <v>23</v>
      </c>
      <c r="E152" s="2" t="s">
        <v>29</v>
      </c>
      <c r="F152" s="1" t="s">
        <v>2</v>
      </c>
      <c r="G152" s="1" t="s">
        <v>1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2" s="2">
        <f>Games[[#This Row],[DaysOff]]-Games[[#This Row],[OppDaysOff]]</f>
        <v>0</v>
      </c>
      <c r="L152" s="2">
        <f>Games[[#This Row],[OppDaysOff]]-Games[[#This Row],[DaysOff]]</f>
        <v>0</v>
      </c>
      <c r="M152" s="1">
        <f>MAX(-16, MIN(16, Games[[#This Row],[RestDiff]]*8))</f>
        <v>0</v>
      </c>
      <c r="N152" s="1">
        <f>MAX(-16, MIN(16, Games[[#This Row],[OppRestDiff]]*8))</f>
        <v>0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1571.3879167287987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1555.1883464369801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0.4036473353467403</v>
      </c>
      <c r="R152" s="1">
        <v>76</v>
      </c>
      <c r="S152" s="1">
        <v>66</v>
      </c>
      <c r="T152" s="1">
        <v>0</v>
      </c>
      <c r="U152" s="1">
        <f>Games[[#This Row],[PointsFor]]-Games[[#This Row],[PointsAgainst]]</f>
        <v>10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0.41749368409734622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73.150000000000006</v>
      </c>
      <c r="Z152" s="4">
        <f>Games[[#This Row],[K]]*Games[[#This Row],[POMult]]</f>
        <v>73.150000000000006</v>
      </c>
      <c r="AA152" s="4">
        <f>(Games[[#This Row],[Keff]]*Games[[#This Row],[MOVMult]])*(Games[[#This Row],[Result]]-Games[[#This Row],[ExpectedWin%]])</f>
        <v>18.212409402725289</v>
      </c>
      <c r="AB152" s="4">
        <f>Games[[#This Row],[PreGmRate]]+Games[[#This Row],[RatingChange]]</f>
        <v>1589.6003261315241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35647</v>
      </c>
      <c r="B153" s="2">
        <v>1997</v>
      </c>
      <c r="C153" s="2">
        <f>COUNTIFS(Games[Team],Games[[#This Row],[Team]],Games[Season],Games[[#This Row],[Season]],Games[Date],"&lt;=" &amp; Games[[#This Row],[Date]])</f>
        <v>20</v>
      </c>
      <c r="D153" s="2" t="s">
        <v>23</v>
      </c>
      <c r="E153" s="2" t="s">
        <v>29</v>
      </c>
      <c r="F153" s="1" t="s">
        <v>1</v>
      </c>
      <c r="G153" s="1" t="s">
        <v>2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3" s="2">
        <f>Games[[#This Row],[DaysOff]]-Games[[#This Row],[OppDaysOff]]</f>
        <v>0</v>
      </c>
      <c r="L153" s="2">
        <f>Games[[#This Row],[OppDaysOff]]-Games[[#This Row],[DaysOff]]</f>
        <v>0</v>
      </c>
      <c r="M153" s="1">
        <f>MAX(-16, MIN(16, Games[[#This Row],[RestDiff]]*8))</f>
        <v>0</v>
      </c>
      <c r="N153" s="1">
        <f>MAX(-16, MIN(16, Games[[#This Row],[OppRestDiff]]*8))</f>
        <v>0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1555.1883464369801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1571.3879167287987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0.59635266465325976</v>
      </c>
      <c r="R153" s="1">
        <v>66</v>
      </c>
      <c r="S153" s="1">
        <v>76</v>
      </c>
      <c r="T153" s="1">
        <v>0</v>
      </c>
      <c r="U153" s="1">
        <f>Games[[#This Row],[PointsFor]]-Games[[#This Row],[PointsAgainst]]</f>
        <v>-10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0.41749368409734622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73</v>
      </c>
      <c r="Z153" s="4">
        <f>Games[[#This Row],[K]]*Games[[#This Row],[POMult]]</f>
        <v>73</v>
      </c>
      <c r="AA153" s="4">
        <f>(Games[[#This Row],[Keff]]*Games[[#This Row],[MOVMult]])*(Games[[#This Row],[Result]]-Games[[#This Row],[ExpectedWin%]])</f>
        <v>-18.175063382077184</v>
      </c>
      <c r="AB153" s="4">
        <f>Games[[#This Row],[PreGmRate]]+Games[[#This Row],[RatingChange]]</f>
        <v>1537.0132830549028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35647</v>
      </c>
      <c r="B154" s="2">
        <v>1997</v>
      </c>
      <c r="C154" s="2">
        <f>COUNTIFS(Games[Team],Games[[#This Row],[Team]],Games[Season],Games[[#This Row],[Season]],Games[Date],"&lt;=" &amp; Games[[#This Row],[Date]])</f>
        <v>21</v>
      </c>
      <c r="D154" s="2" t="s">
        <v>23</v>
      </c>
      <c r="E154" s="2" t="s">
        <v>29</v>
      </c>
      <c r="F154" s="1" t="s">
        <v>71</v>
      </c>
      <c r="G154" s="1" t="s">
        <v>66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4" s="2">
        <f>Games[[#This Row],[DaysOff]]-Games[[#This Row],[OppDaysOff]]</f>
        <v>-1</v>
      </c>
      <c r="L154" s="2">
        <f>Games[[#This Row],[OppDaysOff]]-Games[[#This Row],[DaysOff]]</f>
        <v>1</v>
      </c>
      <c r="M154" s="1">
        <f>MAX(-16, MIN(16, Games[[#This Row],[RestDiff]]*8))</f>
        <v>-8</v>
      </c>
      <c r="N154" s="1">
        <f>MAX(-16, MIN(16, Games[[#This Row],[OppRestDiff]]*8))</f>
        <v>8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1469.3002900719189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1592.7512216401872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0.21648194439041266</v>
      </c>
      <c r="R154" s="1">
        <v>67</v>
      </c>
      <c r="S154" s="1">
        <v>50</v>
      </c>
      <c r="T154" s="1">
        <v>0</v>
      </c>
      <c r="U154" s="1">
        <f>Games[[#This Row],[PointsFor]]-Games[[#This Row],[PointsAgainst]]</f>
        <v>17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0.48277610273111848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72.849999999999994</v>
      </c>
      <c r="Z154" s="4">
        <f>Games[[#This Row],[K]]*Games[[#This Row],[POMult]]</f>
        <v>72.849999999999994</v>
      </c>
      <c r="AA154" s="4">
        <f>(Games[[#This Row],[Keff]]*Games[[#This Row],[MOVMult]])*(Games[[#This Row],[Result]]-Games[[#This Row],[ExpectedWin%]])</f>
        <v>27.556517342390205</v>
      </c>
      <c r="AB154" s="4">
        <f>Games[[#This Row],[PreGmRate]]+Games[[#This Row],[RatingChange]]</f>
        <v>1496.8568074143091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35647</v>
      </c>
      <c r="B155" s="2">
        <v>1997</v>
      </c>
      <c r="C155" s="2">
        <f>COUNTIFS(Games[Team],Games[[#This Row],[Team]],Games[Season],Games[[#This Row],[Season]],Games[Date],"&lt;=" &amp; Games[[#This Row],[Date]])</f>
        <v>20</v>
      </c>
      <c r="D155" s="2" t="s">
        <v>23</v>
      </c>
      <c r="E155" s="2" t="s">
        <v>29</v>
      </c>
      <c r="F155" s="1" t="s">
        <v>66</v>
      </c>
      <c r="G155" s="1" t="s">
        <v>71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1</v>
      </c>
      <c r="L155" s="2">
        <f>Games[[#This Row],[OppDaysOff]]-Games[[#This Row],[DaysOff]]</f>
        <v>-1</v>
      </c>
      <c r="M155" s="1">
        <f>MAX(-16, MIN(16, Games[[#This Row],[RestDiff]]*8))</f>
        <v>8</v>
      </c>
      <c r="N155" s="1">
        <f>MAX(-16, MIN(16, Games[[#This Row],[OppRestDiff]]*8))</f>
        <v>-8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1592.7512216401872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1469.3002900719189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0.78351805560958732</v>
      </c>
      <c r="R155" s="1">
        <v>50</v>
      </c>
      <c r="S155" s="1">
        <v>67</v>
      </c>
      <c r="T155" s="1">
        <v>0</v>
      </c>
      <c r="U155" s="1">
        <f>Games[[#This Row],[PointsFor]]-Games[[#This Row],[PointsAgainst]]</f>
        <v>-17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0.48277610273111848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73</v>
      </c>
      <c r="Z155" s="4">
        <f>Games[[#This Row],[K]]*Games[[#This Row],[POMult]]</f>
        <v>73</v>
      </c>
      <c r="AA155" s="4">
        <f>(Games[[#This Row],[Keff]]*Games[[#This Row],[MOVMult]])*(Games[[#This Row],[Result]]-Games[[#This Row],[ExpectedWin%]])</f>
        <v>-27.613256911386205</v>
      </c>
      <c r="AB155" s="4">
        <f>Games[[#This Row],[PreGmRate]]+Games[[#This Row],[RatingChange]]</f>
        <v>1565.1379647288009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35648</v>
      </c>
      <c r="B156" s="2">
        <v>1997</v>
      </c>
      <c r="C156" s="2">
        <f>COUNTIFS(Games[Team],Games[[#This Row],[Team]],Games[Season],Games[[#This Row],[Season]],Games[Date],"&lt;=" &amp; Games[[#This Row],[Date]])</f>
        <v>20</v>
      </c>
      <c r="D156" s="2" t="s">
        <v>23</v>
      </c>
      <c r="E156" s="2" t="s">
        <v>29</v>
      </c>
      <c r="F156" s="1" t="s">
        <v>43</v>
      </c>
      <c r="G156" s="1" t="s">
        <v>44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1403.9958971223282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1509.6960581212004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0.25124149370314341</v>
      </c>
      <c r="R156" s="1">
        <v>46</v>
      </c>
      <c r="S156" s="1">
        <v>78</v>
      </c>
      <c r="T156" s="1">
        <v>0</v>
      </c>
      <c r="U156" s="1">
        <f>Games[[#This Row],[PointsFor]]-Games[[#This Row],[PointsAgainst]]</f>
        <v>-32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0.66846331258771041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73</v>
      </c>
      <c r="Z156" s="4">
        <f>Games[[#This Row],[K]]*Games[[#This Row],[POMult]]</f>
        <v>73</v>
      </c>
      <c r="AA156" s="4">
        <f>(Games[[#This Row],[Keff]]*Games[[#This Row],[MOVMult]])*(Games[[#This Row],[Result]]-Games[[#This Row],[ExpectedWin%]])</f>
        <v>-12.260037643240997</v>
      </c>
      <c r="AB156" s="4">
        <f>Games[[#This Row],[PreGmRate]]+Games[[#This Row],[RatingChange]]</f>
        <v>1391.7358594790871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35648</v>
      </c>
      <c r="B157" s="2">
        <v>1997</v>
      </c>
      <c r="C157" s="2">
        <f>COUNTIFS(Games[Team],Games[[#This Row],[Team]],Games[Season],Games[[#This Row],[Season]],Games[Date],"&lt;=" &amp; Games[[#This Row],[Date]])</f>
        <v>19</v>
      </c>
      <c r="D157" s="2" t="s">
        <v>23</v>
      </c>
      <c r="E157" s="2" t="s">
        <v>29</v>
      </c>
      <c r="F157" s="1" t="s">
        <v>44</v>
      </c>
      <c r="G157" s="1" t="s">
        <v>43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1509.6960581212004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1403.9958971223282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0.74875850629685647</v>
      </c>
      <c r="R157" s="1">
        <v>78</v>
      </c>
      <c r="S157" s="1">
        <v>46</v>
      </c>
      <c r="T157" s="1">
        <v>0</v>
      </c>
      <c r="U157" s="1">
        <f>Games[[#This Row],[PointsFor]]-Games[[#This Row],[PointsAgainst]]</f>
        <v>32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0.66846331258771041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73.150000000000006</v>
      </c>
      <c r="Z157" s="4">
        <f>Games[[#This Row],[K]]*Games[[#This Row],[POMult]]</f>
        <v>73.150000000000006</v>
      </c>
      <c r="AA157" s="4">
        <f>(Games[[#This Row],[Keff]]*Games[[#This Row],[MOVMult]])*(Games[[#This Row],[Result]]-Games[[#This Row],[ExpectedWin%]])</f>
        <v>12.285229501412047</v>
      </c>
      <c r="AB157" s="4">
        <f>Games[[#This Row],[PreGmRate]]+Games[[#This Row],[RatingChange]]</f>
        <v>1521.9812876226124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35648</v>
      </c>
      <c r="B158" s="2">
        <v>1997</v>
      </c>
      <c r="C158" s="2">
        <f>COUNTIFS(Games[Team],Games[[#This Row],[Team]],Games[Season],Games[[#This Row],[Season]],Games[Date],"&lt;=" &amp; Games[[#This Row],[Date]])</f>
        <v>19</v>
      </c>
      <c r="D158" s="2" t="s">
        <v>23</v>
      </c>
      <c r="E158" s="2" t="s">
        <v>29</v>
      </c>
      <c r="F158" s="1" t="s">
        <v>64</v>
      </c>
      <c r="G158" s="1" t="s">
        <v>45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1528.7268088448843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1368.9917462715557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0.60729740619792172</v>
      </c>
      <c r="R158" s="1">
        <v>64</v>
      </c>
      <c r="S158" s="1">
        <v>77</v>
      </c>
      <c r="T158" s="1">
        <v>0</v>
      </c>
      <c r="U158" s="1">
        <f>Games[[#This Row],[PointsFor]]-Games[[#This Row],[PointsAgainst]]</f>
        <v>-13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0.41659035084740492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73.150000000000006</v>
      </c>
      <c r="Z158" s="4">
        <f>Games[[#This Row],[K]]*Games[[#This Row],[POMult]]</f>
        <v>73.150000000000006</v>
      </c>
      <c r="AA158" s="4">
        <f>(Games[[#This Row],[Keff]]*Games[[#This Row],[MOVMult]])*(Games[[#This Row],[Result]]-Games[[#This Row],[ExpectedWin%]])</f>
        <v>-18.506528620647426</v>
      </c>
      <c r="AB158" s="4">
        <f>Games[[#This Row],[PreGmRate]]+Games[[#This Row],[RatingChange]]</f>
        <v>1510.2202802242368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35648</v>
      </c>
      <c r="B159" s="2">
        <v>1997</v>
      </c>
      <c r="C159" s="2">
        <f>COUNTIFS(Games[Team],Games[[#This Row],[Team]],Games[Season],Games[[#This Row],[Season]],Games[Date],"&lt;=" &amp; Games[[#This Row],[Date]])</f>
        <v>20</v>
      </c>
      <c r="D159" s="2" t="s">
        <v>23</v>
      </c>
      <c r="E159" s="2" t="s">
        <v>29</v>
      </c>
      <c r="F159" s="1" t="s">
        <v>45</v>
      </c>
      <c r="G159" s="1" t="s">
        <v>64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1368.9917462715557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1528.7268088448843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0.39270259380207839</v>
      </c>
      <c r="R159" s="1">
        <v>77</v>
      </c>
      <c r="S159" s="1">
        <v>64</v>
      </c>
      <c r="T159" s="1">
        <v>0</v>
      </c>
      <c r="U159" s="1">
        <f>Games[[#This Row],[PointsFor]]-Games[[#This Row],[PointsAgainst]]</f>
        <v>13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0.41659035084740492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73</v>
      </c>
      <c r="Z159" s="4">
        <f>Games[[#This Row],[K]]*Games[[#This Row],[POMult]]</f>
        <v>73</v>
      </c>
      <c r="AA159" s="4">
        <f>(Games[[#This Row],[Keff]]*Games[[#This Row],[MOVMult]])*(Games[[#This Row],[Result]]-Games[[#This Row],[ExpectedWin%]])</f>
        <v>18.468579484719914</v>
      </c>
      <c r="AB159" s="4">
        <f>Games[[#This Row],[PreGmRate]]+Games[[#This Row],[RatingChange]]</f>
        <v>1387.4603257562756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35649</v>
      </c>
      <c r="B160" s="2">
        <v>1997</v>
      </c>
      <c r="C160" s="2">
        <f>COUNTIFS(Games[Team],Games[[#This Row],[Team]],Games[Season],Games[[#This Row],[Season]],Games[Date],"&lt;=" &amp; Games[[#This Row],[Date]])</f>
        <v>22</v>
      </c>
      <c r="D160" s="2" t="s">
        <v>23</v>
      </c>
      <c r="E160" s="2" t="s">
        <v>29</v>
      </c>
      <c r="F160" s="1" t="s">
        <v>71</v>
      </c>
      <c r="G160" s="1" t="s">
        <v>1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1496.8568074143091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1537.0132830549028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0.32856067618792822</v>
      </c>
      <c r="R160" s="1">
        <v>87</v>
      </c>
      <c r="S160" s="1">
        <v>84</v>
      </c>
      <c r="T160" s="1">
        <v>1</v>
      </c>
      <c r="U160" s="1">
        <f>Games[[#This Row],[PointsFor]]-Games[[#This Row],[PointsAgainst]]</f>
        <v>3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0.25270859681212499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72.7</v>
      </c>
      <c r="Z160" s="4">
        <f>Games[[#This Row],[K]]*Games[[#This Row],[POMult]]</f>
        <v>72.7</v>
      </c>
      <c r="AA160" s="4">
        <f>(Games[[#This Row],[Keff]]*Games[[#This Row],[MOVMult]])*(Games[[#This Row],[Result]]-Games[[#This Row],[ExpectedWin%]])</f>
        <v>12.335626176837732</v>
      </c>
      <c r="AB160" s="4">
        <f>Games[[#This Row],[PreGmRate]]+Games[[#This Row],[RatingChange]]</f>
        <v>1509.1924335911467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35649</v>
      </c>
      <c r="B161" s="2">
        <v>1997</v>
      </c>
      <c r="C161" s="2">
        <f>COUNTIFS(Games[Team],Games[[#This Row],[Team]],Games[Season],Games[[#This Row],[Season]],Games[Date],"&lt;=" &amp; Games[[#This Row],[Date]])</f>
        <v>21</v>
      </c>
      <c r="D161" s="2" t="s">
        <v>23</v>
      </c>
      <c r="E161" s="2" t="s">
        <v>29</v>
      </c>
      <c r="F161" s="1" t="s">
        <v>1</v>
      </c>
      <c r="G161" s="1" t="s">
        <v>71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1537.0132830549028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1496.8568074143091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0.67143932381207172</v>
      </c>
      <c r="R161" s="1">
        <v>84</v>
      </c>
      <c r="S161" s="1">
        <v>87</v>
      </c>
      <c r="T161" s="1">
        <v>1</v>
      </c>
      <c r="U161" s="1">
        <f>Games[[#This Row],[PointsFor]]-Games[[#This Row],[PointsAgainst]]</f>
        <v>-3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0.25270859681212499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72.849999999999994</v>
      </c>
      <c r="Z161" s="4">
        <f>Games[[#This Row],[K]]*Games[[#This Row],[POMult]]</f>
        <v>72.849999999999994</v>
      </c>
      <c r="AA161" s="4">
        <f>(Games[[#This Row],[Keff]]*Games[[#This Row],[MOVMult]])*(Games[[#This Row],[Result]]-Games[[#This Row],[ExpectedWin%]])</f>
        <v>-12.361077950242482</v>
      </c>
      <c r="AB161" s="4">
        <f>Games[[#This Row],[PreGmRate]]+Games[[#This Row],[RatingChange]]</f>
        <v>1524.6522051046602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35649</v>
      </c>
      <c r="B162" s="2">
        <v>1997</v>
      </c>
      <c r="C162" s="2">
        <f>COUNTIFS(Games[Team],Games[[#This Row],[Team]],Games[Season],Games[[#This Row],[Season]],Games[Date],"&lt;=" &amp; Games[[#This Row],[Date]])</f>
        <v>20</v>
      </c>
      <c r="D162" s="2" t="s">
        <v>23</v>
      </c>
      <c r="E162" s="2" t="s">
        <v>29</v>
      </c>
      <c r="F162" s="1" t="s">
        <v>44</v>
      </c>
      <c r="G162" s="1" t="s">
        <v>2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-1</v>
      </c>
      <c r="L162" s="2">
        <f>Games[[#This Row],[OppDaysOff]]-Games[[#This Row],[DaysOff]]</f>
        <v>1</v>
      </c>
      <c r="M162" s="1">
        <f>MAX(-16, MIN(16, Games[[#This Row],[RestDiff]]*8))</f>
        <v>-8</v>
      </c>
      <c r="N162" s="1">
        <f>MAX(-16, MIN(16, Games[[#This Row],[OppRestDiff]]*8))</f>
        <v>8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1521.9812876226124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1589.6003261315241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0.27589965532908739</v>
      </c>
      <c r="R162" s="1">
        <v>70</v>
      </c>
      <c r="S162" s="1">
        <v>74</v>
      </c>
      <c r="T162" s="1">
        <v>0</v>
      </c>
      <c r="U162" s="1">
        <f>Games[[#This Row],[PointsFor]]-Games[[#This Row],[PointsAgainst]]</f>
        <v>-4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0.29481987137417698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73</v>
      </c>
      <c r="Z162" s="4">
        <f>Games[[#This Row],[K]]*Games[[#This Row],[POMult]]</f>
        <v>73</v>
      </c>
      <c r="AA162" s="4">
        <f>(Games[[#This Row],[Keff]]*Games[[#This Row],[MOVMult]])*(Games[[#This Row],[Result]]-Games[[#This Row],[ExpectedWin%]])</f>
        <v>-5.9378711654299954</v>
      </c>
      <c r="AB162" s="4">
        <f>Games[[#This Row],[PreGmRate]]+Games[[#This Row],[RatingChange]]</f>
        <v>1516.0434164571825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35649</v>
      </c>
      <c r="B163" s="2">
        <v>1997</v>
      </c>
      <c r="C163" s="2">
        <f>COUNTIFS(Games[Team],Games[[#This Row],[Team]],Games[Season],Games[[#This Row],[Season]],Games[Date],"&lt;=" &amp; Games[[#This Row],[Date]])</f>
        <v>20</v>
      </c>
      <c r="D163" s="2" t="s">
        <v>23</v>
      </c>
      <c r="E163" s="2" t="s">
        <v>29</v>
      </c>
      <c r="F163" s="1" t="s">
        <v>2</v>
      </c>
      <c r="G163" s="1" t="s">
        <v>44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3" s="2">
        <f>Games[[#This Row],[DaysOff]]-Games[[#This Row],[OppDaysOff]]</f>
        <v>1</v>
      </c>
      <c r="L163" s="2">
        <f>Games[[#This Row],[OppDaysOff]]-Games[[#This Row],[DaysOff]]</f>
        <v>-1</v>
      </c>
      <c r="M163" s="1">
        <f>MAX(-16, MIN(16, Games[[#This Row],[RestDiff]]*8))</f>
        <v>8</v>
      </c>
      <c r="N163" s="1">
        <f>MAX(-16, MIN(16, Games[[#This Row],[OppRestDiff]]*8))</f>
        <v>-8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1589.6003261315241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1521.9812876226124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0.72410034467091255</v>
      </c>
      <c r="R163" s="1">
        <v>74</v>
      </c>
      <c r="S163" s="1">
        <v>70</v>
      </c>
      <c r="T163" s="1">
        <v>0</v>
      </c>
      <c r="U163" s="1">
        <f>Games[[#This Row],[PointsFor]]-Games[[#This Row],[PointsAgainst]]</f>
        <v>4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0.29481987137417698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73</v>
      </c>
      <c r="Z163" s="4">
        <f>Games[[#This Row],[K]]*Games[[#This Row],[POMult]]</f>
        <v>73</v>
      </c>
      <c r="AA163" s="4">
        <f>(Games[[#This Row],[Keff]]*Games[[#This Row],[MOVMult]])*(Games[[#This Row],[Result]]-Games[[#This Row],[ExpectedWin%]])</f>
        <v>5.9378711654299972</v>
      </c>
      <c r="AB163" s="4">
        <f>Games[[#This Row],[PreGmRate]]+Games[[#This Row],[RatingChange]]</f>
        <v>1595.538197296954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35650</v>
      </c>
      <c r="B164" s="2">
        <v>1997</v>
      </c>
      <c r="C164" s="2">
        <f>COUNTIFS(Games[Team],Games[[#This Row],[Team]],Games[Season],Games[[#This Row],[Season]],Games[Date],"&lt;=" &amp; Games[[#This Row],[Date]])</f>
        <v>21</v>
      </c>
      <c r="D164" s="2" t="s">
        <v>23</v>
      </c>
      <c r="E164" s="2" t="s">
        <v>29</v>
      </c>
      <c r="F164" s="1" t="s">
        <v>43</v>
      </c>
      <c r="G164" s="1" t="s">
        <v>45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1391.7358594790871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1387.4603257562756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0.38723947021367827</v>
      </c>
      <c r="R164" s="1">
        <v>78</v>
      </c>
      <c r="S164" s="1">
        <v>93</v>
      </c>
      <c r="T164" s="1">
        <v>0</v>
      </c>
      <c r="U164" s="1">
        <f>Games[[#This Row],[PointsFor]]-Games[[#This Row],[PointsAgainst]]</f>
        <v>-15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0.50106276907341452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72.849999999999994</v>
      </c>
      <c r="Z164" s="4">
        <f>Games[[#This Row],[K]]*Games[[#This Row],[POMult]]</f>
        <v>72.849999999999994</v>
      </c>
      <c r="AA164" s="4">
        <f>(Games[[#This Row],[Keff]]*Games[[#This Row],[MOVMult]])*(Games[[#This Row],[Result]]-Games[[#This Row],[ExpectedWin%]])</f>
        <v>-14.135178838318531</v>
      </c>
      <c r="AB164" s="4">
        <f>Games[[#This Row],[PreGmRate]]+Games[[#This Row],[RatingChange]]</f>
        <v>1377.6006806407686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35650</v>
      </c>
      <c r="B165" s="2">
        <v>1997</v>
      </c>
      <c r="C165" s="2">
        <f>COUNTIFS(Games[Team],Games[[#This Row],[Team]],Games[Season],Games[[#This Row],[Season]],Games[Date],"&lt;=" &amp; Games[[#This Row],[Date]])</f>
        <v>21</v>
      </c>
      <c r="D165" s="2" t="s">
        <v>23</v>
      </c>
      <c r="E165" s="2" t="s">
        <v>29</v>
      </c>
      <c r="F165" s="1" t="s">
        <v>45</v>
      </c>
      <c r="G165" s="1" t="s">
        <v>43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1387.4603257562756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1391.7358594790871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0.61276052978632178</v>
      </c>
      <c r="R165" s="1">
        <v>93</v>
      </c>
      <c r="S165" s="1">
        <v>78</v>
      </c>
      <c r="T165" s="1">
        <v>0</v>
      </c>
      <c r="U165" s="1">
        <f>Games[[#This Row],[PointsFor]]-Games[[#This Row],[PointsAgainst]]</f>
        <v>15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0.50106276907341452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72.849999999999994</v>
      </c>
      <c r="Z165" s="4">
        <f>Games[[#This Row],[K]]*Games[[#This Row],[POMult]]</f>
        <v>72.849999999999994</v>
      </c>
      <c r="AA165" s="4">
        <f>(Games[[#This Row],[Keff]]*Games[[#This Row],[MOVMult]])*(Games[[#This Row],[Result]]-Games[[#This Row],[ExpectedWin%]])</f>
        <v>14.135178838318529</v>
      </c>
      <c r="AB165" s="4">
        <f>Games[[#This Row],[PreGmRate]]+Games[[#This Row],[RatingChange]]</f>
        <v>1401.5955045945941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35651</v>
      </c>
      <c r="B166" s="2">
        <v>1997</v>
      </c>
      <c r="C166" s="2">
        <f>COUNTIFS(Games[Team],Games[[#This Row],[Team]],Games[Season],Games[[#This Row],[Season]],Games[Date],"&lt;=" &amp; Games[[#This Row],[Date]])</f>
        <v>21</v>
      </c>
      <c r="D166" s="2" t="s">
        <v>23</v>
      </c>
      <c r="E166" s="2" t="s">
        <v>29</v>
      </c>
      <c r="F166" s="1" t="s">
        <v>44</v>
      </c>
      <c r="G166" s="1" t="s">
        <v>64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6" s="2">
        <f>Games[[#This Row],[DaysOff]]-Games[[#This Row],[OppDaysOff]]</f>
        <v>-1</v>
      </c>
      <c r="L166" s="2">
        <f>Games[[#This Row],[OppDaysOff]]-Games[[#This Row],[DaysOff]]</f>
        <v>1</v>
      </c>
      <c r="M166" s="1">
        <f>MAX(-16, MIN(16, Games[[#This Row],[RestDiff]]*8))</f>
        <v>-8</v>
      </c>
      <c r="N166" s="1">
        <f>MAX(-16, MIN(16, Games[[#This Row],[OppRestDiff]]*8))</f>
        <v>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1516.0434164571825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1510.2202802242368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0.36769325069757203</v>
      </c>
      <c r="R166" s="1">
        <v>59</v>
      </c>
      <c r="S166" s="1">
        <v>79</v>
      </c>
      <c r="T166" s="1">
        <v>0</v>
      </c>
      <c r="U166" s="1">
        <f>Games[[#This Row],[PointsFor]]-Games[[#This Row],[PointsAgainst]]</f>
        <v>-20</v>
      </c>
      <c r="V166" s="1">
        <f>IF(Games[[#This Row],[MOV]]&gt;0,1,IF(Games[[#This Row],[MOV]]=0,0.5,0))</f>
        <v>0</v>
      </c>
      <c r="W166" s="4">
        <f>((ABS(Games[[#This Row],[MOV]])+5)^0.6)/(12+0.01*(ABS(Games[[#This Row],[PreGmRate]]-Games[[#This Row],[OppPreGmRate]])))*IF(Games[[#This Row],[OT]]=1,0.9,1)</f>
        <v>0.57211112475896009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72.849999999999994</v>
      </c>
      <c r="Z166" s="4">
        <f>Games[[#This Row],[K]]*Games[[#This Row],[POMult]]</f>
        <v>72.849999999999994</v>
      </c>
      <c r="AA166" s="4">
        <f>(Games[[#This Row],[Keff]]*Games[[#This Row],[MOVMult]])*(Games[[#This Row],[Result]]-Games[[#This Row],[ExpectedWin%]])</f>
        <v>-15.324827933385803</v>
      </c>
      <c r="AB166" s="4">
        <f>Games[[#This Row],[PreGmRate]]+Games[[#This Row],[RatingChange]]</f>
        <v>1500.7185885237966</v>
      </c>
      <c r="AC166" s="2">
        <f>IF(Games[[#This Row],[Type]]="R",IF(Games[[#This Row],[Result]]&gt;0.5,1,0),0)</f>
        <v>0</v>
      </c>
      <c r="AD166" s="2">
        <f>IF(Games[[#This Row],[Type]]="R",IF(Games[[#This Row],[Result]]&lt;0.5,1,0),0)</f>
        <v>1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35651</v>
      </c>
      <c r="B167" s="2">
        <v>1997</v>
      </c>
      <c r="C167" s="2">
        <f>COUNTIFS(Games[Team],Games[[#This Row],[Team]],Games[Season],Games[[#This Row],[Season]],Games[Date],"&lt;=" &amp; Games[[#This Row],[Date]])</f>
        <v>20</v>
      </c>
      <c r="D167" s="2" t="s">
        <v>23</v>
      </c>
      <c r="E167" s="2" t="s">
        <v>29</v>
      </c>
      <c r="F167" s="1" t="s">
        <v>64</v>
      </c>
      <c r="G167" s="1" t="s">
        <v>44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1</v>
      </c>
      <c r="L167" s="2">
        <f>Games[[#This Row],[OppDaysOff]]-Games[[#This Row],[DaysOff]]</f>
        <v>-1</v>
      </c>
      <c r="M167" s="1">
        <f>MAX(-16, MIN(16, Games[[#This Row],[RestDiff]]*8))</f>
        <v>8</v>
      </c>
      <c r="N167" s="1">
        <f>MAX(-16, MIN(16, Games[[#This Row],[OppRestDiff]]*8))</f>
        <v>-8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1510.2202802242368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1516.0434164571825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0.63230674930242792</v>
      </c>
      <c r="R167" s="1">
        <v>79</v>
      </c>
      <c r="S167" s="1">
        <v>59</v>
      </c>
      <c r="T167" s="1">
        <v>0</v>
      </c>
      <c r="U167" s="1">
        <f>Games[[#This Row],[PointsFor]]-Games[[#This Row],[PointsAgainst]]</f>
        <v>20</v>
      </c>
      <c r="V167" s="1">
        <f>IF(Games[[#This Row],[MOV]]&gt;0,1,IF(Games[[#This Row],[MOV]]=0,0.5,0))</f>
        <v>1</v>
      </c>
      <c r="W167" s="4">
        <f>((ABS(Games[[#This Row],[MOV]])+5)^0.6)/(12+0.01*(ABS(Games[[#This Row],[PreGmRate]]-Games[[#This Row],[OppPreGmRate]])))*IF(Games[[#This Row],[OT]]=1,0.9,1)</f>
        <v>0.57211112475896009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73</v>
      </c>
      <c r="Z167" s="4">
        <f>Games[[#This Row],[K]]*Games[[#This Row],[POMult]]</f>
        <v>73</v>
      </c>
      <c r="AA167" s="4">
        <f>(Games[[#This Row],[Keff]]*Games[[#This Row],[MOVMult]])*(Games[[#This Row],[Result]]-Games[[#This Row],[ExpectedWin%]])</f>
        <v>15.356382143269236</v>
      </c>
      <c r="AB167" s="4">
        <f>Games[[#This Row],[PreGmRate]]+Games[[#This Row],[RatingChange]]</f>
        <v>1525.5766623675061</v>
      </c>
      <c r="AC167" s="2">
        <f>IF(Games[[#This Row],[Type]]="R",IF(Games[[#This Row],[Result]]&gt;0.5,1,0),0)</f>
        <v>1</v>
      </c>
      <c r="AD167" s="2">
        <f>IF(Games[[#This Row],[Type]]="R",IF(Games[[#This Row],[Result]]&lt;0.5,1,0),0)</f>
        <v>0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35651</v>
      </c>
      <c r="B168" s="2">
        <v>1997</v>
      </c>
      <c r="C168" s="2">
        <f>COUNTIFS(Games[Team],Games[[#This Row],[Team]],Games[Season],Games[[#This Row],[Season]],Games[Date],"&lt;=" &amp; Games[[#This Row],[Date]])</f>
        <v>23</v>
      </c>
      <c r="D168" s="2" t="s">
        <v>23</v>
      </c>
      <c r="E168" s="2" t="s">
        <v>29</v>
      </c>
      <c r="F168" s="1" t="s">
        <v>71</v>
      </c>
      <c r="G168" s="1" t="s">
        <v>2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1509.1924335911467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1595.538197296954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0.27277492080321414</v>
      </c>
      <c r="R168" s="1">
        <v>71</v>
      </c>
      <c r="S168" s="1">
        <v>72</v>
      </c>
      <c r="T168" s="1">
        <v>0</v>
      </c>
      <c r="U168" s="1">
        <f>Games[[#This Row],[PointsFor]]-Games[[#This Row],[PointsAgainst]]</f>
        <v>-1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0.22778914769712419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72.55</v>
      </c>
      <c r="Z168" s="4">
        <f>Games[[#This Row],[K]]*Games[[#This Row],[POMult]]</f>
        <v>72.55</v>
      </c>
      <c r="AA168" s="4">
        <f>(Games[[#This Row],[Keff]]*Games[[#This Row],[MOVMult]])*(Games[[#This Row],[Result]]-Games[[#This Row],[ExpectedWin%]])</f>
        <v>-4.507906345747462</v>
      </c>
      <c r="AB168" s="4">
        <f>Games[[#This Row],[PreGmRate]]+Games[[#This Row],[RatingChange]]</f>
        <v>1504.6845272453993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35651</v>
      </c>
      <c r="B169" s="2">
        <v>1997</v>
      </c>
      <c r="C169" s="2">
        <f>COUNTIFS(Games[Team],Games[[#This Row],[Team]],Games[Season],Games[[#This Row],[Season]],Games[Date],"&lt;=" &amp; Games[[#This Row],[Date]])</f>
        <v>21</v>
      </c>
      <c r="D169" s="2" t="s">
        <v>23</v>
      </c>
      <c r="E169" s="2" t="s">
        <v>29</v>
      </c>
      <c r="F169" s="1" t="s">
        <v>2</v>
      </c>
      <c r="G169" s="1" t="s">
        <v>71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1595.538197296954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1509.1924335911467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0.72722507919678581</v>
      </c>
      <c r="R169" s="1">
        <v>72</v>
      </c>
      <c r="S169" s="1">
        <v>71</v>
      </c>
      <c r="T169" s="1">
        <v>0</v>
      </c>
      <c r="U169" s="1">
        <f>Games[[#This Row],[PointsFor]]-Games[[#This Row],[PointsAgainst]]</f>
        <v>1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0.22778914769712419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72.849999999999994</v>
      </c>
      <c r="Z169" s="4">
        <f>Games[[#This Row],[K]]*Games[[#This Row],[POMult]]</f>
        <v>72.849999999999994</v>
      </c>
      <c r="AA169" s="4">
        <f>(Games[[#This Row],[Keff]]*Games[[#This Row],[MOVMult]])*(Games[[#This Row],[Result]]-Games[[#This Row],[ExpectedWin%]])</f>
        <v>4.5265468957643362</v>
      </c>
      <c r="AB169" s="4">
        <f>Games[[#This Row],[PreGmRate]]+Games[[#This Row],[RatingChange]]</f>
        <v>1600.0647441927183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35652</v>
      </c>
      <c r="B170" s="2">
        <v>1997</v>
      </c>
      <c r="C170" s="2">
        <f>COUNTIFS(Games[Team],Games[[#This Row],[Team]],Games[Season],Games[[#This Row],[Season]],Games[Date],"&lt;=" &amp; Games[[#This Row],[Date]])</f>
        <v>21</v>
      </c>
      <c r="D170" s="2" t="s">
        <v>23</v>
      </c>
      <c r="E170" s="2" t="s">
        <v>29</v>
      </c>
      <c r="F170" s="1" t="s">
        <v>66</v>
      </c>
      <c r="G170" s="1" t="s">
        <v>45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3</v>
      </c>
      <c r="L170" s="2">
        <f>Games[[#This Row],[OppDaysOff]]-Games[[#This Row],[DaysOff]]</f>
        <v>-3</v>
      </c>
      <c r="M170" s="1">
        <f>MAX(-16, MIN(16, Games[[#This Row],[RestDiff]]*8))</f>
        <v>16</v>
      </c>
      <c r="N170" s="1">
        <f>MAX(-16, MIN(16, Games[[#This Row],[OppRestDiff]]*8))</f>
        <v>-16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1565.1379647288009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1401.5955045945941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0.65522575838901875</v>
      </c>
      <c r="R170" s="1">
        <v>69</v>
      </c>
      <c r="S170" s="1">
        <v>76</v>
      </c>
      <c r="T170" s="1">
        <v>0</v>
      </c>
      <c r="U170" s="1">
        <f>Games[[#This Row],[PointsFor]]-Games[[#This Row],[PointsAgainst]]</f>
        <v>-7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0.32571674148003471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72.849999999999994</v>
      </c>
      <c r="Z170" s="4">
        <f>Games[[#This Row],[K]]*Games[[#This Row],[POMult]]</f>
        <v>72.849999999999994</v>
      </c>
      <c r="AA170" s="4">
        <f>(Games[[#This Row],[Keff]]*Games[[#This Row],[MOVMult]])*(Games[[#This Row],[Result]]-Games[[#This Row],[ExpectedWin%]])</f>
        <v>-15.547501223963227</v>
      </c>
      <c r="AB170" s="4">
        <f>Games[[#This Row],[PreGmRate]]+Games[[#This Row],[RatingChange]]</f>
        <v>1549.5904635048375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35652</v>
      </c>
      <c r="B171" s="2">
        <v>1997</v>
      </c>
      <c r="C171" s="2">
        <f>COUNTIFS(Games[Team],Games[[#This Row],[Team]],Games[Season],Games[[#This Row],[Season]],Games[Date],"&lt;=" &amp; Games[[#This Row],[Date]])</f>
        <v>22</v>
      </c>
      <c r="D171" s="2" t="s">
        <v>23</v>
      </c>
      <c r="E171" s="2" t="s">
        <v>29</v>
      </c>
      <c r="F171" s="1" t="s">
        <v>45</v>
      </c>
      <c r="G171" s="1" t="s">
        <v>66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1" s="2">
        <f>Games[[#This Row],[DaysOff]]-Games[[#This Row],[OppDaysOff]]</f>
        <v>-3</v>
      </c>
      <c r="L171" s="2">
        <f>Games[[#This Row],[OppDaysOff]]-Games[[#This Row],[DaysOff]]</f>
        <v>3</v>
      </c>
      <c r="M171" s="1">
        <f>MAX(-16, MIN(16, Games[[#This Row],[RestDiff]]*8))</f>
        <v>-16</v>
      </c>
      <c r="N171" s="1">
        <f>MAX(-16, MIN(16, Games[[#This Row],[OppRestDiff]]*8))</f>
        <v>16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1401.5955045945941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1565.1379647288009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0.34477424161098125</v>
      </c>
      <c r="R171" s="1">
        <v>76</v>
      </c>
      <c r="S171" s="1">
        <v>69</v>
      </c>
      <c r="T171" s="1">
        <v>0</v>
      </c>
      <c r="U171" s="1">
        <f>Games[[#This Row],[PointsFor]]-Games[[#This Row],[PointsAgainst]]</f>
        <v>7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0.32571674148003471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72.7</v>
      </c>
      <c r="Z171" s="4">
        <f>Games[[#This Row],[K]]*Games[[#This Row],[POMult]]</f>
        <v>72.7</v>
      </c>
      <c r="AA171" s="4">
        <f>(Games[[#This Row],[Keff]]*Games[[#This Row],[MOVMult]])*(Games[[#This Row],[Result]]-Games[[#This Row],[ExpectedWin%]])</f>
        <v>15.515488524119791</v>
      </c>
      <c r="AB171" s="4">
        <f>Games[[#This Row],[PreGmRate]]+Games[[#This Row],[RatingChange]]</f>
        <v>1417.1109931187138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35653</v>
      </c>
      <c r="B172" s="2">
        <v>1997</v>
      </c>
      <c r="C172" s="2">
        <f>COUNTIFS(Games[Team],Games[[#This Row],[Team]],Games[Season],Games[[#This Row],[Season]],Games[Date],"&lt;=" &amp; Games[[#This Row],[Date]])</f>
        <v>22</v>
      </c>
      <c r="D172" s="2" t="s">
        <v>23</v>
      </c>
      <c r="E172" s="2" t="s">
        <v>29</v>
      </c>
      <c r="F172" s="1" t="s">
        <v>2</v>
      </c>
      <c r="G172" s="1" t="s">
        <v>64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0</v>
      </c>
      <c r="L172" s="2">
        <f>Games[[#This Row],[OppDaysOff]]-Games[[#This Row],[DaysOff]]</f>
        <v>0</v>
      </c>
      <c r="M172" s="1">
        <f>MAX(-16, MIN(16, Games[[#This Row],[RestDiff]]*8))</f>
        <v>0</v>
      </c>
      <c r="N172" s="1">
        <f>MAX(-16, MIN(16, Games[[#This Row],[OppRestDiff]]*8))</f>
        <v>0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1600.0647441927183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1525.5766623675061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0.48631466838506077</v>
      </c>
      <c r="R172" s="1">
        <v>72</v>
      </c>
      <c r="S172" s="1">
        <v>62</v>
      </c>
      <c r="T172" s="1">
        <v>0</v>
      </c>
      <c r="U172" s="1">
        <f>Games[[#This Row],[PointsFor]]-Games[[#This Row],[PointsAgainst]]</f>
        <v>10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0.39839967626184214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72.7</v>
      </c>
      <c r="Z172" s="4">
        <f>Games[[#This Row],[K]]*Games[[#This Row],[POMult]]</f>
        <v>72.7</v>
      </c>
      <c r="AA172" s="4">
        <f>(Games[[#This Row],[Keff]]*Games[[#This Row],[MOVMult]])*(Games[[#This Row],[Result]]-Games[[#This Row],[ExpectedWin%]])</f>
        <v>14.878205475612209</v>
      </c>
      <c r="AB172" s="4">
        <f>Games[[#This Row],[PreGmRate]]+Games[[#This Row],[RatingChange]]</f>
        <v>1614.9429496683306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35653</v>
      </c>
      <c r="B173" s="2">
        <v>1997</v>
      </c>
      <c r="C173" s="2">
        <f>COUNTIFS(Games[Team],Games[[#This Row],[Team]],Games[Season],Games[[#This Row],[Season]],Games[Date],"&lt;=" &amp; Games[[#This Row],[Date]])</f>
        <v>21</v>
      </c>
      <c r="D173" s="2" t="s">
        <v>23</v>
      </c>
      <c r="E173" s="2" t="s">
        <v>29</v>
      </c>
      <c r="F173" s="1" t="s">
        <v>64</v>
      </c>
      <c r="G173" s="1" t="s">
        <v>2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0</v>
      </c>
      <c r="L173" s="2">
        <f>Games[[#This Row],[OppDaysOff]]-Games[[#This Row],[DaysOff]]</f>
        <v>0</v>
      </c>
      <c r="M173" s="1">
        <f>MAX(-16, MIN(16, Games[[#This Row],[RestDiff]]*8))</f>
        <v>0</v>
      </c>
      <c r="N173" s="1">
        <f>MAX(-16, MIN(16, Games[[#This Row],[OppRestDiff]]*8))</f>
        <v>0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1525.5766623675061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1600.0647441927183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0.51368533161493912</v>
      </c>
      <c r="R173" s="1">
        <v>62</v>
      </c>
      <c r="S173" s="1">
        <v>72</v>
      </c>
      <c r="T173" s="1">
        <v>0</v>
      </c>
      <c r="U173" s="1">
        <f>Games[[#This Row],[PointsFor]]-Games[[#This Row],[PointsAgainst]]</f>
        <v>-10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0.39839967626184214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72.849999999999994</v>
      </c>
      <c r="Z173" s="4">
        <f>Games[[#This Row],[K]]*Games[[#This Row],[POMult]]</f>
        <v>72.849999999999994</v>
      </c>
      <c r="AA173" s="4">
        <f>(Games[[#This Row],[Keff]]*Games[[#This Row],[MOVMult]])*(Games[[#This Row],[Result]]-Games[[#This Row],[ExpectedWin%]])</f>
        <v>-14.90890328608458</v>
      </c>
      <c r="AB173" s="4">
        <f>Games[[#This Row],[PreGmRate]]+Games[[#This Row],[RatingChange]]</f>
        <v>1510.6677590814215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35653</v>
      </c>
      <c r="B174" s="2">
        <v>1997</v>
      </c>
      <c r="C174" s="2">
        <f>COUNTIFS(Games[Team],Games[[#This Row],[Team]],Games[Season],Games[[#This Row],[Season]],Games[Date],"&lt;=" &amp; Games[[#This Row],[Date]])</f>
        <v>22</v>
      </c>
      <c r="D174" s="2" t="s">
        <v>23</v>
      </c>
      <c r="E174" s="2" t="s">
        <v>29</v>
      </c>
      <c r="F174" s="1" t="s">
        <v>1</v>
      </c>
      <c r="G174" s="1" t="s">
        <v>43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4" s="2">
        <f>Games[[#This Row],[DaysOff]]-Games[[#This Row],[OppDaysOff]]</f>
        <v>1</v>
      </c>
      <c r="L174" s="2">
        <f>Games[[#This Row],[OppDaysOff]]-Games[[#This Row],[DaysOff]]</f>
        <v>-1</v>
      </c>
      <c r="M174" s="1">
        <f>MAX(-16, MIN(16, Games[[#This Row],[RestDiff]]*8))</f>
        <v>8</v>
      </c>
      <c r="N174" s="1">
        <f>MAX(-16, MIN(16, Games[[#This Row],[OppRestDiff]]*8))</f>
        <v>-8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1524.6522051046602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1377.6006806407686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0.61184094280770307</v>
      </c>
      <c r="R174" s="1">
        <v>74</v>
      </c>
      <c r="S174" s="1">
        <v>59</v>
      </c>
      <c r="T174" s="1">
        <v>0</v>
      </c>
      <c r="U174" s="1">
        <f>Games[[#This Row],[PointsFor]]-Games[[#This Row],[PointsAgainst]]</f>
        <v>15</v>
      </c>
      <c r="V174" s="1">
        <f>IF(Games[[#This Row],[MOV]]&gt;0,1,IF(Games[[#This Row],[MOV]]=0,0.5,0))</f>
        <v>1</v>
      </c>
      <c r="W174" s="4">
        <f>((ABS(Games[[#This Row],[MOV]])+5)^0.6)/(12+0.01*(ABS(Games[[#This Row],[PreGmRate]]-Games[[#This Row],[OppPreGmRate]])))*IF(Games[[#This Row],[OT]]=1,0.9,1)</f>
        <v>0.44795438236460056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72.7</v>
      </c>
      <c r="Z174" s="4">
        <f>Games[[#This Row],[K]]*Games[[#This Row],[POMult]]</f>
        <v>72.7</v>
      </c>
      <c r="AA174" s="4">
        <f>(Games[[#This Row],[Keff]]*Games[[#This Row],[MOVMult]])*(Games[[#This Row],[Result]]-Games[[#This Row],[ExpectedWin%]])</f>
        <v>12.640897937620336</v>
      </c>
      <c r="AB174" s="4">
        <f>Games[[#This Row],[PreGmRate]]+Games[[#This Row],[RatingChange]]</f>
        <v>1537.2931030422806</v>
      </c>
      <c r="AC174" s="2">
        <f>IF(Games[[#This Row],[Type]]="R",IF(Games[[#This Row],[Result]]&gt;0.5,1,0),0)</f>
        <v>1</v>
      </c>
      <c r="AD174" s="2">
        <f>IF(Games[[#This Row],[Type]]="R",IF(Games[[#This Row],[Result]]&lt;0.5,1,0),0)</f>
        <v>0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35653</v>
      </c>
      <c r="B175" s="2">
        <v>1997</v>
      </c>
      <c r="C175" s="2">
        <f>COUNTIFS(Games[Team],Games[[#This Row],[Team]],Games[Season],Games[[#This Row],[Season]],Games[Date],"&lt;=" &amp; Games[[#This Row],[Date]])</f>
        <v>22</v>
      </c>
      <c r="D175" s="2" t="s">
        <v>23</v>
      </c>
      <c r="E175" s="2" t="s">
        <v>29</v>
      </c>
      <c r="F175" s="1" t="s">
        <v>43</v>
      </c>
      <c r="G175" s="1" t="s">
        <v>1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5" s="2">
        <f>Games[[#This Row],[DaysOff]]-Games[[#This Row],[OppDaysOff]]</f>
        <v>-1</v>
      </c>
      <c r="L175" s="2">
        <f>Games[[#This Row],[OppDaysOff]]-Games[[#This Row],[DaysOff]]</f>
        <v>1</v>
      </c>
      <c r="M175" s="1">
        <f>MAX(-16, MIN(16, Games[[#This Row],[RestDiff]]*8))</f>
        <v>-8</v>
      </c>
      <c r="N175" s="1">
        <f>MAX(-16, MIN(16, Games[[#This Row],[OppRestDiff]]*8))</f>
        <v>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1377.6006806407686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1524.6522051046602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0.38815905719229687</v>
      </c>
      <c r="R175" s="1">
        <v>59</v>
      </c>
      <c r="S175" s="1">
        <v>74</v>
      </c>
      <c r="T175" s="1">
        <v>0</v>
      </c>
      <c r="U175" s="1">
        <f>Games[[#This Row],[PointsFor]]-Games[[#This Row],[PointsAgainst]]</f>
        <v>-15</v>
      </c>
      <c r="V175" s="1">
        <f>IF(Games[[#This Row],[MOV]]&gt;0,1,IF(Games[[#This Row],[MOV]]=0,0.5,0))</f>
        <v>0</v>
      </c>
      <c r="W175" s="4">
        <f>((ABS(Games[[#This Row],[MOV]])+5)^0.6)/(12+0.01*(ABS(Games[[#This Row],[PreGmRate]]-Games[[#This Row],[OppPreGmRate]])))*IF(Games[[#This Row],[OT]]=1,0.9,1)</f>
        <v>0.44795438236460056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72.7</v>
      </c>
      <c r="Z175" s="4">
        <f>Games[[#This Row],[K]]*Games[[#This Row],[POMult]]</f>
        <v>72.7</v>
      </c>
      <c r="AA175" s="4">
        <f>(Games[[#This Row],[Keff]]*Games[[#This Row],[MOVMult]])*(Games[[#This Row],[Result]]-Games[[#This Row],[ExpectedWin%]])</f>
        <v>-12.640897937620334</v>
      </c>
      <c r="AB175" s="4">
        <f>Games[[#This Row],[PreGmRate]]+Games[[#This Row],[RatingChange]]</f>
        <v>1364.9597827031482</v>
      </c>
      <c r="AC175" s="2">
        <f>IF(Games[[#This Row],[Type]]="R",IF(Games[[#This Row],[Result]]&gt;0.5,1,0),0)</f>
        <v>0</v>
      </c>
      <c r="AD175" s="2">
        <f>IF(Games[[#This Row],[Type]]="R",IF(Games[[#This Row],[Result]]&lt;0.5,1,0),0)</f>
        <v>1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35654</v>
      </c>
      <c r="B176" s="2">
        <v>1997</v>
      </c>
      <c r="C176" s="2">
        <f>COUNTIFS(Games[Team],Games[[#This Row],[Team]],Games[Season],Games[[#This Row],[Season]],Games[Date],"&lt;=" &amp; Games[[#This Row],[Date]])</f>
        <v>23</v>
      </c>
      <c r="D176" s="2" t="s">
        <v>23</v>
      </c>
      <c r="E176" s="2" t="s">
        <v>29</v>
      </c>
      <c r="F176" s="1" t="s">
        <v>43</v>
      </c>
      <c r="G176" s="1" t="s">
        <v>2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6" s="2">
        <f>Games[[#This Row],[DaysOff]]-Games[[#This Row],[OppDaysOff]]</f>
        <v>0</v>
      </c>
      <c r="L176" s="2">
        <f>Games[[#This Row],[OppDaysOff]]-Games[[#This Row],[DaysOff]]</f>
        <v>0</v>
      </c>
      <c r="M176" s="1">
        <f>MAX(-16, MIN(16, Games[[#This Row],[RestDiff]]*8))</f>
        <v>0</v>
      </c>
      <c r="N176" s="1">
        <f>MAX(-16, MIN(16, Games[[#This Row],[OppRestDiff]]*8))</f>
        <v>0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1364.9597827031482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1614.9429496683306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0.12757618085288863</v>
      </c>
      <c r="R176" s="1">
        <v>56</v>
      </c>
      <c r="S176" s="1">
        <v>76</v>
      </c>
      <c r="T176" s="1">
        <v>0</v>
      </c>
      <c r="U176" s="1">
        <f>Games[[#This Row],[PointsFor]]-Games[[#This Row],[PointsAgainst]]</f>
        <v>-20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0.47577437203943251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72.55</v>
      </c>
      <c r="Z176" s="4">
        <f>Games[[#This Row],[K]]*Games[[#This Row],[POMult]]</f>
        <v>72.55</v>
      </c>
      <c r="AA176" s="4">
        <f>(Games[[#This Row],[Keff]]*Games[[#This Row],[MOVMult]])*(Games[[#This Row],[Result]]-Games[[#This Row],[ExpectedWin%]])</f>
        <v>-4.4036019804708557</v>
      </c>
      <c r="AB176" s="4">
        <f>Games[[#This Row],[PreGmRate]]+Games[[#This Row],[RatingChange]]</f>
        <v>1360.5561807226773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35654</v>
      </c>
      <c r="B177" s="2">
        <v>1997</v>
      </c>
      <c r="C177" s="2">
        <f>COUNTIFS(Games[Team],Games[[#This Row],[Team]],Games[Season],Games[[#This Row],[Season]],Games[Date],"&lt;=" &amp; Games[[#This Row],[Date]])</f>
        <v>23</v>
      </c>
      <c r="D177" s="2" t="s">
        <v>23</v>
      </c>
      <c r="E177" s="2" t="s">
        <v>29</v>
      </c>
      <c r="F177" s="1" t="s">
        <v>2</v>
      </c>
      <c r="G177" s="1" t="s">
        <v>43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7" s="2">
        <f>Games[[#This Row],[DaysOff]]-Games[[#This Row],[OppDaysOff]]</f>
        <v>0</v>
      </c>
      <c r="L177" s="2">
        <f>Games[[#This Row],[OppDaysOff]]-Games[[#This Row],[DaysOff]]</f>
        <v>0</v>
      </c>
      <c r="M177" s="1">
        <f>MAX(-16, MIN(16, Games[[#This Row],[RestDiff]]*8))</f>
        <v>0</v>
      </c>
      <c r="N177" s="1">
        <f>MAX(-16, MIN(16, Games[[#This Row],[OppRestDiff]]*8))</f>
        <v>0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1614.9429496683306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1364.9597827031482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0.87242381914711131</v>
      </c>
      <c r="R177" s="1">
        <v>76</v>
      </c>
      <c r="S177" s="1">
        <v>56</v>
      </c>
      <c r="T177" s="1">
        <v>0</v>
      </c>
      <c r="U177" s="1">
        <f>Games[[#This Row],[PointsFor]]-Games[[#This Row],[PointsAgainst]]</f>
        <v>20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0.47577437203943251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72.55</v>
      </c>
      <c r="Z177" s="4">
        <f>Games[[#This Row],[K]]*Games[[#This Row],[POMult]]</f>
        <v>72.55</v>
      </c>
      <c r="AA177" s="4">
        <f>(Games[[#This Row],[Keff]]*Games[[#This Row],[MOVMult]])*(Games[[#This Row],[Result]]-Games[[#This Row],[ExpectedWin%]])</f>
        <v>4.4036019804708575</v>
      </c>
      <c r="AB177" s="4">
        <f>Games[[#This Row],[PreGmRate]]+Games[[#This Row],[RatingChange]]</f>
        <v>1619.3465516488016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35654</v>
      </c>
      <c r="B178" s="2">
        <v>1997</v>
      </c>
      <c r="C178" s="2">
        <f>COUNTIFS(Games[Team],Games[[#This Row],[Team]],Games[Season],Games[[#This Row],[Season]],Games[Date],"&lt;=" &amp; Games[[#This Row],[Date]])</f>
        <v>22</v>
      </c>
      <c r="D178" s="2" t="s">
        <v>23</v>
      </c>
      <c r="E178" s="2" t="s">
        <v>29</v>
      </c>
      <c r="F178" s="1" t="s">
        <v>66</v>
      </c>
      <c r="G178" s="1" t="s">
        <v>44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8" s="2">
        <f>Games[[#This Row],[DaysOff]]-Games[[#This Row],[OppDaysOff]]</f>
        <v>-1</v>
      </c>
      <c r="L178" s="2">
        <f>Games[[#This Row],[OppDaysOff]]-Games[[#This Row],[DaysOff]]</f>
        <v>1</v>
      </c>
      <c r="M178" s="1">
        <f>MAX(-16, MIN(16, Games[[#This Row],[RestDiff]]*8))</f>
        <v>-8</v>
      </c>
      <c r="N178" s="1">
        <f>MAX(-16, MIN(16, Games[[#This Row],[OppRestDiff]]*8))</f>
        <v>8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1549.5904635048375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1500.7185885237966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0.42694728823188549</v>
      </c>
      <c r="R178" s="1">
        <v>67</v>
      </c>
      <c r="S178" s="1">
        <v>77</v>
      </c>
      <c r="T178" s="1">
        <v>0</v>
      </c>
      <c r="U178" s="1">
        <f>Games[[#This Row],[PointsFor]]-Games[[#This Row],[PointsAgainst]]</f>
        <v>-10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0.40657144209164686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72.7</v>
      </c>
      <c r="Z178" s="4">
        <f>Games[[#This Row],[K]]*Games[[#This Row],[POMult]]</f>
        <v>72.7</v>
      </c>
      <c r="AA178" s="4">
        <f>(Games[[#This Row],[Keff]]*Games[[#This Row],[MOVMult]])*(Games[[#This Row],[Result]]-Games[[#This Row],[ExpectedWin%]])</f>
        <v>-12.6195985787675</v>
      </c>
      <c r="AB178" s="4">
        <f>Games[[#This Row],[PreGmRate]]+Games[[#This Row],[RatingChange]]</f>
        <v>1536.9708649260701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35654</v>
      </c>
      <c r="B179" s="2">
        <v>1997</v>
      </c>
      <c r="C179" s="2">
        <f>COUNTIFS(Games[Team],Games[[#This Row],[Team]],Games[Season],Games[[#This Row],[Season]],Games[Date],"&lt;=" &amp; Games[[#This Row],[Date]])</f>
        <v>22</v>
      </c>
      <c r="D179" s="2" t="s">
        <v>23</v>
      </c>
      <c r="E179" s="2" t="s">
        <v>29</v>
      </c>
      <c r="F179" s="1" t="s">
        <v>44</v>
      </c>
      <c r="G179" s="1" t="s">
        <v>66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9" s="2">
        <f>Games[[#This Row],[DaysOff]]-Games[[#This Row],[OppDaysOff]]</f>
        <v>1</v>
      </c>
      <c r="L179" s="2">
        <f>Games[[#This Row],[OppDaysOff]]-Games[[#This Row],[DaysOff]]</f>
        <v>-1</v>
      </c>
      <c r="M179" s="1">
        <f>MAX(-16, MIN(16, Games[[#This Row],[RestDiff]]*8))</f>
        <v>8</v>
      </c>
      <c r="N179" s="1">
        <f>MAX(-16, MIN(16, Games[[#This Row],[OppRestDiff]]*8))</f>
        <v>-8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1500.7185885237966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1549.5904635048375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0.57305271176811456</v>
      </c>
      <c r="R179" s="1">
        <v>77</v>
      </c>
      <c r="S179" s="1">
        <v>67</v>
      </c>
      <c r="T179" s="1">
        <v>0</v>
      </c>
      <c r="U179" s="1">
        <f>Games[[#This Row],[PointsFor]]-Games[[#This Row],[PointsAgainst]]</f>
        <v>10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0.40657144209164686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72.7</v>
      </c>
      <c r="Z179" s="4">
        <f>Games[[#This Row],[K]]*Games[[#This Row],[POMult]]</f>
        <v>72.7</v>
      </c>
      <c r="AA179" s="4">
        <f>(Games[[#This Row],[Keff]]*Games[[#This Row],[MOVMult]])*(Games[[#This Row],[Result]]-Games[[#This Row],[ExpectedWin%]])</f>
        <v>12.619598578767498</v>
      </c>
      <c r="AB179" s="4">
        <f>Games[[#This Row],[PreGmRate]]+Games[[#This Row],[RatingChange]]</f>
        <v>1513.338187102564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35654</v>
      </c>
      <c r="B180" s="2">
        <v>1997</v>
      </c>
      <c r="C180" s="2">
        <f>COUNTIFS(Games[Team],Games[[#This Row],[Team]],Games[Season],Games[[#This Row],[Season]],Games[Date],"&lt;=" &amp; Games[[#This Row],[Date]])</f>
        <v>23</v>
      </c>
      <c r="D180" s="2" t="s">
        <v>23</v>
      </c>
      <c r="E180" s="2" t="s">
        <v>29</v>
      </c>
      <c r="F180" s="1" t="s">
        <v>1</v>
      </c>
      <c r="G180" s="1" t="s">
        <v>45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-1</v>
      </c>
      <c r="L180" s="2">
        <f>Games[[#This Row],[OppDaysOff]]-Games[[#This Row],[DaysOff]]</f>
        <v>1</v>
      </c>
      <c r="M180" s="1">
        <f>MAX(-16, MIN(16, Games[[#This Row],[RestDiff]]*8))</f>
        <v>-8</v>
      </c>
      <c r="N180" s="1">
        <f>MAX(-16, MIN(16, Games[[#This Row],[OppRestDiff]]*8))</f>
        <v>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1537.2931030422806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1417.1109931187138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0.52901176671600025</v>
      </c>
      <c r="R180" s="1">
        <v>76</v>
      </c>
      <c r="S180" s="1">
        <v>81</v>
      </c>
      <c r="T180" s="1">
        <v>0</v>
      </c>
      <c r="U180" s="1">
        <f>Games[[#This Row],[PointsFor]]-Games[[#This Row],[PointsAgainst]]</f>
        <v>-5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0.30155473821452261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72.55</v>
      </c>
      <c r="Z180" s="4">
        <f>Games[[#This Row],[K]]*Games[[#This Row],[POMult]]</f>
        <v>72.55</v>
      </c>
      <c r="AA180" s="4">
        <f>(Games[[#This Row],[Keff]]*Games[[#This Row],[MOVMult]])*(Games[[#This Row],[Result]]-Games[[#This Row],[ExpectedWin%]])</f>
        <v>-11.573611650013525</v>
      </c>
      <c r="AB180" s="4">
        <f>Games[[#This Row],[PreGmRate]]+Games[[#This Row],[RatingChange]]</f>
        <v>1525.7194913922669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35654</v>
      </c>
      <c r="B181" s="2">
        <v>1997</v>
      </c>
      <c r="C181" s="2">
        <f>COUNTIFS(Games[Team],Games[[#This Row],[Team]],Games[Season],Games[[#This Row],[Season]],Games[Date],"&lt;=" &amp; Games[[#This Row],[Date]])</f>
        <v>23</v>
      </c>
      <c r="D181" s="2" t="s">
        <v>23</v>
      </c>
      <c r="E181" s="2" t="s">
        <v>29</v>
      </c>
      <c r="F181" s="1" t="s">
        <v>45</v>
      </c>
      <c r="G181" s="1" t="s">
        <v>1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1" s="2">
        <f>Games[[#This Row],[DaysOff]]-Games[[#This Row],[OppDaysOff]]</f>
        <v>1</v>
      </c>
      <c r="L181" s="2">
        <f>Games[[#This Row],[OppDaysOff]]-Games[[#This Row],[DaysOff]]</f>
        <v>-1</v>
      </c>
      <c r="M181" s="1">
        <f>MAX(-16, MIN(16, Games[[#This Row],[RestDiff]]*8))</f>
        <v>8</v>
      </c>
      <c r="N181" s="1">
        <f>MAX(-16, MIN(16, Games[[#This Row],[OppRestDiff]]*8))</f>
        <v>-8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1417.1109931187138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1537.2931030422806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0.47098823328399975</v>
      </c>
      <c r="R181" s="1">
        <v>81</v>
      </c>
      <c r="S181" s="1">
        <v>76</v>
      </c>
      <c r="T181" s="1">
        <v>0</v>
      </c>
      <c r="U181" s="1">
        <f>Games[[#This Row],[PointsFor]]-Games[[#This Row],[PointsAgainst]]</f>
        <v>5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0.30155473821452261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72.55</v>
      </c>
      <c r="Z181" s="4">
        <f>Games[[#This Row],[K]]*Games[[#This Row],[POMult]]</f>
        <v>72.55</v>
      </c>
      <c r="AA181" s="4">
        <f>(Games[[#This Row],[Keff]]*Games[[#This Row],[MOVMult]])*(Games[[#This Row],[Result]]-Games[[#This Row],[ExpectedWin%]])</f>
        <v>11.573611650013525</v>
      </c>
      <c r="AB181" s="4">
        <f>Games[[#This Row],[PreGmRate]]+Games[[#This Row],[RatingChange]]</f>
        <v>1428.6846047687275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35656</v>
      </c>
      <c r="B182" s="2">
        <v>1997</v>
      </c>
      <c r="C182" s="2">
        <f>COUNTIFS(Games[Team],Games[[#This Row],[Team]],Games[Season],Games[[#This Row],[Season]],Games[Date],"&lt;=" &amp; Games[[#This Row],[Date]])</f>
        <v>24</v>
      </c>
      <c r="D182" s="2" t="s">
        <v>23</v>
      </c>
      <c r="E182" s="2" t="s">
        <v>29</v>
      </c>
      <c r="F182" s="1" t="s">
        <v>45</v>
      </c>
      <c r="G182" s="1" t="s">
        <v>64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2" s="2">
        <f>Games[[#This Row],[DaysOff]]-Games[[#This Row],[OppDaysOff]]</f>
        <v>-1</v>
      </c>
      <c r="L182" s="2">
        <f>Games[[#This Row],[OppDaysOff]]-Games[[#This Row],[DaysOff]]</f>
        <v>1</v>
      </c>
      <c r="M182" s="1">
        <f>MAX(-16, MIN(16, Games[[#This Row],[RestDiff]]*8))</f>
        <v>-8</v>
      </c>
      <c r="N182" s="1">
        <f>MAX(-16, MIN(16, Games[[#This Row],[OppRestDiff]]*8))</f>
        <v>8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1428.6846047687275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1510.6677590814215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0.25969022295272282</v>
      </c>
      <c r="R182" s="1">
        <v>51</v>
      </c>
      <c r="S182" s="1">
        <v>68</v>
      </c>
      <c r="T182" s="1">
        <v>0</v>
      </c>
      <c r="U182" s="1">
        <f>Games[[#This Row],[PointsFor]]-Games[[#This Row],[PointsAgainst]]</f>
        <v>-17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0.4983922610441357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72.400000000000006</v>
      </c>
      <c r="Z182" s="4">
        <f>Games[[#This Row],[K]]*Games[[#This Row],[POMult]]</f>
        <v>72.400000000000006</v>
      </c>
      <c r="AA182" s="4">
        <f>(Games[[#This Row],[Keff]]*Games[[#This Row],[MOVMult]])*(Games[[#This Row],[Result]]-Games[[#This Row],[ExpectedWin%]])</f>
        <v>-9.3705580509247373</v>
      </c>
      <c r="AB182" s="4">
        <f>Games[[#This Row],[PreGmRate]]+Games[[#This Row],[RatingChange]]</f>
        <v>1419.3140467178027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35656</v>
      </c>
      <c r="B183" s="2">
        <v>1997</v>
      </c>
      <c r="C183" s="2">
        <f>COUNTIFS(Games[Team],Games[[#This Row],[Team]],Games[Season],Games[[#This Row],[Season]],Games[Date],"&lt;=" &amp; Games[[#This Row],[Date]])</f>
        <v>22</v>
      </c>
      <c r="D183" s="2" t="s">
        <v>23</v>
      </c>
      <c r="E183" s="2" t="s">
        <v>29</v>
      </c>
      <c r="F183" s="1" t="s">
        <v>64</v>
      </c>
      <c r="G183" s="1" t="s">
        <v>45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1</v>
      </c>
      <c r="L183" s="2">
        <f>Games[[#This Row],[OppDaysOff]]-Games[[#This Row],[DaysOff]]</f>
        <v>-1</v>
      </c>
      <c r="M183" s="1">
        <f>MAX(-16, MIN(16, Games[[#This Row],[RestDiff]]*8))</f>
        <v>8</v>
      </c>
      <c r="N183" s="1">
        <f>MAX(-16, MIN(16, Games[[#This Row],[OppRestDiff]]*8))</f>
        <v>-8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1510.6677590814215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1428.6846047687275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0.74030977704727718</v>
      </c>
      <c r="R183" s="1">
        <v>68</v>
      </c>
      <c r="S183" s="1">
        <v>51</v>
      </c>
      <c r="T183" s="1">
        <v>0</v>
      </c>
      <c r="U183" s="1">
        <f>Games[[#This Row],[PointsFor]]-Games[[#This Row],[PointsAgainst]]</f>
        <v>17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0.4983922610441357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72.7</v>
      </c>
      <c r="Z183" s="4">
        <f>Games[[#This Row],[K]]*Games[[#This Row],[POMult]]</f>
        <v>72.7</v>
      </c>
      <c r="AA183" s="4">
        <f>(Games[[#This Row],[Keff]]*Games[[#This Row],[MOVMult]])*(Games[[#This Row],[Result]]-Games[[#This Row],[ExpectedWin%]])</f>
        <v>9.4093863301412775</v>
      </c>
      <c r="AB183" s="4">
        <f>Games[[#This Row],[PreGmRate]]+Games[[#This Row],[RatingChange]]</f>
        <v>1520.0771454115629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35656</v>
      </c>
      <c r="B184" s="2">
        <v>1997</v>
      </c>
      <c r="C184" s="2">
        <f>COUNTIFS(Games[Team],Games[[#This Row],[Team]],Games[Season],Games[[#This Row],[Season]],Games[Date],"&lt;=" &amp; Games[[#This Row],[Date]])</f>
        <v>24</v>
      </c>
      <c r="D184" s="2" t="s">
        <v>23</v>
      </c>
      <c r="E184" s="2" t="s">
        <v>29</v>
      </c>
      <c r="F184" s="1" t="s">
        <v>1</v>
      </c>
      <c r="G184" s="1" t="s">
        <v>44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1525.7194913922669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1513.338187102564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0.39836785828389776</v>
      </c>
      <c r="R184" s="1">
        <v>55</v>
      </c>
      <c r="S184" s="1">
        <v>61</v>
      </c>
      <c r="T184" s="1">
        <v>0</v>
      </c>
      <c r="U184" s="1">
        <f>Games[[#This Row],[PointsFor]]-Games[[#This Row],[PointsAgainst]]</f>
        <v>-6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0.34769334681893299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72.400000000000006</v>
      </c>
      <c r="Z184" s="4">
        <f>Games[[#This Row],[K]]*Games[[#This Row],[POMult]]</f>
        <v>72.400000000000006</v>
      </c>
      <c r="AA184" s="4">
        <f>(Games[[#This Row],[Keff]]*Games[[#This Row],[MOVMult]])*(Games[[#This Row],[Result]]-Games[[#This Row],[ExpectedWin%]])</f>
        <v>-10.028113423215682</v>
      </c>
      <c r="AB184" s="4">
        <f>Games[[#This Row],[PreGmRate]]+Games[[#This Row],[RatingChange]]</f>
        <v>1515.6913779690512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35656</v>
      </c>
      <c r="B185" s="2">
        <v>1997</v>
      </c>
      <c r="C185" s="2">
        <f>COUNTIFS(Games[Team],Games[[#This Row],[Team]],Games[Season],Games[[#This Row],[Season]],Games[Date],"&lt;=" &amp; Games[[#This Row],[Date]])</f>
        <v>23</v>
      </c>
      <c r="D185" s="2" t="s">
        <v>23</v>
      </c>
      <c r="E185" s="2" t="s">
        <v>29</v>
      </c>
      <c r="F185" s="1" t="s">
        <v>44</v>
      </c>
      <c r="G185" s="1" t="s">
        <v>1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1513.338187102564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1525.7194913922669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0.60163214171610224</v>
      </c>
      <c r="R185" s="1">
        <v>61</v>
      </c>
      <c r="S185" s="1">
        <v>55</v>
      </c>
      <c r="T185" s="1">
        <v>0</v>
      </c>
      <c r="U185" s="1">
        <f>Games[[#This Row],[PointsFor]]-Games[[#This Row],[PointsAgainst]]</f>
        <v>6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0.34769334681893299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72.55</v>
      </c>
      <c r="Z185" s="4">
        <f>Games[[#This Row],[K]]*Games[[#This Row],[POMult]]</f>
        <v>72.55</v>
      </c>
      <c r="AA185" s="4">
        <f>(Games[[#This Row],[Keff]]*Games[[#This Row],[MOVMult]])*(Games[[#This Row],[Result]]-Games[[#This Row],[ExpectedWin%]])</f>
        <v>10.048889901302454</v>
      </c>
      <c r="AB185" s="4">
        <f>Games[[#This Row],[PreGmRate]]+Games[[#This Row],[RatingChange]]</f>
        <v>1523.3870770038664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35657</v>
      </c>
      <c r="B186" s="2">
        <v>1997</v>
      </c>
      <c r="C186" s="2">
        <f>COUNTIFS(Games[Team],Games[[#This Row],[Team]],Games[Season],Games[[#This Row],[Season]],Games[Date],"&lt;=" &amp; Games[[#This Row],[Date]])</f>
        <v>25</v>
      </c>
      <c r="D186" s="2" t="s">
        <v>23</v>
      </c>
      <c r="E186" s="2" t="s">
        <v>29</v>
      </c>
      <c r="F186" s="1" t="s">
        <v>45</v>
      </c>
      <c r="G186" s="1" t="s">
        <v>66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6" s="2">
        <f>Games[[#This Row],[DaysOff]]-Games[[#This Row],[OppDaysOff]]</f>
        <v>-2</v>
      </c>
      <c r="L186" s="2">
        <f>Games[[#This Row],[OppDaysOff]]-Games[[#This Row],[DaysOff]]</f>
        <v>2</v>
      </c>
      <c r="M186" s="1">
        <f>MAX(-16, MIN(16, Games[[#This Row],[RestDiff]]*8))</f>
        <v>-16</v>
      </c>
      <c r="N186" s="1">
        <f>MAX(-16, MIN(16, Games[[#This Row],[OppRestDiff]]*8))</f>
        <v>16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1419.3140467178027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1536.9708649260701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0.20668298439659058</v>
      </c>
      <c r="R186" s="1">
        <v>63</v>
      </c>
      <c r="S186" s="1">
        <v>79</v>
      </c>
      <c r="T186" s="1">
        <v>0</v>
      </c>
      <c r="U186" s="1">
        <f>Games[[#This Row],[PointsFor]]-Games[[#This Row],[PointsAgainst]]</f>
        <v>-16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0.47155164391056598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72.25</v>
      </c>
      <c r="Z186" s="4">
        <f>Games[[#This Row],[K]]*Games[[#This Row],[POMult]]</f>
        <v>72.25</v>
      </c>
      <c r="AA186" s="4">
        <f>(Games[[#This Row],[Keff]]*Games[[#This Row],[MOVMult]])*(Games[[#This Row],[Result]]-Games[[#This Row],[ExpectedWin%]])</f>
        <v>-7.0416079016250377</v>
      </c>
      <c r="AB186" s="4">
        <f>Games[[#This Row],[PreGmRate]]+Games[[#This Row],[RatingChange]]</f>
        <v>1412.2724388161778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35657</v>
      </c>
      <c r="B187" s="2">
        <v>1997</v>
      </c>
      <c r="C187" s="2">
        <f>COUNTIFS(Games[Team],Games[[#This Row],[Team]],Games[Season],Games[[#This Row],[Season]],Games[Date],"&lt;=" &amp; Games[[#This Row],[Date]])</f>
        <v>23</v>
      </c>
      <c r="D187" s="2" t="s">
        <v>23</v>
      </c>
      <c r="E187" s="2" t="s">
        <v>29</v>
      </c>
      <c r="F187" s="1" t="s">
        <v>66</v>
      </c>
      <c r="G187" s="1" t="s">
        <v>45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7" s="2">
        <f>Games[[#This Row],[DaysOff]]-Games[[#This Row],[OppDaysOff]]</f>
        <v>2</v>
      </c>
      <c r="L187" s="2">
        <f>Games[[#This Row],[OppDaysOff]]-Games[[#This Row],[DaysOff]]</f>
        <v>-2</v>
      </c>
      <c r="M187" s="1">
        <f>MAX(-16, MIN(16, Games[[#This Row],[RestDiff]]*8))</f>
        <v>16</v>
      </c>
      <c r="N187" s="1">
        <f>MAX(-16, MIN(16, Games[[#This Row],[OppRestDiff]]*8))</f>
        <v>-16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1536.9708649260701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1419.3140467178027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0.79331701560340939</v>
      </c>
      <c r="R187" s="1">
        <v>79</v>
      </c>
      <c r="S187" s="1">
        <v>63</v>
      </c>
      <c r="T187" s="1">
        <v>0</v>
      </c>
      <c r="U187" s="1">
        <f>Games[[#This Row],[PointsFor]]-Games[[#This Row],[PointsAgainst]]</f>
        <v>16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0.47155164391056598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72.55</v>
      </c>
      <c r="Z187" s="4">
        <f>Games[[#This Row],[K]]*Games[[#This Row],[POMult]]</f>
        <v>72.55</v>
      </c>
      <c r="AA187" s="4">
        <f>(Games[[#This Row],[Keff]]*Games[[#This Row],[MOVMult]])*(Games[[#This Row],[Result]]-Games[[#This Row],[ExpectedWin%]])</f>
        <v>7.0708464119432035</v>
      </c>
      <c r="AB187" s="4">
        <f>Games[[#This Row],[PreGmRate]]+Games[[#This Row],[RatingChange]]</f>
        <v>1544.0417113380133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35658</v>
      </c>
      <c r="B188" s="2">
        <v>1997</v>
      </c>
      <c r="C188" s="2">
        <f>COUNTIFS(Games[Team],Games[[#This Row],[Team]],Games[Season],Games[[#This Row],[Season]],Games[Date],"&lt;=" &amp; Games[[#This Row],[Date]])</f>
        <v>24</v>
      </c>
      <c r="D188" s="2" t="s">
        <v>23</v>
      </c>
      <c r="E188" s="2" t="s">
        <v>29</v>
      </c>
      <c r="F188" s="1" t="s">
        <v>2</v>
      </c>
      <c r="G188" s="1" t="s">
        <v>64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2</v>
      </c>
      <c r="L188" s="2">
        <f>Games[[#This Row],[OppDaysOff]]-Games[[#This Row],[DaysOff]]</f>
        <v>-2</v>
      </c>
      <c r="M188" s="1">
        <f>MAX(-16, MIN(16, Games[[#This Row],[RestDiff]]*8))</f>
        <v>16</v>
      </c>
      <c r="N188" s="1">
        <f>MAX(-16, MIN(16, Games[[#This Row],[OppRestDiff]]*8))</f>
        <v>-16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1619.3465516488016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1520.0771454115629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0.56760950202052596</v>
      </c>
      <c r="R188" s="1">
        <v>71</v>
      </c>
      <c r="S188" s="1">
        <v>80</v>
      </c>
      <c r="T188" s="1">
        <v>0</v>
      </c>
      <c r="U188" s="1">
        <f>Games[[#This Row],[PointsFor]]-Games[[#This Row],[PointsAgainst]]</f>
        <v>-9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0.37495367029964366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72.400000000000006</v>
      </c>
      <c r="Z188" s="4">
        <f>Games[[#This Row],[K]]*Games[[#This Row],[POMult]]</f>
        <v>72.400000000000006</v>
      </c>
      <c r="AA188" s="4">
        <f>(Games[[#This Row],[Keff]]*Games[[#This Row],[MOVMult]])*(Games[[#This Row],[Result]]-Games[[#This Row],[ExpectedWin%]])</f>
        <v>-15.408694064159365</v>
      </c>
      <c r="AB188" s="4">
        <f>Games[[#This Row],[PreGmRate]]+Games[[#This Row],[RatingChange]]</f>
        <v>1603.9378575846422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35658</v>
      </c>
      <c r="B189" s="2">
        <v>1997</v>
      </c>
      <c r="C189" s="2">
        <f>COUNTIFS(Games[Team],Games[[#This Row],[Team]],Games[Season],Games[[#This Row],[Season]],Games[Date],"&lt;=" &amp; Games[[#This Row],[Date]])</f>
        <v>23</v>
      </c>
      <c r="D189" s="2" t="s">
        <v>23</v>
      </c>
      <c r="E189" s="2" t="s">
        <v>29</v>
      </c>
      <c r="F189" s="1" t="s">
        <v>64</v>
      </c>
      <c r="G189" s="1" t="s">
        <v>2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9" s="2">
        <f>Games[[#This Row],[DaysOff]]-Games[[#This Row],[OppDaysOff]]</f>
        <v>-2</v>
      </c>
      <c r="L189" s="2">
        <f>Games[[#This Row],[OppDaysOff]]-Games[[#This Row],[DaysOff]]</f>
        <v>2</v>
      </c>
      <c r="M189" s="1">
        <f>MAX(-16, MIN(16, Games[[#This Row],[RestDiff]]*8))</f>
        <v>-16</v>
      </c>
      <c r="N189" s="1">
        <f>MAX(-16, MIN(16, Games[[#This Row],[OppRestDiff]]*8))</f>
        <v>16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1520.0771454115629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1619.3465516488016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0.43239049797947399</v>
      </c>
      <c r="R189" s="1">
        <v>80</v>
      </c>
      <c r="S189" s="1">
        <v>71</v>
      </c>
      <c r="T189" s="1">
        <v>0</v>
      </c>
      <c r="U189" s="1">
        <f>Games[[#This Row],[PointsFor]]-Games[[#This Row],[PointsAgainst]]</f>
        <v>9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0.37495367029964366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72.55</v>
      </c>
      <c r="Z189" s="4">
        <f>Games[[#This Row],[K]]*Games[[#This Row],[POMult]]</f>
        <v>72.55</v>
      </c>
      <c r="AA189" s="4">
        <f>(Games[[#This Row],[Keff]]*Games[[#This Row],[MOVMult]])*(Games[[#This Row],[Result]]-Games[[#This Row],[ExpectedWin%]])</f>
        <v>15.440618154071297</v>
      </c>
      <c r="AB189" s="4">
        <f>Games[[#This Row],[PreGmRate]]+Games[[#This Row],[RatingChange]]</f>
        <v>1535.5177635656341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35658</v>
      </c>
      <c r="B190" s="2">
        <v>1997</v>
      </c>
      <c r="C190" s="2">
        <f>COUNTIFS(Games[Team],Games[[#This Row],[Team]],Games[Season],Games[[#This Row],[Season]],Games[Date],"&lt;=" &amp; Games[[#This Row],[Date]])</f>
        <v>24</v>
      </c>
      <c r="D190" s="2" t="s">
        <v>23</v>
      </c>
      <c r="E190" s="2" t="s">
        <v>29</v>
      </c>
      <c r="F190" s="1" t="s">
        <v>71</v>
      </c>
      <c r="G190" s="1" t="s">
        <v>43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6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0" s="2">
        <f>Games[[#This Row],[DaysOff]]-Games[[#This Row],[OppDaysOff]]</f>
        <v>3</v>
      </c>
      <c r="L190" s="2">
        <f>Games[[#This Row],[OppDaysOff]]-Games[[#This Row],[DaysOff]]</f>
        <v>-3</v>
      </c>
      <c r="M190" s="1">
        <f>MAX(-16, MIN(16, Games[[#This Row],[RestDiff]]*8))</f>
        <v>16</v>
      </c>
      <c r="N190" s="1">
        <f>MAX(-16, MIN(16, Games[[#This Row],[OppRestDiff]]*8))</f>
        <v>-16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1504.6845272453993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1360.5561807226773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0.62956086731906269</v>
      </c>
      <c r="R190" s="1">
        <v>74</v>
      </c>
      <c r="S190" s="1">
        <v>64</v>
      </c>
      <c r="T190" s="1">
        <v>0</v>
      </c>
      <c r="U190" s="1">
        <f>Games[[#This Row],[PointsFor]]-Games[[#This Row],[PointsAgainst]]</f>
        <v>10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0.3777583000256719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72.400000000000006</v>
      </c>
      <c r="Z190" s="4">
        <f>Games[[#This Row],[K]]*Games[[#This Row],[POMult]]</f>
        <v>72.400000000000006</v>
      </c>
      <c r="AA190" s="4">
        <f>(Games[[#This Row],[Keff]]*Games[[#This Row],[MOVMult]])*(Games[[#This Row],[Result]]-Games[[#This Row],[ExpectedWin%]])</f>
        <v>10.131399488576349</v>
      </c>
      <c r="AB190" s="4">
        <f>Games[[#This Row],[PreGmRate]]+Games[[#This Row],[RatingChange]]</f>
        <v>1514.8159267339756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35658</v>
      </c>
      <c r="B191" s="2">
        <v>1997</v>
      </c>
      <c r="C191" s="2">
        <f>COUNTIFS(Games[Team],Games[[#This Row],[Team]],Games[Season],Games[[#This Row],[Season]],Games[Date],"&lt;=" &amp; Games[[#This Row],[Date]])</f>
        <v>24</v>
      </c>
      <c r="D191" s="2" t="s">
        <v>23</v>
      </c>
      <c r="E191" s="2" t="s">
        <v>29</v>
      </c>
      <c r="F191" s="1" t="s">
        <v>43</v>
      </c>
      <c r="G191" s="1" t="s">
        <v>71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91" s="2">
        <f>Games[[#This Row],[DaysOff]]-Games[[#This Row],[OppDaysOff]]</f>
        <v>-3</v>
      </c>
      <c r="L191" s="2">
        <f>Games[[#This Row],[OppDaysOff]]-Games[[#This Row],[DaysOff]]</f>
        <v>3</v>
      </c>
      <c r="M191" s="1">
        <f>MAX(-16, MIN(16, Games[[#This Row],[RestDiff]]*8))</f>
        <v>-16</v>
      </c>
      <c r="N191" s="1">
        <f>MAX(-16, MIN(16, Games[[#This Row],[OppRestDiff]]*8))</f>
        <v>16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1360.5561807226773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1504.6845272453993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0.37043913268093737</v>
      </c>
      <c r="R191" s="1">
        <v>64</v>
      </c>
      <c r="S191" s="1">
        <v>74</v>
      </c>
      <c r="T191" s="1">
        <v>0</v>
      </c>
      <c r="U191" s="1">
        <f>Games[[#This Row],[PointsFor]]-Games[[#This Row],[PointsAgainst]]</f>
        <v>-10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0.3777583000256719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72.400000000000006</v>
      </c>
      <c r="Z191" s="4">
        <f>Games[[#This Row],[K]]*Games[[#This Row],[POMult]]</f>
        <v>72.400000000000006</v>
      </c>
      <c r="AA191" s="4">
        <f>(Games[[#This Row],[Keff]]*Games[[#This Row],[MOVMult]])*(Games[[#This Row],[Result]]-Games[[#This Row],[ExpectedWin%]])</f>
        <v>-10.131399488576351</v>
      </c>
      <c r="AB191" s="4">
        <f>Games[[#This Row],[PreGmRate]]+Games[[#This Row],[RatingChange]]</f>
        <v>1350.4247812341009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35659</v>
      </c>
      <c r="B192" s="2">
        <v>1997</v>
      </c>
      <c r="C192" s="2">
        <f>COUNTIFS(Games[Team],Games[[#This Row],[Team]],Games[Season],Games[[#This Row],[Season]],Games[Date],"&lt;=" &amp; Games[[#This Row],[Date]])</f>
        <v>24</v>
      </c>
      <c r="D192" s="2" t="s">
        <v>23</v>
      </c>
      <c r="E192" s="2" t="s">
        <v>29</v>
      </c>
      <c r="F192" s="1" t="s">
        <v>64</v>
      </c>
      <c r="G192" s="1" t="s">
        <v>1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2" s="2">
        <f>Games[[#This Row],[DaysOff]]-Games[[#This Row],[OppDaysOff]]</f>
        <v>-2</v>
      </c>
      <c r="L192" s="2">
        <f>Games[[#This Row],[OppDaysOff]]-Games[[#This Row],[DaysOff]]</f>
        <v>2</v>
      </c>
      <c r="M192" s="1">
        <f>MAX(-16, MIN(16, Games[[#This Row],[RestDiff]]*8))</f>
        <v>-16</v>
      </c>
      <c r="N192" s="1">
        <f>MAX(-16, MIN(16, Games[[#This Row],[OppRestDiff]]*8))</f>
        <v>16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1535.5177635656341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1515.6913779690512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0.36502498991509214</v>
      </c>
      <c r="R192" s="1">
        <v>49</v>
      </c>
      <c r="S192" s="1">
        <v>81</v>
      </c>
      <c r="T192" s="1">
        <v>0</v>
      </c>
      <c r="U192" s="1">
        <f>Games[[#This Row],[PointsFor]]-Games[[#This Row],[PointsAgainst]]</f>
        <v>-32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0.7155220326216708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72.400000000000006</v>
      </c>
      <c r="Z192" s="4">
        <f>Games[[#This Row],[K]]*Games[[#This Row],[POMult]]</f>
        <v>72.400000000000006</v>
      </c>
      <c r="AA192" s="4">
        <f>(Games[[#This Row],[Keff]]*Games[[#This Row],[MOVMult]])*(Games[[#This Row],[Result]]-Games[[#This Row],[ExpectedWin%]])</f>
        <v>-18.909679806502819</v>
      </c>
      <c r="AB192" s="4">
        <f>Games[[#This Row],[PreGmRate]]+Games[[#This Row],[RatingChange]]</f>
        <v>1516.6080837591314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35659</v>
      </c>
      <c r="B193" s="2">
        <v>1997</v>
      </c>
      <c r="C193" s="2">
        <f>COUNTIFS(Games[Team],Games[[#This Row],[Team]],Games[Season],Games[[#This Row],[Season]],Games[Date],"&lt;=" &amp; Games[[#This Row],[Date]])</f>
        <v>25</v>
      </c>
      <c r="D193" s="2" t="s">
        <v>23</v>
      </c>
      <c r="E193" s="2" t="s">
        <v>29</v>
      </c>
      <c r="F193" s="1" t="s">
        <v>1</v>
      </c>
      <c r="G193" s="1" t="s">
        <v>64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3" s="2">
        <f>Games[[#This Row],[DaysOff]]-Games[[#This Row],[OppDaysOff]]</f>
        <v>2</v>
      </c>
      <c r="L193" s="2">
        <f>Games[[#This Row],[OppDaysOff]]-Games[[#This Row],[DaysOff]]</f>
        <v>-2</v>
      </c>
      <c r="M193" s="1">
        <f>MAX(-16, MIN(16, Games[[#This Row],[RestDiff]]*8))</f>
        <v>16</v>
      </c>
      <c r="N193" s="1">
        <f>MAX(-16, MIN(16, Games[[#This Row],[OppRestDiff]]*8))</f>
        <v>-16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1515.6913779690512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1535.5177635656341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0.63497501008490786</v>
      </c>
      <c r="R193" s="1">
        <v>81</v>
      </c>
      <c r="S193" s="1">
        <v>49</v>
      </c>
      <c r="T193" s="1">
        <v>0</v>
      </c>
      <c r="U193" s="1">
        <f>Games[[#This Row],[PointsFor]]-Games[[#This Row],[PointsAgainst]]</f>
        <v>32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0.7155220326216708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72.25</v>
      </c>
      <c r="Z193" s="4">
        <f>Games[[#This Row],[K]]*Games[[#This Row],[POMult]]</f>
        <v>72.25</v>
      </c>
      <c r="AA193" s="4">
        <f>(Games[[#This Row],[Keff]]*Games[[#This Row],[MOVMult]])*(Games[[#This Row],[Result]]-Games[[#This Row],[ExpectedWin%]])</f>
        <v>18.870502293091551</v>
      </c>
      <c r="AB193" s="4">
        <f>Games[[#This Row],[PreGmRate]]+Games[[#This Row],[RatingChange]]</f>
        <v>1534.5618802621427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35659</v>
      </c>
      <c r="B194" s="2">
        <v>1997</v>
      </c>
      <c r="C194" s="2">
        <f>COUNTIFS(Games[Team],Games[[#This Row],[Team]],Games[Season],Games[[#This Row],[Season]],Games[Date],"&lt;=" &amp; Games[[#This Row],[Date]])</f>
        <v>25</v>
      </c>
      <c r="D194" s="2" t="s">
        <v>23</v>
      </c>
      <c r="E194" s="2" t="s">
        <v>29</v>
      </c>
      <c r="F194" s="1" t="s">
        <v>2</v>
      </c>
      <c r="G194" s="1" t="s">
        <v>66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4" s="2">
        <f>Games[[#This Row],[DaysOff]]-Games[[#This Row],[OppDaysOff]]</f>
        <v>-1</v>
      </c>
      <c r="L194" s="2">
        <f>Games[[#This Row],[OppDaysOff]]-Games[[#This Row],[DaysOff]]</f>
        <v>1</v>
      </c>
      <c r="M194" s="1">
        <f>MAX(-16, MIN(16, Games[[#This Row],[RestDiff]]*8))</f>
        <v>-8</v>
      </c>
      <c r="N194" s="1">
        <f>MAX(-16, MIN(16, Games[[#This Row],[OppRestDiff]]*8))</f>
        <v>8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1603.9378575846422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1544.0417113380133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0.44254087737747166</v>
      </c>
      <c r="R194" s="1">
        <v>70</v>
      </c>
      <c r="S194" s="1">
        <v>55</v>
      </c>
      <c r="T194" s="1">
        <v>0</v>
      </c>
      <c r="U194" s="1">
        <f>Games[[#This Row],[PointsFor]]-Games[[#This Row],[PointsAgainst]]</f>
        <v>15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0.47894236001289842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72.25</v>
      </c>
      <c r="Z194" s="4">
        <f>Games[[#This Row],[K]]*Games[[#This Row],[POMult]]</f>
        <v>72.25</v>
      </c>
      <c r="AA194" s="4">
        <f>(Games[[#This Row],[Keff]]*Games[[#This Row],[MOVMult]])*(Games[[#This Row],[Result]]-Games[[#This Row],[ExpectedWin%]])</f>
        <v>19.290084418517733</v>
      </c>
      <c r="AB194" s="4">
        <f>Games[[#This Row],[PreGmRate]]+Games[[#This Row],[RatingChange]]</f>
        <v>1623.22794200316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35659</v>
      </c>
      <c r="B195" s="2">
        <v>1997</v>
      </c>
      <c r="C195" s="2">
        <f>COUNTIFS(Games[Team],Games[[#This Row],[Team]],Games[Season],Games[[#This Row],[Season]],Games[Date],"&lt;=" &amp; Games[[#This Row],[Date]])</f>
        <v>24</v>
      </c>
      <c r="D195" s="2" t="s">
        <v>23</v>
      </c>
      <c r="E195" s="2" t="s">
        <v>29</v>
      </c>
      <c r="F195" s="1" t="s">
        <v>66</v>
      </c>
      <c r="G195" s="1" t="s">
        <v>2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5" s="2">
        <f>Games[[#This Row],[DaysOff]]-Games[[#This Row],[OppDaysOff]]</f>
        <v>1</v>
      </c>
      <c r="L195" s="2">
        <f>Games[[#This Row],[OppDaysOff]]-Games[[#This Row],[DaysOff]]</f>
        <v>-1</v>
      </c>
      <c r="M195" s="1">
        <f>MAX(-16, MIN(16, Games[[#This Row],[RestDiff]]*8))</f>
        <v>8</v>
      </c>
      <c r="N195" s="1">
        <f>MAX(-16, MIN(16, Games[[#This Row],[OppRestDiff]]*8))</f>
        <v>-8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1544.0417113380133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1603.9378575846422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0.55745912262252839</v>
      </c>
      <c r="R195" s="1">
        <v>55</v>
      </c>
      <c r="S195" s="1">
        <v>70</v>
      </c>
      <c r="T195" s="1">
        <v>0</v>
      </c>
      <c r="U195" s="1">
        <f>Games[[#This Row],[PointsFor]]-Games[[#This Row],[PointsAgainst]]</f>
        <v>-15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0.47894236001289842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72.400000000000006</v>
      </c>
      <c r="Z195" s="4">
        <f>Games[[#This Row],[K]]*Games[[#This Row],[POMult]]</f>
        <v>72.400000000000006</v>
      </c>
      <c r="AA195" s="4">
        <f>(Games[[#This Row],[Keff]]*Games[[#This Row],[MOVMult]])*(Games[[#This Row],[Result]]-Games[[#This Row],[ExpectedWin%]])</f>
        <v>-19.330133036687673</v>
      </c>
      <c r="AB195" s="4">
        <f>Games[[#This Row],[PreGmRate]]+Games[[#This Row],[RatingChange]]</f>
        <v>1524.7115783013257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35659</v>
      </c>
      <c r="B196" s="2">
        <v>1997</v>
      </c>
      <c r="C196" s="2">
        <f>COUNTIFS(Games[Team],Games[[#This Row],[Team]],Games[Season],Games[[#This Row],[Season]],Games[Date],"&lt;=" &amp; Games[[#This Row],[Date]])</f>
        <v>25</v>
      </c>
      <c r="D196" s="2" t="s">
        <v>23</v>
      </c>
      <c r="E196" s="2" t="s">
        <v>29</v>
      </c>
      <c r="F196" s="1" t="s">
        <v>43</v>
      </c>
      <c r="G196" s="1" t="s">
        <v>44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6" s="2">
        <f>Games[[#This Row],[DaysOff]]-Games[[#This Row],[OppDaysOff]]</f>
        <v>-2</v>
      </c>
      <c r="L196" s="2">
        <f>Games[[#This Row],[OppDaysOff]]-Games[[#This Row],[DaysOff]]</f>
        <v>2</v>
      </c>
      <c r="M196" s="1">
        <f>MAX(-16, MIN(16, Games[[#This Row],[RestDiff]]*8))</f>
        <v>-16</v>
      </c>
      <c r="N196" s="1">
        <f>MAX(-16, MIN(16, Games[[#This Row],[OppRestDiff]]*8))</f>
        <v>16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1350.4247812341009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1523.3870770038664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0.15930602323964582</v>
      </c>
      <c r="R196" s="1">
        <v>63</v>
      </c>
      <c r="S196" s="1">
        <v>71</v>
      </c>
      <c r="T196" s="1">
        <v>1</v>
      </c>
      <c r="U196" s="1">
        <f>Games[[#This Row],[PointsFor]]-Games[[#This Row],[PointsAgainst]]</f>
        <v>-8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0.30545687896557699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72.25</v>
      </c>
      <c r="Z196" s="4">
        <f>Games[[#This Row],[K]]*Games[[#This Row],[POMult]]</f>
        <v>72.25</v>
      </c>
      <c r="AA196" s="4">
        <f>(Games[[#This Row],[Keff]]*Games[[#This Row],[MOVMult]])*(Games[[#This Row],[Result]]-Games[[#This Row],[ExpectedWin%]])</f>
        <v>-3.5157659676271922</v>
      </c>
      <c r="AB196" s="4">
        <f>Games[[#This Row],[PreGmRate]]+Games[[#This Row],[RatingChange]]</f>
        <v>1346.9090152664737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35659</v>
      </c>
      <c r="B197" s="2">
        <v>1997</v>
      </c>
      <c r="C197" s="2">
        <f>COUNTIFS(Games[Team],Games[[#This Row],[Team]],Games[Season],Games[[#This Row],[Season]],Games[Date],"&lt;=" &amp; Games[[#This Row],[Date]])</f>
        <v>24</v>
      </c>
      <c r="D197" s="2" t="s">
        <v>23</v>
      </c>
      <c r="E197" s="2" t="s">
        <v>29</v>
      </c>
      <c r="F197" s="1" t="s">
        <v>44</v>
      </c>
      <c r="G197" s="1" t="s">
        <v>43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7" s="2">
        <f>Games[[#This Row],[DaysOff]]-Games[[#This Row],[OppDaysOff]]</f>
        <v>2</v>
      </c>
      <c r="L197" s="2">
        <f>Games[[#This Row],[OppDaysOff]]-Games[[#This Row],[DaysOff]]</f>
        <v>-2</v>
      </c>
      <c r="M197" s="1">
        <f>MAX(-16, MIN(16, Games[[#This Row],[RestDiff]]*8))</f>
        <v>16</v>
      </c>
      <c r="N197" s="1">
        <f>MAX(-16, MIN(16, Games[[#This Row],[OppRestDiff]]*8))</f>
        <v>-16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1523.3870770038664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1350.4247812341009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0.84069397676035429</v>
      </c>
      <c r="R197" s="1">
        <v>71</v>
      </c>
      <c r="S197" s="1">
        <v>63</v>
      </c>
      <c r="T197" s="1">
        <v>1</v>
      </c>
      <c r="U197" s="1">
        <f>Games[[#This Row],[PointsFor]]-Games[[#This Row],[PointsAgainst]]</f>
        <v>8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0.30545687896557699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72.400000000000006</v>
      </c>
      <c r="Z197" s="4">
        <f>Games[[#This Row],[K]]*Games[[#This Row],[POMult]]</f>
        <v>72.400000000000006</v>
      </c>
      <c r="AA197" s="4">
        <f>(Games[[#This Row],[Keff]]*Games[[#This Row],[MOVMult]])*(Games[[#This Row],[Result]]-Games[[#This Row],[ExpectedWin%]])</f>
        <v>3.5230651357260698</v>
      </c>
      <c r="AB197" s="4">
        <f>Games[[#This Row],[PreGmRate]]+Games[[#This Row],[RatingChange]]</f>
        <v>1526.9101421395924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35660</v>
      </c>
      <c r="B198" s="2">
        <v>1997</v>
      </c>
      <c r="C198" s="2">
        <f>COUNTIFS(Games[Team],Games[[#This Row],[Team]],Games[Season],Games[[#This Row],[Season]],Games[Date],"&lt;=" &amp; Games[[#This Row],[Date]])</f>
        <v>25</v>
      </c>
      <c r="D198" s="2" t="s">
        <v>23</v>
      </c>
      <c r="E198" s="2" t="s">
        <v>29</v>
      </c>
      <c r="F198" s="1" t="s">
        <v>44</v>
      </c>
      <c r="G198" s="1" t="s">
        <v>71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-1</v>
      </c>
      <c r="L198" s="2">
        <f>Games[[#This Row],[OppDaysOff]]-Games[[#This Row],[DaysOff]]</f>
        <v>1</v>
      </c>
      <c r="M198" s="1">
        <f>MAX(-16, MIN(16, Games[[#This Row],[RestDiff]]*8))</f>
        <v>-8</v>
      </c>
      <c r="N198" s="1">
        <f>MAX(-16, MIN(16, Games[[#This Row],[OppRestDiff]]*8))</f>
        <v>8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1526.9101421395924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1514.8159267339756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0.3761254974339997</v>
      </c>
      <c r="R198" s="1">
        <v>66</v>
      </c>
      <c r="S198" s="1">
        <v>75</v>
      </c>
      <c r="T198" s="1">
        <v>0</v>
      </c>
      <c r="U198" s="1">
        <f>Games[[#This Row],[PointsFor]]-Games[[#This Row],[PointsAgainst]]</f>
        <v>-9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0.40192076357172085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72.25</v>
      </c>
      <c r="Z198" s="4">
        <f>Games[[#This Row],[K]]*Games[[#This Row],[POMult]]</f>
        <v>72.25</v>
      </c>
      <c r="AA198" s="4">
        <f>(Games[[#This Row],[Keff]]*Games[[#This Row],[MOVMult]])*(Games[[#This Row],[Result]]-Games[[#This Row],[ExpectedWin%]])</f>
        <v>-10.922223754959454</v>
      </c>
      <c r="AB198" s="4">
        <f>Games[[#This Row],[PreGmRate]]+Games[[#This Row],[RatingChange]]</f>
        <v>1515.9879183846328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35660</v>
      </c>
      <c r="B199" s="2">
        <v>1997</v>
      </c>
      <c r="C199" s="2">
        <f>COUNTIFS(Games[Team],Games[[#This Row],[Team]],Games[Season],Games[[#This Row],[Season]],Games[Date],"&lt;=" &amp; Games[[#This Row],[Date]])</f>
        <v>25</v>
      </c>
      <c r="D199" s="2" t="s">
        <v>23</v>
      </c>
      <c r="E199" s="2" t="s">
        <v>29</v>
      </c>
      <c r="F199" s="1" t="s">
        <v>71</v>
      </c>
      <c r="G199" s="1" t="s">
        <v>44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9" s="2">
        <f>Games[[#This Row],[DaysOff]]-Games[[#This Row],[OppDaysOff]]</f>
        <v>1</v>
      </c>
      <c r="L199" s="2">
        <f>Games[[#This Row],[OppDaysOff]]-Games[[#This Row],[DaysOff]]</f>
        <v>-1</v>
      </c>
      <c r="M199" s="1">
        <f>MAX(-16, MIN(16, Games[[#This Row],[RestDiff]]*8))</f>
        <v>8</v>
      </c>
      <c r="N199" s="1">
        <f>MAX(-16, MIN(16, Games[[#This Row],[OppRestDiff]]*8))</f>
        <v>-8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1514.8159267339756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1526.9101421395924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0.6238745025660003</v>
      </c>
      <c r="R199" s="1">
        <v>75</v>
      </c>
      <c r="S199" s="1">
        <v>66</v>
      </c>
      <c r="T199" s="1">
        <v>0</v>
      </c>
      <c r="U199" s="1">
        <f>Games[[#This Row],[PointsFor]]-Games[[#This Row],[PointsAgainst]]</f>
        <v>9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0.40192076357172085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72.25</v>
      </c>
      <c r="Z199" s="4">
        <f>Games[[#This Row],[K]]*Games[[#This Row],[POMult]]</f>
        <v>72.25</v>
      </c>
      <c r="AA199" s="4">
        <f>(Games[[#This Row],[Keff]]*Games[[#This Row],[MOVMult]])*(Games[[#This Row],[Result]]-Games[[#This Row],[ExpectedWin%]])</f>
        <v>10.922223754959454</v>
      </c>
      <c r="AB199" s="4">
        <f>Games[[#This Row],[PreGmRate]]+Games[[#This Row],[RatingChange]]</f>
        <v>1525.7381504889352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35661</v>
      </c>
      <c r="B200" s="2">
        <v>1997</v>
      </c>
      <c r="C200" s="2">
        <f>COUNTIFS(Games[Team],Games[[#This Row],[Team]],Games[Season],Games[[#This Row],[Season]],Games[Date],"&lt;=" &amp; Games[[#This Row],[Date]])</f>
        <v>25</v>
      </c>
      <c r="D200" s="2" t="s">
        <v>23</v>
      </c>
      <c r="E200" s="2" t="s">
        <v>29</v>
      </c>
      <c r="F200" s="1" t="s">
        <v>64</v>
      </c>
      <c r="G200" s="1" t="s">
        <v>2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0</v>
      </c>
      <c r="L200" s="2">
        <f>Games[[#This Row],[OppDaysOff]]-Games[[#This Row],[DaysOff]]</f>
        <v>0</v>
      </c>
      <c r="M200" s="1">
        <f>MAX(-16, MIN(16, Games[[#This Row],[RestDiff]]*8))</f>
        <v>0</v>
      </c>
      <c r="N200" s="1">
        <f>MAX(-16, MIN(16, Games[[#This Row],[OppRestDiff]]*8))</f>
        <v>0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1516.6080837591314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1623.22794200316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0.25024686468413515</v>
      </c>
      <c r="R200" s="1">
        <v>69</v>
      </c>
      <c r="S200" s="1">
        <v>77</v>
      </c>
      <c r="T200" s="1">
        <v>0</v>
      </c>
      <c r="U200" s="1">
        <f>Games[[#This Row],[PointsFor]]-Games[[#This Row],[PointsAgainst]]</f>
        <v>-8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0.3566290830983061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72.25</v>
      </c>
      <c r="Z200" s="4">
        <f>Games[[#This Row],[K]]*Games[[#This Row],[POMult]]</f>
        <v>72.25</v>
      </c>
      <c r="AA200" s="4">
        <f>(Games[[#This Row],[Keff]]*Games[[#This Row],[MOVMult]])*(Games[[#This Row],[Result]]-Games[[#This Row],[ExpectedWin%]])</f>
        <v>-6.4479736403132195</v>
      </c>
      <c r="AB200" s="4">
        <f>Games[[#This Row],[PreGmRate]]+Games[[#This Row],[RatingChange]]</f>
        <v>1510.1601101188182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35661</v>
      </c>
      <c r="B201" s="2">
        <v>1997</v>
      </c>
      <c r="C201" s="2">
        <f>COUNTIFS(Games[Team],Games[[#This Row],[Team]],Games[Season],Games[[#This Row],[Season]],Games[Date],"&lt;=" &amp; Games[[#This Row],[Date]])</f>
        <v>26</v>
      </c>
      <c r="D201" s="2" t="s">
        <v>23</v>
      </c>
      <c r="E201" s="2" t="s">
        <v>29</v>
      </c>
      <c r="F201" s="1" t="s">
        <v>2</v>
      </c>
      <c r="G201" s="1" t="s">
        <v>64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0</v>
      </c>
      <c r="L201" s="2">
        <f>Games[[#This Row],[OppDaysOff]]-Games[[#This Row],[DaysOff]]</f>
        <v>0</v>
      </c>
      <c r="M201" s="1">
        <f>MAX(-16, MIN(16, Games[[#This Row],[RestDiff]]*8))</f>
        <v>0</v>
      </c>
      <c r="N201" s="1">
        <f>MAX(-16, MIN(16, Games[[#This Row],[OppRestDiff]]*8))</f>
        <v>0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1623.22794200316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1516.6080837591314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0.74975313531586485</v>
      </c>
      <c r="R201" s="1">
        <v>77</v>
      </c>
      <c r="S201" s="1">
        <v>69</v>
      </c>
      <c r="T201" s="1">
        <v>0</v>
      </c>
      <c r="U201" s="1">
        <f>Games[[#This Row],[PointsFor]]-Games[[#This Row],[PointsAgainst]]</f>
        <v>8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0.3566290830983061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72.099999999999994</v>
      </c>
      <c r="Z201" s="4">
        <f>Games[[#This Row],[K]]*Games[[#This Row],[POMult]]</f>
        <v>72.099999999999994</v>
      </c>
      <c r="AA201" s="4">
        <f>(Games[[#This Row],[Keff]]*Games[[#This Row],[MOVMult]])*(Games[[#This Row],[Result]]-Games[[#This Row],[ExpectedWin%]])</f>
        <v>6.4345868438281402</v>
      </c>
      <c r="AB201" s="4">
        <f>Games[[#This Row],[PreGmRate]]+Games[[#This Row],[RatingChange]]</f>
        <v>1629.6625288469882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35661</v>
      </c>
      <c r="B202" s="2">
        <v>1997</v>
      </c>
      <c r="C202" s="2">
        <f>COUNTIFS(Games[Team],Games[[#This Row],[Team]],Games[Season],Games[[#This Row],[Season]],Games[Date],"&lt;=" &amp; Games[[#This Row],[Date]])</f>
        <v>25</v>
      </c>
      <c r="D202" s="2" t="s">
        <v>23</v>
      </c>
      <c r="E202" s="2" t="s">
        <v>29</v>
      </c>
      <c r="F202" s="1" t="s">
        <v>66</v>
      </c>
      <c r="G202" s="1" t="s">
        <v>43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1524.7115783013257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1346.9090152664737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0.63180566187569875</v>
      </c>
      <c r="R202" s="1">
        <v>75</v>
      </c>
      <c r="S202" s="1">
        <v>81</v>
      </c>
      <c r="T202" s="1">
        <v>0</v>
      </c>
      <c r="U202" s="1">
        <f>Games[[#This Row],[PointsFor]]-Games[[#This Row],[PointsAgainst]]</f>
        <v>-6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0.30594870746987213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72.25</v>
      </c>
      <c r="Z202" s="4">
        <f>Games[[#This Row],[K]]*Games[[#This Row],[POMult]]</f>
        <v>72.25</v>
      </c>
      <c r="AA202" s="4">
        <f>(Games[[#This Row],[Keff]]*Games[[#This Row],[MOVMult]])*(Games[[#This Row],[Result]]-Games[[#This Row],[ExpectedWin%]])</f>
        <v>-13.965934076262986</v>
      </c>
      <c r="AB202" s="4">
        <f>Games[[#This Row],[PreGmRate]]+Games[[#This Row],[RatingChange]]</f>
        <v>1510.7456442250627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35661</v>
      </c>
      <c r="B203" s="2">
        <v>1997</v>
      </c>
      <c r="C203" s="2">
        <f>COUNTIFS(Games[Team],Games[[#This Row],[Team]],Games[Season],Games[[#This Row],[Season]],Games[Date],"&lt;=" &amp; Games[[#This Row],[Date]])</f>
        <v>26</v>
      </c>
      <c r="D203" s="2" t="s">
        <v>23</v>
      </c>
      <c r="E203" s="2" t="s">
        <v>29</v>
      </c>
      <c r="F203" s="1" t="s">
        <v>43</v>
      </c>
      <c r="G203" s="1" t="s">
        <v>66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1346.9090152664737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1524.7115783013257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0.36819433812430125</v>
      </c>
      <c r="R203" s="1">
        <v>81</v>
      </c>
      <c r="S203" s="1">
        <v>75</v>
      </c>
      <c r="T203" s="1">
        <v>0</v>
      </c>
      <c r="U203" s="1">
        <f>Games[[#This Row],[PointsFor]]-Games[[#This Row],[PointsAgainst]]</f>
        <v>6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0.30594870746987213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72.099999999999994</v>
      </c>
      <c r="Z203" s="4">
        <f>Games[[#This Row],[K]]*Games[[#This Row],[POMult]]</f>
        <v>72.099999999999994</v>
      </c>
      <c r="AA203" s="4">
        <f>(Games[[#This Row],[Keff]]*Games[[#This Row],[MOVMult]])*(Games[[#This Row],[Result]]-Games[[#This Row],[ExpectedWin%]])</f>
        <v>13.936939057419533</v>
      </c>
      <c r="AB203" s="4">
        <f>Games[[#This Row],[PreGmRate]]+Games[[#This Row],[RatingChange]]</f>
        <v>1360.8459543238932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35662</v>
      </c>
      <c r="B204" s="2">
        <v>1997</v>
      </c>
      <c r="C204" s="2">
        <f>COUNTIFS(Games[Team],Games[[#This Row],[Team]],Games[Season],Games[[#This Row],[Season]],Games[Date],"&lt;=" &amp; Games[[#This Row],[Date]])</f>
        <v>26</v>
      </c>
      <c r="D204" s="2" t="s">
        <v>23</v>
      </c>
      <c r="E204" s="2" t="s">
        <v>29</v>
      </c>
      <c r="F204" s="1" t="s">
        <v>66</v>
      </c>
      <c r="G204" s="1" t="s">
        <v>71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4" s="2">
        <f>Games[[#This Row],[DaysOff]]-Games[[#This Row],[OppDaysOff]]</f>
        <v>-1</v>
      </c>
      <c r="L204" s="2">
        <f>Games[[#This Row],[OppDaysOff]]-Games[[#This Row],[DaysOff]]</f>
        <v>1</v>
      </c>
      <c r="M204" s="1">
        <f>MAX(-16, MIN(16, Games[[#This Row],[RestDiff]]*8))</f>
        <v>-8</v>
      </c>
      <c r="N204" s="1">
        <f>MAX(-16, MIN(16, Games[[#This Row],[OppRestDiff]]*8))</f>
        <v>8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1510.7456442250627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1525.7381504889352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0.34030168998455063</v>
      </c>
      <c r="R204" s="1">
        <v>76</v>
      </c>
      <c r="S204" s="1">
        <v>78</v>
      </c>
      <c r="T204" s="1">
        <v>0</v>
      </c>
      <c r="U204" s="1">
        <f>Games[[#This Row],[PointsFor]]-Games[[#This Row],[PointsAgainst]]</f>
        <v>-2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0.26453626941284197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72.099999999999994</v>
      </c>
      <c r="Z204" s="4">
        <f>Games[[#This Row],[K]]*Games[[#This Row],[POMult]]</f>
        <v>72.099999999999994</v>
      </c>
      <c r="AA204" s="4">
        <f>(Games[[#This Row],[Keff]]*Games[[#This Row],[MOVMult]])*(Games[[#This Row],[Result]]-Games[[#This Row],[ExpectedWin%]])</f>
        <v>-6.4905962610790322</v>
      </c>
      <c r="AB204" s="4">
        <f>Games[[#This Row],[PreGmRate]]+Games[[#This Row],[RatingChange]]</f>
        <v>1504.2550479639838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35662</v>
      </c>
      <c r="B205" s="2">
        <v>1997</v>
      </c>
      <c r="C205" s="2">
        <f>COUNTIFS(Games[Team],Games[[#This Row],[Team]],Games[Season],Games[[#This Row],[Season]],Games[Date],"&lt;=" &amp; Games[[#This Row],[Date]])</f>
        <v>26</v>
      </c>
      <c r="D205" s="2" t="s">
        <v>23</v>
      </c>
      <c r="E205" s="2" t="s">
        <v>29</v>
      </c>
      <c r="F205" s="1" t="s">
        <v>71</v>
      </c>
      <c r="G205" s="1" t="s">
        <v>66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5" s="2">
        <f>Games[[#This Row],[DaysOff]]-Games[[#This Row],[OppDaysOff]]</f>
        <v>1</v>
      </c>
      <c r="L205" s="2">
        <f>Games[[#This Row],[OppDaysOff]]-Games[[#This Row],[DaysOff]]</f>
        <v>-1</v>
      </c>
      <c r="M205" s="1">
        <f>MAX(-16, MIN(16, Games[[#This Row],[RestDiff]]*8))</f>
        <v>8</v>
      </c>
      <c r="N205" s="1">
        <f>MAX(-16, MIN(16, Games[[#This Row],[OppRestDiff]]*8))</f>
        <v>-8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1525.7381504889352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1510.7456442250627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0.65969831001544932</v>
      </c>
      <c r="R205" s="1">
        <v>78</v>
      </c>
      <c r="S205" s="1">
        <v>76</v>
      </c>
      <c r="T205" s="1">
        <v>0</v>
      </c>
      <c r="U205" s="1">
        <f>Games[[#This Row],[PointsFor]]-Games[[#This Row],[PointsAgainst]]</f>
        <v>2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0.26453626941284197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72.099999999999994</v>
      </c>
      <c r="Z205" s="4">
        <f>Games[[#This Row],[K]]*Games[[#This Row],[POMult]]</f>
        <v>72.099999999999994</v>
      </c>
      <c r="AA205" s="4">
        <f>(Games[[#This Row],[Keff]]*Games[[#This Row],[MOVMult]])*(Games[[#This Row],[Result]]-Games[[#This Row],[ExpectedWin%]])</f>
        <v>6.4905962610790331</v>
      </c>
      <c r="AB205" s="4">
        <f>Games[[#This Row],[PreGmRate]]+Games[[#This Row],[RatingChange]]</f>
        <v>1532.2287467500141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35662</v>
      </c>
      <c r="B206" s="2">
        <v>1997</v>
      </c>
      <c r="C206" s="2">
        <f>COUNTIFS(Games[Team],Games[[#This Row],[Team]],Games[Season],Games[[#This Row],[Season]],Games[Date],"&lt;=" &amp; Games[[#This Row],[Date]])</f>
        <v>26</v>
      </c>
      <c r="D206" s="2" t="s">
        <v>23</v>
      </c>
      <c r="E206" s="2" t="s">
        <v>29</v>
      </c>
      <c r="F206" s="1" t="s">
        <v>44</v>
      </c>
      <c r="G206" s="1" t="s">
        <v>45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6" s="2">
        <f>Games[[#This Row],[DaysOff]]-Games[[#This Row],[OppDaysOff]]</f>
        <v>-3</v>
      </c>
      <c r="L206" s="2">
        <f>Games[[#This Row],[OppDaysOff]]-Games[[#This Row],[DaysOff]]</f>
        <v>3</v>
      </c>
      <c r="M206" s="1">
        <f>MAX(-16, MIN(16, Games[[#This Row],[RestDiff]]*8))</f>
        <v>-16</v>
      </c>
      <c r="N206" s="1">
        <f>MAX(-16, MIN(16, Games[[#This Row],[OppRestDiff]]*8))</f>
        <v>16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1515.9879183846328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1412.2724388161778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0.48232851747146865</v>
      </c>
      <c r="R206" s="1">
        <v>69</v>
      </c>
      <c r="S206" s="1">
        <v>54</v>
      </c>
      <c r="T206" s="1">
        <v>0</v>
      </c>
      <c r="U206" s="1">
        <f>Games[[#This Row],[PointsFor]]-Games[[#This Row],[PointsAgainst]]</f>
        <v>15</v>
      </c>
      <c r="V206" s="1">
        <f>IF(Games[[#This Row],[MOV]]&gt;0,1,IF(Games[[#This Row],[MOV]]=0,0.5,0))</f>
        <v>1</v>
      </c>
      <c r="W206" s="4">
        <f>((ABS(Games[[#This Row],[MOV]])+5)^0.6)/(12+0.01*(ABS(Games[[#This Row],[PreGmRate]]-Games[[#This Row],[OppPreGmRate]])))*IF(Games[[#This Row],[OT]]=1,0.9,1)</f>
        <v>0.46284457238649529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72.099999999999994</v>
      </c>
      <c r="Z206" s="4">
        <f>Games[[#This Row],[K]]*Games[[#This Row],[POMult]]</f>
        <v>72.099999999999994</v>
      </c>
      <c r="AA206" s="4">
        <f>(Games[[#This Row],[Keff]]*Games[[#This Row],[MOVMult]])*(Games[[#This Row],[Result]]-Games[[#This Row],[ExpectedWin%]])</f>
        <v>17.275263533264042</v>
      </c>
      <c r="AB206" s="4">
        <f>Games[[#This Row],[PreGmRate]]+Games[[#This Row],[RatingChange]]</f>
        <v>1533.2631819178969</v>
      </c>
      <c r="AC206" s="2">
        <f>IF(Games[[#This Row],[Type]]="R",IF(Games[[#This Row],[Result]]&gt;0.5,1,0),0)</f>
        <v>1</v>
      </c>
      <c r="AD206" s="2">
        <f>IF(Games[[#This Row],[Type]]="R",IF(Games[[#This Row],[Result]]&lt;0.5,1,0),0)</f>
        <v>0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35662</v>
      </c>
      <c r="B207" s="2">
        <v>1997</v>
      </c>
      <c r="C207" s="2">
        <f>COUNTIFS(Games[Team],Games[[#This Row],[Team]],Games[Season],Games[[#This Row],[Season]],Games[Date],"&lt;=" &amp; Games[[#This Row],[Date]])</f>
        <v>26</v>
      </c>
      <c r="D207" s="2" t="s">
        <v>23</v>
      </c>
      <c r="E207" s="2" t="s">
        <v>29</v>
      </c>
      <c r="F207" s="1" t="s">
        <v>45</v>
      </c>
      <c r="G207" s="1" t="s">
        <v>44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3</v>
      </c>
      <c r="L207" s="2">
        <f>Games[[#This Row],[OppDaysOff]]-Games[[#This Row],[DaysOff]]</f>
        <v>-3</v>
      </c>
      <c r="M207" s="1">
        <f>MAX(-16, MIN(16, Games[[#This Row],[RestDiff]]*8))</f>
        <v>16</v>
      </c>
      <c r="N207" s="1">
        <f>MAX(-16, MIN(16, Games[[#This Row],[OppRestDiff]]*8))</f>
        <v>-16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1412.2724388161778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1515.9879183846328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0.51767148252853135</v>
      </c>
      <c r="R207" s="1">
        <v>54</v>
      </c>
      <c r="S207" s="1">
        <v>69</v>
      </c>
      <c r="T207" s="1">
        <v>0</v>
      </c>
      <c r="U207" s="1">
        <f>Games[[#This Row],[PointsFor]]-Games[[#This Row],[PointsAgainst]]</f>
        <v>-15</v>
      </c>
      <c r="V207" s="1">
        <f>IF(Games[[#This Row],[MOV]]&gt;0,1,IF(Games[[#This Row],[MOV]]=0,0.5,0))</f>
        <v>0</v>
      </c>
      <c r="W207" s="4">
        <f>((ABS(Games[[#This Row],[MOV]])+5)^0.6)/(12+0.01*(ABS(Games[[#This Row],[PreGmRate]]-Games[[#This Row],[OppPreGmRate]])))*IF(Games[[#This Row],[OT]]=1,0.9,1)</f>
        <v>0.46284457238649529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72.099999999999994</v>
      </c>
      <c r="Z207" s="4">
        <f>Games[[#This Row],[K]]*Games[[#This Row],[POMult]]</f>
        <v>72.099999999999994</v>
      </c>
      <c r="AA207" s="4">
        <f>(Games[[#This Row],[Keff]]*Games[[#This Row],[MOVMult]])*(Games[[#This Row],[Result]]-Games[[#This Row],[ExpectedWin%]])</f>
        <v>-17.275263533264042</v>
      </c>
      <c r="AB207" s="4">
        <f>Games[[#This Row],[PreGmRate]]+Games[[#This Row],[RatingChange]]</f>
        <v>1394.9971752829138</v>
      </c>
      <c r="AC207" s="2">
        <f>IF(Games[[#This Row],[Type]]="R",IF(Games[[#This Row],[Result]]&gt;0.5,1,0),0)</f>
        <v>0</v>
      </c>
      <c r="AD207" s="2">
        <f>IF(Games[[#This Row],[Type]]="R",IF(Games[[#This Row],[Result]]&lt;0.5,1,0),0)</f>
        <v>1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35663</v>
      </c>
      <c r="B208" s="2">
        <v>1997</v>
      </c>
      <c r="C208" s="2">
        <f>COUNTIFS(Games[Team],Games[[#This Row],[Team]],Games[Season],Games[[#This Row],[Season]],Games[Date],"&lt;=" &amp; Games[[#This Row],[Date]])</f>
        <v>26</v>
      </c>
      <c r="D208" s="2" t="s">
        <v>23</v>
      </c>
      <c r="E208" s="2" t="s">
        <v>29</v>
      </c>
      <c r="F208" s="1" t="s">
        <v>1</v>
      </c>
      <c r="G208" s="1" t="s">
        <v>2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2</v>
      </c>
      <c r="L208" s="2">
        <f>Games[[#This Row],[OppDaysOff]]-Games[[#This Row],[DaysOff]]</f>
        <v>-2</v>
      </c>
      <c r="M208" s="1">
        <f>MAX(-16, MIN(16, Games[[#This Row],[RestDiff]]*8))</f>
        <v>16</v>
      </c>
      <c r="N208" s="1">
        <f>MAX(-16, MIN(16, Games[[#This Row],[OppRestDiff]]*8))</f>
        <v>-16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1534.5618802621427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1629.6625288469882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0.30010888765398708</v>
      </c>
      <c r="R208" s="1">
        <v>76</v>
      </c>
      <c r="S208" s="1">
        <v>75</v>
      </c>
      <c r="T208" s="1">
        <v>0</v>
      </c>
      <c r="U208" s="1">
        <f>Games[[#This Row],[PointsFor]]-Games[[#This Row],[PointsAgainst]]</f>
        <v>1</v>
      </c>
      <c r="V208" s="1">
        <f>IF(Games[[#This Row],[MOV]]&gt;0,1,IF(Games[[#This Row],[MOV]]=0,0.5,0))</f>
        <v>1</v>
      </c>
      <c r="W208" s="4">
        <f>((ABS(Games[[#This Row],[MOV]])+5)^0.6)/(12+0.01*(ABS(Games[[#This Row],[PreGmRate]]-Games[[#This Row],[OppPreGmRate]])))*IF(Games[[#This Row],[OT]]=1,0.9,1)</f>
        <v>0.22624929226815679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72.099999999999994</v>
      </c>
      <c r="Z208" s="4">
        <f>Games[[#This Row],[K]]*Games[[#This Row],[POMult]]</f>
        <v>72.099999999999994</v>
      </c>
      <c r="AA208" s="4">
        <f>(Games[[#This Row],[Keff]]*Games[[#This Row],[MOVMult]])*(Games[[#This Row],[Result]]-Games[[#This Row],[ExpectedWin%]])</f>
        <v>11.417025542863513</v>
      </c>
      <c r="AB208" s="4">
        <f>Games[[#This Row],[PreGmRate]]+Games[[#This Row],[RatingChange]]</f>
        <v>1545.9789058050062</v>
      </c>
      <c r="AC208" s="2">
        <f>IF(Games[[#This Row],[Type]]="R",IF(Games[[#This Row],[Result]]&gt;0.5,1,0),0)</f>
        <v>1</v>
      </c>
      <c r="AD208" s="2">
        <f>IF(Games[[#This Row],[Type]]="R",IF(Games[[#This Row],[Result]]&lt;0.5,1,0),0)</f>
        <v>0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35663</v>
      </c>
      <c r="B209" s="2">
        <v>1997</v>
      </c>
      <c r="C209" s="2">
        <f>COUNTIFS(Games[Team],Games[[#This Row],[Team]],Games[Season],Games[[#This Row],[Season]],Games[Date],"&lt;=" &amp; Games[[#This Row],[Date]])</f>
        <v>27</v>
      </c>
      <c r="D209" s="2" t="s">
        <v>23</v>
      </c>
      <c r="E209" s="2" t="s">
        <v>29</v>
      </c>
      <c r="F209" s="1" t="s">
        <v>2</v>
      </c>
      <c r="G209" s="1" t="s">
        <v>1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9" s="2">
        <f>Games[[#This Row],[DaysOff]]-Games[[#This Row],[OppDaysOff]]</f>
        <v>-2</v>
      </c>
      <c r="L209" s="2">
        <f>Games[[#This Row],[OppDaysOff]]-Games[[#This Row],[DaysOff]]</f>
        <v>2</v>
      </c>
      <c r="M209" s="1">
        <f>MAX(-16, MIN(16, Games[[#This Row],[RestDiff]]*8))</f>
        <v>-16</v>
      </c>
      <c r="N209" s="1">
        <f>MAX(-16, MIN(16, Games[[#This Row],[OppRestDiff]]*8))</f>
        <v>16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1629.6625288469882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1534.5618802621427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0.69989111234601298</v>
      </c>
      <c r="R209" s="1">
        <v>75</v>
      </c>
      <c r="S209" s="1">
        <v>76</v>
      </c>
      <c r="T209" s="1">
        <v>0</v>
      </c>
      <c r="U209" s="1">
        <f>Games[[#This Row],[PointsFor]]-Games[[#This Row],[PointsAgainst]]</f>
        <v>-1</v>
      </c>
      <c r="V209" s="1">
        <f>IF(Games[[#This Row],[MOV]]&gt;0,1,IF(Games[[#This Row],[MOV]]=0,0.5,0))</f>
        <v>0</v>
      </c>
      <c r="W209" s="4">
        <f>((ABS(Games[[#This Row],[MOV]])+5)^0.6)/(12+0.01*(ABS(Games[[#This Row],[PreGmRate]]-Games[[#This Row],[OppPreGmRate]])))*IF(Games[[#This Row],[OT]]=1,0.9,1)</f>
        <v>0.22624929226815679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71.95</v>
      </c>
      <c r="Z209" s="4">
        <f>Games[[#This Row],[K]]*Games[[#This Row],[POMult]]</f>
        <v>71.95</v>
      </c>
      <c r="AA209" s="4">
        <f>(Games[[#This Row],[Keff]]*Games[[#This Row],[MOVMult]])*(Games[[#This Row],[Result]]-Games[[#This Row],[ExpectedWin%]])</f>
        <v>-11.393273062538555</v>
      </c>
      <c r="AB209" s="4">
        <f>Games[[#This Row],[PreGmRate]]+Games[[#This Row],[RatingChange]]</f>
        <v>1618.2692557844496</v>
      </c>
      <c r="AC209" s="2">
        <f>IF(Games[[#This Row],[Type]]="R",IF(Games[[#This Row],[Result]]&gt;0.5,1,0),0)</f>
        <v>0</v>
      </c>
      <c r="AD209" s="2">
        <f>IF(Games[[#This Row],[Type]]="R",IF(Games[[#This Row],[Result]]&lt;0.5,1,0),0)</f>
        <v>1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35663</v>
      </c>
      <c r="B210" s="2">
        <v>1997</v>
      </c>
      <c r="C210" s="2">
        <f>COUNTIFS(Games[Team],Games[[#This Row],[Team]],Games[Season],Games[[#This Row],[Season]],Games[Date],"&lt;=" &amp; Games[[#This Row],[Date]])</f>
        <v>26</v>
      </c>
      <c r="D210" s="2" t="s">
        <v>23</v>
      </c>
      <c r="E210" s="2" t="s">
        <v>29</v>
      </c>
      <c r="F210" s="1" t="s">
        <v>64</v>
      </c>
      <c r="G210" s="1" t="s">
        <v>43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1510.1601101188182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1360.8459543238932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0.59290280194378642</v>
      </c>
      <c r="R210" s="1">
        <v>66</v>
      </c>
      <c r="S210" s="1">
        <v>56</v>
      </c>
      <c r="T210" s="1">
        <v>0</v>
      </c>
      <c r="U210" s="1">
        <f>Games[[#This Row],[PointsFor]]-Games[[#This Row],[PointsAgainst]]</f>
        <v>10</v>
      </c>
      <c r="V210" s="1">
        <f>IF(Games[[#This Row],[MOV]]&gt;0,1,IF(Games[[#This Row],[MOV]]=0,0.5,0))</f>
        <v>1</v>
      </c>
      <c r="W210" s="4">
        <f>((ABS(Games[[#This Row],[MOV]])+5)^0.6)/(12+0.01*(ABS(Games[[#This Row],[PreGmRate]]-Games[[#This Row],[OppPreGmRate]])))*IF(Games[[#This Row],[OT]]=1,0.9,1)</f>
        <v>0.37630646430119552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72.099999999999994</v>
      </c>
      <c r="Z210" s="4">
        <f>Games[[#This Row],[K]]*Games[[#This Row],[POMult]]</f>
        <v>72.099999999999994</v>
      </c>
      <c r="AA210" s="4">
        <f>(Games[[#This Row],[Keff]]*Games[[#This Row],[MOVMult]])*(Games[[#This Row],[Result]]-Games[[#This Row],[ExpectedWin%]])</f>
        <v>11.045237451099668</v>
      </c>
      <c r="AB210" s="4">
        <f>Games[[#This Row],[PreGmRate]]+Games[[#This Row],[RatingChange]]</f>
        <v>1521.2053475699179</v>
      </c>
      <c r="AC210" s="2">
        <f>IF(Games[[#This Row],[Type]]="R",IF(Games[[#This Row],[Result]]&gt;0.5,1,0),0)</f>
        <v>1</v>
      </c>
      <c r="AD210" s="2">
        <f>IF(Games[[#This Row],[Type]]="R",IF(Games[[#This Row],[Result]]&lt;0.5,1,0),0)</f>
        <v>0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35663</v>
      </c>
      <c r="B211" s="2">
        <v>1997</v>
      </c>
      <c r="C211" s="2">
        <f>COUNTIFS(Games[Team],Games[[#This Row],[Team]],Games[Season],Games[[#This Row],[Season]],Games[Date],"&lt;=" &amp; Games[[#This Row],[Date]])</f>
        <v>27</v>
      </c>
      <c r="D211" s="2" t="s">
        <v>23</v>
      </c>
      <c r="E211" s="2" t="s">
        <v>29</v>
      </c>
      <c r="F211" s="1" t="s">
        <v>43</v>
      </c>
      <c r="G211" s="1" t="s">
        <v>64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1360.8459543238932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1510.1601101188182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0.40709719805621364</v>
      </c>
      <c r="R211" s="1">
        <v>56</v>
      </c>
      <c r="S211" s="1">
        <v>66</v>
      </c>
      <c r="T211" s="1">
        <v>0</v>
      </c>
      <c r="U211" s="1">
        <f>Games[[#This Row],[PointsFor]]-Games[[#This Row],[PointsAgainst]]</f>
        <v>-10</v>
      </c>
      <c r="V211" s="1">
        <f>IF(Games[[#This Row],[MOV]]&gt;0,1,IF(Games[[#This Row],[MOV]]=0,0.5,0))</f>
        <v>0</v>
      </c>
      <c r="W211" s="4">
        <f>((ABS(Games[[#This Row],[MOV]])+5)^0.6)/(12+0.01*(ABS(Games[[#This Row],[PreGmRate]]-Games[[#This Row],[OppPreGmRate]])))*IF(Games[[#This Row],[OT]]=1,0.9,1)</f>
        <v>0.37630646430119552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71.95</v>
      </c>
      <c r="Z211" s="4">
        <f>Games[[#This Row],[K]]*Games[[#This Row],[POMult]]</f>
        <v>71.95</v>
      </c>
      <c r="AA211" s="4">
        <f>(Games[[#This Row],[Keff]]*Games[[#This Row],[MOVMult]])*(Games[[#This Row],[Result]]-Games[[#This Row],[ExpectedWin%]])</f>
        <v>-11.022258455015551</v>
      </c>
      <c r="AB211" s="4">
        <f>Games[[#This Row],[PreGmRate]]+Games[[#This Row],[RatingChange]]</f>
        <v>1349.8236958688776</v>
      </c>
      <c r="AC211" s="2">
        <f>IF(Games[[#This Row],[Type]]="R",IF(Games[[#This Row],[Result]]&gt;0.5,1,0),0)</f>
        <v>0</v>
      </c>
      <c r="AD211" s="2">
        <f>IF(Games[[#This Row],[Type]]="R",IF(Games[[#This Row],[Result]]&lt;0.5,1,0),0)</f>
        <v>1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35664</v>
      </c>
      <c r="B212" s="2">
        <v>1997</v>
      </c>
      <c r="C212" s="2">
        <f>COUNTIFS(Games[Team],Games[[#This Row],[Team]],Games[Season],Games[[#This Row],[Season]],Games[Date],"&lt;=" &amp; Games[[#This Row],[Date]])</f>
        <v>27</v>
      </c>
      <c r="D212" s="2" t="s">
        <v>23</v>
      </c>
      <c r="E212" s="2" t="s">
        <v>29</v>
      </c>
      <c r="F212" s="1" t="s">
        <v>45</v>
      </c>
      <c r="G212" s="1" t="s">
        <v>71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0</v>
      </c>
      <c r="L212" s="2">
        <f>Games[[#This Row],[OppDaysOff]]-Games[[#This Row],[DaysOff]]</f>
        <v>0</v>
      </c>
      <c r="M212" s="1">
        <f>MAX(-16, MIN(16, Games[[#This Row],[RestDiff]]*8))</f>
        <v>0</v>
      </c>
      <c r="N212" s="1">
        <f>MAX(-16, MIN(16, Games[[#This Row],[OppRestDiff]]*8))</f>
        <v>0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1394.9971752829138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1532.2287467500141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0.21865676860349398</v>
      </c>
      <c r="R212" s="1">
        <v>77</v>
      </c>
      <c r="S212" s="1">
        <v>88</v>
      </c>
      <c r="T212" s="1">
        <v>0</v>
      </c>
      <c r="U212" s="1">
        <f>Games[[#This Row],[PointsFor]]-Games[[#This Row],[PointsAgainst]]</f>
        <v>-11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0.39469840196047384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71.95</v>
      </c>
      <c r="Z212" s="4">
        <f>Games[[#This Row],[K]]*Games[[#This Row],[POMult]]</f>
        <v>71.95</v>
      </c>
      <c r="AA212" s="4">
        <f>(Games[[#This Row],[Keff]]*Games[[#This Row],[MOVMult]])*(Games[[#This Row],[Result]]-Games[[#This Row],[ExpectedWin%]])</f>
        <v>-6.2095351806288122</v>
      </c>
      <c r="AB212" s="4">
        <f>Games[[#This Row],[PreGmRate]]+Games[[#This Row],[RatingChange]]</f>
        <v>1388.787640102285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35664</v>
      </c>
      <c r="B213" s="2">
        <v>1997</v>
      </c>
      <c r="C213" s="2">
        <f>COUNTIFS(Games[Team],Games[[#This Row],[Team]],Games[Season],Games[[#This Row],[Season]],Games[Date],"&lt;=" &amp; Games[[#This Row],[Date]])</f>
        <v>27</v>
      </c>
      <c r="D213" s="2" t="s">
        <v>23</v>
      </c>
      <c r="E213" s="2" t="s">
        <v>29</v>
      </c>
      <c r="F213" s="1" t="s">
        <v>71</v>
      </c>
      <c r="G213" s="1" t="s">
        <v>45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0</v>
      </c>
      <c r="L213" s="2">
        <f>Games[[#This Row],[OppDaysOff]]-Games[[#This Row],[DaysOff]]</f>
        <v>0</v>
      </c>
      <c r="M213" s="1">
        <f>MAX(-16, MIN(16, Games[[#This Row],[RestDiff]]*8))</f>
        <v>0</v>
      </c>
      <c r="N213" s="1">
        <f>MAX(-16, MIN(16, Games[[#This Row],[OppRestDiff]]*8))</f>
        <v>0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1532.2287467500141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1394.9971752829138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0.78134323139650597</v>
      </c>
      <c r="R213" s="1">
        <v>88</v>
      </c>
      <c r="S213" s="1">
        <v>77</v>
      </c>
      <c r="T213" s="1">
        <v>0</v>
      </c>
      <c r="U213" s="1">
        <f>Games[[#This Row],[PointsFor]]-Games[[#This Row],[PointsAgainst]]</f>
        <v>11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0.39469840196047384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71.95</v>
      </c>
      <c r="Z213" s="4">
        <f>Games[[#This Row],[K]]*Games[[#This Row],[POMult]]</f>
        <v>71.95</v>
      </c>
      <c r="AA213" s="4">
        <f>(Games[[#This Row],[Keff]]*Games[[#This Row],[MOVMult]])*(Games[[#This Row],[Result]]-Games[[#This Row],[ExpectedWin%]])</f>
        <v>6.209535180628813</v>
      </c>
      <c r="AB213" s="4">
        <f>Games[[#This Row],[PreGmRate]]+Games[[#This Row],[RatingChange]]</f>
        <v>1538.4382819306429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35664</v>
      </c>
      <c r="B214" s="2">
        <v>1997</v>
      </c>
      <c r="C214" s="2">
        <f>COUNTIFS(Games[Team],Games[[#This Row],[Team]],Games[Season],Games[[#This Row],[Season]],Games[Date],"&lt;=" &amp; Games[[#This Row],[Date]])</f>
        <v>27</v>
      </c>
      <c r="D214" s="2" t="s">
        <v>23</v>
      </c>
      <c r="E214" s="2" t="s">
        <v>29</v>
      </c>
      <c r="F214" s="1" t="s">
        <v>64</v>
      </c>
      <c r="G214" s="1" t="s">
        <v>44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-1</v>
      </c>
      <c r="L214" s="2">
        <f>Games[[#This Row],[OppDaysOff]]-Games[[#This Row],[DaysOff]]</f>
        <v>1</v>
      </c>
      <c r="M214" s="1">
        <f>MAX(-16, MIN(16, Games[[#This Row],[RestDiff]]*8))</f>
        <v>-8</v>
      </c>
      <c r="N214" s="1">
        <f>MAX(-16, MIN(16, Games[[#This Row],[OppRestDiff]]*8))</f>
        <v>8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1521.2053475699179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1533.2631819178969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0.34410435100763376</v>
      </c>
      <c r="R214" s="1">
        <v>63</v>
      </c>
      <c r="S214" s="1">
        <v>78</v>
      </c>
      <c r="T214" s="1">
        <v>0</v>
      </c>
      <c r="U214" s="1">
        <f>Games[[#This Row],[PointsFor]]-Games[[#This Row],[PointsAgainst]]</f>
        <v>-15</v>
      </c>
      <c r="V214" s="1">
        <f>IF(Games[[#This Row],[MOV]]&gt;0,1,IF(Games[[#This Row],[MOV]]=0,0.5,0))</f>
        <v>0</v>
      </c>
      <c r="W214" s="4">
        <f>((ABS(Games[[#This Row],[MOV]])+5)^0.6)/(12+0.01*(ABS(Games[[#This Row],[PreGmRate]]-Games[[#This Row],[OppPreGmRate]])))*IF(Games[[#This Row],[OT]]=1,0.9,1)</f>
        <v>0.49784557844892108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71.95</v>
      </c>
      <c r="Z214" s="4">
        <f>Games[[#This Row],[K]]*Games[[#This Row],[POMult]]</f>
        <v>71.95</v>
      </c>
      <c r="AA214" s="4">
        <f>(Games[[#This Row],[Keff]]*Games[[#This Row],[MOVMult]])*(Games[[#This Row],[Result]]-Games[[#This Row],[ExpectedWin%]])</f>
        <v>-12.325814195057683</v>
      </c>
      <c r="AB214" s="4">
        <f>Games[[#This Row],[PreGmRate]]+Games[[#This Row],[RatingChange]]</f>
        <v>1508.8795333748601</v>
      </c>
      <c r="AC214" s="2">
        <f>IF(Games[[#This Row],[Type]]="R",IF(Games[[#This Row],[Result]]&gt;0.5,1,0),0)</f>
        <v>0</v>
      </c>
      <c r="AD214" s="2">
        <f>IF(Games[[#This Row],[Type]]="R",IF(Games[[#This Row],[Result]]&lt;0.5,1,0),0)</f>
        <v>1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35664</v>
      </c>
      <c r="B215" s="2">
        <v>1997</v>
      </c>
      <c r="C215" s="2">
        <f>COUNTIFS(Games[Team],Games[[#This Row],[Team]],Games[Season],Games[[#This Row],[Season]],Games[Date],"&lt;=" &amp; Games[[#This Row],[Date]])</f>
        <v>27</v>
      </c>
      <c r="D215" s="2" t="s">
        <v>23</v>
      </c>
      <c r="E215" s="2" t="s">
        <v>29</v>
      </c>
      <c r="F215" s="1" t="s">
        <v>44</v>
      </c>
      <c r="G215" s="1" t="s">
        <v>64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5" s="2">
        <f>Games[[#This Row],[DaysOff]]-Games[[#This Row],[OppDaysOff]]</f>
        <v>1</v>
      </c>
      <c r="L215" s="2">
        <f>Games[[#This Row],[OppDaysOff]]-Games[[#This Row],[DaysOff]]</f>
        <v>-1</v>
      </c>
      <c r="M215" s="1">
        <f>MAX(-16, MIN(16, Games[[#This Row],[RestDiff]]*8))</f>
        <v>8</v>
      </c>
      <c r="N215" s="1">
        <f>MAX(-16, MIN(16, Games[[#This Row],[OppRestDiff]]*8))</f>
        <v>-8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1533.2631819178969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1521.2053475699179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0.6558956489923663</v>
      </c>
      <c r="R215" s="1">
        <v>78</v>
      </c>
      <c r="S215" s="1">
        <v>63</v>
      </c>
      <c r="T215" s="1">
        <v>0</v>
      </c>
      <c r="U215" s="1">
        <f>Games[[#This Row],[PointsFor]]-Games[[#This Row],[PointsAgainst]]</f>
        <v>15</v>
      </c>
      <c r="V215" s="1">
        <f>IF(Games[[#This Row],[MOV]]&gt;0,1,IF(Games[[#This Row],[MOV]]=0,0.5,0))</f>
        <v>1</v>
      </c>
      <c r="W215" s="4">
        <f>((ABS(Games[[#This Row],[MOV]])+5)^0.6)/(12+0.01*(ABS(Games[[#This Row],[PreGmRate]]-Games[[#This Row],[OppPreGmRate]])))*IF(Games[[#This Row],[OT]]=1,0.9,1)</f>
        <v>0.49784557844892108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71.95</v>
      </c>
      <c r="Z215" s="4">
        <f>Games[[#This Row],[K]]*Games[[#This Row],[POMult]]</f>
        <v>71.95</v>
      </c>
      <c r="AA215" s="4">
        <f>(Games[[#This Row],[Keff]]*Games[[#This Row],[MOVMult]])*(Games[[#This Row],[Result]]-Games[[#This Row],[ExpectedWin%]])</f>
        <v>12.325814195057681</v>
      </c>
      <c r="AB215" s="4">
        <f>Games[[#This Row],[PreGmRate]]+Games[[#This Row],[RatingChange]]</f>
        <v>1545.5889961129546</v>
      </c>
      <c r="AC215" s="2">
        <f>IF(Games[[#This Row],[Type]]="R",IF(Games[[#This Row],[Result]]&gt;0.5,1,0),0)</f>
        <v>1</v>
      </c>
      <c r="AD215" s="2">
        <f>IF(Games[[#This Row],[Type]]="R",IF(Games[[#This Row],[Result]]&lt;0.5,1,0),0)</f>
        <v>0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35665</v>
      </c>
      <c r="B216" s="2">
        <v>1997</v>
      </c>
      <c r="C216" s="2">
        <f>COUNTIFS(Games[Team],Games[[#This Row],[Team]],Games[Season],Games[[#This Row],[Season]],Games[Date],"&lt;=" &amp; Games[[#This Row],[Date]])</f>
        <v>27</v>
      </c>
      <c r="D216" s="2" t="s">
        <v>23</v>
      </c>
      <c r="E216" s="2" t="s">
        <v>29</v>
      </c>
      <c r="F216" s="1" t="s">
        <v>66</v>
      </c>
      <c r="G216" s="1" t="s">
        <v>1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6" s="2">
        <f>Games[[#This Row],[DaysOff]]-Games[[#This Row],[OppDaysOff]]</f>
        <v>1</v>
      </c>
      <c r="L216" s="2">
        <f>Games[[#This Row],[OppDaysOff]]-Games[[#This Row],[DaysOff]]</f>
        <v>-1</v>
      </c>
      <c r="M216" s="1">
        <f>MAX(-16, MIN(16, Games[[#This Row],[RestDiff]]*8))</f>
        <v>8</v>
      </c>
      <c r="N216" s="1">
        <f>MAX(-16, MIN(16, Games[[#This Row],[OppRestDiff]]*8))</f>
        <v>-8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1504.2550479639838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1545.9789058050062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0.34714300423497879</v>
      </c>
      <c r="R216" s="1">
        <v>71</v>
      </c>
      <c r="S216" s="1">
        <v>72</v>
      </c>
      <c r="T216" s="1">
        <v>0</v>
      </c>
      <c r="U216" s="1">
        <f>Games[[#This Row],[PointsFor]]-Games[[#This Row],[PointsAgainst]]</f>
        <v>-1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0.23597485327197992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71.95</v>
      </c>
      <c r="Z216" s="4">
        <f>Games[[#This Row],[K]]*Games[[#This Row],[POMult]]</f>
        <v>71.95</v>
      </c>
      <c r="AA216" s="4">
        <f>(Games[[#This Row],[Keff]]*Games[[#This Row],[MOVMult]])*(Games[[#This Row],[Result]]-Games[[#This Row],[ExpectedWin%]])</f>
        <v>-5.8939295522150896</v>
      </c>
      <c r="AB216" s="4">
        <f>Games[[#This Row],[PreGmRate]]+Games[[#This Row],[RatingChange]]</f>
        <v>1498.3611184117688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35665</v>
      </c>
      <c r="B217" s="2">
        <v>1997</v>
      </c>
      <c r="C217" s="2">
        <f>COUNTIFS(Games[Team],Games[[#This Row],[Team]],Games[Season],Games[[#This Row],[Season]],Games[Date],"&lt;=" &amp; Games[[#This Row],[Date]])</f>
        <v>27</v>
      </c>
      <c r="D217" s="2" t="s">
        <v>23</v>
      </c>
      <c r="E217" s="2" t="s">
        <v>29</v>
      </c>
      <c r="F217" s="1" t="s">
        <v>1</v>
      </c>
      <c r="G217" s="1" t="s">
        <v>66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7" s="2">
        <f>Games[[#This Row],[DaysOff]]-Games[[#This Row],[OppDaysOff]]</f>
        <v>-1</v>
      </c>
      <c r="L217" s="2">
        <f>Games[[#This Row],[OppDaysOff]]-Games[[#This Row],[DaysOff]]</f>
        <v>1</v>
      </c>
      <c r="M217" s="1">
        <f>MAX(-16, MIN(16, Games[[#This Row],[RestDiff]]*8))</f>
        <v>-8</v>
      </c>
      <c r="N217" s="1">
        <f>MAX(-16, MIN(16, Games[[#This Row],[OppRestDiff]]*8))</f>
        <v>8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1545.9789058050062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1504.2550479639838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0.65285699576502132</v>
      </c>
      <c r="R217" s="1">
        <v>72</v>
      </c>
      <c r="S217" s="1">
        <v>71</v>
      </c>
      <c r="T217" s="1">
        <v>0</v>
      </c>
      <c r="U217" s="1">
        <f>Games[[#This Row],[PointsFor]]-Games[[#This Row],[PointsAgainst]]</f>
        <v>1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0.23597485327197992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71.95</v>
      </c>
      <c r="Z217" s="4">
        <f>Games[[#This Row],[K]]*Games[[#This Row],[POMult]]</f>
        <v>71.95</v>
      </c>
      <c r="AA217" s="4">
        <f>(Games[[#This Row],[Keff]]*Games[[#This Row],[MOVMult]])*(Games[[#This Row],[Result]]-Games[[#This Row],[ExpectedWin%]])</f>
        <v>5.8939295522150879</v>
      </c>
      <c r="AB217" s="4">
        <f>Games[[#This Row],[PreGmRate]]+Games[[#This Row],[RatingChange]]</f>
        <v>1551.8728353572212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35666</v>
      </c>
      <c r="B218" s="2">
        <v>1997</v>
      </c>
      <c r="C218" s="2">
        <f>COUNTIFS(Games[Team],Games[[#This Row],[Team]],Games[Season],Games[[#This Row],[Season]],Games[Date],"&lt;=" &amp; Games[[#This Row],[Date]])</f>
        <v>28</v>
      </c>
      <c r="D218" s="2" t="s">
        <v>23</v>
      </c>
      <c r="E218" s="2" t="s">
        <v>29</v>
      </c>
      <c r="F218" s="1" t="s">
        <v>43</v>
      </c>
      <c r="G218" s="1" t="s">
        <v>64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1</v>
      </c>
      <c r="L218" s="2">
        <f>Games[[#This Row],[OppDaysOff]]-Games[[#This Row],[DaysOff]]</f>
        <v>-1</v>
      </c>
      <c r="M218" s="1">
        <f>MAX(-16, MIN(16, Games[[#This Row],[RestDiff]]*8))</f>
        <v>8</v>
      </c>
      <c r="N218" s="1">
        <f>MAX(-16, MIN(16, Games[[#This Row],[OppRestDiff]]*8))</f>
        <v>-8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1349.8236958688776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1508.8795333748601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0.21298283775719076</v>
      </c>
      <c r="R218" s="1">
        <v>52</v>
      </c>
      <c r="S218" s="1">
        <v>70</v>
      </c>
      <c r="T218" s="1">
        <v>0</v>
      </c>
      <c r="U218" s="1">
        <f>Games[[#This Row],[PointsFor]]-Games[[#This Row],[PointsAgainst]]</f>
        <v>-18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0.48283573083780446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71.8</v>
      </c>
      <c r="Z218" s="4">
        <f>Games[[#This Row],[K]]*Games[[#This Row],[POMult]]</f>
        <v>71.8</v>
      </c>
      <c r="AA218" s="4">
        <f>(Games[[#This Row],[Keff]]*Games[[#This Row],[MOVMult]])*(Games[[#This Row],[Result]]-Games[[#This Row],[ExpectedWin%]])</f>
        <v>-7.3836049921321161</v>
      </c>
      <c r="AB218" s="4">
        <f>Games[[#This Row],[PreGmRate]]+Games[[#This Row],[RatingChange]]</f>
        <v>1342.4400908767454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35666</v>
      </c>
      <c r="B219" s="2">
        <v>1997</v>
      </c>
      <c r="C219" s="2">
        <f>COUNTIFS(Games[Team],Games[[#This Row],[Team]],Games[Season],Games[[#This Row],[Season]],Games[Date],"&lt;=" &amp; Games[[#This Row],[Date]])</f>
        <v>28</v>
      </c>
      <c r="D219" s="2" t="s">
        <v>23</v>
      </c>
      <c r="E219" s="2" t="s">
        <v>29</v>
      </c>
      <c r="F219" s="1" t="s">
        <v>64</v>
      </c>
      <c r="G219" s="1" t="s">
        <v>43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9" s="2">
        <f>Games[[#This Row],[DaysOff]]-Games[[#This Row],[OppDaysOff]]</f>
        <v>-1</v>
      </c>
      <c r="L219" s="2">
        <f>Games[[#This Row],[OppDaysOff]]-Games[[#This Row],[DaysOff]]</f>
        <v>1</v>
      </c>
      <c r="M219" s="1">
        <f>MAX(-16, MIN(16, Games[[#This Row],[RestDiff]]*8))</f>
        <v>-8</v>
      </c>
      <c r="N219" s="1">
        <f>MAX(-16, MIN(16, Games[[#This Row],[OppRestDiff]]*8))</f>
        <v>8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1508.8795333748601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1349.8236958688776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0.78701716224280915</v>
      </c>
      <c r="R219" s="1">
        <v>70</v>
      </c>
      <c r="S219" s="1">
        <v>52</v>
      </c>
      <c r="T219" s="1">
        <v>0</v>
      </c>
      <c r="U219" s="1">
        <f>Games[[#This Row],[PointsFor]]-Games[[#This Row],[PointsAgainst]]</f>
        <v>18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0.48283573083780446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71.8</v>
      </c>
      <c r="Z219" s="4">
        <f>Games[[#This Row],[K]]*Games[[#This Row],[POMult]]</f>
        <v>71.8</v>
      </c>
      <c r="AA219" s="4">
        <f>(Games[[#This Row],[Keff]]*Games[[#This Row],[MOVMult]])*(Games[[#This Row],[Result]]-Games[[#This Row],[ExpectedWin%]])</f>
        <v>7.3836049921321187</v>
      </c>
      <c r="AB219" s="4">
        <f>Games[[#This Row],[PreGmRate]]+Games[[#This Row],[RatingChange]]</f>
        <v>1516.2631383669923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35666</v>
      </c>
      <c r="B220" s="2">
        <v>1997</v>
      </c>
      <c r="C220" s="2">
        <f>COUNTIFS(Games[Team],Games[[#This Row],[Team]],Games[Season],Games[[#This Row],[Season]],Games[Date],"&lt;=" &amp; Games[[#This Row],[Date]])</f>
        <v>28</v>
      </c>
      <c r="D220" s="2" t="s">
        <v>23</v>
      </c>
      <c r="E220" s="2" t="s">
        <v>29</v>
      </c>
      <c r="F220" s="1" t="s">
        <v>45</v>
      </c>
      <c r="G220" s="1" t="s">
        <v>2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0" s="2">
        <f>Games[[#This Row],[DaysOff]]-Games[[#This Row],[OppDaysOff]]</f>
        <v>-1</v>
      </c>
      <c r="L220" s="2">
        <f>Games[[#This Row],[OppDaysOff]]-Games[[#This Row],[DaysOff]]</f>
        <v>1</v>
      </c>
      <c r="M220" s="1">
        <f>MAX(-16, MIN(16, Games[[#This Row],[RestDiff]]*8))</f>
        <v>-8</v>
      </c>
      <c r="N220" s="1">
        <f>MAX(-16, MIN(16, Games[[#This Row],[OppRestDiff]]*8))</f>
        <v>8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1388.787640102285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1618.2692557844496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0.13048825239497042</v>
      </c>
      <c r="R220" s="1">
        <v>68</v>
      </c>
      <c r="S220" s="1">
        <v>58</v>
      </c>
      <c r="T220" s="1">
        <v>0</v>
      </c>
      <c r="U220" s="1">
        <f>Games[[#This Row],[PointsFor]]-Games[[#This Row],[PointsAgainst]]</f>
        <v>10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0.35520263683589526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71.8</v>
      </c>
      <c r="Z220" s="4">
        <f>Games[[#This Row],[K]]*Games[[#This Row],[POMult]]</f>
        <v>71.8</v>
      </c>
      <c r="AA220" s="4">
        <f>(Games[[#This Row],[Keff]]*Games[[#This Row],[MOVMult]])*(Games[[#This Row],[Result]]-Games[[#This Row],[ExpectedWin%]])</f>
        <v>22.175635743552945</v>
      </c>
      <c r="AB220" s="4">
        <f>Games[[#This Row],[PreGmRate]]+Games[[#This Row],[RatingChange]]</f>
        <v>1410.9632758458379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35666</v>
      </c>
      <c r="B221" s="2">
        <v>1997</v>
      </c>
      <c r="C221" s="2">
        <f>COUNTIFS(Games[Team],Games[[#This Row],[Team]],Games[Season],Games[[#This Row],[Season]],Games[Date],"&lt;=" &amp; Games[[#This Row],[Date]])</f>
        <v>28</v>
      </c>
      <c r="D221" s="2" t="s">
        <v>23</v>
      </c>
      <c r="E221" s="2" t="s">
        <v>29</v>
      </c>
      <c r="F221" s="1" t="s">
        <v>2</v>
      </c>
      <c r="G221" s="1" t="s">
        <v>45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1</v>
      </c>
      <c r="L221" s="2">
        <f>Games[[#This Row],[OppDaysOff]]-Games[[#This Row],[DaysOff]]</f>
        <v>-1</v>
      </c>
      <c r="M221" s="1">
        <f>MAX(-16, MIN(16, Games[[#This Row],[RestDiff]]*8))</f>
        <v>8</v>
      </c>
      <c r="N221" s="1">
        <f>MAX(-16, MIN(16, Games[[#This Row],[OppRestDiff]]*8))</f>
        <v>-8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1618.2692557844496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1388.787640102285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0.86951174760502969</v>
      </c>
      <c r="R221" s="1">
        <v>58</v>
      </c>
      <c r="S221" s="1">
        <v>68</v>
      </c>
      <c r="T221" s="1">
        <v>0</v>
      </c>
      <c r="U221" s="1">
        <f>Games[[#This Row],[PointsFor]]-Games[[#This Row],[PointsAgainst]]</f>
        <v>-10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0.35520263683589526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71.8</v>
      </c>
      <c r="Z221" s="4">
        <f>Games[[#This Row],[K]]*Games[[#This Row],[POMult]]</f>
        <v>71.8</v>
      </c>
      <c r="AA221" s="4">
        <f>(Games[[#This Row],[Keff]]*Games[[#This Row],[MOVMult]])*(Games[[#This Row],[Result]]-Games[[#This Row],[ExpectedWin%]])</f>
        <v>-22.175635743552945</v>
      </c>
      <c r="AB221" s="4">
        <f>Games[[#This Row],[PreGmRate]]+Games[[#This Row],[RatingChange]]</f>
        <v>1596.0936200408967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35666</v>
      </c>
      <c r="B222" s="2">
        <v>1997</v>
      </c>
      <c r="C222" s="2">
        <f>COUNTIFS(Games[Team],Games[[#This Row],[Team]],Games[Season],Games[[#This Row],[Season]],Games[Date],"&lt;=" &amp; Games[[#This Row],[Date]])</f>
        <v>28</v>
      </c>
      <c r="D222" s="2" t="s">
        <v>23</v>
      </c>
      <c r="E222" s="2" t="s">
        <v>29</v>
      </c>
      <c r="F222" s="1" t="s">
        <v>1</v>
      </c>
      <c r="G222" s="1" t="s">
        <v>66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2" s="2">
        <f>Games[[#This Row],[DaysOff]]-Games[[#This Row],[OppDaysOff]]</f>
        <v>0</v>
      </c>
      <c r="L222" s="2">
        <f>Games[[#This Row],[OppDaysOff]]-Games[[#This Row],[DaysOff]]</f>
        <v>0</v>
      </c>
      <c r="M222" s="1">
        <f>MAX(-16, MIN(16, Games[[#This Row],[RestDiff]]*8))</f>
        <v>0</v>
      </c>
      <c r="N222" s="1">
        <f>MAX(-16, MIN(16, Games[[#This Row],[OppRestDiff]]*8))</f>
        <v>0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1551.8728353572212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1498.3611184117688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0.45623611027924282</v>
      </c>
      <c r="R222" s="1">
        <v>72</v>
      </c>
      <c r="S222" s="1">
        <v>79</v>
      </c>
      <c r="T222" s="1">
        <v>1</v>
      </c>
      <c r="U222" s="1">
        <f>Games[[#This Row],[PointsFor]]-Games[[#This Row],[PointsAgainst]]</f>
        <v>-7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0.31887675311097197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71.8</v>
      </c>
      <c r="Z222" s="4">
        <f>Games[[#This Row],[K]]*Games[[#This Row],[POMult]]</f>
        <v>71.8</v>
      </c>
      <c r="AA222" s="4">
        <f>(Games[[#This Row],[Keff]]*Games[[#This Row],[MOVMult]])*(Games[[#This Row],[Result]]-Games[[#This Row],[ExpectedWin%]])</f>
        <v>-10.445685825943784</v>
      </c>
      <c r="AB222" s="4">
        <f>Games[[#This Row],[PreGmRate]]+Games[[#This Row],[RatingChange]]</f>
        <v>1541.4271495312773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35666</v>
      </c>
      <c r="B223" s="2">
        <v>1997</v>
      </c>
      <c r="C223" s="2">
        <f>COUNTIFS(Games[Team],Games[[#This Row],[Team]],Games[Season],Games[[#This Row],[Season]],Games[Date],"&lt;=" &amp; Games[[#This Row],[Date]])</f>
        <v>28</v>
      </c>
      <c r="D223" s="2" t="s">
        <v>23</v>
      </c>
      <c r="E223" s="2" t="s">
        <v>29</v>
      </c>
      <c r="F223" s="1" t="s">
        <v>66</v>
      </c>
      <c r="G223" s="1" t="s">
        <v>1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3" s="2">
        <f>Games[[#This Row],[DaysOff]]-Games[[#This Row],[OppDaysOff]]</f>
        <v>0</v>
      </c>
      <c r="L223" s="2">
        <f>Games[[#This Row],[OppDaysOff]]-Games[[#This Row],[DaysOff]]</f>
        <v>0</v>
      </c>
      <c r="M223" s="1">
        <f>MAX(-16, MIN(16, Games[[#This Row],[RestDiff]]*8))</f>
        <v>0</v>
      </c>
      <c r="N223" s="1">
        <f>MAX(-16, MIN(16, Games[[#This Row],[OppRestDiff]]*8))</f>
        <v>0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1498.3611184117688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1551.8728353572212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0.54376388972075718</v>
      </c>
      <c r="R223" s="1">
        <v>79</v>
      </c>
      <c r="S223" s="1">
        <v>72</v>
      </c>
      <c r="T223" s="1">
        <v>1</v>
      </c>
      <c r="U223" s="1">
        <f>Games[[#This Row],[PointsFor]]-Games[[#This Row],[PointsAgainst]]</f>
        <v>7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0.31887675311097197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71.8</v>
      </c>
      <c r="Z223" s="4">
        <f>Games[[#This Row],[K]]*Games[[#This Row],[POMult]]</f>
        <v>71.8</v>
      </c>
      <c r="AA223" s="4">
        <f>(Games[[#This Row],[Keff]]*Games[[#This Row],[MOVMult]])*(Games[[#This Row],[Result]]-Games[[#This Row],[ExpectedWin%]])</f>
        <v>10.445685825943784</v>
      </c>
      <c r="AB223" s="4">
        <f>Games[[#This Row],[PreGmRate]]+Games[[#This Row],[RatingChange]]</f>
        <v>1508.8068042377126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35666</v>
      </c>
      <c r="B224" s="2">
        <v>1997</v>
      </c>
      <c r="C224" s="2">
        <f>COUNTIFS(Games[Team],Games[[#This Row],[Team]],Games[Season],Games[[#This Row],[Season]],Games[Date],"&lt;=" &amp; Games[[#This Row],[Date]])</f>
        <v>28</v>
      </c>
      <c r="D224" s="2" t="s">
        <v>23</v>
      </c>
      <c r="E224" s="2" t="s">
        <v>29</v>
      </c>
      <c r="F224" s="1" t="s">
        <v>71</v>
      </c>
      <c r="G224" s="1" t="s">
        <v>44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0</v>
      </c>
      <c r="L224" s="2">
        <f>Games[[#This Row],[OppDaysOff]]-Games[[#This Row],[DaysOff]]</f>
        <v>0</v>
      </c>
      <c r="M224" s="1">
        <f>MAX(-16, MIN(16, Games[[#This Row],[RestDiff]]*8))</f>
        <v>0</v>
      </c>
      <c r="N224" s="1">
        <f>MAX(-16, MIN(16, Games[[#This Row],[OppRestDiff]]*8))</f>
        <v>0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1538.4382819306429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1545.5889961129546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0.37175254615258052</v>
      </c>
      <c r="R224" s="1">
        <v>68</v>
      </c>
      <c r="S224" s="1">
        <v>73</v>
      </c>
      <c r="T224" s="1">
        <v>1</v>
      </c>
      <c r="U224" s="1">
        <f>Games[[#This Row],[PointsFor]]-Games[[#This Row],[PointsAgainst]]</f>
        <v>-5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0.29681169823177134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71.8</v>
      </c>
      <c r="Z224" s="4">
        <f>Games[[#This Row],[K]]*Games[[#This Row],[POMult]]</f>
        <v>71.8</v>
      </c>
      <c r="AA224" s="4">
        <f>(Games[[#This Row],[Keff]]*Games[[#This Row],[MOVMult]])*(Games[[#This Row],[Result]]-Games[[#This Row],[ExpectedWin%]])</f>
        <v>-7.9224482263692249</v>
      </c>
      <c r="AB224" s="4">
        <f>Games[[#This Row],[PreGmRate]]+Games[[#This Row],[RatingChange]]</f>
        <v>1530.5158337042737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35666</v>
      </c>
      <c r="B225" s="2">
        <v>1997</v>
      </c>
      <c r="C225" s="2">
        <f>COUNTIFS(Games[Team],Games[[#This Row],[Team]],Games[Season],Games[[#This Row],[Season]],Games[Date],"&lt;=" &amp; Games[[#This Row],[Date]])</f>
        <v>28</v>
      </c>
      <c r="D225" s="2" t="s">
        <v>23</v>
      </c>
      <c r="E225" s="2" t="s">
        <v>29</v>
      </c>
      <c r="F225" s="1" t="s">
        <v>44</v>
      </c>
      <c r="G225" s="1" t="s">
        <v>71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0</v>
      </c>
      <c r="L225" s="2">
        <f>Games[[#This Row],[OppDaysOff]]-Games[[#This Row],[DaysOff]]</f>
        <v>0</v>
      </c>
      <c r="M225" s="1">
        <f>MAX(-16, MIN(16, Games[[#This Row],[RestDiff]]*8))</f>
        <v>0</v>
      </c>
      <c r="N225" s="1">
        <f>MAX(-16, MIN(16, Games[[#This Row],[OppRestDiff]]*8))</f>
        <v>0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1545.5889961129546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1538.4382819306429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0.62824745384741942</v>
      </c>
      <c r="R225" s="1">
        <v>73</v>
      </c>
      <c r="S225" s="1">
        <v>68</v>
      </c>
      <c r="T225" s="1">
        <v>1</v>
      </c>
      <c r="U225" s="1">
        <f>Games[[#This Row],[PointsFor]]-Games[[#This Row],[PointsAgainst]]</f>
        <v>5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0.29681169823177134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71.8</v>
      </c>
      <c r="Z225" s="4">
        <f>Games[[#This Row],[K]]*Games[[#This Row],[POMult]]</f>
        <v>71.8</v>
      </c>
      <c r="AA225" s="4">
        <f>(Games[[#This Row],[Keff]]*Games[[#This Row],[MOVMult]])*(Games[[#This Row],[Result]]-Games[[#This Row],[ExpectedWin%]])</f>
        <v>7.9224482263692257</v>
      </c>
      <c r="AB225" s="4">
        <f>Games[[#This Row],[PreGmRate]]+Games[[#This Row],[RatingChange]]</f>
        <v>1553.5114443393238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35670</v>
      </c>
      <c r="B226" s="2">
        <v>1997</v>
      </c>
      <c r="C226" s="2">
        <f>COUNTIFS(Games[Team],Games[[#This Row],[Team]],Games[Season],Games[[#This Row],[Season]],Games[Date],"&lt;=" &amp; Games[[#This Row],[Date]])</f>
        <v>29</v>
      </c>
      <c r="D226" s="2" t="s">
        <v>46</v>
      </c>
      <c r="E226" s="2">
        <v>1</v>
      </c>
      <c r="F226" s="1" t="s">
        <v>64</v>
      </c>
      <c r="G226" s="1" t="s">
        <v>2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1516.2631383669923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1596.0936200408967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0.28027779754807847</v>
      </c>
      <c r="R226" s="1">
        <v>54</v>
      </c>
      <c r="S226" s="1">
        <v>70</v>
      </c>
      <c r="T226" s="1">
        <v>0</v>
      </c>
      <c r="U226" s="1">
        <f>Games[[#This Row],[PointsFor]]-Games[[#This Row],[PointsAgainst]]</f>
        <v>-16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0.48548870153757595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226" s="9">
        <f>MAX(kmin, kmax - 0.15 * MIN(Games[[#This Row],[GamesPlayed]], 82))</f>
        <v>71.650000000000006</v>
      </c>
      <c r="Z226" s="4">
        <f>Games[[#This Row],[K]]*Games[[#This Row],[POMult]]</f>
        <v>78.815000000000012</v>
      </c>
      <c r="AA226" s="4">
        <f>(Games[[#This Row],[Keff]]*Games[[#This Row],[MOVMult]])*(Games[[#This Row],[Result]]-Games[[#This Row],[ExpectedWin%]])</f>
        <v>-10.724491350872565</v>
      </c>
      <c r="AB226" s="4">
        <f>Games[[#This Row],[PreGmRate]]+Games[[#This Row],[RatingChange]]</f>
        <v>1505.5386470161197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1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35670</v>
      </c>
      <c r="B227" s="2">
        <v>1997</v>
      </c>
      <c r="C227" s="2">
        <f>COUNTIFS(Games[Team],Games[[#This Row],[Team]],Games[Season],Games[[#This Row],[Season]],Games[Date],"&lt;=" &amp; Games[[#This Row],[Date]])</f>
        <v>29</v>
      </c>
      <c r="D227" s="2" t="s">
        <v>46</v>
      </c>
      <c r="E227" s="2">
        <v>1</v>
      </c>
      <c r="F227" s="1" t="s">
        <v>2</v>
      </c>
      <c r="G227" s="1" t="s">
        <v>64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1596.0936200408967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1516.2631383669923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0.71972220245192153</v>
      </c>
      <c r="R227" s="1">
        <v>70</v>
      </c>
      <c r="S227" s="1">
        <v>54</v>
      </c>
      <c r="T227" s="1">
        <v>0</v>
      </c>
      <c r="U227" s="1">
        <f>Games[[#This Row],[PointsFor]]-Games[[#This Row],[PointsAgainst]]</f>
        <v>16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0.48548870153757595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227" s="9">
        <f>MAX(kmin, kmax - 0.15 * MIN(Games[[#This Row],[GamesPlayed]], 82))</f>
        <v>71.650000000000006</v>
      </c>
      <c r="Z227" s="4">
        <f>Games[[#This Row],[K]]*Games[[#This Row],[POMult]]</f>
        <v>78.815000000000012</v>
      </c>
      <c r="AA227" s="4">
        <f>(Games[[#This Row],[Keff]]*Games[[#This Row],[MOVMult]])*(Games[[#This Row],[Result]]-Games[[#This Row],[ExpectedWin%]])</f>
        <v>10.724491350872565</v>
      </c>
      <c r="AB227" s="4">
        <f>Games[[#This Row],[PreGmRate]]+Games[[#This Row],[RatingChange]]</f>
        <v>1606.8181113917692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1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35670</v>
      </c>
      <c r="B228" s="2">
        <v>1997</v>
      </c>
      <c r="C228" s="2">
        <f>COUNTIFS(Games[Team],Games[[#This Row],[Team]],Games[Season],Games[[#This Row],[Season]],Games[Date],"&lt;=" &amp; Games[[#This Row],[Date]])</f>
        <v>29</v>
      </c>
      <c r="D228" s="2" t="s">
        <v>46</v>
      </c>
      <c r="E228" s="2">
        <v>1</v>
      </c>
      <c r="F228" s="1" t="s">
        <v>66</v>
      </c>
      <c r="G228" s="1" t="s">
        <v>44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8" s="2">
        <f>Games[[#This Row],[DaysOff]]-Games[[#This Row],[OppDaysOff]]</f>
        <v>0</v>
      </c>
      <c r="L228" s="2">
        <f>Games[[#This Row],[OppDaysOff]]-Games[[#This Row],[DaysOff]]</f>
        <v>0</v>
      </c>
      <c r="M228" s="1">
        <f>MAX(-16, MIN(16, Games[[#This Row],[RestDiff]]*8))</f>
        <v>0</v>
      </c>
      <c r="N228" s="1">
        <f>MAX(-16, MIN(16, Games[[#This Row],[OppRestDiff]]*8))</f>
        <v>0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1508.8068042377126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1553.5114443393238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0.32281098467285679</v>
      </c>
      <c r="R228" s="1">
        <v>59</v>
      </c>
      <c r="S228" s="1">
        <v>41</v>
      </c>
      <c r="T228" s="1">
        <v>0</v>
      </c>
      <c r="U228" s="1">
        <f>Games[[#This Row],[PointsFor]]-Games[[#This Row],[PointsAgainst]]</f>
        <v>18</v>
      </c>
      <c r="V228" s="1">
        <f>IF(Games[[#This Row],[MOV]]&gt;0,1,IF(Games[[#This Row],[MOV]]=0,0.5,0))</f>
        <v>1</v>
      </c>
      <c r="W228" s="4">
        <f>((ABS(Games[[#This Row],[MOV]])+5)^0.6)/(12+0.01*(ABS(Games[[#This Row],[PreGmRate]]-Games[[#This Row],[OppPreGmRate]])))*IF(Games[[#This Row],[OT]]=1,0.9,1)</f>
        <v>0.52719392007570298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228" s="9">
        <f>MAX(kmin, kmax - 0.15 * MIN(Games[[#This Row],[GamesPlayed]], 82))</f>
        <v>71.650000000000006</v>
      </c>
      <c r="Z228" s="4">
        <f>Games[[#This Row],[K]]*Games[[#This Row],[POMult]]</f>
        <v>78.815000000000012</v>
      </c>
      <c r="AA228" s="4">
        <f>(Games[[#This Row],[Keff]]*Games[[#This Row],[MOVMult]])*(Games[[#This Row],[Result]]-Games[[#This Row],[ExpectedWin%]])</f>
        <v>28.137737760829065</v>
      </c>
      <c r="AB228" s="4">
        <f>Games[[#This Row],[PreGmRate]]+Games[[#This Row],[RatingChange]]</f>
        <v>1536.9445419985418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0</v>
      </c>
      <c r="AE228" s="2">
        <f>IF(AND(Games[[#This Row],[Type]]="P",Games[[#This Row],[Round]]=1),IF(Games[[#This Row],[Result]]&gt;0.5,1,0),0)</f>
        <v>1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35670</v>
      </c>
      <c r="B229" s="2">
        <v>1997</v>
      </c>
      <c r="C229" s="2">
        <f>COUNTIFS(Games[Team],Games[[#This Row],[Team]],Games[Season],Games[[#This Row],[Season]],Games[Date],"&lt;=" &amp; Games[[#This Row],[Date]])</f>
        <v>29</v>
      </c>
      <c r="D229" s="2" t="s">
        <v>46</v>
      </c>
      <c r="E229" s="2">
        <v>1</v>
      </c>
      <c r="F229" s="1" t="s">
        <v>44</v>
      </c>
      <c r="G229" s="1" t="s">
        <v>66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9" s="2">
        <f>Games[[#This Row],[DaysOff]]-Games[[#This Row],[OppDaysOff]]</f>
        <v>0</v>
      </c>
      <c r="L229" s="2">
        <f>Games[[#This Row],[OppDaysOff]]-Games[[#This Row],[DaysOff]]</f>
        <v>0</v>
      </c>
      <c r="M229" s="1">
        <f>MAX(-16, MIN(16, Games[[#This Row],[RestDiff]]*8))</f>
        <v>0</v>
      </c>
      <c r="N229" s="1">
        <f>MAX(-16, MIN(16, Games[[#This Row],[OppRestDiff]]*8))</f>
        <v>0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1553.5114443393238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1508.8068042377126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0.67718901532714315</v>
      </c>
      <c r="R229" s="1">
        <v>41</v>
      </c>
      <c r="S229" s="1">
        <v>59</v>
      </c>
      <c r="T229" s="1">
        <v>0</v>
      </c>
      <c r="U229" s="1">
        <f>Games[[#This Row],[PointsFor]]-Games[[#This Row],[PointsAgainst]]</f>
        <v>-18</v>
      </c>
      <c r="V229" s="1">
        <f>IF(Games[[#This Row],[MOV]]&gt;0,1,IF(Games[[#This Row],[MOV]]=0,0.5,0))</f>
        <v>0</v>
      </c>
      <c r="W229" s="4">
        <f>((ABS(Games[[#This Row],[MOV]])+5)^0.6)/(12+0.01*(ABS(Games[[#This Row],[PreGmRate]]-Games[[#This Row],[OppPreGmRate]])))*IF(Games[[#This Row],[OT]]=1,0.9,1)</f>
        <v>0.52719392007570298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229" s="9">
        <f>MAX(kmin, kmax - 0.15 * MIN(Games[[#This Row],[GamesPlayed]], 82))</f>
        <v>71.650000000000006</v>
      </c>
      <c r="Z229" s="4">
        <f>Games[[#This Row],[K]]*Games[[#This Row],[POMult]]</f>
        <v>78.815000000000012</v>
      </c>
      <c r="AA229" s="4">
        <f>(Games[[#This Row],[Keff]]*Games[[#This Row],[MOVMult]])*(Games[[#This Row],[Result]]-Games[[#This Row],[ExpectedWin%]])</f>
        <v>-28.137737760829065</v>
      </c>
      <c r="AB229" s="4">
        <f>Games[[#This Row],[PreGmRate]]+Games[[#This Row],[RatingChange]]</f>
        <v>1525.3737065784946</v>
      </c>
      <c r="AC229" s="2">
        <f>IF(Games[[#This Row],[Type]]="R",IF(Games[[#This Row],[Result]]&gt;0.5,1,0),0)</f>
        <v>0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1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35672</v>
      </c>
      <c r="B230" s="2">
        <v>1997</v>
      </c>
      <c r="C230" s="2">
        <f>COUNTIFS(Games[Team],Games[[#This Row],[Team]],Games[Season],Games[[#This Row],[Season]],Games[Date],"&lt;=" &amp; Games[[#This Row],[Date]])</f>
        <v>30</v>
      </c>
      <c r="D230" s="2" t="s">
        <v>46</v>
      </c>
      <c r="E230" s="2">
        <v>2</v>
      </c>
      <c r="F230" s="1" t="s">
        <v>66</v>
      </c>
      <c r="G230" s="1" t="s">
        <v>2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0</v>
      </c>
      <c r="L230" s="2">
        <f>Games[[#This Row],[OppDaysOff]]-Games[[#This Row],[DaysOff]]</f>
        <v>0</v>
      </c>
      <c r="M230" s="1">
        <f>MAX(-16, MIN(16, Games[[#This Row],[RestDiff]]*8))</f>
        <v>0</v>
      </c>
      <c r="N230" s="1">
        <f>MAX(-16, MIN(16, Games[[#This Row],[OppRestDiff]]*8))</f>
        <v>0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1536.9445419985418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1606.8181113917692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0.29198404513633408</v>
      </c>
      <c r="R230" s="1">
        <v>51</v>
      </c>
      <c r="S230" s="1">
        <v>65</v>
      </c>
      <c r="T230" s="1">
        <v>0</v>
      </c>
      <c r="U230" s="1">
        <f>Games[[#This Row],[PointsFor]]-Games[[#This Row],[PointsAgainst]]</f>
        <v>-14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0.46077793753948981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30" s="9">
        <f>MAX(kmin, kmax - 0.15 * MIN(Games[[#This Row],[GamesPlayed]], 82))</f>
        <v>71.5</v>
      </c>
      <c r="Z230" s="4">
        <f>Games[[#This Row],[K]]*Games[[#This Row],[POMult]]</f>
        <v>85.8</v>
      </c>
      <c r="AA230" s="4">
        <f>(Games[[#This Row],[Keff]]*Games[[#This Row],[MOVMult]])*(Games[[#This Row],[Result]]-Games[[#This Row],[ExpectedWin%]])</f>
        <v>-11.543515364440259</v>
      </c>
      <c r="AB230" s="4">
        <f>Games[[#This Row],[PreGmRate]]+Games[[#This Row],[RatingChange]]</f>
        <v>1525.4010266341015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0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1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35672</v>
      </c>
      <c r="B231" s="2">
        <v>1997</v>
      </c>
      <c r="C231" s="2">
        <f>COUNTIFS(Games[Team],Games[[#This Row],[Team]],Games[Season],Games[[#This Row],[Season]],Games[Date],"&lt;=" &amp; Games[[#This Row],[Date]])</f>
        <v>30</v>
      </c>
      <c r="D231" s="2" t="s">
        <v>46</v>
      </c>
      <c r="E231" s="2">
        <v>2</v>
      </c>
      <c r="F231" s="1" t="s">
        <v>2</v>
      </c>
      <c r="G231" s="1" t="s">
        <v>66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1" s="2">
        <f>Games[[#This Row],[DaysOff]]-Games[[#This Row],[OppDaysOff]]</f>
        <v>0</v>
      </c>
      <c r="L231" s="2">
        <f>Games[[#This Row],[OppDaysOff]]-Games[[#This Row],[DaysOff]]</f>
        <v>0</v>
      </c>
      <c r="M231" s="1">
        <f>MAX(-16, MIN(16, Games[[#This Row],[RestDiff]]*8))</f>
        <v>0</v>
      </c>
      <c r="N231" s="1">
        <f>MAX(-16, MIN(16, Games[[#This Row],[OppRestDiff]]*8))</f>
        <v>0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1606.8181113917692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1536.9445419985418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0.70801595486366586</v>
      </c>
      <c r="R231" s="1">
        <v>65</v>
      </c>
      <c r="S231" s="1">
        <v>51</v>
      </c>
      <c r="T231" s="1">
        <v>0</v>
      </c>
      <c r="U231" s="1">
        <f>Games[[#This Row],[PointsFor]]-Games[[#This Row],[PointsAgainst]]</f>
        <v>14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0.46077793753948981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31" s="9">
        <f>MAX(kmin, kmax - 0.15 * MIN(Games[[#This Row],[GamesPlayed]], 82))</f>
        <v>71.5</v>
      </c>
      <c r="Z231" s="4">
        <f>Games[[#This Row],[K]]*Games[[#This Row],[POMult]]</f>
        <v>85.8</v>
      </c>
      <c r="AA231" s="4">
        <f>(Games[[#This Row],[Keff]]*Games[[#This Row],[MOVMult]])*(Games[[#This Row],[Result]]-Games[[#This Row],[ExpectedWin%]])</f>
        <v>11.54351536444026</v>
      </c>
      <c r="AB231" s="4">
        <f>Games[[#This Row],[PreGmRate]]+Games[[#This Row],[RatingChange]]</f>
        <v>1618.3616267562095</v>
      </c>
      <c r="AC231" s="2">
        <f>IF(Games[[#This Row],[Type]]="R",IF(Games[[#This Row],[Result]]&gt;0.5,1,0),0)</f>
        <v>0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1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2026-07-27T09:32:54Z</dcterms:modified>
</cp:coreProperties>
</file>
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\WNBA_Elo\Ratings\"/>
    </mc:Choice>
  </mc:AlternateContent>
  <xr:revisionPtr revIDLastSave="0" documentId="13_ncr:1_{17BDDE13-1A66-4318-9C89-2EB18A0519FB}" xr6:coauthVersionLast="47" xr6:coauthVersionMax="47" xr10:uidLastSave="{00000000-0000-0000-0000-000000000000}"/>
  <bookViews>
    <workbookView xWindow="-110" yWindow="-110" windowWidth="19420" windowHeight="10300" activeTab="1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4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0" i="2" l="1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I478" i="2" a="1"/>
  <c r="I479" i="2" a="1"/>
  <c r="J420" i="2" a="1"/>
  <c r="J42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J478" i="2" a="1"/>
  <c r="J479" i="2" a="1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Z435" i="2" s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X478" i="2" a="1"/>
  <c r="X479" i="2" a="1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J318" i="2" a="1"/>
  <c r="J319" i="2" a="1"/>
  <c r="J320" i="2" a="1"/>
  <c r="J321" i="2" a="1"/>
  <c r="J322" i="2" a="1"/>
  <c r="J323" i="2" a="1"/>
  <c r="J324" i="2" a="1"/>
  <c r="J325" i="2" a="1"/>
  <c r="J326" i="2" a="1"/>
  <c r="J327" i="2" a="1"/>
  <c r="J328" i="2" a="1"/>
  <c r="J329" i="2" a="1"/>
  <c r="J330" i="2" a="1"/>
  <c r="J331" i="2" a="1"/>
  <c r="J332" i="2" a="1"/>
  <c r="J333" i="2" a="1"/>
  <c r="J334" i="2" a="1"/>
  <c r="J335" i="2" a="1"/>
  <c r="J336" i="2" a="1"/>
  <c r="J337" i="2" a="1"/>
  <c r="J338" i="2" a="1"/>
  <c r="J339" i="2" a="1"/>
  <c r="J340" i="2" a="1"/>
  <c r="J341" i="2" a="1"/>
  <c r="J342" i="2" a="1"/>
  <c r="J343" i="2" a="1"/>
  <c r="J344" i="2" a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J408" i="2" a="1"/>
  <c r="J409" i="2" a="1"/>
  <c r="J410" i="2" a="1"/>
  <c r="J411" i="2" a="1"/>
  <c r="J412" i="2" a="1"/>
  <c r="J413" i="2" a="1"/>
  <c r="J414" i="2" a="1"/>
  <c r="J415" i="2" a="1"/>
  <c r="J416" i="2" a="1"/>
  <c r="J417" i="2" a="1"/>
  <c r="K417" i="2" s="1"/>
  <c r="M417" i="2" s="1"/>
  <c r="J418" i="2" a="1"/>
  <c r="J419" i="2" a="1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V296" i="2"/>
  <c r="AC296" i="2" s="1"/>
  <c r="V297" i="2"/>
  <c r="AC297" i="2" s="1"/>
  <c r="V298" i="2"/>
  <c r="AC298" i="2" s="1"/>
  <c r="V299" i="2"/>
  <c r="AC299" i="2" s="1"/>
  <c r="V300" i="2"/>
  <c r="AC300" i="2" s="1"/>
  <c r="V301" i="2"/>
  <c r="AC301" i="2" s="1"/>
  <c r="V302" i="2"/>
  <c r="AC302" i="2" s="1"/>
  <c r="V303" i="2"/>
  <c r="AC303" i="2" s="1"/>
  <c r="V304" i="2"/>
  <c r="AC304" i="2" s="1"/>
  <c r="V305" i="2"/>
  <c r="AC305" i="2" s="1"/>
  <c r="V306" i="2"/>
  <c r="AC306" i="2" s="1"/>
  <c r="V307" i="2"/>
  <c r="AC307" i="2" s="1"/>
  <c r="V308" i="2"/>
  <c r="AC308" i="2" s="1"/>
  <c r="V309" i="2"/>
  <c r="AC309" i="2" s="1"/>
  <c r="V310" i="2"/>
  <c r="AC310" i="2" s="1"/>
  <c r="V311" i="2"/>
  <c r="AC311" i="2" s="1"/>
  <c r="V312" i="2"/>
  <c r="AC312" i="2" s="1"/>
  <c r="V313" i="2"/>
  <c r="AC313" i="2" s="1"/>
  <c r="V314" i="2"/>
  <c r="AC314" i="2" s="1"/>
  <c r="V315" i="2"/>
  <c r="AC315" i="2" s="1"/>
  <c r="V316" i="2"/>
  <c r="AC316" i="2" s="1"/>
  <c r="V317" i="2"/>
  <c r="AC317" i="2" s="1"/>
  <c r="V318" i="2"/>
  <c r="AC318" i="2" s="1"/>
  <c r="V319" i="2"/>
  <c r="AC319" i="2" s="1"/>
  <c r="V320" i="2"/>
  <c r="AC320" i="2" s="1"/>
  <c r="V321" i="2"/>
  <c r="AC321" i="2" s="1"/>
  <c r="V322" i="2"/>
  <c r="AC322" i="2" s="1"/>
  <c r="V323" i="2"/>
  <c r="AC323" i="2" s="1"/>
  <c r="V324" i="2"/>
  <c r="AC324" i="2" s="1"/>
  <c r="V325" i="2"/>
  <c r="AC325" i="2" s="1"/>
  <c r="V326" i="2"/>
  <c r="AC326" i="2" s="1"/>
  <c r="V327" i="2"/>
  <c r="AC327" i="2" s="1"/>
  <c r="V328" i="2"/>
  <c r="AC328" i="2" s="1"/>
  <c r="V329" i="2"/>
  <c r="AC329" i="2" s="1"/>
  <c r="V330" i="2"/>
  <c r="AC330" i="2" s="1"/>
  <c r="V331" i="2"/>
  <c r="AC331" i="2" s="1"/>
  <c r="V332" i="2"/>
  <c r="AC332" i="2" s="1"/>
  <c r="V333" i="2"/>
  <c r="AC333" i="2" s="1"/>
  <c r="V334" i="2"/>
  <c r="AC334" i="2" s="1"/>
  <c r="V335" i="2"/>
  <c r="AC335" i="2" s="1"/>
  <c r="V336" i="2"/>
  <c r="AC336" i="2" s="1"/>
  <c r="V337" i="2"/>
  <c r="AC337" i="2" s="1"/>
  <c r="V338" i="2"/>
  <c r="AC338" i="2" s="1"/>
  <c r="V339" i="2"/>
  <c r="AC339" i="2" s="1"/>
  <c r="V340" i="2"/>
  <c r="AC340" i="2" s="1"/>
  <c r="V341" i="2"/>
  <c r="AC341" i="2" s="1"/>
  <c r="V342" i="2"/>
  <c r="AC342" i="2" s="1"/>
  <c r="V343" i="2"/>
  <c r="AC343" i="2" s="1"/>
  <c r="V344" i="2"/>
  <c r="AC344" i="2" s="1"/>
  <c r="V345" i="2"/>
  <c r="AC345" i="2" s="1"/>
  <c r="V346" i="2"/>
  <c r="AC346" i="2" s="1"/>
  <c r="V347" i="2"/>
  <c r="AC347" i="2" s="1"/>
  <c r="V348" i="2"/>
  <c r="AC348" i="2" s="1"/>
  <c r="V349" i="2"/>
  <c r="AC349" i="2" s="1"/>
  <c r="V350" i="2"/>
  <c r="AC350" i="2" s="1"/>
  <c r="V351" i="2"/>
  <c r="AC351" i="2" s="1"/>
  <c r="V352" i="2"/>
  <c r="AC352" i="2" s="1"/>
  <c r="V353" i="2"/>
  <c r="AC353" i="2" s="1"/>
  <c r="V354" i="2"/>
  <c r="AC354" i="2" s="1"/>
  <c r="V355" i="2"/>
  <c r="AC355" i="2" s="1"/>
  <c r="V356" i="2"/>
  <c r="AC356" i="2" s="1"/>
  <c r="V357" i="2"/>
  <c r="AC357" i="2" s="1"/>
  <c r="V358" i="2"/>
  <c r="AC358" i="2" s="1"/>
  <c r="V359" i="2"/>
  <c r="AC359" i="2" s="1"/>
  <c r="V360" i="2"/>
  <c r="AC360" i="2" s="1"/>
  <c r="V361" i="2"/>
  <c r="AC361" i="2" s="1"/>
  <c r="V362" i="2"/>
  <c r="AC362" i="2" s="1"/>
  <c r="V363" i="2"/>
  <c r="AC363" i="2" s="1"/>
  <c r="V364" i="2"/>
  <c r="AC364" i="2" s="1"/>
  <c r="V365" i="2"/>
  <c r="AC365" i="2" s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H36" i="3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E29" i="3"/>
  <c r="D29" i="3"/>
  <c r="C29" i="3"/>
  <c r="B29" i="3"/>
  <c r="E35" i="3"/>
  <c r="D35" i="3"/>
  <c r="C35" i="3"/>
  <c r="B35" i="3"/>
  <c r="E32" i="3"/>
  <c r="D32" i="3"/>
  <c r="C32" i="3"/>
  <c r="B32" i="3"/>
  <c r="E27" i="3"/>
  <c r="D27" i="3"/>
  <c r="C27" i="3"/>
  <c r="B27" i="3"/>
  <c r="E28" i="3"/>
  <c r="D28" i="3"/>
  <c r="C28" i="3"/>
  <c r="B28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Z409" i="2" l="1"/>
  <c r="Z410" i="2"/>
  <c r="Z411" i="2"/>
  <c r="Z412" i="2"/>
  <c r="Z413" i="2"/>
  <c r="Z414" i="2"/>
  <c r="Z415" i="2"/>
  <c r="Z416" i="2"/>
  <c r="Z417" i="2"/>
  <c r="Z418" i="2"/>
  <c r="Z419" i="2"/>
  <c r="Z306" i="2"/>
  <c r="Z309" i="2"/>
  <c r="Z312" i="2"/>
  <c r="Z315" i="2"/>
  <c r="Z317" i="2"/>
  <c r="Z319" i="2"/>
  <c r="Z322" i="2"/>
  <c r="Z325" i="2"/>
  <c r="Z328" i="2"/>
  <c r="Z331" i="2"/>
  <c r="Z334" i="2"/>
  <c r="Z337" i="2"/>
  <c r="Z340" i="2"/>
  <c r="Z304" i="2"/>
  <c r="Z307" i="2"/>
  <c r="Z310" i="2"/>
  <c r="Z313" i="2"/>
  <c r="Z316" i="2"/>
  <c r="Z318" i="2"/>
  <c r="Z321" i="2"/>
  <c r="Z324" i="2"/>
  <c r="Z327" i="2"/>
  <c r="Z329" i="2"/>
  <c r="Z332" i="2"/>
  <c r="Z335" i="2"/>
  <c r="Z338" i="2"/>
  <c r="Z305" i="2"/>
  <c r="Z308" i="2"/>
  <c r="Z311" i="2"/>
  <c r="Z314" i="2"/>
  <c r="Z320" i="2"/>
  <c r="Z323" i="2"/>
  <c r="Z326" i="2"/>
  <c r="Z330" i="2"/>
  <c r="Z333" i="2"/>
  <c r="Z336" i="2"/>
  <c r="Z339" i="2"/>
  <c r="K479" i="2"/>
  <c r="M479" i="2" s="1"/>
  <c r="L479" i="2"/>
  <c r="N479" i="2" s="1"/>
  <c r="K418" i="2"/>
  <c r="M418" i="2" s="1"/>
  <c r="L418" i="2"/>
  <c r="N418" i="2" s="1"/>
  <c r="Z296" i="2"/>
  <c r="Z299" i="2"/>
  <c r="Z301" i="2"/>
  <c r="Z302" i="2"/>
  <c r="Z297" i="2"/>
  <c r="Z300" i="2"/>
  <c r="Z303" i="2"/>
  <c r="K419" i="2"/>
  <c r="M419" i="2" s="1"/>
  <c r="L419" i="2"/>
  <c r="N419" i="2" s="1"/>
  <c r="Z298" i="2"/>
  <c r="Z341" i="2"/>
  <c r="Z343" i="2"/>
  <c r="Z345" i="2"/>
  <c r="Z347" i="2"/>
  <c r="Z349" i="2"/>
  <c r="Z351" i="2"/>
  <c r="Z353" i="2"/>
  <c r="Z355" i="2"/>
  <c r="Z357" i="2"/>
  <c r="Z359" i="2"/>
  <c r="Z361" i="2"/>
  <c r="Z363" i="2"/>
  <c r="Z365" i="2"/>
  <c r="Z367" i="2"/>
  <c r="Z369" i="2"/>
  <c r="Z371" i="2"/>
  <c r="Z373" i="2"/>
  <c r="Z375" i="2"/>
  <c r="Z377" i="2"/>
  <c r="Z379" i="2"/>
  <c r="Z381" i="2"/>
  <c r="Z383" i="2"/>
  <c r="Z385" i="2"/>
  <c r="Z388" i="2"/>
  <c r="Z390" i="2"/>
  <c r="Z392" i="2"/>
  <c r="Z394" i="2"/>
  <c r="Z396" i="2"/>
  <c r="Z399" i="2"/>
  <c r="Z401" i="2"/>
  <c r="Z403" i="2"/>
  <c r="Z406" i="2"/>
  <c r="Z408" i="2"/>
  <c r="Z342" i="2"/>
  <c r="Z344" i="2"/>
  <c r="Z346" i="2"/>
  <c r="Z348" i="2"/>
  <c r="Z350" i="2"/>
  <c r="Z352" i="2"/>
  <c r="Z354" i="2"/>
  <c r="Z356" i="2"/>
  <c r="Z358" i="2"/>
  <c r="Z360" i="2"/>
  <c r="Z362" i="2"/>
  <c r="Z364" i="2"/>
  <c r="Z366" i="2"/>
  <c r="Z368" i="2"/>
  <c r="Z370" i="2"/>
  <c r="Z372" i="2"/>
  <c r="Z374" i="2"/>
  <c r="Z376" i="2"/>
  <c r="Z378" i="2"/>
  <c r="Z380" i="2"/>
  <c r="Z382" i="2"/>
  <c r="Z384" i="2"/>
  <c r="Z386" i="2"/>
  <c r="Z387" i="2"/>
  <c r="Z389" i="2"/>
  <c r="Z391" i="2"/>
  <c r="Z393" i="2"/>
  <c r="Z395" i="2"/>
  <c r="Z397" i="2"/>
  <c r="Z398" i="2"/>
  <c r="Z400" i="2"/>
  <c r="Z402" i="2"/>
  <c r="Z404" i="2"/>
  <c r="Z405" i="2"/>
  <c r="Z407" i="2"/>
  <c r="L342" i="2"/>
  <c r="N342" i="2" s="1"/>
  <c r="K342" i="2"/>
  <c r="M342" i="2" s="1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F26" i="3"/>
  <c r="F29" i="3"/>
  <c r="Z19" i="2"/>
  <c r="Z20" i="2"/>
  <c r="Z21" i="2"/>
  <c r="Z22" i="2"/>
  <c r="Z23" i="2"/>
  <c r="Z24" i="2"/>
  <c r="Z25" i="2"/>
  <c r="Z26" i="2"/>
  <c r="F25" i="3"/>
  <c r="F28" i="3"/>
  <c r="F35" i="3"/>
  <c r="F36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2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AC366" i="2" l="1"/>
  <c r="AD366" i="2"/>
  <c r="AC367" i="2"/>
  <c r="AD367" i="2"/>
  <c r="AD368" i="2"/>
  <c r="AC368" i="2"/>
  <c r="AD369" i="2"/>
  <c r="AC369" i="2"/>
  <c r="AC370" i="2"/>
  <c r="AD370" i="2"/>
  <c r="AC371" i="2"/>
  <c r="AD371" i="2"/>
  <c r="AD372" i="2"/>
  <c r="AC372" i="2"/>
  <c r="AD373" i="2"/>
  <c r="AC373" i="2"/>
  <c r="AD374" i="2"/>
  <c r="AC374" i="2"/>
  <c r="AD375" i="2"/>
  <c r="AC375" i="2"/>
  <c r="AD376" i="2"/>
  <c r="AC376" i="2"/>
  <c r="AD377" i="2"/>
  <c r="AC377" i="2"/>
  <c r="AD378" i="2"/>
  <c r="AC378" i="2"/>
  <c r="AC379" i="2"/>
  <c r="AD379" i="2"/>
  <c r="AC380" i="2"/>
  <c r="AD380" i="2"/>
  <c r="AD381" i="2"/>
  <c r="AC381" i="2"/>
  <c r="AD382" i="2"/>
  <c r="AC382" i="2"/>
  <c r="AD383" i="2"/>
  <c r="AC383" i="2"/>
  <c r="AD384" i="2"/>
  <c r="AC384" i="2"/>
  <c r="AD385" i="2"/>
  <c r="AC385" i="2"/>
  <c r="AD386" i="2"/>
  <c r="AC386" i="2"/>
  <c r="AD387" i="2"/>
  <c r="AC387" i="2"/>
  <c r="AD388" i="2"/>
  <c r="AC388" i="2"/>
  <c r="AD389" i="2"/>
  <c r="AC389" i="2"/>
  <c r="AD390" i="2"/>
  <c r="AC390" i="2"/>
  <c r="AC391" i="2"/>
  <c r="AD391" i="2"/>
  <c r="AC392" i="2"/>
  <c r="AD392" i="2"/>
  <c r="AD393" i="2"/>
  <c r="AC393" i="2"/>
  <c r="AC394" i="2"/>
  <c r="AD394" i="2"/>
  <c r="AC395" i="2"/>
  <c r="AD395" i="2"/>
  <c r="AC396" i="2"/>
  <c r="AD396" i="2"/>
  <c r="AC397" i="2"/>
  <c r="AD397" i="2"/>
  <c r="AC398" i="2"/>
  <c r="AD398" i="2"/>
  <c r="AC399" i="2"/>
  <c r="AD399" i="2"/>
  <c r="AC400" i="2"/>
  <c r="AD400" i="2"/>
  <c r="AD401" i="2"/>
  <c r="AC401" i="2"/>
  <c r="AC402" i="2"/>
  <c r="AD402" i="2"/>
  <c r="AC403" i="2"/>
  <c r="AD403" i="2"/>
  <c r="AD404" i="2"/>
  <c r="AC404" i="2"/>
  <c r="AD405" i="2"/>
  <c r="AC405" i="2"/>
  <c r="AC406" i="2"/>
  <c r="AD406" i="2"/>
  <c r="AD407" i="2"/>
  <c r="AC407" i="2"/>
  <c r="AD408" i="2"/>
  <c r="AC408" i="2"/>
  <c r="AC409" i="2"/>
  <c r="AD409" i="2"/>
  <c r="AD410" i="2"/>
  <c r="AC410" i="2"/>
  <c r="AD411" i="2"/>
  <c r="AC411" i="2"/>
  <c r="AC412" i="2"/>
  <c r="AD412" i="2"/>
  <c r="AC413" i="2"/>
  <c r="AD413" i="2"/>
  <c r="AD414" i="2"/>
  <c r="AC414" i="2"/>
  <c r="AC415" i="2"/>
  <c r="AD415" i="2"/>
  <c r="AC416" i="2"/>
  <c r="AD416" i="2"/>
  <c r="AD417" i="2"/>
  <c r="AC417" i="2"/>
  <c r="AC418" i="2"/>
  <c r="AD418" i="2"/>
  <c r="AC419" i="2"/>
  <c r="AD419" i="2"/>
  <c r="Q2" i="2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4" i="3"/>
  <c r="B34" i="3"/>
  <c r="C31" i="3"/>
  <c r="B31" i="3"/>
  <c r="C30" i="3"/>
  <c r="B30" i="3"/>
  <c r="C33" i="3"/>
  <c r="B33" i="3"/>
  <c r="Q16" i="2" l="1"/>
  <c r="Q17" i="2"/>
  <c r="W16" i="2"/>
  <c r="W17" i="2"/>
  <c r="AA16" i="2" l="1"/>
  <c r="AB16" i="2" s="1"/>
  <c r="AA17" i="2"/>
  <c r="AB17" i="2" s="1"/>
  <c r="E34" i="3"/>
  <c r="D34" i="3"/>
  <c r="E31" i="3"/>
  <c r="D31" i="3"/>
  <c r="E30" i="3"/>
  <c r="D30" i="3"/>
  <c r="E33" i="3"/>
  <c r="D33" i="3"/>
  <c r="O19" i="2" l="1" a="1"/>
  <c r="O18" i="2" a="1"/>
  <c r="P19" i="2" a="1"/>
  <c r="P18" i="2" a="1"/>
  <c r="F30" i="3"/>
  <c r="F34" i="3"/>
  <c r="F31" i="3"/>
  <c r="F33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5" i="2" a="1"/>
  <c r="O24" i="2" a="1"/>
  <c r="P24" i="2" a="1"/>
  <c r="O25" i="2" a="1"/>
  <c r="AZ6" i="3"/>
  <c r="W25" i="2" l="1"/>
  <c r="W24" i="2"/>
  <c r="Q25" i="2"/>
  <c r="Q24" i="2"/>
  <c r="AA24" i="2" l="1"/>
  <c r="AB24" i="2" s="1"/>
  <c r="AA25" i="2"/>
  <c r="AB25" i="2" s="1"/>
  <c r="P26" i="2" l="1" a="1"/>
  <c r="P27" i="2" a="1"/>
  <c r="O26" i="2" a="1"/>
  <c r="O27" i="2" a="1"/>
  <c r="Q26" i="2" l="1"/>
  <c r="Q27" i="2"/>
  <c r="W26" i="2"/>
  <c r="W27" i="2"/>
  <c r="AA26" i="2" l="1"/>
  <c r="AB26" i="2" s="1"/>
  <c r="AA27" i="2"/>
  <c r="AB27" i="2" s="1"/>
  <c r="O29" i="2" l="1" a="1"/>
  <c r="P29" i="2" a="1"/>
  <c r="O28" i="2" a="1"/>
  <c r="P28" i="2" a="1"/>
  <c r="Q28" i="2" l="1"/>
  <c r="Q29" i="2"/>
  <c r="W28" i="2"/>
  <c r="W29" i="2"/>
  <c r="AA28" i="2" l="1"/>
  <c r="AB28" i="2" s="1"/>
  <c r="AA29" i="2"/>
  <c r="AB29" i="2" s="1"/>
  <c r="P32" i="2" a="1"/>
  <c r="P33" i="2" a="1"/>
  <c r="O33" i="2" a="1"/>
  <c r="O32" i="2" a="1"/>
  <c r="P31" i="2" l="1" a="1"/>
  <c r="O31" i="2" a="1"/>
  <c r="P30" i="2" a="1"/>
  <c r="O30" i="2" a="1"/>
  <c r="W32" i="2"/>
  <c r="Q33" i="2"/>
  <c r="Q32" i="2"/>
  <c r="W33" i="2"/>
  <c r="W30" i="2" l="1"/>
  <c r="Q31" i="2"/>
  <c r="W31" i="2"/>
  <c r="Q30" i="2"/>
  <c r="AA32" i="2"/>
  <c r="AB32" i="2" s="1"/>
  <c r="AA33" i="2"/>
  <c r="AB33" i="2" s="1"/>
  <c r="AA31" i="2" l="1"/>
  <c r="AB31" i="2" s="1"/>
  <c r="AA30" i="2"/>
  <c r="AB30" i="2" s="1"/>
  <c r="O35" i="2" a="1"/>
  <c r="O34" i="2" a="1"/>
  <c r="P34" i="2" a="1"/>
  <c r="P35" i="2" a="1"/>
  <c r="Q34" i="2" l="1"/>
  <c r="Q35" i="2"/>
  <c r="W35" i="2"/>
  <c r="W34" i="2"/>
  <c r="AA35" i="2" l="1"/>
  <c r="AB35" i="2" s="1"/>
  <c r="AA34" i="2"/>
  <c r="AB34" i="2" s="1"/>
  <c r="P39" i="2" a="1"/>
  <c r="P38" i="2" a="1"/>
  <c r="O38" i="2" a="1"/>
  <c r="O39" i="2" a="1"/>
  <c r="P36" i="2" l="1" a="1"/>
  <c r="O37" i="2" a="1"/>
  <c r="O36" i="2" a="1"/>
  <c r="P37" i="2" a="1"/>
  <c r="Q37" i="2" s="1"/>
  <c r="W38" i="2"/>
  <c r="Q39" i="2"/>
  <c r="Q38" i="2"/>
  <c r="W39" i="2"/>
  <c r="Q36" i="2" l="1"/>
  <c r="W37" i="2"/>
  <c r="AA37" i="2" s="1"/>
  <c r="AB37" i="2" s="1"/>
  <c r="W36" i="2"/>
  <c r="AA36" i="2" s="1"/>
  <c r="AB36" i="2" s="1"/>
  <c r="AA38" i="2"/>
  <c r="AB38" i="2" s="1"/>
  <c r="AA39" i="2"/>
  <c r="AB39" i="2" s="1"/>
  <c r="P40" i="2" l="1" a="1"/>
  <c r="O41" i="2" a="1"/>
  <c r="P41" i="2" a="1"/>
  <c r="O40" i="2" a="1"/>
  <c r="W41" i="2" l="1"/>
  <c r="W40" i="2"/>
  <c r="Q41" i="2"/>
  <c r="Q40" i="2"/>
  <c r="AA41" i="2" l="1"/>
  <c r="AB41" i="2" s="1"/>
  <c r="AA40" i="2"/>
  <c r="AB40" i="2" s="1"/>
  <c r="O43" i="2" l="1" a="1"/>
  <c r="P43" i="2" a="1"/>
  <c r="O42" i="2" a="1"/>
  <c r="P42" i="2" a="1"/>
  <c r="P45" i="2" a="1"/>
  <c r="O44" i="2" a="1"/>
  <c r="P44" i="2" a="1"/>
  <c r="O45" i="2" a="1"/>
  <c r="Q42" i="2" l="1"/>
  <c r="Q43" i="2"/>
  <c r="W42" i="2"/>
  <c r="AA42" i="2" s="1"/>
  <c r="AB42" i="2" s="1"/>
  <c r="W43" i="2"/>
  <c r="W44" i="2"/>
  <c r="W45" i="2"/>
  <c r="Q44" i="2"/>
  <c r="Q45" i="2"/>
  <c r="AA43" i="2" l="1"/>
  <c r="AB43" i="2" s="1"/>
  <c r="AA44" i="2"/>
  <c r="AB44" i="2" s="1"/>
  <c r="AA45" i="2"/>
  <c r="AB45" i="2" s="1"/>
  <c r="O46" i="2" a="1"/>
  <c r="P46" i="2" a="1"/>
  <c r="O47" i="2" a="1"/>
  <c r="P47" i="2" a="1"/>
  <c r="W46" i="2" l="1"/>
  <c r="Q47" i="2"/>
  <c r="Q46" i="2"/>
  <c r="W47" i="2"/>
  <c r="AA46" i="2" l="1"/>
  <c r="AB46" i="2" s="1"/>
  <c r="AA47" i="2"/>
  <c r="AB47" i="2" s="1"/>
  <c r="P49" i="2" a="1"/>
  <c r="O49" i="2" a="1"/>
  <c r="P48" i="2" a="1"/>
  <c r="O48" i="2" a="1"/>
  <c r="W48" i="2" l="1"/>
  <c r="Q49" i="2"/>
  <c r="W49" i="2"/>
  <c r="Q48" i="2"/>
  <c r="AA49" i="2" l="1"/>
  <c r="AB49" i="2" s="1"/>
  <c r="AA48" i="2"/>
  <c r="AB48" i="2" s="1"/>
  <c r="P50" i="2" a="1"/>
  <c r="P51" i="2" a="1"/>
  <c r="O51" i="2" a="1"/>
  <c r="O50" i="2" a="1"/>
  <c r="Q50" i="2" l="1"/>
  <c r="Q51" i="2"/>
  <c r="W51" i="2"/>
  <c r="W50" i="2"/>
  <c r="AA51" i="2" l="1"/>
  <c r="AB51" i="2" s="1"/>
  <c r="AA50" i="2"/>
  <c r="AB50" i="2" s="1"/>
  <c r="O53" i="2" a="1"/>
  <c r="P53" i="2" a="1"/>
  <c r="O52" i="2" a="1"/>
  <c r="P52" i="2" a="1"/>
  <c r="Q53" i="2" l="1"/>
  <c r="W52" i="2"/>
  <c r="Q52" i="2"/>
  <c r="W53" i="2"/>
  <c r="AA52" i="2" l="1"/>
  <c r="AB52" i="2" s="1"/>
  <c r="AA53" i="2"/>
  <c r="AB53" i="2" s="1"/>
  <c r="P55" i="2" l="1" a="1"/>
  <c r="O54" i="2" a="1"/>
  <c r="O55" i="2" a="1"/>
  <c r="P54" i="2" a="1"/>
  <c r="Q55" i="2" l="1"/>
  <c r="W54" i="2"/>
  <c r="W55" i="2"/>
  <c r="Q54" i="2"/>
  <c r="AA55" i="2" l="1"/>
  <c r="AB55" i="2" s="1"/>
  <c r="P57" i="2" a="1"/>
  <c r="P56" i="2" a="1"/>
  <c r="O57" i="2" a="1"/>
  <c r="O56" i="2" a="1"/>
  <c r="AA54" i="2"/>
  <c r="AB54" i="2" s="1"/>
  <c r="Q57" i="2" l="1"/>
  <c r="Q56" i="2"/>
  <c r="W57" i="2"/>
  <c r="W56" i="2"/>
  <c r="AA57" i="2" l="1"/>
  <c r="AB57" i="2" s="1"/>
  <c r="AA56" i="2"/>
  <c r="AB56" i="2" s="1"/>
  <c r="O59" i="2" l="1" a="1"/>
  <c r="P58" i="2" a="1"/>
  <c r="O58" i="2" a="1"/>
  <c r="P59" i="2" a="1"/>
  <c r="O60" i="2" a="1"/>
  <c r="P60" i="2" a="1"/>
  <c r="P61" i="2" a="1"/>
  <c r="O61" i="2" a="1"/>
  <c r="W58" i="2" l="1"/>
  <c r="Q59" i="2"/>
  <c r="W59" i="2"/>
  <c r="Q58" i="2"/>
  <c r="Q60" i="2"/>
  <c r="W61" i="2"/>
  <c r="Q61" i="2"/>
  <c r="W60" i="2"/>
  <c r="AA58" i="2" l="1"/>
  <c r="AB58" i="2" s="1"/>
  <c r="AA59" i="2"/>
  <c r="AB59" i="2" s="1"/>
  <c r="AA60" i="2"/>
  <c r="AB60" i="2" s="1"/>
  <c r="AA61" i="2"/>
  <c r="AB61" i="2" s="1"/>
  <c r="P64" i="2" a="1"/>
  <c r="P65" i="2" a="1"/>
  <c r="O64" i="2" a="1"/>
  <c r="O65" i="2" a="1"/>
  <c r="P63" i="2" l="1" a="1"/>
  <c r="O62" i="2" a="1"/>
  <c r="O63" i="2" a="1"/>
  <c r="P62" i="2" a="1"/>
  <c r="Q65" i="2"/>
  <c r="W64" i="2"/>
  <c r="W65" i="2"/>
  <c r="Q64" i="2"/>
  <c r="W62" i="2" l="1"/>
  <c r="W63" i="2"/>
  <c r="Q63" i="2"/>
  <c r="Q62" i="2"/>
  <c r="AA64" i="2"/>
  <c r="AB64" i="2" s="1"/>
  <c r="AA65" i="2"/>
  <c r="AB65" i="2" s="1"/>
  <c r="AA62" i="2" l="1"/>
  <c r="AB62" i="2" s="1"/>
  <c r="AA63" i="2"/>
  <c r="AB63" i="2" s="1"/>
  <c r="O67" i="2" a="1"/>
  <c r="P66" i="2" a="1"/>
  <c r="P67" i="2" a="1"/>
  <c r="O66" i="2" a="1"/>
  <c r="W67" i="2" l="1"/>
  <c r="W66" i="2"/>
  <c r="Q66" i="2"/>
  <c r="Q67" i="2"/>
  <c r="AA67" i="2" l="1"/>
  <c r="AB67" i="2" s="1"/>
  <c r="AA66" i="2"/>
  <c r="AB66" i="2" s="1"/>
  <c r="P68" i="2" l="1" a="1"/>
  <c r="O68" i="2" a="1"/>
  <c r="P69" i="2" a="1"/>
  <c r="O69" i="2" a="1"/>
  <c r="W68" i="2" l="1"/>
  <c r="Q69" i="2"/>
  <c r="W69" i="2"/>
  <c r="Q68" i="2"/>
  <c r="AA69" i="2" l="1"/>
  <c r="AB69" i="2" s="1"/>
  <c r="AA68" i="2"/>
  <c r="AB68" i="2" s="1"/>
  <c r="O70" i="2" l="1" a="1"/>
  <c r="P70" i="2" a="1"/>
  <c r="O71" i="2" a="1"/>
  <c r="P71" i="2" a="1"/>
  <c r="W71" i="2" l="1"/>
  <c r="W70" i="2"/>
  <c r="Q70" i="2"/>
  <c r="Q71" i="2"/>
  <c r="AA71" i="2" l="1"/>
  <c r="AB71" i="2" s="1"/>
  <c r="AA70" i="2"/>
  <c r="AB70" i="2" s="1"/>
  <c r="P73" i="2" l="1" a="1"/>
  <c r="O73" i="2" a="1"/>
  <c r="P72" i="2" a="1"/>
  <c r="Q72" i="2" s="1"/>
  <c r="O72" i="2" a="1"/>
  <c r="P75" i="2" a="1"/>
  <c r="O74" i="2" a="1"/>
  <c r="P74" i="2" a="1"/>
  <c r="O75" i="2" a="1"/>
  <c r="Q73" i="2" l="1"/>
  <c r="W73" i="2"/>
  <c r="AA73" i="2" s="1"/>
  <c r="AB73" i="2" s="1"/>
  <c r="W72" i="2"/>
  <c r="AA72" i="2" s="1"/>
  <c r="AB72" i="2" s="1"/>
  <c r="W74" i="2"/>
  <c r="Q75" i="2"/>
  <c r="Q74" i="2"/>
  <c r="W75" i="2"/>
  <c r="AA74" i="2" l="1"/>
  <c r="AB74" i="2" s="1"/>
  <c r="AA75" i="2"/>
  <c r="AB75" i="2" s="1"/>
  <c r="P76" i="2" l="1" a="1"/>
  <c r="P77" i="2" a="1"/>
  <c r="O77" i="2" a="1"/>
  <c r="O76" i="2" a="1"/>
  <c r="Q76" i="2" l="1"/>
  <c r="W77" i="2"/>
  <c r="W76" i="2"/>
  <c r="Q77" i="2"/>
  <c r="AA76" i="2" l="1"/>
  <c r="AB76" i="2" s="1"/>
  <c r="AA77" i="2"/>
  <c r="AB77" i="2" s="1"/>
  <c r="P84" i="2" a="1"/>
  <c r="O84" i="2" a="1"/>
  <c r="O85" i="2" a="1"/>
  <c r="P85" i="2" a="1"/>
  <c r="O80" i="2" l="1" a="1"/>
  <c r="O81" i="2" a="1"/>
  <c r="P83" i="2" a="1"/>
  <c r="O83" i="2" a="1"/>
  <c r="W83" i="2" s="1"/>
  <c r="O82" i="2" a="1"/>
  <c r="P82" i="2" a="1"/>
  <c r="Q82" i="2" s="1"/>
  <c r="P80" i="2" a="1"/>
  <c r="P81" i="2" a="1"/>
  <c r="O78" i="2" a="1"/>
  <c r="O79" i="2" a="1"/>
  <c r="P78" i="2" a="1"/>
  <c r="P79" i="2" a="1"/>
  <c r="W85" i="2"/>
  <c r="W84" i="2"/>
  <c r="Q84" i="2"/>
  <c r="Q85" i="2"/>
  <c r="Q80" i="2" l="1"/>
  <c r="Q81" i="2"/>
  <c r="W78" i="2"/>
  <c r="Q79" i="2"/>
  <c r="W80" i="2"/>
  <c r="AA80" i="2" s="1"/>
  <c r="AB80" i="2" s="1"/>
  <c r="Q83" i="2"/>
  <c r="AA83" i="2" s="1"/>
  <c r="AB83" i="2" s="1"/>
  <c r="W82" i="2"/>
  <c r="AA82" i="2" s="1"/>
  <c r="AB82" i="2" s="1"/>
  <c r="W79" i="2"/>
  <c r="Q78" i="2"/>
  <c r="W81" i="2"/>
  <c r="AA81" i="2" s="1"/>
  <c r="AB81" i="2" s="1"/>
  <c r="AA84" i="2"/>
  <c r="AB84" i="2" s="1"/>
  <c r="AA85" i="2"/>
  <c r="AB85" i="2" s="1"/>
  <c r="AA79" i="2" l="1"/>
  <c r="AB79" i="2" s="1"/>
  <c r="AA78" i="2"/>
  <c r="AB78" i="2" s="1"/>
  <c r="O86" i="2" a="1"/>
  <c r="P87" i="2" a="1"/>
  <c r="O87" i="2" a="1"/>
  <c r="W87" i="2" s="1"/>
  <c r="P86" i="2" a="1"/>
  <c r="W86" i="2" l="1"/>
  <c r="Q87" i="2"/>
  <c r="AA87" i="2" s="1"/>
  <c r="AB87" i="2" s="1"/>
  <c r="P89" i="2" a="1"/>
  <c r="O89" i="2" a="1"/>
  <c r="P88" i="2" a="1"/>
  <c r="O88" i="2" a="1"/>
  <c r="Q86" i="2"/>
  <c r="AA86" i="2" s="1"/>
  <c r="AB86" i="2" s="1"/>
  <c r="Q89" i="2" l="1"/>
  <c r="Q88" i="2"/>
  <c r="W89" i="2"/>
  <c r="AA89" i="2" s="1"/>
  <c r="AB89" i="2" s="1"/>
  <c r="W88" i="2"/>
  <c r="AA88" i="2" l="1"/>
  <c r="AB88" i="2" s="1"/>
  <c r="P91" i="2" a="1"/>
  <c r="P90" i="2" a="1"/>
  <c r="O91" i="2" a="1"/>
  <c r="O90" i="2" a="1"/>
  <c r="P92" i="2" a="1"/>
  <c r="Q92" i="2" s="1"/>
  <c r="O93" i="2" a="1"/>
  <c r="W93" i="2" s="1"/>
  <c r="P93" i="2" a="1"/>
  <c r="O92" i="2" a="1"/>
  <c r="W91" i="2" l="1"/>
  <c r="Q90" i="2"/>
  <c r="W92" i="2"/>
  <c r="AA92" i="2" s="1"/>
  <c r="AB92" i="2" s="1"/>
  <c r="Q91" i="2"/>
  <c r="W90" i="2"/>
  <c r="Q93" i="2"/>
  <c r="AA93" i="2" s="1"/>
  <c r="AB93" i="2" s="1"/>
  <c r="O94" i="2" a="1"/>
  <c r="P94" i="2" a="1"/>
  <c r="P95" i="2" a="1"/>
  <c r="O95" i="2" a="1"/>
  <c r="O97" i="2" a="1"/>
  <c r="P97" i="2" a="1"/>
  <c r="O96" i="2" a="1"/>
  <c r="P96" i="2" a="1"/>
  <c r="AA91" i="2" l="1"/>
  <c r="AB91" i="2" s="1"/>
  <c r="AA90" i="2"/>
  <c r="AB90" i="2" s="1"/>
  <c r="W95" i="2"/>
  <c r="W94" i="2"/>
  <c r="Q95" i="2"/>
  <c r="AA95" i="2" s="1"/>
  <c r="AB95" i="2" s="1"/>
  <c r="Q94" i="2"/>
  <c r="W97" i="2"/>
  <c r="W96" i="2"/>
  <c r="Q97" i="2"/>
  <c r="Q96" i="2"/>
  <c r="AA94" i="2" l="1"/>
  <c r="AB94" i="2" s="1"/>
  <c r="AA96" i="2"/>
  <c r="AB96" i="2" s="1"/>
  <c r="AA97" i="2"/>
  <c r="AB97" i="2" s="1"/>
  <c r="P98" i="2" l="1" a="1"/>
  <c r="O99" i="2" a="1"/>
  <c r="O98" i="2" a="1"/>
  <c r="P99" i="2" a="1"/>
  <c r="W99" i="2" l="1"/>
  <c r="Q98" i="2"/>
  <c r="W98" i="2"/>
  <c r="Q99" i="2"/>
  <c r="AA98" i="2" l="1"/>
  <c r="AB98" i="2" s="1"/>
  <c r="AA99" i="2"/>
  <c r="AB99" i="2" s="1"/>
  <c r="P102" i="2" l="1" a="1"/>
  <c r="O101" i="2" a="1"/>
  <c r="P101" i="2" a="1"/>
  <c r="O102" i="2" a="1"/>
  <c r="O100" i="2" a="1"/>
  <c r="P103" i="2" a="1"/>
  <c r="O103" i="2" a="1"/>
  <c r="P100" i="2" a="1"/>
  <c r="W100" i="2" l="1"/>
  <c r="Q102" i="2"/>
  <c r="W101" i="2"/>
  <c r="W103" i="2"/>
  <c r="Q101" i="2"/>
  <c r="W102" i="2"/>
  <c r="Q103" i="2"/>
  <c r="Q100" i="2"/>
  <c r="AA103" i="2" l="1"/>
  <c r="AB103" i="2" s="1"/>
  <c r="AA100" i="2"/>
  <c r="AB100" i="2" s="1"/>
  <c r="AA101" i="2"/>
  <c r="AB101" i="2" s="1"/>
  <c r="AA102" i="2"/>
  <c r="AB102" i="2" s="1"/>
  <c r="O106" i="2" a="1"/>
  <c r="P106" i="2" a="1"/>
  <c r="P107" i="2" a="1"/>
  <c r="O107" i="2" a="1"/>
  <c r="O105" i="2" a="1"/>
  <c r="P105" i="2" a="1"/>
  <c r="O104" i="2" a="1"/>
  <c r="P104" i="2" a="1"/>
  <c r="Q106" i="2" l="1"/>
  <c r="Q107" i="2"/>
  <c r="W105" i="2"/>
  <c r="Q104" i="2"/>
  <c r="W106" i="2"/>
  <c r="Q105" i="2"/>
  <c r="W104" i="2"/>
  <c r="W107" i="2"/>
  <c r="AA106" i="2" l="1"/>
  <c r="AB106" i="2" s="1"/>
  <c r="AA105" i="2"/>
  <c r="AB105" i="2" s="1"/>
  <c r="AA104" i="2"/>
  <c r="AB104" i="2" s="1"/>
  <c r="AA107" i="2"/>
  <c r="AB107" i="2" s="1"/>
  <c r="P110" i="2" a="1"/>
  <c r="O110" i="2" a="1"/>
  <c r="P111" i="2" a="1"/>
  <c r="P108" i="2" a="1"/>
  <c r="P109" i="2" a="1"/>
  <c r="O108" i="2" a="1"/>
  <c r="O109" i="2" a="1"/>
  <c r="O111" i="2" a="1"/>
  <c r="Q109" i="2" l="1"/>
  <c r="Q108" i="2"/>
  <c r="W110" i="2"/>
  <c r="W111" i="2"/>
  <c r="Q111" i="2"/>
  <c r="AA111" i="2" s="1"/>
  <c r="AB111" i="2" s="1"/>
  <c r="W108" i="2"/>
  <c r="W109" i="2"/>
  <c r="Q110" i="2"/>
  <c r="AA109" i="2" l="1"/>
  <c r="AB109" i="2" s="1"/>
  <c r="AA108" i="2"/>
  <c r="AB108" i="2" s="1"/>
  <c r="AA110" i="2"/>
  <c r="AB110" i="2" s="1"/>
  <c r="P112" i="2" a="1"/>
  <c r="P113" i="2" a="1"/>
  <c r="O113" i="2" a="1"/>
  <c r="O112" i="2" a="1"/>
  <c r="Q113" i="2" l="1"/>
  <c r="Q112" i="2"/>
  <c r="W113" i="2"/>
  <c r="AA113" i="2" s="1"/>
  <c r="AB113" i="2" s="1"/>
  <c r="W112" i="2"/>
  <c r="AA112" i="2" l="1"/>
  <c r="AB112" i="2" s="1"/>
  <c r="O114" i="2" a="1"/>
  <c r="O115" i="2" a="1"/>
  <c r="P114" i="2" a="1"/>
  <c r="P115" i="2" a="1"/>
  <c r="Q115" i="2" l="1"/>
  <c r="W114" i="2"/>
  <c r="Q114" i="2"/>
  <c r="W115" i="2"/>
  <c r="AA115" i="2" l="1"/>
  <c r="AB115" i="2" s="1"/>
  <c r="AA114" i="2"/>
  <c r="AB114" i="2" s="1"/>
  <c r="P116" i="2" l="1" a="1"/>
  <c r="O117" i="2" a="1"/>
  <c r="W117" i="2" s="1"/>
  <c r="P117" i="2" a="1"/>
  <c r="O116" i="2" a="1"/>
  <c r="W116" i="2" s="1"/>
  <c r="Q116" i="2" l="1"/>
  <c r="AA116" i="2" s="1"/>
  <c r="AB116" i="2" s="1"/>
  <c r="Q117" i="2"/>
  <c r="AA117" i="2" s="1"/>
  <c r="AB117" i="2" s="1"/>
  <c r="P125" i="2" a="1"/>
  <c r="P123" i="2" a="1"/>
  <c r="P124" i="2" a="1"/>
  <c r="O124" i="2" a="1"/>
  <c r="O123" i="2" a="1"/>
  <c r="P122" i="2" a="1"/>
  <c r="O125" i="2" a="1"/>
  <c r="O122" i="2" a="1"/>
  <c r="P121" i="2" l="1" a="1"/>
  <c r="O118" i="2" a="1"/>
  <c r="P118" i="2" a="1"/>
  <c r="P120" i="2" a="1"/>
  <c r="O119" i="2" a="1"/>
  <c r="P119" i="2" a="1"/>
  <c r="O121" i="2" a="1"/>
  <c r="O120" i="2" a="1"/>
  <c r="W122" i="2"/>
  <c r="W124" i="2"/>
  <c r="Q125" i="2"/>
  <c r="Q123" i="2"/>
  <c r="W123" i="2"/>
  <c r="Q122" i="2"/>
  <c r="W125" i="2"/>
  <c r="Q124" i="2"/>
  <c r="Q118" i="2" l="1"/>
  <c r="W120" i="2"/>
  <c r="AA122" i="2"/>
  <c r="AB122" i="2" s="1"/>
  <c r="Q121" i="2"/>
  <c r="W119" i="2"/>
  <c r="Q119" i="2"/>
  <c r="AA119" i="2" s="1"/>
  <c r="AB119" i="2" s="1"/>
  <c r="W121" i="2"/>
  <c r="AA123" i="2"/>
  <c r="AB123" i="2" s="1"/>
  <c r="W118" i="2"/>
  <c r="Q120" i="2"/>
  <c r="AA124" i="2"/>
  <c r="AB124" i="2" s="1"/>
  <c r="AA125" i="2"/>
  <c r="AB125" i="2" s="1"/>
  <c r="P133" i="2" a="1"/>
  <c r="O131" i="2" a="1"/>
  <c r="O132" i="2" a="1"/>
  <c r="P130" i="2" a="1"/>
  <c r="P132" i="2" a="1"/>
  <c r="O133" i="2" a="1"/>
  <c r="O130" i="2" a="1"/>
  <c r="P131" i="2" a="1"/>
  <c r="P135" i="2" a="1"/>
  <c r="O134" i="2" a="1"/>
  <c r="AA121" i="2" l="1"/>
  <c r="AB121" i="2" s="1"/>
  <c r="AA118" i="2"/>
  <c r="AB118" i="2" s="1"/>
  <c r="AA120" i="2"/>
  <c r="AB120" i="2" s="1"/>
  <c r="P127" i="2" a="1"/>
  <c r="P128" i="2" a="1"/>
  <c r="O129" i="2" a="1"/>
  <c r="O126" i="2" a="1"/>
  <c r="P126" i="2" a="1"/>
  <c r="Q126" i="2" s="1"/>
  <c r="O127" i="2" a="1"/>
  <c r="O128" i="2" a="1"/>
  <c r="P129" i="2" a="1"/>
  <c r="Q129" i="2" s="1"/>
  <c r="W133" i="2"/>
  <c r="Q130" i="2"/>
  <c r="Q132" i="2"/>
  <c r="Q131" i="2"/>
  <c r="Q133" i="2"/>
  <c r="W132" i="2"/>
  <c r="W130" i="2"/>
  <c r="W131" i="2"/>
  <c r="P134" i="2" l="1" a="1"/>
  <c r="O135" i="2" a="1"/>
  <c r="Q128" i="2"/>
  <c r="Q127" i="2"/>
  <c r="W129" i="2"/>
  <c r="AA129" i="2" s="1"/>
  <c r="AB129" i="2" s="1"/>
  <c r="W126" i="2"/>
  <c r="AA126" i="2" s="1"/>
  <c r="AB126" i="2" s="1"/>
  <c r="W127" i="2"/>
  <c r="AA133" i="2"/>
  <c r="AB133" i="2" s="1"/>
  <c r="W128" i="2"/>
  <c r="AA131" i="2"/>
  <c r="AB131" i="2" s="1"/>
  <c r="AA132" i="2"/>
  <c r="AB132" i="2" s="1"/>
  <c r="AA130" i="2"/>
  <c r="AB130" i="2" s="1"/>
  <c r="O137" i="2" a="1"/>
  <c r="P137" i="2" a="1"/>
  <c r="P136" i="2" a="1"/>
  <c r="O136" i="2" a="1"/>
  <c r="Q134" i="2" l="1"/>
  <c r="W134" i="2"/>
  <c r="AA134" i="2" s="1"/>
  <c r="AB134" i="2" s="1"/>
  <c r="W135" i="2"/>
  <c r="Q135" i="2"/>
  <c r="AA127" i="2"/>
  <c r="AB127" i="2" s="1"/>
  <c r="AA128" i="2"/>
  <c r="AB128" i="2" s="1"/>
  <c r="W137" i="2"/>
  <c r="W136" i="2"/>
  <c r="Q137" i="2"/>
  <c r="Q136" i="2"/>
  <c r="AA135" i="2" l="1"/>
  <c r="AB135" i="2" s="1"/>
  <c r="AA137" i="2"/>
  <c r="AB137" i="2" s="1"/>
  <c r="AA136" i="2"/>
  <c r="AB136" i="2" s="1"/>
  <c r="O139" i="2" a="1"/>
  <c r="P139" i="2" a="1"/>
  <c r="P138" i="2" a="1"/>
  <c r="O138" i="2" a="1"/>
  <c r="O140" i="2" a="1"/>
  <c r="O141" i="2" a="1"/>
  <c r="P140" i="2" a="1"/>
  <c r="P141" i="2" a="1"/>
  <c r="Q141" i="2" l="1"/>
  <c r="Q139" i="2"/>
  <c r="W140" i="2"/>
  <c r="Q138" i="2"/>
  <c r="W139" i="2"/>
  <c r="W138" i="2"/>
  <c r="W141" i="2"/>
  <c r="Q140" i="2"/>
  <c r="AA141" i="2" l="1"/>
  <c r="AB141" i="2" s="1"/>
  <c r="AA139" i="2"/>
  <c r="AB139" i="2" s="1"/>
  <c r="P142" i="2" a="1"/>
  <c r="O144" i="2" a="1"/>
  <c r="W144" i="2" s="1"/>
  <c r="O145" i="2" a="1"/>
  <c r="P143" i="2" a="1"/>
  <c r="O142" i="2" a="1"/>
  <c r="P145" i="2" a="1"/>
  <c r="P144" i="2" a="1"/>
  <c r="O143" i="2" a="1"/>
  <c r="W143" i="2" s="1"/>
  <c r="AA138" i="2"/>
  <c r="AB138" i="2" s="1"/>
  <c r="AA140" i="2"/>
  <c r="AB140" i="2" s="1"/>
  <c r="W142" i="2" l="1"/>
  <c r="Q145" i="2"/>
  <c r="Q144" i="2"/>
  <c r="AA144" i="2" s="1"/>
  <c r="AB144" i="2" s="1"/>
  <c r="W145" i="2"/>
  <c r="AA145" i="2" s="1"/>
  <c r="AB145" i="2" s="1"/>
  <c r="Q143" i="2"/>
  <c r="AA143" i="2" s="1"/>
  <c r="AB143" i="2" s="1"/>
  <c r="Q142" i="2"/>
  <c r="AA142" i="2" s="1"/>
  <c r="AB142" i="2" s="1"/>
  <c r="O149" i="2" a="1"/>
  <c r="P149" i="2" a="1"/>
  <c r="P148" i="2" a="1"/>
  <c r="O148" i="2" a="1"/>
  <c r="P147" i="2" l="1" a="1"/>
  <c r="P146" i="2" a="1"/>
  <c r="O147" i="2" a="1"/>
  <c r="O146" i="2" a="1"/>
  <c r="W149" i="2"/>
  <c r="Q148" i="2"/>
  <c r="Q149" i="2"/>
  <c r="W148" i="2"/>
  <c r="W147" i="2" l="1"/>
  <c r="W146" i="2"/>
  <c r="Q147" i="2"/>
  <c r="AA147" i="2" s="1"/>
  <c r="AB147" i="2" s="1"/>
  <c r="Q146" i="2"/>
  <c r="AA149" i="2"/>
  <c r="AB149" i="2" s="1"/>
  <c r="AA148" i="2"/>
  <c r="AB148" i="2" s="1"/>
  <c r="O150" i="2" a="1"/>
  <c r="P150" i="2" a="1"/>
  <c r="O151" i="2" a="1"/>
  <c r="P151" i="2" a="1"/>
  <c r="O155" i="2" a="1"/>
  <c r="P155" i="2" a="1"/>
  <c r="O154" i="2" a="1"/>
  <c r="O153" i="2" a="1"/>
  <c r="P154" i="2" a="1"/>
  <c r="P153" i="2" a="1"/>
  <c r="P152" i="2" a="1"/>
  <c r="O152" i="2" a="1"/>
  <c r="AA146" i="2" l="1"/>
  <c r="AB146" i="2" s="1"/>
  <c r="Q150" i="2"/>
  <c r="Q151" i="2"/>
  <c r="Q155" i="2"/>
  <c r="Q154" i="2"/>
  <c r="W152" i="2"/>
  <c r="W153" i="2"/>
  <c r="W150" i="2"/>
  <c r="W151" i="2"/>
  <c r="W155" i="2"/>
  <c r="W154" i="2"/>
  <c r="Q153" i="2"/>
  <c r="Q152" i="2"/>
  <c r="AA150" i="2" l="1"/>
  <c r="AB150" i="2" s="1"/>
  <c r="AA151" i="2"/>
  <c r="AB151" i="2" s="1"/>
  <c r="AA155" i="2"/>
  <c r="AB155" i="2" s="1"/>
  <c r="AA154" i="2"/>
  <c r="AB154" i="2" s="1"/>
  <c r="AA153" i="2"/>
  <c r="AB153" i="2" s="1"/>
  <c r="AA152" i="2"/>
  <c r="AB152" i="2" s="1"/>
  <c r="O157" i="2" a="1"/>
  <c r="P156" i="2" a="1"/>
  <c r="P157" i="2" a="1"/>
  <c r="O156" i="2" a="1"/>
  <c r="Q156" i="2" l="1"/>
  <c r="Q157" i="2"/>
  <c r="W157" i="2"/>
  <c r="W156" i="2"/>
  <c r="AA156" i="2" l="1"/>
  <c r="AB156" i="2" s="1"/>
  <c r="AA157" i="2"/>
  <c r="AB157" i="2" s="1"/>
  <c r="P158" i="2" a="1"/>
  <c r="O159" i="2" a="1"/>
  <c r="P159" i="2" a="1"/>
  <c r="O158" i="2" a="1"/>
  <c r="O161" i="2" a="1"/>
  <c r="P160" i="2" a="1"/>
  <c r="O160" i="2" a="1"/>
  <c r="P161" i="2" a="1"/>
  <c r="P163" i="2" l="1" a="1"/>
  <c r="O162" i="2" a="1"/>
  <c r="P162" i="2" a="1"/>
  <c r="O163" i="2" a="1"/>
  <c r="W161" i="2"/>
  <c r="W160" i="2"/>
  <c r="W159" i="2"/>
  <c r="W158" i="2"/>
  <c r="Q158" i="2"/>
  <c r="Q159" i="2"/>
  <c r="Q160" i="2"/>
  <c r="Q161" i="2"/>
  <c r="W162" i="2" l="1"/>
  <c r="Q163" i="2"/>
  <c r="AA159" i="2"/>
  <c r="AB159" i="2" s="1"/>
  <c r="Q162" i="2"/>
  <c r="AA162" i="2" s="1"/>
  <c r="AB162" i="2" s="1"/>
  <c r="W163" i="2"/>
  <c r="AA158" i="2"/>
  <c r="AB158" i="2" s="1"/>
  <c r="AA160" i="2"/>
  <c r="AB160" i="2" s="1"/>
  <c r="AA161" i="2"/>
  <c r="AB161" i="2" s="1"/>
  <c r="O164" i="2" a="1"/>
  <c r="O165" i="2" a="1"/>
  <c r="P165" i="2" a="1"/>
  <c r="P164" i="2" a="1"/>
  <c r="AA163" i="2" l="1"/>
  <c r="AB163" i="2" s="1"/>
  <c r="Q164" i="2"/>
  <c r="W165" i="2"/>
  <c r="W164" i="2"/>
  <c r="Q165" i="2"/>
  <c r="AA164" i="2" l="1"/>
  <c r="AB164" i="2" s="1"/>
  <c r="AA165" i="2"/>
  <c r="AB165" i="2" s="1"/>
  <c r="P166" i="2" l="1" a="1"/>
  <c r="P167" i="2" a="1"/>
  <c r="O166" i="2" a="1"/>
  <c r="P168" i="2" a="1"/>
  <c r="O167" i="2" a="1"/>
  <c r="O169" i="2" a="1"/>
  <c r="O168" i="2" a="1"/>
  <c r="P169" i="2" a="1"/>
  <c r="Q168" i="2" l="1"/>
  <c r="Q166" i="2"/>
  <c r="Q167" i="2"/>
  <c r="W169" i="2"/>
  <c r="W166" i="2"/>
  <c r="W167" i="2"/>
  <c r="W168" i="2"/>
  <c r="Q169" i="2"/>
  <c r="AA166" i="2" l="1"/>
  <c r="AB166" i="2" s="1"/>
  <c r="AA168" i="2"/>
  <c r="AB168" i="2" s="1"/>
  <c r="AA167" i="2"/>
  <c r="AB167" i="2" s="1"/>
  <c r="AA169" i="2"/>
  <c r="AB169" i="2" s="1"/>
  <c r="P170" i="2" l="1" a="1"/>
  <c r="P171" i="2" a="1"/>
  <c r="O170" i="2" a="1"/>
  <c r="W170" i="2" s="1"/>
  <c r="O171" i="2" a="1"/>
  <c r="W171" i="2" s="1"/>
  <c r="P172" i="2" a="1"/>
  <c r="O172" i="2" a="1"/>
  <c r="P173" i="2" a="1"/>
  <c r="O173" i="2" a="1"/>
  <c r="Q171" i="2" l="1"/>
  <c r="AA171" i="2" s="1"/>
  <c r="AB171" i="2" s="1"/>
  <c r="Q170" i="2"/>
  <c r="AA170" i="2" s="1"/>
  <c r="AB170" i="2" s="1"/>
  <c r="Q172" i="2"/>
  <c r="W173" i="2"/>
  <c r="W172" i="2"/>
  <c r="Q173" i="2"/>
  <c r="AA173" i="2" l="1"/>
  <c r="AB173" i="2" s="1"/>
  <c r="AA172" i="2"/>
  <c r="AB172" i="2" s="1"/>
  <c r="P174" i="2" a="1"/>
  <c r="O174" i="2" a="1"/>
  <c r="W174" i="2" s="1"/>
  <c r="P175" i="2" a="1"/>
  <c r="O175" i="2" a="1"/>
  <c r="Q175" i="2" l="1"/>
  <c r="Q174" i="2"/>
  <c r="AA174" i="2" s="1"/>
  <c r="AB174" i="2" s="1"/>
  <c r="W175" i="2"/>
  <c r="AA175" i="2" l="1"/>
  <c r="AB175" i="2" s="1"/>
  <c r="O176" i="2" a="1"/>
  <c r="O177" i="2" a="1"/>
  <c r="W177" i="2" s="1"/>
  <c r="P176" i="2" a="1"/>
  <c r="P177" i="2" a="1"/>
  <c r="Q176" i="2" l="1"/>
  <c r="W176" i="2"/>
  <c r="AA176" i="2" s="1"/>
  <c r="AB176" i="2" s="1"/>
  <c r="Q177" i="2"/>
  <c r="AA177" i="2" s="1"/>
  <c r="AB177" i="2" s="1"/>
  <c r="P181" i="2" a="1"/>
  <c r="P178" i="2" a="1"/>
  <c r="P179" i="2" a="1"/>
  <c r="Q179" i="2" s="1"/>
  <c r="O179" i="2" a="1"/>
  <c r="O178" i="2" a="1"/>
  <c r="W178" i="2" s="1"/>
  <c r="P180" i="2" a="1"/>
  <c r="O181" i="2" a="1"/>
  <c r="O180" i="2" a="1"/>
  <c r="O182" i="2" a="1"/>
  <c r="P183" i="2" a="1"/>
  <c r="P182" i="2" a="1"/>
  <c r="O183" i="2" a="1"/>
  <c r="Q178" i="2" l="1"/>
  <c r="AA178" i="2" s="1"/>
  <c r="AB178" i="2" s="1"/>
  <c r="W179" i="2"/>
  <c r="AA179" i="2" s="1"/>
  <c r="AB179" i="2" s="1"/>
  <c r="W181" i="2"/>
  <c r="Q181" i="2"/>
  <c r="W180" i="2"/>
  <c r="Q180" i="2"/>
  <c r="W182" i="2"/>
  <c r="Q183" i="2"/>
  <c r="Q182" i="2"/>
  <c r="W183" i="2"/>
  <c r="AA180" i="2" l="1"/>
  <c r="AB180" i="2" s="1"/>
  <c r="AA181" i="2"/>
  <c r="AB181" i="2" s="1"/>
  <c r="AA182" i="2"/>
  <c r="AB182" i="2" s="1"/>
  <c r="AA183" i="2"/>
  <c r="AB183" i="2" s="1"/>
  <c r="O185" i="2" l="1" a="1"/>
  <c r="P186" i="2" a="1"/>
  <c r="P185" i="2" a="1"/>
  <c r="P187" i="2" a="1"/>
  <c r="O184" i="2" a="1"/>
  <c r="O186" i="2" a="1"/>
  <c r="O187" i="2" a="1"/>
  <c r="P184" i="2" a="1"/>
  <c r="W184" i="2" l="1"/>
  <c r="Q186" i="2"/>
  <c r="Q185" i="2"/>
  <c r="W187" i="2"/>
  <c r="W185" i="2"/>
  <c r="Q187" i="2"/>
  <c r="W186" i="2"/>
  <c r="Q184" i="2"/>
  <c r="AA185" i="2" l="1"/>
  <c r="AB185" i="2" s="1"/>
  <c r="AA184" i="2"/>
  <c r="AB184" i="2" s="1"/>
  <c r="AA187" i="2"/>
  <c r="AB187" i="2" s="1"/>
  <c r="AA186" i="2"/>
  <c r="AB186" i="2" s="1"/>
  <c r="P189" i="2" a="1"/>
  <c r="O189" i="2" a="1"/>
  <c r="P188" i="2" a="1"/>
  <c r="O188" i="2" a="1"/>
  <c r="O191" i="2" a="1"/>
  <c r="O190" i="2" a="1"/>
  <c r="P191" i="2" a="1"/>
  <c r="P190" i="2" a="1"/>
  <c r="P192" i="2" a="1"/>
  <c r="P193" i="2" a="1"/>
  <c r="O192" i="2" a="1"/>
  <c r="O193" i="2" a="1"/>
  <c r="W190" i="2" l="1"/>
  <c r="W188" i="2"/>
  <c r="W189" i="2"/>
  <c r="Q191" i="2"/>
  <c r="Q189" i="2"/>
  <c r="Q188" i="2"/>
  <c r="W191" i="2"/>
  <c r="W193" i="2"/>
  <c r="Q190" i="2"/>
  <c r="W192" i="2"/>
  <c r="Q193" i="2"/>
  <c r="Q192" i="2"/>
  <c r="AA188" i="2" l="1"/>
  <c r="AB188" i="2" s="1"/>
  <c r="AA191" i="2"/>
  <c r="AB191" i="2" s="1"/>
  <c r="AA190" i="2"/>
  <c r="AB190" i="2" s="1"/>
  <c r="AA189" i="2"/>
  <c r="AB189" i="2" s="1"/>
  <c r="AA193" i="2"/>
  <c r="AB193" i="2" s="1"/>
  <c r="O194" i="2" a="1"/>
  <c r="O195" i="2" a="1"/>
  <c r="P194" i="2" a="1"/>
  <c r="P195" i="2" a="1"/>
  <c r="AA192" i="2"/>
  <c r="AB192" i="2" s="1"/>
  <c r="Q194" i="2" l="1"/>
  <c r="Q195" i="2"/>
  <c r="W195" i="2"/>
  <c r="W194" i="2"/>
  <c r="AA194" i="2" l="1"/>
  <c r="AB194" i="2" s="1"/>
  <c r="AA195" i="2"/>
  <c r="AB195" i="2" s="1"/>
  <c r="O196" i="2" a="1"/>
  <c r="O197" i="2" a="1"/>
  <c r="W197" i="2" s="1"/>
  <c r="P197" i="2" a="1"/>
  <c r="P196" i="2" a="1"/>
  <c r="Q196" i="2" s="1"/>
  <c r="P201" i="2" a="1"/>
  <c r="O200" i="2" a="1"/>
  <c r="P198" i="2" a="1"/>
  <c r="O199" i="2" a="1"/>
  <c r="P199" i="2" a="1"/>
  <c r="P200" i="2" a="1"/>
  <c r="O198" i="2" a="1"/>
  <c r="O201" i="2" a="1"/>
  <c r="W201" i="2" s="1"/>
  <c r="Q200" i="2" l="1"/>
  <c r="W199" i="2"/>
  <c r="W198" i="2"/>
  <c r="W196" i="2"/>
  <c r="AA196" i="2" s="1"/>
  <c r="AB196" i="2" s="1"/>
  <c r="Q197" i="2"/>
  <c r="AA197" i="2" s="1"/>
  <c r="AB197" i="2" s="1"/>
  <c r="Q201" i="2"/>
  <c r="AA201" i="2" s="1"/>
  <c r="AB201" i="2" s="1"/>
  <c r="W200" i="2"/>
  <c r="Q198" i="2"/>
  <c r="Q199" i="2"/>
  <c r="P203" i="2" a="1"/>
  <c r="P202" i="2" a="1"/>
  <c r="O203" i="2" a="1"/>
  <c r="O202" i="2" a="1"/>
  <c r="AA200" i="2" l="1"/>
  <c r="AB200" i="2" s="1"/>
  <c r="AA198" i="2"/>
  <c r="AB198" i="2" s="1"/>
  <c r="AA199" i="2"/>
  <c r="AB199" i="2" s="1"/>
  <c r="Q202" i="2"/>
  <c r="Q203" i="2"/>
  <c r="W203" i="2"/>
  <c r="W202" i="2"/>
  <c r="AA203" i="2" l="1"/>
  <c r="AB203" i="2" s="1"/>
  <c r="AA202" i="2"/>
  <c r="AB202" i="2" s="1"/>
  <c r="O209" i="2" a="1"/>
  <c r="O208" i="2" a="1"/>
  <c r="P209" i="2" a="1"/>
  <c r="P208" i="2" a="1"/>
  <c r="P206" i="2" l="1" a="1"/>
  <c r="O207" i="2" a="1"/>
  <c r="P207" i="2" a="1"/>
  <c r="O204" i="2" a="1"/>
  <c r="W204" i="2" s="1"/>
  <c r="O206" i="2" a="1"/>
  <c r="P205" i="2" a="1"/>
  <c r="O205" i="2" a="1"/>
  <c r="W205" i="2" s="1"/>
  <c r="P204" i="2" a="1"/>
  <c r="Q208" i="2"/>
  <c r="W209" i="2"/>
  <c r="W208" i="2"/>
  <c r="Q209" i="2"/>
  <c r="Q206" i="2" l="1"/>
  <c r="Q207" i="2"/>
  <c r="W207" i="2"/>
  <c r="AA207" i="2" s="1"/>
  <c r="AB207" i="2" s="1"/>
  <c r="W206" i="2"/>
  <c r="AA206" i="2" s="1"/>
  <c r="AB206" i="2" s="1"/>
  <c r="Q205" i="2"/>
  <c r="AA205" i="2" s="1"/>
  <c r="AB205" i="2" s="1"/>
  <c r="Q204" i="2"/>
  <c r="AA204" i="2" s="1"/>
  <c r="AB204" i="2" s="1"/>
  <c r="AA208" i="2"/>
  <c r="AB208" i="2" s="1"/>
  <c r="AA209" i="2"/>
  <c r="AB209" i="2" s="1"/>
  <c r="O211" i="2" l="1" a="1"/>
  <c r="O210" i="2" a="1"/>
  <c r="P211" i="2" a="1"/>
  <c r="P210" i="2" a="1"/>
  <c r="W210" i="2" l="1"/>
  <c r="Q211" i="2"/>
  <c r="W211" i="2"/>
  <c r="Q210" i="2"/>
  <c r="AA210" i="2" l="1"/>
  <c r="AB210" i="2" s="1"/>
  <c r="AA211" i="2"/>
  <c r="AB211" i="2" s="1"/>
  <c r="P212" i="2" l="1" a="1"/>
  <c r="O212" i="2" a="1"/>
  <c r="O213" i="2" a="1"/>
  <c r="P213" i="2" a="1"/>
  <c r="W213" i="2" l="1"/>
  <c r="W212" i="2"/>
  <c r="Q213" i="2"/>
  <c r="Q212" i="2"/>
  <c r="AA213" i="2" l="1"/>
  <c r="AB213" i="2" s="1"/>
  <c r="AA212" i="2"/>
  <c r="AB212" i="2" s="1"/>
  <c r="P218" i="2" l="1" a="1"/>
  <c r="O217" i="2" a="1"/>
  <c r="P216" i="2" a="1"/>
  <c r="P219" i="2" a="1"/>
  <c r="Q219" i="2" s="1"/>
  <c r="O218" i="2" a="1"/>
  <c r="W218" i="2" s="1"/>
  <c r="O219" i="2" a="1"/>
  <c r="O215" i="2" a="1"/>
  <c r="P214" i="2" a="1"/>
  <c r="Q214" i="2" s="1"/>
  <c r="P215" i="2" a="1"/>
  <c r="O214" i="2" a="1"/>
  <c r="O216" i="2" a="1"/>
  <c r="P217" i="2" a="1"/>
  <c r="Q218" i="2" l="1"/>
  <c r="AA218" i="2" s="1"/>
  <c r="AB218" i="2" s="1"/>
  <c r="W215" i="2"/>
  <c r="W219" i="2"/>
  <c r="AA219" i="2" s="1"/>
  <c r="AB219" i="2" s="1"/>
  <c r="Q215" i="2"/>
  <c r="W214" i="2"/>
  <c r="AA214" i="2" s="1"/>
  <c r="AB214" i="2" s="1"/>
  <c r="Q216" i="2"/>
  <c r="W216" i="2"/>
  <c r="Q217" i="2"/>
  <c r="W217" i="2"/>
  <c r="AA217" i="2" s="1"/>
  <c r="AB217" i="2" s="1"/>
  <c r="AA215" i="2" l="1"/>
  <c r="AB215" i="2" s="1"/>
  <c r="P222" i="2" a="1"/>
  <c r="O220" i="2" a="1"/>
  <c r="P221" i="2" a="1"/>
  <c r="P220" i="2" a="1"/>
  <c r="O223" i="2" a="1"/>
  <c r="O222" i="2" a="1"/>
  <c r="W222" i="2" s="1"/>
  <c r="O221" i="2" a="1"/>
  <c r="P223" i="2" a="1"/>
  <c r="AA216" i="2"/>
  <c r="AB216" i="2" s="1"/>
  <c r="W220" i="2" l="1"/>
  <c r="Q223" i="2"/>
  <c r="Q221" i="2"/>
  <c r="Q222" i="2"/>
  <c r="AA222" i="2" s="1"/>
  <c r="AB222" i="2" s="1"/>
  <c r="W223" i="2"/>
  <c r="AA223" i="2" s="1"/>
  <c r="AB223" i="2" s="1"/>
  <c r="W221" i="2"/>
  <c r="AA221" i="2" s="1"/>
  <c r="AB221" i="2" s="1"/>
  <c r="Q220" i="2"/>
  <c r="AA220" i="2" l="1"/>
  <c r="AB220" i="2" s="1"/>
  <c r="O226" i="2" a="1"/>
  <c r="W226" i="2" s="1"/>
  <c r="O224" i="2" a="1"/>
  <c r="P225" i="2" a="1"/>
  <c r="O225" i="2" a="1"/>
  <c r="P224" i="2" a="1"/>
  <c r="P227" i="2" a="1"/>
  <c r="P226" i="2" a="1"/>
  <c r="O227" i="2" a="1"/>
  <c r="W224" i="2" l="1"/>
  <c r="W225" i="2"/>
  <c r="Q227" i="2"/>
  <c r="Q226" i="2"/>
  <c r="AA226" i="2" s="1"/>
  <c r="AB226" i="2" s="1"/>
  <c r="Q225" i="2"/>
  <c r="Q224" i="2"/>
  <c r="W227" i="2"/>
  <c r="O229" i="2" a="1"/>
  <c r="P228" i="2" a="1"/>
  <c r="P229" i="2" a="1"/>
  <c r="O228" i="2" a="1"/>
  <c r="AA225" i="2" l="1"/>
  <c r="AB225" i="2" s="1"/>
  <c r="AA224" i="2"/>
  <c r="AB224" i="2" s="1"/>
  <c r="AA227" i="2"/>
  <c r="AB227" i="2" s="1"/>
  <c r="W228" i="2"/>
  <c r="Q229" i="2"/>
  <c r="Q228" i="2"/>
  <c r="W229" i="2"/>
  <c r="AA228" i="2" l="1"/>
  <c r="AB228" i="2" s="1"/>
  <c r="AA229" i="2"/>
  <c r="AB229" i="2" s="1"/>
  <c r="O231" i="2" a="1"/>
  <c r="P230" i="2" a="1"/>
  <c r="O230" i="2" a="1"/>
  <c r="P231" i="2" a="1"/>
  <c r="W231" i="2" l="1"/>
  <c r="Q230" i="2"/>
  <c r="W230" i="2"/>
  <c r="Q231" i="2"/>
  <c r="AA230" i="2" l="1"/>
  <c r="AB230" i="2" s="1"/>
  <c r="AA231" i="2"/>
  <c r="AB231" i="2" s="1"/>
  <c r="P233" i="2" l="1" a="1"/>
  <c r="Q233" i="2" s="1"/>
  <c r="O232" i="2" a="1"/>
  <c r="P232" i="2" a="1"/>
  <c r="O233" i="2" a="1"/>
  <c r="P234" i="2" a="1"/>
  <c r="P235" i="2" a="1"/>
  <c r="O234" i="2" a="1"/>
  <c r="O235" i="2" a="1"/>
  <c r="Q232" i="2" l="1"/>
  <c r="W232" i="2"/>
  <c r="W233" i="2"/>
  <c r="AA233" i="2" s="1"/>
  <c r="AB233" i="2" s="1"/>
  <c r="Q234" i="2"/>
  <c r="Q235" i="2"/>
  <c r="W234" i="2"/>
  <c r="W235" i="2"/>
  <c r="AA232" i="2" l="1"/>
  <c r="AB232" i="2" s="1"/>
  <c r="AA234" i="2"/>
  <c r="AB234" i="2" s="1"/>
  <c r="AA235" i="2"/>
  <c r="AB235" i="2" s="1"/>
  <c r="P236" i="2" l="1" a="1"/>
  <c r="P237" i="2" a="1"/>
  <c r="O236" i="2" a="1"/>
  <c r="O237" i="2" a="1"/>
  <c r="Q237" i="2" l="1"/>
  <c r="W236" i="2"/>
  <c r="Q236" i="2"/>
  <c r="W237" i="2"/>
  <c r="AA237" i="2" l="1"/>
  <c r="AB237" i="2" s="1"/>
  <c r="AA236" i="2"/>
  <c r="AB236" i="2" s="1"/>
  <c r="P239" i="2" l="1" a="1"/>
  <c r="P238" i="2" a="1"/>
  <c r="Q238" i="2" s="1"/>
  <c r="O239" i="2" a="1"/>
  <c r="O238" i="2" a="1"/>
  <c r="W239" i="2" l="1"/>
  <c r="W238" i="2"/>
  <c r="AA238" i="2" s="1"/>
  <c r="AB238" i="2" s="1"/>
  <c r="Q239" i="2"/>
  <c r="AA239" i="2" l="1"/>
  <c r="AB239" i="2" s="1"/>
  <c r="O240" i="2" a="1"/>
  <c r="W240" i="2" s="1"/>
  <c r="P240" i="2" a="1"/>
  <c r="O241" i="2" a="1"/>
  <c r="P241" i="2" a="1"/>
  <c r="O243" i="2" a="1"/>
  <c r="P242" i="2" a="1"/>
  <c r="Q242" i="2" s="1"/>
  <c r="P245" i="2" a="1"/>
  <c r="O245" i="2" a="1"/>
  <c r="W245" i="2" s="1"/>
  <c r="O244" i="2" a="1"/>
  <c r="O242" i="2" a="1"/>
  <c r="P243" i="2" a="1"/>
  <c r="P244" i="2" a="1"/>
  <c r="Q243" i="2" l="1"/>
  <c r="Q241" i="2"/>
  <c r="Q244" i="2"/>
  <c r="W241" i="2"/>
  <c r="W243" i="2"/>
  <c r="W244" i="2"/>
  <c r="W242" i="2"/>
  <c r="AA242" i="2" s="1"/>
  <c r="AB242" i="2" s="1"/>
  <c r="Q245" i="2"/>
  <c r="AA245" i="2" s="1"/>
  <c r="AB245" i="2" s="1"/>
  <c r="Q240" i="2"/>
  <c r="AA240" i="2" s="1"/>
  <c r="AB240" i="2" s="1"/>
  <c r="AA243" i="2" l="1"/>
  <c r="AB243" i="2" s="1"/>
  <c r="AA241" i="2"/>
  <c r="AB241" i="2" s="1"/>
  <c r="AA244" i="2"/>
  <c r="AB244" i="2" s="1"/>
  <c r="O247" i="2" a="1"/>
  <c r="P246" i="2" a="1"/>
  <c r="O246" i="2" a="1"/>
  <c r="P247" i="2" a="1"/>
  <c r="W246" i="2" l="1"/>
  <c r="W247" i="2"/>
  <c r="Q246" i="2"/>
  <c r="AA246" i="2" s="1"/>
  <c r="AB246" i="2" s="1"/>
  <c r="Q247" i="2"/>
  <c r="AA247" i="2" l="1"/>
  <c r="AB247" i="2" s="1"/>
  <c r="P248" i="2" a="1"/>
  <c r="O249" i="2" a="1"/>
  <c r="P249" i="2" a="1"/>
  <c r="O248" i="2" a="1"/>
  <c r="W248" i="2" s="1"/>
  <c r="P251" i="2" a="1"/>
  <c r="P250" i="2" a="1"/>
  <c r="O250" i="2" a="1"/>
  <c r="O251" i="2" a="1"/>
  <c r="P253" i="2" a="1"/>
  <c r="O252" i="2" a="1"/>
  <c r="P252" i="2" a="1"/>
  <c r="O253" i="2" a="1"/>
  <c r="P254" i="2" a="1"/>
  <c r="Q254" i="2" s="1"/>
  <c r="O255" i="2" a="1"/>
  <c r="O254" i="2" a="1"/>
  <c r="P255" i="2" a="1"/>
  <c r="W249" i="2" l="1"/>
  <c r="Q251" i="2"/>
  <c r="W250" i="2"/>
  <c r="Q253" i="2"/>
  <c r="Q252" i="2"/>
  <c r="Q255" i="2"/>
  <c r="Q248" i="2"/>
  <c r="AA248" i="2" s="1"/>
  <c r="AB248" i="2" s="1"/>
  <c r="Q249" i="2"/>
  <c r="Q250" i="2"/>
  <c r="W255" i="2"/>
  <c r="AA255" i="2" s="1"/>
  <c r="AB255" i="2" s="1"/>
  <c r="W251" i="2"/>
  <c r="W252" i="2"/>
  <c r="W253" i="2"/>
  <c r="W254" i="2"/>
  <c r="AA254" i="2" s="1"/>
  <c r="AB254" i="2" s="1"/>
  <c r="AA249" i="2" l="1"/>
  <c r="AB249" i="2" s="1"/>
  <c r="AA250" i="2"/>
  <c r="AB250" i="2" s="1"/>
  <c r="AA251" i="2"/>
  <c r="AB251" i="2" s="1"/>
  <c r="AA252" i="2"/>
  <c r="AB252" i="2" s="1"/>
  <c r="AA253" i="2"/>
  <c r="AB253" i="2" s="1"/>
  <c r="O257" i="2" a="1"/>
  <c r="O256" i="2" a="1"/>
  <c r="P256" i="2" a="1"/>
  <c r="P257" i="2" a="1"/>
  <c r="Q257" i="2" l="1"/>
  <c r="Q256" i="2"/>
  <c r="W257" i="2"/>
  <c r="W256" i="2"/>
  <c r="AA257" i="2" l="1"/>
  <c r="AB257" i="2" s="1"/>
  <c r="AA256" i="2"/>
  <c r="AB256" i="2" s="1"/>
  <c r="O260" i="2" a="1"/>
  <c r="O261" i="2" a="1"/>
  <c r="W261" i="2" s="1"/>
  <c r="O259" i="2" a="1"/>
  <c r="P259" i="2" a="1"/>
  <c r="P258" i="2" a="1"/>
  <c r="O258" i="2" a="1"/>
  <c r="W258" i="2" s="1"/>
  <c r="P261" i="2" a="1"/>
  <c r="P260" i="2" a="1"/>
  <c r="Q260" i="2" s="1"/>
  <c r="W259" i="2" l="1"/>
  <c r="W260" i="2"/>
  <c r="AA260" i="2" s="1"/>
  <c r="AB260" i="2" s="1"/>
  <c r="Q259" i="2"/>
  <c r="Q258" i="2"/>
  <c r="AA258" i="2" s="1"/>
  <c r="AB258" i="2" s="1"/>
  <c r="Q261" i="2"/>
  <c r="AA261" i="2" s="1"/>
  <c r="AB261" i="2" s="1"/>
  <c r="AA259" i="2" l="1"/>
  <c r="AB259" i="2" s="1"/>
  <c r="P262" i="2" a="1"/>
  <c r="O262" i="2" a="1"/>
  <c r="P263" i="2" a="1"/>
  <c r="O263" i="2" a="1"/>
  <c r="P266" i="2" a="1"/>
  <c r="O266" i="2" a="1"/>
  <c r="O265" i="2" a="1"/>
  <c r="O264" i="2" a="1"/>
  <c r="W264" i="2" s="1"/>
  <c r="P264" i="2" a="1"/>
  <c r="P265" i="2" a="1"/>
  <c r="P267" i="2" a="1"/>
  <c r="O267" i="2" a="1"/>
  <c r="W262" i="2" l="1"/>
  <c r="W263" i="2"/>
  <c r="Q266" i="2"/>
  <c r="Q265" i="2"/>
  <c r="Q267" i="2"/>
  <c r="Q262" i="2"/>
  <c r="AA262" i="2" s="1"/>
  <c r="AB262" i="2" s="1"/>
  <c r="Q263" i="2"/>
  <c r="AA263" i="2" s="1"/>
  <c r="AB263" i="2" s="1"/>
  <c r="W266" i="2"/>
  <c r="W265" i="2"/>
  <c r="Q264" i="2"/>
  <c r="AA264" i="2" s="1"/>
  <c r="AB264" i="2" s="1"/>
  <c r="W267" i="2"/>
  <c r="AA267" i="2" l="1"/>
  <c r="AB267" i="2" s="1"/>
  <c r="AA266" i="2"/>
  <c r="AB266" i="2" s="1"/>
  <c r="AA265" i="2"/>
  <c r="AB265" i="2" s="1"/>
  <c r="O273" i="2" a="1"/>
  <c r="P270" i="2" a="1"/>
  <c r="O269" i="2" a="1"/>
  <c r="P269" i="2" a="1"/>
  <c r="O268" i="2" a="1"/>
  <c r="P268" i="2" a="1"/>
  <c r="P273" i="2" a="1"/>
  <c r="P272" i="2" a="1"/>
  <c r="P271" i="2" a="1"/>
  <c r="O272" i="2" a="1"/>
  <c r="O271" i="2" a="1"/>
  <c r="O270" i="2" a="1"/>
  <c r="Q268" i="2" l="1"/>
  <c r="W273" i="2"/>
  <c r="Q270" i="2"/>
  <c r="Q272" i="2"/>
  <c r="W269" i="2"/>
  <c r="W271" i="2"/>
  <c r="Q269" i="2"/>
  <c r="AA269" i="2" s="1"/>
  <c r="AB269" i="2" s="1"/>
  <c r="W268" i="2"/>
  <c r="AA268" i="2" s="1"/>
  <c r="AB268" i="2" s="1"/>
  <c r="Q273" i="2"/>
  <c r="Q271" i="2"/>
  <c r="AA271" i="2" s="1"/>
  <c r="AB271" i="2" s="1"/>
  <c r="W272" i="2"/>
  <c r="W270" i="2"/>
  <c r="P275" i="2" a="1"/>
  <c r="Q275" i="2" s="1"/>
  <c r="P274" i="2" a="1"/>
  <c r="O275" i="2" a="1"/>
  <c r="O274" i="2" a="1"/>
  <c r="Q274" i="2" l="1"/>
  <c r="AA274" i="2" s="1"/>
  <c r="AB274" i="2" s="1"/>
  <c r="AA273" i="2"/>
  <c r="AB273" i="2" s="1"/>
  <c r="W274" i="2"/>
  <c r="AA272" i="2"/>
  <c r="AB272" i="2" s="1"/>
  <c r="AA270" i="2"/>
  <c r="AB270" i="2" s="1"/>
  <c r="W275" i="2"/>
  <c r="AA275" i="2" s="1"/>
  <c r="AB275" i="2" s="1"/>
  <c r="P276" i="2" a="1"/>
  <c r="P277" i="2" a="1"/>
  <c r="O276" i="2" a="1"/>
  <c r="O277" i="2" a="1"/>
  <c r="W276" i="2" l="1"/>
  <c r="W277" i="2"/>
  <c r="Q276" i="2"/>
  <c r="Q277" i="2"/>
  <c r="AA276" i="2" l="1"/>
  <c r="AB276" i="2" s="1"/>
  <c r="AA277" i="2"/>
  <c r="AB277" i="2" s="1"/>
  <c r="O278" i="2" l="1" a="1"/>
  <c r="P279" i="2" a="1"/>
  <c r="O279" i="2" a="1"/>
  <c r="P278" i="2" a="1"/>
  <c r="P280" i="2" a="1"/>
  <c r="O281" i="2" a="1"/>
  <c r="O280" i="2" a="1"/>
  <c r="P281" i="2" a="1"/>
  <c r="Q279" i="2" l="1"/>
  <c r="Q278" i="2"/>
  <c r="W278" i="2"/>
  <c r="W279" i="2"/>
  <c r="W280" i="2"/>
  <c r="Q280" i="2"/>
  <c r="W281" i="2"/>
  <c r="Q281" i="2"/>
  <c r="AA279" i="2" l="1"/>
  <c r="AB279" i="2" s="1"/>
  <c r="AA278" i="2"/>
  <c r="AB278" i="2" s="1"/>
  <c r="AA280" i="2"/>
  <c r="AB280" i="2" s="1"/>
  <c r="AA281" i="2"/>
  <c r="AB281" i="2" s="1"/>
  <c r="O283" i="2" l="1" a="1"/>
  <c r="P282" i="2" a="1"/>
  <c r="O282" i="2" a="1"/>
  <c r="P283" i="2" a="1"/>
  <c r="W282" i="2" l="1"/>
  <c r="Q283" i="2"/>
  <c r="W283" i="2"/>
  <c r="Q282" i="2"/>
  <c r="AA282" i="2" s="1"/>
  <c r="AB282" i="2" s="1"/>
  <c r="AA283" i="2" l="1"/>
  <c r="AB283" i="2" s="1"/>
  <c r="P285" i="2" l="1" a="1"/>
  <c r="O284" i="2" a="1"/>
  <c r="O285" i="2" a="1"/>
  <c r="P284" i="2" a="1"/>
  <c r="W284" i="2" l="1"/>
  <c r="Q285" i="2"/>
  <c r="Q284" i="2"/>
  <c r="AA284" i="2" s="1"/>
  <c r="AB284" i="2" s="1"/>
  <c r="W285" i="2"/>
  <c r="P290" i="2" a="1"/>
  <c r="O291" i="2" a="1"/>
  <c r="AA285" i="2" l="1"/>
  <c r="AB285" i="2" s="1"/>
  <c r="O288" i="2" a="1"/>
  <c r="P288" i="2" a="1"/>
  <c r="Q288" i="2" s="1"/>
  <c r="O289" i="2" a="1"/>
  <c r="W289" i="2" s="1"/>
  <c r="O287" i="2" a="1"/>
  <c r="P286" i="2" a="1"/>
  <c r="O286" i="2" a="1"/>
  <c r="W286" i="2" s="1"/>
  <c r="P287" i="2" a="1"/>
  <c r="Q287" i="2" s="1"/>
  <c r="P289" i="2" a="1"/>
  <c r="O290" i="2" a="1"/>
  <c r="P291" i="2" a="1"/>
  <c r="W288" i="2" l="1"/>
  <c r="AA288" i="2" s="1"/>
  <c r="AB288" i="2" s="1"/>
  <c r="W287" i="2"/>
  <c r="AA287" i="2" s="1"/>
  <c r="AB287" i="2" s="1"/>
  <c r="Q286" i="2"/>
  <c r="AA286" i="2" s="1"/>
  <c r="AB286" i="2" s="1"/>
  <c r="Q289" i="2"/>
  <c r="AA289" i="2" s="1"/>
  <c r="AB289" i="2" s="1"/>
  <c r="W290" i="2"/>
  <c r="Q290" i="2"/>
  <c r="Q291" i="2"/>
  <c r="W291" i="2"/>
  <c r="AA291" i="2" l="1"/>
  <c r="AB291" i="2" s="1"/>
  <c r="AA290" i="2"/>
  <c r="AB290" i="2" s="1"/>
  <c r="P292" i="2" a="1"/>
  <c r="O293" i="2" a="1"/>
  <c r="P293" i="2" a="1"/>
  <c r="O292" i="2" a="1"/>
  <c r="Q293" i="2" l="1"/>
  <c r="Q292" i="2"/>
  <c r="W293" i="2"/>
  <c r="W292" i="2"/>
  <c r="O295" i="2" a="1"/>
  <c r="P294" i="2" a="1"/>
  <c r="O294" i="2" a="1"/>
  <c r="P295" i="2" a="1"/>
  <c r="AA293" i="2" l="1"/>
  <c r="AB293" i="2" s="1"/>
  <c r="O297" i="2" a="1"/>
  <c r="P296" i="2" a="1"/>
  <c r="P297" i="2" a="1"/>
  <c r="Q297" i="2" s="1"/>
  <c r="O296" i="2" a="1"/>
  <c r="W296" i="2" s="1"/>
  <c r="AA292" i="2"/>
  <c r="AB292" i="2" s="1"/>
  <c r="Q295" i="2"/>
  <c r="W294" i="2"/>
  <c r="W295" i="2"/>
  <c r="Q294" i="2"/>
  <c r="W297" i="2" l="1"/>
  <c r="AA297" i="2" s="1"/>
  <c r="AB297" i="2" s="1"/>
  <c r="Q296" i="2"/>
  <c r="AA296" i="2" s="1"/>
  <c r="AB296" i="2" s="1"/>
  <c r="AA295" i="2"/>
  <c r="AB295" i="2" s="1"/>
  <c r="AA294" i="2"/>
  <c r="AB294" i="2" s="1"/>
  <c r="P299" i="2" l="1" a="1"/>
  <c r="O298" i="2" a="1"/>
  <c r="O299" i="2" a="1"/>
  <c r="P298" i="2" a="1"/>
  <c r="Q299" i="2" l="1"/>
  <c r="W298" i="2"/>
  <c r="W299" i="2"/>
  <c r="AA299" i="2" s="1"/>
  <c r="AB299" i="2" s="1"/>
  <c r="Q298" i="2"/>
  <c r="AA298" i="2" s="1"/>
  <c r="AB298" i="2" s="1"/>
  <c r="P301" i="2" l="1" a="1"/>
  <c r="P300" i="2" a="1"/>
  <c r="O300" i="2" a="1"/>
  <c r="O301" i="2" a="1"/>
  <c r="W301" i="2" s="1"/>
  <c r="P305" i="2" a="1"/>
  <c r="O302" i="2" a="1"/>
  <c r="P307" i="2" a="1"/>
  <c r="O303" i="2" a="1"/>
  <c r="P302" i="2" a="1"/>
  <c r="O304" i="2" a="1"/>
  <c r="P304" i="2" a="1"/>
  <c r="O307" i="2" a="1"/>
  <c r="O306" i="2" a="1"/>
  <c r="P303" i="2" a="1"/>
  <c r="O305" i="2" a="1"/>
  <c r="P306" i="2" a="1"/>
  <c r="W300" i="2" l="1"/>
  <c r="Q305" i="2"/>
  <c r="Q302" i="2"/>
  <c r="Q304" i="2"/>
  <c r="W307" i="2"/>
  <c r="Q303" i="2"/>
  <c r="W306" i="2"/>
  <c r="Q301" i="2"/>
  <c r="AA301" i="2" s="1"/>
  <c r="AB301" i="2" s="1"/>
  <c r="W302" i="2"/>
  <c r="Q307" i="2"/>
  <c r="AA307" i="2" s="1"/>
  <c r="AB307" i="2" s="1"/>
  <c r="W304" i="2"/>
  <c r="W305" i="2"/>
  <c r="Q306" i="2"/>
  <c r="AA306" i="2" s="1"/>
  <c r="AB306" i="2" s="1"/>
  <c r="Q300" i="2"/>
  <c r="AA300" i="2" s="1"/>
  <c r="AB300" i="2" s="1"/>
  <c r="W303" i="2"/>
  <c r="P309" i="2" a="1"/>
  <c r="O308" i="2" a="1"/>
  <c r="W308" i="2" s="1"/>
  <c r="O309" i="2" a="1"/>
  <c r="P308" i="2" a="1"/>
  <c r="AA304" i="2" l="1"/>
  <c r="AB304" i="2" s="1"/>
  <c r="AA302" i="2"/>
  <c r="AB302" i="2" s="1"/>
  <c r="AA305" i="2"/>
  <c r="AB305" i="2" s="1"/>
  <c r="AA303" i="2"/>
  <c r="AB303" i="2" s="1"/>
  <c r="Q309" i="2"/>
  <c r="Q308" i="2"/>
  <c r="W309" i="2"/>
  <c r="AA309" i="2" s="1"/>
  <c r="AB309" i="2" s="1"/>
  <c r="AA308" i="2"/>
  <c r="AB308" i="2" s="1"/>
  <c r="P313" i="2" a="1"/>
  <c r="O313" i="2" a="1"/>
  <c r="O310" i="2" a="1"/>
  <c r="P311" i="2" a="1"/>
  <c r="O312" i="2" a="1"/>
  <c r="P312" i="2" a="1"/>
  <c r="O311" i="2" a="1"/>
  <c r="P310" i="2" a="1"/>
  <c r="Q311" i="2" l="1"/>
  <c r="W313" i="2"/>
  <c r="W310" i="2"/>
  <c r="W312" i="2"/>
  <c r="W311" i="2"/>
  <c r="Q313" i="2"/>
  <c r="Q312" i="2"/>
  <c r="Q310" i="2"/>
  <c r="AA311" i="2" l="1"/>
  <c r="AB311" i="2" s="1"/>
  <c r="AA313" i="2"/>
  <c r="AB313" i="2" s="1"/>
  <c r="AA310" i="2"/>
  <c r="AB310" i="2" s="1"/>
  <c r="AA312" i="2"/>
  <c r="AB312" i="2" s="1"/>
  <c r="O315" i="2" l="1" a="1"/>
  <c r="O314" i="2" a="1"/>
  <c r="P315" i="2" a="1"/>
  <c r="Q315" i="2" s="1"/>
  <c r="P314" i="2" a="1"/>
  <c r="Q314" i="2" l="1"/>
  <c r="W315" i="2"/>
  <c r="AA315" i="2" s="1"/>
  <c r="AB315" i="2" s="1"/>
  <c r="W314" i="2"/>
  <c r="AA314" i="2" s="1"/>
  <c r="AB314" i="2" s="1"/>
  <c r="O321" i="2" l="1" a="1"/>
  <c r="O320" i="2" a="1"/>
  <c r="W320" i="2" s="1"/>
  <c r="P318" i="2" a="1"/>
  <c r="O316" i="2" a="1"/>
  <c r="O317" i="2" a="1"/>
  <c r="P316" i="2" a="1"/>
  <c r="P317" i="2" a="1"/>
  <c r="O319" i="2" a="1"/>
  <c r="P321" i="2" a="1"/>
  <c r="O318" i="2" a="1"/>
  <c r="P320" i="2" a="1"/>
  <c r="P319" i="2" a="1"/>
  <c r="W318" i="2" l="1"/>
  <c r="W321" i="2"/>
  <c r="W316" i="2"/>
  <c r="Q317" i="2"/>
  <c r="Q319" i="2"/>
  <c r="Q318" i="2"/>
  <c r="W317" i="2"/>
  <c r="W319" i="2"/>
  <c r="Q316" i="2"/>
  <c r="AA316" i="2" s="1"/>
  <c r="AB316" i="2" s="1"/>
  <c r="Q321" i="2"/>
  <c r="Q320" i="2"/>
  <c r="AA320" i="2" s="1"/>
  <c r="AB320" i="2" s="1"/>
  <c r="AA318" i="2" l="1"/>
  <c r="AB318" i="2" s="1"/>
  <c r="AA317" i="2"/>
  <c r="AB317" i="2" s="1"/>
  <c r="AA321" i="2"/>
  <c r="AB321" i="2" s="1"/>
  <c r="AA319" i="2"/>
  <c r="AB319" i="2" s="1"/>
  <c r="P324" i="2" a="1"/>
  <c r="O325" i="2" a="1"/>
  <c r="O322" i="2" a="1"/>
  <c r="O323" i="2" a="1"/>
  <c r="P323" i="2" a="1"/>
  <c r="P322" i="2" a="1"/>
  <c r="O324" i="2" a="1"/>
  <c r="P325" i="2" a="1"/>
  <c r="P327" i="2" a="1"/>
  <c r="O327" i="2" a="1"/>
  <c r="O326" i="2" a="1"/>
  <c r="P326" i="2" a="1"/>
  <c r="Q324" i="2" l="1"/>
  <c r="W325" i="2"/>
  <c r="W323" i="2"/>
  <c r="Q322" i="2"/>
  <c r="W327" i="2"/>
  <c r="W326" i="2"/>
  <c r="W322" i="2"/>
  <c r="Q323" i="2"/>
  <c r="W324" i="2"/>
  <c r="AA324" i="2" s="1"/>
  <c r="AB324" i="2" s="1"/>
  <c r="Q325" i="2"/>
  <c r="Q327" i="2"/>
  <c r="Q326" i="2"/>
  <c r="AA326" i="2" s="1"/>
  <c r="AB326" i="2" s="1"/>
  <c r="P330" i="2" a="1"/>
  <c r="P328" i="2" a="1"/>
  <c r="O329" i="2" a="1"/>
  <c r="O328" i="2" a="1"/>
  <c r="W328" i="2" s="1"/>
  <c r="P329" i="2" a="1"/>
  <c r="Q329" i="2" s="1"/>
  <c r="O331" i="2" a="1"/>
  <c r="AA325" i="2" l="1"/>
  <c r="AB325" i="2" s="1"/>
  <c r="AA322" i="2"/>
  <c r="AB322" i="2" s="1"/>
  <c r="AA323" i="2"/>
  <c r="AB323" i="2" s="1"/>
  <c r="AA327" i="2"/>
  <c r="AB327" i="2" s="1"/>
  <c r="Q328" i="2"/>
  <c r="AA328" i="2" s="1"/>
  <c r="AB328" i="2" s="1"/>
  <c r="W329" i="2"/>
  <c r="AA329" i="2" s="1"/>
  <c r="AB329" i="2" s="1"/>
  <c r="O334" i="2" a="1"/>
  <c r="P335" i="2" a="1"/>
  <c r="O335" i="2" a="1"/>
  <c r="P334" i="2" a="1"/>
  <c r="P331" i="2" l="1" a="1"/>
  <c r="O330" i="2" a="1"/>
  <c r="P333" i="2" a="1"/>
  <c r="O332" i="2" a="1"/>
  <c r="P332" i="2" a="1"/>
  <c r="O333" i="2" a="1"/>
  <c r="Q334" i="2"/>
  <c r="Q335" i="2"/>
  <c r="W334" i="2"/>
  <c r="W335" i="2"/>
  <c r="Q332" i="2" l="1"/>
  <c r="W331" i="2"/>
  <c r="AA331" i="2" s="1"/>
  <c r="AB331" i="2" s="1"/>
  <c r="Q331" i="2"/>
  <c r="W330" i="2"/>
  <c r="Q330" i="2"/>
  <c r="W333" i="2"/>
  <c r="Q333" i="2"/>
  <c r="W332" i="2"/>
  <c r="AA335" i="2"/>
  <c r="AB335" i="2" s="1"/>
  <c r="AA334" i="2"/>
  <c r="AB334" i="2" s="1"/>
  <c r="O337" i="2" a="1"/>
  <c r="O336" i="2" a="1"/>
  <c r="P336" i="2" a="1"/>
  <c r="P337" i="2" a="1"/>
  <c r="AA333" i="2" l="1"/>
  <c r="AB333" i="2" s="1"/>
  <c r="AA332" i="2"/>
  <c r="AB332" i="2" s="1"/>
  <c r="AA330" i="2"/>
  <c r="AB330" i="2" s="1"/>
  <c r="Q336" i="2"/>
  <c r="Q337" i="2"/>
  <c r="W337" i="2"/>
  <c r="W336" i="2"/>
  <c r="AA336" i="2" l="1"/>
  <c r="AB336" i="2" s="1"/>
  <c r="AA337" i="2"/>
  <c r="AB337" i="2" s="1"/>
  <c r="O343" i="2" a="1"/>
  <c r="O340" i="2" a="1"/>
  <c r="P343" i="2" a="1"/>
  <c r="O342" i="2" a="1"/>
  <c r="O341" i="2" a="1"/>
  <c r="P341" i="2" a="1"/>
  <c r="P340" i="2" a="1"/>
  <c r="P342" i="2" a="1"/>
  <c r="O339" i="2" l="1" a="1"/>
  <c r="P338" i="2" a="1"/>
  <c r="P339" i="2" a="1"/>
  <c r="Q339" i="2" s="1"/>
  <c r="O338" i="2" a="1"/>
  <c r="Q343" i="2"/>
  <c r="Q342" i="2"/>
  <c r="Q340" i="2"/>
  <c r="W343" i="2"/>
  <c r="W340" i="2"/>
  <c r="W342" i="2"/>
  <c r="W341" i="2"/>
  <c r="Q341" i="2"/>
  <c r="Q338" i="2" l="1"/>
  <c r="W339" i="2"/>
  <c r="AA339" i="2" s="1"/>
  <c r="AB339" i="2" s="1"/>
  <c r="AA343" i="2"/>
  <c r="AB343" i="2" s="1"/>
  <c r="AA340" i="2"/>
  <c r="AB340" i="2" s="1"/>
  <c r="W338" i="2"/>
  <c r="AA342" i="2"/>
  <c r="AB342" i="2" s="1"/>
  <c r="AA341" i="2"/>
  <c r="AB341" i="2" s="1"/>
  <c r="O344" i="2" a="1"/>
  <c r="P344" i="2" a="1"/>
  <c r="O345" i="2" a="1"/>
  <c r="P345" i="2" a="1"/>
  <c r="AA338" i="2" l="1"/>
  <c r="AB338" i="2" s="1"/>
  <c r="W344" i="2"/>
  <c r="W345" i="2"/>
  <c r="Q344" i="2"/>
  <c r="Q345" i="2"/>
  <c r="AA345" i="2" l="1"/>
  <c r="AB345" i="2" s="1"/>
  <c r="P346" i="2" a="1"/>
  <c r="O346" i="2" a="1"/>
  <c r="O347" i="2" a="1"/>
  <c r="O348" i="2" a="1"/>
  <c r="P349" i="2" a="1"/>
  <c r="P348" i="2" a="1"/>
  <c r="O349" i="2" a="1"/>
  <c r="P347" i="2" a="1"/>
  <c r="AA344" i="2"/>
  <c r="AB344" i="2" s="1"/>
  <c r="Q346" i="2" l="1"/>
  <c r="W346" i="2"/>
  <c r="W347" i="2"/>
  <c r="W348" i="2"/>
  <c r="W349" i="2"/>
  <c r="Q349" i="2"/>
  <c r="Q348" i="2"/>
  <c r="Q347" i="2"/>
  <c r="AA346" i="2" l="1"/>
  <c r="AB346" i="2" s="1"/>
  <c r="AA347" i="2"/>
  <c r="AB347" i="2" s="1"/>
  <c r="AA348" i="2"/>
  <c r="AB348" i="2" s="1"/>
  <c r="AA349" i="2"/>
  <c r="AB349" i="2" s="1"/>
  <c r="O350" i="2" l="1" a="1"/>
  <c r="P350" i="2" a="1"/>
  <c r="O352" i="2" a="1"/>
  <c r="O351" i="2" a="1"/>
  <c r="P352" i="2" a="1"/>
  <c r="P351" i="2" a="1"/>
  <c r="O353" i="2" a="1"/>
  <c r="P353" i="2" a="1"/>
  <c r="Q350" i="2" l="1"/>
  <c r="Q352" i="2"/>
  <c r="Q353" i="2"/>
  <c r="W350" i="2"/>
  <c r="AA350" i="2" s="1"/>
  <c r="AB350" i="2" s="1"/>
  <c r="W352" i="2"/>
  <c r="W351" i="2"/>
  <c r="W353" i="2"/>
  <c r="Q351" i="2"/>
  <c r="AA352" i="2" l="1"/>
  <c r="AB352" i="2" s="1"/>
  <c r="AA353" i="2"/>
  <c r="AB353" i="2" s="1"/>
  <c r="O357" i="2" a="1"/>
  <c r="P359" i="2" a="1"/>
  <c r="O355" i="2" a="1"/>
  <c r="O356" i="2" a="1"/>
  <c r="P356" i="2" a="1"/>
  <c r="P358" i="2" a="1"/>
  <c r="P354" i="2" a="1"/>
  <c r="P355" i="2" a="1"/>
  <c r="O358" i="2" a="1"/>
  <c r="O354" i="2" a="1"/>
  <c r="P357" i="2" a="1"/>
  <c r="O359" i="2" a="1"/>
  <c r="AA351" i="2"/>
  <c r="AB351" i="2" s="1"/>
  <c r="Q355" i="2" l="1"/>
  <c r="Q359" i="2"/>
  <c r="Q357" i="2"/>
  <c r="W357" i="2"/>
  <c r="W355" i="2"/>
  <c r="W356" i="2"/>
  <c r="W358" i="2"/>
  <c r="W354" i="2"/>
  <c r="W359" i="2"/>
  <c r="Q356" i="2"/>
  <c r="Q354" i="2"/>
  <c r="Q358" i="2"/>
  <c r="AA357" i="2" l="1"/>
  <c r="AB357" i="2" s="1"/>
  <c r="AA355" i="2"/>
  <c r="AB355" i="2" s="1"/>
  <c r="AA356" i="2"/>
  <c r="AB356" i="2" s="1"/>
  <c r="AA359" i="2"/>
  <c r="AB359" i="2" s="1"/>
  <c r="P361" i="2" a="1"/>
  <c r="P360" i="2" a="1"/>
  <c r="O360" i="2" a="1"/>
  <c r="O361" i="2" a="1"/>
  <c r="AA354" i="2"/>
  <c r="AB354" i="2" s="1"/>
  <c r="AA358" i="2"/>
  <c r="AB358" i="2" s="1"/>
  <c r="W360" i="2" l="1"/>
  <c r="W361" i="2"/>
  <c r="Q360" i="2"/>
  <c r="Q361" i="2"/>
  <c r="AA360" i="2" l="1"/>
  <c r="AB360" i="2" s="1"/>
  <c r="AA361" i="2"/>
  <c r="AB361" i="2" s="1"/>
  <c r="P363" i="2" l="1" a="1"/>
  <c r="P362" i="2" a="1"/>
  <c r="O362" i="2" a="1"/>
  <c r="O363" i="2" a="1"/>
  <c r="W362" i="2" l="1"/>
  <c r="W363" i="2"/>
  <c r="Q362" i="2"/>
  <c r="Q363" i="2"/>
  <c r="AA362" i="2" l="1"/>
  <c r="AB362" i="2" s="1"/>
  <c r="AA363" i="2"/>
  <c r="AB363" i="2" s="1"/>
  <c r="O365" i="2" a="1"/>
  <c r="O364" i="2" a="1"/>
  <c r="P364" i="2" a="1"/>
  <c r="P365" i="2" a="1"/>
  <c r="Q364" i="2" l="1"/>
  <c r="Q365" i="2"/>
  <c r="W365" i="2"/>
  <c r="W364" i="2"/>
  <c r="AA365" i="2" l="1"/>
  <c r="AB365" i="2" s="1"/>
  <c r="AA364" i="2"/>
  <c r="AB364" i="2" s="1"/>
  <c r="P367" i="2" a="1"/>
  <c r="O367" i="2" a="1"/>
  <c r="P366" i="2" a="1"/>
  <c r="O366" i="2" a="1"/>
  <c r="W367" i="2" l="1"/>
  <c r="W366" i="2"/>
  <c r="Q366" i="2"/>
  <c r="Q367" i="2"/>
  <c r="AA367" i="2" l="1"/>
  <c r="AB367" i="2" s="1"/>
  <c r="P369" i="2" a="1"/>
  <c r="O371" i="2" a="1"/>
  <c r="P368" i="2" a="1"/>
  <c r="O370" i="2" a="1"/>
  <c r="P371" i="2" a="1"/>
  <c r="O369" i="2" a="1"/>
  <c r="P370" i="2" a="1"/>
  <c r="O368" i="2" a="1"/>
  <c r="AA366" i="2"/>
  <c r="AB366" i="2" s="1"/>
  <c r="Q368" i="2" l="1"/>
  <c r="Q370" i="2"/>
  <c r="W371" i="2"/>
  <c r="W370" i="2"/>
  <c r="W369" i="2"/>
  <c r="W368" i="2"/>
  <c r="Q369" i="2"/>
  <c r="Q371" i="2"/>
  <c r="AA369" i="2" l="1"/>
  <c r="AB369" i="2" s="1"/>
  <c r="AA368" i="2"/>
  <c r="AB368" i="2" s="1"/>
  <c r="AA371" i="2"/>
  <c r="AB371" i="2" s="1"/>
  <c r="AA370" i="2"/>
  <c r="AB370" i="2" s="1"/>
  <c r="P376" i="2" a="1"/>
  <c r="O377" i="2" a="1"/>
  <c r="O376" i="2" a="1"/>
  <c r="P377" i="2" a="1"/>
  <c r="O373" i="2" l="1" a="1"/>
  <c r="P372" i="2" a="1"/>
  <c r="Q372" i="2" s="1"/>
  <c r="O372" i="2" a="1"/>
  <c r="O374" i="2" a="1"/>
  <c r="O375" i="2" a="1"/>
  <c r="P374" i="2" a="1"/>
  <c r="P375" i="2" a="1"/>
  <c r="Q375" i="2" s="1"/>
  <c r="P373" i="2" a="1"/>
  <c r="W377" i="2"/>
  <c r="W376" i="2"/>
  <c r="Q376" i="2"/>
  <c r="Q377" i="2"/>
  <c r="W373" i="2" l="1"/>
  <c r="W374" i="2"/>
  <c r="W372" i="2"/>
  <c r="AA372" i="2" s="1"/>
  <c r="AB372" i="2" s="1"/>
  <c r="W375" i="2"/>
  <c r="AA375" i="2" s="1"/>
  <c r="AB375" i="2" s="1"/>
  <c r="Q374" i="2"/>
  <c r="Q373" i="2"/>
  <c r="AA377" i="2"/>
  <c r="AB377" i="2" s="1"/>
  <c r="AA376" i="2"/>
  <c r="AB376" i="2" s="1"/>
  <c r="AA374" i="2" l="1"/>
  <c r="AB374" i="2" s="1"/>
  <c r="AA373" i="2"/>
  <c r="AB373" i="2" s="1"/>
  <c r="O381" i="2" a="1"/>
  <c r="P378" i="2" a="1"/>
  <c r="O380" i="2" a="1"/>
  <c r="P379" i="2" a="1"/>
  <c r="O379" i="2" a="1"/>
  <c r="P380" i="2" a="1"/>
  <c r="P381" i="2" a="1"/>
  <c r="O378" i="2" a="1"/>
  <c r="W381" i="2" l="1"/>
  <c r="W378" i="2"/>
  <c r="W380" i="2"/>
  <c r="Q379" i="2"/>
  <c r="Q378" i="2"/>
  <c r="W379" i="2"/>
  <c r="Q380" i="2"/>
  <c r="AA380" i="2" s="1"/>
  <c r="AB380" i="2" s="1"/>
  <c r="Q381" i="2"/>
  <c r="AA381" i="2" s="1"/>
  <c r="AB381" i="2" s="1"/>
  <c r="AA378" i="2" l="1"/>
  <c r="AB378" i="2" s="1"/>
  <c r="AA379" i="2"/>
  <c r="AB379" i="2" s="1"/>
  <c r="P384" i="2" a="1"/>
  <c r="O384" i="2" a="1"/>
  <c r="W384" i="2" s="1"/>
  <c r="O382" i="2" a="1"/>
  <c r="P383" i="2" a="1"/>
  <c r="O383" i="2" a="1"/>
  <c r="O385" i="2" a="1"/>
  <c r="P382" i="2" a="1"/>
  <c r="P385" i="2" a="1"/>
  <c r="Q385" i="2" s="1"/>
  <c r="W383" i="2" l="1"/>
  <c r="W382" i="2"/>
  <c r="Q384" i="2"/>
  <c r="AA384" i="2" s="1"/>
  <c r="AB384" i="2" s="1"/>
  <c r="Q383" i="2"/>
  <c r="AA383" i="2" s="1"/>
  <c r="AB383" i="2" s="1"/>
  <c r="W385" i="2"/>
  <c r="AA385" i="2" s="1"/>
  <c r="AB385" i="2" s="1"/>
  <c r="Q382" i="2"/>
  <c r="AA382" i="2" l="1"/>
  <c r="AB382" i="2" s="1"/>
  <c r="P386" i="2" a="1"/>
  <c r="P387" i="2" a="1"/>
  <c r="O386" i="2" a="1"/>
  <c r="O389" i="2" a="1"/>
  <c r="P389" i="2" a="1"/>
  <c r="P388" i="2" a="1"/>
  <c r="O387" i="2" a="1"/>
  <c r="O388" i="2" a="1"/>
  <c r="Q389" i="2" l="1"/>
  <c r="Q388" i="2"/>
  <c r="Q387" i="2"/>
  <c r="W386" i="2"/>
  <c r="Q386" i="2"/>
  <c r="W389" i="2"/>
  <c r="AA389" i="2" s="1"/>
  <c r="AB389" i="2" s="1"/>
  <c r="W387" i="2"/>
  <c r="W388" i="2"/>
  <c r="AA388" i="2" s="1"/>
  <c r="AB388" i="2" s="1"/>
  <c r="AA386" i="2" l="1"/>
  <c r="AB386" i="2" s="1"/>
  <c r="AA387" i="2"/>
  <c r="AB387" i="2" s="1"/>
  <c r="P393" i="2" a="1"/>
  <c r="O393" i="2" a="1"/>
  <c r="W393" i="2" s="1"/>
  <c r="P391" i="2" a="1"/>
  <c r="O390" i="2" a="1"/>
  <c r="O392" i="2" a="1"/>
  <c r="P390" i="2" a="1"/>
  <c r="Q390" i="2" s="1"/>
  <c r="P392" i="2" a="1"/>
  <c r="O391" i="2" a="1"/>
  <c r="P397" i="2" a="1"/>
  <c r="P394" i="2" a="1"/>
  <c r="P395" i="2" a="1"/>
  <c r="P396" i="2" a="1"/>
  <c r="O397" i="2" a="1"/>
  <c r="O394" i="2" a="1"/>
  <c r="O396" i="2" a="1"/>
  <c r="O395" i="2" a="1"/>
  <c r="W397" i="2" l="1"/>
  <c r="W396" i="2"/>
  <c r="Q391" i="2"/>
  <c r="Q392" i="2"/>
  <c r="W394" i="2"/>
  <c r="W395" i="2"/>
  <c r="Q393" i="2"/>
  <c r="AA393" i="2" s="1"/>
  <c r="AB393" i="2" s="1"/>
  <c r="W390" i="2"/>
  <c r="AA390" i="2" s="1"/>
  <c r="AB390" i="2" s="1"/>
  <c r="W392" i="2"/>
  <c r="W391" i="2"/>
  <c r="Q397" i="2"/>
  <c r="AA397" i="2" s="1"/>
  <c r="AB397" i="2" s="1"/>
  <c r="Q394" i="2"/>
  <c r="Q395" i="2"/>
  <c r="Q396" i="2"/>
  <c r="AA391" i="2" l="1"/>
  <c r="AB391" i="2" s="1"/>
  <c r="AA396" i="2"/>
  <c r="AB396" i="2" s="1"/>
  <c r="AA392" i="2"/>
  <c r="AB392" i="2" s="1"/>
  <c r="AA394" i="2"/>
  <c r="AB394" i="2" s="1"/>
  <c r="AA395" i="2"/>
  <c r="AB395" i="2" s="1"/>
  <c r="O398" i="2" a="1"/>
  <c r="O399" i="2" a="1"/>
  <c r="W399" i="2" s="1"/>
  <c r="P398" i="2" a="1"/>
  <c r="P399" i="2" a="1"/>
  <c r="Q398" i="2" l="1"/>
  <c r="W398" i="2"/>
  <c r="AA398" i="2" s="1"/>
  <c r="AB398" i="2" s="1"/>
  <c r="Q399" i="2"/>
  <c r="AA399" i="2" s="1"/>
  <c r="AB399" i="2" s="1"/>
  <c r="O401" i="2" a="1"/>
  <c r="O400" i="2" a="1"/>
  <c r="P400" i="2" a="1"/>
  <c r="P401" i="2" a="1"/>
  <c r="Q401" i="2" s="1"/>
  <c r="P405" i="2" a="1"/>
  <c r="P404" i="2" a="1"/>
  <c r="P402" i="2" a="1"/>
  <c r="O402" i="2" a="1"/>
  <c r="P403" i="2" a="1"/>
  <c r="O404" i="2" a="1"/>
  <c r="O403" i="2" a="1"/>
  <c r="O405" i="2" a="1"/>
  <c r="W400" i="2" l="1"/>
  <c r="W401" i="2"/>
  <c r="AA401" i="2" s="1"/>
  <c r="AB401" i="2" s="1"/>
  <c r="Q400" i="2"/>
  <c r="Q403" i="2"/>
  <c r="W402" i="2"/>
  <c r="W404" i="2"/>
  <c r="W403" i="2"/>
  <c r="W405" i="2"/>
  <c r="Q405" i="2"/>
  <c r="Q404" i="2"/>
  <c r="Q402" i="2"/>
  <c r="AA400" i="2" l="1"/>
  <c r="AB400" i="2" s="1"/>
  <c r="AA403" i="2"/>
  <c r="AB403" i="2" s="1"/>
  <c r="AA402" i="2"/>
  <c r="AB402" i="2" s="1"/>
  <c r="AA405" i="2"/>
  <c r="AB405" i="2" s="1"/>
  <c r="AA404" i="2"/>
  <c r="AB404" i="2" s="1"/>
  <c r="P407" i="2" a="1"/>
  <c r="P408" i="2" a="1"/>
  <c r="O408" i="2" a="1"/>
  <c r="P406" i="2" a="1"/>
  <c r="P409" i="2" a="1"/>
  <c r="O407" i="2" a="1"/>
  <c r="O406" i="2" a="1"/>
  <c r="O409" i="2" a="1"/>
  <c r="Q408" i="2" l="1"/>
  <c r="Q407" i="2"/>
  <c r="Q406" i="2"/>
  <c r="Q409" i="2"/>
  <c r="W408" i="2"/>
  <c r="W407" i="2"/>
  <c r="W406" i="2"/>
  <c r="W409" i="2"/>
  <c r="AA407" i="2" l="1"/>
  <c r="AB407" i="2" s="1"/>
  <c r="AA406" i="2"/>
  <c r="AB406" i="2" s="1"/>
  <c r="AA409" i="2"/>
  <c r="AB409" i="2" s="1"/>
  <c r="AA408" i="2"/>
  <c r="AB408" i="2" s="1"/>
  <c r="P410" i="2" a="1"/>
  <c r="O411" i="2" a="1"/>
  <c r="P411" i="2" a="1"/>
  <c r="O410" i="2" a="1"/>
  <c r="Q411" i="2" l="1"/>
  <c r="W411" i="2"/>
  <c r="W410" i="2"/>
  <c r="Q410" i="2"/>
  <c r="AA411" i="2" l="1"/>
  <c r="AB411" i="2" s="1"/>
  <c r="O413" i="2" a="1"/>
  <c r="O412" i="2" a="1"/>
  <c r="P412" i="2" a="1"/>
  <c r="P413" i="2" a="1"/>
  <c r="AA410" i="2"/>
  <c r="AB410" i="2" s="1"/>
  <c r="Q413" i="2" l="1"/>
  <c r="Q412" i="2"/>
  <c r="W413" i="2"/>
  <c r="W412" i="2"/>
  <c r="AA413" i="2" l="1"/>
  <c r="AB413" i="2" s="1"/>
  <c r="AA412" i="2"/>
  <c r="AB412" i="2" s="1"/>
  <c r="P415" i="2" a="1"/>
  <c r="O414" i="2" a="1"/>
  <c r="P414" i="2" a="1"/>
  <c r="O415" i="2" a="1"/>
  <c r="O420" i="2" l="1" a="1"/>
  <c r="P420" i="2" a="1"/>
  <c r="O421" i="2" a="1"/>
  <c r="P421" i="2" a="1"/>
  <c r="Q415" i="2"/>
  <c r="W414" i="2"/>
  <c r="W415" i="2"/>
  <c r="Q414" i="2"/>
  <c r="Q421" i="2" l="1"/>
  <c r="W420" i="2"/>
  <c r="W421" i="2"/>
  <c r="AA421" i="2" s="1"/>
  <c r="AB421" i="2" s="1"/>
  <c r="Q420" i="2"/>
  <c r="AA415" i="2"/>
  <c r="AB415" i="2" s="1"/>
  <c r="P416" i="2" a="1"/>
  <c r="O416" i="2" a="1"/>
  <c r="P417" i="2" a="1"/>
  <c r="O417" i="2" a="1"/>
  <c r="AA414" i="2"/>
  <c r="AB414" i="2" s="1"/>
  <c r="AA420" i="2" l="1"/>
  <c r="AB420" i="2" s="1"/>
  <c r="P431" i="2" a="1"/>
  <c r="P429" i="2" a="1"/>
  <c r="P425" i="2" a="1"/>
  <c r="O431" i="2" a="1"/>
  <c r="O429" i="2" a="1"/>
  <c r="O427" i="2" a="1"/>
  <c r="O425" i="2" a="1"/>
  <c r="O423" i="2" a="1"/>
  <c r="P430" i="2" a="1"/>
  <c r="P428" i="2" a="1"/>
  <c r="P426" i="2" a="1"/>
  <c r="P424" i="2" a="1"/>
  <c r="P422" i="2" a="1"/>
  <c r="O430" i="2" a="1"/>
  <c r="O428" i="2" a="1"/>
  <c r="O424" i="2" a="1"/>
  <c r="Q417" i="2"/>
  <c r="W416" i="2"/>
  <c r="W417" i="2"/>
  <c r="Q416" i="2"/>
  <c r="W431" i="2" l="1"/>
  <c r="W429" i="2"/>
  <c r="W425" i="2"/>
  <c r="W430" i="2"/>
  <c r="W428" i="2"/>
  <c r="W424" i="2"/>
  <c r="Q429" i="2"/>
  <c r="Q425" i="2"/>
  <c r="Q430" i="2"/>
  <c r="Q428" i="2"/>
  <c r="Q424" i="2"/>
  <c r="Q431" i="2"/>
  <c r="AA417" i="2"/>
  <c r="AB417" i="2" s="1"/>
  <c r="AA416" i="2"/>
  <c r="AB416" i="2" s="1"/>
  <c r="P418" i="2" a="1"/>
  <c r="O419" i="2" a="1"/>
  <c r="P419" i="2" a="1"/>
  <c r="O418" i="2" a="1"/>
  <c r="AX5" i="3" a="1"/>
  <c r="AA430" i="2" l="1"/>
  <c r="AB430" i="2" s="1"/>
  <c r="P433" i="2" a="1"/>
  <c r="Q433" i="2" s="1"/>
  <c r="O432" i="2" a="1"/>
  <c r="P432" i="2" a="1"/>
  <c r="O433" i="2" a="1"/>
  <c r="AA431" i="2"/>
  <c r="AB431" i="2" s="1"/>
  <c r="AA429" i="2"/>
  <c r="AB429" i="2" s="1"/>
  <c r="AA428" i="2"/>
  <c r="AB428" i="2" s="1"/>
  <c r="AA425" i="2"/>
  <c r="AB425" i="2" s="1"/>
  <c r="AA424" i="2"/>
  <c r="AB424" i="2" s="1"/>
  <c r="Q419" i="2"/>
  <c r="W419" i="2"/>
  <c r="W418" i="2"/>
  <c r="Q418" i="2"/>
  <c r="Q432" i="2" l="1"/>
  <c r="W433" i="2"/>
  <c r="AA433" i="2" s="1"/>
  <c r="AB433" i="2" s="1"/>
  <c r="W432" i="2"/>
  <c r="AA432" i="2" s="1"/>
  <c r="AB432" i="2" s="1"/>
  <c r="O434" i="2" a="1"/>
  <c r="O436" i="2" a="1"/>
  <c r="P434" i="2" a="1"/>
  <c r="O435" i="2" a="1"/>
  <c r="P435" i="2" a="1"/>
  <c r="P437" i="2" a="1"/>
  <c r="AA419" i="2"/>
  <c r="AB419" i="2" s="1"/>
  <c r="AA418" i="2"/>
  <c r="AB418" i="2" s="1"/>
  <c r="Q435" i="2" l="1"/>
  <c r="P423" i="2" a="1"/>
  <c r="O422" i="2" a="1"/>
  <c r="O426" i="2" a="1"/>
  <c r="P427" i="2" a="1"/>
  <c r="W434" i="2"/>
  <c r="AA434" i="2" s="1"/>
  <c r="AB434" i="2" s="1"/>
  <c r="W435" i="2"/>
  <c r="AA435" i="2" s="1"/>
  <c r="AB435" i="2" s="1"/>
  <c r="Q434" i="2"/>
  <c r="Q423" i="2" l="1"/>
  <c r="W423" i="2"/>
  <c r="AA423" i="2" s="1"/>
  <c r="AB423" i="2" s="1"/>
  <c r="W422" i="2"/>
  <c r="Q422" i="2"/>
  <c r="W426" i="2"/>
  <c r="AA426" i="2" s="1"/>
  <c r="AB426" i="2" s="1"/>
  <c r="Q426" i="2"/>
  <c r="Q427" i="2"/>
  <c r="W427" i="2"/>
  <c r="AA422" i="2" l="1"/>
  <c r="AB422" i="2" s="1"/>
  <c r="AA427" i="2"/>
  <c r="AB427" i="2" s="1"/>
  <c r="O437" i="2" a="1"/>
  <c r="P436" i="2" a="1"/>
  <c r="O438" i="2" a="1"/>
  <c r="O440" i="2" a="1"/>
  <c r="P438" i="2" a="1"/>
  <c r="P440" i="2" a="1"/>
  <c r="O439" i="2" a="1"/>
  <c r="O441" i="2" a="1"/>
  <c r="P439" i="2" a="1"/>
  <c r="P441" i="2" a="1"/>
  <c r="AX2" i="3" a="1"/>
  <c r="Q439" i="2" l="1"/>
  <c r="Q441" i="2"/>
  <c r="Q437" i="2"/>
  <c r="W437" i="2"/>
  <c r="AA437" i="2" s="1"/>
  <c r="AB437" i="2" s="1"/>
  <c r="Q436" i="2"/>
  <c r="W436" i="2"/>
  <c r="AA436" i="2" s="1"/>
  <c r="AB436" i="2" s="1"/>
  <c r="Q438" i="2"/>
  <c r="W438" i="2"/>
  <c r="AA438" i="2" s="1"/>
  <c r="AB438" i="2" s="1"/>
  <c r="W440" i="2"/>
  <c r="W439" i="2"/>
  <c r="AA439" i="2" s="1"/>
  <c r="AB439" i="2" s="1"/>
  <c r="W441" i="2"/>
  <c r="AA441" i="2" s="1"/>
  <c r="AB441" i="2" s="1"/>
  <c r="Q440" i="2"/>
  <c r="AX9" i="3" a="1"/>
  <c r="P445" i="2" l="1" a="1"/>
  <c r="P443" i="2" a="1"/>
  <c r="O445" i="2" a="1"/>
  <c r="O443" i="2" a="1"/>
  <c r="P444" i="2" a="1"/>
  <c r="Q444" i="2" s="1"/>
  <c r="P442" i="2" a="1"/>
  <c r="O444" i="2" a="1"/>
  <c r="O442" i="2" a="1"/>
  <c r="AA440" i="2"/>
  <c r="AB440" i="2" s="1"/>
  <c r="AX4" i="3" a="1"/>
  <c r="Q445" i="2" l="1"/>
  <c r="W445" i="2"/>
  <c r="AA445" i="2" s="1"/>
  <c r="AB445" i="2" s="1"/>
  <c r="W443" i="2"/>
  <c r="W444" i="2"/>
  <c r="AA444" i="2" s="1"/>
  <c r="AB444" i="2" s="1"/>
  <c r="W442" i="2"/>
  <c r="Q443" i="2"/>
  <c r="Q442" i="2"/>
  <c r="G25" i="3" a="1"/>
  <c r="AA443" i="2" l="1"/>
  <c r="AB443" i="2" s="1"/>
  <c r="AA442" i="2"/>
  <c r="AB442" i="2" s="1"/>
  <c r="P449" i="2" a="1"/>
  <c r="P447" i="2" a="1"/>
  <c r="O449" i="2" a="1"/>
  <c r="O447" i="2" a="1"/>
  <c r="P448" i="2" a="1"/>
  <c r="P446" i="2" a="1"/>
  <c r="O448" i="2" a="1"/>
  <c r="O446" i="2" a="1"/>
  <c r="AX6" i="3" a="1"/>
  <c r="G34" i="3" a="1"/>
  <c r="Q448" i="2" l="1"/>
  <c r="Q447" i="2"/>
  <c r="W449" i="2"/>
  <c r="W447" i="2"/>
  <c r="W448" i="2"/>
  <c r="AA448" i="2" s="1"/>
  <c r="AB448" i="2" s="1"/>
  <c r="W446" i="2"/>
  <c r="Q449" i="2"/>
  <c r="Q446" i="2"/>
  <c r="AA449" i="2" l="1"/>
  <c r="AB449" i="2" s="1"/>
  <c r="AA447" i="2"/>
  <c r="AB447" i="2" s="1"/>
  <c r="AA446" i="2"/>
  <c r="AB446" i="2" s="1"/>
  <c r="P451" i="2" a="1"/>
  <c r="Q451" i="2" s="1"/>
  <c r="O451" i="2" a="1"/>
  <c r="P450" i="2" a="1"/>
  <c r="O450" i="2" a="1"/>
  <c r="G36" i="3" a="1"/>
  <c r="W451" i="2" l="1"/>
  <c r="AA451" i="2" s="1"/>
  <c r="AB451" i="2" s="1"/>
  <c r="W450" i="2"/>
  <c r="AA450" i="2" s="1"/>
  <c r="AB450" i="2" s="1"/>
  <c r="Q450" i="2"/>
  <c r="AX8" i="3" a="1"/>
  <c r="P453" i="2" l="1" a="1"/>
  <c r="O453" i="2" a="1"/>
  <c r="P452" i="2" a="1"/>
  <c r="O452" i="2" a="1"/>
  <c r="AX7" i="3" a="1"/>
  <c r="G30" i="3" a="1"/>
  <c r="W453" i="2" l="1"/>
  <c r="AA453" i="2" s="1"/>
  <c r="AB453" i="2" s="1"/>
  <c r="W452" i="2"/>
  <c r="Q453" i="2"/>
  <c r="Q452" i="2"/>
  <c r="G32" i="3" a="1"/>
  <c r="AX3" i="3" a="1"/>
  <c r="G33" i="3" a="1"/>
  <c r="P457" i="2" l="1" a="1"/>
  <c r="P455" i="2" a="1"/>
  <c r="O457" i="2" a="1"/>
  <c r="O455" i="2" a="1"/>
  <c r="P456" i="2" a="1"/>
  <c r="P454" i="2" a="1"/>
  <c r="O456" i="2" a="1"/>
  <c r="O454" i="2" a="1"/>
  <c r="AA452" i="2"/>
  <c r="AB452" i="2" s="1"/>
  <c r="G29" i="3" a="1"/>
  <c r="G28" i="3" a="1"/>
  <c r="W457" i="2" l="1"/>
  <c r="W455" i="2"/>
  <c r="W456" i="2"/>
  <c r="W454" i="2"/>
  <c r="Q457" i="2"/>
  <c r="Q455" i="2"/>
  <c r="Q456" i="2"/>
  <c r="Q454" i="2"/>
  <c r="AA456" i="2" l="1"/>
  <c r="AB456" i="2" s="1"/>
  <c r="AA457" i="2"/>
  <c r="AB457" i="2" s="1"/>
  <c r="AA455" i="2"/>
  <c r="AB455" i="2" s="1"/>
  <c r="AA454" i="2"/>
  <c r="AB454" i="2" s="1"/>
  <c r="O458" i="2" l="1" a="1"/>
  <c r="O460" i="2" a="1"/>
  <c r="P458" i="2" a="1"/>
  <c r="Q458" i="2" s="1"/>
  <c r="P460" i="2" a="1"/>
  <c r="O459" i="2" a="1"/>
  <c r="O461" i="2" a="1"/>
  <c r="P459" i="2" a="1"/>
  <c r="Q459" i="2" s="1"/>
  <c r="P461" i="2" a="1"/>
  <c r="Q461" i="2" l="1"/>
  <c r="W458" i="2"/>
  <c r="AA458" i="2" s="1"/>
  <c r="AB458" i="2" s="1"/>
  <c r="W460" i="2"/>
  <c r="W459" i="2"/>
  <c r="AA459" i="2" s="1"/>
  <c r="AB459" i="2" s="1"/>
  <c r="W461" i="2"/>
  <c r="Q460" i="2"/>
  <c r="AA461" i="2" l="1"/>
  <c r="AB461" i="2" s="1"/>
  <c r="P465" i="2" a="1"/>
  <c r="P463" i="2" a="1"/>
  <c r="O464" i="2" a="1"/>
  <c r="O463" i="2" a="1"/>
  <c r="P464" i="2" a="1"/>
  <c r="P462" i="2" a="1"/>
  <c r="Q462" i="2" s="1"/>
  <c r="O465" i="2" a="1"/>
  <c r="O462" i="2" a="1"/>
  <c r="AA460" i="2"/>
  <c r="AB460" i="2" s="1"/>
  <c r="Q464" i="2" l="1"/>
  <c r="W464" i="2"/>
  <c r="W463" i="2"/>
  <c r="W465" i="2"/>
  <c r="W462" i="2"/>
  <c r="AA462" i="2" s="1"/>
  <c r="AB462" i="2" s="1"/>
  <c r="Q465" i="2"/>
  <c r="Q463" i="2"/>
  <c r="AA464" i="2" l="1"/>
  <c r="AB464" i="2" s="1"/>
  <c r="AA465" i="2"/>
  <c r="AB465" i="2" s="1"/>
  <c r="P469" i="2" a="1"/>
  <c r="P467" i="2" a="1"/>
  <c r="O468" i="2" a="1"/>
  <c r="O466" i="2" a="1"/>
  <c r="P468" i="2" a="1"/>
  <c r="Q468" i="2" s="1"/>
  <c r="P466" i="2" a="1"/>
  <c r="O469" i="2" a="1"/>
  <c r="O467" i="2" a="1"/>
  <c r="AA463" i="2"/>
  <c r="AB463" i="2" s="1"/>
  <c r="W468" i="2" l="1"/>
  <c r="AA468" i="2" s="1"/>
  <c r="AB468" i="2" s="1"/>
  <c r="W466" i="2"/>
  <c r="W469" i="2"/>
  <c r="W467" i="2"/>
  <c r="Q469" i="2"/>
  <c r="Q466" i="2"/>
  <c r="Q467" i="2"/>
  <c r="AA466" i="2" l="1"/>
  <c r="AB466" i="2" s="1"/>
  <c r="AA467" i="2"/>
  <c r="AB467" i="2" s="1"/>
  <c r="AA469" i="2"/>
  <c r="AB469" i="2" s="1"/>
  <c r="G35" i="3" s="1" a="1"/>
  <c r="O470" i="2" l="1" a="1"/>
  <c r="P471" i="2" a="1"/>
  <c r="O471" i="2" a="1"/>
  <c r="P470" i="2" a="1"/>
  <c r="W470" i="2" l="1"/>
  <c r="W471" i="2"/>
  <c r="AA471" i="2" s="1"/>
  <c r="AB471" i="2" s="1"/>
  <c r="G26" i="3" s="1" a="1"/>
  <c r="Q471" i="2"/>
  <c r="Q470" i="2"/>
  <c r="AA470" i="2" l="1"/>
  <c r="AB470" i="2" s="1"/>
  <c r="P473" i="2" a="1"/>
  <c r="O473" i="2" a="1"/>
  <c r="P472" i="2" a="1"/>
  <c r="O472" i="2" a="1"/>
  <c r="Q473" i="2" l="1"/>
  <c r="W473" i="2"/>
  <c r="AA473" i="2" s="1"/>
  <c r="AB473" i="2" s="1"/>
  <c r="W472" i="2"/>
  <c r="Q472" i="2"/>
  <c r="P475" i="2" l="1" a="1"/>
  <c r="O475" i="2" a="1"/>
  <c r="P474" i="2" a="1"/>
  <c r="O474" i="2" a="1"/>
  <c r="AA472" i="2"/>
  <c r="AB472" i="2" s="1"/>
  <c r="Q475" i="2" l="1"/>
  <c r="W475" i="2"/>
  <c r="W474" i="2"/>
  <c r="Q474" i="2"/>
  <c r="AA474" i="2" l="1"/>
  <c r="AB474" i="2" s="1"/>
  <c r="AA475" i="2"/>
  <c r="AB475" i="2" s="1"/>
  <c r="P477" i="2" a="1"/>
  <c r="Q477" i="2" s="1"/>
  <c r="O477" i="2" a="1"/>
  <c r="P476" i="2" a="1"/>
  <c r="Q476" i="2" s="1"/>
  <c r="O476" i="2" a="1"/>
  <c r="W477" i="2" l="1"/>
  <c r="AA477" i="2" s="1"/>
  <c r="AB477" i="2" s="1"/>
  <c r="W476" i="2"/>
  <c r="AA476" i="2" s="1"/>
  <c r="AB476" i="2" s="1"/>
  <c r="P478" i="2" l="1" a="1"/>
  <c r="O479" i="2" a="1"/>
  <c r="P479" i="2" a="1"/>
  <c r="O478" i="2" a="1"/>
  <c r="W479" i="2" l="1"/>
  <c r="W478" i="2"/>
  <c r="Q479" i="2"/>
  <c r="Q478" i="2"/>
  <c r="AA479" i="2" l="1"/>
  <c r="AB479" i="2" s="1"/>
  <c r="G27" i="3" s="1" a="1"/>
  <c r="A2" i="3" s="1" a="1"/>
  <c r="AA478" i="2"/>
  <c r="AB478" i="2" s="1"/>
  <c r="G31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<sst xmlns="http://schemas.openxmlformats.org/spreadsheetml/2006/main" count="2456" uniqueCount="88">
  <si>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</si>
  <si>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</si>
  <si>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</si>
  <si>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</si>
  <si>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</si>
  <si>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</si>
  <si>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</si>
  <si>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</si>
  <si>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</si>
  <si>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</si>
  <si>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</si>
  <si>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</si>
  <si>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</si>
  <si>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</si>
  <si>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</si>
  <si>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</si>
  <si>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</si>
  <si>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</si>
  <si>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</si>
  <si>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</si>
  <si>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</si>
  <si>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</si>
  <si>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</si>
  <si>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</si>
  <si>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</si>
  <si>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</si>
  <si>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</si>
  <si>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</si>
  <si>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</si>
  <si>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</si>
  <si>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</si>
  <si>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</si>
  <si>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</si>
  <si>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</si>
  <si>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</si>
  <si>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</si>
  <si>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</si>
  <si>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</si>
  <si>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</si>
  <si>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</si>
  <si>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</si>
  <si>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</si>
  <si>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</si>
  <si>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</si>
  <si>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</si>
  <si>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</si>
  <si>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</si>
  <si>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</si>
  <si>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</si>
  <si>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</si>
  <si>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</si>
  <si>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</si>
  <si>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</si>
  <si>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</si>
  <si>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</si>
  <si>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</si>
  <si>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</si>
  <si>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</si>
  <si>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</si>
  <si>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</si>
  <si>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</si>
  <si>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</si>
  <si>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</si>
  <si>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</si>
  <si>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</si>
  <si>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</si>
  <si>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</si>
  <si>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</si>
  <si>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</si>
  <si>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</si>
  <si>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</si>
  <si>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</si>
  <si>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</si>
  <si>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Connecticut Sun</t>
  </si>
  <si>
    <t>CON</t>
  </si>
  <si>
    <t>CHI</t>
  </si>
  <si>
    <t>Chicago Sky</t>
  </si>
  <si>
    <t>ATL</t>
  </si>
  <si>
    <t>Atlanta Dream</t>
  </si>
  <si>
    <t>R</t>
  </si>
  <si>
    <t>RS</t>
  </si>
  <si>
    <t>A</t>
  </si>
  <si>
    <t>H</t>
  </si>
  <si>
    <t>P</t>
  </si>
  <si>
    <t>Dallas Wings</t>
  </si>
  <si>
    <t>DAL</t>
  </si>
  <si>
    <t>LVA</t>
  </si>
  <si>
    <t>Las Vegas 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</si>
</sst>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6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1.621703356483" createdVersion="8" refreshedVersion="8" minRefreshableVersion="3" recordCount="478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22-05-06T00:00:00" maxDate="2022-09-19T00:00:00"/>
    </cacheField>
    <cacheField name="Season" numFmtId="1">
      <sharedItems containsSemiMixedTypes="0" containsString="0" containsNumber="1" containsInteger="1" minValue="2022" maxValue="2022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9">
        <s v="LAS"/>
        <s v="CHI"/>
        <s v="LVA"/>
        <s v="PHX"/>
        <s v="MIN"/>
        <s v="SEA"/>
        <s v="IND"/>
        <s v="WAS"/>
        <s v="ATL"/>
        <s v="DAL"/>
        <s v="CON"/>
        <s v="NYL"/>
        <s v="SAS" u="1"/>
        <s v="TUL" u="1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7"/>
    </cacheField>
    <cacheField name="OppDaysOff" numFmtId="1">
      <sharedItems containsSemiMixedTypes="0" containsString="0" containsNumber="1" containsInteger="1" minValue="0" maxValue="7"/>
    </cacheField>
    <cacheField name="RestDiff" numFmtId="1">
      <sharedItems containsSemiMixedTypes="0" containsString="0" containsNumber="1" containsInteger="1" minValue="-6" maxValue="6"/>
    </cacheField>
    <cacheField name="OppRestDiff" numFmtId="1">
      <sharedItems containsSemiMixedTypes="0" containsString="0" containsNumber="1" containsInteger="1" minValue="-6" maxValue="6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228.5642247230737" maxValue="1713.8406256508606"/>
    </cacheField>
    <cacheField name="OppPreGmRate" numFmtId="165">
      <sharedItems containsSemiMixedTypes="0" containsString="0" containsNumber="1" minValue="1228.5642247230737" maxValue="1713.8406256508606"/>
    </cacheField>
    <cacheField name="ExpectedWin%" numFmtId="165">
      <sharedItems containsSemiMixedTypes="0" containsString="0" containsNumber="1" minValue="7.338652745980169E-2" maxValue="0.92661347254019832"/>
    </cacheField>
    <cacheField name="PointsFor" numFmtId="0">
      <sharedItems containsSemiMixedTypes="0" containsString="0" containsNumber="1" containsInteger="1" minValue="50" maxValue="118"/>
    </cacheField>
    <cacheField name="PointsAgainst" numFmtId="0">
      <sharedItems containsSemiMixedTypes="0" containsString="0" containsNumber="1" containsInteger="1" minValue="50" maxValue="118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8" maxValue="38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19667028797534938" maxValue="0.73807804076121575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8.8" maxValue="75.849999999999994"/>
    </cacheField>
    <cacheField name="Keff" numFmtId="165">
      <sharedItems containsSemiMixedTypes="0" containsString="0" containsNumber="1" minValue="70.599999999999994" maxValue="93.892499999999998"/>
    </cacheField>
    <cacheField name="RatingChange" numFmtId="165">
      <sharedItems containsSemiMixedTypes="0" containsString="0" containsNumber="1" minValue="-29.158502485918525" maxValue="29.098464388830166"/>
    </cacheField>
    <cacheField name="PostGmRate" numFmtId="165">
      <sharedItems containsSemiMixedTypes="0" containsString="0" containsNumber="1" minValue="1226.5130945621243" maxValue="1713.8406256508606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8">
  <r>
    <d v="2022-05-06T00:00:00"/>
    <n v="2022"/>
    <x v="0"/>
    <s v="R"/>
    <s v="RS"/>
    <x v="0"/>
    <s v="CHI"/>
    <s v="A"/>
    <n v="0"/>
    <n v="0"/>
    <n v="0"/>
    <n v="0"/>
    <n v="0"/>
    <n v="0"/>
    <n v="1465.0986761554955"/>
    <n v="1566.9816143643443"/>
    <n v="0.25539772013141943"/>
    <n v="98"/>
    <n v="91"/>
    <n v="1"/>
    <n v="7"/>
    <n v="1"/>
    <n v="0.30702894596349872"/>
    <n v="1"/>
    <n v="75.849999999999994"/>
    <n v="75.849999999999994"/>
    <n v="17.340406271432684"/>
    <n v="1482.4390824269281"/>
    <n v="1"/>
    <n v="0"/>
    <n v="0"/>
    <n v="0"/>
    <n v="0"/>
    <n v="0"/>
    <n v="0"/>
    <n v="0"/>
    <n v="0"/>
    <n v="0"/>
  </r>
  <r>
    <d v="2022-05-06T00:00:00"/>
    <n v="2022"/>
    <x v="0"/>
    <s v="R"/>
    <s v="RS"/>
    <x v="1"/>
    <s v="LAS"/>
    <s v="H"/>
    <n v="0"/>
    <n v="0"/>
    <n v="0"/>
    <n v="0"/>
    <n v="0"/>
    <n v="0"/>
    <n v="1566.9816143643443"/>
    <n v="1465.0986761554955"/>
    <n v="0.74460227986858052"/>
    <n v="91"/>
    <n v="98"/>
    <n v="1"/>
    <n v="-7"/>
    <n v="0"/>
    <n v="0.30702894596349872"/>
    <n v="1"/>
    <n v="75.849999999999994"/>
    <n v="75.849999999999994"/>
    <n v="-17.340406271432684"/>
    <n v="1549.6412080929117"/>
    <n v="0"/>
    <n v="1"/>
    <n v="0"/>
    <n v="0"/>
    <n v="0"/>
    <n v="0"/>
    <n v="0"/>
    <n v="0"/>
    <n v="0"/>
    <n v="0"/>
  </r>
  <r>
    <d v="2022-05-06T00:00:00"/>
    <n v="2022"/>
    <x v="0"/>
    <s v="R"/>
    <s v="RS"/>
    <x v="2"/>
    <s v="PHX"/>
    <s v="A"/>
    <n v="0"/>
    <n v="0"/>
    <n v="0"/>
    <n v="0"/>
    <n v="0"/>
    <n v="0"/>
    <n v="1572.5760750477341"/>
    <n v="1536.9011044196527"/>
    <n v="0.43089972788873043"/>
    <n v="106"/>
    <n v="88"/>
    <n v="0"/>
    <n v="18"/>
    <n v="1"/>
    <n v="0.53104637882083594"/>
    <n v="1"/>
    <n v="75.849999999999994"/>
    <n v="75.849999999999994"/>
    <n v="22.9232837446852"/>
    <n v="1595.4993587924193"/>
    <n v="1"/>
    <n v="0"/>
    <n v="0"/>
    <n v="0"/>
    <n v="0"/>
    <n v="0"/>
    <n v="0"/>
    <n v="0"/>
    <n v="0"/>
    <n v="0"/>
  </r>
  <r>
    <d v="2022-05-06T00:00:00"/>
    <n v="2022"/>
    <x v="0"/>
    <s v="R"/>
    <s v="RS"/>
    <x v="3"/>
    <s v="LVA"/>
    <s v="H"/>
    <n v="0"/>
    <n v="0"/>
    <n v="0"/>
    <n v="0"/>
    <n v="0"/>
    <n v="0"/>
    <n v="1536.9011044196527"/>
    <n v="1572.5760750477341"/>
    <n v="0.56910027211126957"/>
    <n v="88"/>
    <n v="106"/>
    <n v="0"/>
    <n v="-18"/>
    <n v="0"/>
    <n v="0.53104637882083594"/>
    <n v="1"/>
    <n v="75.849999999999994"/>
    <n v="75.849999999999994"/>
    <n v="-22.9232837446852"/>
    <n v="1513.9778206749675"/>
    <n v="0"/>
    <n v="1"/>
    <n v="0"/>
    <n v="0"/>
    <n v="0"/>
    <n v="0"/>
    <n v="0"/>
    <n v="0"/>
    <n v="0"/>
    <n v="0"/>
  </r>
  <r>
    <d v="2022-05-06T00:00:00"/>
    <n v="2022"/>
    <x v="0"/>
    <s v="R"/>
    <s v="RS"/>
    <x v="4"/>
    <s v="SEA"/>
    <s v="A"/>
    <n v="0"/>
    <n v="0"/>
    <n v="0"/>
    <n v="0"/>
    <n v="0"/>
    <n v="0"/>
    <n v="1550.4664182892784"/>
    <n v="1540.7050640965751"/>
    <n v="0.39475882697182202"/>
    <n v="74"/>
    <n v="97"/>
    <n v="0"/>
    <n v="-23"/>
    <n v="0"/>
    <n v="0.61037271567256668"/>
    <n v="1"/>
    <n v="75.849999999999994"/>
    <n v="75.849999999999994"/>
    <n v="-18.276058808754421"/>
    <n v="1532.190359480524"/>
    <n v="0"/>
    <n v="1"/>
    <n v="0"/>
    <n v="0"/>
    <n v="0"/>
    <n v="0"/>
    <n v="0"/>
    <n v="0"/>
    <n v="0"/>
    <n v="0"/>
  </r>
  <r>
    <d v="2022-05-06T00:00:00"/>
    <n v="2022"/>
    <x v="0"/>
    <s v="R"/>
    <s v="RS"/>
    <x v="5"/>
    <s v="MIN"/>
    <s v="H"/>
    <n v="0"/>
    <n v="0"/>
    <n v="0"/>
    <n v="0"/>
    <n v="0"/>
    <n v="0"/>
    <n v="1540.7050640965751"/>
    <n v="1550.4664182892784"/>
    <n v="0.60524117302817793"/>
    <n v="97"/>
    <n v="74"/>
    <n v="0"/>
    <n v="23"/>
    <n v="1"/>
    <n v="0.61037271567256668"/>
    <n v="1"/>
    <n v="75.849999999999994"/>
    <n v="75.849999999999994"/>
    <n v="18.276058808754421"/>
    <n v="1558.9811229053296"/>
    <n v="1"/>
    <n v="0"/>
    <n v="0"/>
    <n v="0"/>
    <n v="0"/>
    <n v="0"/>
    <n v="0"/>
    <n v="0"/>
    <n v="0"/>
    <n v="0"/>
  </r>
  <r>
    <d v="2022-05-06T00:00:00"/>
    <n v="2022"/>
    <x v="0"/>
    <s v="R"/>
    <s v="RS"/>
    <x v="6"/>
    <s v="WAS"/>
    <s v="A"/>
    <n v="0"/>
    <n v="0"/>
    <n v="0"/>
    <n v="0"/>
    <n v="0"/>
    <n v="0"/>
    <n v="1403.3865627630159"/>
    <n v="1460.8099553154011"/>
    <n v="0.30701782092314167"/>
    <n v="70"/>
    <n v="84"/>
    <n v="0"/>
    <n v="-14"/>
    <n v="0"/>
    <n v="0.46534025667614948"/>
    <n v="1"/>
    <n v="75.849999999999994"/>
    <n v="75.849999999999994"/>
    <n v="-10.83651895829316"/>
    <n v="1392.5500438047227"/>
    <n v="0"/>
    <n v="1"/>
    <n v="0"/>
    <n v="0"/>
    <n v="0"/>
    <n v="0"/>
    <n v="0"/>
    <n v="0"/>
    <n v="0"/>
    <n v="0"/>
  </r>
  <r>
    <d v="2022-05-06T00:00:00"/>
    <n v="2022"/>
    <x v="0"/>
    <s v="R"/>
    <s v="RS"/>
    <x v="7"/>
    <s v="IND"/>
    <s v="H"/>
    <n v="0"/>
    <n v="0"/>
    <n v="0"/>
    <n v="0"/>
    <n v="0"/>
    <n v="0"/>
    <n v="1460.8099553154011"/>
    <n v="1403.3865627630159"/>
    <n v="0.69298217907685833"/>
    <n v="84"/>
    <n v="70"/>
    <n v="0"/>
    <n v="14"/>
    <n v="1"/>
    <n v="0.46534025667614948"/>
    <n v="1"/>
    <n v="75.849999999999994"/>
    <n v="75.849999999999994"/>
    <n v="10.83651895829316"/>
    <n v="1471.6464742736944"/>
    <n v="1"/>
    <n v="0"/>
    <n v="0"/>
    <n v="0"/>
    <n v="0"/>
    <n v="0"/>
    <n v="0"/>
    <n v="0"/>
    <n v="0"/>
    <n v="0"/>
  </r>
  <r>
    <d v="2022-05-07T00:00:00"/>
    <n v="2022"/>
    <x v="0"/>
    <s v="R"/>
    <s v="RS"/>
    <x v="8"/>
    <s v="DAL"/>
    <s v="A"/>
    <n v="1"/>
    <n v="1"/>
    <n v="0"/>
    <n v="0"/>
    <n v="0"/>
    <n v="0"/>
    <n v="1412.4071530577075"/>
    <n v="1471.79886821578"/>
    <n v="0.30461243701346147"/>
    <n v="66"/>
    <n v="59"/>
    <n v="0"/>
    <n v="7"/>
    <n v="1"/>
    <n v="0.35265327033602034"/>
    <n v="1"/>
    <n v="75.849999999999994"/>
    <n v="75.849999999999994"/>
    <n v="18.600748461367324"/>
    <n v="1431.0079015190749"/>
    <n v="1"/>
    <n v="0"/>
    <n v="0"/>
    <n v="0"/>
    <n v="0"/>
    <n v="0"/>
    <n v="0"/>
    <n v="0"/>
    <n v="0"/>
    <n v="0"/>
  </r>
  <r>
    <d v="2022-05-07T00:00:00"/>
    <n v="2022"/>
    <x v="0"/>
    <s v="R"/>
    <s v="RS"/>
    <x v="9"/>
    <s v="ATL"/>
    <s v="H"/>
    <n v="1"/>
    <n v="1"/>
    <n v="0"/>
    <n v="0"/>
    <n v="0"/>
    <n v="0"/>
    <n v="1471.79886821578"/>
    <n v="1412.4071530577075"/>
    <n v="0.69538756298653859"/>
    <n v="59"/>
    <n v="66"/>
    <n v="0"/>
    <n v="-7"/>
    <n v="0"/>
    <n v="0.35265327033602034"/>
    <n v="1"/>
    <n v="75.849999999999994"/>
    <n v="75.849999999999994"/>
    <n v="-18.600748461367328"/>
    <n v="1453.1981197544126"/>
    <n v="0"/>
    <n v="1"/>
    <n v="0"/>
    <n v="0"/>
    <n v="0"/>
    <n v="0"/>
    <n v="0"/>
    <n v="0"/>
    <n v="0"/>
    <n v="0"/>
  </r>
  <r>
    <d v="2022-05-07T00:00:00"/>
    <n v="2022"/>
    <x v="0"/>
    <s v="R"/>
    <s v="RS"/>
    <x v="10"/>
    <s v="NYL"/>
    <s v="A"/>
    <n v="1"/>
    <n v="1"/>
    <n v="0"/>
    <n v="0"/>
    <n v="0"/>
    <n v="0"/>
    <n v="1588.7187851648264"/>
    <n v="1430.2424500825819"/>
    <n v="0.60556803394712322"/>
    <n v="79"/>
    <n v="81"/>
    <n v="0"/>
    <n v="-2"/>
    <n v="0"/>
    <n v="0.23659564518814025"/>
    <n v="1"/>
    <n v="75.849999999999994"/>
    <n v="75.849999999999994"/>
    <n v="-10.867390523019969"/>
    <n v="1577.8513946418063"/>
    <n v="0"/>
    <n v="1"/>
    <n v="0"/>
    <n v="0"/>
    <n v="0"/>
    <n v="0"/>
    <n v="0"/>
    <n v="0"/>
    <n v="0"/>
    <n v="0"/>
  </r>
  <r>
    <d v="2022-05-07T00:00:00"/>
    <n v="2022"/>
    <x v="0"/>
    <s v="R"/>
    <s v="RS"/>
    <x v="11"/>
    <s v="CON"/>
    <s v="H"/>
    <n v="1"/>
    <n v="1"/>
    <n v="0"/>
    <n v="0"/>
    <n v="0"/>
    <n v="0"/>
    <n v="1430.2424500825819"/>
    <n v="1588.7187851648264"/>
    <n v="0.39443196605287684"/>
    <n v="81"/>
    <n v="79"/>
    <n v="0"/>
    <n v="2"/>
    <n v="1"/>
    <n v="0.23659564518814025"/>
    <n v="1"/>
    <n v="75.849999999999994"/>
    <n v="75.849999999999994"/>
    <n v="10.867390523019969"/>
    <n v="1441.1098406056019"/>
    <n v="1"/>
    <n v="0"/>
    <n v="0"/>
    <n v="0"/>
    <n v="0"/>
    <n v="0"/>
    <n v="0"/>
    <n v="0"/>
    <n v="0"/>
    <n v="0"/>
  </r>
  <r>
    <d v="2022-05-08T00:00:00"/>
    <n v="2022"/>
    <x v="1"/>
    <s v="R"/>
    <s v="RS"/>
    <x v="0"/>
    <s v="IND"/>
    <s v="A"/>
    <n v="1"/>
    <n v="1"/>
    <n v="0"/>
    <n v="0"/>
    <n v="0"/>
    <n v="0"/>
    <n v="1482.4390824269281"/>
    <n v="1392.5500438047227"/>
    <n v="0.50847419630117063"/>
    <n v="87"/>
    <n v="77"/>
    <n v="0"/>
    <n v="10"/>
    <n v="1"/>
    <n v="0.39364288244599693"/>
    <n v="1"/>
    <n v="75.7"/>
    <n v="75.7"/>
    <n v="14.646862506259648"/>
    <n v="1497.0859449331876"/>
    <n v="1"/>
    <n v="0"/>
    <n v="0"/>
    <n v="0"/>
    <n v="0"/>
    <n v="0"/>
    <n v="0"/>
    <n v="0"/>
    <n v="0"/>
    <n v="0"/>
  </r>
  <r>
    <d v="2022-05-08T00:00:00"/>
    <n v="2022"/>
    <x v="1"/>
    <s v="R"/>
    <s v="RS"/>
    <x v="6"/>
    <s v="LAS"/>
    <s v="H"/>
    <n v="1"/>
    <n v="1"/>
    <n v="0"/>
    <n v="0"/>
    <n v="0"/>
    <n v="0"/>
    <n v="1392.5500438047227"/>
    <n v="1482.4390824269281"/>
    <n v="0.49152580369882942"/>
    <n v="77"/>
    <n v="87"/>
    <n v="0"/>
    <n v="-10"/>
    <n v="0"/>
    <n v="0.39364288244599693"/>
    <n v="1"/>
    <n v="75.7"/>
    <n v="75.7"/>
    <n v="-14.64686250625965"/>
    <n v="1377.9031812984631"/>
    <n v="0"/>
    <n v="1"/>
    <n v="0"/>
    <n v="0"/>
    <n v="0"/>
    <n v="0"/>
    <n v="0"/>
    <n v="0"/>
    <n v="0"/>
    <n v="0"/>
  </r>
  <r>
    <d v="2022-05-08T00:00:00"/>
    <n v="2022"/>
    <x v="1"/>
    <s v="R"/>
    <s v="RS"/>
    <x v="5"/>
    <s v="LVA"/>
    <s v="A"/>
    <n v="1"/>
    <n v="1"/>
    <n v="0"/>
    <n v="0"/>
    <n v="0"/>
    <n v="0"/>
    <n v="1558.9811229053296"/>
    <n v="1595.4993587924193"/>
    <n v="0.3331974465414651"/>
    <n v="74"/>
    <n v="85"/>
    <n v="0"/>
    <n v="-11"/>
    <n v="0"/>
    <n v="0.42684624374383506"/>
    <n v="1"/>
    <n v="75.7"/>
    <n v="75.7"/>
    <n v="-10.766362741031509"/>
    <n v="1548.214760164298"/>
    <n v="0"/>
    <n v="1"/>
    <n v="0"/>
    <n v="0"/>
    <n v="0"/>
    <n v="0"/>
    <n v="0"/>
    <n v="0"/>
    <n v="0"/>
    <n v="0"/>
  </r>
  <r>
    <d v="2022-05-08T00:00:00"/>
    <n v="2022"/>
    <x v="1"/>
    <s v="R"/>
    <s v="RS"/>
    <x v="2"/>
    <s v="SEA"/>
    <s v="H"/>
    <n v="1"/>
    <n v="1"/>
    <n v="0"/>
    <n v="0"/>
    <n v="0"/>
    <n v="0"/>
    <n v="1595.4993587924193"/>
    <n v="1558.9811229053296"/>
    <n v="0.6668025534585349"/>
    <n v="85"/>
    <n v="74"/>
    <n v="0"/>
    <n v="11"/>
    <n v="1"/>
    <n v="0.42684624374383506"/>
    <n v="1"/>
    <n v="75.7"/>
    <n v="75.7"/>
    <n v="10.766362741031509"/>
    <n v="1606.2657215334509"/>
    <n v="1"/>
    <n v="0"/>
    <n v="0"/>
    <n v="0"/>
    <n v="0"/>
    <n v="0"/>
    <n v="0"/>
    <n v="0"/>
    <n v="0"/>
    <n v="0"/>
  </r>
  <r>
    <d v="2022-05-08T00:00:00"/>
    <n v="2022"/>
    <x v="1"/>
    <s v="R"/>
    <s v="RS"/>
    <x v="7"/>
    <s v="MIN"/>
    <s v="A"/>
    <n v="1"/>
    <n v="1"/>
    <n v="0"/>
    <n v="0"/>
    <n v="0"/>
    <n v="0"/>
    <n v="1471.6464742736944"/>
    <n v="1532.190359480524"/>
    <n v="0.30320935581813857"/>
    <n v="78"/>
    <n v="66"/>
    <n v="0"/>
    <n v="12"/>
    <n v="1"/>
    <n v="0.43422155953105829"/>
    <n v="1"/>
    <n v="75.7"/>
    <n v="75.7"/>
    <n v="22.903907077875701"/>
    <n v="1494.55038135157"/>
    <n v="1"/>
    <n v="0"/>
    <n v="0"/>
    <n v="0"/>
    <n v="0"/>
    <n v="0"/>
    <n v="0"/>
    <n v="0"/>
    <n v="0"/>
    <n v="0"/>
  </r>
  <r>
    <d v="2022-05-08T00:00:00"/>
    <n v="2022"/>
    <x v="1"/>
    <s v="R"/>
    <s v="RS"/>
    <x v="4"/>
    <s v="WAS"/>
    <s v="H"/>
    <n v="1"/>
    <n v="1"/>
    <n v="0"/>
    <n v="0"/>
    <n v="0"/>
    <n v="0"/>
    <n v="1532.190359480524"/>
    <n v="1471.6464742736944"/>
    <n v="0.69679064418186143"/>
    <n v="66"/>
    <n v="78"/>
    <n v="0"/>
    <n v="-12"/>
    <n v="0"/>
    <n v="0.43422155953105829"/>
    <n v="1"/>
    <n v="75.7"/>
    <n v="75.7"/>
    <n v="-22.903907077875701"/>
    <n v="1509.2864524026484"/>
    <n v="0"/>
    <n v="1"/>
    <n v="0"/>
    <n v="0"/>
    <n v="0"/>
    <n v="0"/>
    <n v="0"/>
    <n v="0"/>
    <n v="0"/>
    <n v="0"/>
  </r>
  <r>
    <d v="2022-05-10T00:00:00"/>
    <n v="2022"/>
    <x v="2"/>
    <s v="R"/>
    <s v="RS"/>
    <x v="4"/>
    <s v="IND"/>
    <s v="A"/>
    <n v="1"/>
    <n v="1"/>
    <n v="0"/>
    <n v="0"/>
    <n v="0"/>
    <n v="0"/>
    <n v="1509.2864524026484"/>
    <n v="1377.9031812984631"/>
    <n v="0.56777036347012744"/>
    <n v="76"/>
    <n v="82"/>
    <n v="0"/>
    <n v="-6"/>
    <n v="0"/>
    <n v="0.31661575029374339"/>
    <n v="1"/>
    <n v="75.55"/>
    <n v="75.55"/>
    <n v="-13.581248743641989"/>
    <n v="1495.7052036590064"/>
    <n v="0"/>
    <n v="1"/>
    <n v="0"/>
    <n v="0"/>
    <n v="0"/>
    <n v="0"/>
    <n v="0"/>
    <n v="0"/>
    <n v="0"/>
    <n v="0"/>
  </r>
  <r>
    <d v="2022-05-10T00:00:00"/>
    <n v="2022"/>
    <x v="2"/>
    <s v="R"/>
    <s v="RS"/>
    <x v="6"/>
    <s v="MIN"/>
    <s v="H"/>
    <n v="1"/>
    <n v="1"/>
    <n v="0"/>
    <n v="0"/>
    <n v="0"/>
    <n v="0"/>
    <n v="1377.9031812984631"/>
    <n v="1509.2864524026484"/>
    <n v="0.43222963652987267"/>
    <n v="82"/>
    <n v="76"/>
    <n v="0"/>
    <n v="6"/>
    <n v="1"/>
    <n v="0.31661575029374339"/>
    <n v="1"/>
    <n v="75.55"/>
    <n v="75.55"/>
    <n v="13.581248743641986"/>
    <n v="1391.484430042105"/>
    <n v="1"/>
    <n v="0"/>
    <n v="0"/>
    <n v="0"/>
    <n v="0"/>
    <n v="0"/>
    <n v="0"/>
    <n v="0"/>
    <n v="0"/>
    <n v="0"/>
  </r>
  <r>
    <d v="2022-05-10T00:00:00"/>
    <n v="2022"/>
    <x v="2"/>
    <s v="R"/>
    <s v="RS"/>
    <x v="2"/>
    <s v="WAS"/>
    <s v="A"/>
    <n v="1"/>
    <n v="1"/>
    <n v="0"/>
    <n v="0"/>
    <n v="0"/>
    <n v="0"/>
    <n v="1606.2657215334509"/>
    <n v="1494.55038135157"/>
    <n v="0.53980119236967694"/>
    <n v="76"/>
    <n v="89"/>
    <n v="0"/>
    <n v="-13"/>
    <n v="0"/>
    <n v="0.43184103244412575"/>
    <n v="1"/>
    <n v="75.55"/>
    <n v="75.55"/>
    <n v="-17.611332384386976"/>
    <n v="1588.6543891490639"/>
    <n v="0"/>
    <n v="1"/>
    <n v="0"/>
    <n v="0"/>
    <n v="0"/>
    <n v="0"/>
    <n v="0"/>
    <n v="0"/>
    <n v="0"/>
    <n v="0"/>
  </r>
  <r>
    <d v="2022-05-10T00:00:00"/>
    <n v="2022"/>
    <x v="2"/>
    <s v="R"/>
    <s v="RS"/>
    <x v="7"/>
    <s v="LVA"/>
    <s v="H"/>
    <n v="1"/>
    <n v="1"/>
    <n v="0"/>
    <n v="0"/>
    <n v="0"/>
    <n v="0"/>
    <n v="1494.55038135157"/>
    <n v="1606.2657215334509"/>
    <n v="0.460198807630323"/>
    <n v="89"/>
    <n v="76"/>
    <n v="0"/>
    <n v="13"/>
    <n v="1"/>
    <n v="0.43184103244412575"/>
    <n v="1"/>
    <n v="75.55"/>
    <n v="75.55"/>
    <n v="17.61133238438698"/>
    <n v="1512.1617137359569"/>
    <n v="1"/>
    <n v="0"/>
    <n v="0"/>
    <n v="0"/>
    <n v="0"/>
    <n v="0"/>
    <n v="0"/>
    <n v="0"/>
    <n v="0"/>
    <n v="0"/>
  </r>
  <r>
    <d v="2022-05-11T00:00:00"/>
    <n v="2022"/>
    <x v="2"/>
    <s v="R"/>
    <s v="RS"/>
    <x v="0"/>
    <s v="ATL"/>
    <s v="A"/>
    <n v="2"/>
    <n v="3"/>
    <n v="-1"/>
    <n v="1"/>
    <n v="-8"/>
    <n v="8"/>
    <n v="1497.0859449331876"/>
    <n v="1431.0079015190749"/>
    <n v="0.45133691133080406"/>
    <n v="75"/>
    <n v="77"/>
    <n v="0"/>
    <n v="-2"/>
    <n v="0"/>
    <n v="0.2538623796878185"/>
    <n v="1"/>
    <n v="75.55"/>
    <n v="75.55"/>
    <n v="-8.6563272806473517"/>
    <n v="1488.4296176525404"/>
    <n v="0"/>
    <n v="1"/>
    <n v="0"/>
    <n v="0"/>
    <n v="0"/>
    <n v="0"/>
    <n v="0"/>
    <n v="0"/>
    <n v="0"/>
    <n v="0"/>
  </r>
  <r>
    <d v="2022-05-11T00:00:00"/>
    <n v="2022"/>
    <x v="1"/>
    <s v="R"/>
    <s v="RS"/>
    <x v="8"/>
    <s v="LAS"/>
    <s v="H"/>
    <n v="3"/>
    <n v="2"/>
    <n v="1"/>
    <n v="-1"/>
    <n v="8"/>
    <n v="-8"/>
    <n v="1431.0079015190749"/>
    <n v="1497.0859449331876"/>
    <n v="0.548663088669196"/>
    <n v="77"/>
    <n v="75"/>
    <n v="0"/>
    <n v="2"/>
    <n v="1"/>
    <n v="0.2538623796878185"/>
    <n v="1"/>
    <n v="75.7"/>
    <n v="75.7"/>
    <n v="8.6735139000000601"/>
    <n v="1439.6814154190749"/>
    <n v="1"/>
    <n v="0"/>
    <n v="0"/>
    <n v="0"/>
    <n v="0"/>
    <n v="0"/>
    <n v="0"/>
    <n v="0"/>
    <n v="0"/>
    <n v="0"/>
  </r>
  <r>
    <d v="2022-05-11T00:00:00"/>
    <n v="2022"/>
    <x v="1"/>
    <s v="R"/>
    <s v="RS"/>
    <x v="11"/>
    <s v="CHI"/>
    <s v="A"/>
    <n v="3"/>
    <n v="4"/>
    <n v="-1"/>
    <n v="1"/>
    <n v="-8"/>
    <n v="8"/>
    <n v="1441.1098406056019"/>
    <n v="1549.6412080929117"/>
    <n v="0.23140352470812819"/>
    <n v="50"/>
    <n v="83"/>
    <n v="0"/>
    <n v="-33"/>
    <n v="0"/>
    <n v="0.67777574051791067"/>
    <n v="1"/>
    <n v="75.7"/>
    <n v="75.7"/>
    <n v="-11.872764935535221"/>
    <n v="1429.2370756700666"/>
    <n v="0"/>
    <n v="1"/>
    <n v="0"/>
    <n v="0"/>
    <n v="0"/>
    <n v="0"/>
    <n v="0"/>
    <n v="0"/>
    <n v="0"/>
    <n v="0"/>
  </r>
  <r>
    <d v="2022-05-11T00:00:00"/>
    <n v="2022"/>
    <x v="1"/>
    <s v="R"/>
    <s v="RS"/>
    <x v="1"/>
    <s v="NYL"/>
    <s v="H"/>
    <n v="4"/>
    <n v="3"/>
    <n v="1"/>
    <n v="-1"/>
    <n v="8"/>
    <n v="-8"/>
    <n v="1549.6412080929117"/>
    <n v="1441.1098406056019"/>
    <n v="0.76859647529187181"/>
    <n v="83"/>
    <n v="50"/>
    <n v="0"/>
    <n v="33"/>
    <n v="1"/>
    <n v="0.67777574051791067"/>
    <n v="1"/>
    <n v="75.7"/>
    <n v="75.7"/>
    <n v="11.872764935535221"/>
    <n v="1561.513973028447"/>
    <n v="1"/>
    <n v="0"/>
    <n v="0"/>
    <n v="0"/>
    <n v="0"/>
    <n v="0"/>
    <n v="0"/>
    <n v="0"/>
    <n v="0"/>
    <n v="0"/>
  </r>
  <r>
    <d v="2022-05-11T00:00:00"/>
    <n v="2022"/>
    <x v="2"/>
    <s v="R"/>
    <s v="RS"/>
    <x v="5"/>
    <s v="PHX"/>
    <s v="A"/>
    <n v="2"/>
    <n v="4"/>
    <n v="-2"/>
    <n v="2"/>
    <n v="-16"/>
    <n v="16"/>
    <n v="1548.214760164298"/>
    <n v="1513.9778206749675"/>
    <n v="0.38445861992127756"/>
    <n v="77"/>
    <n v="97"/>
    <n v="0"/>
    <n v="-20"/>
    <n v="0"/>
    <n v="0.55894035307032786"/>
    <n v="1"/>
    <n v="75.55"/>
    <n v="75.55"/>
    <n v="-16.234896947197591"/>
    <n v="1531.9798632171005"/>
    <n v="0"/>
    <n v="1"/>
    <n v="0"/>
    <n v="0"/>
    <n v="0"/>
    <n v="0"/>
    <n v="0"/>
    <n v="0"/>
    <n v="0"/>
    <n v="0"/>
  </r>
  <r>
    <d v="2022-05-11T00:00:00"/>
    <n v="2022"/>
    <x v="1"/>
    <s v="R"/>
    <s v="RS"/>
    <x v="3"/>
    <s v="SEA"/>
    <s v="H"/>
    <n v="4"/>
    <n v="2"/>
    <n v="2"/>
    <n v="-2"/>
    <n v="16"/>
    <n v="-16"/>
    <n v="1513.9778206749675"/>
    <n v="1548.214760164298"/>
    <n v="0.6155413800787225"/>
    <n v="97"/>
    <n v="77"/>
    <n v="0"/>
    <n v="20"/>
    <n v="1"/>
    <n v="0.55894035307032786"/>
    <n v="1"/>
    <n v="75.7"/>
    <n v="75.7"/>
    <n v="16.267130362711548"/>
    <n v="1530.2449510376789"/>
    <n v="1"/>
    <n v="0"/>
    <n v="0"/>
    <n v="0"/>
    <n v="0"/>
    <n v="0"/>
    <n v="0"/>
    <n v="0"/>
    <n v="0"/>
    <n v="0"/>
  </r>
  <r>
    <d v="2022-05-13T00:00:00"/>
    <n v="2022"/>
    <x v="3"/>
    <s v="R"/>
    <s v="RS"/>
    <x v="2"/>
    <s v="ATL"/>
    <s v="A"/>
    <n v="2"/>
    <n v="1"/>
    <n v="1"/>
    <n v="-1"/>
    <n v="8"/>
    <n v="-8"/>
    <n v="1588.6543891490639"/>
    <n v="1439.6814154190749"/>
    <n v="0.61446450610810432"/>
    <n v="96"/>
    <n v="73"/>
    <n v="0"/>
    <n v="23"/>
    <n v="1"/>
    <n v="0.54738333343520462"/>
    <n v="1"/>
    <n v="75.400000000000006"/>
    <n v="75.400000000000006"/>
    <n v="15.912092066831693"/>
    <n v="1604.5664812158957"/>
    <n v="1"/>
    <n v="0"/>
    <n v="0"/>
    <n v="0"/>
    <n v="0"/>
    <n v="0"/>
    <n v="0"/>
    <n v="0"/>
    <n v="0"/>
    <n v="0"/>
  </r>
  <r>
    <d v="2022-05-13T00:00:00"/>
    <n v="2022"/>
    <x v="2"/>
    <s v="R"/>
    <s v="RS"/>
    <x v="8"/>
    <s v="LVA"/>
    <s v="H"/>
    <n v="1"/>
    <n v="2"/>
    <n v="-1"/>
    <n v="1"/>
    <n v="-8"/>
    <n v="8"/>
    <n v="1439.6814154190749"/>
    <n v="1588.6543891490639"/>
    <n v="0.38553549389189562"/>
    <n v="73"/>
    <n v="96"/>
    <n v="0"/>
    <n v="-23"/>
    <n v="0"/>
    <n v="0.54738333343520462"/>
    <n v="1"/>
    <n v="75.55"/>
    <n v="75.55"/>
    <n v="-15.943747422402309"/>
    <n v="1423.7376679966726"/>
    <n v="0"/>
    <n v="1"/>
    <n v="0"/>
    <n v="0"/>
    <n v="0"/>
    <n v="0"/>
    <n v="0"/>
    <n v="0"/>
    <n v="0"/>
    <n v="0"/>
  </r>
  <r>
    <d v="2022-05-13T00:00:00"/>
    <n v="2022"/>
    <x v="3"/>
    <s v="R"/>
    <s v="RS"/>
    <x v="6"/>
    <s v="NYL"/>
    <s v="A"/>
    <n v="2"/>
    <n v="1"/>
    <n v="1"/>
    <n v="-1"/>
    <n v="8"/>
    <n v="-8"/>
    <n v="1391.484430042105"/>
    <n v="1429.2370756700666"/>
    <n v="0.35234184505724936"/>
    <n v="92"/>
    <n v="86"/>
    <n v="1"/>
    <n v="6"/>
    <n v="1"/>
    <n v="0.30650972415073663"/>
    <n v="1"/>
    <n v="75.400000000000006"/>
    <n v="75.400000000000006"/>
    <n v="14.967919590127009"/>
    <n v="1406.452349632232"/>
    <n v="1"/>
    <n v="0"/>
    <n v="0"/>
    <n v="0"/>
    <n v="0"/>
    <n v="0"/>
    <n v="0"/>
    <n v="0"/>
    <n v="0"/>
    <n v="0"/>
  </r>
  <r>
    <d v="2022-05-13T00:00:00"/>
    <n v="2022"/>
    <x v="2"/>
    <s v="R"/>
    <s v="RS"/>
    <x v="11"/>
    <s v="IND"/>
    <s v="H"/>
    <n v="1"/>
    <n v="2"/>
    <n v="-1"/>
    <n v="1"/>
    <n v="-8"/>
    <n v="8"/>
    <n v="1429.2370756700666"/>
    <n v="1391.484430042105"/>
    <n v="0.6476581549427507"/>
    <n v="86"/>
    <n v="92"/>
    <n v="1"/>
    <n v="-6"/>
    <n v="0"/>
    <n v="0.30650972415073663"/>
    <n v="1"/>
    <n v="75.55"/>
    <n v="75.55"/>
    <n v="-14.997696618489329"/>
    <n v="1414.2393790515773"/>
    <n v="0"/>
    <n v="1"/>
    <n v="0"/>
    <n v="0"/>
    <n v="0"/>
    <n v="0"/>
    <n v="0"/>
    <n v="0"/>
    <n v="0"/>
    <n v="0"/>
  </r>
  <r>
    <d v="2022-05-13T00:00:00"/>
    <n v="2022"/>
    <x v="1"/>
    <s v="R"/>
    <s v="RS"/>
    <x v="9"/>
    <s v="WAS"/>
    <s v="A"/>
    <n v="5"/>
    <n v="2"/>
    <n v="3"/>
    <n v="-3"/>
    <n v="16"/>
    <n v="-16"/>
    <n v="1453.1981197544126"/>
    <n v="1512.1617137359569"/>
    <n v="0.34552739584361308"/>
    <n v="94"/>
    <n v="86"/>
    <n v="0"/>
    <n v="8"/>
    <n v="1"/>
    <n v="0.37012876641644771"/>
    <n v="1"/>
    <n v="75.7"/>
    <n v="75.7"/>
    <n v="18.337502718573102"/>
    <n v="1471.5356224729858"/>
    <n v="1"/>
    <n v="0"/>
    <n v="0"/>
    <n v="0"/>
    <n v="0"/>
    <n v="0"/>
    <n v="0"/>
    <n v="0"/>
    <n v="0"/>
    <n v="0"/>
  </r>
  <r>
    <d v="2022-05-13T00:00:00"/>
    <n v="2022"/>
    <x v="3"/>
    <s v="R"/>
    <s v="RS"/>
    <x v="7"/>
    <s v="DAL"/>
    <s v="H"/>
    <n v="2"/>
    <n v="5"/>
    <n v="-3"/>
    <n v="3"/>
    <n v="-16"/>
    <n v="16"/>
    <n v="1512.1617137359569"/>
    <n v="1453.1981197544126"/>
    <n v="0.65447260415638697"/>
    <n v="86"/>
    <n v="94"/>
    <n v="0"/>
    <n v="-8"/>
    <n v="0"/>
    <n v="0.37012876641644771"/>
    <n v="1"/>
    <n v="75.400000000000006"/>
    <n v="75.400000000000006"/>
    <n v="-18.264830977284177"/>
    <n v="1493.8968827586727"/>
    <n v="0"/>
    <n v="1"/>
    <n v="0"/>
    <n v="0"/>
    <n v="0"/>
    <n v="0"/>
    <n v="0"/>
    <n v="0"/>
    <n v="0"/>
    <n v="0"/>
  </r>
  <r>
    <d v="2022-05-14T00:00:00"/>
    <n v="2022"/>
    <x v="3"/>
    <s v="R"/>
    <s v="RS"/>
    <x v="0"/>
    <s v="CON"/>
    <s v="A"/>
    <n v="2"/>
    <n v="6"/>
    <n v="-4"/>
    <n v="4"/>
    <n v="-16"/>
    <n v="16"/>
    <n v="1488.4296176525404"/>
    <n v="1577.8513946418063"/>
    <n v="0.23460248391852123"/>
    <n v="60"/>
    <n v="77"/>
    <n v="0"/>
    <n v="-17"/>
    <n v="0"/>
    <n v="0.49551705601736218"/>
    <n v="1"/>
    <n v="75.400000000000006"/>
    <n v="75.400000000000006"/>
    <n v="-8.7652147252912318"/>
    <n v="1479.6644029272491"/>
    <n v="0"/>
    <n v="1"/>
    <n v="0"/>
    <n v="0"/>
    <n v="0"/>
    <n v="0"/>
    <n v="0"/>
    <n v="0"/>
    <n v="0"/>
    <n v="0"/>
  </r>
  <r>
    <d v="2022-05-14T00:00:00"/>
    <n v="2022"/>
    <x v="1"/>
    <s v="R"/>
    <s v="RS"/>
    <x v="10"/>
    <s v="LAS"/>
    <s v="H"/>
    <n v="6"/>
    <n v="2"/>
    <n v="4"/>
    <n v="-4"/>
    <n v="16"/>
    <n v="-16"/>
    <n v="1577.8513946418063"/>
    <n v="1488.4296176525404"/>
    <n v="0.76539751608147877"/>
    <n v="77"/>
    <n v="60"/>
    <n v="0"/>
    <n v="17"/>
    <n v="1"/>
    <n v="0.49551705601736218"/>
    <n v="1"/>
    <n v="75.7"/>
    <n v="75.7"/>
    <n v="8.8000895849409311"/>
    <n v="1586.6514842267472"/>
    <n v="1"/>
    <n v="0"/>
    <n v="0"/>
    <n v="0"/>
    <n v="0"/>
    <n v="0"/>
    <n v="0"/>
    <n v="0"/>
    <n v="0"/>
    <n v="0"/>
  </r>
  <r>
    <d v="2022-05-14T00:00:00"/>
    <n v="2022"/>
    <x v="2"/>
    <s v="R"/>
    <s v="RS"/>
    <x v="1"/>
    <s v="MIN"/>
    <s v="A"/>
    <n v="2"/>
    <n v="3"/>
    <n v="-1"/>
    <n v="1"/>
    <n v="-8"/>
    <n v="8"/>
    <n v="1561.513973028447"/>
    <n v="1495.7052036590064"/>
    <n v="0.45095309456400062"/>
    <n v="82"/>
    <n v="78"/>
    <n v="0"/>
    <n v="4"/>
    <n v="1"/>
    <n v="0.29524150166128377"/>
    <n v="1"/>
    <n v="75.55"/>
    <n v="75.55"/>
    <n v="12.246763251319273"/>
    <n v="1573.7607362797662"/>
    <n v="1"/>
    <n v="0"/>
    <n v="0"/>
    <n v="0"/>
    <n v="0"/>
    <n v="0"/>
    <n v="0"/>
    <n v="0"/>
    <n v="0"/>
    <n v="0"/>
  </r>
  <r>
    <d v="2022-05-14T00:00:00"/>
    <n v="2022"/>
    <x v="3"/>
    <s v="R"/>
    <s v="RS"/>
    <x v="4"/>
    <s v="CHI"/>
    <s v="H"/>
    <n v="3"/>
    <n v="2"/>
    <n v="1"/>
    <n v="-1"/>
    <n v="8"/>
    <n v="-8"/>
    <n v="1495.7052036590064"/>
    <n v="1561.513973028447"/>
    <n v="0.54904690543599943"/>
    <n v="78"/>
    <n v="82"/>
    <n v="0"/>
    <n v="-4"/>
    <n v="0"/>
    <n v="0.29524150166128377"/>
    <n v="1"/>
    <n v="75.400000000000006"/>
    <n v="75.400000000000006"/>
    <n v="-12.222448036392764"/>
    <n v="1483.4827556226137"/>
    <n v="0"/>
    <n v="1"/>
    <n v="0"/>
    <n v="0"/>
    <n v="0"/>
    <n v="0"/>
    <n v="0"/>
    <n v="0"/>
    <n v="0"/>
    <n v="0"/>
  </r>
  <r>
    <d v="2022-05-14T00:00:00"/>
    <n v="2022"/>
    <x v="2"/>
    <s v="R"/>
    <s v="RS"/>
    <x v="3"/>
    <s v="SEA"/>
    <s v="A"/>
    <n v="2"/>
    <n v="2"/>
    <n v="0"/>
    <n v="0"/>
    <n v="0"/>
    <n v="0"/>
    <n v="1530.2449510376789"/>
    <n v="1531.9798632171005"/>
    <n v="0.37906238390738062"/>
    <n v="69"/>
    <n v="64"/>
    <n v="0"/>
    <n v="5"/>
    <n v="1"/>
    <n v="0.33127702833522987"/>
    <n v="1"/>
    <n v="75.55"/>
    <n v="75.55"/>
    <n v="15.540813920586755"/>
    <n v="1545.7857649582656"/>
    <n v="1"/>
    <n v="0"/>
    <n v="0"/>
    <n v="0"/>
    <n v="0"/>
    <n v="0"/>
    <n v="0"/>
    <n v="0"/>
    <n v="0"/>
    <n v="0"/>
  </r>
  <r>
    <d v="2022-05-14T00:00:00"/>
    <n v="2022"/>
    <x v="3"/>
    <s v="R"/>
    <s v="RS"/>
    <x v="5"/>
    <s v="PHX"/>
    <s v="H"/>
    <n v="2"/>
    <n v="2"/>
    <n v="0"/>
    <n v="0"/>
    <n v="0"/>
    <n v="0"/>
    <n v="1531.9798632171005"/>
    <n v="1530.2449510376789"/>
    <n v="0.62093761609261944"/>
    <n v="64"/>
    <n v="69"/>
    <n v="0"/>
    <n v="-5"/>
    <n v="0"/>
    <n v="0.33127702833522987"/>
    <n v="1"/>
    <n v="75.400000000000006"/>
    <n v="75.400000000000006"/>
    <n v="-15.509958565350649"/>
    <n v="1516.4699046517499"/>
    <n v="0"/>
    <n v="1"/>
    <n v="0"/>
    <n v="0"/>
    <n v="0"/>
    <n v="0"/>
    <n v="0"/>
    <n v="0"/>
    <n v="0"/>
    <n v="0"/>
  </r>
  <r>
    <d v="2022-05-15T00:00:00"/>
    <n v="2022"/>
    <x v="3"/>
    <s v="R"/>
    <s v="RS"/>
    <x v="8"/>
    <s v="IND"/>
    <s v="A"/>
    <n v="1"/>
    <n v="1"/>
    <n v="0"/>
    <n v="0"/>
    <n v="0"/>
    <n v="0"/>
    <n v="1423.7376679966726"/>
    <n v="1406.452349632232"/>
    <n v="0.40515272948085007"/>
    <n v="85"/>
    <n v="79"/>
    <n v="0"/>
    <n v="6"/>
    <n v="1"/>
    <n v="0.34629261270937872"/>
    <n v="1"/>
    <n v="75.400000000000006"/>
    <n v="75.400000000000006"/>
    <n v="15.531737646522375"/>
    <n v="1439.2694056431949"/>
    <n v="1"/>
    <n v="0"/>
    <n v="0"/>
    <n v="0"/>
    <n v="0"/>
    <n v="0"/>
    <n v="0"/>
    <n v="0"/>
    <n v="0"/>
    <n v="0"/>
  </r>
  <r>
    <d v="2022-05-15T00:00:00"/>
    <n v="2022"/>
    <x v="4"/>
    <s v="R"/>
    <s v="RS"/>
    <x v="6"/>
    <s v="ATL"/>
    <s v="H"/>
    <n v="1"/>
    <n v="1"/>
    <n v="0"/>
    <n v="0"/>
    <n v="0"/>
    <n v="0"/>
    <n v="1406.452349632232"/>
    <n v="1423.7376679966726"/>
    <n v="0.59484727051914987"/>
    <n v="79"/>
    <n v="85"/>
    <n v="0"/>
    <n v="-6"/>
    <n v="0"/>
    <n v="0.34629261270937872"/>
    <n v="1"/>
    <n v="75.25"/>
    <n v="75.25"/>
    <n v="-15.500838964201705"/>
    <n v="1390.9515106680303"/>
    <n v="0"/>
    <n v="1"/>
    <n v="0"/>
    <n v="0"/>
    <n v="0"/>
    <n v="0"/>
    <n v="0"/>
    <n v="0"/>
    <n v="0"/>
    <n v="0"/>
  </r>
  <r>
    <d v="2022-05-15T00:00:00"/>
    <n v="2022"/>
    <x v="2"/>
    <s v="R"/>
    <s v="RS"/>
    <x v="9"/>
    <s v="NYL"/>
    <s v="A"/>
    <n v="1"/>
    <n v="1"/>
    <n v="0"/>
    <n v="0"/>
    <n v="0"/>
    <n v="0"/>
    <n v="1471.5356224729858"/>
    <n v="1414.2393790515773"/>
    <n v="0.46164570006885458"/>
    <n v="81"/>
    <n v="71"/>
    <n v="0"/>
    <n v="10"/>
    <n v="1"/>
    <n v="0.40384725704501778"/>
    <n v="1"/>
    <n v="75.55"/>
    <n v="75.55"/>
    <n v="16.425545149958864"/>
    <n v="1487.9611676229447"/>
    <n v="1"/>
    <n v="0"/>
    <n v="0"/>
    <n v="0"/>
    <n v="0"/>
    <n v="0"/>
    <n v="0"/>
    <n v="0"/>
    <n v="0"/>
    <n v="0"/>
  </r>
  <r>
    <d v="2022-05-15T00:00:00"/>
    <n v="2022"/>
    <x v="3"/>
    <s v="R"/>
    <s v="RS"/>
    <x v="11"/>
    <s v="DAL"/>
    <s v="H"/>
    <n v="1"/>
    <n v="1"/>
    <n v="0"/>
    <n v="0"/>
    <n v="0"/>
    <n v="0"/>
    <n v="1414.2393790515773"/>
    <n v="1471.5356224729858"/>
    <n v="0.53835429993114547"/>
    <n v="71"/>
    <n v="81"/>
    <n v="0"/>
    <n v="-10"/>
    <n v="0"/>
    <n v="0.40384725704501778"/>
    <n v="1"/>
    <n v="75.400000000000006"/>
    <n v="75.400000000000006"/>
    <n v="-16.392933213857027"/>
    <n v="1397.8464458377202"/>
    <n v="0"/>
    <n v="1"/>
    <n v="0"/>
    <n v="0"/>
    <n v="0"/>
    <n v="0"/>
    <n v="0"/>
    <n v="0"/>
    <n v="0"/>
    <n v="0"/>
  </r>
  <r>
    <d v="2022-05-17T00:00:00"/>
    <n v="2022"/>
    <x v="4"/>
    <s v="R"/>
    <s v="RS"/>
    <x v="7"/>
    <s v="DAL"/>
    <s v="A"/>
    <n v="3"/>
    <n v="1"/>
    <n v="2"/>
    <n v="-2"/>
    <n v="16"/>
    <n v="-16"/>
    <n v="1493.8968827586727"/>
    <n v="1487.9611676229447"/>
    <n v="0.43409388872809845"/>
    <n v="84"/>
    <n v="68"/>
    <n v="0"/>
    <n v="16"/>
    <n v="1"/>
    <n v="0.51523744668772997"/>
    <n v="1"/>
    <n v="75.25"/>
    <n v="75.25"/>
    <n v="21.941095492712947"/>
    <n v="1515.8379782513857"/>
    <n v="1"/>
    <n v="0"/>
    <n v="0"/>
    <n v="0"/>
    <n v="0"/>
    <n v="0"/>
    <n v="0"/>
    <n v="0"/>
    <n v="0"/>
    <n v="0"/>
  </r>
  <r>
    <d v="2022-05-17T00:00:00"/>
    <n v="2022"/>
    <x v="3"/>
    <s v="R"/>
    <s v="RS"/>
    <x v="9"/>
    <s v="WAS"/>
    <s v="H"/>
    <n v="1"/>
    <n v="3"/>
    <n v="-2"/>
    <n v="2"/>
    <n v="-16"/>
    <n v="16"/>
    <n v="1487.9611676229447"/>
    <n v="1493.8968827586727"/>
    <n v="0.56590611127190149"/>
    <n v="68"/>
    <n v="84"/>
    <n v="0"/>
    <n v="-16"/>
    <n v="0"/>
    <n v="0.51523744668772997"/>
    <n v="1"/>
    <n v="75.400000000000006"/>
    <n v="75.400000000000006"/>
    <n v="-21.984831895688458"/>
    <n v="1465.9763357272561"/>
    <n v="0"/>
    <n v="1"/>
    <n v="0"/>
    <n v="0"/>
    <n v="0"/>
    <n v="0"/>
    <n v="0"/>
    <n v="0"/>
    <n v="0"/>
    <n v="0"/>
  </r>
  <r>
    <d v="2022-05-17T00:00:00"/>
    <n v="2022"/>
    <x v="4"/>
    <s v="R"/>
    <s v="RS"/>
    <x v="8"/>
    <s v="IND"/>
    <s v="A"/>
    <n v="1"/>
    <n v="1"/>
    <n v="0"/>
    <n v="0"/>
    <n v="0"/>
    <n v="0"/>
    <n v="1439.2694056431949"/>
    <n v="1390.9515106680303"/>
    <n v="0.44882910616742527"/>
    <n v="101"/>
    <n v="79"/>
    <n v="0"/>
    <n v="22"/>
    <n v="1"/>
    <n v="0.57875274278478661"/>
    <n v="1"/>
    <n v="75.25"/>
    <n v="75.25"/>
    <n v="24.004122907793068"/>
    <n v="1463.273528550988"/>
    <n v="1"/>
    <n v="0"/>
    <n v="0"/>
    <n v="0"/>
    <n v="0"/>
    <n v="0"/>
    <n v="0"/>
    <n v="0"/>
    <n v="0"/>
    <n v="0"/>
  </r>
  <r>
    <d v="2022-05-17T00:00:00"/>
    <n v="2022"/>
    <x v="5"/>
    <s v="R"/>
    <s v="RS"/>
    <x v="6"/>
    <s v="ATL"/>
    <s v="H"/>
    <n v="1"/>
    <n v="1"/>
    <n v="0"/>
    <n v="0"/>
    <n v="0"/>
    <n v="0"/>
    <n v="1390.9515106680303"/>
    <n v="1439.2694056431949"/>
    <n v="0.55117089383257467"/>
    <n v="79"/>
    <n v="101"/>
    <n v="0"/>
    <n v="-22"/>
    <n v="0"/>
    <n v="0.57875274278478661"/>
    <n v="1"/>
    <n v="75.099999999999994"/>
    <n v="75.099999999999994"/>
    <n v="-23.95627415781075"/>
    <n v="1366.9952365102197"/>
    <n v="0"/>
    <n v="1"/>
    <n v="0"/>
    <n v="0"/>
    <n v="0"/>
    <n v="0"/>
    <n v="0"/>
    <n v="0"/>
    <n v="0"/>
    <n v="0"/>
  </r>
  <r>
    <d v="2022-05-17T00:00:00"/>
    <n v="2022"/>
    <x v="4"/>
    <s v="R"/>
    <s v="RS"/>
    <x v="4"/>
    <s v="LAS"/>
    <s v="A"/>
    <n v="2"/>
    <n v="2"/>
    <n v="0"/>
    <n v="0"/>
    <n v="0"/>
    <n v="0"/>
    <n v="1483.4827556226137"/>
    <n v="1479.6644029272491"/>
    <n v="0.38661518192833727"/>
    <n v="87"/>
    <n v="84"/>
    <n v="0"/>
    <n v="3"/>
    <n v="1"/>
    <n v="0.28926309732592137"/>
    <n v="1"/>
    <n v="75.25"/>
    <n v="75.25"/>
    <n v="13.351576822689974"/>
    <n v="1496.8343324453037"/>
    <n v="1"/>
    <n v="0"/>
    <n v="0"/>
    <n v="0"/>
    <n v="0"/>
    <n v="0"/>
    <n v="0"/>
    <n v="0"/>
    <n v="0"/>
    <n v="0"/>
  </r>
  <r>
    <d v="2022-05-17T00:00:00"/>
    <n v="2022"/>
    <x v="4"/>
    <s v="R"/>
    <s v="RS"/>
    <x v="0"/>
    <s v="MIN"/>
    <s v="H"/>
    <n v="2"/>
    <n v="2"/>
    <n v="0"/>
    <n v="0"/>
    <n v="0"/>
    <n v="0"/>
    <n v="1479.6644029272491"/>
    <n v="1483.4827556226137"/>
    <n v="0.61338481807166267"/>
    <n v="84"/>
    <n v="87"/>
    <n v="0"/>
    <n v="-3"/>
    <n v="0"/>
    <n v="0.28926309732592137"/>
    <n v="1"/>
    <n v="75.25"/>
    <n v="75.25"/>
    <n v="-13.351576822689973"/>
    <n v="1466.312826104559"/>
    <n v="0"/>
    <n v="1"/>
    <n v="0"/>
    <n v="0"/>
    <n v="0"/>
    <n v="0"/>
    <n v="0"/>
    <n v="0"/>
    <n v="0"/>
    <n v="0"/>
  </r>
  <r>
    <d v="2022-05-17T00:00:00"/>
    <n v="2022"/>
    <x v="3"/>
    <s v="R"/>
    <s v="RS"/>
    <x v="3"/>
    <s v="LVA"/>
    <s v="A"/>
    <n v="2"/>
    <n v="3"/>
    <n v="-1"/>
    <n v="1"/>
    <n v="-8"/>
    <n v="8"/>
    <n v="1545.7857649582656"/>
    <n v="1604.5664812158957"/>
    <n v="0.28617889085011289"/>
    <n v="74"/>
    <n v="86"/>
    <n v="0"/>
    <n v="-12"/>
    <n v="0"/>
    <n v="0.43482977187571059"/>
    <n v="1"/>
    <n v="75.400000000000006"/>
    <n v="75.400000000000006"/>
    <n v="-9.3827082775294866"/>
    <n v="1536.4030566807362"/>
    <n v="0"/>
    <n v="1"/>
    <n v="0"/>
    <n v="0"/>
    <n v="0"/>
    <n v="0"/>
    <n v="0"/>
    <n v="0"/>
    <n v="0"/>
    <n v="0"/>
  </r>
  <r>
    <d v="2022-05-17T00:00:00"/>
    <n v="2022"/>
    <x v="4"/>
    <s v="R"/>
    <s v="RS"/>
    <x v="2"/>
    <s v="PHX"/>
    <s v="H"/>
    <n v="3"/>
    <n v="2"/>
    <n v="1"/>
    <n v="-1"/>
    <n v="8"/>
    <n v="-8"/>
    <n v="1604.5664812158957"/>
    <n v="1545.7857649582656"/>
    <n v="0.71382110914988706"/>
    <n v="86"/>
    <n v="74"/>
    <n v="0"/>
    <n v="12"/>
    <n v="1"/>
    <n v="0.43482977187571059"/>
    <n v="1"/>
    <n v="75.25"/>
    <n v="75.25"/>
    <n v="9.3640424122558858"/>
    <n v="1613.9305236281516"/>
    <n v="1"/>
    <n v="0"/>
    <n v="0"/>
    <n v="0"/>
    <n v="0"/>
    <n v="0"/>
    <n v="0"/>
    <n v="0"/>
    <n v="0"/>
    <n v="0"/>
  </r>
  <r>
    <d v="2022-05-17T00:00:00"/>
    <n v="2022"/>
    <x v="2"/>
    <s v="R"/>
    <s v="RS"/>
    <x v="10"/>
    <s v="NYL"/>
    <s v="A"/>
    <n v="2"/>
    <n v="1"/>
    <n v="1"/>
    <n v="-1"/>
    <n v="8"/>
    <n v="-8"/>
    <n v="1586.6514842267472"/>
    <n v="1397.8464458377202"/>
    <n v="0.66716925933629945"/>
    <n v="92"/>
    <n v="65"/>
    <n v="0"/>
    <n v="27"/>
    <n v="1"/>
    <n v="0.57603477657884672"/>
    <n v="1"/>
    <n v="75.55"/>
    <n v="75.55"/>
    <n v="14.484603244994243"/>
    <n v="1601.1360874717416"/>
    <n v="1"/>
    <n v="0"/>
    <n v="0"/>
    <n v="0"/>
    <n v="0"/>
    <n v="0"/>
    <n v="0"/>
    <n v="0"/>
    <n v="0"/>
    <n v="0"/>
  </r>
  <r>
    <d v="2022-05-17T00:00:00"/>
    <n v="2022"/>
    <x v="4"/>
    <s v="R"/>
    <s v="RS"/>
    <x v="11"/>
    <s v="CON"/>
    <s v="H"/>
    <n v="1"/>
    <n v="2"/>
    <n v="-1"/>
    <n v="1"/>
    <n v="-8"/>
    <n v="8"/>
    <n v="1397.8464458377202"/>
    <n v="1586.6514842267472"/>
    <n v="0.33283074066370055"/>
    <n v="65"/>
    <n v="92"/>
    <n v="0"/>
    <n v="-27"/>
    <n v="0"/>
    <n v="0.57603477657884672"/>
    <n v="1"/>
    <n v="75.25"/>
    <n v="75.25"/>
    <n v="-14.427086620593208"/>
    <n v="1383.4193592171271"/>
    <n v="0"/>
    <n v="1"/>
    <n v="0"/>
    <n v="0"/>
    <n v="0"/>
    <n v="0"/>
    <n v="0"/>
    <n v="0"/>
    <n v="0"/>
    <n v="0"/>
  </r>
  <r>
    <d v="2022-05-18T00:00:00"/>
    <n v="2022"/>
    <x v="3"/>
    <s v="R"/>
    <s v="RS"/>
    <x v="1"/>
    <s v="SEA"/>
    <s v="A"/>
    <n v="3"/>
    <n v="3"/>
    <n v="0"/>
    <n v="0"/>
    <n v="0"/>
    <n v="0"/>
    <n v="1573.7607362797662"/>
    <n v="1516.4699046517499"/>
    <n v="0.46163795770874133"/>
    <n v="71"/>
    <n v="74"/>
    <n v="0"/>
    <n v="-3"/>
    <n v="0"/>
    <n v="0.27696076083490806"/>
    <n v="1"/>
    <n v="75.400000000000006"/>
    <n v="75.400000000000006"/>
    <n v="-9.6403122397953727"/>
    <n v="1564.1204240399709"/>
    <n v="0"/>
    <n v="1"/>
    <n v="0"/>
    <n v="0"/>
    <n v="0"/>
    <n v="0"/>
    <n v="0"/>
    <n v="0"/>
    <n v="0"/>
    <n v="0"/>
  </r>
  <r>
    <d v="2022-05-18T00:00:00"/>
    <n v="2022"/>
    <x v="4"/>
    <s v="R"/>
    <s v="RS"/>
    <x v="5"/>
    <s v="CHI"/>
    <s v="H"/>
    <n v="3"/>
    <n v="3"/>
    <n v="0"/>
    <n v="0"/>
    <n v="0"/>
    <n v="0"/>
    <n v="1516.4699046517499"/>
    <n v="1573.7607362797662"/>
    <n v="0.53836204229125872"/>
    <n v="74"/>
    <n v="71"/>
    <n v="0"/>
    <n v="3"/>
    <n v="1"/>
    <n v="0.27696076083490806"/>
    <n v="1"/>
    <n v="75.25"/>
    <n v="75.25"/>
    <n v="9.6211338997957778"/>
    <n v="1526.0910385515456"/>
    <n v="1"/>
    <n v="0"/>
    <n v="0"/>
    <n v="0"/>
    <n v="0"/>
    <n v="0"/>
    <n v="0"/>
    <n v="0"/>
    <n v="0"/>
    <n v="0"/>
  </r>
  <r>
    <d v="2022-05-19T00:00:00"/>
    <n v="2022"/>
    <x v="5"/>
    <s v="R"/>
    <s v="RS"/>
    <x v="4"/>
    <s v="LVA"/>
    <s v="A"/>
    <n v="1"/>
    <n v="1"/>
    <n v="0"/>
    <n v="0"/>
    <n v="0"/>
    <n v="0"/>
    <n v="1496.8343324453037"/>
    <n v="1613.9305236281516"/>
    <n v="0.23910315443356189"/>
    <n v="87"/>
    <n v="93"/>
    <n v="0"/>
    <n v="-6"/>
    <n v="0"/>
    <n v="0.32005021055494765"/>
    <n v="1"/>
    <n v="75.099999999999994"/>
    <n v="75.099999999999994"/>
    <n v="-5.7470286205531043"/>
    <n v="1491.0873038247507"/>
    <n v="0"/>
    <n v="1"/>
    <n v="0"/>
    <n v="0"/>
    <n v="0"/>
    <n v="0"/>
    <n v="0"/>
    <n v="0"/>
    <n v="0"/>
    <n v="0"/>
  </r>
  <r>
    <d v="2022-05-19T00:00:00"/>
    <n v="2022"/>
    <x v="5"/>
    <s v="R"/>
    <s v="RS"/>
    <x v="2"/>
    <s v="MIN"/>
    <s v="H"/>
    <n v="1"/>
    <n v="1"/>
    <n v="0"/>
    <n v="0"/>
    <n v="0"/>
    <n v="0"/>
    <n v="1613.9305236281516"/>
    <n v="1496.8343324453037"/>
    <n v="0.76089684556643811"/>
    <n v="93"/>
    <n v="87"/>
    <n v="0"/>
    <n v="6"/>
    <n v="1"/>
    <n v="0.32005021055494765"/>
    <n v="1"/>
    <n v="75.099999999999994"/>
    <n v="75.099999999999994"/>
    <n v="5.7470286205531043"/>
    <n v="1619.6775522487046"/>
    <n v="1"/>
    <n v="0"/>
    <n v="0"/>
    <n v="0"/>
    <n v="0"/>
    <n v="0"/>
    <n v="0"/>
    <n v="0"/>
    <n v="0"/>
    <n v="0"/>
  </r>
  <r>
    <d v="2022-05-19T00:00:00"/>
    <n v="2022"/>
    <x v="4"/>
    <s v="R"/>
    <s v="RS"/>
    <x v="9"/>
    <s v="PHX"/>
    <s v="A"/>
    <n v="1"/>
    <n v="1"/>
    <n v="0"/>
    <n v="0"/>
    <n v="0"/>
    <n v="0"/>
    <n v="1465.9763357272561"/>
    <n v="1536.4030566807362"/>
    <n v="0.29132621453529578"/>
    <n v="94"/>
    <n v="84"/>
    <n v="0"/>
    <n v="10"/>
    <n v="1"/>
    <n v="0.39967329939160934"/>
    <n v="1"/>
    <n v="75.25"/>
    <n v="75.25"/>
    <n v="21.313658749683746"/>
    <n v="1487.2899944769399"/>
    <n v="1"/>
    <n v="0"/>
    <n v="0"/>
    <n v="0"/>
    <n v="0"/>
    <n v="0"/>
    <n v="0"/>
    <n v="0"/>
    <n v="0"/>
    <n v="0"/>
  </r>
  <r>
    <d v="2022-05-19T00:00:00"/>
    <n v="2022"/>
    <x v="4"/>
    <s v="R"/>
    <s v="RS"/>
    <x v="3"/>
    <s v="DAL"/>
    <s v="H"/>
    <n v="1"/>
    <n v="1"/>
    <n v="0"/>
    <n v="0"/>
    <n v="0"/>
    <n v="0"/>
    <n v="1536.4030566807362"/>
    <n v="1465.9763357272561"/>
    <n v="0.70867378546470428"/>
    <n v="84"/>
    <n v="94"/>
    <n v="0"/>
    <n v="-10"/>
    <n v="0"/>
    <n v="0.39967329939160934"/>
    <n v="1"/>
    <n v="75.25"/>
    <n v="75.25"/>
    <n v="-21.313658749683746"/>
    <n v="1515.0893979310524"/>
    <n v="0"/>
    <n v="1"/>
    <n v="0"/>
    <n v="0"/>
    <n v="0"/>
    <n v="0"/>
    <n v="0"/>
    <n v="0"/>
    <n v="0"/>
    <n v="0"/>
  </r>
  <r>
    <d v="2022-05-20T00:00:00"/>
    <n v="2022"/>
    <x v="5"/>
    <s v="R"/>
    <s v="RS"/>
    <x v="7"/>
    <s v="ATL"/>
    <s v="A"/>
    <n v="2"/>
    <n v="2"/>
    <n v="0"/>
    <n v="0"/>
    <n v="0"/>
    <n v="0"/>
    <n v="1515.8379782513857"/>
    <n v="1463.273528550988"/>
    <n v="0.4548836530691181"/>
    <n v="78"/>
    <n v="73"/>
    <n v="0"/>
    <n v="5"/>
    <n v="1"/>
    <n v="0.31783368165104875"/>
    <n v="1"/>
    <n v="75.099999999999994"/>
    <n v="75.099999999999994"/>
    <n v="13.011550794038264"/>
    <n v="1528.8495290454239"/>
    <n v="1"/>
    <n v="0"/>
    <n v="0"/>
    <n v="0"/>
    <n v="0"/>
    <n v="0"/>
    <n v="0"/>
    <n v="0"/>
    <n v="0"/>
    <n v="0"/>
  </r>
  <r>
    <d v="2022-05-20T00:00:00"/>
    <n v="2022"/>
    <x v="5"/>
    <s v="R"/>
    <s v="RS"/>
    <x v="8"/>
    <s v="WAS"/>
    <s v="H"/>
    <n v="2"/>
    <n v="2"/>
    <n v="0"/>
    <n v="0"/>
    <n v="0"/>
    <n v="0"/>
    <n v="1463.273528550988"/>
    <n v="1515.8379782513857"/>
    <n v="0.54511634693088196"/>
    <n v="73"/>
    <n v="78"/>
    <n v="0"/>
    <n v="-5"/>
    <n v="0"/>
    <n v="0.31783368165104875"/>
    <n v="1"/>
    <n v="75.099999999999994"/>
    <n v="75.099999999999994"/>
    <n v="-13.011550794038264"/>
    <n v="1450.2619777569498"/>
    <n v="0"/>
    <n v="1"/>
    <n v="0"/>
    <n v="0"/>
    <n v="0"/>
    <n v="0"/>
    <n v="0"/>
    <n v="0"/>
    <n v="0"/>
    <n v="0"/>
  </r>
  <r>
    <d v="2022-05-20T00:00:00"/>
    <n v="2022"/>
    <x v="6"/>
    <s v="R"/>
    <s v="RS"/>
    <x v="6"/>
    <s v="CON"/>
    <s v="A"/>
    <n v="2"/>
    <n v="2"/>
    <n v="0"/>
    <n v="0"/>
    <n v="0"/>
    <n v="0"/>
    <n v="1366.9952365102197"/>
    <n v="1601.1360874717416"/>
    <n v="0.13807562979052843"/>
    <n v="85"/>
    <n v="94"/>
    <n v="0"/>
    <n v="-9"/>
    <n v="0"/>
    <n v="0.33969176197029066"/>
    <n v="1"/>
    <n v="74.95"/>
    <n v="74.95"/>
    <n v="-3.5153913899542268"/>
    <n v="1363.4798451202655"/>
    <n v="0"/>
    <n v="1"/>
    <n v="0"/>
    <n v="0"/>
    <n v="0"/>
    <n v="0"/>
    <n v="0"/>
    <n v="0"/>
    <n v="0"/>
    <n v="0"/>
  </r>
  <r>
    <d v="2022-05-20T00:00:00"/>
    <n v="2022"/>
    <x v="3"/>
    <s v="R"/>
    <s v="RS"/>
    <x v="10"/>
    <s v="IND"/>
    <s v="H"/>
    <n v="2"/>
    <n v="2"/>
    <n v="0"/>
    <n v="0"/>
    <n v="0"/>
    <n v="0"/>
    <n v="1601.1360874717416"/>
    <n v="1366.9952365102197"/>
    <n v="0.86192437020947155"/>
    <n v="94"/>
    <n v="85"/>
    <n v="0"/>
    <n v="9"/>
    <n v="1"/>
    <n v="0.33969176197029066"/>
    <n v="1"/>
    <n v="75.400000000000006"/>
    <n v="75.400000000000006"/>
    <n v="3.5364978092401436"/>
    <n v="1604.6725852809818"/>
    <n v="1"/>
    <n v="0"/>
    <n v="0"/>
    <n v="0"/>
    <n v="0"/>
    <n v="0"/>
    <n v="0"/>
    <n v="0"/>
    <n v="0"/>
    <n v="0"/>
  </r>
  <r>
    <d v="2022-05-20T00:00:00"/>
    <n v="2022"/>
    <x v="5"/>
    <s v="R"/>
    <s v="RS"/>
    <x v="0"/>
    <s v="SEA"/>
    <s v="A"/>
    <n v="2"/>
    <n v="1"/>
    <n v="1"/>
    <n v="-1"/>
    <n v="8"/>
    <n v="-8"/>
    <n v="1466.312826104559"/>
    <n v="1526.0910385515456"/>
    <n v="0.32397788822836976"/>
    <n v="80"/>
    <n v="83"/>
    <n v="0"/>
    <n v="-3"/>
    <n v="0"/>
    <n v="0.27641391308242147"/>
    <n v="1"/>
    <n v="75.099999999999994"/>
    <n v="75.099999999999994"/>
    <n v="-6.7253548873874669"/>
    <n v="1459.5874712171715"/>
    <n v="0"/>
    <n v="1"/>
    <n v="0"/>
    <n v="0"/>
    <n v="0"/>
    <n v="0"/>
    <n v="0"/>
    <n v="0"/>
    <n v="0"/>
    <n v="0"/>
  </r>
  <r>
    <d v="2022-05-20T00:00:00"/>
    <n v="2022"/>
    <x v="5"/>
    <s v="R"/>
    <s v="RS"/>
    <x v="5"/>
    <s v="LAS"/>
    <s v="H"/>
    <n v="1"/>
    <n v="2"/>
    <n v="-1"/>
    <n v="1"/>
    <n v="-8"/>
    <n v="8"/>
    <n v="1526.0910385515456"/>
    <n v="1466.312826104559"/>
    <n v="0.67602211177163019"/>
    <n v="83"/>
    <n v="80"/>
    <n v="0"/>
    <n v="3"/>
    <n v="1"/>
    <n v="0.27641391308242147"/>
    <n v="1"/>
    <n v="75.099999999999994"/>
    <n v="75.099999999999994"/>
    <n v="6.7253548873874687"/>
    <n v="1532.8163934389331"/>
    <n v="1"/>
    <n v="0"/>
    <n v="0"/>
    <n v="0"/>
    <n v="0"/>
    <n v="0"/>
    <n v="0"/>
    <n v="0"/>
    <n v="0"/>
    <n v="0"/>
  </r>
  <r>
    <d v="2022-05-21T00:00:00"/>
    <n v="2022"/>
    <x v="6"/>
    <s v="R"/>
    <s v="RS"/>
    <x v="4"/>
    <s v="DAL"/>
    <s v="A"/>
    <n v="1"/>
    <n v="1"/>
    <n v="0"/>
    <n v="0"/>
    <n v="0"/>
    <n v="0"/>
    <n v="1491.0873038247507"/>
    <n v="1487.2899944769399"/>
    <n v="0.38658645584032331"/>
    <n v="78"/>
    <n v="94"/>
    <n v="0"/>
    <n v="-16"/>
    <n v="0"/>
    <n v="0.51615270603379526"/>
    <n v="1"/>
    <n v="74.95"/>
    <n v="74.95"/>
    <n v="-14.955346515084887"/>
    <n v="1476.1319573096659"/>
    <n v="0"/>
    <n v="1"/>
    <n v="0"/>
    <n v="0"/>
    <n v="0"/>
    <n v="0"/>
    <n v="0"/>
    <n v="0"/>
    <n v="0"/>
    <n v="0"/>
  </r>
  <r>
    <d v="2022-05-21T00:00:00"/>
    <n v="2022"/>
    <x v="5"/>
    <s v="R"/>
    <s v="RS"/>
    <x v="9"/>
    <s v="MIN"/>
    <s v="H"/>
    <n v="1"/>
    <n v="1"/>
    <n v="0"/>
    <n v="0"/>
    <n v="0"/>
    <n v="0"/>
    <n v="1487.2899944769399"/>
    <n v="1491.0873038247507"/>
    <n v="0.61341354415967664"/>
    <n v="94"/>
    <n v="78"/>
    <n v="0"/>
    <n v="16"/>
    <n v="1"/>
    <n v="0.51615270603379526"/>
    <n v="1"/>
    <n v="75.099999999999994"/>
    <n v="75.099999999999994"/>
    <n v="14.985277161879589"/>
    <n v="1502.2752716388195"/>
    <n v="1"/>
    <n v="0"/>
    <n v="0"/>
    <n v="0"/>
    <n v="0"/>
    <n v="0"/>
    <n v="0"/>
    <n v="0"/>
    <n v="0"/>
    <n v="0"/>
  </r>
  <r>
    <d v="2022-05-21T00:00:00"/>
    <n v="2022"/>
    <x v="5"/>
    <s v="R"/>
    <s v="RS"/>
    <x v="3"/>
    <s v="LVA"/>
    <s v="A"/>
    <n v="1"/>
    <n v="1"/>
    <n v="0"/>
    <n v="0"/>
    <n v="0"/>
    <n v="0"/>
    <n v="1515.0893979310524"/>
    <n v="1619.6775522487046"/>
    <n v="0.25244760350976653"/>
    <n v="80"/>
    <n v="100"/>
    <n v="0"/>
    <n v="-20"/>
    <n v="0"/>
    <n v="0.52879893815334544"/>
    <n v="1"/>
    <n v="75.099999999999994"/>
    <n v="75.099999999999994"/>
    <n v="-10.025401253116629"/>
    <n v="1505.0639966779358"/>
    <n v="0"/>
    <n v="1"/>
    <n v="0"/>
    <n v="0"/>
    <n v="0"/>
    <n v="0"/>
    <n v="0"/>
    <n v="0"/>
    <n v="0"/>
    <n v="0"/>
  </r>
  <r>
    <d v="2022-05-21T00:00:00"/>
    <n v="2022"/>
    <x v="6"/>
    <s v="R"/>
    <s v="RS"/>
    <x v="2"/>
    <s v="PHX"/>
    <s v="H"/>
    <n v="1"/>
    <n v="1"/>
    <n v="0"/>
    <n v="0"/>
    <n v="0"/>
    <n v="0"/>
    <n v="1619.6775522487046"/>
    <n v="1515.0893979310524"/>
    <n v="0.74755239649023353"/>
    <n v="100"/>
    <n v="80"/>
    <n v="0"/>
    <n v="20"/>
    <n v="1"/>
    <n v="0.52879893815334544"/>
    <n v="1"/>
    <n v="74.95"/>
    <n v="74.95"/>
    <n v="10.005377149415331"/>
    <n v="1629.68292939812"/>
    <n v="1"/>
    <n v="0"/>
    <n v="0"/>
    <n v="0"/>
    <n v="0"/>
    <n v="0"/>
    <n v="0"/>
    <n v="0"/>
    <n v="0"/>
    <n v="0"/>
  </r>
  <r>
    <d v="2022-05-22T00:00:00"/>
    <n v="2022"/>
    <x v="4"/>
    <s v="R"/>
    <s v="RS"/>
    <x v="10"/>
    <s v="IND"/>
    <s v="A"/>
    <n v="1"/>
    <n v="1"/>
    <n v="0"/>
    <n v="0"/>
    <n v="0"/>
    <n v="0"/>
    <n v="1604.6725852809818"/>
    <n v="1363.4798451202655"/>
    <n v="0.71195011125513952"/>
    <n v="92"/>
    <n v="70"/>
    <n v="0"/>
    <n v="22"/>
    <n v="1"/>
    <n v="0.50129825487716573"/>
    <n v="1"/>
    <n v="75.25"/>
    <n v="75.25"/>
    <n v="10.866017717538362"/>
    <n v="1615.5386029985202"/>
    <n v="1"/>
    <n v="0"/>
    <n v="0"/>
    <n v="0"/>
    <n v="0"/>
    <n v="0"/>
    <n v="0"/>
    <n v="0"/>
    <n v="0"/>
    <n v="0"/>
  </r>
  <r>
    <d v="2022-05-22T00:00:00"/>
    <n v="2022"/>
    <x v="7"/>
    <s v="R"/>
    <s v="RS"/>
    <x v="6"/>
    <s v="CON"/>
    <s v="H"/>
    <n v="1"/>
    <n v="1"/>
    <n v="0"/>
    <n v="0"/>
    <n v="0"/>
    <n v="0"/>
    <n v="1363.4798451202655"/>
    <n v="1604.6725852809818"/>
    <n v="0.28804988874486037"/>
    <n v="70"/>
    <n v="92"/>
    <n v="0"/>
    <n v="-22"/>
    <n v="0"/>
    <n v="0.50129825487716573"/>
    <n v="1"/>
    <n v="74.8"/>
    <n v="74.8"/>
    <n v="-10.801038209592946"/>
    <n v="1352.6788069106726"/>
    <n v="0"/>
    <n v="1"/>
    <n v="0"/>
    <n v="0"/>
    <n v="0"/>
    <n v="0"/>
    <n v="0"/>
    <n v="0"/>
    <n v="0"/>
    <n v="0"/>
  </r>
  <r>
    <d v="2022-05-22T00:00:00"/>
    <n v="2022"/>
    <x v="4"/>
    <s v="R"/>
    <s v="RS"/>
    <x v="1"/>
    <s v="WAS"/>
    <s v="A"/>
    <n v="3"/>
    <n v="1"/>
    <n v="2"/>
    <n v="-2"/>
    <n v="16"/>
    <n v="-16"/>
    <n v="1564.1204240399709"/>
    <n v="1528.8495290454239"/>
    <n v="0.47594347099650541"/>
    <n v="82"/>
    <n v="73"/>
    <n v="0"/>
    <n v="9"/>
    <n v="1"/>
    <n v="0.39437975471675141"/>
    <n v="1"/>
    <n v="75.25"/>
    <n v="75.25"/>
    <n v="15.552465723799802"/>
    <n v="1579.6728897637706"/>
    <n v="1"/>
    <n v="0"/>
    <n v="0"/>
    <n v="0"/>
    <n v="0"/>
    <n v="0"/>
    <n v="0"/>
    <n v="0"/>
    <n v="0"/>
    <n v="0"/>
  </r>
  <r>
    <d v="2022-05-22T00:00:00"/>
    <n v="2022"/>
    <x v="6"/>
    <s v="R"/>
    <s v="RS"/>
    <x v="7"/>
    <s v="CHI"/>
    <s v="H"/>
    <n v="1"/>
    <n v="3"/>
    <n v="-2"/>
    <n v="2"/>
    <n v="-16"/>
    <n v="16"/>
    <n v="1528.8495290454239"/>
    <n v="1564.1204240399709"/>
    <n v="0.52405652900349464"/>
    <n v="73"/>
    <n v="82"/>
    <n v="0"/>
    <n v="-9"/>
    <n v="0"/>
    <n v="0.39437975471675141"/>
    <n v="1"/>
    <n v="74.95"/>
    <n v="74.95"/>
    <n v="-15.49046253818997"/>
    <n v="1513.3590665072338"/>
    <n v="0"/>
    <n v="1"/>
    <n v="0"/>
    <n v="0"/>
    <n v="0"/>
    <n v="0"/>
    <n v="0"/>
    <n v="0"/>
    <n v="0"/>
    <n v="0"/>
  </r>
  <r>
    <d v="2022-05-23T00:00:00"/>
    <n v="2022"/>
    <x v="6"/>
    <s v="R"/>
    <s v="RS"/>
    <x v="0"/>
    <s v="LVA"/>
    <s v="A"/>
    <n v="2"/>
    <n v="1"/>
    <n v="1"/>
    <n v="-1"/>
    <n v="8"/>
    <n v="-8"/>
    <n v="1459.5874712171715"/>
    <n v="1629.68292939812"/>
    <n v="0.20252492226528138"/>
    <n v="76"/>
    <n v="104"/>
    <n v="0"/>
    <n v="-28"/>
    <n v="0"/>
    <n v="0.5947816170175626"/>
    <n v="1"/>
    <n v="74.95"/>
    <n v="74.95"/>
    <n v="-9.0283346513099527"/>
    <n v="1450.5591365658615"/>
    <n v="0"/>
    <n v="1"/>
    <n v="0"/>
    <n v="0"/>
    <n v="0"/>
    <n v="0"/>
    <n v="0"/>
    <n v="0"/>
    <n v="0"/>
    <n v="0"/>
  </r>
  <r>
    <d v="2022-05-23T00:00:00"/>
    <n v="2022"/>
    <x v="7"/>
    <s v="R"/>
    <s v="RS"/>
    <x v="2"/>
    <s v="LAS"/>
    <s v="H"/>
    <n v="1"/>
    <n v="2"/>
    <n v="-1"/>
    <n v="1"/>
    <n v="-8"/>
    <n v="8"/>
    <n v="1629.68292939812"/>
    <n v="1459.5874712171715"/>
    <n v="0.79747507773471871"/>
    <n v="104"/>
    <n v="76"/>
    <n v="0"/>
    <n v="28"/>
    <n v="1"/>
    <n v="0.5947816170175626"/>
    <n v="1"/>
    <n v="74.8"/>
    <n v="74.8"/>
    <n v="9.0102659361972517"/>
    <n v="1638.6931953343174"/>
    <n v="1"/>
    <n v="0"/>
    <n v="0"/>
    <n v="0"/>
    <n v="0"/>
    <n v="0"/>
    <n v="0"/>
    <n v="0"/>
    <n v="0"/>
    <n v="0"/>
  </r>
  <r>
    <d v="2022-05-24T00:00:00"/>
    <n v="2022"/>
    <x v="8"/>
    <s v="R"/>
    <s v="RS"/>
    <x v="6"/>
    <s v="CHI"/>
    <s v="A"/>
    <n v="1"/>
    <n v="1"/>
    <n v="0"/>
    <n v="0"/>
    <n v="0"/>
    <n v="0"/>
    <n v="1352.6788069106726"/>
    <n v="1579.6728897637706"/>
    <n v="0.14304503609201782"/>
    <n v="90"/>
    <n v="95"/>
    <n v="0"/>
    <n v="-5"/>
    <n v="0"/>
    <n v="0.27898305629798498"/>
    <n v="1"/>
    <n v="74.650000000000006"/>
    <n v="74.650000000000006"/>
    <n v="-2.9790681023154804"/>
    <n v="1349.6997388083571"/>
    <n v="0"/>
    <n v="1"/>
    <n v="0"/>
    <n v="0"/>
    <n v="0"/>
    <n v="0"/>
    <n v="0"/>
    <n v="0"/>
    <n v="0"/>
    <n v="0"/>
  </r>
  <r>
    <d v="2022-05-24T00:00:00"/>
    <n v="2022"/>
    <x v="5"/>
    <s v="R"/>
    <s v="RS"/>
    <x v="1"/>
    <s v="IND"/>
    <s v="H"/>
    <n v="1"/>
    <n v="1"/>
    <n v="0"/>
    <n v="0"/>
    <n v="0"/>
    <n v="0"/>
    <n v="1579.6728897637706"/>
    <n v="1352.6788069106726"/>
    <n v="0.85695496390798209"/>
    <n v="95"/>
    <n v="90"/>
    <n v="0"/>
    <n v="5"/>
    <n v="1"/>
    <n v="0.27898305629798498"/>
    <n v="1"/>
    <n v="75.099999999999994"/>
    <n v="75.099999999999994"/>
    <n v="2.9970263159262247"/>
    <n v="1582.6699160796968"/>
    <n v="1"/>
    <n v="0"/>
    <n v="0"/>
    <n v="0"/>
    <n v="0"/>
    <n v="0"/>
    <n v="0"/>
    <n v="0"/>
    <n v="0"/>
    <n v="0"/>
  </r>
  <r>
    <d v="2022-05-24T00:00:00"/>
    <n v="2022"/>
    <x v="6"/>
    <s v="R"/>
    <s v="RS"/>
    <x v="9"/>
    <s v="CON"/>
    <s v="A"/>
    <n v="2"/>
    <n v="1"/>
    <n v="1"/>
    <n v="-1"/>
    <n v="8"/>
    <n v="-8"/>
    <n v="1502.2752716388195"/>
    <n v="1615.5386029985202"/>
    <n v="0.26048763449414508"/>
    <n v="85"/>
    <n v="77"/>
    <n v="0"/>
    <n v="8"/>
    <n v="1"/>
    <n v="0.35482498511638999"/>
    <n v="1"/>
    <n v="74.95"/>
    <n v="74.95"/>
    <n v="19.666689933095899"/>
    <n v="1521.9419615719155"/>
    <n v="1"/>
    <n v="0"/>
    <n v="0"/>
    <n v="0"/>
    <n v="0"/>
    <n v="0"/>
    <n v="0"/>
    <n v="0"/>
    <n v="0"/>
    <n v="0"/>
  </r>
  <r>
    <d v="2022-05-24T00:00:00"/>
    <n v="2022"/>
    <x v="5"/>
    <s v="R"/>
    <s v="RS"/>
    <x v="10"/>
    <s v="DAL"/>
    <s v="H"/>
    <n v="1"/>
    <n v="2"/>
    <n v="-1"/>
    <n v="1"/>
    <n v="-8"/>
    <n v="8"/>
    <n v="1615.5386029985202"/>
    <n v="1502.2752716388195"/>
    <n v="0.73951236550585486"/>
    <n v="77"/>
    <n v="85"/>
    <n v="0"/>
    <n v="-8"/>
    <n v="0"/>
    <n v="0.35482498511638999"/>
    <n v="1"/>
    <n v="75.099999999999994"/>
    <n v="75.099999999999994"/>
    <n v="-19.706049552708496"/>
    <n v="1595.8325534458118"/>
    <n v="0"/>
    <n v="1"/>
    <n v="0"/>
    <n v="0"/>
    <n v="0"/>
    <n v="0"/>
    <n v="0"/>
    <n v="0"/>
    <n v="0"/>
    <n v="0"/>
  </r>
  <r>
    <d v="2022-05-24T00:00:00"/>
    <n v="2022"/>
    <x v="5"/>
    <s v="R"/>
    <s v="RS"/>
    <x v="11"/>
    <s v="MIN"/>
    <s v="A"/>
    <n v="6"/>
    <n v="2"/>
    <n v="4"/>
    <n v="-4"/>
    <n v="16"/>
    <n v="-16"/>
    <n v="1383.4193592171271"/>
    <n v="1476.1319573096659"/>
    <n v="0.3030042085062421"/>
    <n v="78"/>
    <n v="84"/>
    <n v="0"/>
    <n v="-6"/>
    <n v="0"/>
    <n v="0.3260871085585369"/>
    <n v="1"/>
    <n v="75.099999999999994"/>
    <n v="75.099999999999994"/>
    <n v="-7.4203130440884246"/>
    <n v="1375.9990461730386"/>
    <n v="0"/>
    <n v="1"/>
    <n v="0"/>
    <n v="0"/>
    <n v="0"/>
    <n v="0"/>
    <n v="0"/>
    <n v="0"/>
    <n v="0"/>
    <n v="0"/>
  </r>
  <r>
    <d v="2022-05-24T00:00:00"/>
    <n v="2022"/>
    <x v="7"/>
    <s v="R"/>
    <s v="RS"/>
    <x v="4"/>
    <s v="NYL"/>
    <s v="H"/>
    <n v="2"/>
    <n v="6"/>
    <n v="-4"/>
    <n v="4"/>
    <n v="-16"/>
    <n v="16"/>
    <n v="1476.1319573096659"/>
    <n v="1383.4193592171271"/>
    <n v="0.6969957914937579"/>
    <n v="84"/>
    <n v="78"/>
    <n v="0"/>
    <n v="6"/>
    <n v="1"/>
    <n v="0.3260871085585369"/>
    <n v="1"/>
    <n v="74.8"/>
    <n v="74.8"/>
    <n v="7.3906713142185643"/>
    <n v="1483.5226286238844"/>
    <n v="1"/>
    <n v="0"/>
    <n v="0"/>
    <n v="0"/>
    <n v="0"/>
    <n v="0"/>
    <n v="0"/>
    <n v="0"/>
    <n v="0"/>
    <n v="0"/>
  </r>
  <r>
    <d v="2022-05-24T00:00:00"/>
    <n v="2022"/>
    <x v="6"/>
    <s v="R"/>
    <s v="RS"/>
    <x v="8"/>
    <s v="WAS"/>
    <s v="A"/>
    <n v="3"/>
    <n v="1"/>
    <n v="2"/>
    <n v="-2"/>
    <n v="16"/>
    <n v="-16"/>
    <n v="1450.2619777569498"/>
    <n v="1513.3590665072338"/>
    <n v="0.34016655046444916"/>
    <n v="50"/>
    <n v="70"/>
    <n v="0"/>
    <n v="-20"/>
    <n v="0"/>
    <n v="0.54616928253168862"/>
    <n v="1"/>
    <n v="74.95"/>
    <n v="74.95"/>
    <n v="-13.924849634593151"/>
    <n v="1436.3371281223567"/>
    <n v="0"/>
    <n v="1"/>
    <n v="0"/>
    <n v="0"/>
    <n v="0"/>
    <n v="0"/>
    <n v="0"/>
    <n v="0"/>
    <n v="0"/>
    <n v="0"/>
  </r>
  <r>
    <d v="2022-05-24T00:00:00"/>
    <n v="2022"/>
    <x v="7"/>
    <s v="R"/>
    <s v="RS"/>
    <x v="7"/>
    <s v="ATL"/>
    <s v="H"/>
    <n v="1"/>
    <n v="3"/>
    <n v="-2"/>
    <n v="2"/>
    <n v="-16"/>
    <n v="16"/>
    <n v="1513.3590665072338"/>
    <n v="1450.2619777569498"/>
    <n v="0.6598334495355509"/>
    <n v="70"/>
    <n v="50"/>
    <n v="0"/>
    <n v="20"/>
    <n v="1"/>
    <n v="0.54616928253168862"/>
    <n v="1"/>
    <n v="74.8"/>
    <n v="74.8"/>
    <n v="13.896981356471882"/>
    <n v="1527.2560478637056"/>
    <n v="1"/>
    <n v="0"/>
    <n v="0"/>
    <n v="0"/>
    <n v="0"/>
    <n v="0"/>
    <n v="0"/>
    <n v="0"/>
    <n v="0"/>
    <n v="0"/>
  </r>
  <r>
    <d v="2022-05-25T00:00:00"/>
    <n v="2022"/>
    <x v="6"/>
    <s v="R"/>
    <s v="RS"/>
    <x v="3"/>
    <s v="LAS"/>
    <s v="A"/>
    <n v="3"/>
    <n v="1"/>
    <n v="2"/>
    <n v="-2"/>
    <n v="16"/>
    <n v="-16"/>
    <n v="1505.0639966779358"/>
    <n v="1450.5591365658615"/>
    <n v="0.50360472101630482"/>
    <n v="94"/>
    <n v="99"/>
    <n v="0"/>
    <n v="-5"/>
    <n v="0"/>
    <n v="0.31734207113229623"/>
    <n v="1"/>
    <n v="74.95"/>
    <n v="74.95"/>
    <n v="-11.978131641688766"/>
    <n v="1493.085865036247"/>
    <n v="0"/>
    <n v="1"/>
    <n v="0"/>
    <n v="0"/>
    <n v="0"/>
    <n v="0"/>
    <n v="0"/>
    <n v="0"/>
    <n v="0"/>
    <n v="0"/>
  </r>
  <r>
    <d v="2022-05-25T00:00:00"/>
    <n v="2022"/>
    <x v="7"/>
    <s v="R"/>
    <s v="RS"/>
    <x v="0"/>
    <s v="PHX"/>
    <s v="H"/>
    <n v="1"/>
    <n v="3"/>
    <n v="-2"/>
    <n v="2"/>
    <n v="-16"/>
    <n v="16"/>
    <n v="1450.5591365658615"/>
    <n v="1505.0639966779358"/>
    <n v="0.49639527898369523"/>
    <n v="99"/>
    <n v="94"/>
    <n v="0"/>
    <n v="5"/>
    <n v="1"/>
    <n v="0.31734207113229623"/>
    <n v="1"/>
    <n v="74.8"/>
    <n v="74.8"/>
    <n v="11.954159396908867"/>
    <n v="1462.5132959627704"/>
    <n v="1"/>
    <n v="0"/>
    <n v="0"/>
    <n v="0"/>
    <n v="0"/>
    <n v="0"/>
    <n v="0"/>
    <n v="0"/>
    <n v="0"/>
    <n v="0"/>
  </r>
  <r>
    <d v="2022-05-26T00:00:00"/>
    <n v="2022"/>
    <x v="7"/>
    <s v="R"/>
    <s v="RS"/>
    <x v="9"/>
    <s v="CON"/>
    <s v="A"/>
    <n v="1"/>
    <n v="1"/>
    <n v="0"/>
    <n v="0"/>
    <n v="0"/>
    <n v="0"/>
    <n v="1521.9419615719155"/>
    <n v="1595.8325534458118"/>
    <n v="0.28722676350314769"/>
    <n v="68"/>
    <n v="99"/>
    <n v="0"/>
    <n v="-31"/>
    <n v="0"/>
    <n v="0.67398366401323173"/>
    <n v="1"/>
    <n v="74.8"/>
    <n v="74.8"/>
    <n v="-14.480243755844807"/>
    <n v="1507.4617178160706"/>
    <n v="0"/>
    <n v="1"/>
    <n v="0"/>
    <n v="0"/>
    <n v="0"/>
    <n v="0"/>
    <n v="0"/>
    <n v="0"/>
    <n v="0"/>
    <n v="0"/>
  </r>
  <r>
    <d v="2022-05-26T00:00:00"/>
    <n v="2022"/>
    <x v="6"/>
    <s v="R"/>
    <s v="RS"/>
    <x v="10"/>
    <s v="DAL"/>
    <s v="H"/>
    <n v="1"/>
    <n v="1"/>
    <n v="0"/>
    <n v="0"/>
    <n v="0"/>
    <n v="0"/>
    <n v="1595.8325534458118"/>
    <n v="1521.9419615719155"/>
    <n v="0.71277323649685231"/>
    <n v="99"/>
    <n v="68"/>
    <n v="0"/>
    <n v="31"/>
    <n v="1"/>
    <n v="0.67398366401323173"/>
    <n v="1"/>
    <n v="74.95"/>
    <n v="74.95"/>
    <n v="14.509281677815085"/>
    <n v="1610.3418351236269"/>
    <n v="1"/>
    <n v="0"/>
    <n v="0"/>
    <n v="0"/>
    <n v="0"/>
    <n v="0"/>
    <n v="0"/>
    <n v="0"/>
    <n v="0"/>
    <n v="0"/>
  </r>
  <r>
    <d v="2022-05-27T00:00:00"/>
    <n v="2022"/>
    <x v="8"/>
    <s v="R"/>
    <s v="RS"/>
    <x v="0"/>
    <s v="IND"/>
    <s v="A"/>
    <n v="1"/>
    <n v="2"/>
    <n v="-1"/>
    <n v="1"/>
    <n v="-8"/>
    <n v="8"/>
    <n v="1462.5132959627704"/>
    <n v="1349.6997388083571"/>
    <n v="0.51843183505102319"/>
    <n v="96"/>
    <n v="101"/>
    <n v="0"/>
    <n v="-5"/>
    <n v="0"/>
    <n v="0.30324730300349256"/>
    <n v="1"/>
    <n v="74.650000000000006"/>
    <n v="74.650000000000006"/>
    <n v="-11.735954613258443"/>
    <n v="1450.777341349512"/>
    <n v="0"/>
    <n v="1"/>
    <n v="0"/>
    <n v="0"/>
    <n v="0"/>
    <n v="0"/>
    <n v="0"/>
    <n v="0"/>
    <n v="0"/>
    <n v="0"/>
  </r>
  <r>
    <d v="2022-05-27T00:00:00"/>
    <n v="2022"/>
    <x v="9"/>
    <s v="R"/>
    <s v="RS"/>
    <x v="6"/>
    <s v="LAS"/>
    <s v="H"/>
    <n v="2"/>
    <n v="1"/>
    <n v="1"/>
    <n v="-1"/>
    <n v="8"/>
    <n v="-8"/>
    <n v="1349.6997388083571"/>
    <n v="1462.5132959627704"/>
    <n v="0.4815681649489767"/>
    <n v="101"/>
    <n v="96"/>
    <n v="0"/>
    <n v="5"/>
    <n v="1"/>
    <n v="0.30324730300349256"/>
    <n v="1"/>
    <n v="74.5"/>
    <n v="74.5"/>
    <n v="11.712372654892889"/>
    <n v="1361.4121114632501"/>
    <n v="1"/>
    <n v="0"/>
    <n v="0"/>
    <n v="0"/>
    <n v="0"/>
    <n v="0"/>
    <n v="0"/>
    <n v="0"/>
    <n v="0"/>
    <n v="0"/>
  </r>
  <r>
    <d v="2022-05-27T00:00:00"/>
    <n v="2022"/>
    <x v="6"/>
    <s v="R"/>
    <s v="RS"/>
    <x v="11"/>
    <s v="SEA"/>
    <s v="A"/>
    <n v="2"/>
    <n v="6"/>
    <n v="-4"/>
    <n v="4"/>
    <n v="-16"/>
    <n v="16"/>
    <n v="1375.9990461730386"/>
    <n v="1532.8163934389331"/>
    <n v="0.17215041278723173"/>
    <n v="71"/>
    <n v="79"/>
    <n v="1"/>
    <n v="-8"/>
    <n v="0"/>
    <n v="0.30909155064116389"/>
    <n v="1"/>
    <n v="74.95"/>
    <n v="74.95"/>
    <n v="-3.9881073404925469"/>
    <n v="1372.0109388325461"/>
    <n v="0"/>
    <n v="1"/>
    <n v="0"/>
    <n v="0"/>
    <n v="0"/>
    <n v="0"/>
    <n v="0"/>
    <n v="0"/>
    <n v="0"/>
    <n v="0"/>
  </r>
  <r>
    <d v="2022-05-27T00:00:00"/>
    <n v="2022"/>
    <x v="6"/>
    <s v="R"/>
    <s v="RS"/>
    <x v="5"/>
    <s v="NYL"/>
    <s v="H"/>
    <n v="6"/>
    <n v="2"/>
    <n v="4"/>
    <n v="-4"/>
    <n v="16"/>
    <n v="-16"/>
    <n v="1532.8163934389331"/>
    <n v="1375.9990461730386"/>
    <n v="0.82784958721276825"/>
    <n v="79"/>
    <n v="71"/>
    <n v="1"/>
    <n v="8"/>
    <n v="1"/>
    <n v="0.30909155064116389"/>
    <n v="1"/>
    <n v="74.95"/>
    <n v="74.95"/>
    <n v="3.9881073404925473"/>
    <n v="1536.8045007794258"/>
    <n v="1"/>
    <n v="0"/>
    <n v="0"/>
    <n v="0"/>
    <n v="0"/>
    <n v="0"/>
    <n v="0"/>
    <n v="0"/>
    <n v="0"/>
    <n v="0"/>
  </r>
  <r>
    <d v="2022-05-28T00:00:00"/>
    <n v="2022"/>
    <x v="8"/>
    <s v="R"/>
    <s v="RS"/>
    <x v="2"/>
    <s v="CHI"/>
    <s v="A"/>
    <n v="4"/>
    <n v="3"/>
    <n v="1"/>
    <n v="-1"/>
    <n v="8"/>
    <n v="-8"/>
    <n v="1638.6931953343174"/>
    <n v="1582.6699160796968"/>
    <n v="0.48277093725226328"/>
    <n v="83"/>
    <n v="76"/>
    <n v="0"/>
    <n v="7"/>
    <n v="1"/>
    <n v="0.35359902505003687"/>
    <n v="1"/>
    <n v="74.650000000000006"/>
    <n v="74.650000000000006"/>
    <n v="13.652864831325505"/>
    <n v="1652.3460601656429"/>
    <n v="1"/>
    <n v="0"/>
    <n v="0"/>
    <n v="0"/>
    <n v="0"/>
    <n v="0"/>
    <n v="0"/>
    <n v="0"/>
    <n v="0"/>
    <n v="0"/>
  </r>
  <r>
    <d v="2022-05-28T00:00:00"/>
    <n v="2022"/>
    <x v="6"/>
    <s v="R"/>
    <s v="RS"/>
    <x v="1"/>
    <s v="LVA"/>
    <s v="H"/>
    <n v="3"/>
    <n v="4"/>
    <n v="-1"/>
    <n v="1"/>
    <n v="-8"/>
    <n v="8"/>
    <n v="1582.6699160796968"/>
    <n v="1638.6931953343174"/>
    <n v="0.51722906274773672"/>
    <n v="76"/>
    <n v="83"/>
    <n v="0"/>
    <n v="-7"/>
    <n v="0"/>
    <n v="0.35359902505003687"/>
    <n v="1"/>
    <n v="74.95"/>
    <n v="74.95"/>
    <n v="-13.707732339020048"/>
    <n v="1568.9621837406767"/>
    <n v="0"/>
    <n v="1"/>
    <n v="0"/>
    <n v="0"/>
    <n v="0"/>
    <n v="0"/>
    <n v="0"/>
    <n v="0"/>
    <n v="0"/>
    <n v="0"/>
  </r>
  <r>
    <d v="2022-05-28T00:00:00"/>
    <n v="2022"/>
    <x v="8"/>
    <s v="R"/>
    <s v="RS"/>
    <x v="7"/>
    <s v="CON"/>
    <s v="A"/>
    <n v="3"/>
    <n v="1"/>
    <n v="2"/>
    <n v="-2"/>
    <n v="16"/>
    <n v="-16"/>
    <n v="1527.2560478637056"/>
    <n v="1610.3418351236269"/>
    <n v="0.31483385521873741"/>
    <n v="71"/>
    <n v="79"/>
    <n v="0"/>
    <n v="-8"/>
    <n v="0"/>
    <n v="0.36317029354578217"/>
    <n v="1"/>
    <n v="74.650000000000006"/>
    <n v="74.650000000000006"/>
    <n v="-8.5353543650791579"/>
    <n v="1518.7206934986264"/>
    <n v="0"/>
    <n v="1"/>
    <n v="0"/>
    <n v="0"/>
    <n v="0"/>
    <n v="0"/>
    <n v="0"/>
    <n v="0"/>
    <n v="0"/>
    <n v="0"/>
  </r>
  <r>
    <d v="2022-05-28T00:00:00"/>
    <n v="2022"/>
    <x v="7"/>
    <s v="R"/>
    <s v="RS"/>
    <x v="10"/>
    <s v="WAS"/>
    <s v="H"/>
    <n v="1"/>
    <n v="3"/>
    <n v="-2"/>
    <n v="2"/>
    <n v="-16"/>
    <n v="16"/>
    <n v="1610.3418351236269"/>
    <n v="1527.2560478637056"/>
    <n v="0.68516614478126259"/>
    <n v="79"/>
    <n v="71"/>
    <n v="0"/>
    <n v="8"/>
    <n v="1"/>
    <n v="0.36317029354578217"/>
    <n v="1"/>
    <n v="74.8"/>
    <n v="74.8"/>
    <n v="8.5525051106218477"/>
    <n v="1618.8943402342488"/>
    <n v="1"/>
    <n v="0"/>
    <n v="0"/>
    <n v="0"/>
    <n v="0"/>
    <n v="0"/>
    <n v="0"/>
    <n v="0"/>
    <n v="0"/>
    <n v="0"/>
  </r>
  <r>
    <d v="2022-05-29T00:00:00"/>
    <n v="2022"/>
    <x v="7"/>
    <s v="R"/>
    <s v="RS"/>
    <x v="3"/>
    <s v="ATL"/>
    <s v="A"/>
    <n v="3"/>
    <n v="4"/>
    <n v="-1"/>
    <n v="1"/>
    <n v="-8"/>
    <n v="8"/>
    <n v="1493.085865036247"/>
    <n v="1436.3371281223567"/>
    <n v="0.43807597883919297"/>
    <n v="54"/>
    <n v="81"/>
    <n v="0"/>
    <n v="-27"/>
    <n v="0"/>
    <n v="0.63656320193685156"/>
    <n v="1"/>
    <n v="74.8"/>
    <n v="74.8"/>
    <n v="-20.858955974055984"/>
    <n v="1472.226909062191"/>
    <n v="0"/>
    <n v="1"/>
    <n v="0"/>
    <n v="0"/>
    <n v="0"/>
    <n v="0"/>
    <n v="0"/>
    <n v="0"/>
    <n v="0"/>
    <n v="0"/>
  </r>
  <r>
    <d v="2022-05-29T00:00:00"/>
    <n v="2022"/>
    <x v="7"/>
    <s v="R"/>
    <s v="RS"/>
    <x v="8"/>
    <s v="PHX"/>
    <s v="H"/>
    <n v="4"/>
    <n v="3"/>
    <n v="1"/>
    <n v="-1"/>
    <n v="8"/>
    <n v="-8"/>
    <n v="1436.3371281223567"/>
    <n v="1493.085865036247"/>
    <n v="0.56192402116080709"/>
    <n v="81"/>
    <n v="54"/>
    <n v="0"/>
    <n v="27"/>
    <n v="1"/>
    <n v="0.63656320193685156"/>
    <n v="1"/>
    <n v="74.8"/>
    <n v="74.8"/>
    <n v="20.858955974055981"/>
    <n v="1457.1960840964127"/>
    <n v="1"/>
    <n v="0"/>
    <n v="0"/>
    <n v="0"/>
    <n v="0"/>
    <n v="0"/>
    <n v="0"/>
    <n v="0"/>
    <n v="0"/>
    <n v="0"/>
  </r>
  <r>
    <d v="2022-05-29T00:00:00"/>
    <n v="2022"/>
    <x v="9"/>
    <s v="R"/>
    <s v="RS"/>
    <x v="0"/>
    <s v="MIN"/>
    <s v="A"/>
    <n v="1"/>
    <n v="4"/>
    <n v="-3"/>
    <n v="3"/>
    <n v="-16"/>
    <n v="16"/>
    <n v="1450.777341349512"/>
    <n v="1483.5226286238844"/>
    <n v="0.29812411300959568"/>
    <n v="85"/>
    <n v="83"/>
    <n v="0"/>
    <n v="2"/>
    <n v="1"/>
    <n v="0.26072667913600189"/>
    <n v="1"/>
    <n v="74.5"/>
    <n v="74.5"/>
    <n v="13.633333803957969"/>
    <n v="1464.41067515347"/>
    <n v="1"/>
    <n v="0"/>
    <n v="0"/>
    <n v="0"/>
    <n v="0"/>
    <n v="0"/>
    <n v="0"/>
    <n v="0"/>
    <n v="0"/>
    <n v="0"/>
  </r>
  <r>
    <d v="2022-05-29T00:00:00"/>
    <n v="2022"/>
    <x v="8"/>
    <s v="R"/>
    <s v="RS"/>
    <x v="4"/>
    <s v="LAS"/>
    <s v="H"/>
    <n v="4"/>
    <n v="1"/>
    <n v="3"/>
    <n v="-3"/>
    <n v="16"/>
    <n v="-16"/>
    <n v="1483.5226286238844"/>
    <n v="1450.777341349512"/>
    <n v="0.70187588699040437"/>
    <n v="83"/>
    <n v="85"/>
    <n v="0"/>
    <n v="-2"/>
    <n v="0"/>
    <n v="0.26072667913600189"/>
    <n v="1"/>
    <n v="74.650000000000006"/>
    <n v="74.650000000000006"/>
    <n v="-13.660783469335067"/>
    <n v="1469.8618451545494"/>
    <n v="0"/>
    <n v="1"/>
    <n v="0"/>
    <n v="0"/>
    <n v="0"/>
    <n v="0"/>
    <n v="0"/>
    <n v="0"/>
    <n v="0"/>
    <n v="0"/>
  </r>
  <r>
    <d v="2022-05-29T00:00:00"/>
    <n v="2022"/>
    <x v="7"/>
    <s v="R"/>
    <s v="RS"/>
    <x v="11"/>
    <s v="SEA"/>
    <s v="A"/>
    <n v="1"/>
    <n v="1"/>
    <n v="0"/>
    <n v="0"/>
    <n v="0"/>
    <n v="0"/>
    <n v="1372.0109388325461"/>
    <n v="1536.8045007794258"/>
    <n v="0.19276066328042463"/>
    <n v="61"/>
    <n v="92"/>
    <n v="0"/>
    <n v="-31"/>
    <n v="0"/>
    <n v="0.62909254014825922"/>
    <n v="1"/>
    <n v="74.8"/>
    <n v="74.8"/>
    <n v="-9.0705692887201721"/>
    <n v="1362.9403695438259"/>
    <n v="0"/>
    <n v="1"/>
    <n v="0"/>
    <n v="0"/>
    <n v="0"/>
    <n v="0"/>
    <n v="0"/>
    <n v="0"/>
    <n v="0"/>
    <n v="0"/>
  </r>
  <r>
    <d v="2022-05-29T00:00:00"/>
    <n v="2022"/>
    <x v="7"/>
    <s v="R"/>
    <s v="RS"/>
    <x v="5"/>
    <s v="NYL"/>
    <s v="H"/>
    <n v="1"/>
    <n v="1"/>
    <n v="0"/>
    <n v="0"/>
    <n v="0"/>
    <n v="0"/>
    <n v="1536.8045007794258"/>
    <n v="1372.0109388325461"/>
    <n v="0.80723933671957537"/>
    <n v="92"/>
    <n v="61"/>
    <n v="0"/>
    <n v="31"/>
    <n v="1"/>
    <n v="0.62909254014825922"/>
    <n v="1"/>
    <n v="74.8"/>
    <n v="74.8"/>
    <n v="9.0705692887201721"/>
    <n v="1545.875070068146"/>
    <n v="1"/>
    <n v="0"/>
    <n v="0"/>
    <n v="0"/>
    <n v="0"/>
    <n v="0"/>
    <n v="0"/>
    <n v="0"/>
    <n v="0"/>
    <n v="0"/>
  </r>
  <r>
    <d v="2022-05-31T00:00:00"/>
    <n v="2022"/>
    <x v="8"/>
    <s v="R"/>
    <s v="RS"/>
    <x v="3"/>
    <s v="CHI"/>
    <s v="A"/>
    <n v="1"/>
    <n v="2"/>
    <n v="-1"/>
    <n v="1"/>
    <n v="-8"/>
    <n v="8"/>
    <n v="1472.226909062191"/>
    <n v="1568.9621837406767"/>
    <n v="0.24370016318449625"/>
    <n v="70"/>
    <n v="73"/>
    <n v="0"/>
    <n v="-3"/>
    <n v="0"/>
    <n v="0.26853609377194421"/>
    <n v="1"/>
    <n v="74.650000000000006"/>
    <n v="74.650000000000006"/>
    <n v="-4.8852669390306467"/>
    <n v="1467.3416421231605"/>
    <n v="0"/>
    <n v="1"/>
    <n v="0"/>
    <n v="0"/>
    <n v="0"/>
    <n v="0"/>
    <n v="0"/>
    <n v="0"/>
    <n v="0"/>
    <n v="0"/>
  </r>
  <r>
    <d v="2022-05-31T00:00:00"/>
    <n v="2022"/>
    <x v="7"/>
    <s v="R"/>
    <s v="RS"/>
    <x v="1"/>
    <s v="PHX"/>
    <s v="H"/>
    <n v="2"/>
    <n v="1"/>
    <n v="1"/>
    <n v="-1"/>
    <n v="8"/>
    <n v="-8"/>
    <n v="1568.9621837406767"/>
    <n v="1472.226909062191"/>
    <n v="0.75629983681550372"/>
    <n v="73"/>
    <n v="70"/>
    <n v="0"/>
    <n v="3"/>
    <n v="1"/>
    <n v="0.26853609377194421"/>
    <n v="1"/>
    <n v="74.8"/>
    <n v="74.8"/>
    <n v="4.8950832825116199"/>
    <n v="1573.8572670231883"/>
    <n v="1"/>
    <n v="0"/>
    <n v="0"/>
    <n v="0"/>
    <n v="0"/>
    <n v="0"/>
    <n v="0"/>
    <n v="0"/>
    <n v="0"/>
    <n v="0"/>
  </r>
  <r>
    <d v="2022-05-31T00:00:00"/>
    <n v="2022"/>
    <x v="9"/>
    <s v="R"/>
    <s v="RS"/>
    <x v="7"/>
    <s v="IND"/>
    <s v="A"/>
    <n v="2"/>
    <n v="3"/>
    <n v="-1"/>
    <n v="1"/>
    <n v="-8"/>
    <n v="8"/>
    <n v="1518.7206934986264"/>
    <n v="1361.4121114632501"/>
    <n v="0.58173375958194085"/>
    <n v="87"/>
    <n v="75"/>
    <n v="0"/>
    <n v="12"/>
    <n v="1"/>
    <n v="0.403265210974392"/>
    <n v="1"/>
    <n v="74.5"/>
    <n v="74.5"/>
    <n v="12.566080664581252"/>
    <n v="1531.2867741632076"/>
    <n v="1"/>
    <n v="0"/>
    <n v="0"/>
    <n v="0"/>
    <n v="0"/>
    <n v="0"/>
    <n v="0"/>
    <n v="0"/>
    <n v="0"/>
    <n v="0"/>
  </r>
  <r>
    <d v="2022-05-31T00:00:00"/>
    <n v="2022"/>
    <x v="10"/>
    <s v="R"/>
    <s v="RS"/>
    <x v="6"/>
    <s v="WAS"/>
    <s v="H"/>
    <n v="3"/>
    <n v="2"/>
    <n v="1"/>
    <n v="-1"/>
    <n v="8"/>
    <n v="-8"/>
    <n v="1361.4121114632501"/>
    <n v="1518.7206934986264"/>
    <n v="0.41826624041805921"/>
    <n v="75"/>
    <n v="87"/>
    <n v="0"/>
    <n v="-12"/>
    <n v="0"/>
    <n v="0.403265210974392"/>
    <n v="1"/>
    <n v="74.349999999999994"/>
    <n v="74.349999999999994"/>
    <n v="-12.540779831028404"/>
    <n v="1348.8713316322217"/>
    <n v="0"/>
    <n v="1"/>
    <n v="0"/>
    <n v="0"/>
    <n v="0"/>
    <n v="0"/>
    <n v="0"/>
    <n v="0"/>
    <n v="0"/>
    <n v="0"/>
  </r>
  <r>
    <d v="2022-05-31T00:00:00"/>
    <n v="2022"/>
    <x v="8"/>
    <s v="R"/>
    <s v="RS"/>
    <x v="9"/>
    <s v="LAS"/>
    <s v="A"/>
    <n v="4"/>
    <n v="1"/>
    <n v="3"/>
    <n v="-3"/>
    <n v="16"/>
    <n v="-16"/>
    <n v="1507.4617178160706"/>
    <n v="1464.41067515347"/>
    <n v="0.48712426241345308"/>
    <n v="91"/>
    <n v="93"/>
    <n v="0"/>
    <n v="-2"/>
    <n v="0"/>
    <n v="0.25856507411244217"/>
    <n v="1"/>
    <n v="74.650000000000006"/>
    <n v="74.650000000000006"/>
    <n v="-9.4024154136132267"/>
    <n v="1498.0593024024574"/>
    <n v="0"/>
    <n v="1"/>
    <n v="0"/>
    <n v="0"/>
    <n v="0"/>
    <n v="0"/>
    <n v="0"/>
    <n v="0"/>
    <n v="0"/>
    <n v="0"/>
  </r>
  <r>
    <d v="2022-05-31T00:00:00"/>
    <n v="2022"/>
    <x v="10"/>
    <s v="R"/>
    <s v="RS"/>
    <x v="0"/>
    <s v="DAL"/>
    <s v="H"/>
    <n v="1"/>
    <n v="4"/>
    <n v="-3"/>
    <n v="3"/>
    <n v="-16"/>
    <n v="16"/>
    <n v="1464.41067515347"/>
    <n v="1507.4617178160706"/>
    <n v="0.51287573758654692"/>
    <n v="93"/>
    <n v="91"/>
    <n v="0"/>
    <n v="2"/>
    <n v="1"/>
    <n v="0.25856507411244217"/>
    <n v="1"/>
    <n v="74.349999999999994"/>
    <n v="74.349999999999994"/>
    <n v="9.3646294173093541"/>
    <n v="1473.7753045707793"/>
    <n v="1"/>
    <n v="0"/>
    <n v="0"/>
    <n v="0"/>
    <n v="0"/>
    <n v="0"/>
    <n v="0"/>
    <n v="0"/>
    <n v="0"/>
    <n v="0"/>
  </r>
  <r>
    <d v="2022-05-31T00:00:00"/>
    <n v="2022"/>
    <x v="8"/>
    <s v="R"/>
    <s v="RS"/>
    <x v="10"/>
    <s v="LVA"/>
    <s v="A"/>
    <n v="2"/>
    <n v="2"/>
    <n v="0"/>
    <n v="0"/>
    <n v="0"/>
    <n v="0"/>
    <n v="1618.8943402342488"/>
    <n v="1652.3460601656429"/>
    <n v="0.33713085617912686"/>
    <n v="81"/>
    <n v="89"/>
    <n v="0"/>
    <n v="-8"/>
    <n v="0"/>
    <n v="0.37778425735992716"/>
    <n v="1"/>
    <n v="74.650000000000006"/>
    <n v="74.650000000000006"/>
    <n v="-9.5076278045589273"/>
    <n v="1609.3867124296899"/>
    <n v="0"/>
    <n v="1"/>
    <n v="0"/>
    <n v="0"/>
    <n v="0"/>
    <n v="0"/>
    <n v="0"/>
    <n v="0"/>
    <n v="0"/>
    <n v="0"/>
  </r>
  <r>
    <d v="2022-05-31T00:00:00"/>
    <n v="2022"/>
    <x v="9"/>
    <s v="R"/>
    <s v="RS"/>
    <x v="2"/>
    <s v="CON"/>
    <s v="H"/>
    <n v="2"/>
    <n v="2"/>
    <n v="0"/>
    <n v="0"/>
    <n v="0"/>
    <n v="0"/>
    <n v="1652.3460601656429"/>
    <n v="1618.8943402342488"/>
    <n v="0.66286914382087314"/>
    <n v="89"/>
    <n v="81"/>
    <n v="0"/>
    <n v="8"/>
    <n v="1"/>
    <n v="0.37778425735992716"/>
    <n v="1"/>
    <n v="74.5"/>
    <n v="74.5"/>
    <n v="9.4885233950387153"/>
    <n v="1661.8345835606817"/>
    <n v="1"/>
    <n v="0"/>
    <n v="0"/>
    <n v="0"/>
    <n v="0"/>
    <n v="0"/>
    <n v="0"/>
    <n v="0"/>
    <n v="0"/>
    <n v="0"/>
  </r>
  <r>
    <d v="2022-06-01T00:00:00"/>
    <n v="2022"/>
    <x v="9"/>
    <s v="R"/>
    <s v="RS"/>
    <x v="4"/>
    <s v="ATL"/>
    <s v="A"/>
    <n v="2"/>
    <n v="2"/>
    <n v="0"/>
    <n v="0"/>
    <n v="0"/>
    <n v="0"/>
    <n v="1469.8618451545494"/>
    <n v="1457.1960840964127"/>
    <n v="0.39876037619047183"/>
    <n v="76"/>
    <n v="84"/>
    <n v="0"/>
    <n v="-8"/>
    <n v="0"/>
    <n v="0.3842597498563885"/>
    <n v="1"/>
    <n v="74.5"/>
    <n v="74.5"/>
    <n v="-11.415453399365461"/>
    <n v="1458.4463917551839"/>
    <n v="0"/>
    <n v="1"/>
    <n v="0"/>
    <n v="0"/>
    <n v="0"/>
    <n v="0"/>
    <n v="0"/>
    <n v="0"/>
    <n v="0"/>
    <n v="0"/>
  </r>
  <r>
    <d v="2022-06-01T00:00:00"/>
    <n v="2022"/>
    <x v="8"/>
    <s v="R"/>
    <s v="RS"/>
    <x v="8"/>
    <s v="MIN"/>
    <s v="H"/>
    <n v="2"/>
    <n v="2"/>
    <n v="0"/>
    <n v="0"/>
    <n v="0"/>
    <n v="0"/>
    <n v="1457.1960840964127"/>
    <n v="1469.8618451545494"/>
    <n v="0.60123962380952822"/>
    <n v="84"/>
    <n v="76"/>
    <n v="0"/>
    <n v="8"/>
    <n v="1"/>
    <n v="0.3842597498563885"/>
    <n v="1"/>
    <n v="74.650000000000006"/>
    <n v="74.650000000000006"/>
    <n v="11.438437533726599"/>
    <n v="1468.6345216301393"/>
    <n v="1"/>
    <n v="0"/>
    <n v="0"/>
    <n v="0"/>
    <n v="0"/>
    <n v="0"/>
    <n v="0"/>
    <n v="0"/>
    <n v="0"/>
    <n v="0"/>
  </r>
  <r>
    <d v="2022-06-01T00:00:00"/>
    <n v="2022"/>
    <x v="11"/>
    <s v="R"/>
    <s v="RS"/>
    <x v="6"/>
    <s v="NYL"/>
    <s v="A"/>
    <n v="0"/>
    <n v="2"/>
    <n v="-2"/>
    <n v="2"/>
    <n v="-16"/>
    <n v="16"/>
    <n v="1348.8713316322217"/>
    <n v="1362.9403695438259"/>
    <n v="0.32109644033506007"/>
    <n v="74"/>
    <n v="87"/>
    <n v="0"/>
    <n v="-13"/>
    <n v="0"/>
    <n v="0.46657355478839269"/>
    <n v="1"/>
    <n v="74.2"/>
    <n v="74.2"/>
    <n v="-11.116280983699479"/>
    <n v="1337.7550506485222"/>
    <n v="0"/>
    <n v="1"/>
    <n v="0"/>
    <n v="0"/>
    <n v="0"/>
    <n v="0"/>
    <n v="0"/>
    <n v="0"/>
    <n v="0"/>
    <n v="0"/>
  </r>
  <r>
    <d v="2022-06-01T00:00:00"/>
    <n v="2022"/>
    <x v="8"/>
    <s v="R"/>
    <s v="RS"/>
    <x v="11"/>
    <s v="IND"/>
    <s v="H"/>
    <n v="2"/>
    <n v="0"/>
    <n v="2"/>
    <n v="-2"/>
    <n v="16"/>
    <n v="-16"/>
    <n v="1362.9403695438259"/>
    <n v="1348.8713316322217"/>
    <n v="0.67890355966493987"/>
    <n v="87"/>
    <n v="74"/>
    <n v="0"/>
    <n v="13"/>
    <n v="1"/>
    <n v="0.46657355478839269"/>
    <n v="1"/>
    <n v="74.650000000000006"/>
    <n v="74.650000000000006"/>
    <n v="11.183697782118143"/>
    <n v="1374.124067325944"/>
    <n v="1"/>
    <n v="0"/>
    <n v="0"/>
    <n v="0"/>
    <n v="0"/>
    <n v="0"/>
    <n v="0"/>
    <n v="0"/>
    <n v="0"/>
    <n v="0"/>
  </r>
  <r>
    <d v="2022-06-02T00:00:00"/>
    <n v="2022"/>
    <x v="9"/>
    <s v="R"/>
    <s v="RS"/>
    <x v="10"/>
    <s v="LVA"/>
    <s v="A"/>
    <n v="1"/>
    <n v="1"/>
    <n v="0"/>
    <n v="0"/>
    <n v="0"/>
    <n v="0"/>
    <n v="1609.3867124296899"/>
    <n v="1661.8345835606817"/>
    <n v="0.31314495272581555"/>
    <n v="97"/>
    <n v="90"/>
    <n v="0"/>
    <n v="7"/>
    <n v="1"/>
    <n v="0.35460845694402016"/>
    <n v="1"/>
    <n v="74.5"/>
    <n v="74.5"/>
    <n v="18.145563330129235"/>
    <n v="1627.5322757598192"/>
    <n v="1"/>
    <n v="0"/>
    <n v="0"/>
    <n v="0"/>
    <n v="0"/>
    <n v="0"/>
    <n v="0"/>
    <n v="0"/>
    <n v="0"/>
    <n v="0"/>
  </r>
  <r>
    <d v="2022-06-02T00:00:00"/>
    <n v="2022"/>
    <x v="10"/>
    <s v="R"/>
    <s v="RS"/>
    <x v="2"/>
    <s v="CON"/>
    <s v="H"/>
    <n v="1"/>
    <n v="1"/>
    <n v="0"/>
    <n v="0"/>
    <n v="0"/>
    <n v="0"/>
    <n v="1661.8345835606817"/>
    <n v="1609.3867124296899"/>
    <n v="0.68685504727418445"/>
    <n v="90"/>
    <n v="97"/>
    <n v="0"/>
    <n v="-7"/>
    <n v="0"/>
    <n v="0.35460845694402016"/>
    <n v="1"/>
    <n v="74.349999999999994"/>
    <n v="74.349999999999994"/>
    <n v="-18.109028638860519"/>
    <n v="1643.7255549218212"/>
    <n v="0"/>
    <n v="1"/>
    <n v="0"/>
    <n v="0"/>
    <n v="0"/>
    <n v="0"/>
    <n v="0"/>
    <n v="0"/>
    <n v="0"/>
    <n v="0"/>
  </r>
  <r>
    <d v="2022-06-03T00:00:00"/>
    <n v="2022"/>
    <x v="8"/>
    <s v="R"/>
    <s v="RS"/>
    <x v="1"/>
    <s v="ATL"/>
    <s v="A"/>
    <n v="2"/>
    <n v="1"/>
    <n v="1"/>
    <n v="-1"/>
    <n v="8"/>
    <n v="-8"/>
    <n v="1573.8572670231883"/>
    <n v="1468.6345216301393"/>
    <n v="0.55336382180957755"/>
    <n v="73"/>
    <n v="65"/>
    <n v="0"/>
    <n v="8"/>
    <n v="1"/>
    <n v="0.35701081953125463"/>
    <n v="1"/>
    <n v="74.650000000000006"/>
    <n v="74.650000000000006"/>
    <n v="11.903237218802442"/>
    <n v="1585.7605042419907"/>
    <n v="1"/>
    <n v="0"/>
    <n v="0"/>
    <n v="0"/>
    <n v="0"/>
    <n v="0"/>
    <n v="0"/>
    <n v="0"/>
    <n v="0"/>
    <n v="0"/>
  </r>
  <r>
    <d v="2022-06-03T00:00:00"/>
    <n v="2022"/>
    <x v="9"/>
    <s v="R"/>
    <s v="RS"/>
    <x v="8"/>
    <s v="CHI"/>
    <s v="H"/>
    <n v="1"/>
    <n v="2"/>
    <n v="-1"/>
    <n v="1"/>
    <n v="-8"/>
    <n v="8"/>
    <n v="1468.6345216301393"/>
    <n v="1573.8572670231883"/>
    <n v="0.44663617819042251"/>
    <n v="65"/>
    <n v="73"/>
    <n v="0"/>
    <n v="-8"/>
    <n v="0"/>
    <n v="0.35701081953125463"/>
    <n v="1"/>
    <n v="74.5"/>
    <n v="74.5"/>
    <n v="-11.879319126601231"/>
    <n v="1456.7552025035379"/>
    <n v="0"/>
    <n v="1"/>
    <n v="0"/>
    <n v="0"/>
    <n v="0"/>
    <n v="0"/>
    <n v="0"/>
    <n v="0"/>
    <n v="0"/>
    <n v="0"/>
  </r>
  <r>
    <d v="2022-06-03T00:00:00"/>
    <n v="2022"/>
    <x v="10"/>
    <s v="R"/>
    <s v="RS"/>
    <x v="10"/>
    <s v="PHX"/>
    <s v="A"/>
    <n v="0"/>
    <n v="2"/>
    <n v="-2"/>
    <n v="2"/>
    <n v="-16"/>
    <n v="16"/>
    <n v="1627.5322757598192"/>
    <n v="1467.3416421231605"/>
    <n v="0.56325469990118449"/>
    <n v="92"/>
    <n v="88"/>
    <n v="0"/>
    <n v="4"/>
    <n v="1"/>
    <n v="0.27475507670969967"/>
    <n v="1"/>
    <n v="74.349999999999994"/>
    <n v="74.349999999999994"/>
    <n v="8.9218504398635012"/>
    <n v="1636.4541261996826"/>
    <n v="1"/>
    <n v="0"/>
    <n v="0"/>
    <n v="0"/>
    <n v="0"/>
    <n v="0"/>
    <n v="0"/>
    <n v="0"/>
    <n v="0"/>
    <n v="0"/>
  </r>
  <r>
    <d v="2022-06-03T00:00:00"/>
    <n v="2022"/>
    <x v="9"/>
    <s v="R"/>
    <s v="RS"/>
    <x v="3"/>
    <s v="CON"/>
    <s v="H"/>
    <n v="2"/>
    <n v="0"/>
    <n v="2"/>
    <n v="-2"/>
    <n v="16"/>
    <n v="-16"/>
    <n v="1467.3416421231605"/>
    <n v="1627.5322757598192"/>
    <n v="0.43674530009881551"/>
    <n v="88"/>
    <n v="92"/>
    <n v="0"/>
    <n v="-4"/>
    <n v="0"/>
    <n v="0.27475507670969967"/>
    <n v="1"/>
    <n v="74.5"/>
    <n v="74.5"/>
    <n v="-8.9398501381281896"/>
    <n v="1458.4017919850323"/>
    <n v="0"/>
    <n v="1"/>
    <n v="0"/>
    <n v="0"/>
    <n v="0"/>
    <n v="0"/>
    <n v="0"/>
    <n v="0"/>
    <n v="0"/>
    <n v="0"/>
  </r>
  <r>
    <d v="2022-06-03T00:00:00"/>
    <n v="2022"/>
    <x v="9"/>
    <s v="R"/>
    <s v="RS"/>
    <x v="9"/>
    <s v="SEA"/>
    <s v="A"/>
    <n v="2"/>
    <n v="4"/>
    <n v="-2"/>
    <n v="2"/>
    <n v="-16"/>
    <n v="16"/>
    <n v="1498.0593024024574"/>
    <n v="1545.875070068146"/>
    <n v="0.28029488386156765"/>
    <n v="68"/>
    <n v="51"/>
    <n v="0"/>
    <n v="17"/>
    <n v="1"/>
    <n v="0.51203911623400589"/>
    <n v="1"/>
    <n v="74.5"/>
    <n v="74.5"/>
    <n v="27.45452928543785"/>
    <n v="1525.5138316878954"/>
    <n v="1"/>
    <n v="0"/>
    <n v="0"/>
    <n v="0"/>
    <n v="0"/>
    <n v="0"/>
    <n v="0"/>
    <n v="0"/>
    <n v="0"/>
    <n v="0"/>
  </r>
  <r>
    <d v="2022-06-03T00:00:00"/>
    <n v="2022"/>
    <x v="8"/>
    <s v="R"/>
    <s v="RS"/>
    <x v="5"/>
    <s v="DAL"/>
    <s v="H"/>
    <n v="4"/>
    <n v="2"/>
    <n v="2"/>
    <n v="-2"/>
    <n v="16"/>
    <n v="-16"/>
    <n v="1545.875070068146"/>
    <n v="1498.0593024024574"/>
    <n v="0.71970511613843235"/>
    <n v="51"/>
    <n v="68"/>
    <n v="0"/>
    <n v="-17"/>
    <n v="0"/>
    <n v="0.51203911623400589"/>
    <n v="1"/>
    <n v="74.650000000000006"/>
    <n v="74.650000000000006"/>
    <n v="-27.509806861180348"/>
    <n v="1518.3652632069657"/>
    <n v="0"/>
    <n v="1"/>
    <n v="0"/>
    <n v="0"/>
    <n v="0"/>
    <n v="0"/>
    <n v="0"/>
    <n v="0"/>
    <n v="0"/>
    <n v="0"/>
  </r>
  <r>
    <d v="2022-06-03T00:00:00"/>
    <n v="2022"/>
    <x v="9"/>
    <s v="R"/>
    <s v="RS"/>
    <x v="11"/>
    <s v="WAS"/>
    <s v="A"/>
    <n v="1"/>
    <n v="2"/>
    <n v="-1"/>
    <n v="1"/>
    <n v="-8"/>
    <n v="8"/>
    <n v="1374.124067325944"/>
    <n v="1531.2867741632076"/>
    <n v="0.18537493145617981"/>
    <n v="74"/>
    <n v="70"/>
    <n v="0"/>
    <n v="4"/>
    <n v="1"/>
    <n v="0.2753680748829091"/>
    <n v="1"/>
    <n v="74.5"/>
    <n v="74.5"/>
    <n v="16.71196939728209"/>
    <n v="1390.836036723226"/>
    <n v="1"/>
    <n v="0"/>
    <n v="0"/>
    <n v="0"/>
    <n v="0"/>
    <n v="0"/>
    <n v="0"/>
    <n v="0"/>
    <n v="0"/>
    <n v="0"/>
  </r>
  <r>
    <d v="2022-06-03T00:00:00"/>
    <n v="2022"/>
    <x v="10"/>
    <s v="R"/>
    <s v="RS"/>
    <x v="7"/>
    <s v="NYL"/>
    <s v="H"/>
    <n v="2"/>
    <n v="1"/>
    <n v="1"/>
    <n v="-1"/>
    <n v="8"/>
    <n v="-8"/>
    <n v="1531.2867741632076"/>
    <n v="1374.124067325944"/>
    <n v="0.81462506854382022"/>
    <n v="70"/>
    <n v="74"/>
    <n v="0"/>
    <n v="-4"/>
    <n v="0"/>
    <n v="0.2753680748829091"/>
    <n v="1"/>
    <n v="74.349999999999994"/>
    <n v="74.349999999999994"/>
    <n v="-16.678321136750647"/>
    <n v="1514.608453026457"/>
    <n v="0"/>
    <n v="1"/>
    <n v="0"/>
    <n v="0"/>
    <n v="0"/>
    <n v="0"/>
    <n v="0"/>
    <n v="0"/>
    <n v="0"/>
    <n v="0"/>
  </r>
  <r>
    <d v="2022-06-05T00:00:00"/>
    <n v="2022"/>
    <x v="12"/>
    <s v="R"/>
    <s v="RS"/>
    <x v="6"/>
    <s v="ATL"/>
    <s v="A"/>
    <n v="3"/>
    <n v="1"/>
    <n v="2"/>
    <n v="-2"/>
    <n v="16"/>
    <n v="-16"/>
    <n v="1337.7550506485222"/>
    <n v="1456.7552025035379"/>
    <n v="0.27202831334924538"/>
    <n v="66"/>
    <n v="75"/>
    <n v="0"/>
    <n v="-9"/>
    <n v="0"/>
    <n v="0.36934478884748495"/>
    <n v="1"/>
    <n v="74.05"/>
    <n v="74.05"/>
    <n v="-7.4399693686317985"/>
    <n v="1330.3150812798904"/>
    <n v="0"/>
    <n v="1"/>
    <n v="0"/>
    <n v="0"/>
    <n v="0"/>
    <n v="0"/>
    <n v="0"/>
    <n v="0"/>
    <n v="0"/>
    <n v="0"/>
  </r>
  <r>
    <d v="2022-06-05T00:00:00"/>
    <n v="2022"/>
    <x v="10"/>
    <s v="R"/>
    <s v="RS"/>
    <x v="8"/>
    <s v="IND"/>
    <s v="H"/>
    <n v="1"/>
    <n v="3"/>
    <n v="-2"/>
    <n v="2"/>
    <n v="-16"/>
    <n v="16"/>
    <n v="1456.7552025035379"/>
    <n v="1337.7550506485222"/>
    <n v="0.72797168665075462"/>
    <n v="75"/>
    <n v="66"/>
    <n v="0"/>
    <n v="9"/>
    <n v="1"/>
    <n v="0.36934478884748495"/>
    <n v="1"/>
    <n v="74.349999999999994"/>
    <n v="74.349999999999994"/>
    <n v="7.4701110406181526"/>
    <n v="1464.2253135441561"/>
    <n v="1"/>
    <n v="0"/>
    <n v="0"/>
    <n v="0"/>
    <n v="0"/>
    <n v="0"/>
    <n v="0"/>
    <n v="0"/>
    <n v="0"/>
    <n v="0"/>
  </r>
  <r>
    <d v="2022-06-05T00:00:00"/>
    <n v="2022"/>
    <x v="11"/>
    <s v="R"/>
    <s v="RS"/>
    <x v="7"/>
    <s v="CHI"/>
    <s v="A"/>
    <n v="1"/>
    <n v="1"/>
    <n v="0"/>
    <n v="0"/>
    <n v="0"/>
    <n v="0"/>
    <n v="1514.608453026457"/>
    <n v="1585.7605042419907"/>
    <n v="0.29046494602396189"/>
    <n v="82"/>
    <n v="91"/>
    <n v="0"/>
    <n v="-9"/>
    <n v="0"/>
    <n v="0.38324748963811306"/>
    <n v="1"/>
    <n v="74.2"/>
    <n v="74.2"/>
    <n v="-8.2599411352532623"/>
    <n v="1506.3485118912038"/>
    <n v="0"/>
    <n v="1"/>
    <n v="0"/>
    <n v="0"/>
    <n v="0"/>
    <n v="0"/>
    <n v="0"/>
    <n v="0"/>
    <n v="0"/>
    <n v="0"/>
  </r>
  <r>
    <d v="2022-06-05T00:00:00"/>
    <n v="2022"/>
    <x v="9"/>
    <s v="R"/>
    <s v="RS"/>
    <x v="1"/>
    <s v="WAS"/>
    <s v="H"/>
    <n v="1"/>
    <n v="1"/>
    <n v="0"/>
    <n v="0"/>
    <n v="0"/>
    <n v="0"/>
    <n v="1585.7605042419907"/>
    <n v="1514.608453026457"/>
    <n v="0.70953505397603811"/>
    <n v="91"/>
    <n v="82"/>
    <n v="0"/>
    <n v="9"/>
    <n v="1"/>
    <n v="0.38324748963811306"/>
    <n v="1"/>
    <n v="74.5"/>
    <n v="74.5"/>
    <n v="8.2933371236707281"/>
    <n v="1594.0538413656614"/>
    <n v="1"/>
    <n v="0"/>
    <n v="0"/>
    <n v="0"/>
    <n v="0"/>
    <n v="0"/>
    <n v="0"/>
    <n v="0"/>
    <n v="0"/>
    <n v="0"/>
  </r>
  <r>
    <d v="2022-06-05T00:00:00"/>
    <n v="2022"/>
    <x v="10"/>
    <s v="R"/>
    <s v="RS"/>
    <x v="9"/>
    <s v="LVA"/>
    <s v="A"/>
    <n v="1"/>
    <n v="2"/>
    <n v="-1"/>
    <n v="1"/>
    <n v="-8"/>
    <n v="8"/>
    <n v="1525.5138316878954"/>
    <n v="1643.7255549218212"/>
    <n v="0.22164121546240034"/>
    <n v="78"/>
    <n v="84"/>
    <n v="0"/>
    <n v="-6"/>
    <n v="0"/>
    <n v="0.31977936918589012"/>
    <n v="1"/>
    <n v="74.349999999999994"/>
    <n v="74.349999999999994"/>
    <n v="-5.2696520177190207"/>
    <n v="1520.2441796701764"/>
    <n v="0"/>
    <n v="1"/>
    <n v="0"/>
    <n v="0"/>
    <n v="0"/>
    <n v="0"/>
    <n v="0"/>
    <n v="0"/>
    <n v="0"/>
    <n v="0"/>
  </r>
  <r>
    <d v="2022-06-05T00:00:00"/>
    <n v="2022"/>
    <x v="11"/>
    <s v="R"/>
    <s v="RS"/>
    <x v="2"/>
    <s v="DAL"/>
    <s v="H"/>
    <n v="2"/>
    <n v="1"/>
    <n v="1"/>
    <n v="-1"/>
    <n v="8"/>
    <n v="-8"/>
    <n v="1643.7255549218212"/>
    <n v="1525.5138316878954"/>
    <n v="0.77835878453759966"/>
    <n v="84"/>
    <n v="78"/>
    <n v="0"/>
    <n v="6"/>
    <n v="1"/>
    <n v="0.31977936918589012"/>
    <n v="1"/>
    <n v="74.2"/>
    <n v="74.2"/>
    <n v="5.2590205745090968"/>
    <n v="1648.9845754963303"/>
    <n v="1"/>
    <n v="0"/>
    <n v="0"/>
    <n v="0"/>
    <n v="0"/>
    <n v="0"/>
    <n v="0"/>
    <n v="0"/>
    <n v="0"/>
    <n v="0"/>
  </r>
  <r>
    <d v="2022-06-05T00:00:00"/>
    <n v="2022"/>
    <x v="10"/>
    <s v="R"/>
    <s v="RS"/>
    <x v="4"/>
    <s v="NYL"/>
    <s v="A"/>
    <n v="3"/>
    <n v="1"/>
    <n v="2"/>
    <n v="-2"/>
    <n v="16"/>
    <n v="-16"/>
    <n v="1458.4463917551839"/>
    <n v="1390.836036723226"/>
    <n v="0.52245000199171499"/>
    <n v="84"/>
    <n v="77"/>
    <n v="0"/>
    <n v="7"/>
    <n v="1"/>
    <n v="0.35036681833779043"/>
    <n v="1"/>
    <n v="74.349999999999994"/>
    <n v="74.349999999999994"/>
    <n v="12.440069017243975"/>
    <n v="1470.8864607724279"/>
    <n v="1"/>
    <n v="0"/>
    <n v="0"/>
    <n v="0"/>
    <n v="0"/>
    <n v="0"/>
    <n v="0"/>
    <n v="0"/>
    <n v="0"/>
    <n v="0"/>
  </r>
  <r>
    <d v="2022-06-05T00:00:00"/>
    <n v="2022"/>
    <x v="10"/>
    <s v="R"/>
    <s v="RS"/>
    <x v="11"/>
    <s v="MIN"/>
    <s v="H"/>
    <n v="1"/>
    <n v="3"/>
    <n v="-2"/>
    <n v="2"/>
    <n v="-16"/>
    <n v="16"/>
    <n v="1390.836036723226"/>
    <n v="1458.4463917551839"/>
    <n v="0.47754999800828507"/>
    <n v="77"/>
    <n v="84"/>
    <n v="0"/>
    <n v="-7"/>
    <n v="0"/>
    <n v="0.35036681833779043"/>
    <n v="1"/>
    <n v="74.349999999999994"/>
    <n v="74.349999999999994"/>
    <n v="-12.440069017243976"/>
    <n v="1378.395967705982"/>
    <n v="0"/>
    <n v="1"/>
    <n v="0"/>
    <n v="0"/>
    <n v="0"/>
    <n v="0"/>
    <n v="0"/>
    <n v="0"/>
    <n v="0"/>
    <n v="0"/>
  </r>
  <r>
    <d v="2022-06-05T00:00:00"/>
    <n v="2022"/>
    <x v="11"/>
    <s v="R"/>
    <s v="RS"/>
    <x v="0"/>
    <s v="PHX"/>
    <s v="A"/>
    <n v="4"/>
    <n v="1"/>
    <n v="3"/>
    <n v="-3"/>
    <n v="16"/>
    <n v="-16"/>
    <n v="1473.7753045707793"/>
    <n v="1458.4017919850323"/>
    <n v="0.44748464271595084"/>
    <n v="74"/>
    <n v="81"/>
    <n v="0"/>
    <n v="-7"/>
    <n v="0"/>
    <n v="0.36542560981083572"/>
    <n v="1"/>
    <n v="74.2"/>
    <n v="74.2"/>
    <n v="-12.133358254653153"/>
    <n v="1461.6419463161262"/>
    <n v="0"/>
    <n v="1"/>
    <n v="0"/>
    <n v="0"/>
    <n v="0"/>
    <n v="0"/>
    <n v="0"/>
    <n v="0"/>
    <n v="0"/>
    <n v="0"/>
  </r>
  <r>
    <d v="2022-06-05T00:00:00"/>
    <n v="2022"/>
    <x v="10"/>
    <s v="R"/>
    <s v="RS"/>
    <x v="3"/>
    <s v="LAS"/>
    <s v="H"/>
    <n v="1"/>
    <n v="4"/>
    <n v="-3"/>
    <n v="3"/>
    <n v="-16"/>
    <n v="16"/>
    <n v="1458.4017919850323"/>
    <n v="1473.7753045707793"/>
    <n v="0.5525153572840491"/>
    <n v="81"/>
    <n v="74"/>
    <n v="0"/>
    <n v="7"/>
    <n v="1"/>
    <n v="0.36542560981083572"/>
    <n v="1"/>
    <n v="74.349999999999994"/>
    <n v="74.349999999999994"/>
    <n v="12.157886606919973"/>
    <n v="1470.5596785919522"/>
    <n v="1"/>
    <n v="0"/>
    <n v="0"/>
    <n v="0"/>
    <n v="0"/>
    <n v="0"/>
    <n v="0"/>
    <n v="0"/>
    <n v="0"/>
    <n v="0"/>
  </r>
  <r>
    <d v="2022-06-05T00:00:00"/>
    <n v="2022"/>
    <x v="11"/>
    <s v="R"/>
    <s v="RS"/>
    <x v="10"/>
    <s v="SEA"/>
    <s v="A"/>
    <n v="1"/>
    <n v="1"/>
    <n v="0"/>
    <n v="0"/>
    <n v="0"/>
    <n v="0"/>
    <n v="1636.4541261996826"/>
    <n v="1518.3652632069657"/>
    <n v="0.54890099991067187"/>
    <n v="93"/>
    <n v="86"/>
    <n v="0"/>
    <n v="7"/>
    <n v="1"/>
    <n v="0.3369489109984522"/>
    <n v="1"/>
    <n v="74.2"/>
    <n v="74.2"/>
    <n v="11.278200908978164"/>
    <n v="1647.7323271086607"/>
    <n v="1"/>
    <n v="0"/>
    <n v="0"/>
    <n v="0"/>
    <n v="0"/>
    <n v="0"/>
    <n v="0"/>
    <n v="0"/>
    <n v="0"/>
    <n v="0"/>
  </r>
  <r>
    <d v="2022-06-05T00:00:00"/>
    <n v="2022"/>
    <x v="9"/>
    <s v="R"/>
    <s v="RS"/>
    <x v="5"/>
    <s v="CON"/>
    <s v="H"/>
    <n v="1"/>
    <n v="1"/>
    <n v="0"/>
    <n v="0"/>
    <n v="0"/>
    <n v="0"/>
    <n v="1518.3652632069657"/>
    <n v="1636.4541261996826"/>
    <n v="0.45109900008932818"/>
    <n v="86"/>
    <n v="93"/>
    <n v="0"/>
    <n v="-7"/>
    <n v="0"/>
    <n v="0.3369489109984522"/>
    <n v="1"/>
    <n v="74.5"/>
    <n v="74.5"/>
    <n v="-11.32380010402794"/>
    <n v="1507.0414631029378"/>
    <n v="0"/>
    <n v="1"/>
    <n v="0"/>
    <n v="0"/>
    <n v="0"/>
    <n v="0"/>
    <n v="0"/>
    <n v="0"/>
    <n v="0"/>
    <n v="0"/>
  </r>
  <r>
    <d v="2022-06-07T00:00:00"/>
    <n v="2022"/>
    <x v="11"/>
    <s v="R"/>
    <s v="RS"/>
    <x v="4"/>
    <s v="NYL"/>
    <s v="A"/>
    <n v="1"/>
    <n v="1"/>
    <n v="0"/>
    <n v="0"/>
    <n v="0"/>
    <n v="0"/>
    <n v="1470.8864607724279"/>
    <n v="1378.395967705982"/>
    <n v="0.51221636996852449"/>
    <n v="69"/>
    <n v="88"/>
    <n v="0"/>
    <n v="-19"/>
    <n v="0"/>
    <n v="0.5208340725745767"/>
    <n v="1"/>
    <n v="74.2"/>
    <n v="74.2"/>
    <n v="-19.795056560347394"/>
    <n v="1451.0914042120805"/>
    <n v="0"/>
    <n v="1"/>
    <n v="0"/>
    <n v="0"/>
    <n v="0"/>
    <n v="0"/>
    <n v="0"/>
    <n v="0"/>
    <n v="0"/>
    <n v="0"/>
  </r>
  <r>
    <d v="2022-06-07T00:00:00"/>
    <n v="2022"/>
    <x v="11"/>
    <s v="R"/>
    <s v="RS"/>
    <x v="11"/>
    <s v="MIN"/>
    <s v="H"/>
    <n v="1"/>
    <n v="1"/>
    <n v="0"/>
    <n v="0"/>
    <n v="0"/>
    <n v="0"/>
    <n v="1378.395967705982"/>
    <n v="1470.8864607724279"/>
    <n v="0.48778363003147551"/>
    <n v="88"/>
    <n v="69"/>
    <n v="0"/>
    <n v="19"/>
    <n v="1"/>
    <n v="0.5208340725745767"/>
    <n v="1"/>
    <n v="74.2"/>
    <n v="74.2"/>
    <n v="19.795056560347394"/>
    <n v="1398.1910242663294"/>
    <n v="1"/>
    <n v="0"/>
    <n v="0"/>
    <n v="0"/>
    <n v="0"/>
    <n v="0"/>
    <n v="0"/>
    <n v="0"/>
    <n v="0"/>
    <n v="0"/>
  </r>
  <r>
    <d v="2022-06-07T00:00:00"/>
    <n v="2022"/>
    <x v="11"/>
    <s v="R"/>
    <s v="RS"/>
    <x v="8"/>
    <s v="SEA"/>
    <s v="A"/>
    <n v="1"/>
    <n v="1"/>
    <n v="0"/>
    <n v="0"/>
    <n v="0"/>
    <n v="0"/>
    <n v="1464.2253135441561"/>
    <n v="1507.0414631029378"/>
    <n v="0.32519199781186403"/>
    <n v="60"/>
    <n v="72"/>
    <n v="0"/>
    <n v="-12"/>
    <n v="0"/>
    <n v="0.44041536786126267"/>
    <n v="1"/>
    <n v="74.2"/>
    <n v="74.2"/>
    <n v="-10.626890857965346"/>
    <n v="1453.5984226861908"/>
    <n v="0"/>
    <n v="1"/>
    <n v="0"/>
    <n v="0"/>
    <n v="0"/>
    <n v="0"/>
    <n v="0"/>
    <n v="0"/>
    <n v="0"/>
    <n v="0"/>
  </r>
  <r>
    <d v="2022-06-07T00:00:00"/>
    <n v="2022"/>
    <x v="10"/>
    <s v="R"/>
    <s v="RS"/>
    <x v="5"/>
    <s v="ATL"/>
    <s v="H"/>
    <n v="1"/>
    <n v="1"/>
    <n v="0"/>
    <n v="0"/>
    <n v="0"/>
    <n v="0"/>
    <n v="1507.0414631029378"/>
    <n v="1464.2253135441561"/>
    <n v="0.67480800218813597"/>
    <n v="72"/>
    <n v="60"/>
    <n v="0"/>
    <n v="12"/>
    <n v="1"/>
    <n v="0.44041536786126267"/>
    <n v="1"/>
    <n v="74.349999999999994"/>
    <n v="74.349999999999994"/>
    <n v="10.648373790966623"/>
    <n v="1517.6898368939044"/>
    <n v="1"/>
    <n v="0"/>
    <n v="0"/>
    <n v="0"/>
    <n v="0"/>
    <n v="0"/>
    <n v="0"/>
    <n v="0"/>
    <n v="0"/>
    <n v="0"/>
  </r>
  <r>
    <d v="2022-06-08T00:00:00"/>
    <n v="2022"/>
    <x v="13"/>
    <s v="R"/>
    <s v="RS"/>
    <x v="6"/>
    <s v="CON"/>
    <s v="A"/>
    <n v="2"/>
    <n v="2"/>
    <n v="0"/>
    <n v="0"/>
    <n v="0"/>
    <n v="0"/>
    <n v="1330.3150812798904"/>
    <n v="1647.7323271086607"/>
    <n v="9.0237095863492572E-2"/>
    <n v="69"/>
    <n v="88"/>
    <n v="0"/>
    <n v="-19"/>
    <n v="0"/>
    <n v="0.44363083991447033"/>
    <n v="1"/>
    <n v="73.900000000000006"/>
    <n v="73.900000000000006"/>
    <n v="-2.9583617427099842"/>
    <n v="1327.3567195371804"/>
    <n v="0"/>
    <n v="1"/>
    <n v="0"/>
    <n v="0"/>
    <n v="0"/>
    <n v="0"/>
    <n v="0"/>
    <n v="0"/>
    <n v="0"/>
    <n v="0"/>
  </r>
  <r>
    <d v="2022-06-08T00:00:00"/>
    <n v="2022"/>
    <x v="12"/>
    <s v="R"/>
    <s v="RS"/>
    <x v="10"/>
    <s v="IND"/>
    <s v="H"/>
    <n v="2"/>
    <n v="2"/>
    <n v="0"/>
    <n v="0"/>
    <n v="0"/>
    <n v="0"/>
    <n v="1647.7323271086607"/>
    <n v="1330.3150812798904"/>
    <n v="0.9097629041365074"/>
    <n v="88"/>
    <n v="69"/>
    <n v="0"/>
    <n v="19"/>
    <n v="1"/>
    <n v="0.44363083991447033"/>
    <n v="1"/>
    <n v="74.05"/>
    <n v="74.05"/>
    <n v="2.964366536504389"/>
    <n v="1650.6966936451652"/>
    <n v="1"/>
    <n v="0"/>
    <n v="0"/>
    <n v="0"/>
    <n v="0"/>
    <n v="0"/>
    <n v="0"/>
    <n v="0"/>
    <n v="0"/>
    <n v="0"/>
  </r>
  <r>
    <d v="2022-06-08T00:00:00"/>
    <n v="2022"/>
    <x v="10"/>
    <s v="R"/>
    <s v="RS"/>
    <x v="1"/>
    <s v="WAS"/>
    <s v="A"/>
    <n v="2"/>
    <n v="2"/>
    <n v="0"/>
    <n v="0"/>
    <n v="0"/>
    <n v="0"/>
    <n v="1594.0538413656614"/>
    <n v="1506.3485118912038"/>
    <n v="0.50533219560184461"/>
    <n v="82"/>
    <n v="84"/>
    <n v="0"/>
    <n v="-2"/>
    <n v="0"/>
    <n v="0.24959870679635887"/>
    <n v="1"/>
    <n v="74.349999999999994"/>
    <n v="74.349999999999994"/>
    <n v="-9.3777850187177716"/>
    <n v="1584.6760563469436"/>
    <n v="0"/>
    <n v="1"/>
    <n v="0"/>
    <n v="0"/>
    <n v="0"/>
    <n v="0"/>
    <n v="0"/>
    <n v="0"/>
    <n v="0"/>
    <n v="0"/>
  </r>
  <r>
    <d v="2022-06-08T00:00:00"/>
    <n v="2022"/>
    <x v="12"/>
    <s v="R"/>
    <s v="RS"/>
    <x v="7"/>
    <s v="CHI"/>
    <s v="H"/>
    <n v="2"/>
    <n v="2"/>
    <n v="0"/>
    <n v="0"/>
    <n v="0"/>
    <n v="0"/>
    <n v="1506.3485118912038"/>
    <n v="1594.0538413656614"/>
    <n v="0.49466780439815544"/>
    <n v="84"/>
    <n v="82"/>
    <n v="0"/>
    <n v="2"/>
    <n v="1"/>
    <n v="0.24959870679635887"/>
    <n v="1"/>
    <n v="74.05"/>
    <n v="74.05"/>
    <n v="9.3399459399603355"/>
    <n v="1515.6884578311642"/>
    <n v="1"/>
    <n v="0"/>
    <n v="0"/>
    <n v="0"/>
    <n v="0"/>
    <n v="0"/>
    <n v="0"/>
    <n v="0"/>
    <n v="0"/>
    <n v="0"/>
  </r>
  <r>
    <d v="2022-06-10T00:00:00"/>
    <n v="2022"/>
    <x v="11"/>
    <s v="R"/>
    <s v="RS"/>
    <x v="1"/>
    <s v="CON"/>
    <s v="A"/>
    <n v="1"/>
    <n v="1"/>
    <n v="0"/>
    <n v="0"/>
    <n v="0"/>
    <n v="0"/>
    <n v="1584.6760563469436"/>
    <n v="1650.6966936451652"/>
    <n v="0.29659021179469119"/>
    <n v="83"/>
    <n v="79"/>
    <n v="0"/>
    <n v="4"/>
    <n v="1"/>
    <n v="0.2951920931417033"/>
    <n v="1"/>
    <n v="74.2"/>
    <n v="74.2"/>
    <n v="15.406962772578199"/>
    <n v="1600.0830191195219"/>
    <n v="1"/>
    <n v="0"/>
    <n v="0"/>
    <n v="0"/>
    <n v="0"/>
    <n v="0"/>
    <n v="0"/>
    <n v="0"/>
    <n v="0"/>
    <n v="0"/>
  </r>
  <r>
    <d v="2022-06-10T00:00:00"/>
    <n v="2022"/>
    <x v="13"/>
    <s v="R"/>
    <s v="RS"/>
    <x v="10"/>
    <s v="CHI"/>
    <s v="H"/>
    <n v="1"/>
    <n v="1"/>
    <n v="0"/>
    <n v="0"/>
    <n v="0"/>
    <n v="0"/>
    <n v="1650.6966936451652"/>
    <n v="1584.6760563469436"/>
    <n v="0.70340978820530886"/>
    <n v="79"/>
    <n v="83"/>
    <n v="0"/>
    <n v="-4"/>
    <n v="0"/>
    <n v="0.2951920931417033"/>
    <n v="1"/>
    <n v="73.900000000000006"/>
    <n v="73.900000000000006"/>
    <n v="-15.344670470263196"/>
    <n v="1635.3520231749019"/>
    <n v="0"/>
    <n v="1"/>
    <n v="0"/>
    <n v="0"/>
    <n v="0"/>
    <n v="0"/>
    <n v="0"/>
    <n v="0"/>
    <n v="0"/>
    <n v="0"/>
  </r>
  <r>
    <d v="2022-06-10T00:00:00"/>
    <n v="2022"/>
    <x v="11"/>
    <s v="R"/>
    <s v="RS"/>
    <x v="5"/>
    <s v="DAL"/>
    <s v="A"/>
    <n v="2"/>
    <n v="4"/>
    <n v="-2"/>
    <n v="2"/>
    <n v="-16"/>
    <n v="16"/>
    <n v="1517.6898368939044"/>
    <n v="1520.2441796701764"/>
    <n v="0.33571389220783709"/>
    <n v="89"/>
    <n v="88"/>
    <n v="0"/>
    <n v="1"/>
    <n v="1"/>
    <n v="0.24366100951569714"/>
    <n v="1"/>
    <n v="74.2"/>
    <n v="74.2"/>
    <n v="12.010058273486358"/>
    <n v="1529.6998951673907"/>
    <n v="1"/>
    <n v="0"/>
    <n v="0"/>
    <n v="0"/>
    <n v="0"/>
    <n v="0"/>
    <n v="0"/>
    <n v="0"/>
    <n v="0"/>
    <n v="0"/>
  </r>
  <r>
    <d v="2022-06-10T00:00:00"/>
    <n v="2022"/>
    <x v="11"/>
    <s v="R"/>
    <s v="RS"/>
    <x v="9"/>
    <s v="SEA"/>
    <s v="H"/>
    <n v="4"/>
    <n v="2"/>
    <n v="2"/>
    <n v="-2"/>
    <n v="16"/>
    <n v="-16"/>
    <n v="1520.2441796701764"/>
    <n v="1517.6898368939044"/>
    <n v="0.66428610779216291"/>
    <n v="88"/>
    <n v="89"/>
    <n v="0"/>
    <n v="-1"/>
    <n v="0"/>
    <n v="0.24366100951569714"/>
    <n v="1"/>
    <n v="74.2"/>
    <n v="74.2"/>
    <n v="-12.010058273486358"/>
    <n v="1508.2341213966902"/>
    <n v="0"/>
    <n v="1"/>
    <n v="0"/>
    <n v="0"/>
    <n v="0"/>
    <n v="0"/>
    <n v="0"/>
    <n v="0"/>
    <n v="0"/>
    <n v="0"/>
  </r>
  <r>
    <d v="2022-06-10T00:00:00"/>
    <n v="2022"/>
    <x v="12"/>
    <s v="R"/>
    <s v="RS"/>
    <x v="11"/>
    <s v="IND"/>
    <s v="A"/>
    <n v="2"/>
    <n v="1"/>
    <n v="1"/>
    <n v="-1"/>
    <n v="8"/>
    <n v="-8"/>
    <n v="1398.1910242663294"/>
    <n v="1327.3567195371804"/>
    <n v="0.5040788019061867"/>
    <n v="97"/>
    <n v="83"/>
    <n v="0"/>
    <n v="14"/>
    <n v="1"/>
    <n v="0.4604295950018672"/>
    <n v="1"/>
    <n v="74.05"/>
    <n v="74.05"/>
    <n v="16.908339772766524"/>
    <n v="1415.0993640390959"/>
    <n v="1"/>
    <n v="0"/>
    <n v="0"/>
    <n v="0"/>
    <n v="0"/>
    <n v="0"/>
    <n v="0"/>
    <n v="0"/>
    <n v="0"/>
    <n v="0"/>
  </r>
  <r>
    <d v="2022-06-10T00:00:00"/>
    <n v="2022"/>
    <x v="14"/>
    <s v="R"/>
    <s v="RS"/>
    <x v="6"/>
    <s v="NYL"/>
    <s v="H"/>
    <n v="1"/>
    <n v="2"/>
    <n v="-1"/>
    <n v="1"/>
    <n v="-8"/>
    <n v="8"/>
    <n v="1327.3567195371804"/>
    <n v="1398.1910242663294"/>
    <n v="0.4959211980938133"/>
    <n v="83"/>
    <n v="97"/>
    <n v="0"/>
    <n v="-14"/>
    <n v="0"/>
    <n v="0.4604295950018672"/>
    <n v="1"/>
    <n v="73.75"/>
    <n v="73.75"/>
    <n v="-16.839838733849174"/>
    <n v="1310.5168808033313"/>
    <n v="0"/>
    <n v="1"/>
    <n v="0"/>
    <n v="0"/>
    <n v="0"/>
    <n v="0"/>
    <n v="0"/>
    <n v="0"/>
    <n v="0"/>
    <n v="0"/>
  </r>
  <r>
    <d v="2022-06-10T00:00:00"/>
    <n v="2022"/>
    <x v="13"/>
    <s v="R"/>
    <s v="RS"/>
    <x v="7"/>
    <s v="MIN"/>
    <s v="A"/>
    <n v="1"/>
    <n v="2"/>
    <n v="-1"/>
    <n v="1"/>
    <n v="-8"/>
    <n v="8"/>
    <n v="1515.6884578311642"/>
    <n v="1451.0914042120805"/>
    <n v="0.44922667257860099"/>
    <n v="76"/>
    <n v="59"/>
    <n v="0"/>
    <n v="17"/>
    <n v="1"/>
    <n v="0.50524432353363091"/>
    <n v="1"/>
    <n v="73.900000000000006"/>
    <n v="73.900000000000006"/>
    <n v="20.564529685547654"/>
    <n v="1536.252987516712"/>
    <n v="1"/>
    <n v="0"/>
    <n v="0"/>
    <n v="0"/>
    <n v="0"/>
    <n v="0"/>
    <n v="0"/>
    <n v="0"/>
    <n v="0"/>
    <n v="0"/>
  </r>
  <r>
    <d v="2022-06-10T00:00:00"/>
    <n v="2022"/>
    <x v="12"/>
    <s v="R"/>
    <s v="RS"/>
    <x v="4"/>
    <s v="WAS"/>
    <s v="H"/>
    <n v="2"/>
    <n v="1"/>
    <n v="1"/>
    <n v="-1"/>
    <n v="8"/>
    <n v="-8"/>
    <n v="1451.0914042120805"/>
    <n v="1515.6884578311642"/>
    <n v="0.55077332742139906"/>
    <n v="59"/>
    <n v="76"/>
    <n v="0"/>
    <n v="-17"/>
    <n v="0"/>
    <n v="0.50524432353363091"/>
    <n v="1"/>
    <n v="74.05"/>
    <n v="74.05"/>
    <n v="-20.606270950132661"/>
    <n v="1430.4851332619478"/>
    <n v="0"/>
    <n v="1"/>
    <n v="0"/>
    <n v="0"/>
    <n v="0"/>
    <n v="0"/>
    <n v="0"/>
    <n v="0"/>
    <n v="0"/>
    <n v="0"/>
  </r>
  <r>
    <d v="2022-06-10T00:00:00"/>
    <n v="2022"/>
    <x v="12"/>
    <s v="R"/>
    <s v="RS"/>
    <x v="8"/>
    <s v="PHX"/>
    <s v="A"/>
    <n v="2"/>
    <n v="4"/>
    <n v="-2"/>
    <n v="2"/>
    <n v="-16"/>
    <n v="16"/>
    <n v="1453.5984226861908"/>
    <n v="1470.5596785919522"/>
    <n v="0.31747793973807742"/>
    <n v="88"/>
    <n v="90"/>
    <n v="0"/>
    <n v="-2"/>
    <n v="0"/>
    <n v="0.2641083135653195"/>
    <n v="1"/>
    <n v="74.05"/>
    <n v="74.05"/>
    <n v="-6.2089861092856875"/>
    <n v="1447.3894365769052"/>
    <n v="0"/>
    <n v="1"/>
    <n v="0"/>
    <n v="0"/>
    <n v="0"/>
    <n v="0"/>
    <n v="0"/>
    <n v="0"/>
    <n v="0"/>
    <n v="0"/>
  </r>
  <r>
    <d v="2022-06-10T00:00:00"/>
    <n v="2022"/>
    <x v="11"/>
    <s v="R"/>
    <s v="RS"/>
    <x v="3"/>
    <s v="ATL"/>
    <s v="H"/>
    <n v="4"/>
    <n v="2"/>
    <n v="2"/>
    <n v="-2"/>
    <n v="16"/>
    <n v="-16"/>
    <n v="1470.5596785919522"/>
    <n v="1453.5984226861908"/>
    <n v="0.68252206026192264"/>
    <n v="90"/>
    <n v="88"/>
    <n v="0"/>
    <n v="2"/>
    <n v="1"/>
    <n v="0.2641083135653195"/>
    <n v="1"/>
    <n v="74.2"/>
    <n v="74.2"/>
    <n v="6.2215633937744483"/>
    <n v="1476.7812419857266"/>
    <n v="1"/>
    <n v="0"/>
    <n v="0"/>
    <n v="0"/>
    <n v="0"/>
    <n v="0"/>
    <n v="0"/>
    <n v="0"/>
    <n v="0"/>
    <n v="0"/>
  </r>
  <r>
    <d v="2022-06-11T00:00:00"/>
    <n v="2022"/>
    <x v="12"/>
    <s v="R"/>
    <s v="RS"/>
    <x v="2"/>
    <s v="LAS"/>
    <s v="A"/>
    <n v="5"/>
    <n v="5"/>
    <n v="0"/>
    <n v="0"/>
    <n v="0"/>
    <n v="0"/>
    <n v="1648.9845754963303"/>
    <n v="1461.6419463161262"/>
    <n v="0.64448589077577823"/>
    <n v="89"/>
    <n v="72"/>
    <n v="0"/>
    <n v="17"/>
    <n v="1"/>
    <n v="0.46054267306407776"/>
    <n v="1"/>
    <n v="74.05"/>
    <n v="74.05"/>
    <n v="12.124163415793406"/>
    <n v="1661.1087389121237"/>
    <n v="1"/>
    <n v="0"/>
    <n v="0"/>
    <n v="0"/>
    <n v="0"/>
    <n v="0"/>
    <n v="0"/>
    <n v="0"/>
    <n v="0"/>
    <n v="0"/>
  </r>
  <r>
    <d v="2022-06-11T00:00:00"/>
    <n v="2022"/>
    <x v="12"/>
    <s v="R"/>
    <s v="RS"/>
    <x v="0"/>
    <s v="LVA"/>
    <s v="H"/>
    <n v="5"/>
    <n v="5"/>
    <n v="0"/>
    <n v="0"/>
    <n v="0"/>
    <n v="0"/>
    <n v="1461.6419463161262"/>
    <n v="1648.9845754963303"/>
    <n v="0.35551410922422172"/>
    <n v="72"/>
    <n v="89"/>
    <n v="0"/>
    <n v="-17"/>
    <n v="0"/>
    <n v="0.46054267306407776"/>
    <n v="1"/>
    <n v="74.05"/>
    <n v="74.05"/>
    <n v="-12.124163415793404"/>
    <n v="1449.5177829003328"/>
    <n v="0"/>
    <n v="1"/>
    <n v="0"/>
    <n v="0"/>
    <n v="0"/>
    <n v="0"/>
    <n v="0"/>
    <n v="0"/>
    <n v="0"/>
    <n v="0"/>
  </r>
  <r>
    <d v="2022-06-12T00:00:00"/>
    <n v="2022"/>
    <x v="12"/>
    <s v="R"/>
    <s v="RS"/>
    <x v="5"/>
    <s v="DAL"/>
    <s v="A"/>
    <n v="1"/>
    <n v="1"/>
    <n v="0"/>
    <n v="0"/>
    <n v="0"/>
    <n v="0"/>
    <n v="1529.6998951673907"/>
    <n v="1508.2341213966902"/>
    <n v="0.41096538952505413"/>
    <n v="84"/>
    <n v="79"/>
    <n v="0"/>
    <n v="5"/>
    <n v="1"/>
    <n v="0.32592576812408652"/>
    <n v="1"/>
    <n v="74.05"/>
    <n v="74.05"/>
    <n v="14.216234360326728"/>
    <n v="1543.9161295277174"/>
    <n v="1"/>
    <n v="0"/>
    <n v="0"/>
    <n v="0"/>
    <n v="0"/>
    <n v="0"/>
    <n v="0"/>
    <n v="0"/>
    <n v="0"/>
    <n v="0"/>
  </r>
  <r>
    <d v="2022-06-12T00:00:00"/>
    <n v="2022"/>
    <x v="12"/>
    <s v="R"/>
    <s v="RS"/>
    <x v="9"/>
    <s v="SEA"/>
    <s v="H"/>
    <n v="1"/>
    <n v="1"/>
    <n v="0"/>
    <n v="0"/>
    <n v="0"/>
    <n v="0"/>
    <n v="1508.2341213966902"/>
    <n v="1529.6998951673907"/>
    <n v="0.58903461047494587"/>
    <n v="79"/>
    <n v="84"/>
    <n v="0"/>
    <n v="-5"/>
    <n v="0"/>
    <n v="0.32592576812408652"/>
    <n v="1"/>
    <n v="74.05"/>
    <n v="74.05"/>
    <n v="-14.216234360326728"/>
    <n v="1494.0178870363634"/>
    <n v="0"/>
    <n v="1"/>
    <n v="0"/>
    <n v="0"/>
    <n v="0"/>
    <n v="0"/>
    <n v="0"/>
    <n v="0"/>
    <n v="0"/>
    <n v="0"/>
  </r>
  <r>
    <d v="2022-06-12T00:00:00"/>
    <n v="2022"/>
    <x v="15"/>
    <s v="R"/>
    <s v="RS"/>
    <x v="6"/>
    <s v="MIN"/>
    <s v="A"/>
    <n v="1"/>
    <n v="1"/>
    <n v="0"/>
    <n v="0"/>
    <n v="0"/>
    <n v="0"/>
    <n v="1310.5168808033313"/>
    <n v="1430.4851332619478"/>
    <n v="0.23610826090393575"/>
    <n v="84"/>
    <n v="80"/>
    <n v="0"/>
    <n v="4"/>
    <n v="1"/>
    <n v="0.28312747764088519"/>
    <n v="1"/>
    <n v="73.599999999999994"/>
    <n v="73.599999999999994"/>
    <n v="15.918115358279968"/>
    <n v="1326.4349961616113"/>
    <n v="1"/>
    <n v="0"/>
    <n v="0"/>
    <n v="0"/>
    <n v="0"/>
    <n v="0"/>
    <n v="0"/>
    <n v="0"/>
    <n v="0"/>
    <n v="0"/>
  </r>
  <r>
    <d v="2022-06-12T00:00:00"/>
    <n v="2022"/>
    <x v="13"/>
    <s v="R"/>
    <s v="RS"/>
    <x v="4"/>
    <s v="IND"/>
    <s v="H"/>
    <n v="1"/>
    <n v="1"/>
    <n v="0"/>
    <n v="0"/>
    <n v="0"/>
    <n v="0"/>
    <n v="1430.4851332619478"/>
    <n v="1310.5168808033313"/>
    <n v="0.76389173909606423"/>
    <n v="80"/>
    <n v="84"/>
    <n v="0"/>
    <n v="-4"/>
    <n v="0"/>
    <n v="0.28312747764088519"/>
    <n v="1"/>
    <n v="73.900000000000006"/>
    <n v="73.900000000000006"/>
    <n v="-15.982998980664261"/>
    <n v="1414.5021342812836"/>
    <n v="0"/>
    <n v="1"/>
    <n v="0"/>
    <n v="0"/>
    <n v="0"/>
    <n v="0"/>
    <n v="0"/>
    <n v="0"/>
    <n v="0"/>
    <n v="0"/>
  </r>
  <r>
    <d v="2022-06-12T00:00:00"/>
    <n v="2022"/>
    <x v="12"/>
    <s v="R"/>
    <s v="RS"/>
    <x v="1"/>
    <s v="NYL"/>
    <s v="A"/>
    <n v="1"/>
    <n v="1"/>
    <n v="0"/>
    <n v="0"/>
    <n v="0"/>
    <n v="0"/>
    <n v="1600.0830191195219"/>
    <n v="1415.0993640390959"/>
    <n v="0.64136847038464795"/>
    <n v="88"/>
    <n v="86"/>
    <n v="0"/>
    <n v="2"/>
    <n v="1"/>
    <n v="0.23206742100717398"/>
    <n v="1"/>
    <n v="74.05"/>
    <n v="74.05"/>
    <n v="6.1629367032657436"/>
    <n v="1606.2459558227877"/>
    <n v="1"/>
    <n v="0"/>
    <n v="0"/>
    <n v="0"/>
    <n v="0"/>
    <n v="0"/>
    <n v="0"/>
    <n v="0"/>
    <n v="0"/>
    <n v="0"/>
  </r>
  <r>
    <d v="2022-06-12T00:00:00"/>
    <n v="2022"/>
    <x v="13"/>
    <s v="R"/>
    <s v="RS"/>
    <x v="11"/>
    <s v="CHI"/>
    <s v="H"/>
    <n v="1"/>
    <n v="1"/>
    <n v="0"/>
    <n v="0"/>
    <n v="0"/>
    <n v="0"/>
    <n v="1415.0993640390959"/>
    <n v="1600.0830191195219"/>
    <n v="0.35863152961535205"/>
    <n v="86"/>
    <n v="88"/>
    <n v="0"/>
    <n v="-2"/>
    <n v="0"/>
    <n v="0.23206742100717398"/>
    <n v="1"/>
    <n v="73.900000000000006"/>
    <n v="73.900000000000006"/>
    <n v="-6.1504526991402901"/>
    <n v="1408.9489113399557"/>
    <n v="0"/>
    <n v="1"/>
    <n v="0"/>
    <n v="0"/>
    <n v="0"/>
    <n v="0"/>
    <n v="0"/>
    <n v="0"/>
    <n v="0"/>
    <n v="0"/>
  </r>
  <r>
    <d v="2022-06-12T00:00:00"/>
    <n v="2022"/>
    <x v="12"/>
    <s v="R"/>
    <s v="RS"/>
    <x v="3"/>
    <s v="WAS"/>
    <s v="A"/>
    <n v="1"/>
    <n v="1"/>
    <n v="0"/>
    <n v="0"/>
    <n v="0"/>
    <n v="0"/>
    <n v="1476.7812419857266"/>
    <n v="1536.252987516712"/>
    <n v="0.30451486034413183"/>
    <n v="99"/>
    <n v="90"/>
    <n v="1"/>
    <n v="9"/>
    <n v="1"/>
    <n v="0.34812154450846761"/>
    <n v="1"/>
    <n v="74.05"/>
    <n v="74.05"/>
    <n v="17.928494382026905"/>
    <n v="1494.7097363677535"/>
    <n v="1"/>
    <n v="0"/>
    <n v="0"/>
    <n v="0"/>
    <n v="0"/>
    <n v="0"/>
    <n v="0"/>
    <n v="0"/>
    <n v="0"/>
    <n v="0"/>
  </r>
  <r>
    <d v="2022-06-12T00:00:00"/>
    <n v="2022"/>
    <x v="14"/>
    <s v="R"/>
    <s v="RS"/>
    <x v="7"/>
    <s v="PHX"/>
    <s v="H"/>
    <n v="1"/>
    <n v="1"/>
    <n v="0"/>
    <n v="0"/>
    <n v="0"/>
    <n v="0"/>
    <n v="1536.252987516712"/>
    <n v="1476.7812419857266"/>
    <n v="0.69548513965586811"/>
    <n v="90"/>
    <n v="99"/>
    <n v="1"/>
    <n v="-9"/>
    <n v="0"/>
    <n v="0.34812154450846761"/>
    <n v="1"/>
    <n v="73.75"/>
    <n v="73.75"/>
    <n v="-17.855860373726998"/>
    <n v="1518.397127142985"/>
    <n v="0"/>
    <n v="1"/>
    <n v="0"/>
    <n v="0"/>
    <n v="0"/>
    <n v="0"/>
    <n v="0"/>
    <n v="0"/>
    <n v="0"/>
    <n v="0"/>
  </r>
  <r>
    <d v="2022-06-14T00:00:00"/>
    <n v="2022"/>
    <x v="13"/>
    <s v="R"/>
    <s v="RS"/>
    <x v="5"/>
    <s v="MIN"/>
    <s v="A"/>
    <n v="1"/>
    <n v="1"/>
    <n v="0"/>
    <n v="0"/>
    <n v="0"/>
    <n v="0"/>
    <n v="1543.9161295277174"/>
    <n v="1414.5021342812836"/>
    <n v="0.56498630318284093"/>
    <n v="81"/>
    <n v="79"/>
    <n v="0"/>
    <n v="2"/>
    <n v="1"/>
    <n v="0.24176786623344074"/>
    <n v="1"/>
    <n v="73.900000000000006"/>
    <n v="73.900000000000006"/>
    <n v="7.7722354280474244"/>
    <n v="1551.6883649557649"/>
    <n v="1"/>
    <n v="0"/>
    <n v="0"/>
    <n v="0"/>
    <n v="0"/>
    <n v="0"/>
    <n v="0"/>
    <n v="0"/>
    <n v="0"/>
    <n v="0"/>
  </r>
  <r>
    <d v="2022-06-14T00:00:00"/>
    <n v="2022"/>
    <x v="14"/>
    <s v="R"/>
    <s v="RS"/>
    <x v="4"/>
    <s v="SEA"/>
    <s v="H"/>
    <n v="1"/>
    <n v="1"/>
    <n v="0"/>
    <n v="0"/>
    <n v="0"/>
    <n v="0"/>
    <n v="1414.5021342812836"/>
    <n v="1543.9161295277174"/>
    <n v="0.43501369681715907"/>
    <n v="79"/>
    <n v="81"/>
    <n v="0"/>
    <n v="-2"/>
    <n v="0"/>
    <n v="0.24176786623344074"/>
    <n v="1"/>
    <n v="73.75"/>
    <n v="73.75"/>
    <n v="-7.756459578058152"/>
    <n v="1406.7456747032254"/>
    <n v="0"/>
    <n v="1"/>
    <n v="0"/>
    <n v="0"/>
    <n v="0"/>
    <n v="0"/>
    <n v="0"/>
    <n v="0"/>
    <n v="0"/>
    <n v="0"/>
  </r>
  <r>
    <d v="2022-06-14T00:00:00"/>
    <n v="2022"/>
    <x v="13"/>
    <s v="R"/>
    <s v="RS"/>
    <x v="3"/>
    <s v="WAS"/>
    <s v="A"/>
    <n v="1"/>
    <n v="1"/>
    <n v="0"/>
    <n v="0"/>
    <n v="0"/>
    <n v="0"/>
    <n v="1494.7097363677535"/>
    <n v="1518.397127142985"/>
    <n v="0.34980454734111932"/>
    <n v="65"/>
    <n v="83"/>
    <n v="0"/>
    <n v="-18"/>
    <n v="0"/>
    <n v="0.53624865590538495"/>
    <n v="1"/>
    <n v="73.900000000000006"/>
    <n v="73.900000000000006"/>
    <n v="-13.862325935419619"/>
    <n v="1480.8474104323338"/>
    <n v="0"/>
    <n v="1"/>
    <n v="0"/>
    <n v="0"/>
    <n v="0"/>
    <n v="0"/>
    <n v="0"/>
    <n v="0"/>
    <n v="0"/>
    <n v="0"/>
  </r>
  <r>
    <d v="2022-06-14T00:00:00"/>
    <n v="2022"/>
    <x v="15"/>
    <s v="R"/>
    <s v="RS"/>
    <x v="7"/>
    <s v="PHX"/>
    <s v="H"/>
    <n v="1"/>
    <n v="1"/>
    <n v="0"/>
    <n v="0"/>
    <n v="0"/>
    <n v="0"/>
    <n v="1518.397127142985"/>
    <n v="1494.7097363677535"/>
    <n v="0.65019545265888068"/>
    <n v="83"/>
    <n v="65"/>
    <n v="0"/>
    <n v="18"/>
    <n v="1"/>
    <n v="0.53624865590538495"/>
    <n v="1"/>
    <n v="73.599999999999994"/>
    <n v="73.599999999999994"/>
    <n v="13.806051269917239"/>
    <n v="1532.2031784129022"/>
    <n v="1"/>
    <n v="0"/>
    <n v="0"/>
    <n v="0"/>
    <n v="0"/>
    <n v="0"/>
    <n v="0"/>
    <n v="0"/>
    <n v="0"/>
    <n v="0"/>
  </r>
  <r>
    <d v="2022-06-15T00:00:00"/>
    <n v="2022"/>
    <x v="13"/>
    <s v="R"/>
    <s v="RS"/>
    <x v="8"/>
    <s v="CON"/>
    <s v="A"/>
    <n v="4"/>
    <n v="4"/>
    <n v="0"/>
    <n v="0"/>
    <n v="0"/>
    <n v="0"/>
    <n v="1447.3894365769052"/>
    <n v="1635.3520231749019"/>
    <n v="0.17285277316295949"/>
    <n v="92"/>
    <n v="105"/>
    <n v="0"/>
    <n v="-13"/>
    <n v="0"/>
    <n v="0.40811799413510114"/>
    <n v="1"/>
    <n v="73.900000000000006"/>
    <n v="73.900000000000006"/>
    <n v="-5.2132257700263978"/>
    <n v="1442.1762108068788"/>
    <n v="0"/>
    <n v="1"/>
    <n v="0"/>
    <n v="0"/>
    <n v="0"/>
    <n v="0"/>
    <n v="0"/>
    <n v="0"/>
    <n v="0"/>
    <n v="0"/>
  </r>
  <r>
    <d v="2022-06-15T00:00:00"/>
    <n v="2022"/>
    <x v="14"/>
    <s v="R"/>
    <s v="RS"/>
    <x v="10"/>
    <s v="ATL"/>
    <s v="H"/>
    <n v="4"/>
    <n v="4"/>
    <n v="0"/>
    <n v="0"/>
    <n v="0"/>
    <n v="0"/>
    <n v="1635.3520231749019"/>
    <n v="1447.3894365769052"/>
    <n v="0.82714722683704056"/>
    <n v="105"/>
    <n v="92"/>
    <n v="0"/>
    <n v="13"/>
    <n v="1"/>
    <n v="0.40811799413510114"/>
    <n v="1"/>
    <n v="73.75"/>
    <n v="73.75"/>
    <n v="5.2026441209668031"/>
    <n v="1640.5546672958687"/>
    <n v="1"/>
    <n v="0"/>
    <n v="0"/>
    <n v="0"/>
    <n v="0"/>
    <n v="0"/>
    <n v="0"/>
    <n v="0"/>
    <n v="0"/>
    <n v="0"/>
  </r>
  <r>
    <d v="2022-06-15T00:00:00"/>
    <n v="2022"/>
    <x v="13"/>
    <s v="R"/>
    <s v="RS"/>
    <x v="2"/>
    <s v="DAL"/>
    <s v="A"/>
    <n v="3"/>
    <n v="2"/>
    <n v="1"/>
    <n v="-1"/>
    <n v="8"/>
    <n v="-8"/>
    <n v="1661.1087389121237"/>
    <n v="1494.0178870363634"/>
    <n v="0.63885842020363759"/>
    <n v="92"/>
    <n v="84"/>
    <n v="0"/>
    <n v="8"/>
    <n v="1"/>
    <n v="0.34085418782829674"/>
    <n v="1"/>
    <n v="73.900000000000006"/>
    <n v="73.900000000000006"/>
    <n v="9.0968402085790174"/>
    <n v="1670.2055791207029"/>
    <n v="1"/>
    <n v="0"/>
    <n v="0"/>
    <n v="0"/>
    <n v="0"/>
    <n v="0"/>
    <n v="0"/>
    <n v="0"/>
    <n v="0"/>
    <n v="0"/>
  </r>
  <r>
    <d v="2022-06-15T00:00:00"/>
    <n v="2022"/>
    <x v="13"/>
    <s v="R"/>
    <s v="RS"/>
    <x v="9"/>
    <s v="LVA"/>
    <s v="H"/>
    <n v="2"/>
    <n v="3"/>
    <n v="-1"/>
    <n v="1"/>
    <n v="-8"/>
    <n v="8"/>
    <n v="1494.0178870363634"/>
    <n v="1661.1087389121237"/>
    <n v="0.36114157979636236"/>
    <n v="84"/>
    <n v="92"/>
    <n v="0"/>
    <n v="-8"/>
    <n v="0"/>
    <n v="0.34085418782829674"/>
    <n v="1"/>
    <n v="73.900000000000006"/>
    <n v="73.900000000000006"/>
    <n v="-9.0968402085790157"/>
    <n v="1484.9210468277843"/>
    <n v="0"/>
    <n v="1"/>
    <n v="0"/>
    <n v="0"/>
    <n v="0"/>
    <n v="0"/>
    <n v="0"/>
    <n v="0"/>
    <n v="0"/>
    <n v="0"/>
  </r>
  <r>
    <d v="2022-06-15T00:00:00"/>
    <n v="2022"/>
    <x v="14"/>
    <s v="R"/>
    <s v="RS"/>
    <x v="3"/>
    <s v="IND"/>
    <s v="A"/>
    <n v="0"/>
    <n v="2"/>
    <n v="-2"/>
    <n v="2"/>
    <n v="-16"/>
    <n v="16"/>
    <n v="1480.8474104323338"/>
    <n v="1326.4349961616113"/>
    <n v="0.55505576617181118"/>
    <n v="93"/>
    <n v="80"/>
    <n v="0"/>
    <n v="13"/>
    <n v="1"/>
    <n v="0.41822749172152629"/>
    <n v="1"/>
    <n v="73.75"/>
    <n v="73.75"/>
    <n v="13.723983426656577"/>
    <n v="1494.5713938589904"/>
    <n v="1"/>
    <n v="0"/>
    <n v="0"/>
    <n v="0"/>
    <n v="0"/>
    <n v="0"/>
    <n v="0"/>
    <n v="0"/>
    <n v="0"/>
    <n v="0"/>
  </r>
  <r>
    <d v="2022-06-15T00:00:00"/>
    <n v="2022"/>
    <x v="16"/>
    <s v="R"/>
    <s v="RS"/>
    <x v="6"/>
    <s v="PHX"/>
    <s v="H"/>
    <n v="2"/>
    <n v="0"/>
    <n v="2"/>
    <n v="-2"/>
    <n v="16"/>
    <n v="-16"/>
    <n v="1326.4349961616113"/>
    <n v="1480.8474104323338"/>
    <n v="0.44494423382818882"/>
    <n v="80"/>
    <n v="93"/>
    <n v="0"/>
    <n v="-13"/>
    <n v="0"/>
    <n v="0.41822749172152629"/>
    <n v="1"/>
    <n v="73.45"/>
    <n v="73.45"/>
    <n v="-13.668157053395602"/>
    <n v="1312.7668391082157"/>
    <n v="0"/>
    <n v="1"/>
    <n v="0"/>
    <n v="0"/>
    <n v="0"/>
    <n v="0"/>
    <n v="0"/>
    <n v="0"/>
    <n v="0"/>
    <n v="0"/>
  </r>
  <r>
    <d v="2022-06-16T00:00:00"/>
    <n v="2022"/>
    <x v="16"/>
    <s v="R"/>
    <s v="RS"/>
    <x v="7"/>
    <s v="NYL"/>
    <s v="A"/>
    <n v="1"/>
    <n v="3"/>
    <n v="-2"/>
    <n v="2"/>
    <n v="-16"/>
    <n v="16"/>
    <n v="1532.2031784129022"/>
    <n v="1408.9489113399557"/>
    <n v="0.51043821270573908"/>
    <n v="65"/>
    <n v="77"/>
    <n v="0"/>
    <n v="-12"/>
    <n v="0"/>
    <n v="0.41364335283996861"/>
    <n v="1"/>
    <n v="73.45"/>
    <n v="73.45"/>
    <n v="-15.508186999825297"/>
    <n v="1516.6949914130769"/>
    <n v="0"/>
    <n v="1"/>
    <n v="0"/>
    <n v="0"/>
    <n v="0"/>
    <n v="0"/>
    <n v="0"/>
    <n v="0"/>
    <n v="0"/>
    <n v="0"/>
  </r>
  <r>
    <d v="2022-06-16T00:00:00"/>
    <n v="2022"/>
    <x v="14"/>
    <s v="R"/>
    <s v="RS"/>
    <x v="11"/>
    <s v="WAS"/>
    <s v="H"/>
    <n v="3"/>
    <n v="1"/>
    <n v="2"/>
    <n v="-2"/>
    <n v="16"/>
    <n v="-16"/>
    <n v="1408.9489113399557"/>
    <n v="1532.2031784129022"/>
    <n v="0.48956178729426092"/>
    <n v="77"/>
    <n v="65"/>
    <n v="0"/>
    <n v="12"/>
    <n v="1"/>
    <n v="0.41364335283996861"/>
    <n v="1"/>
    <n v="73.75"/>
    <n v="73.75"/>
    <n v="15.57152881194167"/>
    <n v="1424.5204401518972"/>
    <n v="1"/>
    <n v="0"/>
    <n v="0"/>
    <n v="0"/>
    <n v="0"/>
    <n v="0"/>
    <n v="0"/>
    <n v="0"/>
    <n v="0"/>
    <n v="0"/>
  </r>
  <r>
    <d v="2022-06-17T00:00:00"/>
    <n v="2022"/>
    <x v="14"/>
    <s v="R"/>
    <s v="RS"/>
    <x v="8"/>
    <s v="CHI"/>
    <s v="A"/>
    <n v="1"/>
    <n v="4"/>
    <n v="-3"/>
    <n v="3"/>
    <n v="-16"/>
    <n v="16"/>
    <n v="1442.1762108068788"/>
    <n v="1606.2459558227877"/>
    <n v="0.16628186466527578"/>
    <n v="100"/>
    <n v="106"/>
    <n v="1"/>
    <n v="-6"/>
    <n v="0"/>
    <n v="0.27812597073168449"/>
    <n v="1"/>
    <n v="73.75"/>
    <n v="73.75"/>
    <n v="-3.4107387456014502"/>
    <n v="1438.7654720612773"/>
    <n v="0"/>
    <n v="1"/>
    <n v="0"/>
    <n v="0"/>
    <n v="0"/>
    <n v="0"/>
    <n v="0"/>
    <n v="0"/>
    <n v="0"/>
    <n v="0"/>
  </r>
  <r>
    <d v="2022-06-17T00:00:00"/>
    <n v="2022"/>
    <x v="13"/>
    <s v="R"/>
    <s v="RS"/>
    <x v="1"/>
    <s v="ATL"/>
    <s v="H"/>
    <n v="4"/>
    <n v="1"/>
    <n v="3"/>
    <n v="-3"/>
    <n v="16"/>
    <n v="-16"/>
    <n v="1606.2459558227877"/>
    <n v="1442.1762108068788"/>
    <n v="0.83371813533472416"/>
    <n v="106"/>
    <n v="100"/>
    <n v="1"/>
    <n v="6"/>
    <n v="1"/>
    <n v="0.27812597073168449"/>
    <n v="1"/>
    <n v="73.900000000000006"/>
    <n v="73.900000000000006"/>
    <n v="3.4176758413552175"/>
    <n v="1609.6636316641429"/>
    <n v="1"/>
    <n v="0"/>
    <n v="0"/>
    <n v="0"/>
    <n v="0"/>
    <n v="0"/>
    <n v="0"/>
    <n v="0"/>
    <n v="0"/>
    <n v="0"/>
  </r>
  <r>
    <d v="2022-06-17T00:00:00"/>
    <n v="2022"/>
    <x v="14"/>
    <s v="R"/>
    <s v="RS"/>
    <x v="5"/>
    <s v="CON"/>
    <s v="A"/>
    <n v="2"/>
    <n v="1"/>
    <n v="1"/>
    <n v="-1"/>
    <n v="8"/>
    <n v="-8"/>
    <n v="1551.6883649557649"/>
    <n v="1640.5546672958687"/>
    <n v="0.28843540821738523"/>
    <n v="71"/>
    <n v="82"/>
    <n v="0"/>
    <n v="-11"/>
    <n v="0"/>
    <n v="0.40950963133325979"/>
    <n v="1"/>
    <n v="73.75"/>
    <n v="73.75"/>
    <n v="-8.7111344790887788"/>
    <n v="1542.9772304766761"/>
    <n v="0"/>
    <n v="1"/>
    <n v="0"/>
    <n v="0"/>
    <n v="0"/>
    <n v="0"/>
    <n v="0"/>
    <n v="0"/>
    <n v="0"/>
    <n v="0"/>
  </r>
  <r>
    <d v="2022-06-17T00:00:00"/>
    <n v="2022"/>
    <x v="15"/>
    <s v="R"/>
    <s v="RS"/>
    <x v="10"/>
    <s v="SEA"/>
    <s v="H"/>
    <n v="1"/>
    <n v="2"/>
    <n v="-1"/>
    <n v="1"/>
    <n v="-8"/>
    <n v="8"/>
    <n v="1640.5546672958687"/>
    <n v="1551.6883649557649"/>
    <n v="0.71156459178261477"/>
    <n v="82"/>
    <n v="71"/>
    <n v="0"/>
    <n v="11"/>
    <n v="1"/>
    <n v="0.40950963133325979"/>
    <n v="1"/>
    <n v="73.599999999999994"/>
    <n v="73.599999999999994"/>
    <n v="8.6934169174363944"/>
    <n v="1649.2480842133052"/>
    <n v="1"/>
    <n v="0"/>
    <n v="0"/>
    <n v="0"/>
    <n v="0"/>
    <n v="0"/>
    <n v="0"/>
    <n v="0"/>
    <n v="0"/>
    <n v="0"/>
  </r>
  <r>
    <d v="2022-06-17T00:00:00"/>
    <n v="2022"/>
    <x v="15"/>
    <s v="R"/>
    <s v="RS"/>
    <x v="3"/>
    <s v="DAL"/>
    <s v="A"/>
    <n v="1"/>
    <n v="1"/>
    <n v="0"/>
    <n v="0"/>
    <n v="0"/>
    <n v="0"/>
    <n v="1494.5713938589904"/>
    <n v="1484.9210468277843"/>
    <n v="0.39460616256694686"/>
    <n v="88"/>
    <n v="93"/>
    <n v="0"/>
    <n v="-5"/>
    <n v="0"/>
    <n v="0.32910929305361247"/>
    <n v="1"/>
    <n v="73.599999999999994"/>
    <n v="73.599999999999994"/>
    <n v="-9.558325662499696"/>
    <n v="1485.0130681964906"/>
    <n v="0"/>
    <n v="1"/>
    <n v="0"/>
    <n v="0"/>
    <n v="0"/>
    <n v="0"/>
    <n v="0"/>
    <n v="0"/>
    <n v="0"/>
    <n v="0"/>
  </r>
  <r>
    <d v="2022-06-17T00:00:00"/>
    <n v="2022"/>
    <x v="14"/>
    <s v="R"/>
    <s v="RS"/>
    <x v="9"/>
    <s v="PHX"/>
    <s v="H"/>
    <n v="1"/>
    <n v="1"/>
    <n v="0"/>
    <n v="0"/>
    <n v="0"/>
    <n v="0"/>
    <n v="1484.9210468277843"/>
    <n v="1494.5713938589904"/>
    <n v="0.60539383743305319"/>
    <n v="93"/>
    <n v="88"/>
    <n v="0"/>
    <n v="5"/>
    <n v="1"/>
    <n v="0.32910929305361247"/>
    <n v="1"/>
    <n v="73.75"/>
    <n v="73.75"/>
    <n v="9.5778059457792466"/>
    <n v="1494.4988527735636"/>
    <n v="1"/>
    <n v="0"/>
    <n v="0"/>
    <n v="0"/>
    <n v="0"/>
    <n v="0"/>
    <n v="0"/>
    <n v="0"/>
    <n v="0"/>
    <n v="0"/>
  </r>
  <r>
    <d v="2022-06-19T00:00:00"/>
    <n v="2022"/>
    <x v="13"/>
    <s v="R"/>
    <s v="RS"/>
    <x v="0"/>
    <s v="DAL"/>
    <s v="A"/>
    <n v="7"/>
    <n v="1"/>
    <n v="6"/>
    <n v="-6"/>
    <n v="16"/>
    <n v="-16"/>
    <n v="1449.5177829003328"/>
    <n v="1494.4988527735636"/>
    <n v="0.3639483255288592"/>
    <n v="82"/>
    <n v="92"/>
    <n v="0"/>
    <n v="-10"/>
    <n v="0"/>
    <n v="0.40784205598438739"/>
    <n v="1"/>
    <n v="73.900000000000006"/>
    <n v="73.900000000000006"/>
    <n v="-10.969230724991037"/>
    <n v="1438.5485521753417"/>
    <n v="0"/>
    <n v="1"/>
    <n v="0"/>
    <n v="0"/>
    <n v="0"/>
    <n v="0"/>
    <n v="0"/>
    <n v="0"/>
    <n v="0"/>
    <n v="0"/>
  </r>
  <r>
    <d v="2022-06-19T00:00:00"/>
    <n v="2022"/>
    <x v="15"/>
    <s v="R"/>
    <s v="RS"/>
    <x v="9"/>
    <s v="LAS"/>
    <s v="H"/>
    <n v="1"/>
    <n v="7"/>
    <n v="-6"/>
    <n v="6"/>
    <n v="-16"/>
    <n v="16"/>
    <n v="1494.4988527735636"/>
    <n v="1449.5177829003328"/>
    <n v="0.63605167447114086"/>
    <n v="92"/>
    <n v="82"/>
    <n v="0"/>
    <n v="10"/>
    <n v="1"/>
    <n v="0.40784205598438739"/>
    <n v="1"/>
    <n v="73.599999999999994"/>
    <n v="73.599999999999994"/>
    <n v="10.924700694984304"/>
    <n v="1505.4235534685479"/>
    <n v="1"/>
    <n v="0"/>
    <n v="0"/>
    <n v="0"/>
    <n v="0"/>
    <n v="0"/>
    <n v="0"/>
    <n v="0"/>
    <n v="0"/>
    <n v="0"/>
  </r>
  <r>
    <d v="2022-06-19T00:00:00"/>
    <n v="2022"/>
    <x v="14"/>
    <s v="R"/>
    <s v="RS"/>
    <x v="1"/>
    <s v="IND"/>
    <s v="A"/>
    <n v="1"/>
    <n v="3"/>
    <n v="-2"/>
    <n v="2"/>
    <n v="-16"/>
    <n v="16"/>
    <n v="1609.6636316641429"/>
    <n v="1312.7668391082157"/>
    <n v="0.73910570913694795"/>
    <n v="87"/>
    <n v="89"/>
    <n v="0"/>
    <n v="-2"/>
    <n v="0"/>
    <n v="0.21471726479071554"/>
    <n v="1"/>
    <n v="73.75"/>
    <n v="73.75"/>
    <n v="-11.704033273960214"/>
    <n v="1597.9595983901827"/>
    <n v="0"/>
    <n v="1"/>
    <n v="0"/>
    <n v="0"/>
    <n v="0"/>
    <n v="0"/>
    <n v="0"/>
    <n v="0"/>
    <n v="0"/>
    <n v="0"/>
  </r>
  <r>
    <d v="2022-06-19T00:00:00"/>
    <n v="2022"/>
    <x v="17"/>
    <s v="R"/>
    <s v="RS"/>
    <x v="6"/>
    <s v="CHI"/>
    <s v="H"/>
    <n v="3"/>
    <n v="1"/>
    <n v="2"/>
    <n v="-2"/>
    <n v="16"/>
    <n v="-16"/>
    <n v="1312.7668391082157"/>
    <n v="1609.6636316641429"/>
    <n v="0.26089429086305205"/>
    <n v="89"/>
    <n v="87"/>
    <n v="0"/>
    <n v="2"/>
    <n v="1"/>
    <n v="0.21471726479071554"/>
    <n v="1"/>
    <n v="73.3"/>
    <n v="73.3"/>
    <n v="11.632618833644523"/>
    <n v="1324.3994579418602"/>
    <n v="1"/>
    <n v="0"/>
    <n v="0"/>
    <n v="0"/>
    <n v="0"/>
    <n v="0"/>
    <n v="0"/>
    <n v="0"/>
    <n v="0"/>
    <n v="0"/>
  </r>
  <r>
    <d v="2022-06-19T00:00:00"/>
    <n v="2022"/>
    <x v="15"/>
    <s v="R"/>
    <s v="RS"/>
    <x v="4"/>
    <s v="LVA"/>
    <s v="A"/>
    <n v="4"/>
    <n v="3"/>
    <n v="1"/>
    <n v="-1"/>
    <n v="8"/>
    <n v="-8"/>
    <n v="1406.7456747032254"/>
    <n v="1670.2055791207029"/>
    <n v="0.12920159209096013"/>
    <n v="95"/>
    <n v="96"/>
    <n v="0"/>
    <n v="-1"/>
    <n v="0"/>
    <n v="0.20022113641370001"/>
    <n v="1"/>
    <n v="73.599999999999994"/>
    <n v="73.599999999999994"/>
    <n v="-1.9039502741854755"/>
    <n v="1404.8417244290399"/>
    <n v="0"/>
    <n v="1"/>
    <n v="0"/>
    <n v="0"/>
    <n v="0"/>
    <n v="0"/>
    <n v="0"/>
    <n v="0"/>
    <n v="0"/>
    <n v="0"/>
  </r>
  <r>
    <d v="2022-06-19T00:00:00"/>
    <n v="2022"/>
    <x v="14"/>
    <s v="R"/>
    <s v="RS"/>
    <x v="2"/>
    <s v="MIN"/>
    <s v="H"/>
    <n v="3"/>
    <n v="4"/>
    <n v="-1"/>
    <n v="1"/>
    <n v="-8"/>
    <n v="8"/>
    <n v="1670.2055791207029"/>
    <n v="1406.7456747032254"/>
    <n v="0.87079840790903995"/>
    <n v="96"/>
    <n v="95"/>
    <n v="0"/>
    <n v="1"/>
    <n v="1"/>
    <n v="0.20022113641370001"/>
    <n v="1"/>
    <n v="73.75"/>
    <n v="73.75"/>
    <n v="1.9078306076247111"/>
    <n v="1672.1134097283275"/>
    <n v="1"/>
    <n v="0"/>
    <n v="0"/>
    <n v="0"/>
    <n v="0"/>
    <n v="0"/>
    <n v="0"/>
    <n v="0"/>
    <n v="0"/>
    <n v="0"/>
  </r>
  <r>
    <d v="2022-06-19T00:00:00"/>
    <n v="2022"/>
    <x v="15"/>
    <s v="R"/>
    <s v="RS"/>
    <x v="5"/>
    <s v="NYL"/>
    <s v="A"/>
    <n v="1"/>
    <n v="2"/>
    <n v="-1"/>
    <n v="1"/>
    <n v="-8"/>
    <n v="8"/>
    <n v="1542.9772304766761"/>
    <n v="1424.5204401518972"/>
    <n v="0.52653649872370623"/>
    <n v="81"/>
    <n v="72"/>
    <n v="0"/>
    <n v="9"/>
    <n v="1"/>
    <n v="0.3694970029747327"/>
    <n v="1"/>
    <n v="73.599999999999994"/>
    <n v="73.599999999999994"/>
    <n v="12.875830172828236"/>
    <n v="1555.8530606495044"/>
    <n v="1"/>
    <n v="0"/>
    <n v="0"/>
    <n v="0"/>
    <n v="0"/>
    <n v="0"/>
    <n v="0"/>
    <n v="0"/>
    <n v="0"/>
    <n v="0"/>
  </r>
  <r>
    <d v="2022-06-19T00:00:00"/>
    <n v="2022"/>
    <x v="15"/>
    <s v="R"/>
    <s v="RS"/>
    <x v="11"/>
    <s v="SEA"/>
    <s v="H"/>
    <n v="2"/>
    <n v="1"/>
    <n v="1"/>
    <n v="-1"/>
    <n v="8"/>
    <n v="-8"/>
    <n v="1424.5204401518972"/>
    <n v="1542.9772304766761"/>
    <n v="0.47346350127629377"/>
    <n v="72"/>
    <n v="81"/>
    <n v="0"/>
    <n v="-9"/>
    <n v="0"/>
    <n v="0.3694970029747327"/>
    <n v="1"/>
    <n v="73.599999999999994"/>
    <n v="73.599999999999994"/>
    <n v="-12.875830172828236"/>
    <n v="1411.6446099790689"/>
    <n v="0"/>
    <n v="1"/>
    <n v="0"/>
    <n v="0"/>
    <n v="0"/>
    <n v="0"/>
    <n v="0"/>
    <n v="0"/>
    <n v="0"/>
    <n v="0"/>
  </r>
  <r>
    <d v="2022-06-19T00:00:00"/>
    <n v="2022"/>
    <x v="16"/>
    <s v="R"/>
    <s v="RS"/>
    <x v="10"/>
    <s v="WAS"/>
    <s v="A"/>
    <n v="1"/>
    <n v="2"/>
    <n v="-1"/>
    <n v="1"/>
    <n v="-8"/>
    <n v="8"/>
    <n v="1649.2480842133052"/>
    <n v="1516.6949914130769"/>
    <n v="0.5467110570653041"/>
    <n v="63"/>
    <n v="71"/>
    <n v="0"/>
    <n v="-8"/>
    <n v="0"/>
    <n v="0.3496886124247392"/>
    <n v="1"/>
    <n v="73.45"/>
    <n v="73.45"/>
    <n v="-14.042070442721382"/>
    <n v="1635.2060137705839"/>
    <n v="0"/>
    <n v="1"/>
    <n v="0"/>
    <n v="0"/>
    <n v="0"/>
    <n v="0"/>
    <n v="0"/>
    <n v="0"/>
    <n v="0"/>
    <n v="0"/>
  </r>
  <r>
    <d v="2022-06-19T00:00:00"/>
    <n v="2022"/>
    <x v="17"/>
    <s v="R"/>
    <s v="RS"/>
    <x v="7"/>
    <s v="CON"/>
    <s v="H"/>
    <n v="2"/>
    <n v="1"/>
    <n v="1"/>
    <n v="-1"/>
    <n v="8"/>
    <n v="-8"/>
    <n v="1516.6949914130769"/>
    <n v="1649.2480842133052"/>
    <n v="0.45328894293469596"/>
    <n v="71"/>
    <n v="63"/>
    <n v="0"/>
    <n v="8"/>
    <n v="1"/>
    <n v="0.3496886124247392"/>
    <n v="1"/>
    <n v="73.3"/>
    <n v="73.3"/>
    <n v="14.013393648080013"/>
    <n v="1530.7083850611568"/>
    <n v="1"/>
    <n v="0"/>
    <n v="0"/>
    <n v="0"/>
    <n v="0"/>
    <n v="0"/>
    <n v="0"/>
    <n v="0"/>
    <n v="0"/>
    <n v="0"/>
  </r>
  <r>
    <d v="2022-06-21T00:00:00"/>
    <n v="2022"/>
    <x v="16"/>
    <s v="R"/>
    <s v="RS"/>
    <x v="9"/>
    <s v="ATL"/>
    <s v="A"/>
    <n v="1"/>
    <n v="3"/>
    <n v="-2"/>
    <n v="2"/>
    <n v="-16"/>
    <n v="16"/>
    <n v="1505.4235534685479"/>
    <n v="1438.7654720612773"/>
    <n v="0.42946484161257825"/>
    <n v="75"/>
    <n v="80"/>
    <n v="0"/>
    <n v="-5"/>
    <n v="0"/>
    <n v="0.31429726490292942"/>
    <n v="1"/>
    <n v="73.45"/>
    <n v="73.45"/>
    <n v="-9.9142534629194898"/>
    <n v="1495.5093000056283"/>
    <n v="0"/>
    <n v="1"/>
    <n v="0"/>
    <n v="0"/>
    <n v="0"/>
    <n v="0"/>
    <n v="0"/>
    <n v="0"/>
    <n v="0"/>
    <n v="0"/>
  </r>
  <r>
    <d v="2022-06-21T00:00:00"/>
    <n v="2022"/>
    <x v="15"/>
    <s v="R"/>
    <s v="RS"/>
    <x v="8"/>
    <s v="DAL"/>
    <s v="H"/>
    <n v="3"/>
    <n v="1"/>
    <n v="2"/>
    <n v="-2"/>
    <n v="16"/>
    <n v="-16"/>
    <n v="1438.7654720612773"/>
    <n v="1505.4235534685479"/>
    <n v="0.57053515838742186"/>
    <n v="80"/>
    <n v="75"/>
    <n v="0"/>
    <n v="5"/>
    <n v="1"/>
    <n v="0.31429726490292942"/>
    <n v="1"/>
    <n v="73.599999999999994"/>
    <n v="73.599999999999994"/>
    <n v="9.9345004066831066"/>
    <n v="1448.6999724679604"/>
    <n v="1"/>
    <n v="0"/>
    <n v="0"/>
    <n v="0"/>
    <n v="0"/>
    <n v="0"/>
    <n v="0"/>
    <n v="0"/>
    <n v="0"/>
    <n v="0"/>
  </r>
  <r>
    <d v="2022-06-21T00:00:00"/>
    <n v="2022"/>
    <x v="18"/>
    <s v="R"/>
    <s v="RS"/>
    <x v="7"/>
    <s v="LAS"/>
    <s v="A"/>
    <n v="1"/>
    <n v="1"/>
    <n v="0"/>
    <n v="0"/>
    <n v="0"/>
    <n v="0"/>
    <n v="1530.7083850611568"/>
    <n v="1438.5485521753417"/>
    <n v="0.51174078486934604"/>
    <n v="82"/>
    <n v="84"/>
    <n v="0"/>
    <n v="-2"/>
    <n v="0"/>
    <n v="0.24873825728957324"/>
    <n v="1"/>
    <n v="73.150000000000006"/>
    <n v="73.150000000000006"/>
    <n v="-9.3112277305570288"/>
    <n v="1521.3971573305998"/>
    <n v="0"/>
    <n v="1"/>
    <n v="0"/>
    <n v="0"/>
    <n v="0"/>
    <n v="0"/>
    <n v="0"/>
    <n v="0"/>
    <n v="0"/>
    <n v="0"/>
  </r>
  <r>
    <d v="2022-06-21T00:00:00"/>
    <n v="2022"/>
    <x v="14"/>
    <s v="R"/>
    <s v="RS"/>
    <x v="0"/>
    <s v="WAS"/>
    <s v="H"/>
    <n v="1"/>
    <n v="1"/>
    <n v="0"/>
    <n v="0"/>
    <n v="0"/>
    <n v="0"/>
    <n v="1438.5485521753417"/>
    <n v="1530.7083850611568"/>
    <n v="0.48825921513065396"/>
    <n v="84"/>
    <n v="82"/>
    <n v="0"/>
    <n v="2"/>
    <n v="1"/>
    <n v="0.24873825728957324"/>
    <n v="1"/>
    <n v="73.75"/>
    <n v="73.75"/>
    <n v="9.3876014371644665"/>
    <n v="1447.9361536125061"/>
    <n v="1"/>
    <n v="0"/>
    <n v="0"/>
    <n v="0"/>
    <n v="0"/>
    <n v="0"/>
    <n v="0"/>
    <n v="0"/>
    <n v="0"/>
    <n v="0"/>
  </r>
  <r>
    <d v="2022-06-21T00:00:00"/>
    <n v="2022"/>
    <x v="15"/>
    <s v="R"/>
    <s v="RS"/>
    <x v="1"/>
    <s v="LVA"/>
    <s v="A"/>
    <n v="1"/>
    <n v="1"/>
    <n v="0"/>
    <n v="0"/>
    <n v="0"/>
    <n v="0"/>
    <n v="1597.9595983901827"/>
    <n v="1672.1134097283275"/>
    <n v="0.286916657687179"/>
    <n v="104"/>
    <n v="95"/>
    <n v="0"/>
    <n v="9"/>
    <n v="1"/>
    <n v="0.38234460254453811"/>
    <n v="1"/>
    <n v="73.599999999999994"/>
    <n v="73.599999999999994"/>
    <n v="20.06656653839266"/>
    <n v="1618.0261649285753"/>
    <n v="1"/>
    <n v="0"/>
    <n v="0"/>
    <n v="0"/>
    <n v="0"/>
    <n v="0"/>
    <n v="0"/>
    <n v="0"/>
    <n v="0"/>
    <n v="0"/>
  </r>
  <r>
    <d v="2022-06-21T00:00:00"/>
    <n v="2022"/>
    <x v="15"/>
    <s v="R"/>
    <s v="RS"/>
    <x v="2"/>
    <s v="CHI"/>
    <s v="H"/>
    <n v="1"/>
    <n v="1"/>
    <n v="0"/>
    <n v="0"/>
    <n v="0"/>
    <n v="0"/>
    <n v="1672.1134097283275"/>
    <n v="1597.9595983901827"/>
    <n v="0.71308334231282111"/>
    <n v="95"/>
    <n v="104"/>
    <n v="0"/>
    <n v="-9"/>
    <n v="0"/>
    <n v="0.38234460254453811"/>
    <n v="1"/>
    <n v="73.599999999999994"/>
    <n v="73.599999999999994"/>
    <n v="-20.066566538392664"/>
    <n v="1652.0468431899349"/>
    <n v="0"/>
    <n v="1"/>
    <n v="0"/>
    <n v="0"/>
    <n v="0"/>
    <n v="0"/>
    <n v="0"/>
    <n v="0"/>
    <n v="0"/>
    <n v="0"/>
  </r>
  <r>
    <d v="2022-06-21T00:00:00"/>
    <n v="2022"/>
    <x v="16"/>
    <s v="R"/>
    <s v="RS"/>
    <x v="4"/>
    <s v="PHX"/>
    <s v="A"/>
    <n v="1"/>
    <n v="3"/>
    <n v="-2"/>
    <n v="2"/>
    <n v="-16"/>
    <n v="16"/>
    <n v="1404.8417244290399"/>
    <n v="1485.0130681964906"/>
    <n v="0.24429897799290373"/>
    <n v="84"/>
    <n v="71"/>
    <n v="0"/>
    <n v="13"/>
    <n v="1"/>
    <n v="0.44248178928135723"/>
    <n v="1"/>
    <n v="73.45"/>
    <n v="73.45"/>
    <n v="24.560500420870621"/>
    <n v="1429.4022248499105"/>
    <n v="1"/>
    <n v="0"/>
    <n v="0"/>
    <n v="0"/>
    <n v="0"/>
    <n v="0"/>
    <n v="0"/>
    <n v="0"/>
    <n v="0"/>
    <n v="0"/>
  </r>
  <r>
    <d v="2022-06-21T00:00:00"/>
    <n v="2022"/>
    <x v="16"/>
    <s v="R"/>
    <s v="RS"/>
    <x v="3"/>
    <s v="MIN"/>
    <s v="H"/>
    <n v="3"/>
    <n v="1"/>
    <n v="2"/>
    <n v="-2"/>
    <n v="16"/>
    <n v="-16"/>
    <n v="1485.0130681964906"/>
    <n v="1404.8417244290399"/>
    <n v="0.75570102200709632"/>
    <n v="71"/>
    <n v="84"/>
    <n v="0"/>
    <n v="-13"/>
    <n v="0"/>
    <n v="0.44248178928135723"/>
    <n v="1"/>
    <n v="73.45"/>
    <n v="73.45"/>
    <n v="-24.560500420870621"/>
    <n v="1460.4525677756201"/>
    <n v="0"/>
    <n v="1"/>
    <n v="0"/>
    <n v="0"/>
    <n v="0"/>
    <n v="0"/>
    <n v="0"/>
    <n v="0"/>
    <n v="0"/>
    <n v="0"/>
  </r>
  <r>
    <d v="2022-06-22T00:00:00"/>
    <n v="2022"/>
    <x v="16"/>
    <s v="R"/>
    <s v="RS"/>
    <x v="11"/>
    <s v="CON"/>
    <s v="A"/>
    <n v="2"/>
    <n v="2"/>
    <n v="0"/>
    <n v="0"/>
    <n v="0"/>
    <n v="0"/>
    <n v="1411.6446099790689"/>
    <n v="1635.2060137705839"/>
    <n v="0.14548441683697383"/>
    <n v="81"/>
    <n v="77"/>
    <n v="0"/>
    <n v="4"/>
    <n v="1"/>
    <n v="0.26252417415173723"/>
    <n v="1"/>
    <n v="73.45"/>
    <n v="73.45"/>
    <n v="16.477111786181791"/>
    <n v="1428.1217217652506"/>
    <n v="1"/>
    <n v="0"/>
    <n v="0"/>
    <n v="0"/>
    <n v="0"/>
    <n v="0"/>
    <n v="0"/>
    <n v="0"/>
    <n v="0"/>
    <n v="0"/>
  </r>
  <r>
    <d v="2022-06-22T00:00:00"/>
    <n v="2022"/>
    <x v="17"/>
    <s v="R"/>
    <s v="RS"/>
    <x v="10"/>
    <s v="NYL"/>
    <s v="H"/>
    <n v="2"/>
    <n v="2"/>
    <n v="0"/>
    <n v="0"/>
    <n v="0"/>
    <n v="0"/>
    <n v="1635.2060137705839"/>
    <n v="1411.6446099790689"/>
    <n v="0.85451558316302612"/>
    <n v="77"/>
    <n v="81"/>
    <n v="0"/>
    <n v="-4"/>
    <n v="0"/>
    <n v="0.26252417415173723"/>
    <n v="1"/>
    <n v="73.3"/>
    <n v="73.3"/>
    <n v="-16.443462136516338"/>
    <n v="1618.7625516340677"/>
    <n v="0"/>
    <n v="1"/>
    <n v="0"/>
    <n v="0"/>
    <n v="0"/>
    <n v="0"/>
    <n v="0"/>
    <n v="0"/>
    <n v="0"/>
    <n v="0"/>
  </r>
  <r>
    <d v="2022-06-23T00:00:00"/>
    <n v="2022"/>
    <x v="18"/>
    <s v="R"/>
    <s v="RS"/>
    <x v="6"/>
    <s v="DAL"/>
    <s v="A"/>
    <n v="3"/>
    <n v="1"/>
    <n v="2"/>
    <n v="-2"/>
    <n v="16"/>
    <n v="-16"/>
    <n v="1324.3994579418602"/>
    <n v="1495.5093000056283"/>
    <n v="0.2168151685127318"/>
    <n v="68"/>
    <n v="94"/>
    <n v="0"/>
    <n v="-26"/>
    <n v="0"/>
    <n v="0.5724595014494096"/>
    <n v="1"/>
    <n v="73.150000000000006"/>
    <n v="73.150000000000006"/>
    <n v="-9.0792246244541985"/>
    <n v="1315.3202333174061"/>
    <n v="0"/>
    <n v="1"/>
    <n v="0"/>
    <n v="0"/>
    <n v="0"/>
    <n v="0"/>
    <n v="0"/>
    <n v="0"/>
    <n v="0"/>
    <n v="0"/>
  </r>
  <r>
    <d v="2022-06-23T00:00:00"/>
    <n v="2022"/>
    <x v="17"/>
    <s v="R"/>
    <s v="RS"/>
    <x v="9"/>
    <s v="IND"/>
    <s v="H"/>
    <n v="1"/>
    <n v="3"/>
    <n v="-2"/>
    <n v="2"/>
    <n v="-16"/>
    <n v="16"/>
    <n v="1495.5093000056283"/>
    <n v="1324.3994579418602"/>
    <n v="0.78318483148726825"/>
    <n v="94"/>
    <n v="68"/>
    <n v="0"/>
    <n v="26"/>
    <n v="1"/>
    <n v="0.5724595014494096"/>
    <n v="1"/>
    <n v="73.3"/>
    <n v="73.3"/>
    <n v="9.0978423099452144"/>
    <n v="1504.6071423155736"/>
    <n v="1"/>
    <n v="0"/>
    <n v="0"/>
    <n v="0"/>
    <n v="0"/>
    <n v="0"/>
    <n v="0"/>
    <n v="0"/>
    <n v="0"/>
    <n v="0"/>
  </r>
  <r>
    <d v="2022-06-23T00:00:00"/>
    <n v="2022"/>
    <x v="16"/>
    <s v="R"/>
    <s v="RS"/>
    <x v="1"/>
    <s v="LAS"/>
    <s v="A"/>
    <n v="1"/>
    <n v="1"/>
    <n v="0"/>
    <n v="0"/>
    <n v="0"/>
    <n v="0"/>
    <n v="1618.0261649285753"/>
    <n v="1447.9361536125061"/>
    <n v="0.6214186287153497"/>
    <n v="82"/>
    <n v="59"/>
    <n v="0"/>
    <n v="23"/>
    <n v="1"/>
    <n v="0.53894657794419731"/>
    <n v="1"/>
    <n v="73.45"/>
    <n v="73.45"/>
    <n v="14.986380631029004"/>
    <n v="1633.0125455596044"/>
    <n v="1"/>
    <n v="0"/>
    <n v="0"/>
    <n v="0"/>
    <n v="0"/>
    <n v="0"/>
    <n v="0"/>
    <n v="0"/>
    <n v="0"/>
    <n v="0"/>
  </r>
  <r>
    <d v="2022-06-23T00:00:00"/>
    <n v="2022"/>
    <x v="15"/>
    <s v="R"/>
    <s v="RS"/>
    <x v="0"/>
    <s v="CHI"/>
    <s v="H"/>
    <n v="1"/>
    <n v="1"/>
    <n v="0"/>
    <n v="0"/>
    <n v="0"/>
    <n v="0"/>
    <n v="1447.9361536125061"/>
    <n v="1618.0261649285753"/>
    <n v="0.37858137128465025"/>
    <n v="59"/>
    <n v="82"/>
    <n v="0"/>
    <n v="-23"/>
    <n v="0"/>
    <n v="0.53894657794419731"/>
    <n v="1"/>
    <n v="73.599999999999994"/>
    <n v="73.599999999999994"/>
    <n v="-15.016985901208091"/>
    <n v="1432.9191677112981"/>
    <n v="0"/>
    <n v="1"/>
    <n v="0"/>
    <n v="0"/>
    <n v="0"/>
    <n v="0"/>
    <n v="0"/>
    <n v="0"/>
    <n v="0"/>
    <n v="0"/>
  </r>
  <r>
    <d v="2022-06-23T00:00:00"/>
    <n v="2022"/>
    <x v="17"/>
    <s v="R"/>
    <s v="RS"/>
    <x v="3"/>
    <s v="MIN"/>
    <s v="A"/>
    <n v="1"/>
    <n v="1"/>
    <n v="0"/>
    <n v="0"/>
    <n v="0"/>
    <n v="0"/>
    <n v="1460.4525677756201"/>
    <n v="1429.4022248499105"/>
    <n v="0.42438383836231403"/>
    <n v="88"/>
    <n v="100"/>
    <n v="0"/>
    <n v="-12"/>
    <n v="0"/>
    <n v="0.44462465311614002"/>
    <n v="1"/>
    <n v="73.3"/>
    <n v="73.3"/>
    <n v="-13.831088190231593"/>
    <n v="1446.6214795853884"/>
    <n v="0"/>
    <n v="1"/>
    <n v="0"/>
    <n v="0"/>
    <n v="0"/>
    <n v="0"/>
    <n v="0"/>
    <n v="0"/>
    <n v="0"/>
    <n v="0"/>
  </r>
  <r>
    <d v="2022-06-23T00:00:00"/>
    <n v="2022"/>
    <x v="17"/>
    <s v="R"/>
    <s v="RS"/>
    <x v="4"/>
    <s v="PHX"/>
    <s v="H"/>
    <n v="1"/>
    <n v="1"/>
    <n v="0"/>
    <n v="0"/>
    <n v="0"/>
    <n v="0"/>
    <n v="1429.4022248499105"/>
    <n v="1460.4525677756201"/>
    <n v="0.57561616163768592"/>
    <n v="100"/>
    <n v="88"/>
    <n v="0"/>
    <n v="12"/>
    <n v="1"/>
    <n v="0.44462465311614002"/>
    <n v="1"/>
    <n v="73.3"/>
    <n v="73.3"/>
    <n v="13.831088190231595"/>
    <n v="1443.2333130401421"/>
    <n v="1"/>
    <n v="0"/>
    <n v="0"/>
    <n v="0"/>
    <n v="0"/>
    <n v="0"/>
    <n v="0"/>
    <n v="0"/>
    <n v="0"/>
    <n v="0"/>
  </r>
  <r>
    <d v="2022-06-23T00:00:00"/>
    <n v="2022"/>
    <x v="19"/>
    <s v="R"/>
    <s v="RS"/>
    <x v="7"/>
    <s v="SEA"/>
    <s v="A"/>
    <n v="1"/>
    <n v="3"/>
    <n v="-2"/>
    <n v="2"/>
    <n v="-16"/>
    <n v="16"/>
    <n v="1521.3971573305998"/>
    <n v="1555.8530606495044"/>
    <n v="0.29606775044287048"/>
    <n v="71"/>
    <n v="85"/>
    <n v="0"/>
    <n v="-14"/>
    <n v="0"/>
    <n v="0.47399807694042945"/>
    <n v="1"/>
    <n v="73"/>
    <n v="73"/>
    <n v="-10.244494737841968"/>
    <n v="1511.1526625927579"/>
    <n v="0"/>
    <n v="1"/>
    <n v="0"/>
    <n v="0"/>
    <n v="0"/>
    <n v="0"/>
    <n v="0"/>
    <n v="0"/>
    <n v="0"/>
    <n v="0"/>
  </r>
  <r>
    <d v="2022-06-23T00:00:00"/>
    <n v="2022"/>
    <x v="16"/>
    <s v="R"/>
    <s v="RS"/>
    <x v="5"/>
    <s v="WAS"/>
    <s v="H"/>
    <n v="3"/>
    <n v="1"/>
    <n v="2"/>
    <n v="-2"/>
    <n v="16"/>
    <n v="-16"/>
    <n v="1555.8530606495044"/>
    <n v="1521.3971573305998"/>
    <n v="0.70393224955712952"/>
    <n v="85"/>
    <n v="71"/>
    <n v="0"/>
    <n v="14"/>
    <n v="1"/>
    <n v="0.47399807694042945"/>
    <n v="1"/>
    <n v="73.45"/>
    <n v="73.45"/>
    <n v="10.307645732801271"/>
    <n v="1566.1607063823058"/>
    <n v="1"/>
    <n v="0"/>
    <n v="0"/>
    <n v="0"/>
    <n v="0"/>
    <n v="0"/>
    <n v="0"/>
    <n v="0"/>
    <n v="0"/>
    <n v="0"/>
  </r>
  <r>
    <d v="2022-06-24T00:00:00"/>
    <n v="2022"/>
    <x v="17"/>
    <s v="R"/>
    <s v="RS"/>
    <x v="11"/>
    <s v="ATL"/>
    <s v="A"/>
    <n v="1"/>
    <n v="2"/>
    <n v="-1"/>
    <n v="1"/>
    <n v="-8"/>
    <n v="8"/>
    <n v="1428.1217217652506"/>
    <n v="1448.6999724679604"/>
    <n v="0.33312069483111284"/>
    <n v="89"/>
    <n v="77"/>
    <n v="0"/>
    <n v="12"/>
    <n v="1"/>
    <n v="0.44843936173426502"/>
    <n v="1"/>
    <n v="73.3"/>
    <n v="73.3"/>
    <n v="21.920726366341107"/>
    <n v="1450.0424481315918"/>
    <n v="1"/>
    <n v="0"/>
    <n v="0"/>
    <n v="0"/>
    <n v="0"/>
    <n v="0"/>
    <n v="0"/>
    <n v="0"/>
    <n v="0"/>
    <n v="0"/>
  </r>
  <r>
    <d v="2022-06-24T00:00:00"/>
    <n v="2022"/>
    <x v="16"/>
    <s v="R"/>
    <s v="RS"/>
    <x v="8"/>
    <s v="NYL"/>
    <s v="H"/>
    <n v="2"/>
    <n v="1"/>
    <n v="1"/>
    <n v="-1"/>
    <n v="8"/>
    <n v="-8"/>
    <n v="1448.6999724679604"/>
    <n v="1428.1217217652506"/>
    <n v="0.66687930516888716"/>
    <n v="77"/>
    <n v="89"/>
    <n v="0"/>
    <n v="-12"/>
    <n v="0"/>
    <n v="0.44843936173426502"/>
    <n v="1"/>
    <n v="73.45"/>
    <n v="73.45"/>
    <n v="-21.965584605835669"/>
    <n v="1426.7343878621248"/>
    <n v="0"/>
    <n v="1"/>
    <n v="0"/>
    <n v="0"/>
    <n v="0"/>
    <n v="0"/>
    <n v="0"/>
    <n v="0"/>
    <n v="0"/>
    <n v="0"/>
  </r>
  <r>
    <d v="2022-06-25T00:00:00"/>
    <n v="2022"/>
    <x v="18"/>
    <s v="R"/>
    <s v="RS"/>
    <x v="3"/>
    <s v="DAL"/>
    <s v="A"/>
    <n v="1"/>
    <n v="1"/>
    <n v="0"/>
    <n v="0"/>
    <n v="0"/>
    <n v="0"/>
    <n v="1446.6214795853884"/>
    <n v="1504.6071423155736"/>
    <n v="0.30632962066101027"/>
    <n v="83"/>
    <n v="72"/>
    <n v="0"/>
    <n v="11"/>
    <n v="1"/>
    <n v="0.41956214601339364"/>
    <n v="1"/>
    <n v="73.150000000000006"/>
    <n v="73.150000000000006"/>
    <n v="21.289417482588782"/>
    <n v="1467.9108970679772"/>
    <n v="1"/>
    <n v="0"/>
    <n v="0"/>
    <n v="0"/>
    <n v="0"/>
    <n v="0"/>
    <n v="0"/>
    <n v="0"/>
    <n v="0"/>
    <n v="0"/>
  </r>
  <r>
    <d v="2022-06-25T00:00:00"/>
    <n v="2022"/>
    <x v="18"/>
    <s v="R"/>
    <s v="RS"/>
    <x v="9"/>
    <s v="PHX"/>
    <s v="H"/>
    <n v="1"/>
    <n v="1"/>
    <n v="0"/>
    <n v="0"/>
    <n v="0"/>
    <n v="0"/>
    <n v="1504.6071423155736"/>
    <n v="1446.6214795853884"/>
    <n v="0.69367037933898967"/>
    <n v="72"/>
    <n v="83"/>
    <n v="0"/>
    <n v="-11"/>
    <n v="0"/>
    <n v="0.41956214601339364"/>
    <n v="1"/>
    <n v="73.150000000000006"/>
    <n v="73.150000000000006"/>
    <n v="-21.289417482588778"/>
    <n v="1483.3177248329848"/>
    <n v="0"/>
    <n v="1"/>
    <n v="0"/>
    <n v="0"/>
    <n v="0"/>
    <n v="0"/>
    <n v="0"/>
    <n v="0"/>
    <n v="0"/>
    <n v="0"/>
  </r>
  <r>
    <d v="2022-06-25T00:00:00"/>
    <n v="2022"/>
    <x v="20"/>
    <s v="R"/>
    <s v="RS"/>
    <x v="7"/>
    <s v="LVA"/>
    <s v="A"/>
    <n v="1"/>
    <n v="3"/>
    <n v="-2"/>
    <n v="2"/>
    <n v="-16"/>
    <n v="16"/>
    <n v="1511.1526625927579"/>
    <n v="1652.0468431899349"/>
    <n v="0.18560847204983016"/>
    <n v="87"/>
    <n v="86"/>
    <n v="1"/>
    <n v="1"/>
    <n v="1"/>
    <n v="0.19667028797534938"/>
    <n v="1"/>
    <n v="72.849999999999994"/>
    <n v="72.849999999999994"/>
    <n v="11.668137999396066"/>
    <n v="1522.820800592154"/>
    <n v="1"/>
    <n v="0"/>
    <n v="0"/>
    <n v="0"/>
    <n v="0"/>
    <n v="0"/>
    <n v="0"/>
    <n v="0"/>
    <n v="0"/>
    <n v="0"/>
  </r>
  <r>
    <d v="2022-06-25T00:00:00"/>
    <n v="2022"/>
    <x v="16"/>
    <s v="R"/>
    <s v="RS"/>
    <x v="2"/>
    <s v="WAS"/>
    <s v="H"/>
    <n v="3"/>
    <n v="1"/>
    <n v="2"/>
    <n v="-2"/>
    <n v="16"/>
    <n v="-16"/>
    <n v="1652.0468431899349"/>
    <n v="1511.1526625927579"/>
    <n v="0.81439152795016978"/>
    <n v="86"/>
    <n v="87"/>
    <n v="1"/>
    <n v="-1"/>
    <n v="0"/>
    <n v="0.19667028797534938"/>
    <n v="1"/>
    <n v="73.45"/>
    <n v="73.45"/>
    <n v="-11.764237969192052"/>
    <n v="1640.2826052207429"/>
    <n v="0"/>
    <n v="1"/>
    <n v="0"/>
    <n v="0"/>
    <n v="0"/>
    <n v="0"/>
    <n v="0"/>
    <n v="0"/>
    <n v="0"/>
    <n v="0"/>
  </r>
  <r>
    <d v="2022-06-25T00:00:00"/>
    <n v="2022"/>
    <x v="16"/>
    <s v="R"/>
    <s v="RS"/>
    <x v="0"/>
    <s v="SEA"/>
    <s v="A"/>
    <n v="1"/>
    <n v="1"/>
    <n v="0"/>
    <n v="0"/>
    <n v="0"/>
    <n v="0"/>
    <n v="1432.9191677112981"/>
    <n v="1566.1607063823058"/>
    <n v="0.22260618800270612"/>
    <n v="85"/>
    <n v="77"/>
    <n v="0"/>
    <n v="8"/>
    <n v="1"/>
    <n v="0.34950804373234584"/>
    <n v="1"/>
    <n v="73.45"/>
    <n v="73.45"/>
    <n v="19.956760927877145"/>
    <n v="1452.8759286391753"/>
    <n v="1"/>
    <n v="0"/>
    <n v="0"/>
    <n v="0"/>
    <n v="0"/>
    <n v="0"/>
    <n v="0"/>
    <n v="0"/>
    <n v="0"/>
    <n v="0"/>
  </r>
  <r>
    <d v="2022-06-25T00:00:00"/>
    <n v="2022"/>
    <x v="17"/>
    <s v="R"/>
    <s v="RS"/>
    <x v="5"/>
    <s v="LAS"/>
    <s v="H"/>
    <n v="1"/>
    <n v="1"/>
    <n v="0"/>
    <n v="0"/>
    <n v="0"/>
    <n v="0"/>
    <n v="1566.1607063823058"/>
    <n v="1432.9191677112981"/>
    <n v="0.77739381199729385"/>
    <n v="77"/>
    <n v="85"/>
    <n v="0"/>
    <n v="-8"/>
    <n v="0"/>
    <n v="0.34950804373234584"/>
    <n v="1"/>
    <n v="73.3"/>
    <n v="73.3"/>
    <n v="-19.91600511931102"/>
    <n v="1546.2447012629948"/>
    <n v="0"/>
    <n v="1"/>
    <n v="0"/>
    <n v="0"/>
    <n v="0"/>
    <n v="0"/>
    <n v="0"/>
    <n v="0"/>
    <n v="0"/>
    <n v="0"/>
  </r>
  <r>
    <d v="2022-06-26T00:00:00"/>
    <n v="2022"/>
    <x v="18"/>
    <s v="R"/>
    <s v="RS"/>
    <x v="10"/>
    <s v="ATL"/>
    <s v="A"/>
    <n v="3"/>
    <n v="1"/>
    <n v="2"/>
    <n v="-2"/>
    <n v="16"/>
    <n v="-16"/>
    <n v="1618.7625516340677"/>
    <n v="1426.7343878621248"/>
    <n v="0.69127075319873876"/>
    <n v="72"/>
    <n v="61"/>
    <n v="0"/>
    <n v="11"/>
    <n v="1"/>
    <n v="0.37916126846096493"/>
    <n v="1"/>
    <n v="73.150000000000006"/>
    <n v="73.150000000000006"/>
    <n v="8.5628053423802353"/>
    <n v="1627.3253569764479"/>
    <n v="1"/>
    <n v="0"/>
    <n v="0"/>
    <n v="0"/>
    <n v="0"/>
    <n v="0"/>
    <n v="0"/>
    <n v="0"/>
    <n v="0"/>
    <n v="0"/>
  </r>
  <r>
    <d v="2022-06-26T00:00:00"/>
    <n v="2022"/>
    <x v="17"/>
    <s v="R"/>
    <s v="RS"/>
    <x v="8"/>
    <s v="CON"/>
    <s v="H"/>
    <n v="1"/>
    <n v="3"/>
    <n v="-2"/>
    <n v="2"/>
    <n v="-16"/>
    <n v="16"/>
    <n v="1426.7343878621248"/>
    <n v="1618.7625516340677"/>
    <n v="0.30872924680126113"/>
    <n v="61"/>
    <n v="72"/>
    <n v="0"/>
    <n v="-11"/>
    <n v="0"/>
    <n v="0.37916126846096493"/>
    <n v="1"/>
    <n v="73.3"/>
    <n v="73.3"/>
    <n v="-8.5803640683044549"/>
    <n v="1418.1540237938202"/>
    <n v="0"/>
    <n v="1"/>
    <n v="0"/>
    <n v="0"/>
    <n v="0"/>
    <n v="0"/>
    <n v="0"/>
    <n v="0"/>
    <n v="0"/>
    <n v="0"/>
  </r>
  <r>
    <d v="2022-06-26T00:00:00"/>
    <n v="2022"/>
    <x v="18"/>
    <s v="R"/>
    <s v="RS"/>
    <x v="4"/>
    <s v="CHI"/>
    <s v="A"/>
    <n v="2"/>
    <n v="2"/>
    <n v="0"/>
    <n v="0"/>
    <n v="0"/>
    <n v="0"/>
    <n v="1443.2333130401421"/>
    <n v="1633.0125455596044"/>
    <n v="0.17136273301652125"/>
    <n v="85"/>
    <n v="88"/>
    <n v="0"/>
    <n v="-3"/>
    <n v="0"/>
    <n v="0.25055794270805037"/>
    <n v="1"/>
    <n v="73.150000000000006"/>
    <n v="73.150000000000006"/>
    <n v="-3.140789894501955"/>
    <n v="1440.0925231456401"/>
    <n v="0"/>
    <n v="1"/>
    <n v="0"/>
    <n v="0"/>
    <n v="0"/>
    <n v="0"/>
    <n v="0"/>
    <n v="0"/>
    <n v="0"/>
    <n v="0"/>
  </r>
  <r>
    <d v="2022-06-26T00:00:00"/>
    <n v="2022"/>
    <x v="17"/>
    <s v="R"/>
    <s v="RS"/>
    <x v="1"/>
    <s v="MIN"/>
    <s v="H"/>
    <n v="2"/>
    <n v="2"/>
    <n v="0"/>
    <n v="0"/>
    <n v="0"/>
    <n v="0"/>
    <n v="1633.0125455596044"/>
    <n v="1443.2333130401421"/>
    <n v="0.82863726698347884"/>
    <n v="88"/>
    <n v="85"/>
    <n v="0"/>
    <n v="3"/>
    <n v="1"/>
    <n v="0.25055794270805037"/>
    <n v="1"/>
    <n v="73.3"/>
    <n v="73.3"/>
    <n v="3.1472303385781708"/>
    <n v="1636.1597758981825"/>
    <n v="1"/>
    <n v="0"/>
    <n v="0"/>
    <n v="0"/>
    <n v="0"/>
    <n v="0"/>
    <n v="0"/>
    <n v="0"/>
    <n v="0"/>
    <n v="0"/>
  </r>
  <r>
    <d v="2022-06-27T00:00:00"/>
    <n v="2022"/>
    <x v="17"/>
    <s v="R"/>
    <s v="RS"/>
    <x v="2"/>
    <s v="LAS"/>
    <s v="A"/>
    <n v="1"/>
    <n v="1"/>
    <n v="0"/>
    <n v="0"/>
    <n v="0"/>
    <n v="0"/>
    <n v="1640.2826052207429"/>
    <n v="1452.8759286391753"/>
    <n v="0.64457036113226707"/>
    <n v="79"/>
    <n v="73"/>
    <n v="0"/>
    <n v="6"/>
    <n v="1"/>
    <n v="0.3038308236686702"/>
    <n v="1"/>
    <n v="73.3"/>
    <n v="73.3"/>
    <n v="7.9157021791212472"/>
    <n v="1648.1983073998642"/>
    <n v="1"/>
    <n v="0"/>
    <n v="0"/>
    <n v="0"/>
    <n v="0"/>
    <n v="0"/>
    <n v="0"/>
    <n v="0"/>
    <n v="0"/>
    <n v="0"/>
  </r>
  <r>
    <d v="2022-06-27T00:00:00"/>
    <n v="2022"/>
    <x v="17"/>
    <s v="R"/>
    <s v="RS"/>
    <x v="0"/>
    <s v="LVA"/>
    <s v="H"/>
    <n v="1"/>
    <n v="1"/>
    <n v="0"/>
    <n v="0"/>
    <n v="0"/>
    <n v="0"/>
    <n v="1452.8759286391753"/>
    <n v="1640.2826052207429"/>
    <n v="0.35542963886773304"/>
    <n v="73"/>
    <n v="79"/>
    <n v="0"/>
    <n v="-6"/>
    <n v="0"/>
    <n v="0.3038308236686702"/>
    <n v="1"/>
    <n v="73.3"/>
    <n v="73.3"/>
    <n v="-7.9157021791212498"/>
    <n v="1444.9602264600539"/>
    <n v="0"/>
    <n v="1"/>
    <n v="0"/>
    <n v="0"/>
    <n v="0"/>
    <n v="0"/>
    <n v="0"/>
    <n v="0"/>
    <n v="0"/>
    <n v="0"/>
  </r>
  <r>
    <d v="2022-06-27T00:00:00"/>
    <n v="2022"/>
    <x v="19"/>
    <s v="R"/>
    <s v="RS"/>
    <x v="6"/>
    <s v="PHX"/>
    <s v="A"/>
    <n v="3"/>
    <n v="1"/>
    <n v="2"/>
    <n v="-2"/>
    <n v="16"/>
    <n v="-16"/>
    <n v="1315.3202333174061"/>
    <n v="1467.9108970679772"/>
    <n v="0.23546265831512483"/>
    <n v="71"/>
    <n v="83"/>
    <n v="0"/>
    <n v="-12"/>
    <n v="0"/>
    <n v="0.40467182449278366"/>
    <n v="1"/>
    <n v="73"/>
    <n v="73"/>
    <n v="-6.9558125584420818"/>
    <n v="1308.3644207589639"/>
    <n v="0"/>
    <n v="1"/>
    <n v="0"/>
    <n v="0"/>
    <n v="0"/>
    <n v="0"/>
    <n v="0"/>
    <n v="0"/>
    <n v="0"/>
    <n v="0"/>
  </r>
  <r>
    <d v="2022-06-27T00:00:00"/>
    <n v="2022"/>
    <x v="19"/>
    <s v="R"/>
    <s v="RS"/>
    <x v="3"/>
    <s v="IND"/>
    <s v="H"/>
    <n v="1"/>
    <n v="3"/>
    <n v="-2"/>
    <n v="2"/>
    <n v="-16"/>
    <n v="16"/>
    <n v="1467.9108970679772"/>
    <n v="1315.3202333174061"/>
    <n v="0.76453734168487519"/>
    <n v="83"/>
    <n v="71"/>
    <n v="0"/>
    <n v="12"/>
    <n v="1"/>
    <n v="0.40467182449278366"/>
    <n v="1"/>
    <n v="73"/>
    <n v="73"/>
    <n v="6.9558125584420809"/>
    <n v="1474.8667096264194"/>
    <n v="1"/>
    <n v="0"/>
    <n v="0"/>
    <n v="0"/>
    <n v="0"/>
    <n v="0"/>
    <n v="0"/>
    <n v="0"/>
    <n v="0"/>
    <n v="0"/>
  </r>
  <r>
    <d v="2022-06-28T00:00:00"/>
    <n v="2022"/>
    <x v="19"/>
    <s v="R"/>
    <s v="RS"/>
    <x v="9"/>
    <s v="MIN"/>
    <s v="A"/>
    <n v="2"/>
    <n v="1"/>
    <n v="1"/>
    <n v="-1"/>
    <n v="8"/>
    <n v="-8"/>
    <n v="1483.3177248329848"/>
    <n v="1440.0925231456401"/>
    <n v="0.46440650705131764"/>
    <n v="64"/>
    <n v="92"/>
    <n v="0"/>
    <n v="-28"/>
    <n v="0"/>
    <n v="0.65547866225625451"/>
    <n v="1"/>
    <n v="73"/>
    <n v="73"/>
    <n v="-22.221824586912117"/>
    <n v="1461.0959002460727"/>
    <n v="0"/>
    <n v="1"/>
    <n v="0"/>
    <n v="0"/>
    <n v="0"/>
    <n v="0"/>
    <n v="0"/>
    <n v="0"/>
    <n v="0"/>
    <n v="0"/>
  </r>
  <r>
    <d v="2022-06-28T00:00:00"/>
    <n v="2022"/>
    <x v="19"/>
    <s v="R"/>
    <s v="RS"/>
    <x v="4"/>
    <s v="DAL"/>
    <s v="H"/>
    <n v="1"/>
    <n v="2"/>
    <n v="-1"/>
    <n v="1"/>
    <n v="-8"/>
    <n v="8"/>
    <n v="1440.0925231456401"/>
    <n v="1483.3177248329848"/>
    <n v="0.53559349294868241"/>
    <n v="92"/>
    <n v="64"/>
    <n v="0"/>
    <n v="28"/>
    <n v="1"/>
    <n v="0.65547866225625451"/>
    <n v="1"/>
    <n v="73"/>
    <n v="73"/>
    <n v="22.221824586912113"/>
    <n v="1462.3143477325523"/>
    <n v="1"/>
    <n v="0"/>
    <n v="0"/>
    <n v="0"/>
    <n v="0"/>
    <n v="0"/>
    <n v="0"/>
    <n v="0"/>
    <n v="0"/>
    <n v="0"/>
  </r>
  <r>
    <d v="2022-06-28T00:00:00"/>
    <n v="2022"/>
    <x v="18"/>
    <s v="R"/>
    <s v="RS"/>
    <x v="8"/>
    <s v="WAS"/>
    <s v="A"/>
    <n v="1"/>
    <n v="2"/>
    <n v="-1"/>
    <n v="1"/>
    <n v="-8"/>
    <n v="8"/>
    <n v="1418.1540237938202"/>
    <n v="1522.820800592154"/>
    <n v="0.23538379315053923"/>
    <n v="74"/>
    <n v="92"/>
    <n v="0"/>
    <n v="-18"/>
    <n v="0"/>
    <n v="0.50296422827743725"/>
    <n v="1"/>
    <n v="73.150000000000006"/>
    <n v="73.150000000000006"/>
    <n v="-8.66020127876196"/>
    <n v="1409.4938225150584"/>
    <n v="0"/>
    <n v="1"/>
    <n v="0"/>
    <n v="0"/>
    <n v="0"/>
    <n v="0"/>
    <n v="0"/>
    <n v="0"/>
    <n v="0"/>
    <n v="0"/>
  </r>
  <r>
    <d v="2022-06-28T00:00:00"/>
    <n v="2022"/>
    <x v="21"/>
    <s v="R"/>
    <s v="RS"/>
    <x v="7"/>
    <s v="ATL"/>
    <s v="H"/>
    <n v="2"/>
    <n v="1"/>
    <n v="1"/>
    <n v="-1"/>
    <n v="8"/>
    <n v="-8"/>
    <n v="1522.820800592154"/>
    <n v="1418.1540237938202"/>
    <n v="0.76461620684946074"/>
    <n v="92"/>
    <n v="74"/>
    <n v="0"/>
    <n v="18"/>
    <n v="1"/>
    <n v="0.50296422827743725"/>
    <n v="1"/>
    <n v="72.7"/>
    <n v="72.7"/>
    <n v="8.6069259462200218"/>
    <n v="1531.4277265383739"/>
    <n v="1"/>
    <n v="0"/>
    <n v="0"/>
    <n v="0"/>
    <n v="0"/>
    <n v="0"/>
    <n v="0"/>
    <n v="0"/>
    <n v="0"/>
    <n v="0"/>
  </r>
  <r>
    <d v="2022-06-29T00:00:00"/>
    <n v="2022"/>
    <x v="19"/>
    <s v="R"/>
    <s v="RS"/>
    <x v="10"/>
    <s v="CHI"/>
    <s v="A"/>
    <n v="2"/>
    <n v="2"/>
    <n v="0"/>
    <n v="0"/>
    <n v="0"/>
    <n v="0"/>
    <n v="1627.3253569764479"/>
    <n v="1636.1597758981825"/>
    <n v="0.36949173944385194"/>
    <n v="83"/>
    <n v="91"/>
    <n v="0"/>
    <n v="-8"/>
    <n v="0"/>
    <n v="0.38547764252051481"/>
    <n v="1"/>
    <n v="73"/>
    <n v="73"/>
    <n v="-10.397448739568286"/>
    <n v="1616.9279082368796"/>
    <n v="0"/>
    <n v="1"/>
    <n v="0"/>
    <n v="0"/>
    <n v="0"/>
    <n v="0"/>
    <n v="0"/>
    <n v="0"/>
    <n v="0"/>
    <n v="0"/>
  </r>
  <r>
    <d v="2022-06-29T00:00:00"/>
    <n v="2022"/>
    <x v="18"/>
    <s v="R"/>
    <s v="RS"/>
    <x v="1"/>
    <s v="CON"/>
    <s v="H"/>
    <n v="2"/>
    <n v="2"/>
    <n v="0"/>
    <n v="0"/>
    <n v="0"/>
    <n v="0"/>
    <n v="1636.1597758981825"/>
    <n v="1627.3253569764479"/>
    <n v="0.63050826055614806"/>
    <n v="91"/>
    <n v="83"/>
    <n v="0"/>
    <n v="8"/>
    <n v="1"/>
    <n v="0.38547764252051481"/>
    <n v="1"/>
    <n v="73.150000000000006"/>
    <n v="73.150000000000006"/>
    <n v="10.41881336026603"/>
    <n v="1646.5785892584486"/>
    <n v="1"/>
    <n v="0"/>
    <n v="0"/>
    <n v="0"/>
    <n v="0"/>
    <n v="0"/>
    <n v="0"/>
    <n v="0"/>
    <n v="0"/>
    <n v="0"/>
  </r>
  <r>
    <d v="2022-06-29T00:00:00"/>
    <n v="2022"/>
    <x v="20"/>
    <s v="R"/>
    <s v="RS"/>
    <x v="6"/>
    <s v="PHX"/>
    <s v="A"/>
    <n v="1"/>
    <n v="1"/>
    <n v="0"/>
    <n v="0"/>
    <n v="0"/>
    <n v="0"/>
    <n v="1308.3644207589639"/>
    <n v="1474.8667096264194"/>
    <n v="0.19123473154301507"/>
    <n v="78"/>
    <n v="99"/>
    <n v="0"/>
    <n v="-21"/>
    <n v="0"/>
    <n v="0.51686085934788484"/>
    <n v="1"/>
    <n v="72.849999999999994"/>
    <n v="72.849999999999994"/>
    <n v="-7.2006213186690191"/>
    <n v="1301.163799440295"/>
    <n v="0"/>
    <n v="1"/>
    <n v="0"/>
    <n v="0"/>
    <n v="0"/>
    <n v="0"/>
    <n v="0"/>
    <n v="0"/>
    <n v="0"/>
    <n v="0"/>
  </r>
  <r>
    <d v="2022-06-29T00:00:00"/>
    <n v="2022"/>
    <x v="20"/>
    <s v="R"/>
    <s v="RS"/>
    <x v="3"/>
    <s v="IND"/>
    <s v="H"/>
    <n v="1"/>
    <n v="1"/>
    <n v="0"/>
    <n v="0"/>
    <n v="0"/>
    <n v="0"/>
    <n v="1474.8667096264194"/>
    <n v="1308.3644207589639"/>
    <n v="0.80876526845698493"/>
    <n v="99"/>
    <n v="78"/>
    <n v="0"/>
    <n v="21"/>
    <n v="1"/>
    <n v="0.51686085934788484"/>
    <n v="1"/>
    <n v="72.849999999999994"/>
    <n v="72.849999999999994"/>
    <n v="7.2006213186690191"/>
    <n v="1482.0673309450883"/>
    <n v="1"/>
    <n v="0"/>
    <n v="0"/>
    <n v="0"/>
    <n v="0"/>
    <n v="0"/>
    <n v="0"/>
    <n v="0"/>
    <n v="0"/>
    <n v="0"/>
  </r>
  <r>
    <d v="2022-06-29T00:00:00"/>
    <n v="2022"/>
    <x v="18"/>
    <s v="R"/>
    <s v="RS"/>
    <x v="2"/>
    <s v="SEA"/>
    <s v="A"/>
    <n v="1"/>
    <n v="3"/>
    <n v="-2"/>
    <n v="2"/>
    <n v="-16"/>
    <n v="16"/>
    <n v="1648.1983073998642"/>
    <n v="1546.2447012629948"/>
    <n v="0.47979662047837307"/>
    <n v="78"/>
    <n v="88"/>
    <n v="0"/>
    <n v="-10"/>
    <n v="0"/>
    <n v="0.38999518631492797"/>
    <n v="1"/>
    <n v="73.150000000000006"/>
    <n v="73.150000000000006"/>
    <n v="-13.687708940821231"/>
    <n v="1634.510598459043"/>
    <n v="0"/>
    <n v="1"/>
    <n v="0"/>
    <n v="0"/>
    <n v="0"/>
    <n v="0"/>
    <n v="0"/>
    <n v="0"/>
    <n v="0"/>
    <n v="0"/>
  </r>
  <r>
    <d v="2022-06-29T00:00:00"/>
    <n v="2022"/>
    <x v="18"/>
    <s v="R"/>
    <s v="RS"/>
    <x v="5"/>
    <s v="LVA"/>
    <s v="H"/>
    <n v="3"/>
    <n v="1"/>
    <n v="2"/>
    <n v="-2"/>
    <n v="16"/>
    <n v="-16"/>
    <n v="1546.2447012629948"/>
    <n v="1648.1983073998642"/>
    <n v="0.52020337952162687"/>
    <n v="88"/>
    <n v="78"/>
    <n v="0"/>
    <n v="10"/>
    <n v="1"/>
    <n v="0.38999518631492797"/>
    <n v="1"/>
    <n v="73.150000000000006"/>
    <n v="73.150000000000006"/>
    <n v="13.687708940821233"/>
    <n v="1559.9324102038161"/>
    <n v="1"/>
    <n v="0"/>
    <n v="0"/>
    <n v="0"/>
    <n v="0"/>
    <n v="0"/>
    <n v="0"/>
    <n v="0"/>
    <n v="0"/>
    <n v="0"/>
  </r>
  <r>
    <d v="2022-06-30T00:00:00"/>
    <n v="2022"/>
    <x v="19"/>
    <s v="R"/>
    <s v="RS"/>
    <x v="8"/>
    <s v="NYL"/>
    <s v="A"/>
    <n v="1"/>
    <n v="5"/>
    <n v="-4"/>
    <n v="4"/>
    <n v="-16"/>
    <n v="16"/>
    <n v="1409.4938225150584"/>
    <n v="1450.0424481315918"/>
    <n v="0.28881087535229966"/>
    <n v="92"/>
    <n v="81"/>
    <n v="1"/>
    <n v="11"/>
    <n v="1"/>
    <n v="0.38291352557193226"/>
    <n v="1"/>
    <n v="73"/>
    <n v="73"/>
    <n v="19.879647259910513"/>
    <n v="1429.373469774969"/>
    <n v="1"/>
    <n v="0"/>
    <n v="0"/>
    <n v="0"/>
    <n v="0"/>
    <n v="0"/>
    <n v="0"/>
    <n v="0"/>
    <n v="0"/>
    <n v="0"/>
  </r>
  <r>
    <d v="2022-06-30T00:00:00"/>
    <n v="2022"/>
    <x v="18"/>
    <s v="R"/>
    <s v="RS"/>
    <x v="11"/>
    <s v="ATL"/>
    <s v="H"/>
    <n v="5"/>
    <n v="1"/>
    <n v="4"/>
    <n v="-4"/>
    <n v="16"/>
    <n v="-16"/>
    <n v="1450.0424481315918"/>
    <n v="1409.4938225150584"/>
    <n v="0.71118912464770034"/>
    <n v="81"/>
    <n v="92"/>
    <n v="1"/>
    <n v="-11"/>
    <n v="0"/>
    <n v="0.38291352557193226"/>
    <n v="1"/>
    <n v="73.150000000000006"/>
    <n v="73.150000000000006"/>
    <n v="-19.920495850170607"/>
    <n v="1430.121952281421"/>
    <n v="0"/>
    <n v="1"/>
    <n v="0"/>
    <n v="0"/>
    <n v="0"/>
    <n v="0"/>
    <n v="0"/>
    <n v="0"/>
    <n v="0"/>
    <n v="0"/>
  </r>
  <r>
    <d v="2022-07-01T00:00:00"/>
    <n v="2022"/>
    <x v="18"/>
    <s v="R"/>
    <s v="RS"/>
    <x v="0"/>
    <s v="DAL"/>
    <s v="A"/>
    <n v="3"/>
    <n v="2"/>
    <n v="1"/>
    <n v="-1"/>
    <n v="8"/>
    <n v="-8"/>
    <n v="1444.9602264600539"/>
    <n v="1461.0959002460727"/>
    <n v="0.38123162730022636"/>
    <n v="97"/>
    <n v="89"/>
    <n v="0"/>
    <n v="8"/>
    <n v="1"/>
    <n v="0.38316336906139997"/>
    <n v="1"/>
    <n v="73.150000000000006"/>
    <n v="73.150000000000006"/>
    <n v="17.34308773386967"/>
    <n v="1462.3033141939236"/>
    <n v="1"/>
    <n v="0"/>
    <n v="0"/>
    <n v="0"/>
    <n v="0"/>
    <n v="0"/>
    <n v="0"/>
    <n v="0"/>
    <n v="0"/>
    <n v="0"/>
  </r>
  <r>
    <d v="2022-07-01T00:00:00"/>
    <n v="2022"/>
    <x v="20"/>
    <s v="R"/>
    <s v="RS"/>
    <x v="9"/>
    <s v="LAS"/>
    <s v="H"/>
    <n v="2"/>
    <n v="3"/>
    <n v="-1"/>
    <n v="1"/>
    <n v="-8"/>
    <n v="8"/>
    <n v="1461.0959002460727"/>
    <n v="1444.9602264600539"/>
    <n v="0.61876837269977358"/>
    <n v="89"/>
    <n v="97"/>
    <n v="0"/>
    <n v="-8"/>
    <n v="0"/>
    <n v="0.38316336906139997"/>
    <n v="1"/>
    <n v="72.849999999999994"/>
    <n v="72.849999999999994"/>
    <n v="-17.271960921563977"/>
    <n v="1443.8239393245087"/>
    <n v="0"/>
    <n v="1"/>
    <n v="0"/>
    <n v="0"/>
    <n v="0"/>
    <n v="0"/>
    <n v="0"/>
    <n v="0"/>
    <n v="0"/>
    <n v="0"/>
  </r>
  <r>
    <d v="2022-07-01T00:00:00"/>
    <n v="2022"/>
    <x v="19"/>
    <s v="R"/>
    <s v="RS"/>
    <x v="2"/>
    <s v="MIN"/>
    <s v="A"/>
    <n v="1"/>
    <n v="2"/>
    <n v="-1"/>
    <n v="1"/>
    <n v="-8"/>
    <n v="8"/>
    <n v="1634.510598459043"/>
    <n v="1462.3143477325523"/>
    <n v="0.60242869944855815"/>
    <n v="91"/>
    <n v="85"/>
    <n v="0"/>
    <n v="6"/>
    <n v="1"/>
    <n v="0.3071987065159324"/>
    <n v="1"/>
    <n v="73"/>
    <n v="73"/>
    <n v="8.9157374172399741"/>
    <n v="1643.426335876283"/>
    <n v="1"/>
    <n v="0"/>
    <n v="0"/>
    <n v="0"/>
    <n v="0"/>
    <n v="0"/>
    <n v="0"/>
    <n v="0"/>
    <n v="0"/>
    <n v="0"/>
  </r>
  <r>
    <d v="2022-07-01T00:00:00"/>
    <n v="2022"/>
    <x v="20"/>
    <s v="R"/>
    <s v="RS"/>
    <x v="4"/>
    <s v="LVA"/>
    <s v="H"/>
    <n v="2"/>
    <n v="1"/>
    <n v="1"/>
    <n v="-1"/>
    <n v="8"/>
    <n v="-8"/>
    <n v="1462.3143477325523"/>
    <n v="1634.510598459043"/>
    <n v="0.3975713005514418"/>
    <n v="85"/>
    <n v="91"/>
    <n v="0"/>
    <n v="-6"/>
    <n v="0"/>
    <n v="0.3071987065159324"/>
    <n v="1"/>
    <n v="72.849999999999994"/>
    <n v="72.849999999999994"/>
    <n v="-8.8974174088483853"/>
    <n v="1453.4169303237038"/>
    <n v="0"/>
    <n v="1"/>
    <n v="0"/>
    <n v="0"/>
    <n v="0"/>
    <n v="0"/>
    <n v="0"/>
    <n v="0"/>
    <n v="0"/>
    <n v="0"/>
  </r>
  <r>
    <d v="2022-07-01T00:00:00"/>
    <n v="2022"/>
    <x v="21"/>
    <s v="R"/>
    <s v="RS"/>
    <x v="6"/>
    <s v="SEA"/>
    <s v="A"/>
    <n v="1"/>
    <n v="1"/>
    <n v="0"/>
    <n v="0"/>
    <n v="0"/>
    <n v="0"/>
    <n v="1301.163799440295"/>
    <n v="1559.9324102038161"/>
    <n v="0.12205258391312736"/>
    <n v="57"/>
    <n v="73"/>
    <n v="0"/>
    <n v="-16"/>
    <n v="0"/>
    <n v="0.42593680324041422"/>
    <n v="1"/>
    <n v="72.7"/>
    <n v="72.7"/>
    <n v="-3.7794321753751041"/>
    <n v="1297.3843672649198"/>
    <n v="0"/>
    <n v="1"/>
    <n v="0"/>
    <n v="0"/>
    <n v="0"/>
    <n v="0"/>
    <n v="0"/>
    <n v="0"/>
    <n v="0"/>
    <n v="0"/>
  </r>
  <r>
    <d v="2022-07-01T00:00:00"/>
    <n v="2022"/>
    <x v="19"/>
    <s v="R"/>
    <s v="RS"/>
    <x v="5"/>
    <s v="IND"/>
    <s v="H"/>
    <n v="1"/>
    <n v="1"/>
    <n v="0"/>
    <n v="0"/>
    <n v="0"/>
    <n v="0"/>
    <n v="1559.9324102038161"/>
    <n v="1301.163799440295"/>
    <n v="0.87794741608687255"/>
    <n v="73"/>
    <n v="57"/>
    <n v="0"/>
    <n v="16"/>
    <n v="1"/>
    <n v="0.42593680324041422"/>
    <n v="1"/>
    <n v="73"/>
    <n v="73"/>
    <n v="3.795028181600864"/>
    <n v="1563.7274383854169"/>
    <n v="1"/>
    <n v="0"/>
    <n v="0"/>
    <n v="0"/>
    <n v="0"/>
    <n v="0"/>
    <n v="0"/>
    <n v="0"/>
    <n v="0"/>
    <n v="0"/>
  </r>
  <r>
    <d v="2022-07-02T00:00:00"/>
    <n v="2022"/>
    <x v="21"/>
    <s v="R"/>
    <s v="RS"/>
    <x v="3"/>
    <s v="CHI"/>
    <s v="A"/>
    <n v="2"/>
    <n v="2"/>
    <n v="0"/>
    <n v="0"/>
    <n v="0"/>
    <n v="0"/>
    <n v="1482.0673309450883"/>
    <n v="1646.5785892584486"/>
    <n v="0.19301365697059866"/>
    <n v="75"/>
    <n v="91"/>
    <n v="0"/>
    <n v="-16"/>
    <n v="0"/>
    <n v="0.45535955452951099"/>
    <n v="1"/>
    <n v="72.7"/>
    <n v="72.7"/>
    <n v="-6.3896475546489135"/>
    <n v="1475.6776833904394"/>
    <n v="0"/>
    <n v="1"/>
    <n v="0"/>
    <n v="0"/>
    <n v="0"/>
    <n v="0"/>
    <n v="0"/>
    <n v="0"/>
    <n v="0"/>
    <n v="0"/>
  </r>
  <r>
    <d v="2022-07-02T00:00:00"/>
    <n v="2022"/>
    <x v="19"/>
    <s v="R"/>
    <s v="RS"/>
    <x v="1"/>
    <s v="PHX"/>
    <s v="H"/>
    <n v="2"/>
    <n v="2"/>
    <n v="0"/>
    <n v="0"/>
    <n v="0"/>
    <n v="0"/>
    <n v="1646.5785892584486"/>
    <n v="1482.0673309450883"/>
    <n v="0.80698634302940131"/>
    <n v="91"/>
    <n v="75"/>
    <n v="0"/>
    <n v="16"/>
    <n v="1"/>
    <n v="0.45535955452951099"/>
    <n v="1"/>
    <n v="73"/>
    <n v="73"/>
    <n v="6.4160147385057877"/>
    <n v="1652.9946039969543"/>
    <n v="1"/>
    <n v="0"/>
    <n v="0"/>
    <n v="0"/>
    <n v="0"/>
    <n v="0"/>
    <n v="0"/>
    <n v="0"/>
    <n v="0"/>
    <n v="0"/>
  </r>
  <r>
    <d v="2022-07-03T00:00:00"/>
    <n v="2022"/>
    <x v="20"/>
    <s v="R"/>
    <s v="RS"/>
    <x v="5"/>
    <s v="ATL"/>
    <s v="A"/>
    <n v="1"/>
    <n v="2"/>
    <n v="-1"/>
    <n v="1"/>
    <n v="-8"/>
    <n v="8"/>
    <n v="1563.7274383854169"/>
    <n v="1429.373469774969"/>
    <n v="0.54927883998812832"/>
    <n v="76"/>
    <n v="90"/>
    <n v="0"/>
    <n v="-14"/>
    <n v="0"/>
    <n v="0.4385116228569067"/>
    <n v="1"/>
    <n v="72.849999999999994"/>
    <n v="72.849999999999994"/>
    <n v="-17.547026579934567"/>
    <n v="1546.1804118054824"/>
    <n v="0"/>
    <n v="1"/>
    <n v="0"/>
    <n v="0"/>
    <n v="0"/>
    <n v="0"/>
    <n v="0"/>
    <n v="0"/>
    <n v="0"/>
    <n v="0"/>
  </r>
  <r>
    <d v="2022-07-03T00:00:00"/>
    <n v="2022"/>
    <x v="20"/>
    <s v="R"/>
    <s v="RS"/>
    <x v="8"/>
    <s v="SEA"/>
    <s v="H"/>
    <n v="2"/>
    <n v="1"/>
    <n v="1"/>
    <n v="-1"/>
    <n v="8"/>
    <n v="-8"/>
    <n v="1429.373469774969"/>
    <n v="1563.7274383854169"/>
    <n v="0.45072116001187168"/>
    <n v="90"/>
    <n v="76"/>
    <n v="0"/>
    <n v="14"/>
    <n v="1"/>
    <n v="0.4385116228569067"/>
    <n v="1"/>
    <n v="72.849999999999994"/>
    <n v="72.849999999999994"/>
    <n v="17.547026579934567"/>
    <n v="1446.9204963549034"/>
    <n v="1"/>
    <n v="0"/>
    <n v="0"/>
    <n v="0"/>
    <n v="0"/>
    <n v="0"/>
    <n v="0"/>
    <n v="0"/>
    <n v="0"/>
    <n v="0"/>
  </r>
  <r>
    <d v="2022-07-03T00:00:00"/>
    <n v="2022"/>
    <x v="22"/>
    <s v="R"/>
    <s v="RS"/>
    <x v="7"/>
    <s v="CON"/>
    <s v="A"/>
    <n v="4"/>
    <n v="3"/>
    <n v="1"/>
    <n v="-1"/>
    <n v="8"/>
    <n v="-8"/>
    <n v="1531.4277265383739"/>
    <n v="1616.9279082368796"/>
    <n v="0.29242858623323564"/>
    <n v="72"/>
    <n v="74"/>
    <n v="1"/>
    <n v="-2"/>
    <n v="0"/>
    <n v="0.22502418170975175"/>
    <n v="1"/>
    <n v="72.55"/>
    <n v="72.55"/>
    <n v="-4.7740441662776067"/>
    <n v="1526.6536823720962"/>
    <n v="0"/>
    <n v="1"/>
    <n v="0"/>
    <n v="0"/>
    <n v="0"/>
    <n v="0"/>
    <n v="0"/>
    <n v="0"/>
    <n v="0"/>
    <n v="0"/>
  </r>
  <r>
    <d v="2022-07-03T00:00:00"/>
    <n v="2022"/>
    <x v="20"/>
    <s v="R"/>
    <s v="RS"/>
    <x v="10"/>
    <s v="WAS"/>
    <s v="H"/>
    <n v="3"/>
    <n v="4"/>
    <n v="-1"/>
    <n v="1"/>
    <n v="-8"/>
    <n v="8"/>
    <n v="1616.9279082368796"/>
    <n v="1531.4277265383739"/>
    <n v="0.70757141376676436"/>
    <n v="74"/>
    <n v="72"/>
    <n v="1"/>
    <n v="2"/>
    <n v="1"/>
    <n v="0.22502418170975175"/>
    <n v="1"/>
    <n v="72.849999999999994"/>
    <n v="72.849999999999994"/>
    <n v="4.7937852172753086"/>
    <n v="1621.721693454155"/>
    <n v="1"/>
    <n v="0"/>
    <n v="0"/>
    <n v="0"/>
    <n v="0"/>
    <n v="0"/>
    <n v="0"/>
    <n v="0"/>
    <n v="0"/>
    <n v="0"/>
  </r>
  <r>
    <d v="2022-07-03T00:00:00"/>
    <n v="2022"/>
    <x v="19"/>
    <s v="R"/>
    <s v="RS"/>
    <x v="11"/>
    <s v="LAS"/>
    <s v="A"/>
    <n v="2"/>
    <n v="1"/>
    <n v="1"/>
    <n v="-1"/>
    <n v="8"/>
    <n v="-8"/>
    <n v="1430.121952281421"/>
    <n v="1462.3033141939236"/>
    <n v="0.35969451607771824"/>
    <n v="74"/>
    <n v="84"/>
    <n v="0"/>
    <n v="-10"/>
    <n v="0"/>
    <n v="0.41207865570263069"/>
    <n v="1"/>
    <n v="73"/>
    <n v="73"/>
    <n v="-10.820237583370753"/>
    <n v="1419.3017146980503"/>
    <n v="0"/>
    <n v="1"/>
    <n v="0"/>
    <n v="0"/>
    <n v="0"/>
    <n v="0"/>
    <n v="0"/>
    <n v="0"/>
    <n v="0"/>
    <n v="0"/>
  </r>
  <r>
    <d v="2022-07-03T00:00:00"/>
    <n v="2022"/>
    <x v="19"/>
    <s v="R"/>
    <s v="RS"/>
    <x v="0"/>
    <s v="NYL"/>
    <s v="H"/>
    <n v="1"/>
    <n v="2"/>
    <n v="-1"/>
    <n v="1"/>
    <n v="-8"/>
    <n v="8"/>
    <n v="1462.3033141939236"/>
    <n v="1430.121952281421"/>
    <n v="0.64030548392228182"/>
    <n v="84"/>
    <n v="74"/>
    <n v="0"/>
    <n v="10"/>
    <n v="1"/>
    <n v="0.41207865570263069"/>
    <n v="1"/>
    <n v="73"/>
    <n v="73"/>
    <n v="10.820237583370751"/>
    <n v="1473.1235517772943"/>
    <n v="1"/>
    <n v="0"/>
    <n v="0"/>
    <n v="0"/>
    <n v="0"/>
    <n v="0"/>
    <n v="0"/>
    <n v="0"/>
    <n v="0"/>
    <n v="0"/>
  </r>
  <r>
    <d v="2022-07-03T00:00:00"/>
    <n v="2022"/>
    <x v="20"/>
    <s v="R"/>
    <s v="RS"/>
    <x v="2"/>
    <s v="MIN"/>
    <s v="A"/>
    <n v="1"/>
    <n v="1"/>
    <n v="0"/>
    <n v="0"/>
    <n v="0"/>
    <n v="0"/>
    <n v="1643.426335876283"/>
    <n v="1453.4169303237038"/>
    <n v="0.64799536315981265"/>
    <n v="71"/>
    <n v="102"/>
    <n v="0"/>
    <n v="-31"/>
    <n v="0"/>
    <n v="0.61768031585501093"/>
    <n v="1"/>
    <n v="72.849999999999994"/>
    <n v="72.849999999999994"/>
    <n v="-29.158502485918525"/>
    <n v="1614.2678333903646"/>
    <n v="0"/>
    <n v="1"/>
    <n v="0"/>
    <n v="0"/>
    <n v="0"/>
    <n v="0"/>
    <n v="0"/>
    <n v="0"/>
    <n v="0"/>
    <n v="0"/>
  </r>
  <r>
    <d v="2022-07-03T00:00:00"/>
    <n v="2022"/>
    <x v="21"/>
    <s v="R"/>
    <s v="RS"/>
    <x v="4"/>
    <s v="LVA"/>
    <s v="H"/>
    <n v="1"/>
    <n v="1"/>
    <n v="0"/>
    <n v="0"/>
    <n v="0"/>
    <n v="0"/>
    <n v="1453.4169303237038"/>
    <n v="1643.426335876283"/>
    <n v="0.35200463684018729"/>
    <n v="102"/>
    <n v="71"/>
    <n v="0"/>
    <n v="31"/>
    <n v="1"/>
    <n v="0.61768031585501093"/>
    <n v="1"/>
    <n v="72.7"/>
    <n v="72.7"/>
    <n v="29.098464388830166"/>
    <n v="1482.5153947125341"/>
    <n v="1"/>
    <n v="0"/>
    <n v="0"/>
    <n v="0"/>
    <n v="0"/>
    <n v="0"/>
    <n v="0"/>
    <n v="0"/>
    <n v="0"/>
    <n v="0"/>
  </r>
  <r>
    <d v="2022-07-04T00:00:00"/>
    <n v="2022"/>
    <x v="22"/>
    <s v="R"/>
    <s v="RS"/>
    <x v="3"/>
    <s v="LAS"/>
    <s v="A"/>
    <n v="1"/>
    <n v="0"/>
    <n v="1"/>
    <n v="-1"/>
    <n v="8"/>
    <n v="-8"/>
    <n v="1475.6776833904394"/>
    <n v="1473.1235517772943"/>
    <n v="0.40691420525779404"/>
    <n v="75"/>
    <n v="78"/>
    <n v="0"/>
    <n v="-3"/>
    <n v="0"/>
    <n v="0.28956719382880153"/>
    <n v="1"/>
    <n v="72.55"/>
    <n v="72.55"/>
    <n v="-8.5484942797815666"/>
    <n v="1467.1291891106578"/>
    <n v="0"/>
    <n v="1"/>
    <n v="0"/>
    <n v="0"/>
    <n v="0"/>
    <n v="0"/>
    <n v="0"/>
    <n v="0"/>
    <n v="0"/>
    <n v="0"/>
  </r>
  <r>
    <d v="2022-07-04T00:00:00"/>
    <n v="2022"/>
    <x v="20"/>
    <s v="R"/>
    <s v="RS"/>
    <x v="0"/>
    <s v="PHX"/>
    <s v="H"/>
    <n v="0"/>
    <n v="1"/>
    <n v="-1"/>
    <n v="1"/>
    <n v="-8"/>
    <n v="8"/>
    <n v="1473.1235517772943"/>
    <n v="1475.6776833904394"/>
    <n v="0.59308579474220591"/>
    <n v="78"/>
    <n v="75"/>
    <n v="0"/>
    <n v="3"/>
    <n v="1"/>
    <n v="0.28956719382880153"/>
    <n v="1"/>
    <n v="72.849999999999994"/>
    <n v="72.849999999999994"/>
    <n v="8.5838429811452386"/>
    <n v="1481.7073947584395"/>
    <n v="1"/>
    <n v="0"/>
    <n v="0"/>
    <n v="0"/>
    <n v="0"/>
    <n v="0"/>
    <n v="0"/>
    <n v="0"/>
    <n v="0"/>
    <n v="0"/>
  </r>
  <r>
    <d v="2022-07-05T00:00:00"/>
    <n v="2022"/>
    <x v="21"/>
    <s v="R"/>
    <s v="RS"/>
    <x v="10"/>
    <s v="DAL"/>
    <s v="A"/>
    <n v="1"/>
    <n v="3"/>
    <n v="-2"/>
    <n v="2"/>
    <n v="-16"/>
    <n v="16"/>
    <n v="1621.721693454155"/>
    <n v="1443.8239393245087"/>
    <n v="0.58814740883207195"/>
    <n v="71"/>
    <n v="82"/>
    <n v="0"/>
    <n v="-11"/>
    <n v="0"/>
    <n v="0.38304958602864281"/>
    <n v="1"/>
    <n v="72.7"/>
    <n v="72.7"/>
    <n v="-16.378555481373837"/>
    <n v="1605.3431379727813"/>
    <n v="0"/>
    <n v="1"/>
    <n v="0"/>
    <n v="0"/>
    <n v="0"/>
    <n v="0"/>
    <n v="0"/>
    <n v="0"/>
    <n v="0"/>
    <n v="0"/>
  </r>
  <r>
    <d v="2022-07-05T00:00:00"/>
    <n v="2022"/>
    <x v="21"/>
    <s v="R"/>
    <s v="RS"/>
    <x v="9"/>
    <s v="CON"/>
    <s v="H"/>
    <n v="3"/>
    <n v="1"/>
    <n v="2"/>
    <n v="-2"/>
    <n v="16"/>
    <n v="-16"/>
    <n v="1443.8239393245087"/>
    <n v="1621.721693454155"/>
    <n v="0.41185259116792805"/>
    <n v="82"/>
    <n v="71"/>
    <n v="0"/>
    <n v="11"/>
    <n v="1"/>
    <n v="0.38304958602864281"/>
    <n v="1"/>
    <n v="72.7"/>
    <n v="72.7"/>
    <n v="16.378555481373837"/>
    <n v="1460.2024948058825"/>
    <n v="1"/>
    <n v="0"/>
    <n v="0"/>
    <n v="0"/>
    <n v="0"/>
    <n v="0"/>
    <n v="0"/>
    <n v="0"/>
    <n v="0"/>
    <n v="0"/>
  </r>
  <r>
    <d v="2022-07-05T00:00:00"/>
    <n v="2022"/>
    <x v="21"/>
    <s v="R"/>
    <s v="RS"/>
    <x v="5"/>
    <s v="IND"/>
    <s v="A"/>
    <n v="1"/>
    <n v="3"/>
    <n v="-2"/>
    <n v="2"/>
    <n v="-16"/>
    <n v="16"/>
    <n v="1546.1804118054824"/>
    <n v="1297.3843672649198"/>
    <n v="0.6823159492363442"/>
    <n v="95"/>
    <n v="73"/>
    <n v="0"/>
    <n v="22"/>
    <n v="1"/>
    <n v="0.49866743376795597"/>
    <n v="1"/>
    <n v="72.7"/>
    <n v="72.7"/>
    <n v="11.517038787959457"/>
    <n v="1557.697450593442"/>
    <n v="1"/>
    <n v="0"/>
    <n v="0"/>
    <n v="0"/>
    <n v="0"/>
    <n v="0"/>
    <n v="0"/>
    <n v="0"/>
    <n v="0"/>
    <n v="0"/>
  </r>
  <r>
    <d v="2022-07-05T00:00:00"/>
    <n v="2022"/>
    <x v="22"/>
    <s v="R"/>
    <s v="RS"/>
    <x v="6"/>
    <s v="SEA"/>
    <s v="H"/>
    <n v="3"/>
    <n v="1"/>
    <n v="2"/>
    <n v="-2"/>
    <n v="16"/>
    <n v="-16"/>
    <n v="1297.3843672649198"/>
    <n v="1546.1804118054824"/>
    <n v="0.3176840507636558"/>
    <n v="73"/>
    <n v="95"/>
    <n v="0"/>
    <n v="-22"/>
    <n v="0"/>
    <n v="0.49866743376795597"/>
    <n v="1"/>
    <n v="72.55"/>
    <n v="72.55"/>
    <n v="-11.493275984407958"/>
    <n v="1285.8910912805118"/>
    <n v="0"/>
    <n v="1"/>
    <n v="0"/>
    <n v="0"/>
    <n v="0"/>
    <n v="0"/>
    <n v="0"/>
    <n v="0"/>
    <n v="0"/>
    <n v="0"/>
  </r>
  <r>
    <d v="2022-07-06T00:00:00"/>
    <n v="2022"/>
    <x v="23"/>
    <s v="R"/>
    <s v="RS"/>
    <x v="7"/>
    <s v="ATL"/>
    <s v="A"/>
    <n v="2"/>
    <n v="2"/>
    <n v="0"/>
    <n v="0"/>
    <n v="0"/>
    <n v="0"/>
    <n v="1526.6536823720962"/>
    <n v="1446.9204963549034"/>
    <n v="0.49385986976201063"/>
    <n v="85"/>
    <n v="66"/>
    <n v="0"/>
    <n v="19"/>
    <n v="1"/>
    <n v="0.52602612374441915"/>
    <n v="1"/>
    <n v="72.400000000000006"/>
    <n v="72.400000000000006"/>
    <n v="19.275988188514354"/>
    <n v="1545.9296705606105"/>
    <n v="1"/>
    <n v="0"/>
    <n v="0"/>
    <n v="0"/>
    <n v="0"/>
    <n v="0"/>
    <n v="0"/>
    <n v="0"/>
    <n v="0"/>
    <n v="0"/>
  </r>
  <r>
    <d v="2022-07-06T00:00:00"/>
    <n v="2022"/>
    <x v="21"/>
    <s v="R"/>
    <s v="RS"/>
    <x v="8"/>
    <s v="WAS"/>
    <s v="H"/>
    <n v="2"/>
    <n v="2"/>
    <n v="0"/>
    <n v="0"/>
    <n v="0"/>
    <n v="0"/>
    <n v="1446.9204963549034"/>
    <n v="1526.6536823720962"/>
    <n v="0.50614013023798932"/>
    <n v="66"/>
    <n v="85"/>
    <n v="0"/>
    <n v="-19"/>
    <n v="0"/>
    <n v="0.52602612374441915"/>
    <n v="1"/>
    <n v="72.7"/>
    <n v="72.7"/>
    <n v="-19.355861067748528"/>
    <n v="1427.5646352871549"/>
    <n v="0"/>
    <n v="1"/>
    <n v="0"/>
    <n v="0"/>
    <n v="0"/>
    <n v="0"/>
    <n v="0"/>
    <n v="0"/>
    <n v="0"/>
    <n v="0"/>
  </r>
  <r>
    <d v="2022-07-06T00:00:00"/>
    <n v="2022"/>
    <x v="20"/>
    <s v="R"/>
    <s v="RS"/>
    <x v="11"/>
    <s v="LVA"/>
    <s v="A"/>
    <n v="2"/>
    <n v="2"/>
    <n v="0"/>
    <n v="0"/>
    <n v="0"/>
    <n v="0"/>
    <n v="1419.3017146980503"/>
    <n v="1614.2678333903646"/>
    <n v="0.1671644610547508"/>
    <n v="116"/>
    <n v="107"/>
    <n v="0"/>
    <n v="9"/>
    <n v="1"/>
    <n v="0.34923130106799738"/>
    <n v="1"/>
    <n v="72.849999999999994"/>
    <n v="72.849999999999994"/>
    <n v="21.188585599604451"/>
    <n v="1440.4903002976548"/>
    <n v="1"/>
    <n v="0"/>
    <n v="0"/>
    <n v="0"/>
    <n v="0"/>
    <n v="0"/>
    <n v="0"/>
    <n v="0"/>
    <n v="0"/>
    <n v="0"/>
  </r>
  <r>
    <d v="2022-07-06T00:00:00"/>
    <n v="2022"/>
    <x v="21"/>
    <s v="R"/>
    <s v="RS"/>
    <x v="2"/>
    <s v="NYL"/>
    <s v="H"/>
    <n v="2"/>
    <n v="2"/>
    <n v="0"/>
    <n v="0"/>
    <n v="0"/>
    <n v="0"/>
    <n v="1614.2678333903646"/>
    <n v="1419.3017146980503"/>
    <n v="0.8328355389452492"/>
    <n v="107"/>
    <n v="116"/>
    <n v="0"/>
    <n v="-9"/>
    <n v="0"/>
    <n v="0.34923130106799738"/>
    <n v="1"/>
    <n v="72.7"/>
    <n v="72.7"/>
    <n v="-21.144957763778226"/>
    <n v="1593.1228756265864"/>
    <n v="0"/>
    <n v="1"/>
    <n v="0"/>
    <n v="0"/>
    <n v="0"/>
    <n v="0"/>
    <n v="0"/>
    <n v="0"/>
    <n v="0"/>
    <n v="0"/>
  </r>
  <r>
    <d v="2022-07-06T00:00:00"/>
    <n v="2022"/>
    <x v="20"/>
    <s v="R"/>
    <s v="RS"/>
    <x v="1"/>
    <s v="MIN"/>
    <s v="A"/>
    <n v="3"/>
    <n v="2"/>
    <n v="1"/>
    <n v="-1"/>
    <n v="8"/>
    <n v="-8"/>
    <n v="1652.9946039969543"/>
    <n v="1482.5153947125341"/>
    <n v="0.64334627329616079"/>
    <n v="78"/>
    <n v="81"/>
    <n v="0"/>
    <n v="-3"/>
    <n v="0"/>
    <n v="0.25408647060050532"/>
    <n v="1"/>
    <n v="72.849999999999994"/>
    <n v="72.849999999999994"/>
    <n v="-11.90846779118073"/>
    <n v="1641.0861362057735"/>
    <n v="0"/>
    <n v="1"/>
    <n v="0"/>
    <n v="0"/>
    <n v="0"/>
    <n v="0"/>
    <n v="0"/>
    <n v="0"/>
    <n v="0"/>
    <n v="0"/>
  </r>
  <r>
    <d v="2022-07-06T00:00:00"/>
    <n v="2022"/>
    <x v="22"/>
    <s v="R"/>
    <s v="RS"/>
    <x v="4"/>
    <s v="CHI"/>
    <s v="H"/>
    <n v="2"/>
    <n v="3"/>
    <n v="-1"/>
    <n v="1"/>
    <n v="-8"/>
    <n v="8"/>
    <n v="1482.5153947125341"/>
    <n v="1652.9946039969543"/>
    <n v="0.35665372670383921"/>
    <n v="81"/>
    <n v="78"/>
    <n v="0"/>
    <n v="3"/>
    <n v="1"/>
    <n v="0.25408647060050532"/>
    <n v="1"/>
    <n v="72.55"/>
    <n v="72.55"/>
    <n v="11.859428115993987"/>
    <n v="1494.3748228285281"/>
    <n v="1"/>
    <n v="0"/>
    <n v="0"/>
    <n v="0"/>
    <n v="0"/>
    <n v="0"/>
    <n v="0"/>
    <n v="0"/>
    <n v="0"/>
    <n v="0"/>
  </r>
  <r>
    <d v="2022-07-07T00:00:00"/>
    <n v="2022"/>
    <x v="21"/>
    <s v="R"/>
    <s v="RS"/>
    <x v="1"/>
    <s v="IND"/>
    <s v="A"/>
    <n v="0"/>
    <n v="1"/>
    <n v="-1"/>
    <n v="1"/>
    <n v="-8"/>
    <n v="8"/>
    <n v="1641.0861362057735"/>
    <n v="1285.8910912805118"/>
    <n v="0.81290850160231554"/>
    <n v="93"/>
    <n v="84"/>
    <n v="0"/>
    <n v="9"/>
    <n v="1"/>
    <n v="0.31325063320279756"/>
    <n v="1"/>
    <n v="72.7"/>
    <n v="72.7"/>
    <n v="4.2606947557132635"/>
    <n v="1645.3468309614868"/>
    <n v="1"/>
    <n v="0"/>
    <n v="0"/>
    <n v="0"/>
    <n v="0"/>
    <n v="0"/>
    <n v="0"/>
    <n v="0"/>
    <n v="0"/>
    <n v="0"/>
  </r>
  <r>
    <d v="2022-07-07T00:00:00"/>
    <n v="2022"/>
    <x v="23"/>
    <s v="R"/>
    <s v="RS"/>
    <x v="6"/>
    <s v="CHI"/>
    <s v="H"/>
    <n v="1"/>
    <n v="0"/>
    <n v="1"/>
    <n v="-1"/>
    <n v="8"/>
    <n v="-8"/>
    <n v="1285.8910912805118"/>
    <n v="1641.0861362057735"/>
    <n v="0.18709149839768449"/>
    <n v="84"/>
    <n v="93"/>
    <n v="0"/>
    <n v="-9"/>
    <n v="0"/>
    <n v="0.31325063320279756"/>
    <n v="1"/>
    <n v="72.400000000000006"/>
    <n v="72.400000000000006"/>
    <n v="-4.2431127966112836"/>
    <n v="1281.6479784839005"/>
    <n v="0"/>
    <n v="1"/>
    <n v="0"/>
    <n v="0"/>
    <n v="0"/>
    <n v="0"/>
    <n v="0"/>
    <n v="0"/>
    <n v="0"/>
    <n v="0"/>
  </r>
  <r>
    <d v="2022-07-07T00:00:00"/>
    <n v="2022"/>
    <x v="22"/>
    <s v="R"/>
    <s v="RS"/>
    <x v="5"/>
    <s v="LAS"/>
    <s v="A"/>
    <n v="1"/>
    <n v="2"/>
    <n v="-1"/>
    <n v="1"/>
    <n v="-8"/>
    <n v="8"/>
    <n v="1557.697450593442"/>
    <n v="1481.7073947584395"/>
    <n v="0.46550181256782053"/>
    <n v="106"/>
    <n v="69"/>
    <n v="0"/>
    <n v="37"/>
    <n v="1"/>
    <n v="0.73807804076121575"/>
    <n v="1"/>
    <n v="72.55"/>
    <n v="72.55"/>
    <n v="28.621074754099915"/>
    <n v="1586.3185253475419"/>
    <n v="1"/>
    <n v="0"/>
    <n v="0"/>
    <n v="0"/>
    <n v="0"/>
    <n v="0"/>
    <n v="0"/>
    <n v="0"/>
    <n v="0"/>
    <n v="0"/>
  </r>
  <r>
    <d v="2022-07-07T00:00:00"/>
    <n v="2022"/>
    <x v="21"/>
    <s v="R"/>
    <s v="RS"/>
    <x v="0"/>
    <s v="SEA"/>
    <s v="H"/>
    <n v="2"/>
    <n v="1"/>
    <n v="1"/>
    <n v="-1"/>
    <n v="8"/>
    <n v="-8"/>
    <n v="1481.7073947584395"/>
    <n v="1557.697450593442"/>
    <n v="0.53449818743217947"/>
    <n v="69"/>
    <n v="106"/>
    <n v="0"/>
    <n v="-37"/>
    <n v="0"/>
    <n v="0.73807804076121575"/>
    <n v="1"/>
    <n v="72.7"/>
    <n v="72.7"/>
    <n v="-28.680249960345471"/>
    <n v="1453.027144798094"/>
    <n v="0"/>
    <n v="1"/>
    <n v="0"/>
    <n v="0"/>
    <n v="0"/>
    <n v="0"/>
    <n v="0"/>
    <n v="0"/>
    <n v="0"/>
    <n v="0"/>
  </r>
  <r>
    <d v="2022-07-07T00:00:00"/>
    <n v="2022"/>
    <x v="21"/>
    <s v="R"/>
    <s v="RS"/>
    <x v="11"/>
    <s v="PHX"/>
    <s v="A"/>
    <n v="0"/>
    <n v="2"/>
    <n v="-2"/>
    <n v="2"/>
    <n v="-16"/>
    <n v="16"/>
    <n v="1440.4903002976548"/>
    <n v="1467.1291891106578"/>
    <n v="0.30553117624995796"/>
    <n v="81"/>
    <n v="84"/>
    <n v="0"/>
    <n v="-3"/>
    <n v="0"/>
    <n v="0.28388161217961733"/>
    <n v="1"/>
    <n v="72.7"/>
    <n v="72.7"/>
    <n v="-6.3056114457375276"/>
    <n v="1434.1846888519174"/>
    <n v="0"/>
    <n v="1"/>
    <n v="0"/>
    <n v="0"/>
    <n v="0"/>
    <n v="0"/>
    <n v="0"/>
    <n v="0"/>
    <n v="0"/>
    <n v="0"/>
  </r>
  <r>
    <d v="2022-07-07T00:00:00"/>
    <n v="2022"/>
    <x v="23"/>
    <s v="R"/>
    <s v="RS"/>
    <x v="3"/>
    <s v="NYL"/>
    <s v="H"/>
    <n v="2"/>
    <n v="0"/>
    <n v="2"/>
    <n v="-2"/>
    <n v="16"/>
    <n v="-16"/>
    <n v="1467.1291891106578"/>
    <n v="1440.4903002976548"/>
    <n v="0.69446882375004204"/>
    <n v="84"/>
    <n v="81"/>
    <n v="0"/>
    <n v="3"/>
    <n v="1"/>
    <n v="0.28388161217961733"/>
    <n v="1"/>
    <n v="72.400000000000006"/>
    <n v="72.400000000000006"/>
    <n v="6.2795910408720363"/>
    <n v="1473.4087801515298"/>
    <n v="1"/>
    <n v="0"/>
    <n v="0"/>
    <n v="0"/>
    <n v="0"/>
    <n v="0"/>
    <n v="0"/>
    <n v="0"/>
    <n v="0"/>
    <n v="0"/>
  </r>
  <r>
    <d v="2022-07-12T00:00:00"/>
    <n v="2022"/>
    <x v="22"/>
    <s v="R"/>
    <s v="RS"/>
    <x v="8"/>
    <s v="CHI"/>
    <s v="A"/>
    <n v="5"/>
    <n v="4"/>
    <n v="1"/>
    <n v="-1"/>
    <n v="8"/>
    <n v="-8"/>
    <n v="1427.5646352871549"/>
    <n v="1645.3468309614868"/>
    <n v="0.16177303658968634"/>
    <n v="75"/>
    <n v="90"/>
    <n v="0"/>
    <n v="-15"/>
    <n v="0"/>
    <n v="0.4256067225950147"/>
    <n v="1"/>
    <n v="72.55"/>
    <n v="72.55"/>
    <n v="-4.9951902478658941"/>
    <n v="1422.5694450392891"/>
    <n v="0"/>
    <n v="1"/>
    <n v="0"/>
    <n v="0"/>
    <n v="0"/>
    <n v="0"/>
    <n v="0"/>
    <n v="0"/>
    <n v="0"/>
    <n v="0"/>
  </r>
  <r>
    <d v="2022-07-12T00:00:00"/>
    <n v="2022"/>
    <x v="22"/>
    <s v="R"/>
    <s v="RS"/>
    <x v="1"/>
    <s v="ATL"/>
    <s v="H"/>
    <n v="4"/>
    <n v="5"/>
    <n v="-1"/>
    <n v="1"/>
    <n v="-8"/>
    <n v="8"/>
    <n v="1645.3468309614868"/>
    <n v="1427.5646352871549"/>
    <n v="0.83822696341031366"/>
    <n v="90"/>
    <n v="75"/>
    <n v="0"/>
    <n v="15"/>
    <n v="1"/>
    <n v="0.4256067225950147"/>
    <n v="1"/>
    <n v="72.55"/>
    <n v="72.55"/>
    <n v="4.9951902478658941"/>
    <n v="1650.3420212093527"/>
    <n v="1"/>
    <n v="0"/>
    <n v="0"/>
    <n v="0"/>
    <n v="0"/>
    <n v="0"/>
    <n v="0"/>
    <n v="0"/>
    <n v="0"/>
    <n v="0"/>
  </r>
  <r>
    <d v="2022-07-12T00:00:00"/>
    <n v="2022"/>
    <x v="24"/>
    <s v="R"/>
    <s v="RS"/>
    <x v="7"/>
    <s v="LAS"/>
    <s v="A"/>
    <n v="5"/>
    <n v="4"/>
    <n v="1"/>
    <n v="-1"/>
    <n v="8"/>
    <n v="-8"/>
    <n v="1545.9296705606105"/>
    <n v="1453.027144798094"/>
    <n v="0.53577637123435395"/>
    <n v="94"/>
    <n v="81"/>
    <n v="0"/>
    <n v="13"/>
    <n v="1"/>
    <n v="0.43812468108751185"/>
    <n v="1"/>
    <n v="72.25"/>
    <n v="72.25"/>
    <n v="14.694770667375563"/>
    <n v="1560.6244412279859"/>
    <n v="1"/>
    <n v="0"/>
    <n v="0"/>
    <n v="0"/>
    <n v="0"/>
    <n v="0"/>
    <n v="0"/>
    <n v="0"/>
    <n v="0"/>
    <n v="0"/>
  </r>
  <r>
    <d v="2022-07-12T00:00:00"/>
    <n v="2022"/>
    <x v="22"/>
    <s v="R"/>
    <s v="RS"/>
    <x v="0"/>
    <s v="WAS"/>
    <s v="H"/>
    <n v="4"/>
    <n v="5"/>
    <n v="-1"/>
    <n v="1"/>
    <n v="-8"/>
    <n v="8"/>
    <n v="1453.027144798094"/>
    <n v="1545.9296705606105"/>
    <n v="0.46422362876564599"/>
    <n v="81"/>
    <n v="94"/>
    <n v="0"/>
    <n v="-13"/>
    <n v="0"/>
    <n v="0.43812468108751185"/>
    <n v="1"/>
    <n v="72.55"/>
    <n v="72.55"/>
    <n v="-14.755787016167432"/>
    <n v="1438.2713577819266"/>
    <n v="0"/>
    <n v="1"/>
    <n v="0"/>
    <n v="0"/>
    <n v="0"/>
    <n v="0"/>
    <n v="0"/>
    <n v="0"/>
    <n v="0"/>
    <n v="0"/>
  </r>
  <r>
    <d v="2022-07-12T00:00:00"/>
    <n v="2022"/>
    <x v="24"/>
    <s v="R"/>
    <s v="RS"/>
    <x v="3"/>
    <s v="MIN"/>
    <s v="A"/>
    <n v="4"/>
    <n v="5"/>
    <n v="-1"/>
    <n v="1"/>
    <n v="-8"/>
    <n v="8"/>
    <n v="1473.4087801515298"/>
    <n v="1494.3748228285281"/>
    <n v="0.33262496913426748"/>
    <n v="107"/>
    <n v="118"/>
    <n v="1"/>
    <n v="-11"/>
    <n v="0"/>
    <n v="0.38905492149211834"/>
    <n v="1"/>
    <n v="72.25"/>
    <n v="72.25"/>
    <n v="-9.3498277955184648"/>
    <n v="1464.0589523560113"/>
    <n v="0"/>
    <n v="1"/>
    <n v="0"/>
    <n v="0"/>
    <n v="0"/>
    <n v="0"/>
    <n v="0"/>
    <n v="0"/>
    <n v="0"/>
    <n v="0"/>
  </r>
  <r>
    <d v="2022-07-12T00:00:00"/>
    <n v="2022"/>
    <x v="23"/>
    <s v="R"/>
    <s v="RS"/>
    <x v="4"/>
    <s v="PHX"/>
    <s v="H"/>
    <n v="5"/>
    <n v="4"/>
    <n v="1"/>
    <n v="-1"/>
    <n v="8"/>
    <n v="-8"/>
    <n v="1494.3748228285281"/>
    <n v="1473.4087801515298"/>
    <n v="0.66737503086573247"/>
    <n v="118"/>
    <n v="107"/>
    <n v="1"/>
    <n v="11"/>
    <n v="1"/>
    <n v="0.38905492149211834"/>
    <n v="1"/>
    <n v="72.400000000000006"/>
    <n v="72.400000000000006"/>
    <n v="9.3692392027063942"/>
    <n v="1503.7440620312345"/>
    <n v="1"/>
    <n v="0"/>
    <n v="0"/>
    <n v="0"/>
    <n v="0"/>
    <n v="0"/>
    <n v="0"/>
    <n v="0"/>
    <n v="0"/>
    <n v="0"/>
  </r>
  <r>
    <d v="2022-07-12T00:00:00"/>
    <n v="2022"/>
    <x v="22"/>
    <s v="R"/>
    <s v="RS"/>
    <x v="2"/>
    <s v="NYL"/>
    <s v="A"/>
    <n v="5"/>
    <n v="4"/>
    <n v="1"/>
    <n v="-1"/>
    <n v="8"/>
    <n v="-8"/>
    <n v="1593.1228756265864"/>
    <n v="1434.1846888519174"/>
    <n v="0.62796167938102421"/>
    <n v="107"/>
    <n v="101"/>
    <n v="0"/>
    <n v="6"/>
    <n v="1"/>
    <n v="0.31019579655030088"/>
    <n v="1"/>
    <n v="72.55"/>
    <n v="72.55"/>
    <n v="8.3726126690044396"/>
    <n v="1601.4954882955908"/>
    <n v="1"/>
    <n v="0"/>
    <n v="0"/>
    <n v="0"/>
    <n v="0"/>
    <n v="0"/>
    <n v="0"/>
    <n v="0"/>
    <n v="0"/>
    <n v="0"/>
  </r>
  <r>
    <d v="2022-07-12T00:00:00"/>
    <n v="2022"/>
    <x v="22"/>
    <s v="R"/>
    <s v="RS"/>
    <x v="11"/>
    <s v="LVA"/>
    <s v="H"/>
    <n v="4"/>
    <n v="5"/>
    <n v="-1"/>
    <n v="1"/>
    <n v="-8"/>
    <n v="8"/>
    <n v="1434.1846888519174"/>
    <n v="1593.1228756265864"/>
    <n v="0.37203832061897579"/>
    <n v="101"/>
    <n v="107"/>
    <n v="0"/>
    <n v="-6"/>
    <n v="0"/>
    <n v="0.31019579655030088"/>
    <n v="1"/>
    <n v="72.55"/>
    <n v="72.55"/>
    <n v="-8.3726126690044396"/>
    <n v="1425.812076182913"/>
    <n v="0"/>
    <n v="1"/>
    <n v="0"/>
    <n v="0"/>
    <n v="0"/>
    <n v="0"/>
    <n v="0"/>
    <n v="0"/>
    <n v="0"/>
    <n v="0"/>
  </r>
  <r>
    <d v="2022-07-12T00:00:00"/>
    <n v="2022"/>
    <x v="22"/>
    <s v="R"/>
    <s v="RS"/>
    <x v="9"/>
    <s v="SEA"/>
    <s v="A"/>
    <n v="6"/>
    <n v="4"/>
    <n v="2"/>
    <n v="-2"/>
    <n v="16"/>
    <n v="-16"/>
    <n v="1460.2024948058825"/>
    <n v="1586.3185253475419"/>
    <n v="0.26399275713172149"/>
    <n v="74"/>
    <n v="83"/>
    <n v="0"/>
    <n v="-9"/>
    <n v="0"/>
    <n v="0.367362901402908"/>
    <n v="1"/>
    <n v="72.55"/>
    <n v="72.55"/>
    <n v="-7.0359820849319892"/>
    <n v="1453.1665127209505"/>
    <n v="0"/>
    <n v="1"/>
    <n v="0"/>
    <n v="0"/>
    <n v="0"/>
    <n v="0"/>
    <n v="0"/>
    <n v="0"/>
    <n v="0"/>
    <n v="0"/>
  </r>
  <r>
    <d v="2022-07-12T00:00:00"/>
    <n v="2022"/>
    <x v="23"/>
    <s v="R"/>
    <s v="RS"/>
    <x v="5"/>
    <s v="DAL"/>
    <s v="H"/>
    <n v="4"/>
    <n v="6"/>
    <n v="-2"/>
    <n v="2"/>
    <n v="-16"/>
    <n v="16"/>
    <n v="1586.3185253475419"/>
    <n v="1460.2024948058825"/>
    <n v="0.73600724286827846"/>
    <n v="83"/>
    <n v="74"/>
    <n v="0"/>
    <n v="9"/>
    <n v="1"/>
    <n v="0.367362901402908"/>
    <n v="1"/>
    <n v="72.400000000000006"/>
    <n v="72.400000000000006"/>
    <n v="7.0214349131506024"/>
    <n v="1593.3399602606926"/>
    <n v="1"/>
    <n v="0"/>
    <n v="0"/>
    <n v="0"/>
    <n v="0"/>
    <n v="0"/>
    <n v="0"/>
    <n v="0"/>
    <n v="0"/>
    <n v="0"/>
  </r>
  <r>
    <d v="2022-07-13T00:00:00"/>
    <n v="2022"/>
    <x v="22"/>
    <s v="R"/>
    <s v="RS"/>
    <x v="10"/>
    <s v="IND"/>
    <s v="A"/>
    <n v="7"/>
    <n v="5"/>
    <n v="2"/>
    <n v="-2"/>
    <n v="16"/>
    <n v="-16"/>
    <n v="1605.3431379727813"/>
    <n v="1281.6479784839005"/>
    <n v="0.82692701584877459"/>
    <n v="89"/>
    <n v="81"/>
    <n v="0"/>
    <n v="8"/>
    <n v="1"/>
    <n v="0.30582143619850954"/>
    <n v="1"/>
    <n v="72.55"/>
    <n v="72.55"/>
    <n v="3.840030043500013"/>
    <n v="1609.1831680162813"/>
    <n v="1"/>
    <n v="0"/>
    <n v="0"/>
    <n v="0"/>
    <n v="0"/>
    <n v="0"/>
    <n v="0"/>
    <n v="0"/>
    <n v="0"/>
    <n v="0"/>
  </r>
  <r>
    <d v="2022-07-13T00:00:00"/>
    <n v="2022"/>
    <x v="24"/>
    <s v="R"/>
    <s v="RS"/>
    <x v="6"/>
    <s v="CON"/>
    <s v="H"/>
    <n v="5"/>
    <n v="7"/>
    <n v="-2"/>
    <n v="2"/>
    <n v="-16"/>
    <n v="16"/>
    <n v="1281.6479784839005"/>
    <n v="1605.3431379727813"/>
    <n v="0.17307298415122541"/>
    <n v="81"/>
    <n v="89"/>
    <n v="0"/>
    <n v="-8"/>
    <n v="0"/>
    <n v="0.30582143619850954"/>
    <n v="1"/>
    <n v="72.25"/>
    <n v="72.25"/>
    <n v="-3.8241512149259256"/>
    <n v="1277.8238272689746"/>
    <n v="0"/>
    <n v="1"/>
    <n v="0"/>
    <n v="0"/>
    <n v="0"/>
    <n v="0"/>
    <n v="0"/>
    <n v="0"/>
    <n v="0"/>
    <n v="0"/>
  </r>
  <r>
    <d v="2022-07-14T00:00:00"/>
    <n v="2022"/>
    <x v="23"/>
    <s v="R"/>
    <s v="RS"/>
    <x v="1"/>
    <s v="LAS"/>
    <s v="A"/>
    <n v="1"/>
    <n v="1"/>
    <n v="0"/>
    <n v="0"/>
    <n v="0"/>
    <n v="0"/>
    <n v="1650.3420212093527"/>
    <n v="1438.2713577819266"/>
    <n v="0.67639071257087413"/>
    <n v="80"/>
    <n v="68"/>
    <n v="0"/>
    <n v="12"/>
    <n v="1"/>
    <n v="0.38762602033193533"/>
    <n v="1"/>
    <n v="72.400000000000006"/>
    <n v="72.400000000000006"/>
    <n v="9.0818111285510348"/>
    <n v="1659.4238323379036"/>
    <n v="1"/>
    <n v="0"/>
    <n v="0"/>
    <n v="0"/>
    <n v="0"/>
    <n v="0"/>
    <n v="0"/>
    <n v="0"/>
    <n v="0"/>
    <n v="0"/>
  </r>
  <r>
    <d v="2022-07-14T00:00:00"/>
    <n v="2022"/>
    <x v="23"/>
    <s v="R"/>
    <s v="RS"/>
    <x v="0"/>
    <s v="CHI"/>
    <s v="H"/>
    <n v="1"/>
    <n v="1"/>
    <n v="0"/>
    <n v="0"/>
    <n v="0"/>
    <n v="0"/>
    <n v="1438.2713577819266"/>
    <n v="1650.3420212093527"/>
    <n v="0.32360928742912581"/>
    <n v="68"/>
    <n v="80"/>
    <n v="0"/>
    <n v="-12"/>
    <n v="0"/>
    <n v="0.38762602033193533"/>
    <n v="1"/>
    <n v="72.400000000000006"/>
    <n v="72.400000000000006"/>
    <n v="-9.081811128551033"/>
    <n v="1429.1895466533756"/>
    <n v="0"/>
    <n v="1"/>
    <n v="0"/>
    <n v="0"/>
    <n v="0"/>
    <n v="0"/>
    <n v="0"/>
    <n v="0"/>
    <n v="0"/>
    <n v="0"/>
  </r>
  <r>
    <d v="2022-07-14T00:00:00"/>
    <n v="2022"/>
    <x v="23"/>
    <s v="R"/>
    <s v="RS"/>
    <x v="9"/>
    <s v="MIN"/>
    <s v="A"/>
    <n v="1"/>
    <n v="1"/>
    <n v="0"/>
    <n v="0"/>
    <n v="0"/>
    <n v="0"/>
    <n v="1453.1665127209505"/>
    <n v="1503.7440620312345"/>
    <n v="0.31546529964725806"/>
    <n v="92"/>
    <n v="87"/>
    <n v="0"/>
    <n v="5"/>
    <n v="1"/>
    <n v="0.31833865142794265"/>
    <n v="1"/>
    <n v="72.400000000000006"/>
    <n v="72.400000000000006"/>
    <n v="15.776962983692806"/>
    <n v="1468.9434757046433"/>
    <n v="1"/>
    <n v="0"/>
    <n v="0"/>
    <n v="0"/>
    <n v="0"/>
    <n v="0"/>
    <n v="0"/>
    <n v="0"/>
    <n v="0"/>
    <n v="0"/>
  </r>
  <r>
    <d v="2022-07-14T00:00:00"/>
    <n v="2022"/>
    <x v="24"/>
    <s v="R"/>
    <s v="RS"/>
    <x v="4"/>
    <s v="DAL"/>
    <s v="H"/>
    <n v="1"/>
    <n v="1"/>
    <n v="0"/>
    <n v="0"/>
    <n v="0"/>
    <n v="0"/>
    <n v="1503.7440620312345"/>
    <n v="1453.1665127209505"/>
    <n v="0.684534700352742"/>
    <n v="87"/>
    <n v="92"/>
    <n v="0"/>
    <n v="-5"/>
    <n v="0"/>
    <n v="0.31833865142794265"/>
    <n v="1"/>
    <n v="72.25"/>
    <n v="72.25"/>
    <n v="-15.744275905687916"/>
    <n v="1487.9997861255465"/>
    <n v="0"/>
    <n v="1"/>
    <n v="0"/>
    <n v="0"/>
    <n v="0"/>
    <n v="0"/>
    <n v="0"/>
    <n v="0"/>
    <n v="0"/>
    <n v="0"/>
  </r>
  <r>
    <d v="2022-07-14T00:00:00"/>
    <n v="2022"/>
    <x v="23"/>
    <s v="R"/>
    <s v="RS"/>
    <x v="2"/>
    <s v="NYL"/>
    <s v="A"/>
    <n v="1"/>
    <n v="1"/>
    <n v="0"/>
    <n v="0"/>
    <n v="0"/>
    <n v="0"/>
    <n v="1601.4954882955908"/>
    <n v="1425.812076182913"/>
    <n v="0.62896335044148322"/>
    <n v="108"/>
    <n v="74"/>
    <n v="0"/>
    <n v="34"/>
    <n v="1"/>
    <n v="0.65481747916087729"/>
    <n v="1"/>
    <n v="72.400000000000006"/>
    <n v="72.400000000000006"/>
    <n v="17.590396928310902"/>
    <n v="1619.0858852239016"/>
    <n v="1"/>
    <n v="0"/>
    <n v="0"/>
    <n v="0"/>
    <n v="0"/>
    <n v="0"/>
    <n v="0"/>
    <n v="0"/>
    <n v="0"/>
    <n v="0"/>
  </r>
  <r>
    <d v="2022-07-14T00:00:00"/>
    <n v="2022"/>
    <x v="23"/>
    <s v="R"/>
    <s v="RS"/>
    <x v="11"/>
    <s v="LVA"/>
    <s v="H"/>
    <n v="1"/>
    <n v="1"/>
    <n v="0"/>
    <n v="0"/>
    <n v="0"/>
    <n v="0"/>
    <n v="1425.812076182913"/>
    <n v="1601.4954882955908"/>
    <n v="0.37103664955851684"/>
    <n v="74"/>
    <n v="108"/>
    <n v="0"/>
    <n v="-34"/>
    <n v="0"/>
    <n v="0.65481747916087729"/>
    <n v="1"/>
    <n v="72.400000000000006"/>
    <n v="72.400000000000006"/>
    <n v="-17.590396928310906"/>
    <n v="1408.2216792546021"/>
    <n v="0"/>
    <n v="1"/>
    <n v="0"/>
    <n v="0"/>
    <n v="0"/>
    <n v="0"/>
    <n v="0"/>
    <n v="0"/>
    <n v="0"/>
    <n v="0"/>
  </r>
  <r>
    <d v="2022-07-14T00:00:00"/>
    <n v="2022"/>
    <x v="25"/>
    <s v="R"/>
    <s v="RS"/>
    <x v="7"/>
    <s v="PHX"/>
    <s v="A"/>
    <n v="1"/>
    <n v="1"/>
    <n v="0"/>
    <n v="0"/>
    <n v="0"/>
    <n v="0"/>
    <n v="1560.6244412279859"/>
    <n v="1464.0589523560113"/>
    <n v="0.51807531190862088"/>
    <n v="75"/>
    <n v="80"/>
    <n v="0"/>
    <n v="-5"/>
    <n v="0"/>
    <n v="0.30704748350185895"/>
    <n v="1"/>
    <n v="72.099999999999994"/>
    <n v="72.099999999999994"/>
    <n v="-11.469215268669352"/>
    <n v="1549.1552259593166"/>
    <n v="0"/>
    <n v="1"/>
    <n v="0"/>
    <n v="0"/>
    <n v="0"/>
    <n v="0"/>
    <n v="0"/>
    <n v="0"/>
    <n v="0"/>
    <n v="0"/>
  </r>
  <r>
    <d v="2022-07-14T00:00:00"/>
    <n v="2022"/>
    <x v="25"/>
    <s v="R"/>
    <s v="RS"/>
    <x v="3"/>
    <s v="WAS"/>
    <s v="H"/>
    <n v="1"/>
    <n v="1"/>
    <n v="0"/>
    <n v="0"/>
    <n v="0"/>
    <n v="0"/>
    <n v="1464.0589523560113"/>
    <n v="1560.6244412279859"/>
    <n v="0.48192468809137917"/>
    <n v="80"/>
    <n v="75"/>
    <n v="0"/>
    <n v="5"/>
    <n v="1"/>
    <n v="0.30704748350185895"/>
    <n v="1"/>
    <n v="72.099999999999994"/>
    <n v="72.099999999999994"/>
    <n v="11.46921526866935"/>
    <n v="1475.5281676246807"/>
    <n v="1"/>
    <n v="0"/>
    <n v="0"/>
    <n v="0"/>
    <n v="0"/>
    <n v="0"/>
    <n v="0"/>
    <n v="0"/>
    <n v="0"/>
    <n v="0"/>
  </r>
  <r>
    <d v="2022-07-15T00:00:00"/>
    <n v="2022"/>
    <x v="23"/>
    <s v="R"/>
    <s v="RS"/>
    <x v="10"/>
    <s v="ATL"/>
    <s v="A"/>
    <n v="1"/>
    <n v="2"/>
    <n v="-1"/>
    <n v="1"/>
    <n v="-8"/>
    <n v="8"/>
    <n v="1609.1831680162813"/>
    <n v="1422.5694450392891"/>
    <n v="0.6221276057685533"/>
    <n v="93"/>
    <n v="68"/>
    <n v="0"/>
    <n v="25"/>
    <n v="1"/>
    <n v="0.55503102365111812"/>
    <n v="1"/>
    <n v="72.400000000000006"/>
    <n v="72.400000000000006"/>
    <n v="15.184517288855982"/>
    <n v="1624.3676853051372"/>
    <n v="1"/>
    <n v="0"/>
    <n v="0"/>
    <n v="0"/>
    <n v="0"/>
    <n v="0"/>
    <n v="0"/>
    <n v="0"/>
    <n v="0"/>
    <n v="0"/>
  </r>
  <r>
    <d v="2022-07-15T00:00:00"/>
    <n v="2022"/>
    <x v="23"/>
    <s v="R"/>
    <s v="RS"/>
    <x v="8"/>
    <s v="CON"/>
    <s v="H"/>
    <n v="2"/>
    <n v="1"/>
    <n v="1"/>
    <n v="-1"/>
    <n v="8"/>
    <n v="-8"/>
    <n v="1422.5694450392891"/>
    <n v="1609.1831680162813"/>
    <n v="0.37787239423144675"/>
    <n v="68"/>
    <n v="93"/>
    <n v="0"/>
    <n v="-25"/>
    <n v="0"/>
    <n v="0.55503102365111812"/>
    <n v="1"/>
    <n v="72.400000000000006"/>
    <n v="72.400000000000006"/>
    <n v="-15.184517288855984"/>
    <n v="1407.3849277504332"/>
    <n v="0"/>
    <n v="1"/>
    <n v="0"/>
    <n v="0"/>
    <n v="0"/>
    <n v="0"/>
    <n v="0"/>
    <n v="0"/>
    <n v="0"/>
    <n v="0"/>
  </r>
  <r>
    <d v="2022-07-15T00:00:00"/>
    <n v="2022"/>
    <x v="25"/>
    <s v="R"/>
    <s v="RS"/>
    <x v="4"/>
    <s v="IND"/>
    <s v="A"/>
    <n v="0"/>
    <n v="1"/>
    <n v="-1"/>
    <n v="1"/>
    <n v="-8"/>
    <n v="8"/>
    <n v="1487.9997861255465"/>
    <n v="1277.8238272689746"/>
    <n v="0.65344657839777154"/>
    <n v="87"/>
    <n v="77"/>
    <n v="0"/>
    <n v="10"/>
    <n v="1"/>
    <n v="0.36006544857738865"/>
    <n v="1"/>
    <n v="72.099999999999994"/>
    <n v="72.099999999999994"/>
    <n v="8.9967759420974627"/>
    <n v="1496.9965620676439"/>
    <n v="1"/>
    <n v="0"/>
    <n v="0"/>
    <n v="0"/>
    <n v="0"/>
    <n v="0"/>
    <n v="0"/>
    <n v="0"/>
    <n v="0"/>
    <n v="0"/>
  </r>
  <r>
    <d v="2022-07-15T00:00:00"/>
    <n v="2022"/>
    <x v="25"/>
    <s v="R"/>
    <s v="RS"/>
    <x v="6"/>
    <s v="MIN"/>
    <s v="H"/>
    <n v="1"/>
    <n v="0"/>
    <n v="1"/>
    <n v="-1"/>
    <n v="8"/>
    <n v="-8"/>
    <n v="1277.8238272689746"/>
    <n v="1487.9997861255465"/>
    <n v="0.34655342160222841"/>
    <n v="77"/>
    <n v="87"/>
    <n v="0"/>
    <n v="-10"/>
    <n v="0"/>
    <n v="0.36006544857738865"/>
    <n v="1"/>
    <n v="72.099999999999994"/>
    <n v="72.099999999999994"/>
    <n v="-8.9967759420974627"/>
    <n v="1268.8270513268772"/>
    <n v="0"/>
    <n v="1"/>
    <n v="0"/>
    <n v="0"/>
    <n v="0"/>
    <n v="0"/>
    <n v="0"/>
    <n v="0"/>
    <n v="0"/>
    <n v="0"/>
  </r>
  <r>
    <d v="2022-07-16T00:00:00"/>
    <n v="2022"/>
    <x v="24"/>
    <s v="R"/>
    <s v="RS"/>
    <x v="1"/>
    <s v="DAL"/>
    <s v="A"/>
    <n v="1"/>
    <n v="1"/>
    <n v="0"/>
    <n v="0"/>
    <n v="0"/>
    <n v="0"/>
    <n v="1659.4238323379036"/>
    <n v="1468.9434757046433"/>
    <n v="0.64861348957085885"/>
    <n v="89"/>
    <n v="81"/>
    <n v="0"/>
    <n v="8"/>
    <n v="1"/>
    <n v="0.33512062200711018"/>
    <n v="1"/>
    <n v="72.25"/>
    <n v="72.25"/>
    <n v="8.5079335641593428"/>
    <n v="1667.931765902063"/>
    <n v="1"/>
    <n v="0"/>
    <n v="0"/>
    <n v="0"/>
    <n v="0"/>
    <n v="0"/>
    <n v="0"/>
    <n v="0"/>
    <n v="0"/>
    <n v="0"/>
  </r>
  <r>
    <d v="2022-07-16T00:00:00"/>
    <n v="2022"/>
    <x v="24"/>
    <s v="R"/>
    <s v="RS"/>
    <x v="9"/>
    <s v="CHI"/>
    <s v="H"/>
    <n v="1"/>
    <n v="1"/>
    <n v="0"/>
    <n v="0"/>
    <n v="0"/>
    <n v="0"/>
    <n v="1468.9434757046433"/>
    <n v="1659.4238323379036"/>
    <n v="0.35138651042914115"/>
    <n v="81"/>
    <n v="89"/>
    <n v="0"/>
    <n v="-8"/>
    <n v="0"/>
    <n v="0.33512062200711018"/>
    <n v="1"/>
    <n v="72.25"/>
    <n v="72.25"/>
    <n v="-8.5079335641593428"/>
    <n v="1460.4355421404839"/>
    <n v="0"/>
    <n v="1"/>
    <n v="0"/>
    <n v="0"/>
    <n v="0"/>
    <n v="0"/>
    <n v="0"/>
    <n v="0"/>
    <n v="0"/>
    <n v="0"/>
  </r>
  <r>
    <d v="2022-07-17T00:00:00"/>
    <n v="2022"/>
    <x v="24"/>
    <s v="R"/>
    <s v="RS"/>
    <x v="2"/>
    <s v="CON"/>
    <s v="A"/>
    <n v="2"/>
    <n v="1"/>
    <n v="1"/>
    <n v="-1"/>
    <n v="8"/>
    <n v="-8"/>
    <n v="1619.0858852239016"/>
    <n v="1624.3676853051372"/>
    <n v="0.39607559312932605"/>
    <n v="91"/>
    <n v="83"/>
    <n v="0"/>
    <n v="8"/>
    <n v="1"/>
    <n v="0.38661385409802068"/>
    <n v="1"/>
    <n v="72.25"/>
    <n v="72.25"/>
    <n v="16.869330447368569"/>
    <n v="1635.9552156712703"/>
    <n v="1"/>
    <n v="0"/>
    <n v="0"/>
    <n v="0"/>
    <n v="0"/>
    <n v="0"/>
    <n v="0"/>
    <n v="0"/>
    <n v="0"/>
    <n v="0"/>
  </r>
  <r>
    <d v="2022-07-17T00:00:00"/>
    <n v="2022"/>
    <x v="24"/>
    <s v="R"/>
    <s v="RS"/>
    <x v="10"/>
    <s v="LVA"/>
    <s v="H"/>
    <n v="1"/>
    <n v="2"/>
    <n v="-1"/>
    <n v="1"/>
    <n v="-8"/>
    <n v="8"/>
    <n v="1624.3676853051372"/>
    <n v="1619.0858852239016"/>
    <n v="0.60392440687067406"/>
    <n v="83"/>
    <n v="91"/>
    <n v="0"/>
    <n v="-8"/>
    <n v="0"/>
    <n v="0.38661385409802068"/>
    <n v="1"/>
    <n v="72.25"/>
    <n v="72.25"/>
    <n v="-16.869330447368569"/>
    <n v="1607.4983548577686"/>
    <n v="0"/>
    <n v="1"/>
    <n v="0"/>
    <n v="0"/>
    <n v="0"/>
    <n v="0"/>
    <n v="0"/>
    <n v="0"/>
    <n v="0"/>
    <n v="0"/>
  </r>
  <r>
    <d v="2022-07-17T00:00:00"/>
    <n v="2022"/>
    <x v="24"/>
    <s v="R"/>
    <s v="RS"/>
    <x v="8"/>
    <s v="PHX"/>
    <s v="A"/>
    <n v="1"/>
    <n v="2"/>
    <n v="-1"/>
    <n v="1"/>
    <n v="-8"/>
    <n v="8"/>
    <n v="1407.3849277504332"/>
    <n v="1475.5281676246807"/>
    <n v="0.27529722081794905"/>
    <n v="85"/>
    <n v="75"/>
    <n v="0"/>
    <n v="10"/>
    <n v="1"/>
    <n v="0.40039297078860836"/>
    <n v="1"/>
    <n v="72.25"/>
    <n v="72.25"/>
    <n v="20.964486180747148"/>
    <n v="1428.3494139311804"/>
    <n v="1"/>
    <n v="0"/>
    <n v="0"/>
    <n v="0"/>
    <n v="0"/>
    <n v="0"/>
    <n v="0"/>
    <n v="0"/>
    <n v="0"/>
    <n v="0"/>
  </r>
  <r>
    <d v="2022-07-17T00:00:00"/>
    <n v="2022"/>
    <x v="26"/>
    <s v="R"/>
    <s v="RS"/>
    <x v="3"/>
    <s v="ATL"/>
    <s v="H"/>
    <n v="2"/>
    <n v="1"/>
    <n v="1"/>
    <n v="-1"/>
    <n v="8"/>
    <n v="-8"/>
    <n v="1475.5281676246807"/>
    <n v="1407.3849277504332"/>
    <n v="0.72470277918205095"/>
    <n v="75"/>
    <n v="85"/>
    <n v="0"/>
    <n v="-10"/>
    <n v="0"/>
    <n v="0.40039297078860836"/>
    <n v="1"/>
    <n v="71.95"/>
    <n v="71.95"/>
    <n v="-20.877436411138508"/>
    <n v="1454.6507312135423"/>
    <n v="0"/>
    <n v="1"/>
    <n v="0"/>
    <n v="0"/>
    <n v="0"/>
    <n v="0"/>
    <n v="0"/>
    <n v="0"/>
    <n v="0"/>
    <n v="0"/>
  </r>
  <r>
    <d v="2022-07-17T00:00:00"/>
    <n v="2022"/>
    <x v="26"/>
    <s v="R"/>
    <s v="RS"/>
    <x v="6"/>
    <s v="SEA"/>
    <s v="A"/>
    <n v="1"/>
    <n v="4"/>
    <n v="-3"/>
    <n v="3"/>
    <n v="-16"/>
    <n v="16"/>
    <n v="1268.8270513268772"/>
    <n v="1593.3399602606926"/>
    <n v="7.338652745980169E-2"/>
    <n v="65"/>
    <n v="81"/>
    <n v="0"/>
    <n v="-16"/>
    <n v="0"/>
    <n v="0.40756836829319959"/>
    <n v="1"/>
    <n v="71.95"/>
    <n v="71.95"/>
    <n v="-2.1520264607450983"/>
    <n v="1266.6750248661322"/>
    <n v="0"/>
    <n v="1"/>
    <n v="0"/>
    <n v="0"/>
    <n v="0"/>
    <n v="0"/>
    <n v="0"/>
    <n v="0"/>
    <n v="0"/>
    <n v="0"/>
  </r>
  <r>
    <d v="2022-07-17T00:00:00"/>
    <n v="2022"/>
    <x v="24"/>
    <s v="R"/>
    <s v="RS"/>
    <x v="5"/>
    <s v="IND"/>
    <s v="H"/>
    <n v="4"/>
    <n v="1"/>
    <n v="3"/>
    <n v="-3"/>
    <n v="16"/>
    <n v="-16"/>
    <n v="1593.3399602606926"/>
    <n v="1268.8270513268772"/>
    <n v="0.92661347254019832"/>
    <n v="81"/>
    <n v="65"/>
    <n v="0"/>
    <n v="16"/>
    <n v="1"/>
    <n v="0.40756836829319959"/>
    <n v="1"/>
    <n v="72.25"/>
    <n v="72.25"/>
    <n v="2.1609994689205463"/>
    <n v="1595.5009597296132"/>
    <n v="1"/>
    <n v="0"/>
    <n v="0"/>
    <n v="0"/>
    <n v="0"/>
    <n v="0"/>
    <n v="0"/>
    <n v="0"/>
    <n v="0"/>
    <n v="0"/>
  </r>
  <r>
    <d v="2022-07-17T00:00:00"/>
    <n v="2022"/>
    <x v="26"/>
    <s v="R"/>
    <s v="RS"/>
    <x v="4"/>
    <s v="WAS"/>
    <s v="A"/>
    <n v="1"/>
    <n v="2"/>
    <n v="-1"/>
    <n v="1"/>
    <n v="-8"/>
    <n v="8"/>
    <n v="1496.9965620676439"/>
    <n v="1549.1552259593166"/>
    <n v="0.29402901663000403"/>
    <n v="57"/>
    <n v="70"/>
    <n v="0"/>
    <n v="-13"/>
    <n v="0"/>
    <n v="0.45238077498615326"/>
    <n v="1"/>
    <n v="71.95"/>
    <n v="71.95"/>
    <n v="-9.5702907039072649"/>
    <n v="1487.4262713637368"/>
    <n v="0"/>
    <n v="1"/>
    <n v="0"/>
    <n v="0"/>
    <n v="0"/>
    <n v="0"/>
    <n v="0"/>
    <n v="0"/>
    <n v="0"/>
    <n v="0"/>
  </r>
  <r>
    <d v="2022-07-17T00:00:00"/>
    <n v="2022"/>
    <x v="26"/>
    <s v="R"/>
    <s v="RS"/>
    <x v="7"/>
    <s v="MIN"/>
    <s v="H"/>
    <n v="2"/>
    <n v="1"/>
    <n v="1"/>
    <n v="-1"/>
    <n v="8"/>
    <n v="-8"/>
    <n v="1549.1552259593166"/>
    <n v="1496.9965620676439"/>
    <n v="0.70597098336999597"/>
    <n v="70"/>
    <n v="57"/>
    <n v="0"/>
    <n v="13"/>
    <n v="1"/>
    <n v="0.45238077498615326"/>
    <n v="1"/>
    <n v="71.95"/>
    <n v="71.95"/>
    <n v="9.5702907039072649"/>
    <n v="1558.7255166632237"/>
    <n v="1"/>
    <n v="0"/>
    <n v="0"/>
    <n v="0"/>
    <n v="0"/>
    <n v="0"/>
    <n v="0"/>
    <n v="0"/>
    <n v="0"/>
    <n v="0"/>
  </r>
  <r>
    <d v="2022-07-19T00:00:00"/>
    <n v="2022"/>
    <x v="24"/>
    <s v="R"/>
    <s v="RS"/>
    <x v="11"/>
    <s v="CON"/>
    <s v="A"/>
    <n v="4"/>
    <n v="1"/>
    <n v="3"/>
    <n v="-3"/>
    <n v="16"/>
    <n v="-16"/>
    <n v="1408.2216792546021"/>
    <n v="1607.4983548577686"/>
    <n v="0.19054623018770747"/>
    <n v="63"/>
    <n v="82"/>
    <n v="0"/>
    <n v="-19"/>
    <n v="0"/>
    <n v="0.48108647775290359"/>
    <n v="1"/>
    <n v="72.25"/>
    <n v="72.25"/>
    <n v="-6.6231007642495934"/>
    <n v="1401.5985784903526"/>
    <n v="0"/>
    <n v="1"/>
    <n v="0"/>
    <n v="0"/>
    <n v="0"/>
    <n v="0"/>
    <n v="0"/>
    <n v="0"/>
    <n v="0"/>
    <n v="0"/>
  </r>
  <r>
    <d v="2022-07-19T00:00:00"/>
    <n v="2022"/>
    <x v="25"/>
    <s v="R"/>
    <s v="RS"/>
    <x v="10"/>
    <s v="NYL"/>
    <s v="H"/>
    <n v="1"/>
    <n v="4"/>
    <n v="-3"/>
    <n v="3"/>
    <n v="-16"/>
    <n v="16"/>
    <n v="1607.4983548577686"/>
    <n v="1408.2216792546021"/>
    <n v="0.80945376981229256"/>
    <n v="82"/>
    <n v="63"/>
    <n v="0"/>
    <n v="19"/>
    <n v="1"/>
    <n v="0.48108647775290359"/>
    <n v="1"/>
    <n v="72.099999999999994"/>
    <n v="72.099999999999994"/>
    <n v="6.6093503820400761"/>
    <n v="1614.1077052398086"/>
    <n v="1"/>
    <n v="0"/>
    <n v="0"/>
    <n v="0"/>
    <n v="0"/>
    <n v="0"/>
    <n v="0"/>
    <n v="0"/>
    <n v="0"/>
    <n v="0"/>
  </r>
  <r>
    <d v="2022-07-19T00:00:00"/>
    <n v="2022"/>
    <x v="27"/>
    <s v="R"/>
    <s v="RS"/>
    <x v="6"/>
    <s v="LAS"/>
    <s v="A"/>
    <n v="1"/>
    <n v="4"/>
    <n v="-3"/>
    <n v="3"/>
    <n v="-16"/>
    <n v="16"/>
    <n v="1266.6750248661322"/>
    <n v="1429.1895466533756"/>
    <n v="0.16752669199451045"/>
    <n v="79"/>
    <n v="86"/>
    <n v="0"/>
    <n v="-7"/>
    <n v="0"/>
    <n v="0.32596247590962163"/>
    <n v="1"/>
    <n v="71.8"/>
    <n v="71.8"/>
    <n v="-3.9208124187898075"/>
    <n v="1262.7542124473423"/>
    <n v="0"/>
    <n v="1"/>
    <n v="0"/>
    <n v="0"/>
    <n v="0"/>
    <n v="0"/>
    <n v="0"/>
    <n v="0"/>
    <n v="0"/>
    <n v="0"/>
  </r>
  <r>
    <d v="2022-07-19T00:00:00"/>
    <n v="2022"/>
    <x v="24"/>
    <s v="R"/>
    <s v="RS"/>
    <x v="0"/>
    <s v="IND"/>
    <s v="H"/>
    <n v="4"/>
    <n v="1"/>
    <n v="3"/>
    <n v="-3"/>
    <n v="16"/>
    <n v="-16"/>
    <n v="1429.1895466533756"/>
    <n v="1266.6750248661322"/>
    <n v="0.83247330800548958"/>
    <n v="86"/>
    <n v="79"/>
    <n v="0"/>
    <n v="7"/>
    <n v="1"/>
    <n v="0.32596247590962163"/>
    <n v="1"/>
    <n v="72.25"/>
    <n v="72.25"/>
    <n v="3.9453857556763725"/>
    <n v="1433.134932409052"/>
    <n v="1"/>
    <n v="0"/>
    <n v="0"/>
    <n v="0"/>
    <n v="0"/>
    <n v="0"/>
    <n v="0"/>
    <n v="0"/>
    <n v="0"/>
    <n v="0"/>
  </r>
  <r>
    <d v="2022-07-19T00:00:00"/>
    <n v="2022"/>
    <x v="25"/>
    <s v="R"/>
    <s v="RS"/>
    <x v="8"/>
    <s v="LVA"/>
    <s v="A"/>
    <n v="1"/>
    <n v="1"/>
    <n v="0"/>
    <n v="0"/>
    <n v="0"/>
    <n v="0"/>
    <n v="1428.3494139311804"/>
    <n v="1635.9552156712703"/>
    <n v="0.15727856443777152"/>
    <n v="92"/>
    <n v="76"/>
    <n v="0"/>
    <n v="16"/>
    <n v="1"/>
    <n v="0.44141849796865462"/>
    <n v="1"/>
    <n v="72.099999999999994"/>
    <n v="72.099999999999994"/>
    <n v="26.820683064043628"/>
    <n v="1455.170096995224"/>
    <n v="1"/>
    <n v="0"/>
    <n v="0"/>
    <n v="0"/>
    <n v="0"/>
    <n v="0"/>
    <n v="0"/>
    <n v="0"/>
    <n v="0"/>
    <n v="0"/>
  </r>
  <r>
    <d v="2022-07-19T00:00:00"/>
    <n v="2022"/>
    <x v="25"/>
    <s v="R"/>
    <s v="RS"/>
    <x v="2"/>
    <s v="ATL"/>
    <s v="H"/>
    <n v="1"/>
    <n v="1"/>
    <n v="0"/>
    <n v="0"/>
    <n v="0"/>
    <n v="0"/>
    <n v="1635.9552156712703"/>
    <n v="1428.3494139311804"/>
    <n v="0.84272143556222845"/>
    <n v="76"/>
    <n v="92"/>
    <n v="0"/>
    <n v="-16"/>
    <n v="0"/>
    <n v="0.44141849796865462"/>
    <n v="1"/>
    <n v="72.099999999999994"/>
    <n v="72.099999999999994"/>
    <n v="-26.820683064043628"/>
    <n v="1609.1345326072267"/>
    <n v="0"/>
    <n v="1"/>
    <n v="0"/>
    <n v="0"/>
    <n v="0"/>
    <n v="0"/>
    <n v="0"/>
    <n v="0"/>
    <n v="0"/>
    <n v="0"/>
  </r>
  <r>
    <d v="2022-07-20T00:00:00"/>
    <n v="2022"/>
    <x v="25"/>
    <s v="R"/>
    <s v="RS"/>
    <x v="5"/>
    <s v="CHI"/>
    <s v="A"/>
    <n v="2"/>
    <n v="3"/>
    <n v="-1"/>
    <n v="1"/>
    <n v="-8"/>
    <n v="8"/>
    <n v="1595.5009597296132"/>
    <n v="1667.931765902063"/>
    <n v="0.27040050996467491"/>
    <n v="74"/>
    <n v="78"/>
    <n v="0"/>
    <n v="-4"/>
    <n v="0"/>
    <n v="0.29370499367963732"/>
    <n v="1"/>
    <n v="72.099999999999994"/>
    <n v="72.099999999999994"/>
    <n v="-5.726036363057494"/>
    <n v="1589.7749233665556"/>
    <n v="0"/>
    <n v="1"/>
    <n v="0"/>
    <n v="0"/>
    <n v="0"/>
    <n v="0"/>
    <n v="0"/>
    <n v="0"/>
    <n v="0"/>
    <n v="0"/>
  </r>
  <r>
    <d v="2022-07-20T00:00:00"/>
    <n v="2022"/>
    <x v="25"/>
    <s v="R"/>
    <s v="RS"/>
    <x v="1"/>
    <s v="SEA"/>
    <s v="H"/>
    <n v="3"/>
    <n v="2"/>
    <n v="1"/>
    <n v="-1"/>
    <n v="8"/>
    <n v="-8"/>
    <n v="1667.931765902063"/>
    <n v="1595.5009597296132"/>
    <n v="0.72959949003532509"/>
    <n v="78"/>
    <n v="74"/>
    <n v="0"/>
    <n v="4"/>
    <n v="1"/>
    <n v="0.29370499367963732"/>
    <n v="1"/>
    <n v="72.099999999999994"/>
    <n v="72.099999999999994"/>
    <n v="5.726036363057494"/>
    <n v="1673.6578022651206"/>
    <n v="1"/>
    <n v="0"/>
    <n v="0"/>
    <n v="0"/>
    <n v="0"/>
    <n v="0"/>
    <n v="0"/>
    <n v="0"/>
    <n v="0"/>
    <n v="0"/>
  </r>
  <r>
    <d v="2022-07-21T00:00:00"/>
    <n v="2022"/>
    <x v="26"/>
    <s v="R"/>
    <s v="RS"/>
    <x v="8"/>
    <s v="LAS"/>
    <s v="A"/>
    <n v="1"/>
    <n v="1"/>
    <n v="0"/>
    <n v="0"/>
    <n v="0"/>
    <n v="0"/>
    <n v="1455.170096995224"/>
    <n v="1433.134932409052"/>
    <n v="0.41175905700405369"/>
    <n v="78"/>
    <n v="85"/>
    <n v="0"/>
    <n v="-7"/>
    <n v="0"/>
    <n v="0.36343357364432555"/>
    <n v="1"/>
    <n v="71.95"/>
    <n v="71.95"/>
    <n v="-10.767106367574486"/>
    <n v="1444.4029906276494"/>
    <n v="0"/>
    <n v="1"/>
    <n v="0"/>
    <n v="0"/>
    <n v="0"/>
    <n v="0"/>
    <n v="0"/>
    <n v="0"/>
    <n v="0"/>
    <n v="0"/>
  </r>
  <r>
    <d v="2022-07-21T00:00:00"/>
    <n v="2022"/>
    <x v="25"/>
    <s v="R"/>
    <s v="RS"/>
    <x v="0"/>
    <s v="ATL"/>
    <s v="H"/>
    <n v="1"/>
    <n v="1"/>
    <n v="0"/>
    <n v="0"/>
    <n v="0"/>
    <n v="0"/>
    <n v="1433.134932409052"/>
    <n v="1455.170096995224"/>
    <n v="0.58824094299594631"/>
    <n v="85"/>
    <n v="78"/>
    <n v="0"/>
    <n v="7"/>
    <n v="1"/>
    <n v="0.36343357364432555"/>
    <n v="1"/>
    <n v="72.099999999999994"/>
    <n v="72.099999999999994"/>
    <n v="10.789553427409595"/>
    <n v="1443.9244858364616"/>
    <n v="1"/>
    <n v="0"/>
    <n v="0"/>
    <n v="0"/>
    <n v="0"/>
    <n v="0"/>
    <n v="0"/>
    <n v="0"/>
    <n v="0"/>
    <n v="0"/>
  </r>
  <r>
    <d v="2022-07-21T00:00:00"/>
    <n v="2022"/>
    <x v="28"/>
    <s v="R"/>
    <s v="RS"/>
    <x v="6"/>
    <s v="LVA"/>
    <s v="A"/>
    <n v="1"/>
    <n v="1"/>
    <n v="0"/>
    <n v="0"/>
    <n v="0"/>
    <n v="0"/>
    <n v="1262.7542124473423"/>
    <n v="1609.1345326072267"/>
    <n v="7.7452910578948861E-2"/>
    <n v="77"/>
    <n v="90"/>
    <n v="0"/>
    <n v="-13"/>
    <n v="0"/>
    <n v="0.36630866248891092"/>
    <n v="1"/>
    <n v="71.650000000000006"/>
    <n v="71.650000000000006"/>
    <n v="-2.0328303045354374"/>
    <n v="1260.7213821428068"/>
    <n v="0"/>
    <n v="1"/>
    <n v="0"/>
    <n v="0"/>
    <n v="0"/>
    <n v="0"/>
    <n v="0"/>
    <n v="0"/>
    <n v="0"/>
    <n v="0"/>
  </r>
  <r>
    <d v="2022-07-21T00:00:00"/>
    <n v="2022"/>
    <x v="26"/>
    <s v="R"/>
    <s v="RS"/>
    <x v="2"/>
    <s v="IND"/>
    <s v="H"/>
    <n v="1"/>
    <n v="1"/>
    <n v="0"/>
    <n v="0"/>
    <n v="0"/>
    <n v="0"/>
    <n v="1609.1345326072267"/>
    <n v="1262.7542124473423"/>
    <n v="0.92254708942105124"/>
    <n v="90"/>
    <n v="77"/>
    <n v="0"/>
    <n v="13"/>
    <n v="1"/>
    <n v="0.36630866248891092"/>
    <n v="1"/>
    <n v="71.95"/>
    <n v="71.95"/>
    <n v="2.0413418061594495"/>
    <n v="1611.1758744133861"/>
    <n v="1"/>
    <n v="0"/>
    <n v="0"/>
    <n v="0"/>
    <n v="0"/>
    <n v="0"/>
    <n v="0"/>
    <n v="0"/>
    <n v="0"/>
    <n v="0"/>
  </r>
  <r>
    <d v="2022-07-21T00:00:00"/>
    <n v="2022"/>
    <x v="25"/>
    <s v="R"/>
    <s v="RS"/>
    <x v="11"/>
    <s v="WAS"/>
    <s v="A"/>
    <n v="1"/>
    <n v="3"/>
    <n v="-2"/>
    <n v="2"/>
    <n v="-16"/>
    <n v="16"/>
    <n v="1401.5985784903526"/>
    <n v="1558.7255166632237"/>
    <n v="0.17189657889456608"/>
    <n v="69"/>
    <n v="78"/>
    <n v="0"/>
    <n v="-9"/>
    <n v="0"/>
    <n v="0.35896850830517968"/>
    <n v="1"/>
    <n v="72.099999999999994"/>
    <n v="72.099999999999994"/>
    <n v="-4.4489635584661675"/>
    <n v="1397.1496149318864"/>
    <n v="0"/>
    <n v="1"/>
    <n v="0"/>
    <n v="0"/>
    <n v="0"/>
    <n v="0"/>
    <n v="0"/>
    <n v="0"/>
    <n v="0"/>
    <n v="0"/>
  </r>
  <r>
    <d v="2022-07-21T00:00:00"/>
    <n v="2022"/>
    <x v="27"/>
    <s v="R"/>
    <s v="RS"/>
    <x v="7"/>
    <s v="NYL"/>
    <s v="H"/>
    <n v="3"/>
    <n v="1"/>
    <n v="2"/>
    <n v="-2"/>
    <n v="16"/>
    <n v="-16"/>
    <n v="1558.7255166632237"/>
    <n v="1401.5985784903526"/>
    <n v="0.828103421105434"/>
    <n v="78"/>
    <n v="69"/>
    <n v="0"/>
    <n v="9"/>
    <n v="1"/>
    <n v="0.35896850830517968"/>
    <n v="1"/>
    <n v="71.8"/>
    <n v="71.8"/>
    <n v="4.430451920913602"/>
    <n v="1563.1559685841373"/>
    <n v="1"/>
    <n v="0"/>
    <n v="0"/>
    <n v="0"/>
    <n v="0"/>
    <n v="0"/>
    <n v="0"/>
    <n v="0"/>
    <n v="0"/>
    <n v="0"/>
  </r>
  <r>
    <d v="2022-07-22T00:00:00"/>
    <n v="2022"/>
    <x v="25"/>
    <s v="R"/>
    <s v="RS"/>
    <x v="9"/>
    <s v="CHI"/>
    <s v="A"/>
    <n v="5"/>
    <n v="1"/>
    <n v="4"/>
    <n v="-4"/>
    <n v="16"/>
    <n v="-16"/>
    <n v="1460.4355421404839"/>
    <n v="1673.6578022651206"/>
    <n v="0.17847086201161719"/>
    <n v="83"/>
    <n v="89"/>
    <n v="0"/>
    <n v="-6"/>
    <n v="0"/>
    <n v="0.29828069172361699"/>
    <n v="1"/>
    <n v="72.099999999999994"/>
    <n v="72.099999999999994"/>
    <n v="-3.8382011176974795"/>
    <n v="1456.5973410227864"/>
    <n v="0"/>
    <n v="1"/>
    <n v="0"/>
    <n v="0"/>
    <n v="0"/>
    <n v="0"/>
    <n v="0"/>
    <n v="0"/>
    <n v="0"/>
    <n v="0"/>
  </r>
  <r>
    <d v="2022-07-22T00:00:00"/>
    <n v="2022"/>
    <x v="26"/>
    <s v="R"/>
    <s v="RS"/>
    <x v="1"/>
    <s v="DAL"/>
    <s v="H"/>
    <n v="1"/>
    <n v="5"/>
    <n v="-4"/>
    <n v="4"/>
    <n v="-16"/>
    <n v="16"/>
    <n v="1673.6578022651206"/>
    <n v="1460.4355421404839"/>
    <n v="0.8215291379883829"/>
    <n v="89"/>
    <n v="83"/>
    <n v="0"/>
    <n v="6"/>
    <n v="1"/>
    <n v="0.29828069172361699"/>
    <n v="1"/>
    <n v="71.95"/>
    <n v="71.95"/>
    <n v="3.8302159558714788"/>
    <n v="1677.488018220992"/>
    <n v="1"/>
    <n v="0"/>
    <n v="0"/>
    <n v="0"/>
    <n v="0"/>
    <n v="0"/>
    <n v="0"/>
    <n v="0"/>
    <n v="0"/>
    <n v="0"/>
  </r>
  <r>
    <d v="2022-07-22T00:00:00"/>
    <n v="2022"/>
    <x v="26"/>
    <s v="R"/>
    <s v="RS"/>
    <x v="10"/>
    <s v="MIN"/>
    <s v="A"/>
    <n v="2"/>
    <n v="4"/>
    <n v="-2"/>
    <n v="2"/>
    <n v="-16"/>
    <n v="16"/>
    <n v="1614.1077052398086"/>
    <n v="1487.4262713637368"/>
    <n v="0.51536697783895447"/>
    <n v="94"/>
    <n v="84"/>
    <n v="0"/>
    <n v="10"/>
    <n v="1"/>
    <n v="0.38272612115725985"/>
    <n v="1"/>
    <n v="71.95"/>
    <n v="71.95"/>
    <n v="13.345409520624226"/>
    <n v="1627.4531147604328"/>
    <n v="1"/>
    <n v="0"/>
    <n v="0"/>
    <n v="0"/>
    <n v="0"/>
    <n v="0"/>
    <n v="0"/>
    <n v="0"/>
    <n v="0"/>
    <n v="0"/>
  </r>
  <r>
    <d v="2022-07-22T00:00:00"/>
    <n v="2022"/>
    <x v="27"/>
    <s v="R"/>
    <s v="RS"/>
    <x v="4"/>
    <s v="CON"/>
    <s v="H"/>
    <n v="4"/>
    <n v="2"/>
    <n v="2"/>
    <n v="-2"/>
    <n v="16"/>
    <n v="-16"/>
    <n v="1487.4262713637368"/>
    <n v="1614.1077052398086"/>
    <n v="0.48463302216104548"/>
    <n v="84"/>
    <n v="94"/>
    <n v="0"/>
    <n v="-10"/>
    <n v="0"/>
    <n v="0.38272612115725985"/>
    <n v="1"/>
    <n v="71.8"/>
    <n v="71.8"/>
    <n v="-13.317587263110761"/>
    <n v="1474.1086841006261"/>
    <n v="0"/>
    <n v="1"/>
    <n v="0"/>
    <n v="0"/>
    <n v="0"/>
    <n v="0"/>
    <n v="0"/>
    <n v="0"/>
    <n v="0"/>
    <n v="0"/>
  </r>
  <r>
    <d v="2022-07-22T00:00:00"/>
    <n v="2022"/>
    <x v="26"/>
    <s v="R"/>
    <s v="RS"/>
    <x v="5"/>
    <s v="PHX"/>
    <s v="A"/>
    <n v="1"/>
    <n v="4"/>
    <n v="-3"/>
    <n v="3"/>
    <n v="-16"/>
    <n v="16"/>
    <n v="1589.7749233665556"/>
    <n v="1454.6507312135423"/>
    <n v="0.52749416295717921"/>
    <n v="78"/>
    <n v="94"/>
    <n v="0"/>
    <n v="-16"/>
    <n v="0"/>
    <n v="0.465382353482862"/>
    <n v="1"/>
    <n v="71.95"/>
    <n v="71.95"/>
    <n v="-17.662751876644602"/>
    <n v="1572.1121714899111"/>
    <n v="0"/>
    <n v="1"/>
    <n v="0"/>
    <n v="0"/>
    <n v="0"/>
    <n v="0"/>
    <n v="0"/>
    <n v="0"/>
    <n v="0"/>
    <n v="0"/>
  </r>
  <r>
    <d v="2022-07-22T00:00:00"/>
    <n v="2022"/>
    <x v="27"/>
    <s v="R"/>
    <s v="RS"/>
    <x v="3"/>
    <s v="SEA"/>
    <s v="H"/>
    <n v="4"/>
    <n v="1"/>
    <n v="3"/>
    <n v="-3"/>
    <n v="16"/>
    <n v="-16"/>
    <n v="1454.6507312135423"/>
    <n v="1589.7749233665556"/>
    <n v="0.47250583704282079"/>
    <n v="94"/>
    <n v="78"/>
    <n v="0"/>
    <n v="16"/>
    <n v="1"/>
    <n v="0.465382353482862"/>
    <n v="1"/>
    <n v="71.8"/>
    <n v="71.8"/>
    <n v="17.625928905393778"/>
    <n v="1472.276660118936"/>
    <n v="1"/>
    <n v="0"/>
    <n v="0"/>
    <n v="0"/>
    <n v="0"/>
    <n v="0"/>
    <n v="0"/>
    <n v="0"/>
    <n v="0"/>
    <n v="0"/>
  </r>
  <r>
    <d v="2022-07-23T00:00:00"/>
    <n v="2022"/>
    <x v="26"/>
    <s v="R"/>
    <s v="RS"/>
    <x v="0"/>
    <s v="LVA"/>
    <s v="A"/>
    <n v="1"/>
    <n v="1"/>
    <n v="0"/>
    <n v="0"/>
    <n v="0"/>
    <n v="0"/>
    <n v="1443.9244858364616"/>
    <n v="1611.1758744133861"/>
    <n v="0.19056868272519809"/>
    <n v="66"/>
    <n v="84"/>
    <n v="0"/>
    <n v="-18"/>
    <n v="0"/>
    <n v="0.47994152650638627"/>
    <n v="1"/>
    <n v="71.95"/>
    <n v="71.95"/>
    <n v="-6.5806782721593073"/>
    <n v="1437.3438075643023"/>
    <n v="0"/>
    <n v="1"/>
    <n v="0"/>
    <n v="0"/>
    <n v="0"/>
    <n v="0"/>
    <n v="0"/>
    <n v="0"/>
    <n v="0"/>
    <n v="0"/>
  </r>
  <r>
    <d v="2022-07-23T00:00:00"/>
    <n v="2022"/>
    <x v="27"/>
    <s v="R"/>
    <s v="RS"/>
    <x v="2"/>
    <s v="LAS"/>
    <s v="H"/>
    <n v="1"/>
    <n v="1"/>
    <n v="0"/>
    <n v="0"/>
    <n v="0"/>
    <n v="0"/>
    <n v="1611.1758744133861"/>
    <n v="1443.9244858364616"/>
    <n v="0.80943131727480189"/>
    <n v="84"/>
    <n v="66"/>
    <n v="0"/>
    <n v="18"/>
    <n v="1"/>
    <n v="0.47994152650638627"/>
    <n v="1"/>
    <n v="71.8"/>
    <n v="71.8"/>
    <n v="6.5669589984855916"/>
    <n v="1617.7428334118717"/>
    <n v="1"/>
    <n v="0"/>
    <n v="0"/>
    <n v="0"/>
    <n v="0"/>
    <n v="0"/>
    <n v="0"/>
    <n v="0"/>
    <n v="0"/>
    <n v="0"/>
  </r>
  <r>
    <d v="2022-07-23T00:00:00"/>
    <n v="2022"/>
    <x v="27"/>
    <s v="R"/>
    <s v="RS"/>
    <x v="1"/>
    <s v="NYL"/>
    <s v="A"/>
    <n v="0"/>
    <n v="1"/>
    <n v="-1"/>
    <n v="1"/>
    <n v="-8"/>
    <n v="8"/>
    <n v="1677.488018220992"/>
    <n v="1397.1496149318864"/>
    <n v="0.73848541535025891"/>
    <n v="80"/>
    <n v="83"/>
    <n v="0"/>
    <n v="-3"/>
    <n v="0"/>
    <n v="0.2352301504471902"/>
    <n v="1"/>
    <n v="71.8"/>
    <n v="71.8"/>
    <n v="-12.472667738553413"/>
    <n v="1665.0153504824386"/>
    <n v="0"/>
    <n v="1"/>
    <n v="0"/>
    <n v="0"/>
    <n v="0"/>
    <n v="0"/>
    <n v="0"/>
    <n v="0"/>
    <n v="0"/>
    <n v="0"/>
  </r>
  <r>
    <d v="2022-07-23T00:00:00"/>
    <n v="2022"/>
    <x v="26"/>
    <s v="R"/>
    <s v="RS"/>
    <x v="11"/>
    <s v="CHI"/>
    <s v="H"/>
    <n v="1"/>
    <n v="0"/>
    <n v="1"/>
    <n v="-1"/>
    <n v="8"/>
    <n v="-8"/>
    <n v="1397.1496149318864"/>
    <n v="1677.488018220992"/>
    <n v="0.2615145846497412"/>
    <n v="83"/>
    <n v="80"/>
    <n v="0"/>
    <n v="3"/>
    <n v="1"/>
    <n v="0.2352301504471902"/>
    <n v="1"/>
    <n v="71.95"/>
    <n v="71.95"/>
    <n v="12.498724843856799"/>
    <n v="1409.6483397757431"/>
    <n v="1"/>
    <n v="0"/>
    <n v="0"/>
    <n v="0"/>
    <n v="0"/>
    <n v="0"/>
    <n v="0"/>
    <n v="0"/>
    <n v="0"/>
    <n v="0"/>
  </r>
  <r>
    <d v="2022-07-24T00:00:00"/>
    <n v="2022"/>
    <x v="26"/>
    <s v="R"/>
    <s v="RS"/>
    <x v="9"/>
    <s v="IND"/>
    <s v="A"/>
    <n v="1"/>
    <n v="2"/>
    <n v="-1"/>
    <n v="1"/>
    <n v="-8"/>
    <n v="8"/>
    <n v="1456.5973410227864"/>
    <n v="1260.7213821428068"/>
    <n v="0.63457777351781686"/>
    <n v="96"/>
    <n v="86"/>
    <n v="0"/>
    <n v="10"/>
    <n v="1"/>
    <n v="0.36375412583661998"/>
    <n v="1"/>
    <n v="71.95"/>
    <n v="71.95"/>
    <n v="9.5638704718536829"/>
    <n v="1466.1612114946402"/>
    <n v="1"/>
    <n v="0"/>
    <n v="0"/>
    <n v="0"/>
    <n v="0"/>
    <n v="0"/>
    <n v="0"/>
    <n v="0"/>
    <n v="0"/>
    <n v="0"/>
  </r>
  <r>
    <d v="2022-07-24T00:00:00"/>
    <n v="2022"/>
    <x v="29"/>
    <s v="R"/>
    <s v="RS"/>
    <x v="6"/>
    <s v="DAL"/>
    <s v="H"/>
    <n v="2"/>
    <n v="1"/>
    <n v="1"/>
    <n v="-1"/>
    <n v="8"/>
    <n v="-8"/>
    <n v="1260.7213821428068"/>
    <n v="1456.5973410227864"/>
    <n v="0.3654222264821832"/>
    <n v="86"/>
    <n v="96"/>
    <n v="0"/>
    <n v="-10"/>
    <n v="0"/>
    <n v="0.36375412583661998"/>
    <n v="1"/>
    <n v="71.5"/>
    <n v="71.5"/>
    <n v="-9.5040547427038007"/>
    <n v="1251.2173274001029"/>
    <n v="0"/>
    <n v="1"/>
    <n v="0"/>
    <n v="0"/>
    <n v="0"/>
    <n v="0"/>
    <n v="0"/>
    <n v="0"/>
    <n v="0"/>
    <n v="0"/>
  </r>
  <r>
    <d v="2022-07-24T00:00:00"/>
    <n v="2022"/>
    <x v="27"/>
    <s v="R"/>
    <s v="RS"/>
    <x v="10"/>
    <s v="MIN"/>
    <s v="A"/>
    <n v="1"/>
    <n v="1"/>
    <n v="0"/>
    <n v="0"/>
    <n v="0"/>
    <n v="0"/>
    <n v="1627.4531147604328"/>
    <n v="1474.1086841006261"/>
    <n v="0.59849030134897929"/>
    <n v="86"/>
    <n v="79"/>
    <n v="0"/>
    <n v="7"/>
    <n v="1"/>
    <n v="0.32817115652373469"/>
    <n v="1"/>
    <n v="71.8"/>
    <n v="71.8"/>
    <n v="9.4606481752173579"/>
    <n v="1636.9137629356501"/>
    <n v="1"/>
    <n v="0"/>
    <n v="0"/>
    <n v="0"/>
    <n v="0"/>
    <n v="0"/>
    <n v="0"/>
    <n v="0"/>
    <n v="0"/>
    <n v="0"/>
  </r>
  <r>
    <d v="2022-07-24T00:00:00"/>
    <n v="2022"/>
    <x v="28"/>
    <s v="R"/>
    <s v="RS"/>
    <x v="4"/>
    <s v="CON"/>
    <s v="H"/>
    <n v="1"/>
    <n v="1"/>
    <n v="0"/>
    <n v="0"/>
    <n v="0"/>
    <n v="0"/>
    <n v="1474.1086841006261"/>
    <n v="1627.4531147604328"/>
    <n v="0.40150969865102071"/>
    <n v="79"/>
    <n v="86"/>
    <n v="0"/>
    <n v="-7"/>
    <n v="0"/>
    <n v="0.32817115652373469"/>
    <n v="1"/>
    <n v="71.650000000000006"/>
    <n v="71.650000000000006"/>
    <n v="-9.4408835898930903"/>
    <n v="1464.6678005107331"/>
    <n v="0"/>
    <n v="1"/>
    <n v="0"/>
    <n v="0"/>
    <n v="0"/>
    <n v="0"/>
    <n v="0"/>
    <n v="0"/>
    <n v="0"/>
    <n v="0"/>
  </r>
  <r>
    <d v="2022-07-24T00:00:00"/>
    <n v="2022"/>
    <x v="27"/>
    <s v="R"/>
    <s v="RS"/>
    <x v="8"/>
    <s v="SEA"/>
    <s v="A"/>
    <n v="2"/>
    <n v="1"/>
    <n v="1"/>
    <n v="-1"/>
    <n v="8"/>
    <n v="-8"/>
    <n v="1444.4029906276494"/>
    <n v="1572.1121714899111"/>
    <n v="0.24479047143176141"/>
    <n v="72"/>
    <n v="82"/>
    <n v="0"/>
    <n v="-10"/>
    <n v="0"/>
    <n v="0.38242986229031428"/>
    <n v="1"/>
    <n v="71.8"/>
    <n v="71.8"/>
    <n v="-6.7215703748774072"/>
    <n v="1437.6814202527719"/>
    <n v="0"/>
    <n v="1"/>
    <n v="0"/>
    <n v="0"/>
    <n v="0"/>
    <n v="0"/>
    <n v="0"/>
    <n v="0"/>
    <n v="0"/>
    <n v="0"/>
  </r>
  <r>
    <d v="2022-07-24T00:00:00"/>
    <n v="2022"/>
    <x v="27"/>
    <s v="R"/>
    <s v="RS"/>
    <x v="5"/>
    <s v="ATL"/>
    <s v="H"/>
    <n v="1"/>
    <n v="2"/>
    <n v="-1"/>
    <n v="1"/>
    <n v="-8"/>
    <n v="8"/>
    <n v="1572.1121714899111"/>
    <n v="1444.4029906276494"/>
    <n v="0.75520952856823853"/>
    <n v="82"/>
    <n v="72"/>
    <n v="0"/>
    <n v="10"/>
    <n v="1"/>
    <n v="0.38242986229031428"/>
    <n v="1"/>
    <n v="71.8"/>
    <n v="71.8"/>
    <n v="6.721570374877408"/>
    <n v="1578.8337418647886"/>
    <n v="1"/>
    <n v="0"/>
    <n v="0"/>
    <n v="0"/>
    <n v="0"/>
    <n v="0"/>
    <n v="0"/>
    <n v="0"/>
    <n v="0"/>
    <n v="0"/>
  </r>
  <r>
    <d v="2022-07-28T00:00:00"/>
    <n v="2022"/>
    <x v="29"/>
    <s v="R"/>
    <s v="RS"/>
    <x v="4"/>
    <s v="ATL"/>
    <s v="A"/>
    <n v="3"/>
    <n v="3"/>
    <n v="0"/>
    <n v="0"/>
    <n v="0"/>
    <n v="0"/>
    <n v="1464.6678005107331"/>
    <n v="1437.6814202527719"/>
    <n v="0.41867943959706339"/>
    <n v="92"/>
    <n v="85"/>
    <n v="0"/>
    <n v="7"/>
    <n v="1"/>
    <n v="0.3619670227237653"/>
    <n v="1"/>
    <n v="71.5"/>
    <n v="71.5"/>
    <n v="15.044949383547063"/>
    <n v="1479.71274989428"/>
    <n v="1"/>
    <n v="0"/>
    <n v="0"/>
    <n v="0"/>
    <n v="0"/>
    <n v="0"/>
    <n v="0"/>
    <n v="0"/>
    <n v="0"/>
    <n v="0"/>
  </r>
  <r>
    <d v="2022-07-28T00:00:00"/>
    <n v="2022"/>
    <x v="28"/>
    <s v="R"/>
    <s v="RS"/>
    <x v="8"/>
    <s v="MIN"/>
    <s v="H"/>
    <n v="3"/>
    <n v="3"/>
    <n v="0"/>
    <n v="0"/>
    <n v="0"/>
    <n v="0"/>
    <n v="1437.6814202527719"/>
    <n v="1464.6678005107331"/>
    <n v="0.58132056040293656"/>
    <n v="85"/>
    <n v="92"/>
    <n v="0"/>
    <n v="-7"/>
    <n v="0"/>
    <n v="0.3619670227237653"/>
    <n v="1"/>
    <n v="71.650000000000006"/>
    <n v="71.650000000000006"/>
    <n v="-15.076512214421637"/>
    <n v="1422.6049080383502"/>
    <n v="0"/>
    <n v="1"/>
    <n v="0"/>
    <n v="0"/>
    <n v="0"/>
    <n v="0"/>
    <n v="0"/>
    <n v="0"/>
    <n v="0"/>
    <n v="0"/>
  </r>
  <r>
    <d v="2022-07-28T00:00:00"/>
    <n v="2022"/>
    <x v="28"/>
    <s v="R"/>
    <s v="RS"/>
    <x v="5"/>
    <s v="CON"/>
    <s v="A"/>
    <n v="3"/>
    <n v="3"/>
    <n v="0"/>
    <n v="0"/>
    <n v="0"/>
    <n v="0"/>
    <n v="1578.8337418647886"/>
    <n v="1636.9137629356501"/>
    <n v="0.30621421358409057"/>
    <n v="83"/>
    <n v="88"/>
    <n v="0"/>
    <n v="-5"/>
    <n v="0"/>
    <n v="0.31644026125987884"/>
    <n v="1"/>
    <n v="71.650000000000006"/>
    <n v="71.650000000000006"/>
    <n v="-6.9427779368469196"/>
    <n v="1571.8909639279418"/>
    <n v="0"/>
    <n v="1"/>
    <n v="0"/>
    <n v="0"/>
    <n v="0"/>
    <n v="0"/>
    <n v="0"/>
    <n v="0"/>
    <n v="0"/>
    <n v="0"/>
  </r>
  <r>
    <d v="2022-07-28T00:00:00"/>
    <n v="2022"/>
    <x v="28"/>
    <s v="R"/>
    <s v="RS"/>
    <x v="10"/>
    <s v="SEA"/>
    <s v="H"/>
    <n v="3"/>
    <n v="3"/>
    <n v="0"/>
    <n v="0"/>
    <n v="0"/>
    <n v="0"/>
    <n v="1636.9137629356501"/>
    <n v="1578.8337418647886"/>
    <n v="0.69378578641590949"/>
    <n v="88"/>
    <n v="83"/>
    <n v="0"/>
    <n v="5"/>
    <n v="1"/>
    <n v="0.31644026125987884"/>
    <n v="1"/>
    <n v="71.650000000000006"/>
    <n v="71.650000000000006"/>
    <n v="6.9427779368469187"/>
    <n v="1643.8565408724969"/>
    <n v="1"/>
    <n v="0"/>
    <n v="0"/>
    <n v="0"/>
    <n v="0"/>
    <n v="0"/>
    <n v="0"/>
    <n v="0"/>
    <n v="0"/>
    <n v="0"/>
  </r>
  <r>
    <d v="2022-07-28T00:00:00"/>
    <n v="2022"/>
    <x v="28"/>
    <s v="R"/>
    <s v="RS"/>
    <x v="7"/>
    <s v="DAL"/>
    <s v="A"/>
    <n v="6"/>
    <n v="3"/>
    <n v="3"/>
    <n v="-3"/>
    <n v="16"/>
    <n v="-16"/>
    <n v="1563.1559685841373"/>
    <n v="1466.1612114946402"/>
    <n v="0.56439307024306751"/>
    <n v="87"/>
    <n v="77"/>
    <n v="0"/>
    <n v="10"/>
    <n v="1"/>
    <n v="0.39148626964241756"/>
    <n v="1"/>
    <n v="71.650000000000006"/>
    <n v="71.650000000000006"/>
    <n v="12.218770555000502"/>
    <n v="1575.3747391391378"/>
    <n v="1"/>
    <n v="0"/>
    <n v="0"/>
    <n v="0"/>
    <n v="0"/>
    <n v="0"/>
    <n v="0"/>
    <n v="0"/>
    <n v="0"/>
    <n v="0"/>
  </r>
  <r>
    <d v="2022-07-28T00:00:00"/>
    <n v="2022"/>
    <x v="27"/>
    <s v="R"/>
    <s v="RS"/>
    <x v="9"/>
    <s v="WAS"/>
    <s v="H"/>
    <n v="3"/>
    <n v="6"/>
    <n v="-3"/>
    <n v="3"/>
    <n v="-16"/>
    <n v="16"/>
    <n v="1466.1612114946402"/>
    <n v="1563.1559685841373"/>
    <n v="0.43560692975693244"/>
    <n v="77"/>
    <n v="87"/>
    <n v="0"/>
    <n v="-10"/>
    <n v="0"/>
    <n v="0.39148626964241756"/>
    <n v="1"/>
    <n v="71.8"/>
    <n v="71.8"/>
    <n v="-12.244350674794637"/>
    <n v="1453.9168608198456"/>
    <n v="0"/>
    <n v="1"/>
    <n v="0"/>
    <n v="0"/>
    <n v="0"/>
    <n v="0"/>
    <n v="0"/>
    <n v="0"/>
    <n v="0"/>
    <n v="0"/>
  </r>
  <r>
    <d v="2022-07-28T00:00:00"/>
    <n v="2022"/>
    <x v="27"/>
    <s v="R"/>
    <s v="RS"/>
    <x v="0"/>
    <s v="PHX"/>
    <s v="A"/>
    <n v="4"/>
    <n v="5"/>
    <n v="-1"/>
    <n v="1"/>
    <n v="-8"/>
    <n v="8"/>
    <n v="1437.3438075643023"/>
    <n v="1472.276660118936"/>
    <n v="0.31502379233695693"/>
    <n v="80"/>
    <n v="90"/>
    <n v="0"/>
    <n v="-10"/>
    <n v="0"/>
    <n v="0.41116052435432116"/>
    <n v="1"/>
    <n v="71.8"/>
    <n v="71.8"/>
    <n v="-9.2999199606489285"/>
    <n v="1428.0438876036535"/>
    <n v="0"/>
    <n v="1"/>
    <n v="0"/>
    <n v="0"/>
    <n v="0"/>
    <n v="0"/>
    <n v="0"/>
    <n v="0"/>
    <n v="0"/>
    <n v="0"/>
  </r>
  <r>
    <d v="2022-07-28T00:00:00"/>
    <n v="2022"/>
    <x v="28"/>
    <s v="R"/>
    <s v="RS"/>
    <x v="3"/>
    <s v="LAS"/>
    <s v="H"/>
    <n v="5"/>
    <n v="4"/>
    <n v="1"/>
    <n v="-1"/>
    <n v="8"/>
    <n v="-8"/>
    <n v="1472.276660118936"/>
    <n v="1437.3438075643023"/>
    <n v="0.68497620766304312"/>
    <n v="90"/>
    <n v="80"/>
    <n v="0"/>
    <n v="10"/>
    <n v="1"/>
    <n v="0.41116052435432116"/>
    <n v="1"/>
    <n v="71.650000000000006"/>
    <n v="71.650000000000006"/>
    <n v="9.2804911585027252"/>
    <n v="1481.5571512774386"/>
    <n v="1"/>
    <n v="0"/>
    <n v="0"/>
    <n v="0"/>
    <n v="0"/>
    <n v="0"/>
    <n v="0"/>
    <n v="0"/>
    <n v="0"/>
    <n v="0"/>
  </r>
  <r>
    <d v="2022-07-29T00:00:00"/>
    <n v="2022"/>
    <x v="27"/>
    <s v="R"/>
    <s v="RS"/>
    <x v="11"/>
    <s v="CHI"/>
    <s v="A"/>
    <n v="5"/>
    <n v="5"/>
    <n v="0"/>
    <n v="0"/>
    <n v="0"/>
    <n v="0"/>
    <n v="1409.6483397757431"/>
    <n v="1665.0153504824386"/>
    <n v="0.12416639644267766"/>
    <n v="81"/>
    <n v="89"/>
    <n v="0"/>
    <n v="-8"/>
    <n v="0"/>
    <n v="0.32017947265228802"/>
    <n v="1"/>
    <n v="71.8"/>
    <n v="71.8"/>
    <n v="-2.8544471497920747"/>
    <n v="1406.793892625951"/>
    <n v="0"/>
    <n v="1"/>
    <n v="0"/>
    <n v="0"/>
    <n v="0"/>
    <n v="0"/>
    <n v="0"/>
    <n v="0"/>
    <n v="0"/>
    <n v="0"/>
  </r>
  <r>
    <d v="2022-07-29T00:00:00"/>
    <n v="2022"/>
    <x v="28"/>
    <s v="R"/>
    <s v="RS"/>
    <x v="1"/>
    <s v="NYL"/>
    <s v="H"/>
    <n v="5"/>
    <n v="5"/>
    <n v="0"/>
    <n v="0"/>
    <n v="0"/>
    <n v="0"/>
    <n v="1665.0153504824386"/>
    <n v="1409.6483397757431"/>
    <n v="0.87583360355732243"/>
    <n v="89"/>
    <n v="81"/>
    <n v="0"/>
    <n v="8"/>
    <n v="1"/>
    <n v="0.32017947265228802"/>
    <n v="1"/>
    <n v="71.650000000000006"/>
    <n v="71.650000000000006"/>
    <n v="2.8484838200919507"/>
    <n v="1667.8638343025307"/>
    <n v="1"/>
    <n v="0"/>
    <n v="0"/>
    <n v="0"/>
    <n v="0"/>
    <n v="0"/>
    <n v="0"/>
    <n v="0"/>
    <n v="0"/>
    <n v="0"/>
  </r>
  <r>
    <d v="2022-07-29T00:00:00"/>
    <n v="2022"/>
    <x v="28"/>
    <s v="R"/>
    <s v="RS"/>
    <x v="2"/>
    <s v="IND"/>
    <s v="A"/>
    <n v="5"/>
    <n v="4"/>
    <n v="1"/>
    <n v="-1"/>
    <n v="8"/>
    <n v="-8"/>
    <n v="1617.7428334118717"/>
    <n v="1251.2173274001029"/>
    <n v="0.84792920131348704"/>
    <n v="93"/>
    <n v="72"/>
    <n v="0"/>
    <n v="21"/>
    <n v="1"/>
    <n v="0.45086501599519974"/>
    <n v="1"/>
    <n v="71.650000000000006"/>
    <n v="71.650000000000006"/>
    <n v="4.9125678308394489"/>
    <n v="1622.6554012427112"/>
    <n v="1"/>
    <n v="0"/>
    <n v="0"/>
    <n v="0"/>
    <n v="0"/>
    <n v="0"/>
    <n v="0"/>
    <n v="0"/>
    <n v="0"/>
    <n v="0"/>
  </r>
  <r>
    <d v="2022-07-29T00:00:00"/>
    <n v="2022"/>
    <x v="30"/>
    <s v="R"/>
    <s v="RS"/>
    <x v="6"/>
    <s v="LVA"/>
    <s v="H"/>
    <n v="4"/>
    <n v="5"/>
    <n v="-1"/>
    <n v="1"/>
    <n v="-8"/>
    <n v="8"/>
    <n v="1251.2173274001029"/>
    <n v="1617.7428334118717"/>
    <n v="0.15207079868651291"/>
    <n v="72"/>
    <n v="93"/>
    <n v="0"/>
    <n v="-21"/>
    <n v="0"/>
    <n v="0.45086501599519974"/>
    <n v="1"/>
    <n v="71.349999999999994"/>
    <n v="71.349999999999994"/>
    <n v="-4.8919988099147877"/>
    <n v="1246.3253285901881"/>
    <n v="0"/>
    <n v="1"/>
    <n v="0"/>
    <n v="0"/>
    <n v="0"/>
    <n v="0"/>
    <n v="0"/>
    <n v="0"/>
    <n v="0"/>
    <n v="0"/>
  </r>
  <r>
    <d v="2022-07-30T00:00:00"/>
    <n v="2022"/>
    <x v="28"/>
    <s v="R"/>
    <s v="RS"/>
    <x v="9"/>
    <s v="ATL"/>
    <s v="A"/>
    <n v="1"/>
    <n v="1"/>
    <n v="0"/>
    <n v="0"/>
    <n v="0"/>
    <n v="0"/>
    <n v="1453.9168608198456"/>
    <n v="1422.6049080383502"/>
    <n v="0.42475175632354323"/>
    <n v="81"/>
    <n v="68"/>
    <n v="0"/>
    <n v="13"/>
    <n v="1"/>
    <n v="0.46003980185309046"/>
    <n v="1"/>
    <n v="71.650000000000006"/>
    <n v="71.650000000000006"/>
    <n v="18.961247357869357"/>
    <n v="1472.8781081777149"/>
    <n v="1"/>
    <n v="0"/>
    <n v="0"/>
    <n v="0"/>
    <n v="0"/>
    <n v="0"/>
    <n v="0"/>
    <n v="0"/>
    <n v="0"/>
    <n v="0"/>
  </r>
  <r>
    <d v="2022-07-30T00:00:00"/>
    <n v="2022"/>
    <x v="29"/>
    <s v="R"/>
    <s v="RS"/>
    <x v="8"/>
    <s v="DAL"/>
    <s v="H"/>
    <n v="1"/>
    <n v="1"/>
    <n v="0"/>
    <n v="0"/>
    <n v="0"/>
    <n v="0"/>
    <n v="1422.6049080383502"/>
    <n v="1453.9168608198456"/>
    <n v="0.57524824367645677"/>
    <n v="68"/>
    <n v="81"/>
    <n v="0"/>
    <n v="-13"/>
    <n v="0"/>
    <n v="0.46003980185309046"/>
    <n v="1"/>
    <n v="71.5"/>
    <n v="71.5"/>
    <n v="-18.921551794663763"/>
    <n v="1403.6833562436864"/>
    <n v="0"/>
    <n v="1"/>
    <n v="0"/>
    <n v="0"/>
    <n v="0"/>
    <n v="0"/>
    <n v="0"/>
    <n v="0"/>
    <n v="0"/>
    <n v="0"/>
  </r>
  <r>
    <d v="2022-07-30T00:00:00"/>
    <n v="2022"/>
    <x v="29"/>
    <s v="R"/>
    <s v="RS"/>
    <x v="5"/>
    <s v="WAS"/>
    <s v="A"/>
    <n v="1"/>
    <n v="1"/>
    <n v="0"/>
    <n v="0"/>
    <n v="0"/>
    <n v="0"/>
    <n v="1571.8909639279418"/>
    <n v="1575.3747391391378"/>
    <n v="0.37669571200781821"/>
    <n v="82"/>
    <n v="77"/>
    <n v="0"/>
    <n v="5"/>
    <n v="1"/>
    <n v="0.33079562745549651"/>
    <n v="1"/>
    <n v="71.5"/>
    <n v="71.5"/>
    <n v="14.74232281250838"/>
    <n v="1586.6332867404501"/>
    <n v="1"/>
    <n v="0"/>
    <n v="0"/>
    <n v="0"/>
    <n v="0"/>
    <n v="0"/>
    <n v="0"/>
    <n v="0"/>
    <n v="0"/>
    <n v="0"/>
  </r>
  <r>
    <d v="2022-07-30T00:00:00"/>
    <n v="2022"/>
    <x v="29"/>
    <s v="R"/>
    <s v="RS"/>
    <x v="7"/>
    <s v="SEA"/>
    <s v="H"/>
    <n v="1"/>
    <n v="1"/>
    <n v="0"/>
    <n v="0"/>
    <n v="0"/>
    <n v="0"/>
    <n v="1575.3747391391378"/>
    <n v="1571.8909639279418"/>
    <n v="0.62330428799218185"/>
    <n v="77"/>
    <n v="82"/>
    <n v="0"/>
    <n v="-5"/>
    <n v="0"/>
    <n v="0.33079562745549651"/>
    <n v="1"/>
    <n v="71.5"/>
    <n v="71.5"/>
    <n v="-14.742322812508382"/>
    <n v="1560.6324163266295"/>
    <n v="0"/>
    <n v="1"/>
    <n v="0"/>
    <n v="0"/>
    <n v="0"/>
    <n v="0"/>
    <n v="0"/>
    <n v="0"/>
    <n v="0"/>
    <n v="0"/>
  </r>
  <r>
    <d v="2022-07-31T00:00:00"/>
    <n v="2022"/>
    <x v="29"/>
    <s v="R"/>
    <s v="RS"/>
    <x v="1"/>
    <s v="CON"/>
    <s v="A"/>
    <n v="1"/>
    <n v="2"/>
    <n v="-1"/>
    <n v="1"/>
    <n v="-8"/>
    <n v="8"/>
    <n v="1667.8638343025307"/>
    <n v="1643.8565408724969"/>
    <n v="0.39234894537127202"/>
    <n v="95"/>
    <n v="92"/>
    <n v="1"/>
    <n v="3"/>
    <n v="1"/>
    <n v="0.25604275764433509"/>
    <n v="1"/>
    <n v="71.5"/>
    <n v="71.5"/>
    <n v="11.124302597452902"/>
    <n v="1678.9881368999836"/>
    <n v="1"/>
    <n v="0"/>
    <n v="0"/>
    <n v="0"/>
    <n v="0"/>
    <n v="0"/>
    <n v="0"/>
    <n v="0"/>
    <n v="0"/>
    <n v="0"/>
  </r>
  <r>
    <d v="2022-07-31T00:00:00"/>
    <n v="2022"/>
    <x v="29"/>
    <s v="R"/>
    <s v="RS"/>
    <x v="10"/>
    <s v="CHI"/>
    <s v="H"/>
    <n v="2"/>
    <n v="1"/>
    <n v="1"/>
    <n v="-1"/>
    <n v="8"/>
    <n v="-8"/>
    <n v="1643.8565408724969"/>
    <n v="1667.8638343025307"/>
    <n v="0.60765105462872793"/>
    <n v="92"/>
    <n v="95"/>
    <n v="1"/>
    <n v="-3"/>
    <n v="0"/>
    <n v="0.25604275764433509"/>
    <n v="1"/>
    <n v="71.5"/>
    <n v="71.5"/>
    <n v="-11.124302597452902"/>
    <n v="1632.732238275044"/>
    <n v="0"/>
    <n v="1"/>
    <n v="0"/>
    <n v="0"/>
    <n v="0"/>
    <n v="0"/>
    <n v="0"/>
    <n v="0"/>
    <n v="0"/>
    <n v="0"/>
  </r>
  <r>
    <d v="2022-07-31T00:00:00"/>
    <n v="2022"/>
    <x v="29"/>
    <s v="R"/>
    <s v="RS"/>
    <x v="2"/>
    <s v="IND"/>
    <s v="A"/>
    <n v="1"/>
    <n v="1"/>
    <n v="0"/>
    <n v="0"/>
    <n v="0"/>
    <n v="0"/>
    <n v="1622.6554012427112"/>
    <n v="1246.3253285901881"/>
    <n v="0.84327324557327443"/>
    <n v="94"/>
    <n v="69"/>
    <n v="0"/>
    <n v="25"/>
    <n v="1"/>
    <n v="0.48823127048357529"/>
    <n v="1"/>
    <n v="71.5"/>
    <n v="71.5"/>
    <n v="5.4711015239257188"/>
    <n v="1628.1265027666368"/>
    <n v="1"/>
    <n v="0"/>
    <n v="0"/>
    <n v="0"/>
    <n v="0"/>
    <n v="0"/>
    <n v="0"/>
    <n v="0"/>
    <n v="0"/>
    <n v="0"/>
  </r>
  <r>
    <d v="2022-07-31T00:00:00"/>
    <n v="2022"/>
    <x v="31"/>
    <s v="R"/>
    <s v="RS"/>
    <x v="6"/>
    <s v="LVA"/>
    <s v="H"/>
    <n v="1"/>
    <n v="1"/>
    <n v="0"/>
    <n v="0"/>
    <n v="0"/>
    <n v="0"/>
    <n v="1246.3253285901881"/>
    <n v="1622.6554012427112"/>
    <n v="0.15672675442672557"/>
    <n v="69"/>
    <n v="94"/>
    <n v="0"/>
    <n v="-25"/>
    <n v="0"/>
    <n v="0.48823127048357529"/>
    <n v="1"/>
    <n v="71.2"/>
    <n v="71.2"/>
    <n v="-5.4481458531959603"/>
    <n v="1240.8771827369922"/>
    <n v="0"/>
    <n v="1"/>
    <n v="0"/>
    <n v="0"/>
    <n v="0"/>
    <n v="0"/>
    <n v="0"/>
    <n v="0"/>
    <n v="0"/>
    <n v="0"/>
  </r>
  <r>
    <d v="2022-07-31T00:00:00"/>
    <n v="2022"/>
    <x v="30"/>
    <s v="R"/>
    <s v="RS"/>
    <x v="4"/>
    <s v="LAS"/>
    <s v="A"/>
    <n v="2"/>
    <n v="2"/>
    <n v="0"/>
    <n v="0"/>
    <n v="0"/>
    <n v="0"/>
    <n v="1479.71274989428"/>
    <n v="1428.0438876036535"/>
    <n v="0.45360559305108716"/>
    <n v="84"/>
    <n v="77"/>
    <n v="0"/>
    <n v="7"/>
    <n v="1"/>
    <n v="0.35482915678816435"/>
    <n v="1"/>
    <n v="71.349999999999994"/>
    <n v="71.349999999999994"/>
    <n v="13.83310016843509"/>
    <n v="1493.5458500627151"/>
    <n v="1"/>
    <n v="0"/>
    <n v="0"/>
    <n v="0"/>
    <n v="0"/>
    <n v="0"/>
    <n v="0"/>
    <n v="0"/>
    <n v="0"/>
    <n v="0"/>
  </r>
  <r>
    <d v="2022-07-31T00:00:00"/>
    <n v="2022"/>
    <x v="28"/>
    <s v="R"/>
    <s v="RS"/>
    <x v="0"/>
    <s v="MIN"/>
    <s v="H"/>
    <n v="2"/>
    <n v="2"/>
    <n v="0"/>
    <n v="0"/>
    <n v="0"/>
    <n v="0"/>
    <n v="1428.0438876036535"/>
    <n v="1479.71274989428"/>
    <n v="0.54639440694891284"/>
    <n v="77"/>
    <n v="84"/>
    <n v="0"/>
    <n v="-7"/>
    <n v="0"/>
    <n v="0.35482915678816435"/>
    <n v="1"/>
    <n v="71.650000000000006"/>
    <n v="71.650000000000006"/>
    <n v="-13.891263168442528"/>
    <n v="1414.152624435211"/>
    <n v="0"/>
    <n v="1"/>
    <n v="0"/>
    <n v="0"/>
    <n v="0"/>
    <n v="0"/>
    <n v="0"/>
    <n v="0"/>
    <n v="0"/>
    <n v="0"/>
  </r>
  <r>
    <d v="2022-07-31T00:00:00"/>
    <n v="2022"/>
    <x v="29"/>
    <s v="R"/>
    <s v="RS"/>
    <x v="3"/>
    <s v="NYL"/>
    <s v="A"/>
    <n v="2"/>
    <n v="1"/>
    <n v="1"/>
    <n v="-1"/>
    <n v="8"/>
    <n v="-8"/>
    <n v="1481.5571512774386"/>
    <n v="1406.793892625951"/>
    <n v="0.5097318823788769"/>
    <n v="69"/>
    <n v="89"/>
    <n v="0"/>
    <n v="-20"/>
    <n v="0"/>
    <n v="0.54117093981856912"/>
    <n v="1"/>
    <n v="71.5"/>
    <n v="71.5"/>
    <n v="-19.723423851736257"/>
    <n v="1461.8337274257024"/>
    <n v="0"/>
    <n v="1"/>
    <n v="0"/>
    <n v="0"/>
    <n v="0"/>
    <n v="0"/>
    <n v="0"/>
    <n v="0"/>
    <n v="0"/>
    <n v="0"/>
  </r>
  <r>
    <d v="2022-07-31T00:00:00"/>
    <n v="2022"/>
    <x v="28"/>
    <s v="R"/>
    <s v="RS"/>
    <x v="11"/>
    <s v="PHX"/>
    <s v="H"/>
    <n v="1"/>
    <n v="2"/>
    <n v="-1"/>
    <n v="1"/>
    <n v="-8"/>
    <n v="8"/>
    <n v="1406.793892625951"/>
    <n v="1481.5571512774386"/>
    <n v="0.49026811762112316"/>
    <n v="89"/>
    <n v="69"/>
    <n v="0"/>
    <n v="20"/>
    <n v="1"/>
    <n v="0.54117093981856912"/>
    <n v="1"/>
    <n v="71.650000000000006"/>
    <n v="71.650000000000006"/>
    <n v="19.764801664012623"/>
    <n v="1426.5586942899636"/>
    <n v="1"/>
    <n v="0"/>
    <n v="0"/>
    <n v="0"/>
    <n v="0"/>
    <n v="0"/>
    <n v="0"/>
    <n v="0"/>
    <n v="0"/>
    <n v="0"/>
  </r>
  <r>
    <d v="2022-07-31T00:00:00"/>
    <n v="2022"/>
    <x v="30"/>
    <s v="R"/>
    <s v="RS"/>
    <x v="5"/>
    <s v="WAS"/>
    <s v="A"/>
    <n v="0"/>
    <n v="0"/>
    <n v="0"/>
    <n v="0"/>
    <n v="0"/>
    <n v="0"/>
    <n v="1586.6332867404501"/>
    <n v="1560.6324163266295"/>
    <n v="0.41729933339259778"/>
    <n v="75"/>
    <n v="78"/>
    <n v="0"/>
    <n v="-3"/>
    <n v="0"/>
    <n v="0.28402934591792944"/>
    <n v="1"/>
    <n v="71.349999999999994"/>
    <n v="71.349999999999994"/>
    <n v="-8.4567770666500337"/>
    <n v="1578.1765096738"/>
    <n v="0"/>
    <n v="1"/>
    <n v="0"/>
    <n v="0"/>
    <n v="0"/>
    <n v="0"/>
    <n v="0"/>
    <n v="0"/>
    <n v="0"/>
    <n v="0"/>
  </r>
  <r>
    <d v="2022-07-31T00:00:00"/>
    <n v="2022"/>
    <x v="30"/>
    <s v="R"/>
    <s v="RS"/>
    <x v="7"/>
    <s v="SEA"/>
    <s v="H"/>
    <n v="0"/>
    <n v="0"/>
    <n v="0"/>
    <n v="0"/>
    <n v="0"/>
    <n v="0"/>
    <n v="1560.6324163266295"/>
    <n v="1586.6332867404501"/>
    <n v="0.58270066660740216"/>
    <n v="78"/>
    <n v="75"/>
    <n v="0"/>
    <n v="3"/>
    <n v="1"/>
    <n v="0.28402934591792944"/>
    <n v="1"/>
    <n v="71.349999999999994"/>
    <n v="71.349999999999994"/>
    <n v="8.4567770666500355"/>
    <n v="1569.0891933932796"/>
    <n v="1"/>
    <n v="0"/>
    <n v="0"/>
    <n v="0"/>
    <n v="0"/>
    <n v="0"/>
    <n v="0"/>
    <n v="0"/>
    <n v="0"/>
    <n v="0"/>
  </r>
  <r>
    <d v="2022-08-02T00:00:00"/>
    <n v="2022"/>
    <x v="29"/>
    <s v="R"/>
    <s v="RS"/>
    <x v="9"/>
    <s v="CHI"/>
    <s v="A"/>
    <n v="2"/>
    <n v="1"/>
    <n v="1"/>
    <n v="-1"/>
    <n v="8"/>
    <n v="-8"/>
    <n v="1472.8781081777149"/>
    <n v="1678.9881368999836"/>
    <n v="0.17109250820147831"/>
    <n v="84"/>
    <n v="78"/>
    <n v="0"/>
    <n v="6"/>
    <n v="1"/>
    <n v="0.29978942237702433"/>
    <n v="1"/>
    <n v="71.5"/>
    <n v="71.5"/>
    <n v="17.767585419174083"/>
    <n v="1490.645693596889"/>
    <n v="1"/>
    <n v="0"/>
    <n v="0"/>
    <n v="0"/>
    <n v="0"/>
    <n v="0"/>
    <n v="0"/>
    <n v="0"/>
    <n v="0"/>
    <n v="0"/>
  </r>
  <r>
    <d v="2022-08-02T00:00:00"/>
    <n v="2022"/>
    <x v="30"/>
    <s v="R"/>
    <s v="RS"/>
    <x v="1"/>
    <s v="DAL"/>
    <s v="H"/>
    <n v="1"/>
    <n v="2"/>
    <n v="-1"/>
    <n v="1"/>
    <n v="-8"/>
    <n v="8"/>
    <n v="1678.9881368999836"/>
    <n v="1472.8781081777149"/>
    <n v="0.82890749179852174"/>
    <n v="78"/>
    <n v="84"/>
    <n v="0"/>
    <n v="-6"/>
    <n v="0"/>
    <n v="0.29978942237702433"/>
    <n v="1"/>
    <n v="71.349999999999994"/>
    <n v="71.349999999999994"/>
    <n v="-17.730310764448539"/>
    <n v="1661.257826135535"/>
    <n v="0"/>
    <n v="1"/>
    <n v="0"/>
    <n v="0"/>
    <n v="0"/>
    <n v="0"/>
    <n v="0"/>
    <n v="0"/>
    <n v="0"/>
    <n v="0"/>
  </r>
  <r>
    <d v="2022-08-02T00:00:00"/>
    <n v="2022"/>
    <x v="30"/>
    <s v="R"/>
    <s v="RS"/>
    <x v="3"/>
    <s v="CON"/>
    <s v="A"/>
    <n v="1"/>
    <n v="1"/>
    <n v="0"/>
    <n v="0"/>
    <n v="0"/>
    <n v="0"/>
    <n v="1461.8337274257024"/>
    <n v="1632.732238275044"/>
    <n v="0.18735124982925661"/>
    <n v="63"/>
    <n v="87"/>
    <n v="0"/>
    <n v="-24"/>
    <n v="0"/>
    <n v="0.55008967576348888"/>
    <n v="1"/>
    <n v="71.349999999999994"/>
    <n v="71.349999999999994"/>
    <n v="-7.3533301632400319"/>
    <n v="1454.4803972624622"/>
    <n v="0"/>
    <n v="1"/>
    <n v="0"/>
    <n v="0"/>
    <n v="0"/>
    <n v="0"/>
    <n v="0"/>
    <n v="0"/>
    <n v="0"/>
    <n v="0"/>
  </r>
  <r>
    <d v="2022-08-02T00:00:00"/>
    <n v="2022"/>
    <x v="30"/>
    <s v="R"/>
    <s v="RS"/>
    <x v="10"/>
    <s v="PHX"/>
    <s v="H"/>
    <n v="1"/>
    <n v="1"/>
    <n v="0"/>
    <n v="0"/>
    <n v="0"/>
    <n v="0"/>
    <n v="1632.732238275044"/>
    <n v="1461.8337274257024"/>
    <n v="0.81264875017074345"/>
    <n v="87"/>
    <n v="63"/>
    <n v="0"/>
    <n v="24"/>
    <n v="1"/>
    <n v="0.55008967576348888"/>
    <n v="1"/>
    <n v="71.349999999999994"/>
    <n v="71.349999999999994"/>
    <n v="7.3533301632400301"/>
    <n v="1640.0855684382841"/>
    <n v="1"/>
    <n v="0"/>
    <n v="0"/>
    <n v="0"/>
    <n v="0"/>
    <n v="0"/>
    <n v="0"/>
    <n v="0"/>
    <n v="0"/>
    <n v="0"/>
  </r>
  <r>
    <d v="2022-08-02T00:00:00"/>
    <n v="2022"/>
    <x v="29"/>
    <s v="R"/>
    <s v="RS"/>
    <x v="0"/>
    <s v="NYL"/>
    <s v="A"/>
    <n v="1"/>
    <n v="1"/>
    <n v="0"/>
    <n v="0"/>
    <n v="0"/>
    <n v="0"/>
    <n v="1414.152624435211"/>
    <n v="1426.5586942899636"/>
    <n v="0.36471489391304668"/>
    <n v="73"/>
    <n v="102"/>
    <n v="0"/>
    <n v="-29"/>
    <n v="0"/>
    <n v="0.68428851078955777"/>
    <n v="1"/>
    <n v="71.5"/>
    <n v="71.5"/>
    <n v="-17.844270130724915"/>
    <n v="1396.3083543044861"/>
    <n v="0"/>
    <n v="1"/>
    <n v="0"/>
    <n v="0"/>
    <n v="0"/>
    <n v="0"/>
    <n v="0"/>
    <n v="0"/>
    <n v="0"/>
    <n v="0"/>
  </r>
  <r>
    <d v="2022-08-02T00:00:00"/>
    <n v="2022"/>
    <x v="29"/>
    <s v="R"/>
    <s v="RS"/>
    <x v="11"/>
    <s v="LAS"/>
    <s v="H"/>
    <n v="1"/>
    <n v="1"/>
    <n v="0"/>
    <n v="0"/>
    <n v="0"/>
    <n v="0"/>
    <n v="1426.5586942899636"/>
    <n v="1414.152624435211"/>
    <n v="0.63528510608695332"/>
    <n v="102"/>
    <n v="73"/>
    <n v="0"/>
    <n v="29"/>
    <n v="1"/>
    <n v="0.68428851078955777"/>
    <n v="1"/>
    <n v="71.5"/>
    <n v="71.5"/>
    <n v="17.844270130724915"/>
    <n v="1444.4029644206885"/>
    <n v="1"/>
    <n v="0"/>
    <n v="0"/>
    <n v="0"/>
    <n v="0"/>
    <n v="0"/>
    <n v="0"/>
    <n v="0"/>
    <n v="0"/>
    <n v="0"/>
  </r>
  <r>
    <d v="2022-08-02T00:00:00"/>
    <n v="2022"/>
    <x v="30"/>
    <s v="R"/>
    <s v="RS"/>
    <x v="2"/>
    <s v="WAS"/>
    <s v="A"/>
    <n v="1"/>
    <n v="1"/>
    <n v="0"/>
    <n v="0"/>
    <n v="0"/>
    <n v="0"/>
    <n v="1628.1265027666368"/>
    <n v="1569.0891933932796"/>
    <n v="0.46413748892764856"/>
    <n v="73"/>
    <n v="83"/>
    <n v="0"/>
    <n v="-10"/>
    <n v="0"/>
    <n v="0.40328879487412395"/>
    <n v="1"/>
    <n v="71.349999999999994"/>
    <n v="71.349999999999994"/>
    <n v="-13.355396355150809"/>
    <n v="1614.771106411486"/>
    <n v="0"/>
    <n v="1"/>
    <n v="0"/>
    <n v="0"/>
    <n v="0"/>
    <n v="0"/>
    <n v="0"/>
    <n v="0"/>
    <n v="0"/>
    <n v="0"/>
  </r>
  <r>
    <d v="2022-08-02T00:00:00"/>
    <n v="2022"/>
    <x v="31"/>
    <s v="R"/>
    <s v="RS"/>
    <x v="7"/>
    <s v="LVA"/>
    <s v="H"/>
    <n v="1"/>
    <n v="1"/>
    <n v="0"/>
    <n v="0"/>
    <n v="0"/>
    <n v="0"/>
    <n v="1569.0891933932796"/>
    <n v="1628.1265027666368"/>
    <n v="0.5358625110723515"/>
    <n v="83"/>
    <n v="73"/>
    <n v="0"/>
    <n v="10"/>
    <n v="1"/>
    <n v="0.40328879487412395"/>
    <n v="1"/>
    <n v="71.2"/>
    <n v="71.2"/>
    <n v="13.327319137865979"/>
    <n v="1582.4165125311456"/>
    <n v="1"/>
    <n v="0"/>
    <n v="0"/>
    <n v="0"/>
    <n v="0"/>
    <n v="0"/>
    <n v="0"/>
    <n v="0"/>
    <n v="0"/>
    <n v="0"/>
  </r>
  <r>
    <d v="2022-08-03T00:00:00"/>
    <n v="2022"/>
    <x v="32"/>
    <s v="R"/>
    <s v="RS"/>
    <x v="6"/>
    <s v="ATL"/>
    <s v="A"/>
    <n v="2"/>
    <n v="3"/>
    <n v="-1"/>
    <n v="1"/>
    <n v="-8"/>
    <n v="8"/>
    <n v="1240.8771827369922"/>
    <n v="1403.6833562436864"/>
    <n v="0.18051918254757141"/>
    <n v="81"/>
    <n v="91"/>
    <n v="0"/>
    <n v="-10"/>
    <n v="0"/>
    <n v="0.37258096497480137"/>
    <n v="1"/>
    <n v="71.05"/>
    <n v="71.05"/>
    <n v="-4.7786816978940916"/>
    <n v="1236.098501039098"/>
    <n v="0"/>
    <n v="1"/>
    <n v="0"/>
    <n v="0"/>
    <n v="0"/>
    <n v="0"/>
    <n v="0"/>
    <n v="0"/>
    <n v="0"/>
    <n v="0"/>
  </r>
  <r>
    <d v="2022-08-03T00:00:00"/>
    <n v="2022"/>
    <x v="30"/>
    <s v="R"/>
    <s v="RS"/>
    <x v="8"/>
    <s v="IND"/>
    <s v="H"/>
    <n v="3"/>
    <n v="2"/>
    <n v="1"/>
    <n v="-1"/>
    <n v="8"/>
    <n v="-8"/>
    <n v="1403.6833562436864"/>
    <n v="1240.8771827369922"/>
    <n v="0.81948081745242862"/>
    <n v="91"/>
    <n v="81"/>
    <n v="0"/>
    <n v="10"/>
    <n v="1"/>
    <n v="0.37258096497480137"/>
    <n v="1"/>
    <n v="71.349999999999994"/>
    <n v="71.349999999999994"/>
    <n v="4.7988591012631012"/>
    <n v="1408.4822153449495"/>
    <n v="1"/>
    <n v="0"/>
    <n v="0"/>
    <n v="0"/>
    <n v="0"/>
    <n v="0"/>
    <n v="0"/>
    <n v="0"/>
    <n v="0"/>
    <n v="0"/>
  </r>
  <r>
    <d v="2022-08-03T00:00:00"/>
    <n v="2022"/>
    <x v="30"/>
    <s v="R"/>
    <s v="RS"/>
    <x v="0"/>
    <s v="NYL"/>
    <s v="A"/>
    <n v="0"/>
    <n v="0"/>
    <n v="0"/>
    <n v="0"/>
    <n v="0"/>
    <n v="0"/>
    <n v="1396.3083543044861"/>
    <n v="1444.4029644206885"/>
    <n v="0.31855992740056732"/>
    <n v="61"/>
    <n v="64"/>
    <n v="0"/>
    <n v="-3"/>
    <n v="0"/>
    <n v="0.2790014655107188"/>
    <n v="1"/>
    <n v="71.349999999999994"/>
    <n v="71.349999999999994"/>
    <n v="-6.3414942887492103"/>
    <n v="1389.966860015737"/>
    <n v="0"/>
    <n v="1"/>
    <n v="0"/>
    <n v="0"/>
    <n v="0"/>
    <n v="0"/>
    <n v="0"/>
    <n v="0"/>
    <n v="0"/>
    <n v="0"/>
  </r>
  <r>
    <d v="2022-08-03T00:00:00"/>
    <n v="2022"/>
    <x v="30"/>
    <s v="R"/>
    <s v="RS"/>
    <x v="11"/>
    <s v="LAS"/>
    <s v="H"/>
    <n v="0"/>
    <n v="0"/>
    <n v="0"/>
    <n v="0"/>
    <n v="0"/>
    <n v="0"/>
    <n v="1444.4029644206885"/>
    <n v="1396.3083543044861"/>
    <n v="0.68144007259943262"/>
    <n v="64"/>
    <n v="61"/>
    <n v="0"/>
    <n v="3"/>
    <n v="1"/>
    <n v="0.2790014655107188"/>
    <n v="1"/>
    <n v="71.349999999999994"/>
    <n v="71.349999999999994"/>
    <n v="6.3414942887492112"/>
    <n v="1450.7444587094376"/>
    <n v="1"/>
    <n v="0"/>
    <n v="0"/>
    <n v="0"/>
    <n v="0"/>
    <n v="0"/>
    <n v="0"/>
    <n v="0"/>
    <n v="0"/>
    <n v="0"/>
  </r>
  <r>
    <d v="2022-08-03T00:00:00"/>
    <n v="2022"/>
    <x v="31"/>
    <s v="R"/>
    <s v="RS"/>
    <x v="4"/>
    <s v="SEA"/>
    <s v="A"/>
    <n v="2"/>
    <n v="2"/>
    <n v="0"/>
    <n v="0"/>
    <n v="0"/>
    <n v="0"/>
    <n v="1493.5458500627151"/>
    <n v="1578.1765096738"/>
    <n v="0.27473778978724955"/>
    <n v="77"/>
    <n v="89"/>
    <n v="0"/>
    <n v="-12"/>
    <n v="0"/>
    <n v="0.42607992234714204"/>
    <n v="1"/>
    <n v="71.2"/>
    <n v="71.2"/>
    <n v="-8.3346902370524241"/>
    <n v="1485.2111598256627"/>
    <n v="0"/>
    <n v="1"/>
    <n v="0"/>
    <n v="0"/>
    <n v="0"/>
    <n v="0"/>
    <n v="0"/>
    <n v="0"/>
    <n v="0"/>
    <n v="0"/>
  </r>
  <r>
    <d v="2022-08-03T00:00:00"/>
    <n v="2022"/>
    <x v="31"/>
    <s v="R"/>
    <s v="RS"/>
    <x v="5"/>
    <s v="MIN"/>
    <s v="H"/>
    <n v="2"/>
    <n v="2"/>
    <n v="0"/>
    <n v="0"/>
    <n v="0"/>
    <n v="0"/>
    <n v="1578.1765096738"/>
    <n v="1493.5458500627151"/>
    <n v="0.7252622102127505"/>
    <n v="89"/>
    <n v="77"/>
    <n v="0"/>
    <n v="12"/>
    <n v="1"/>
    <n v="0.42607992234714204"/>
    <n v="1"/>
    <n v="71.2"/>
    <n v="71.2"/>
    <n v="8.3346902370524223"/>
    <n v="1586.5111999108524"/>
    <n v="1"/>
    <n v="0"/>
    <n v="0"/>
    <n v="0"/>
    <n v="0"/>
    <n v="0"/>
    <n v="0"/>
    <n v="0"/>
    <n v="0"/>
    <n v="0"/>
  </r>
  <r>
    <d v="2022-08-04T00:00:00"/>
    <n v="2022"/>
    <x v="31"/>
    <s v="R"/>
    <s v="RS"/>
    <x v="3"/>
    <s v="CON"/>
    <s v="A"/>
    <n v="1"/>
    <n v="1"/>
    <n v="0"/>
    <n v="0"/>
    <n v="0"/>
    <n v="0"/>
    <n v="1454.4803972624622"/>
    <n v="1640.0855684382841"/>
    <n v="0.17480161520566523"/>
    <n v="64"/>
    <n v="77"/>
    <n v="0"/>
    <n v="-13"/>
    <n v="0"/>
    <n v="0.40881235041599229"/>
    <n v="1"/>
    <n v="71.2"/>
    <n v="71.2"/>
    <n v="-5.0880274128142782"/>
    <n v="1449.392369849648"/>
    <n v="0"/>
    <n v="1"/>
    <n v="0"/>
    <n v="0"/>
    <n v="0"/>
    <n v="0"/>
    <n v="0"/>
    <n v="0"/>
    <n v="0"/>
    <n v="0"/>
  </r>
  <r>
    <d v="2022-08-04T00:00:00"/>
    <n v="2022"/>
    <x v="31"/>
    <s v="R"/>
    <s v="RS"/>
    <x v="10"/>
    <s v="PHX"/>
    <s v="H"/>
    <n v="1"/>
    <n v="1"/>
    <n v="0"/>
    <n v="0"/>
    <n v="0"/>
    <n v="0"/>
    <n v="1640.0855684382841"/>
    <n v="1454.4803972624622"/>
    <n v="0.82519838479433483"/>
    <n v="77"/>
    <n v="64"/>
    <n v="0"/>
    <n v="13"/>
    <n v="1"/>
    <n v="0.40881235041599229"/>
    <n v="1"/>
    <n v="71.2"/>
    <n v="71.2"/>
    <n v="5.0880274128142764"/>
    <n v="1645.1735958510983"/>
    <n v="1"/>
    <n v="0"/>
    <n v="0"/>
    <n v="0"/>
    <n v="0"/>
    <n v="0"/>
    <n v="0"/>
    <n v="0"/>
    <n v="0"/>
    <n v="0"/>
  </r>
  <r>
    <d v="2022-08-04T00:00:00"/>
    <n v="2022"/>
    <x v="31"/>
    <s v="R"/>
    <s v="RS"/>
    <x v="2"/>
    <s v="DAL"/>
    <s v="A"/>
    <n v="1"/>
    <n v="1"/>
    <n v="0"/>
    <n v="0"/>
    <n v="0"/>
    <n v="0"/>
    <n v="1614.771106411486"/>
    <n v="1490.645693596889"/>
    <n v="0.55748973865185836"/>
    <n v="80"/>
    <n v="82"/>
    <n v="0"/>
    <n v="-2"/>
    <n v="0"/>
    <n v="0.24273349175317682"/>
    <n v="1"/>
    <n v="71.2"/>
    <n v="71.2"/>
    <n v="-9.6348858786226472"/>
    <n v="1605.1362205328633"/>
    <n v="0"/>
    <n v="1"/>
    <n v="0"/>
    <n v="0"/>
    <n v="0"/>
    <n v="0"/>
    <n v="0"/>
    <n v="0"/>
    <n v="0"/>
    <n v="0"/>
  </r>
  <r>
    <d v="2022-08-04T00:00:00"/>
    <n v="2022"/>
    <x v="30"/>
    <s v="R"/>
    <s v="RS"/>
    <x v="9"/>
    <s v="LVA"/>
    <s v="H"/>
    <n v="1"/>
    <n v="1"/>
    <n v="0"/>
    <n v="0"/>
    <n v="0"/>
    <n v="0"/>
    <n v="1490.645693596889"/>
    <n v="1614.771106411486"/>
    <n v="0.44251026134814159"/>
    <n v="82"/>
    <n v="80"/>
    <n v="0"/>
    <n v="2"/>
    <n v="1"/>
    <n v="0.24273349175317682"/>
    <n v="1"/>
    <n v="71.349999999999994"/>
    <n v="71.349999999999994"/>
    <n v="9.6551840932545794"/>
    <n v="1500.3008776901436"/>
    <n v="1"/>
    <n v="0"/>
    <n v="0"/>
    <n v="0"/>
    <n v="0"/>
    <n v="0"/>
    <n v="0"/>
    <n v="0"/>
    <n v="0"/>
    <n v="0"/>
  </r>
  <r>
    <d v="2022-08-05T00:00:00"/>
    <n v="2022"/>
    <x v="31"/>
    <s v="R"/>
    <s v="RS"/>
    <x v="0"/>
    <s v="ATL"/>
    <s v="A"/>
    <n v="1"/>
    <n v="1"/>
    <n v="0"/>
    <n v="0"/>
    <n v="0"/>
    <n v="0"/>
    <n v="1389.966860015737"/>
    <n v="1408.4822153449495"/>
    <n v="0.35660598531148274"/>
    <n v="86"/>
    <n v="88"/>
    <n v="0"/>
    <n v="-2"/>
    <n v="0"/>
    <n v="0.2637714687516326"/>
    <n v="1"/>
    <n v="71.2"/>
    <n v="71.2"/>
    <n v="-6.6972488971997848"/>
    <n v="1383.2696111185371"/>
    <n v="0"/>
    <n v="1"/>
    <n v="0"/>
    <n v="0"/>
    <n v="0"/>
    <n v="0"/>
    <n v="0"/>
    <n v="0"/>
    <n v="0"/>
    <n v="0"/>
  </r>
  <r>
    <d v="2022-08-05T00:00:00"/>
    <n v="2022"/>
    <x v="31"/>
    <s v="R"/>
    <s v="RS"/>
    <x v="8"/>
    <s v="LAS"/>
    <s v="H"/>
    <n v="1"/>
    <n v="1"/>
    <n v="0"/>
    <n v="0"/>
    <n v="0"/>
    <n v="0"/>
    <n v="1408.4822153449495"/>
    <n v="1389.966860015737"/>
    <n v="0.64339401468851731"/>
    <n v="88"/>
    <n v="86"/>
    <n v="0"/>
    <n v="2"/>
    <n v="1"/>
    <n v="0.2637714687516326"/>
    <n v="1"/>
    <n v="71.2"/>
    <n v="71.2"/>
    <n v="6.6972488971997839"/>
    <n v="1415.1794642421494"/>
    <n v="1"/>
    <n v="0"/>
    <n v="0"/>
    <n v="0"/>
    <n v="0"/>
    <n v="0"/>
    <n v="0"/>
    <n v="0"/>
    <n v="0"/>
    <n v="0"/>
  </r>
  <r>
    <d v="2022-08-05T00:00:00"/>
    <n v="2022"/>
    <x v="32"/>
    <s v="R"/>
    <s v="RS"/>
    <x v="7"/>
    <s v="CHI"/>
    <s v="A"/>
    <n v="2"/>
    <n v="2"/>
    <n v="0"/>
    <n v="0"/>
    <n v="0"/>
    <n v="0"/>
    <n v="1582.4165125311456"/>
    <n v="1661.257826135535"/>
    <n v="0.28142786126801728"/>
    <n v="83"/>
    <n v="93"/>
    <n v="0"/>
    <n v="-10"/>
    <n v="0"/>
    <n v="0.39704350633437185"/>
    <n v="1"/>
    <n v="71.05"/>
    <n v="71.05"/>
    <n v="-7.9390633973215108"/>
    <n v="1574.4774491338242"/>
    <n v="0"/>
    <n v="1"/>
    <n v="0"/>
    <n v="0"/>
    <n v="0"/>
    <n v="0"/>
    <n v="0"/>
    <n v="0"/>
    <n v="0"/>
    <n v="0"/>
  </r>
  <r>
    <d v="2022-08-05T00:00:00"/>
    <n v="2022"/>
    <x v="31"/>
    <s v="R"/>
    <s v="RS"/>
    <x v="1"/>
    <s v="WAS"/>
    <s v="H"/>
    <n v="2"/>
    <n v="2"/>
    <n v="0"/>
    <n v="0"/>
    <n v="0"/>
    <n v="0"/>
    <n v="1661.257826135535"/>
    <n v="1582.4165125311456"/>
    <n v="0.71857213873198278"/>
    <n v="93"/>
    <n v="83"/>
    <n v="0"/>
    <n v="10"/>
    <n v="1"/>
    <n v="0.39704350633437185"/>
    <n v="1"/>
    <n v="71.2"/>
    <n v="71.2"/>
    <n v="7.9558242630442146"/>
    <n v="1669.2136503985791"/>
    <n v="1"/>
    <n v="0"/>
    <n v="0"/>
    <n v="0"/>
    <n v="0"/>
    <n v="0"/>
    <n v="0"/>
    <n v="0"/>
    <n v="0"/>
    <n v="0"/>
  </r>
  <r>
    <d v="2022-08-06T00:00:00"/>
    <n v="2022"/>
    <x v="33"/>
    <s v="R"/>
    <s v="RS"/>
    <x v="6"/>
    <s v="DAL"/>
    <s v="A"/>
    <n v="2"/>
    <n v="1"/>
    <n v="1"/>
    <n v="-1"/>
    <n v="8"/>
    <n v="-8"/>
    <n v="1236.098501039098"/>
    <n v="1500.3008776901436"/>
    <n v="0.12872149063632285"/>
    <n v="91"/>
    <n v="95"/>
    <n v="1"/>
    <n v="-4"/>
    <n v="0"/>
    <n v="0.22971370560502058"/>
    <n v="1"/>
    <n v="70.900000000000006"/>
    <n v="70.900000000000006"/>
    <n v="-2.0964485238995825"/>
    <n v="1234.0020525151983"/>
    <n v="0"/>
    <n v="1"/>
    <n v="0"/>
    <n v="0"/>
    <n v="0"/>
    <n v="0"/>
    <n v="0"/>
    <n v="0"/>
    <n v="0"/>
    <n v="0"/>
  </r>
  <r>
    <d v="2022-08-06T00:00:00"/>
    <n v="2022"/>
    <x v="31"/>
    <s v="R"/>
    <s v="RS"/>
    <x v="9"/>
    <s v="IND"/>
    <s v="H"/>
    <n v="1"/>
    <n v="2"/>
    <n v="-1"/>
    <n v="1"/>
    <n v="-8"/>
    <n v="8"/>
    <n v="1500.3008776901436"/>
    <n v="1236.098501039098"/>
    <n v="0.87127850936367712"/>
    <n v="95"/>
    <n v="91"/>
    <n v="1"/>
    <n v="4"/>
    <n v="1"/>
    <n v="0.22971370560502058"/>
    <n v="1"/>
    <n v="71.2"/>
    <n v="71.2"/>
    <n v="2.1053192510811041"/>
    <n v="1502.4061969412246"/>
    <n v="1"/>
    <n v="0"/>
    <n v="0"/>
    <n v="0"/>
    <n v="0"/>
    <n v="0"/>
    <n v="0"/>
    <n v="0"/>
    <n v="0"/>
    <n v="0"/>
  </r>
  <r>
    <d v="2022-08-06T00:00:00"/>
    <n v="2022"/>
    <x v="31"/>
    <s v="R"/>
    <s v="RS"/>
    <x v="11"/>
    <s v="PHX"/>
    <s v="A"/>
    <n v="2"/>
    <n v="1"/>
    <n v="1"/>
    <n v="-1"/>
    <n v="8"/>
    <n v="-8"/>
    <n v="1450.7444587094376"/>
    <n v="1449.392369849648"/>
    <n v="0.40524536560266666"/>
    <n v="62"/>
    <n v="76"/>
    <n v="0"/>
    <n v="-14"/>
    <n v="0"/>
    <n v="0.48705931397370078"/>
    <n v="1"/>
    <n v="71.2"/>
    <n v="71.2"/>
    <n v="-14.053351319015697"/>
    <n v="1436.6911073904218"/>
    <n v="0"/>
    <n v="1"/>
    <n v="0"/>
    <n v="0"/>
    <n v="0"/>
    <n v="0"/>
    <n v="0"/>
    <n v="0"/>
    <n v="0"/>
    <n v="0"/>
  </r>
  <r>
    <d v="2022-08-06T00:00:00"/>
    <n v="2022"/>
    <x v="32"/>
    <s v="R"/>
    <s v="RS"/>
    <x v="3"/>
    <s v="NYL"/>
    <s v="H"/>
    <n v="1"/>
    <n v="2"/>
    <n v="-1"/>
    <n v="1"/>
    <n v="-8"/>
    <n v="8"/>
    <n v="1449.392369849648"/>
    <n v="1450.7444587094376"/>
    <n v="0.59475463439733334"/>
    <n v="76"/>
    <n v="62"/>
    <n v="0"/>
    <n v="14"/>
    <n v="1"/>
    <n v="0.48705931397370078"/>
    <n v="1"/>
    <n v="71.05"/>
    <n v="71.05"/>
    <n v="14.023744539551476"/>
    <n v="1463.4161143891995"/>
    <n v="1"/>
    <n v="0"/>
    <n v="0"/>
    <n v="0"/>
    <n v="0"/>
    <n v="0"/>
    <n v="0"/>
    <n v="0"/>
    <n v="0"/>
    <n v="0"/>
  </r>
  <r>
    <d v="2022-08-07T00:00:00"/>
    <n v="2022"/>
    <x v="32"/>
    <s v="R"/>
    <s v="RS"/>
    <x v="10"/>
    <s v="CHI"/>
    <s v="A"/>
    <n v="2"/>
    <n v="1"/>
    <n v="1"/>
    <n v="-1"/>
    <n v="8"/>
    <n v="-8"/>
    <n v="1645.1735958510983"/>
    <n v="1669.2136503985791"/>
    <n v="0.3705576713654895"/>
    <n v="91"/>
    <n v="94"/>
    <n v="0"/>
    <n v="-3"/>
    <n v="0"/>
    <n v="0.28448433858415217"/>
    <n v="1"/>
    <n v="71.05"/>
    <n v="71.05"/>
    <n v="-7.489938529946623"/>
    <n v="1637.6836573211517"/>
    <n v="0"/>
    <n v="1"/>
    <n v="0"/>
    <n v="0"/>
    <n v="0"/>
    <n v="0"/>
    <n v="0"/>
    <n v="0"/>
    <n v="0"/>
    <n v="0"/>
  </r>
  <r>
    <d v="2022-08-07T00:00:00"/>
    <n v="2022"/>
    <x v="32"/>
    <s v="R"/>
    <s v="RS"/>
    <x v="1"/>
    <s v="CON"/>
    <s v="H"/>
    <n v="1"/>
    <n v="2"/>
    <n v="-1"/>
    <n v="1"/>
    <n v="-8"/>
    <n v="8"/>
    <n v="1669.2136503985791"/>
    <n v="1645.1735958510983"/>
    <n v="0.62944232863451055"/>
    <n v="94"/>
    <n v="91"/>
    <n v="0"/>
    <n v="3"/>
    <n v="1"/>
    <n v="0.28448433858415217"/>
    <n v="1"/>
    <n v="71.05"/>
    <n v="71.05"/>
    <n v="7.4899385299466212"/>
    <n v="1676.7035889285257"/>
    <n v="1"/>
    <n v="0"/>
    <n v="0"/>
    <n v="0"/>
    <n v="0"/>
    <n v="0"/>
    <n v="0"/>
    <n v="0"/>
    <n v="0"/>
    <n v="0"/>
  </r>
  <r>
    <d v="2022-08-07T00:00:00"/>
    <n v="2022"/>
    <x v="32"/>
    <s v="R"/>
    <s v="RS"/>
    <x v="8"/>
    <s v="MIN"/>
    <s v="A"/>
    <n v="1"/>
    <n v="3"/>
    <n v="-2"/>
    <n v="2"/>
    <n v="-16"/>
    <n v="16"/>
    <n v="1415.1794642421494"/>
    <n v="1485.2111598256627"/>
    <n v="0.25523490881146194"/>
    <n v="71"/>
    <n v="81"/>
    <n v="0"/>
    <n v="-10"/>
    <n v="0"/>
    <n v="0.39979761211034465"/>
    <n v="1"/>
    <n v="71.05"/>
    <n v="71.05"/>
    <n v="-7.2501059173252074"/>
    <n v="1407.9293583248241"/>
    <n v="0"/>
    <n v="1"/>
    <n v="0"/>
    <n v="0"/>
    <n v="0"/>
    <n v="0"/>
    <n v="0"/>
    <n v="0"/>
    <n v="0"/>
    <n v="0"/>
  </r>
  <r>
    <d v="2022-08-07T00:00:00"/>
    <n v="2022"/>
    <x v="32"/>
    <s v="R"/>
    <s v="RS"/>
    <x v="4"/>
    <s v="ATL"/>
    <s v="H"/>
    <n v="3"/>
    <n v="1"/>
    <n v="2"/>
    <n v="-2"/>
    <n v="16"/>
    <n v="-16"/>
    <n v="1485.2111598256627"/>
    <n v="1415.1794642421494"/>
    <n v="0.74476509118853806"/>
    <n v="81"/>
    <n v="71"/>
    <n v="0"/>
    <n v="10"/>
    <n v="1"/>
    <n v="0.39979761211034465"/>
    <n v="1"/>
    <n v="71.05"/>
    <n v="71.05"/>
    <n v="7.2501059173252074"/>
    <n v="1492.461265742988"/>
    <n v="1"/>
    <n v="0"/>
    <n v="0"/>
    <n v="0"/>
    <n v="0"/>
    <n v="0"/>
    <n v="0"/>
    <n v="0"/>
    <n v="0"/>
    <n v="0"/>
  </r>
  <r>
    <d v="2022-08-07T00:00:00"/>
    <n v="2022"/>
    <x v="32"/>
    <s v="R"/>
    <s v="RS"/>
    <x v="2"/>
    <s v="SEA"/>
    <s v="A"/>
    <n v="2"/>
    <n v="3"/>
    <n v="-1"/>
    <n v="1"/>
    <n v="-8"/>
    <n v="8"/>
    <n v="1605.1362205328633"/>
    <n v="1586.5111999108524"/>
    <n v="0.38498742670218167"/>
    <n v="89"/>
    <n v="81"/>
    <n v="0"/>
    <n v="8"/>
    <n v="1"/>
    <n v="0.38238066190842007"/>
    <n v="1"/>
    <n v="71.05"/>
    <n v="71.05"/>
    <n v="16.708751400776034"/>
    <n v="1621.8449719336393"/>
    <n v="1"/>
    <n v="0"/>
    <n v="0"/>
    <n v="0"/>
    <n v="0"/>
    <n v="0"/>
    <n v="0"/>
    <n v="0"/>
    <n v="0"/>
    <n v="0"/>
  </r>
  <r>
    <d v="2022-08-07T00:00:00"/>
    <n v="2022"/>
    <x v="32"/>
    <s v="R"/>
    <s v="RS"/>
    <x v="5"/>
    <s v="LVA"/>
    <s v="H"/>
    <n v="3"/>
    <n v="2"/>
    <n v="1"/>
    <n v="-1"/>
    <n v="8"/>
    <n v="-8"/>
    <n v="1586.5111999108524"/>
    <n v="1605.1362205328633"/>
    <n v="0.61501257329781833"/>
    <n v="81"/>
    <n v="89"/>
    <n v="0"/>
    <n v="-8"/>
    <n v="0"/>
    <n v="0.38238066190842007"/>
    <n v="1"/>
    <n v="71.05"/>
    <n v="71.05"/>
    <n v="-16.708751400776034"/>
    <n v="1569.8024485100764"/>
    <n v="0"/>
    <n v="1"/>
    <n v="0"/>
    <n v="0"/>
    <n v="0"/>
    <n v="0"/>
    <n v="0"/>
    <n v="0"/>
    <n v="0"/>
    <n v="0"/>
  </r>
  <r>
    <d v="2022-08-07T00:00:00"/>
    <n v="2022"/>
    <x v="32"/>
    <s v="R"/>
    <s v="RS"/>
    <x v="0"/>
    <s v="WAS"/>
    <s v="A"/>
    <n v="1"/>
    <n v="1"/>
    <n v="0"/>
    <n v="0"/>
    <n v="0"/>
    <n v="0"/>
    <n v="1383.2696111185371"/>
    <n v="1574.4774491338242"/>
    <n v="0.17019813977650189"/>
    <n v="79"/>
    <n v="76"/>
    <n v="0"/>
    <n v="3"/>
    <n v="1"/>
    <n v="0.25030064940923896"/>
    <n v="1"/>
    <n v="71.05"/>
    <n v="71.05"/>
    <n v="14.757081056365209"/>
    <n v="1398.0266921749023"/>
    <n v="1"/>
    <n v="0"/>
    <n v="0"/>
    <n v="0"/>
    <n v="0"/>
    <n v="0"/>
    <n v="0"/>
    <n v="0"/>
    <n v="0"/>
    <n v="0"/>
  </r>
  <r>
    <d v="2022-08-07T00:00:00"/>
    <n v="2022"/>
    <x v="33"/>
    <s v="R"/>
    <s v="RS"/>
    <x v="7"/>
    <s v="LAS"/>
    <s v="H"/>
    <n v="1"/>
    <n v="1"/>
    <n v="0"/>
    <n v="0"/>
    <n v="0"/>
    <n v="0"/>
    <n v="1574.4774491338242"/>
    <n v="1383.2696111185371"/>
    <n v="0.829801860223498"/>
    <n v="76"/>
    <n v="79"/>
    <n v="0"/>
    <n v="-3"/>
    <n v="0"/>
    <n v="0.25030064940923896"/>
    <n v="1"/>
    <n v="70.900000000000006"/>
    <n v="70.900000000000006"/>
    <n v="-14.72592606469097"/>
    <n v="1559.7515230691331"/>
    <n v="0"/>
    <n v="1"/>
    <n v="0"/>
    <n v="0"/>
    <n v="0"/>
    <n v="0"/>
    <n v="0"/>
    <n v="0"/>
    <n v="0"/>
    <n v="0"/>
  </r>
  <r>
    <d v="2022-08-08T00:00:00"/>
    <n v="2022"/>
    <x v="32"/>
    <s v="R"/>
    <s v="RS"/>
    <x v="11"/>
    <s v="DAL"/>
    <s v="A"/>
    <n v="1"/>
    <n v="1"/>
    <n v="0"/>
    <n v="0"/>
    <n v="0"/>
    <n v="0"/>
    <n v="1436.6911073904218"/>
    <n v="1502.4061969412246"/>
    <n v="0.29695728721060732"/>
    <n v="77"/>
    <n v="86"/>
    <n v="0"/>
    <n v="-9"/>
    <n v="0"/>
    <n v="0.38489375420939681"/>
    <n v="1"/>
    <n v="71.05"/>
    <n v="71.05"/>
    <n v="-8.1208022133730573"/>
    <n v="1428.5703051770488"/>
    <n v="0"/>
    <n v="1"/>
    <n v="0"/>
    <n v="0"/>
    <n v="0"/>
    <n v="0"/>
    <n v="0"/>
    <n v="0"/>
    <n v="0"/>
    <n v="0"/>
  </r>
  <r>
    <d v="2022-08-08T00:00:00"/>
    <n v="2022"/>
    <x v="32"/>
    <s v="R"/>
    <s v="RS"/>
    <x v="9"/>
    <s v="NYL"/>
    <s v="H"/>
    <n v="1"/>
    <n v="1"/>
    <n v="0"/>
    <n v="0"/>
    <n v="0"/>
    <n v="0"/>
    <n v="1502.4061969412246"/>
    <n v="1436.6911073904218"/>
    <n v="0.70304271278939268"/>
    <n v="86"/>
    <n v="77"/>
    <n v="0"/>
    <n v="9"/>
    <n v="1"/>
    <n v="0.38489375420939681"/>
    <n v="1"/>
    <n v="71.05"/>
    <n v="71.05"/>
    <n v="8.1208022133730573"/>
    <n v="1510.5269991545977"/>
    <n v="1"/>
    <n v="0"/>
    <n v="0"/>
    <n v="0"/>
    <n v="0"/>
    <n v="0"/>
    <n v="0"/>
    <n v="0"/>
    <n v="0"/>
    <n v="0"/>
  </r>
  <r>
    <d v="2022-08-09T00:00:00"/>
    <n v="2022"/>
    <x v="33"/>
    <s v="R"/>
    <s v="RS"/>
    <x v="5"/>
    <s v="CHI"/>
    <s v="A"/>
    <n v="1"/>
    <n v="1"/>
    <n v="0"/>
    <n v="0"/>
    <n v="0"/>
    <n v="0"/>
    <n v="1569.8024485100764"/>
    <n v="1676.7035889285257"/>
    <n v="0.24994318960281359"/>
    <n v="111"/>
    <n v="100"/>
    <n v="0"/>
    <n v="11"/>
    <n v="1"/>
    <n v="0.40385852302505709"/>
    <n v="1"/>
    <n v="70.900000000000006"/>
    <n v="70.900000000000006"/>
    <n v="21.476803646301214"/>
    <n v="1591.2792521563777"/>
    <n v="1"/>
    <n v="0"/>
    <n v="0"/>
    <n v="0"/>
    <n v="0"/>
    <n v="0"/>
    <n v="0"/>
    <n v="0"/>
    <n v="0"/>
    <n v="0"/>
  </r>
  <r>
    <d v="2022-08-09T00:00:00"/>
    <n v="2022"/>
    <x v="33"/>
    <s v="R"/>
    <s v="RS"/>
    <x v="1"/>
    <s v="SEA"/>
    <s v="H"/>
    <n v="1"/>
    <n v="1"/>
    <n v="0"/>
    <n v="0"/>
    <n v="0"/>
    <n v="0"/>
    <n v="1676.7035889285257"/>
    <n v="1569.8024485100764"/>
    <n v="0.75005681039718641"/>
    <n v="100"/>
    <n v="111"/>
    <n v="0"/>
    <n v="-11"/>
    <n v="0"/>
    <n v="0.40385852302505709"/>
    <n v="1"/>
    <n v="70.900000000000006"/>
    <n v="70.900000000000006"/>
    <n v="-21.476803646301214"/>
    <n v="1655.2267852822245"/>
    <n v="0"/>
    <n v="1"/>
    <n v="0"/>
    <n v="0"/>
    <n v="0"/>
    <n v="0"/>
    <n v="0"/>
    <n v="0"/>
    <n v="0"/>
    <n v="0"/>
  </r>
  <r>
    <d v="2022-08-09T00:00:00"/>
    <n v="2022"/>
    <x v="33"/>
    <s v="R"/>
    <s v="RS"/>
    <x v="10"/>
    <s v="LAS"/>
    <s v="A"/>
    <n v="1"/>
    <n v="1"/>
    <n v="0"/>
    <n v="0"/>
    <n v="0"/>
    <n v="0"/>
    <n v="1637.6836573211517"/>
    <n v="1398.0266921749023"/>
    <n v="0.71013370801522246"/>
    <n v="97"/>
    <n v="71"/>
    <n v="0"/>
    <n v="26"/>
    <n v="1"/>
    <n v="0.54520269454638304"/>
    <n v="1"/>
    <n v="70.900000000000006"/>
    <n v="70.900000000000006"/>
    <n v="11.204744136482297"/>
    <n v="1648.888401457634"/>
    <n v="1"/>
    <n v="0"/>
    <n v="0"/>
    <n v="0"/>
    <n v="0"/>
    <n v="0"/>
    <n v="0"/>
    <n v="0"/>
    <n v="0"/>
    <n v="0"/>
  </r>
  <r>
    <d v="2022-08-09T00:00:00"/>
    <n v="2022"/>
    <x v="33"/>
    <s v="R"/>
    <s v="RS"/>
    <x v="0"/>
    <s v="CON"/>
    <s v="H"/>
    <n v="1"/>
    <n v="1"/>
    <n v="0"/>
    <n v="0"/>
    <n v="0"/>
    <n v="0"/>
    <n v="1398.0266921749023"/>
    <n v="1637.6836573211517"/>
    <n v="0.28986629198477759"/>
    <n v="71"/>
    <n v="97"/>
    <n v="0"/>
    <n v="-26"/>
    <n v="0"/>
    <n v="0.54520269454638304"/>
    <n v="1"/>
    <n v="70.900000000000006"/>
    <n v="70.900000000000006"/>
    <n v="-11.204744136482299"/>
    <n v="1386.82194803842"/>
    <n v="0"/>
    <n v="1"/>
    <n v="0"/>
    <n v="0"/>
    <n v="0"/>
    <n v="0"/>
    <n v="0"/>
    <n v="0"/>
    <n v="0"/>
    <n v="0"/>
  </r>
  <r>
    <d v="2022-08-09T00:00:00"/>
    <n v="2022"/>
    <x v="33"/>
    <s v="R"/>
    <s v="RS"/>
    <x v="8"/>
    <s v="LVA"/>
    <s v="A"/>
    <n v="1"/>
    <n v="1"/>
    <n v="0"/>
    <n v="0"/>
    <n v="0"/>
    <n v="0"/>
    <n v="1407.9293583248241"/>
    <n v="1621.8449719336393"/>
    <n v="0.15252405589102863"/>
    <n v="90"/>
    <n v="97"/>
    <n v="0"/>
    <n v="-7"/>
    <n v="0"/>
    <n v="0.31411252744497953"/>
    <n v="1"/>
    <n v="70.900000000000006"/>
    <n v="70.900000000000006"/>
    <n v="-3.3967989134692043"/>
    <n v="1404.5325594113549"/>
    <n v="0"/>
    <n v="1"/>
    <n v="0"/>
    <n v="0"/>
    <n v="0"/>
    <n v="0"/>
    <n v="0"/>
    <n v="0"/>
    <n v="0"/>
    <n v="0"/>
  </r>
  <r>
    <d v="2022-08-09T00:00:00"/>
    <n v="2022"/>
    <x v="33"/>
    <s v="R"/>
    <s v="RS"/>
    <x v="2"/>
    <s v="ATL"/>
    <s v="H"/>
    <n v="1"/>
    <n v="1"/>
    <n v="0"/>
    <n v="0"/>
    <n v="0"/>
    <n v="0"/>
    <n v="1621.8449719336393"/>
    <n v="1407.9293583248241"/>
    <n v="0.84747594410897131"/>
    <n v="97"/>
    <n v="90"/>
    <n v="0"/>
    <n v="7"/>
    <n v="1"/>
    <n v="0.31411252744497953"/>
    <n v="1"/>
    <n v="70.900000000000006"/>
    <n v="70.900000000000006"/>
    <n v="3.3967989134692056"/>
    <n v="1625.2417708471085"/>
    <n v="1"/>
    <n v="0"/>
    <n v="0"/>
    <n v="0"/>
    <n v="0"/>
    <n v="0"/>
    <n v="0"/>
    <n v="0"/>
    <n v="0"/>
    <n v="0"/>
  </r>
  <r>
    <d v="2022-08-10T00:00:00"/>
    <n v="2022"/>
    <x v="33"/>
    <s v="R"/>
    <s v="RS"/>
    <x v="11"/>
    <s v="DAL"/>
    <s v="A"/>
    <n v="1"/>
    <n v="1"/>
    <n v="0"/>
    <n v="0"/>
    <n v="0"/>
    <n v="0"/>
    <n v="1428.5703051770488"/>
    <n v="1510.5269991545977"/>
    <n v="0.27781547954052799"/>
    <n v="91"/>
    <n v="73"/>
    <n v="0"/>
    <n v="18"/>
    <n v="1"/>
    <n v="0.51187432589129067"/>
    <n v="1"/>
    <n v="70.900000000000006"/>
    <n v="70.900000000000006"/>
    <n v="26.209440963673597"/>
    <n v="1454.7797461407224"/>
    <n v="1"/>
    <n v="0"/>
    <n v="0"/>
    <n v="0"/>
    <n v="0"/>
    <n v="0"/>
    <n v="0"/>
    <n v="0"/>
    <n v="0"/>
    <n v="0"/>
  </r>
  <r>
    <d v="2022-08-10T00:00:00"/>
    <n v="2022"/>
    <x v="33"/>
    <s v="R"/>
    <s v="RS"/>
    <x v="9"/>
    <s v="NYL"/>
    <s v="H"/>
    <n v="1"/>
    <n v="1"/>
    <n v="0"/>
    <n v="0"/>
    <n v="0"/>
    <n v="0"/>
    <n v="1510.5269991545977"/>
    <n v="1428.5703051770488"/>
    <n v="0.72218452045947201"/>
    <n v="73"/>
    <n v="91"/>
    <n v="0"/>
    <n v="-18"/>
    <n v="0"/>
    <n v="0.51187432589129067"/>
    <n v="1"/>
    <n v="70.900000000000006"/>
    <n v="70.900000000000006"/>
    <n v="-26.209440963673597"/>
    <n v="1484.317558190924"/>
    <n v="0"/>
    <n v="1"/>
    <n v="0"/>
    <n v="0"/>
    <n v="0"/>
    <n v="0"/>
    <n v="0"/>
    <n v="0"/>
    <n v="0"/>
    <n v="0"/>
  </r>
  <r>
    <d v="2022-08-10T00:00:00"/>
    <n v="2022"/>
    <x v="33"/>
    <s v="R"/>
    <s v="RS"/>
    <x v="4"/>
    <s v="PHX"/>
    <s v="A"/>
    <n v="2"/>
    <n v="3"/>
    <n v="-1"/>
    <n v="1"/>
    <n v="-8"/>
    <n v="8"/>
    <n v="1492.461265742988"/>
    <n v="1463.4161143891995"/>
    <n v="0.39928409403051235"/>
    <n v="86"/>
    <n v="77"/>
    <n v="0"/>
    <n v="9"/>
    <n v="1"/>
    <n v="0.39637749031439579"/>
    <n v="1"/>
    <n v="70.900000000000006"/>
    <n v="70.900000000000006"/>
    <n v="16.882017660888799"/>
    <n v="1509.3432834038767"/>
    <n v="1"/>
    <n v="0"/>
    <n v="0"/>
    <n v="0"/>
    <n v="0"/>
    <n v="0"/>
    <n v="0"/>
    <n v="0"/>
    <n v="0"/>
    <n v="0"/>
  </r>
  <r>
    <d v="2022-08-10T00:00:00"/>
    <n v="2022"/>
    <x v="33"/>
    <s v="R"/>
    <s v="RS"/>
    <x v="3"/>
    <s v="MIN"/>
    <s v="H"/>
    <n v="3"/>
    <n v="2"/>
    <n v="1"/>
    <n v="-1"/>
    <n v="8"/>
    <n v="-8"/>
    <n v="1463.4161143891995"/>
    <n v="1492.461265742988"/>
    <n v="0.60071590596948776"/>
    <n v="77"/>
    <n v="86"/>
    <n v="0"/>
    <n v="-9"/>
    <n v="0"/>
    <n v="0.39637749031439579"/>
    <n v="1"/>
    <n v="70.900000000000006"/>
    <n v="70.900000000000006"/>
    <n v="-16.882017660888803"/>
    <n v="1446.5340967283107"/>
    <n v="0"/>
    <n v="1"/>
    <n v="0"/>
    <n v="0"/>
    <n v="0"/>
    <n v="0"/>
    <n v="0"/>
    <n v="0"/>
    <n v="0"/>
    <n v="0"/>
  </r>
  <r>
    <d v="2022-08-11T00:00:00"/>
    <n v="2022"/>
    <x v="34"/>
    <s v="R"/>
    <s v="RS"/>
    <x v="10"/>
    <s v="LAS"/>
    <s v="A"/>
    <n v="1"/>
    <n v="1"/>
    <n v="0"/>
    <n v="0"/>
    <n v="0"/>
    <n v="0"/>
    <n v="1648.888401457634"/>
    <n v="1386.82194803842"/>
    <n v="0.73595178791259119"/>
    <n v="93"/>
    <n v="69"/>
    <n v="0"/>
    <n v="24"/>
    <n v="1"/>
    <n v="0.51578853722699991"/>
    <n v="1"/>
    <n v="70.75"/>
    <n v="70.75"/>
    <n v="9.6356576557003226"/>
    <n v="1658.5240591133343"/>
    <n v="1"/>
    <n v="0"/>
    <n v="0"/>
    <n v="0"/>
    <n v="0"/>
    <n v="0"/>
    <n v="0"/>
    <n v="0"/>
    <n v="0"/>
    <n v="0"/>
  </r>
  <r>
    <d v="2022-08-11T00:00:00"/>
    <n v="2022"/>
    <x v="34"/>
    <s v="R"/>
    <s v="RS"/>
    <x v="0"/>
    <s v="CON"/>
    <s v="H"/>
    <n v="1"/>
    <n v="1"/>
    <n v="0"/>
    <n v="0"/>
    <n v="0"/>
    <n v="0"/>
    <n v="1386.82194803842"/>
    <n v="1648.888401457634"/>
    <n v="0.26404821208740881"/>
    <n v="69"/>
    <n v="93"/>
    <n v="0"/>
    <n v="-24"/>
    <n v="0"/>
    <n v="0.51578853722699991"/>
    <n v="1"/>
    <n v="70.75"/>
    <n v="70.75"/>
    <n v="-9.6356576557003226"/>
    <n v="1377.1862903827198"/>
    <n v="0"/>
    <n v="1"/>
    <n v="0"/>
    <n v="0"/>
    <n v="0"/>
    <n v="0"/>
    <n v="0"/>
    <n v="0"/>
    <n v="0"/>
    <n v="0"/>
  </r>
  <r>
    <d v="2022-08-11T00:00:00"/>
    <n v="2022"/>
    <x v="34"/>
    <s v="R"/>
    <s v="RS"/>
    <x v="1"/>
    <s v="LVA"/>
    <s v="A"/>
    <n v="1"/>
    <n v="1"/>
    <n v="0"/>
    <n v="0"/>
    <n v="0"/>
    <n v="0"/>
    <n v="1655.2267852822245"/>
    <n v="1625.2417708471085"/>
    <n v="0.42288647104083521"/>
    <n v="78"/>
    <n v="89"/>
    <n v="0"/>
    <n v="-11"/>
    <n v="0"/>
    <n v="0.42911349172132562"/>
    <n v="1"/>
    <n v="70.75"/>
    <n v="70.75"/>
    <n v="-12.838740030945475"/>
    <n v="1642.388045251279"/>
    <n v="0"/>
    <n v="1"/>
    <n v="0"/>
    <n v="0"/>
    <n v="0"/>
    <n v="0"/>
    <n v="0"/>
    <n v="0"/>
    <n v="0"/>
    <n v="0"/>
  </r>
  <r>
    <d v="2022-08-11T00:00:00"/>
    <n v="2022"/>
    <x v="34"/>
    <s v="R"/>
    <s v="RS"/>
    <x v="2"/>
    <s v="CHI"/>
    <s v="H"/>
    <n v="1"/>
    <n v="1"/>
    <n v="0"/>
    <n v="0"/>
    <n v="0"/>
    <n v="0"/>
    <n v="1625.2417708471085"/>
    <n v="1655.2267852822245"/>
    <n v="0.57711352895916479"/>
    <n v="89"/>
    <n v="78"/>
    <n v="0"/>
    <n v="11"/>
    <n v="1"/>
    <n v="0.42911349172132562"/>
    <n v="1"/>
    <n v="70.75"/>
    <n v="70.75"/>
    <n v="12.838740030945475"/>
    <n v="1638.0805108780539"/>
    <n v="1"/>
    <n v="0"/>
    <n v="0"/>
    <n v="0"/>
    <n v="0"/>
    <n v="0"/>
    <n v="0"/>
    <n v="0"/>
    <n v="0"/>
    <n v="0"/>
  </r>
  <r>
    <d v="2022-08-12T00:00:00"/>
    <n v="2022"/>
    <x v="34"/>
    <s v="R"/>
    <s v="RS"/>
    <x v="11"/>
    <s v="ATL"/>
    <s v="A"/>
    <n v="1"/>
    <n v="2"/>
    <n v="-1"/>
    <n v="1"/>
    <n v="-8"/>
    <n v="8"/>
    <n v="1454.7797461407224"/>
    <n v="1404.5325594113549"/>
    <n v="0.42888538144326682"/>
    <n v="80"/>
    <n v="70"/>
    <n v="0"/>
    <n v="10"/>
    <n v="1"/>
    <n v="0.40612420054871207"/>
    <n v="1"/>
    <n v="70.75"/>
    <n v="70.75"/>
    <n v="16.41000035272479"/>
    <n v="1471.1897464934473"/>
    <n v="1"/>
    <n v="0"/>
    <n v="0"/>
    <n v="0"/>
    <n v="0"/>
    <n v="0"/>
    <n v="0"/>
    <n v="0"/>
    <n v="0"/>
    <n v="0"/>
  </r>
  <r>
    <d v="2022-08-12T00:00:00"/>
    <n v="2022"/>
    <x v="34"/>
    <s v="R"/>
    <s v="RS"/>
    <x v="8"/>
    <s v="NYL"/>
    <s v="H"/>
    <n v="2"/>
    <n v="1"/>
    <n v="1"/>
    <n v="-1"/>
    <n v="8"/>
    <n v="-8"/>
    <n v="1404.5325594113549"/>
    <n v="1454.7797461407224"/>
    <n v="0.57111461855673318"/>
    <n v="70"/>
    <n v="80"/>
    <n v="0"/>
    <n v="-10"/>
    <n v="0"/>
    <n v="0.40612420054871207"/>
    <n v="1"/>
    <n v="70.75"/>
    <n v="70.75"/>
    <n v="-16.41000035272479"/>
    <n v="1388.12255905863"/>
    <n v="0"/>
    <n v="1"/>
    <n v="0"/>
    <n v="0"/>
    <n v="0"/>
    <n v="0"/>
    <n v="0"/>
    <n v="0"/>
    <n v="0"/>
    <n v="0"/>
  </r>
  <r>
    <d v="2022-08-12T00:00:00"/>
    <n v="2022"/>
    <x v="34"/>
    <s v="R"/>
    <s v="RS"/>
    <x v="7"/>
    <s v="IND"/>
    <s v="A"/>
    <n v="4"/>
    <n v="5"/>
    <n v="-1"/>
    <n v="1"/>
    <n v="-8"/>
    <n v="8"/>
    <n v="1559.7515230691331"/>
    <n v="1234.0020525151983"/>
    <n v="0.78575392177104919"/>
    <n v="82"/>
    <n v="70"/>
    <n v="0"/>
    <n v="12"/>
    <n v="1"/>
    <n v="0.35874522145049637"/>
    <n v="1"/>
    <n v="70.75"/>
    <n v="70.75"/>
    <n v="5.4378277921245317"/>
    <n v="1565.1893508612577"/>
    <n v="1"/>
    <n v="0"/>
    <n v="0"/>
    <n v="0"/>
    <n v="0"/>
    <n v="0"/>
    <n v="0"/>
    <n v="0"/>
    <n v="0"/>
    <n v="0"/>
  </r>
  <r>
    <d v="2022-08-12T00:00:00"/>
    <n v="2022"/>
    <x v="34"/>
    <s v="R"/>
    <s v="RS"/>
    <x v="6"/>
    <s v="WAS"/>
    <s v="H"/>
    <n v="5"/>
    <n v="4"/>
    <n v="1"/>
    <n v="-1"/>
    <n v="8"/>
    <n v="-8"/>
    <n v="1234.0020525151983"/>
    <n v="1559.7515230691331"/>
    <n v="0.21424607822895084"/>
    <n v="70"/>
    <n v="82"/>
    <n v="0"/>
    <n v="-12"/>
    <n v="0"/>
    <n v="0.35874522145049637"/>
    <n v="1"/>
    <n v="70.75"/>
    <n v="70.75"/>
    <n v="-5.4378277921245326"/>
    <n v="1228.5642247230737"/>
    <n v="0"/>
    <n v="1"/>
    <n v="0"/>
    <n v="0"/>
    <n v="0"/>
    <n v="0"/>
    <n v="0"/>
    <n v="0"/>
    <n v="0"/>
    <n v="0"/>
  </r>
  <r>
    <d v="2022-08-12T00:00:00"/>
    <n v="2022"/>
    <x v="34"/>
    <s v="R"/>
    <s v="RS"/>
    <x v="5"/>
    <s v="MIN"/>
    <s v="A"/>
    <n v="2"/>
    <n v="1"/>
    <n v="1"/>
    <n v="-1"/>
    <n v="8"/>
    <n v="-8"/>
    <n v="1591.2792521563777"/>
    <n v="1509.3432834038767"/>
    <n v="0.52004472244160715"/>
    <n v="96"/>
    <n v="69"/>
    <n v="0"/>
    <n v="27"/>
    <n v="1"/>
    <n v="0.6240561303373906"/>
    <n v="1"/>
    <n v="70.75"/>
    <n v="70.75"/>
    <n v="21.190971602302998"/>
    <n v="1612.4702237586807"/>
    <n v="1"/>
    <n v="0"/>
    <n v="0"/>
    <n v="0"/>
    <n v="0"/>
    <n v="0"/>
    <n v="0"/>
    <n v="0"/>
    <n v="0"/>
    <n v="0"/>
  </r>
  <r>
    <d v="2022-08-12T00:00:00"/>
    <n v="2022"/>
    <x v="34"/>
    <s v="R"/>
    <s v="RS"/>
    <x v="4"/>
    <s v="SEA"/>
    <s v="H"/>
    <n v="1"/>
    <n v="2"/>
    <n v="-1"/>
    <n v="1"/>
    <n v="-8"/>
    <n v="8"/>
    <n v="1509.3432834038767"/>
    <n v="1591.2792521563777"/>
    <n v="0.4799552775583929"/>
    <n v="69"/>
    <n v="96"/>
    <n v="0"/>
    <n v="-27"/>
    <n v="0"/>
    <n v="0.6240561303373906"/>
    <n v="1"/>
    <n v="70.75"/>
    <n v="70.75"/>
    <n v="-21.190971602303001"/>
    <n v="1488.1523118015737"/>
    <n v="0"/>
    <n v="1"/>
    <n v="0"/>
    <n v="0"/>
    <n v="0"/>
    <n v="0"/>
    <n v="0"/>
    <n v="0"/>
    <n v="0"/>
    <n v="0"/>
  </r>
  <r>
    <d v="2022-08-12T00:00:00"/>
    <n v="2022"/>
    <x v="34"/>
    <s v="R"/>
    <s v="RS"/>
    <x v="9"/>
    <s v="PHX"/>
    <s v="A"/>
    <n v="1"/>
    <n v="1"/>
    <n v="0"/>
    <n v="0"/>
    <n v="0"/>
    <n v="0"/>
    <n v="1484.317558190924"/>
    <n v="1446.5340967283107"/>
    <n v="0.43387859745858454"/>
    <n v="74"/>
    <n v="86"/>
    <n v="0"/>
    <n v="-12"/>
    <n v="0"/>
    <n v="0.44220604712642742"/>
    <n v="1"/>
    <n v="70.75"/>
    <n v="70.75"/>
    <n v="-13.574359570680523"/>
    <n v="1470.7431986202434"/>
    <n v="0"/>
    <n v="1"/>
    <n v="0"/>
    <n v="0"/>
    <n v="0"/>
    <n v="0"/>
    <n v="0"/>
    <n v="0"/>
    <n v="0"/>
    <n v="0"/>
  </r>
  <r>
    <d v="2022-08-12T00:00:00"/>
    <n v="2022"/>
    <x v="34"/>
    <s v="R"/>
    <s v="RS"/>
    <x v="3"/>
    <s v="DAL"/>
    <s v="H"/>
    <n v="1"/>
    <n v="1"/>
    <n v="0"/>
    <n v="0"/>
    <n v="0"/>
    <n v="0"/>
    <n v="1446.5340967283107"/>
    <n v="1484.317558190924"/>
    <n v="0.56612140254141552"/>
    <n v="86"/>
    <n v="74"/>
    <n v="0"/>
    <n v="12"/>
    <n v="1"/>
    <n v="0.44220604712642742"/>
    <n v="1"/>
    <n v="70.75"/>
    <n v="70.75"/>
    <n v="13.574359570680521"/>
    <n v="1460.1084562989913"/>
    <n v="1"/>
    <n v="0"/>
    <n v="0"/>
    <n v="0"/>
    <n v="0"/>
    <n v="0"/>
    <n v="0"/>
    <n v="0"/>
    <n v="0"/>
    <n v="0"/>
  </r>
  <r>
    <d v="2022-08-14T00:00:00"/>
    <n v="2022"/>
    <x v="35"/>
    <s v="R"/>
    <s v="RS"/>
    <x v="4"/>
    <s v="CON"/>
    <s v="A"/>
    <n v="1"/>
    <n v="2"/>
    <n v="-1"/>
    <n v="1"/>
    <n v="-8"/>
    <n v="8"/>
    <n v="1488.1523118015737"/>
    <n v="1658.5240591133343"/>
    <n v="0.17416600432528312"/>
    <n v="83"/>
    <n v="90"/>
    <n v="0"/>
    <n v="-7"/>
    <n v="0"/>
    <n v="0.3240935226925285"/>
    <n v="1"/>
    <n v="70.599999999999994"/>
    <n v="70.599999999999994"/>
    <n v="-3.9850928155794585"/>
    <n v="1484.1672189859942"/>
    <n v="0"/>
    <n v="1"/>
    <n v="0"/>
    <n v="0"/>
    <n v="0"/>
    <n v="0"/>
    <n v="0"/>
    <n v="0"/>
    <n v="0"/>
    <n v="0"/>
  </r>
  <r>
    <d v="2022-08-14T00:00:00"/>
    <n v="2022"/>
    <x v="35"/>
    <s v="R"/>
    <s v="RS"/>
    <x v="10"/>
    <s v="MIN"/>
    <s v="H"/>
    <n v="2"/>
    <n v="1"/>
    <n v="1"/>
    <n v="-1"/>
    <n v="8"/>
    <n v="-8"/>
    <n v="1658.5240591133343"/>
    <n v="1488.1523118015737"/>
    <n v="0.82583399567471694"/>
    <n v="90"/>
    <n v="83"/>
    <n v="0"/>
    <n v="7"/>
    <n v="1"/>
    <n v="0.3240935226925285"/>
    <n v="1"/>
    <n v="70.599999999999994"/>
    <n v="70.599999999999994"/>
    <n v="3.9850928155794576"/>
    <n v="1662.5091519289138"/>
    <n v="1"/>
    <n v="0"/>
    <n v="0"/>
    <n v="0"/>
    <n v="0"/>
    <n v="0"/>
    <n v="0"/>
    <n v="0"/>
    <n v="0"/>
    <n v="0"/>
  </r>
  <r>
    <d v="2022-08-14T00:00:00"/>
    <n v="2022"/>
    <x v="35"/>
    <s v="R"/>
    <s v="RS"/>
    <x v="9"/>
    <s v="LAS"/>
    <s v="A"/>
    <n v="1"/>
    <n v="2"/>
    <n v="-1"/>
    <n v="1"/>
    <n v="-8"/>
    <n v="8"/>
    <n v="1470.7431986202434"/>
    <n v="1377.1862903827198"/>
    <n v="0.49072870839076282"/>
    <n v="116"/>
    <n v="88"/>
    <n v="0"/>
    <n v="28"/>
    <n v="1"/>
    <n v="0.62997428786925014"/>
    <n v="1"/>
    <n v="70.599999999999994"/>
    <n v="70.599999999999994"/>
    <n v="22.650444040023039"/>
    <n v="1493.3936426602666"/>
    <n v="1"/>
    <n v="0"/>
    <n v="0"/>
    <n v="0"/>
    <n v="0"/>
    <n v="0"/>
    <n v="0"/>
    <n v="0"/>
    <n v="0"/>
    <n v="0"/>
  </r>
  <r>
    <d v="2022-08-14T00:00:00"/>
    <n v="2022"/>
    <x v="35"/>
    <s v="R"/>
    <s v="RS"/>
    <x v="0"/>
    <s v="DAL"/>
    <s v="H"/>
    <n v="2"/>
    <n v="1"/>
    <n v="1"/>
    <n v="-1"/>
    <n v="8"/>
    <n v="-8"/>
    <n v="1377.1862903827198"/>
    <n v="1470.7431986202434"/>
    <n v="0.50927129160923723"/>
    <n v="88"/>
    <n v="116"/>
    <n v="0"/>
    <n v="-28"/>
    <n v="0"/>
    <n v="0.62997428786925014"/>
    <n v="1"/>
    <n v="70.599999999999994"/>
    <n v="70.599999999999994"/>
    <n v="-22.650444040023039"/>
    <n v="1354.5358463426967"/>
    <n v="0"/>
    <n v="1"/>
    <n v="0"/>
    <n v="0"/>
    <n v="0"/>
    <n v="0"/>
    <n v="0"/>
    <n v="0"/>
    <n v="0"/>
    <n v="0"/>
  </r>
  <r>
    <d v="2022-08-14T00:00:00"/>
    <n v="2022"/>
    <x v="35"/>
    <s v="R"/>
    <s v="RS"/>
    <x v="5"/>
    <s v="LVA"/>
    <s v="A"/>
    <n v="1"/>
    <n v="2"/>
    <n v="-1"/>
    <n v="1"/>
    <n v="-8"/>
    <n v="8"/>
    <n v="1612.4702237586807"/>
    <n v="1638.0805108780539"/>
    <n v="0.32671710054494996"/>
    <n v="100"/>
    <n v="109"/>
    <n v="0"/>
    <n v="-9"/>
    <n v="0"/>
    <n v="0.39748836779243019"/>
    <n v="1"/>
    <n v="70.599999999999994"/>
    <n v="70.599999999999994"/>
    <n v="-9.1685570399994152"/>
    <n v="1603.3016667186814"/>
    <n v="0"/>
    <n v="1"/>
    <n v="0"/>
    <n v="0"/>
    <n v="0"/>
    <n v="0"/>
    <n v="0"/>
    <n v="0"/>
    <n v="0"/>
    <n v="0"/>
  </r>
  <r>
    <d v="2022-08-14T00:00:00"/>
    <n v="2022"/>
    <x v="35"/>
    <s v="R"/>
    <s v="RS"/>
    <x v="2"/>
    <s v="SEA"/>
    <s v="H"/>
    <n v="2"/>
    <n v="1"/>
    <n v="1"/>
    <n v="-1"/>
    <n v="8"/>
    <n v="-8"/>
    <n v="1638.0805108780539"/>
    <n v="1612.4702237586807"/>
    <n v="0.67328289945505004"/>
    <n v="109"/>
    <n v="100"/>
    <n v="0"/>
    <n v="9"/>
    <n v="1"/>
    <n v="0.39748836779243019"/>
    <n v="1"/>
    <n v="70.599999999999994"/>
    <n v="70.599999999999994"/>
    <n v="9.1685570399994152"/>
    <n v="1647.2490679180532"/>
    <n v="1"/>
    <n v="0"/>
    <n v="0"/>
    <n v="0"/>
    <n v="0"/>
    <n v="0"/>
    <n v="0"/>
    <n v="0"/>
    <n v="0"/>
    <n v="0"/>
  </r>
  <r>
    <d v="2022-08-14T00:00:00"/>
    <n v="2022"/>
    <x v="35"/>
    <s v="R"/>
    <s v="RS"/>
    <x v="8"/>
    <s v="NYL"/>
    <s v="A"/>
    <n v="1"/>
    <n v="1"/>
    <n v="0"/>
    <n v="0"/>
    <n v="0"/>
    <n v="0"/>
    <n v="1388.12255905863"/>
    <n v="1471.1897464934473"/>
    <n v="0.27653474700620612"/>
    <n v="83"/>
    <n v="87"/>
    <n v="0"/>
    <n v="-4"/>
    <n v="0"/>
    <n v="0.29127023552976722"/>
    <n v="1"/>
    <n v="70.599999999999994"/>
    <n v="70.599999999999994"/>
    <n v="-5.6865716670219539"/>
    <n v="1382.435987391608"/>
    <n v="0"/>
    <n v="1"/>
    <n v="0"/>
    <n v="0"/>
    <n v="0"/>
    <n v="0"/>
    <n v="0"/>
    <n v="0"/>
    <n v="0"/>
    <n v="0"/>
  </r>
  <r>
    <d v="2022-08-14T00:00:00"/>
    <n v="2022"/>
    <x v="35"/>
    <s v="R"/>
    <s v="RS"/>
    <x v="11"/>
    <s v="ATL"/>
    <s v="H"/>
    <n v="1"/>
    <n v="1"/>
    <n v="0"/>
    <n v="0"/>
    <n v="0"/>
    <n v="0"/>
    <n v="1471.1897464934473"/>
    <n v="1388.12255905863"/>
    <n v="0.72346525299379383"/>
    <n v="87"/>
    <n v="83"/>
    <n v="0"/>
    <n v="4"/>
    <n v="1"/>
    <n v="0.29127023552976722"/>
    <n v="1"/>
    <n v="70.599999999999994"/>
    <n v="70.599999999999994"/>
    <n v="5.6865716670219557"/>
    <n v="1476.8763181604693"/>
    <n v="1"/>
    <n v="0"/>
    <n v="0"/>
    <n v="0"/>
    <n v="0"/>
    <n v="0"/>
    <n v="0"/>
    <n v="0"/>
    <n v="0"/>
    <n v="0"/>
  </r>
  <r>
    <d v="2022-08-14T00:00:00"/>
    <n v="2022"/>
    <x v="35"/>
    <s v="R"/>
    <s v="RS"/>
    <x v="1"/>
    <s v="PHX"/>
    <s v="A"/>
    <n v="2"/>
    <n v="1"/>
    <n v="1"/>
    <n v="-1"/>
    <n v="8"/>
    <n v="-8"/>
    <n v="1642.388045251279"/>
    <n v="1460.1084562989913"/>
    <n v="0.6587764001804709"/>
    <n v="82"/>
    <n v="67"/>
    <n v="0"/>
    <n v="15"/>
    <n v="1"/>
    <n v="0.4365380480745451"/>
    <n v="1"/>
    <n v="70.599999999999994"/>
    <n v="70.599999999999994"/>
    <n v="10.516370146086397"/>
    <n v="1652.9044153973655"/>
    <n v="1"/>
    <n v="0"/>
    <n v="0"/>
    <n v="0"/>
    <n v="0"/>
    <n v="0"/>
    <n v="0"/>
    <n v="0"/>
    <n v="0"/>
    <n v="0"/>
  </r>
  <r>
    <d v="2022-08-14T00:00:00"/>
    <n v="2022"/>
    <x v="35"/>
    <s v="R"/>
    <s v="RS"/>
    <x v="3"/>
    <s v="CHI"/>
    <s v="H"/>
    <n v="1"/>
    <n v="2"/>
    <n v="-1"/>
    <n v="1"/>
    <n v="-8"/>
    <n v="8"/>
    <n v="1460.1084562989913"/>
    <n v="1642.388045251279"/>
    <n v="0.34122359981952904"/>
    <n v="67"/>
    <n v="82"/>
    <n v="0"/>
    <n v="-15"/>
    <n v="0"/>
    <n v="0.4365380480745451"/>
    <n v="1"/>
    <n v="70.599999999999994"/>
    <n v="70.599999999999994"/>
    <n v="-10.516370146086395"/>
    <n v="1449.5920861529048"/>
    <n v="0"/>
    <n v="1"/>
    <n v="0"/>
    <n v="0"/>
    <n v="0"/>
    <n v="0"/>
    <n v="0"/>
    <n v="0"/>
    <n v="0"/>
    <n v="0"/>
  </r>
  <r>
    <d v="2022-08-14T00:00:00"/>
    <n v="2022"/>
    <x v="35"/>
    <s v="R"/>
    <s v="RS"/>
    <x v="6"/>
    <s v="WAS"/>
    <s v="A"/>
    <n v="1"/>
    <n v="1"/>
    <n v="0"/>
    <n v="0"/>
    <n v="0"/>
    <n v="0"/>
    <n v="1228.5642247230737"/>
    <n v="1565.1893508612577"/>
    <n v="8.1561855486282892E-2"/>
    <n v="83"/>
    <n v="95"/>
    <n v="0"/>
    <n v="-12"/>
    <n v="0"/>
    <n v="0.35620615749493273"/>
    <n v="1"/>
    <n v="70.599999999999994"/>
    <n v="70.599999999999994"/>
    <n v="-2.0511301609493633"/>
    <n v="1226.5130945621243"/>
    <n v="0"/>
    <n v="1"/>
    <n v="0"/>
    <n v="0"/>
    <n v="0"/>
    <n v="0"/>
    <n v="0"/>
    <n v="0"/>
    <n v="0"/>
    <n v="0"/>
  </r>
  <r>
    <d v="2022-08-14T00:00:00"/>
    <n v="2022"/>
    <x v="35"/>
    <s v="R"/>
    <s v="RS"/>
    <x v="7"/>
    <s v="IND"/>
    <s v="H"/>
    <n v="1"/>
    <n v="1"/>
    <n v="0"/>
    <n v="0"/>
    <n v="0"/>
    <n v="0"/>
    <n v="1565.1893508612577"/>
    <n v="1228.5642247230737"/>
    <n v="0.91843814451371708"/>
    <n v="95"/>
    <n v="83"/>
    <n v="0"/>
    <n v="12"/>
    <n v="1"/>
    <n v="0.35620615749493273"/>
    <n v="1"/>
    <n v="70.599999999999994"/>
    <n v="70.599999999999994"/>
    <n v="2.0511301609493637"/>
    <n v="1567.2404810222072"/>
    <n v="1"/>
    <n v="0"/>
    <n v="0"/>
    <n v="0"/>
    <n v="0"/>
    <n v="0"/>
    <n v="0"/>
    <n v="0"/>
    <n v="0"/>
    <n v="0"/>
  </r>
  <r>
    <d v="2022-08-17T00:00:00"/>
    <n v="2022"/>
    <x v="36"/>
    <s v="P"/>
    <n v="1"/>
    <x v="11"/>
    <s v="CHI"/>
    <s v="A"/>
    <n v="2"/>
    <n v="2"/>
    <n v="0"/>
    <n v="0"/>
    <n v="0"/>
    <n v="0"/>
    <n v="1476.8763181604693"/>
    <n v="1652.9044153973655"/>
    <n v="0.18289699311135105"/>
    <n v="98"/>
    <n v="91"/>
    <n v="0"/>
    <n v="7"/>
    <n v="1"/>
    <n v="0.3227612923576248"/>
    <n v="1.1000000000000001"/>
    <n v="70.45"/>
    <n v="77.495000000000005"/>
    <n v="20.437696097070358"/>
    <n v="1497.3140142575396"/>
    <n v="0"/>
    <n v="0"/>
    <n v="1"/>
    <n v="0"/>
    <n v="0"/>
    <n v="0"/>
    <n v="0"/>
    <n v="0"/>
    <n v="0"/>
    <n v="0"/>
  </r>
  <r>
    <d v="2022-08-17T00:00:00"/>
    <n v="2022"/>
    <x v="36"/>
    <s v="P"/>
    <n v="1"/>
    <x v="1"/>
    <s v="NYL"/>
    <s v="H"/>
    <n v="2"/>
    <n v="2"/>
    <n v="0"/>
    <n v="0"/>
    <n v="0"/>
    <n v="0"/>
    <n v="1652.9044153973655"/>
    <n v="1476.8763181604693"/>
    <n v="0.81710300688864901"/>
    <n v="91"/>
    <n v="98"/>
    <n v="0"/>
    <n v="-7"/>
    <n v="0"/>
    <n v="0.3227612923576248"/>
    <n v="1.1000000000000001"/>
    <n v="70.45"/>
    <n v="77.495000000000005"/>
    <n v="-20.437696097070358"/>
    <n v="1632.4667193002952"/>
    <n v="0"/>
    <n v="0"/>
    <n v="0"/>
    <n v="1"/>
    <n v="0"/>
    <n v="0"/>
    <n v="0"/>
    <n v="0"/>
    <n v="0"/>
    <n v="0"/>
  </r>
  <r>
    <d v="2022-08-17T00:00:00"/>
    <n v="2022"/>
    <x v="36"/>
    <s v="P"/>
    <n v="1"/>
    <x v="3"/>
    <s v="LVA"/>
    <s v="A"/>
    <n v="2"/>
    <n v="2"/>
    <n v="0"/>
    <n v="0"/>
    <n v="0"/>
    <n v="0"/>
    <n v="1449.5920861529048"/>
    <n v="1647.2490679180532"/>
    <n v="0.16501905958484192"/>
    <n v="63"/>
    <n v="79"/>
    <n v="0"/>
    <n v="-16"/>
    <n v="0"/>
    <n v="0.44456060882074144"/>
    <n v="1.1000000000000001"/>
    <n v="70.45"/>
    <n v="77.495000000000005"/>
    <n v="-5.6851086488269438"/>
    <n v="1443.9069775040778"/>
    <n v="0"/>
    <n v="0"/>
    <n v="0"/>
    <n v="1"/>
    <n v="0"/>
    <n v="0"/>
    <n v="0"/>
    <n v="0"/>
    <n v="0"/>
    <n v="0"/>
  </r>
  <r>
    <d v="2022-08-17T00:00:00"/>
    <n v="2022"/>
    <x v="36"/>
    <s v="P"/>
    <n v="1"/>
    <x v="2"/>
    <s v="PHX"/>
    <s v="H"/>
    <n v="2"/>
    <n v="2"/>
    <n v="0"/>
    <n v="0"/>
    <n v="0"/>
    <n v="0"/>
    <n v="1647.2490679180532"/>
    <n v="1449.5920861529048"/>
    <n v="0.83498094041515802"/>
    <n v="79"/>
    <n v="63"/>
    <n v="0"/>
    <n v="16"/>
    <n v="1"/>
    <n v="0.44456060882074144"/>
    <n v="1.1000000000000001"/>
    <n v="70.45"/>
    <n v="77.495000000000005"/>
    <n v="5.6851086488269456"/>
    <n v="1652.9341765668803"/>
    <n v="0"/>
    <n v="0"/>
    <n v="1"/>
    <n v="0"/>
    <n v="0"/>
    <n v="0"/>
    <n v="0"/>
    <n v="0"/>
    <n v="0"/>
    <n v="0"/>
  </r>
  <r>
    <d v="2022-08-18T00:00:00"/>
    <n v="2022"/>
    <x v="36"/>
    <s v="P"/>
    <n v="1"/>
    <x v="9"/>
    <s v="CON"/>
    <s v="A"/>
    <n v="3"/>
    <n v="3"/>
    <n v="0"/>
    <n v="0"/>
    <n v="0"/>
    <n v="0"/>
    <n v="1493.3936426602666"/>
    <n v="1662.5091519289138"/>
    <n v="0.1889189353277981"/>
    <n v="68"/>
    <n v="93"/>
    <n v="0"/>
    <n v="-25"/>
    <n v="0"/>
    <n v="0.56212469208220373"/>
    <n v="1.1000000000000001"/>
    <n v="70.45"/>
    <n v="77.495000000000005"/>
    <n v="-8.2296588921050642"/>
    <n v="1485.1639837681614"/>
    <n v="0"/>
    <n v="0"/>
    <n v="0"/>
    <n v="1"/>
    <n v="0"/>
    <n v="0"/>
    <n v="0"/>
    <n v="0"/>
    <n v="0"/>
    <n v="0"/>
  </r>
  <r>
    <d v="2022-08-18T00:00:00"/>
    <n v="2022"/>
    <x v="36"/>
    <s v="P"/>
    <n v="1"/>
    <x v="10"/>
    <s v="DAL"/>
    <s v="H"/>
    <n v="3"/>
    <n v="3"/>
    <n v="0"/>
    <n v="0"/>
    <n v="0"/>
    <n v="0"/>
    <n v="1662.5091519289138"/>
    <n v="1493.3936426602666"/>
    <n v="0.81108106467220187"/>
    <n v="93"/>
    <n v="68"/>
    <n v="0"/>
    <n v="25"/>
    <n v="1"/>
    <n v="0.56212469208220373"/>
    <n v="1.1000000000000001"/>
    <n v="70.45"/>
    <n v="77.495000000000005"/>
    <n v="8.2296588921050642"/>
    <n v="1670.7388108210189"/>
    <n v="0"/>
    <n v="0"/>
    <n v="1"/>
    <n v="0"/>
    <n v="0"/>
    <n v="0"/>
    <n v="0"/>
    <n v="0"/>
    <n v="0"/>
    <n v="0"/>
  </r>
  <r>
    <d v="2022-08-18T00:00:00"/>
    <n v="2022"/>
    <x v="36"/>
    <s v="P"/>
    <n v="1"/>
    <x v="7"/>
    <s v="SEA"/>
    <s v="A"/>
    <n v="3"/>
    <n v="3"/>
    <n v="0"/>
    <n v="0"/>
    <n v="0"/>
    <n v="0"/>
    <n v="1567.2404810222072"/>
    <n v="1603.3016667186814"/>
    <n v="0.33378224860257855"/>
    <n v="83"/>
    <n v="86"/>
    <n v="0"/>
    <n v="-3"/>
    <n v="0"/>
    <n v="0.28171762801712807"/>
    <n v="1.1000000000000001"/>
    <n v="70.45"/>
    <n v="77.495000000000005"/>
    <n v="-7.2870364479502365"/>
    <n v="1559.953444574257"/>
    <n v="0"/>
    <n v="0"/>
    <n v="0"/>
    <n v="1"/>
    <n v="0"/>
    <n v="0"/>
    <n v="0"/>
    <n v="0"/>
    <n v="0"/>
    <n v="0"/>
  </r>
  <r>
    <d v="2022-08-18T00:00:00"/>
    <n v="2022"/>
    <x v="36"/>
    <s v="P"/>
    <n v="1"/>
    <x v="5"/>
    <s v="WAS"/>
    <s v="H"/>
    <n v="3"/>
    <n v="3"/>
    <n v="0"/>
    <n v="0"/>
    <n v="0"/>
    <n v="0"/>
    <n v="1603.3016667186814"/>
    <n v="1567.2404810222072"/>
    <n v="0.66621775139742145"/>
    <n v="86"/>
    <n v="83"/>
    <n v="0"/>
    <n v="3"/>
    <n v="1"/>
    <n v="0.28171762801712807"/>
    <n v="1.1000000000000001"/>
    <n v="70.45"/>
    <n v="77.495000000000005"/>
    <n v="7.2870364479502365"/>
    <n v="1610.5887031666316"/>
    <n v="0"/>
    <n v="0"/>
    <n v="1"/>
    <n v="0"/>
    <n v="0"/>
    <n v="0"/>
    <n v="0"/>
    <n v="0"/>
    <n v="0"/>
    <n v="0"/>
  </r>
  <r>
    <d v="2022-08-20T00:00:00"/>
    <n v="2022"/>
    <x v="37"/>
    <s v="P"/>
    <n v="1"/>
    <x v="11"/>
    <s v="CHI"/>
    <s v="A"/>
    <n v="2"/>
    <n v="2"/>
    <n v="0"/>
    <n v="0"/>
    <n v="0"/>
    <n v="0"/>
    <n v="1497.3140142575396"/>
    <n v="1632.4667193002952"/>
    <n v="0.22070815049055093"/>
    <n v="62"/>
    <n v="100"/>
    <n v="0"/>
    <n v="-38"/>
    <n v="0"/>
    <n v="0.71540197269592676"/>
    <n v="1.1000000000000001"/>
    <n v="70.3"/>
    <n v="77.33"/>
    <n v="-12.210023926590573"/>
    <n v="1485.103990330949"/>
    <n v="0"/>
    <n v="0"/>
    <n v="0"/>
    <n v="1"/>
    <n v="0"/>
    <n v="0"/>
    <n v="0"/>
    <n v="0"/>
    <n v="0"/>
    <n v="0"/>
  </r>
  <r>
    <d v="2022-08-20T00:00:00"/>
    <n v="2022"/>
    <x v="37"/>
    <s v="P"/>
    <n v="1"/>
    <x v="1"/>
    <s v="NYL"/>
    <s v="H"/>
    <n v="2"/>
    <n v="2"/>
    <n v="0"/>
    <n v="0"/>
    <n v="0"/>
    <n v="0"/>
    <n v="1632.4667193002952"/>
    <n v="1497.3140142575396"/>
    <n v="0.77929184950944907"/>
    <n v="100"/>
    <n v="62"/>
    <n v="0"/>
    <n v="38"/>
    <n v="1"/>
    <n v="0.71540197269592676"/>
    <n v="1.1000000000000001"/>
    <n v="70.3"/>
    <n v="77.33"/>
    <n v="12.210023926590573"/>
    <n v="1644.6767432268857"/>
    <n v="0"/>
    <n v="0"/>
    <n v="1"/>
    <n v="0"/>
    <n v="0"/>
    <n v="0"/>
    <n v="0"/>
    <n v="0"/>
    <n v="0"/>
    <n v="0"/>
  </r>
  <r>
    <d v="2022-08-20T00:00:00"/>
    <n v="2022"/>
    <x v="37"/>
    <s v="P"/>
    <n v="1"/>
    <x v="3"/>
    <s v="LVA"/>
    <s v="A"/>
    <n v="2"/>
    <n v="2"/>
    <n v="0"/>
    <n v="0"/>
    <n v="0"/>
    <n v="0"/>
    <n v="1443.9069775040778"/>
    <n v="1652.9341765668803"/>
    <n v="0.15619711505362643"/>
    <n v="80"/>
    <n v="117"/>
    <n v="0"/>
    <n v="-37"/>
    <n v="0"/>
    <n v="0.66839039095051311"/>
    <n v="1.1000000000000001"/>
    <n v="70.3"/>
    <n v="77.33"/>
    <n v="-8.073302326057437"/>
    <n v="1435.8336751780203"/>
    <n v="0"/>
    <n v="0"/>
    <n v="0"/>
    <n v="1"/>
    <n v="0"/>
    <n v="0"/>
    <n v="0"/>
    <n v="0"/>
    <n v="0"/>
    <n v="0"/>
  </r>
  <r>
    <d v="2022-08-20T00:00:00"/>
    <n v="2022"/>
    <x v="37"/>
    <s v="P"/>
    <n v="1"/>
    <x v="2"/>
    <s v="PHX"/>
    <s v="H"/>
    <n v="2"/>
    <n v="2"/>
    <n v="0"/>
    <n v="0"/>
    <n v="0"/>
    <n v="0"/>
    <n v="1652.9341765668803"/>
    <n v="1443.9069775040778"/>
    <n v="0.84380288494637357"/>
    <n v="117"/>
    <n v="80"/>
    <n v="0"/>
    <n v="37"/>
    <n v="1"/>
    <n v="0.66839039095051311"/>
    <n v="1.1000000000000001"/>
    <n v="70.3"/>
    <n v="77.33"/>
    <n v="8.073302326057437"/>
    <n v="1661.0074788929378"/>
    <n v="0"/>
    <n v="0"/>
    <n v="1"/>
    <n v="0"/>
    <n v="0"/>
    <n v="0"/>
    <n v="0"/>
    <n v="0"/>
    <n v="0"/>
    <n v="0"/>
  </r>
  <r>
    <d v="2022-08-21T00:00:00"/>
    <n v="2022"/>
    <x v="37"/>
    <s v="P"/>
    <n v="1"/>
    <x v="9"/>
    <s v="CON"/>
    <s v="A"/>
    <n v="2"/>
    <n v="2"/>
    <n v="0"/>
    <n v="0"/>
    <n v="0"/>
    <n v="0"/>
    <n v="1485.1639837681614"/>
    <n v="1670.7388108210189"/>
    <n v="0.17482681278183748"/>
    <n v="89"/>
    <n v="79"/>
    <n v="0"/>
    <n v="10"/>
    <n v="1"/>
    <n v="0.36645847577842189"/>
    <n v="1.1000000000000001"/>
    <n v="70.3"/>
    <n v="77.33"/>
    <n v="23.383950813757234"/>
    <n v="1508.5479345819188"/>
    <n v="0"/>
    <n v="0"/>
    <n v="1"/>
    <n v="0"/>
    <n v="0"/>
    <n v="0"/>
    <n v="0"/>
    <n v="0"/>
    <n v="0"/>
    <n v="0"/>
  </r>
  <r>
    <d v="2022-08-21T00:00:00"/>
    <n v="2022"/>
    <x v="37"/>
    <s v="P"/>
    <n v="1"/>
    <x v="10"/>
    <s v="DAL"/>
    <s v="H"/>
    <n v="2"/>
    <n v="2"/>
    <n v="0"/>
    <n v="0"/>
    <n v="0"/>
    <n v="0"/>
    <n v="1670.7388108210189"/>
    <n v="1485.1639837681614"/>
    <n v="0.82517318721816257"/>
    <n v="79"/>
    <n v="89"/>
    <n v="0"/>
    <n v="-10"/>
    <n v="0"/>
    <n v="0.36645847577842189"/>
    <n v="1.1000000000000001"/>
    <n v="70.3"/>
    <n v="77.33"/>
    <n v="-23.383950813757238"/>
    <n v="1647.3548600072615"/>
    <n v="0"/>
    <n v="0"/>
    <n v="0"/>
    <n v="1"/>
    <n v="0"/>
    <n v="0"/>
    <n v="0"/>
    <n v="0"/>
    <n v="0"/>
    <n v="0"/>
  </r>
  <r>
    <d v="2022-08-21T00:00:00"/>
    <n v="2022"/>
    <x v="37"/>
    <s v="P"/>
    <n v="1"/>
    <x v="7"/>
    <s v="SEA"/>
    <s v="A"/>
    <n v="2"/>
    <n v="2"/>
    <n v="0"/>
    <n v="0"/>
    <n v="0"/>
    <n v="0"/>
    <n v="1559.953444574257"/>
    <n v="1610.5887031666316"/>
    <n v="0.31539356618288183"/>
    <n v="84"/>
    <n v="97"/>
    <n v="0"/>
    <n v="-13"/>
    <n v="0"/>
    <n v="0.45293182235602358"/>
    <n v="1.1000000000000001"/>
    <n v="70.3"/>
    <n v="77.33"/>
    <n v="-11.046728355462381"/>
    <n v="1548.9067162187946"/>
    <n v="0"/>
    <n v="0"/>
    <n v="0"/>
    <n v="1"/>
    <n v="0"/>
    <n v="0"/>
    <n v="0"/>
    <n v="0"/>
    <n v="0"/>
    <n v="0"/>
  </r>
  <r>
    <d v="2022-08-21T00:00:00"/>
    <n v="2022"/>
    <x v="37"/>
    <s v="P"/>
    <n v="1"/>
    <x v="5"/>
    <s v="WAS"/>
    <s v="H"/>
    <n v="2"/>
    <n v="2"/>
    <n v="0"/>
    <n v="0"/>
    <n v="0"/>
    <n v="0"/>
    <n v="1610.5887031666316"/>
    <n v="1559.953444574257"/>
    <n v="0.68460643381711817"/>
    <n v="97"/>
    <n v="84"/>
    <n v="0"/>
    <n v="13"/>
    <n v="1"/>
    <n v="0.45293182235602358"/>
    <n v="1.1000000000000001"/>
    <n v="70.3"/>
    <n v="77.33"/>
    <n v="11.046728355462381"/>
    <n v="1621.635431522094"/>
    <n v="0"/>
    <n v="0"/>
    <n v="1"/>
    <n v="0"/>
    <n v="0"/>
    <n v="0"/>
    <n v="0"/>
    <n v="0"/>
    <n v="0"/>
    <n v="0"/>
  </r>
  <r>
    <d v="2022-08-23T00:00:00"/>
    <n v="2022"/>
    <x v="38"/>
    <s v="P"/>
    <n v="1"/>
    <x v="1"/>
    <s v="NYL"/>
    <s v="A"/>
    <n v="2"/>
    <n v="2"/>
    <n v="0"/>
    <n v="0"/>
    <n v="0"/>
    <n v="0"/>
    <n v="1644.6767432268857"/>
    <n v="1485.103990330949"/>
    <n v="0.60707455815878031"/>
    <n v="90"/>
    <n v="72"/>
    <n v="0"/>
    <n v="18"/>
    <n v="1"/>
    <n v="0.48265215462273375"/>
    <n v="1.1000000000000001"/>
    <n v="70.150000000000006"/>
    <n v="77.165000000000006"/>
    <n v="14.634057596861359"/>
    <n v="1659.3108008237471"/>
    <n v="0"/>
    <n v="0"/>
    <n v="1"/>
    <n v="0"/>
    <n v="0"/>
    <n v="0"/>
    <n v="0"/>
    <n v="0"/>
    <n v="0"/>
    <n v="0"/>
  </r>
  <r>
    <d v="2022-08-23T00:00:00"/>
    <n v="2022"/>
    <x v="38"/>
    <s v="P"/>
    <n v="1"/>
    <x v="11"/>
    <s v="CHI"/>
    <s v="H"/>
    <n v="2"/>
    <n v="2"/>
    <n v="0"/>
    <n v="0"/>
    <n v="0"/>
    <n v="0"/>
    <n v="1485.103990330949"/>
    <n v="1644.6767432268857"/>
    <n v="0.39292544184121975"/>
    <n v="72"/>
    <n v="90"/>
    <n v="0"/>
    <n v="-18"/>
    <n v="0"/>
    <n v="0.48265215462273375"/>
    <n v="1.1000000000000001"/>
    <n v="70.150000000000006"/>
    <n v="77.165000000000006"/>
    <n v="-14.634057596861361"/>
    <n v="1470.4699327340877"/>
    <n v="0"/>
    <n v="0"/>
    <n v="0"/>
    <n v="1"/>
    <n v="0"/>
    <n v="0"/>
    <n v="0"/>
    <n v="0"/>
    <n v="0"/>
    <n v="0"/>
  </r>
  <r>
    <d v="2022-08-24T00:00:00"/>
    <n v="2022"/>
    <x v="38"/>
    <s v="P"/>
    <n v="1"/>
    <x v="10"/>
    <s v="DAL"/>
    <s v="A"/>
    <n v="2"/>
    <n v="2"/>
    <n v="0"/>
    <n v="0"/>
    <n v="0"/>
    <n v="0"/>
    <n v="1647.3548600072615"/>
    <n v="1508.5479345819188"/>
    <n v="0.57822572040034093"/>
    <n v="73"/>
    <n v="58"/>
    <n v="0"/>
    <n v="15"/>
    <n v="1"/>
    <n v="0.45071296106629316"/>
    <n v="1.1000000000000001"/>
    <n v="70.150000000000006"/>
    <n v="77.165000000000006"/>
    <n v="14.668999710603199"/>
    <n v="1662.0238597178648"/>
    <n v="0"/>
    <n v="0"/>
    <n v="1"/>
    <n v="0"/>
    <n v="0"/>
    <n v="0"/>
    <n v="0"/>
    <n v="0"/>
    <n v="0"/>
    <n v="0"/>
  </r>
  <r>
    <d v="2022-08-24T00:00:00"/>
    <n v="2022"/>
    <x v="38"/>
    <s v="P"/>
    <n v="1"/>
    <x v="9"/>
    <s v="CON"/>
    <s v="H"/>
    <n v="2"/>
    <n v="2"/>
    <n v="0"/>
    <n v="0"/>
    <n v="0"/>
    <n v="0"/>
    <n v="1508.5479345819188"/>
    <n v="1647.3548600072615"/>
    <n v="0.42177427959965913"/>
    <n v="58"/>
    <n v="73"/>
    <n v="0"/>
    <n v="-15"/>
    <n v="0"/>
    <n v="0.45071296106629316"/>
    <n v="1.1000000000000001"/>
    <n v="70.150000000000006"/>
    <n v="77.165000000000006"/>
    <n v="-14.668999710603201"/>
    <n v="1493.8789348713156"/>
    <n v="0"/>
    <n v="0"/>
    <n v="0"/>
    <n v="1"/>
    <n v="0"/>
    <n v="0"/>
    <n v="0"/>
    <n v="0"/>
    <n v="0"/>
    <n v="0"/>
  </r>
  <r>
    <d v="2022-08-28T00:00:00"/>
    <n v="2022"/>
    <x v="39"/>
    <s v="P"/>
    <n v="2"/>
    <x v="10"/>
    <s v="CHI"/>
    <s v="A"/>
    <n v="3"/>
    <n v="4"/>
    <n v="-1"/>
    <n v="1"/>
    <n v="-8"/>
    <n v="8"/>
    <n v="1662.0238597178648"/>
    <n v="1659.3108008237471"/>
    <n v="0.36354083049432157"/>
    <n v="68"/>
    <n v="63"/>
    <n v="0"/>
    <n v="5"/>
    <n v="1"/>
    <n v="0.33100760618626085"/>
    <n v="1.2"/>
    <n v="70"/>
    <n v="84"/>
    <n v="17.696517395203102"/>
    <n v="1679.7203771130678"/>
    <n v="0"/>
    <n v="0"/>
    <n v="0"/>
    <n v="0"/>
    <n v="1"/>
    <n v="0"/>
    <n v="0"/>
    <n v="0"/>
    <n v="0"/>
    <n v="0"/>
  </r>
  <r>
    <d v="2022-08-28T00:00:00"/>
    <n v="2022"/>
    <x v="39"/>
    <s v="P"/>
    <n v="2"/>
    <x v="1"/>
    <s v="CON"/>
    <s v="H"/>
    <n v="4"/>
    <n v="3"/>
    <n v="1"/>
    <n v="-1"/>
    <n v="8"/>
    <n v="-8"/>
    <n v="1659.3108008237471"/>
    <n v="1662.0238597178648"/>
    <n v="0.63645916950567849"/>
    <n v="63"/>
    <n v="68"/>
    <n v="0"/>
    <n v="-5"/>
    <n v="0"/>
    <n v="0.33100760618626085"/>
    <n v="1.2"/>
    <n v="70"/>
    <n v="84"/>
    <n v="-17.696517395203102"/>
    <n v="1641.614283428544"/>
    <n v="0"/>
    <n v="0"/>
    <n v="0"/>
    <n v="0"/>
    <n v="0"/>
    <n v="1"/>
    <n v="0"/>
    <n v="0"/>
    <n v="0"/>
    <n v="0"/>
  </r>
  <r>
    <d v="2022-08-28T00:00:00"/>
    <n v="2022"/>
    <x v="38"/>
    <s v="P"/>
    <n v="2"/>
    <x v="5"/>
    <s v="LVA"/>
    <s v="A"/>
    <n v="6"/>
    <n v="7"/>
    <n v="-1"/>
    <n v="1"/>
    <n v="-8"/>
    <n v="8"/>
    <n v="1621.635431522094"/>
    <n v="1661.0074788929378"/>
    <n v="0.30953587961309575"/>
    <n v="76"/>
    <n v="73"/>
    <n v="0"/>
    <n v="3"/>
    <n v="1"/>
    <n v="0.28096504682121132"/>
    <n v="1.2"/>
    <n v="70.150000000000006"/>
    <n v="84.18"/>
    <n v="16.330607179785652"/>
    <n v="1637.9660387018796"/>
    <n v="0"/>
    <n v="0"/>
    <n v="0"/>
    <n v="0"/>
    <n v="1"/>
    <n v="0"/>
    <n v="0"/>
    <n v="0"/>
    <n v="0"/>
    <n v="0"/>
  </r>
  <r>
    <d v="2022-08-28T00:00:00"/>
    <n v="2022"/>
    <x v="38"/>
    <s v="P"/>
    <n v="2"/>
    <x v="2"/>
    <s v="SEA"/>
    <s v="H"/>
    <n v="7"/>
    <n v="6"/>
    <n v="1"/>
    <n v="-1"/>
    <n v="8"/>
    <n v="-8"/>
    <n v="1661.0074788929378"/>
    <n v="1621.635431522094"/>
    <n v="0.69046412038690419"/>
    <n v="73"/>
    <n v="76"/>
    <n v="0"/>
    <n v="-3"/>
    <n v="0"/>
    <n v="0.28096504682121132"/>
    <n v="1.2"/>
    <n v="70.150000000000006"/>
    <n v="84.18"/>
    <n v="-16.330607179785652"/>
    <n v="1644.6768717131522"/>
    <n v="0"/>
    <n v="0"/>
    <n v="0"/>
    <n v="0"/>
    <n v="0"/>
    <n v="1"/>
    <n v="0"/>
    <n v="0"/>
    <n v="0"/>
    <n v="0"/>
  </r>
  <r>
    <d v="2022-08-31T00:00:00"/>
    <n v="2022"/>
    <x v="40"/>
    <s v="P"/>
    <n v="2"/>
    <x v="10"/>
    <s v="CHI"/>
    <s v="A"/>
    <n v="2"/>
    <n v="2"/>
    <n v="0"/>
    <n v="0"/>
    <n v="0"/>
    <n v="0"/>
    <n v="1679.7203771130678"/>
    <n v="1641.614283428544"/>
    <n v="0.4343348386037304"/>
    <n v="77"/>
    <n v="85"/>
    <n v="0"/>
    <n v="-8"/>
    <n v="0"/>
    <n v="0.37636406474414824"/>
    <n v="1.2"/>
    <n v="69.849999999999994"/>
    <n v="83.82"/>
    <n v="-13.701889882062018"/>
    <n v="1666.0184872310058"/>
    <n v="0"/>
    <n v="0"/>
    <n v="0"/>
    <n v="0"/>
    <n v="0"/>
    <n v="1"/>
    <n v="0"/>
    <n v="0"/>
    <n v="0"/>
    <n v="0"/>
  </r>
  <r>
    <d v="2022-08-31T00:00:00"/>
    <n v="2022"/>
    <x v="40"/>
    <s v="P"/>
    <n v="2"/>
    <x v="1"/>
    <s v="CON"/>
    <s v="H"/>
    <n v="2"/>
    <n v="2"/>
    <n v="0"/>
    <n v="0"/>
    <n v="0"/>
    <n v="0"/>
    <n v="1641.614283428544"/>
    <n v="1679.7203771130678"/>
    <n v="0.56566516139626966"/>
    <n v="85"/>
    <n v="77"/>
    <n v="0"/>
    <n v="8"/>
    <n v="1"/>
    <n v="0.37636406474414824"/>
    <n v="1.2"/>
    <n v="69.849999999999994"/>
    <n v="83.82"/>
    <n v="13.701889882062016"/>
    <n v="1655.316173310606"/>
    <n v="0"/>
    <n v="0"/>
    <n v="0"/>
    <n v="0"/>
    <n v="1"/>
    <n v="0"/>
    <n v="0"/>
    <n v="0"/>
    <n v="0"/>
    <n v="0"/>
  </r>
  <r>
    <d v="2022-08-31T00:00:00"/>
    <n v="2022"/>
    <x v="39"/>
    <s v="P"/>
    <n v="2"/>
    <x v="5"/>
    <s v="LVA"/>
    <s v="A"/>
    <n v="2"/>
    <n v="2"/>
    <n v="0"/>
    <n v="0"/>
    <n v="0"/>
    <n v="0"/>
    <n v="1637.9660387018796"/>
    <n v="1644.6768717131522"/>
    <n v="0.37234413037615927"/>
    <n v="73"/>
    <n v="78"/>
    <n v="0"/>
    <n v="-5"/>
    <n v="0"/>
    <n v="0.32991099413605607"/>
    <n v="1.2"/>
    <n v="70"/>
    <n v="84"/>
    <n v="-10.318595465902414"/>
    <n v="1627.6474432359771"/>
    <n v="0"/>
    <n v="0"/>
    <n v="0"/>
    <n v="0"/>
    <n v="0"/>
    <n v="1"/>
    <n v="0"/>
    <n v="0"/>
    <n v="0"/>
    <n v="0"/>
  </r>
  <r>
    <d v="2022-08-31T00:00:00"/>
    <n v="2022"/>
    <x v="39"/>
    <s v="P"/>
    <n v="2"/>
    <x v="2"/>
    <s v="SEA"/>
    <s v="H"/>
    <n v="2"/>
    <n v="2"/>
    <n v="0"/>
    <n v="0"/>
    <n v="0"/>
    <n v="0"/>
    <n v="1644.6768717131522"/>
    <n v="1637.9660387018796"/>
    <n v="0.62765586962384068"/>
    <n v="78"/>
    <n v="73"/>
    <n v="0"/>
    <n v="5"/>
    <n v="1"/>
    <n v="0.32991099413605607"/>
    <n v="1.2"/>
    <n v="70"/>
    <n v="84"/>
    <n v="10.318595465902415"/>
    <n v="1654.9954671790547"/>
    <n v="0"/>
    <n v="0"/>
    <n v="0"/>
    <n v="0"/>
    <n v="1"/>
    <n v="0"/>
    <n v="0"/>
    <n v="0"/>
    <n v="0"/>
    <n v="0"/>
  </r>
  <r>
    <d v="2022-09-04T00:00:00"/>
    <n v="2022"/>
    <x v="41"/>
    <s v="P"/>
    <n v="2"/>
    <x v="1"/>
    <s v="CON"/>
    <s v="A"/>
    <n v="3"/>
    <n v="3"/>
    <n v="0"/>
    <n v="0"/>
    <n v="0"/>
    <n v="0"/>
    <n v="1655.316173310606"/>
    <n v="1666.0184872310058"/>
    <n v="0.36699029719626342"/>
    <n v="76"/>
    <n v="72"/>
    <n v="0"/>
    <n v="4"/>
    <n v="1"/>
    <n v="0.30867974529139802"/>
    <n v="1.2"/>
    <n v="69.7"/>
    <n v="83.64"/>
    <n v="16.343027983010803"/>
    <n v="1671.6592012936169"/>
    <n v="0"/>
    <n v="0"/>
    <n v="0"/>
    <n v="0"/>
    <n v="1"/>
    <n v="0"/>
    <n v="0"/>
    <n v="0"/>
    <n v="0"/>
    <n v="0"/>
  </r>
  <r>
    <d v="2022-09-04T00:00:00"/>
    <n v="2022"/>
    <x v="41"/>
    <s v="P"/>
    <n v="2"/>
    <x v="10"/>
    <s v="CHI"/>
    <s v="H"/>
    <n v="3"/>
    <n v="3"/>
    <n v="0"/>
    <n v="0"/>
    <n v="0"/>
    <n v="0"/>
    <n v="1666.0184872310058"/>
    <n v="1655.316173310606"/>
    <n v="0.63300970280373658"/>
    <n v="72"/>
    <n v="76"/>
    <n v="0"/>
    <n v="-4"/>
    <n v="0"/>
    <n v="0.30867974529139802"/>
    <n v="1.2"/>
    <n v="69.7"/>
    <n v="83.64"/>
    <n v="-16.343027983010803"/>
    <n v="1649.6754592479949"/>
    <n v="0"/>
    <n v="0"/>
    <n v="0"/>
    <n v="0"/>
    <n v="0"/>
    <n v="1"/>
    <n v="0"/>
    <n v="0"/>
    <n v="0"/>
    <n v="0"/>
  </r>
  <r>
    <d v="2022-09-04T00:00:00"/>
    <n v="2022"/>
    <x v="40"/>
    <s v="P"/>
    <n v="2"/>
    <x v="2"/>
    <s v="SEA"/>
    <s v="A"/>
    <n v="3"/>
    <n v="3"/>
    <n v="0"/>
    <n v="0"/>
    <n v="0"/>
    <n v="0"/>
    <n v="1654.9954671790547"/>
    <n v="1627.6474432359771"/>
    <n v="0.41918620536799411"/>
    <n v="110"/>
    <n v="98"/>
    <n v="1"/>
    <n v="12"/>
    <n v="1"/>
    <n v="0.40136928476084049"/>
    <n v="1.2"/>
    <n v="69.849999999999994"/>
    <n v="83.82"/>
    <n v="19.540186908657422"/>
    <n v="1674.5356540877121"/>
    <n v="0"/>
    <n v="0"/>
    <n v="0"/>
    <n v="0"/>
    <n v="1"/>
    <n v="0"/>
    <n v="0"/>
    <n v="0"/>
    <n v="0"/>
    <n v="0"/>
  </r>
  <r>
    <d v="2022-09-04T00:00:00"/>
    <n v="2022"/>
    <x v="40"/>
    <s v="P"/>
    <n v="2"/>
    <x v="5"/>
    <s v="LVA"/>
    <s v="H"/>
    <n v="3"/>
    <n v="3"/>
    <n v="0"/>
    <n v="0"/>
    <n v="0"/>
    <n v="0"/>
    <n v="1627.6474432359771"/>
    <n v="1654.9954671790547"/>
    <n v="0.58081379463200589"/>
    <n v="98"/>
    <n v="110"/>
    <n v="1"/>
    <n v="-12"/>
    <n v="0"/>
    <n v="0.40136928476084049"/>
    <n v="1.2"/>
    <n v="69.849999999999994"/>
    <n v="83.82"/>
    <n v="-19.540186908657422"/>
    <n v="1608.1072563273196"/>
    <n v="0"/>
    <n v="0"/>
    <n v="0"/>
    <n v="0"/>
    <n v="0"/>
    <n v="1"/>
    <n v="0"/>
    <n v="0"/>
    <n v="0"/>
    <n v="0"/>
  </r>
  <r>
    <d v="2022-09-06T00:00:00"/>
    <n v="2022"/>
    <x v="42"/>
    <s v="P"/>
    <n v="2"/>
    <x v="1"/>
    <s v="CON"/>
    <s v="A"/>
    <n v="1"/>
    <n v="1"/>
    <n v="0"/>
    <n v="0"/>
    <n v="0"/>
    <n v="0"/>
    <n v="1671.6592012936169"/>
    <n v="1649.6754592479949"/>
    <n v="0.41168736077904511"/>
    <n v="80"/>
    <n v="104"/>
    <n v="0"/>
    <n v="-24"/>
    <n v="0"/>
    <n v="0.61712532776856666"/>
    <n v="1.2"/>
    <n v="69.55"/>
    <n v="83.46"/>
    <n v="-21.204072729923492"/>
    <n v="1650.4551285636935"/>
    <n v="0"/>
    <n v="0"/>
    <n v="0"/>
    <n v="0"/>
    <n v="0"/>
    <n v="1"/>
    <n v="0"/>
    <n v="0"/>
    <n v="0"/>
    <n v="0"/>
  </r>
  <r>
    <d v="2022-09-06T00:00:00"/>
    <n v="2022"/>
    <x v="42"/>
    <s v="P"/>
    <n v="2"/>
    <x v="10"/>
    <s v="CHI"/>
    <s v="H"/>
    <n v="1"/>
    <n v="1"/>
    <n v="0"/>
    <n v="0"/>
    <n v="0"/>
    <n v="0"/>
    <n v="1649.6754592479949"/>
    <n v="1671.6592012936169"/>
    <n v="0.58831263922095489"/>
    <n v="104"/>
    <n v="80"/>
    <n v="0"/>
    <n v="24"/>
    <n v="1"/>
    <n v="0.61712532776856666"/>
    <n v="1.2"/>
    <n v="69.55"/>
    <n v="83.46"/>
    <n v="21.204072729923492"/>
    <n v="1670.8795319779183"/>
    <n v="0"/>
    <n v="0"/>
    <n v="0"/>
    <n v="0"/>
    <n v="1"/>
    <n v="0"/>
    <n v="0"/>
    <n v="0"/>
    <n v="0"/>
    <n v="0"/>
  </r>
  <r>
    <d v="2022-09-06T00:00:00"/>
    <n v="2022"/>
    <x v="41"/>
    <s v="P"/>
    <n v="2"/>
    <x v="2"/>
    <s v="SEA"/>
    <s v="A"/>
    <n v="1"/>
    <n v="1"/>
    <n v="0"/>
    <n v="0"/>
    <n v="0"/>
    <n v="0"/>
    <n v="1674.5356540877121"/>
    <n v="1608.1072563273196"/>
    <n v="0.47473397015830626"/>
    <n v="97"/>
    <n v="92"/>
    <n v="0"/>
    <n v="5"/>
    <n v="1"/>
    <n v="0.31435426689541035"/>
    <n v="1.2"/>
    <n v="69.7"/>
    <n v="83.64"/>
    <n v="13.810604827434723"/>
    <n v="1688.3462589151468"/>
    <n v="0"/>
    <n v="0"/>
    <n v="0"/>
    <n v="0"/>
    <n v="1"/>
    <n v="0"/>
    <n v="0"/>
    <n v="0"/>
    <n v="0"/>
    <n v="0"/>
  </r>
  <r>
    <d v="2022-09-06T00:00:00"/>
    <n v="2022"/>
    <x v="41"/>
    <s v="P"/>
    <n v="2"/>
    <x v="5"/>
    <s v="LVA"/>
    <s v="H"/>
    <n v="1"/>
    <n v="1"/>
    <n v="0"/>
    <n v="0"/>
    <n v="0"/>
    <n v="0"/>
    <n v="1608.1072563273196"/>
    <n v="1674.5356540877121"/>
    <n v="0.52526602984169368"/>
    <n v="92"/>
    <n v="97"/>
    <n v="0"/>
    <n v="-5"/>
    <n v="0"/>
    <n v="0.31435426689541035"/>
    <n v="1.2"/>
    <n v="69.7"/>
    <n v="83.64"/>
    <n v="-13.81060482743472"/>
    <n v="1594.296651499885"/>
    <n v="0"/>
    <n v="0"/>
    <n v="0"/>
    <n v="0"/>
    <n v="0"/>
    <n v="1"/>
    <n v="0"/>
    <n v="0"/>
    <n v="0"/>
    <n v="0"/>
  </r>
  <r>
    <d v="2022-09-08T00:00:00"/>
    <n v="2022"/>
    <x v="43"/>
    <s v="P"/>
    <n v="2"/>
    <x v="10"/>
    <s v="CHI"/>
    <s v="A"/>
    <n v="1"/>
    <n v="1"/>
    <n v="0"/>
    <n v="0"/>
    <n v="0"/>
    <n v="0"/>
    <n v="1670.8795319779183"/>
    <n v="1650.4551285636935"/>
    <n v="0.40951503579134957"/>
    <n v="72"/>
    <n v="63"/>
    <n v="0"/>
    <n v="9"/>
    <n v="1"/>
    <n v="0.39917739371140898"/>
    <n v="1.2"/>
    <n v="69.400000000000006"/>
    <n v="83.28"/>
    <n v="19.62978297993325"/>
    <n v="1690.5093149578515"/>
    <n v="0"/>
    <n v="0"/>
    <n v="0"/>
    <n v="0"/>
    <n v="1"/>
    <n v="0"/>
    <n v="0"/>
    <n v="0"/>
    <n v="0"/>
    <n v="0"/>
  </r>
  <r>
    <d v="2022-09-08T00:00:00"/>
    <n v="2022"/>
    <x v="43"/>
    <s v="P"/>
    <n v="2"/>
    <x v="1"/>
    <s v="CON"/>
    <s v="H"/>
    <n v="1"/>
    <n v="1"/>
    <n v="0"/>
    <n v="0"/>
    <n v="0"/>
    <n v="0"/>
    <n v="1650.4551285636935"/>
    <n v="1670.8795319779183"/>
    <n v="0.59048496420865038"/>
    <n v="63"/>
    <n v="72"/>
    <n v="0"/>
    <n v="-9"/>
    <n v="0"/>
    <n v="0.39917739371140898"/>
    <n v="1.2"/>
    <n v="69.400000000000006"/>
    <n v="83.28"/>
    <n v="-19.629782979933246"/>
    <n v="1630.8253455837603"/>
    <n v="0"/>
    <n v="0"/>
    <n v="0"/>
    <n v="0"/>
    <n v="0"/>
    <n v="1"/>
    <n v="0"/>
    <n v="0"/>
    <n v="0"/>
    <n v="0"/>
  </r>
  <r>
    <d v="2022-09-11T00:00:00"/>
    <n v="2022"/>
    <x v="44"/>
    <s v="P"/>
    <n v="3"/>
    <x v="10"/>
    <s v="LVA"/>
    <s v="A"/>
    <n v="2"/>
    <n v="4"/>
    <n v="-2"/>
    <n v="2"/>
    <n v="-16"/>
    <n v="16"/>
    <n v="1690.5093149578515"/>
    <n v="1688.3462589151468"/>
    <n v="0.34179661199875239"/>
    <n v="64"/>
    <n v="67"/>
    <n v="0"/>
    <n v="-3"/>
    <n v="0"/>
    <n v="0.28966139291014759"/>
    <n v="1.35"/>
    <n v="69.25"/>
    <n v="93.487500000000011"/>
    <n v="-9.2557563686158133"/>
    <n v="1681.2535585892358"/>
    <n v="0"/>
    <n v="0"/>
    <n v="0"/>
    <n v="0"/>
    <n v="0"/>
    <n v="0"/>
    <n v="0"/>
    <n v="1"/>
    <n v="0"/>
    <n v="0"/>
  </r>
  <r>
    <d v="2022-09-11T00:00:00"/>
    <n v="2022"/>
    <x v="42"/>
    <s v="P"/>
    <n v="3"/>
    <x v="2"/>
    <s v="CON"/>
    <s v="H"/>
    <n v="4"/>
    <n v="2"/>
    <n v="2"/>
    <n v="-2"/>
    <n v="16"/>
    <n v="-16"/>
    <n v="1688.3462589151468"/>
    <n v="1690.5093149578515"/>
    <n v="0.65820338800124756"/>
    <n v="67"/>
    <n v="64"/>
    <n v="0"/>
    <n v="3"/>
    <n v="1"/>
    <n v="0.28966139291014759"/>
    <n v="1.35"/>
    <n v="69.55"/>
    <n v="93.892499999999998"/>
    <n v="9.2958535081188423"/>
    <n v="1697.6421124232656"/>
    <n v="0"/>
    <n v="0"/>
    <n v="0"/>
    <n v="0"/>
    <n v="0"/>
    <n v="0"/>
    <n v="1"/>
    <n v="0"/>
    <n v="0"/>
    <n v="0"/>
  </r>
  <r>
    <d v="2022-09-13T00:00:00"/>
    <n v="2022"/>
    <x v="45"/>
    <s v="P"/>
    <n v="3"/>
    <x v="10"/>
    <s v="LVA"/>
    <s v="A"/>
    <n v="1"/>
    <n v="1"/>
    <n v="0"/>
    <n v="0"/>
    <n v="0"/>
    <n v="0"/>
    <n v="1681.2535585892358"/>
    <n v="1697.6421124232656"/>
    <n v="0.35941986782990837"/>
    <n v="71"/>
    <n v="85"/>
    <n v="0"/>
    <n v="-14"/>
    <n v="0"/>
    <n v="0.48103849908535024"/>
    <n v="1.35"/>
    <n v="69.099999999999994"/>
    <n v="93.284999999999997"/>
    <n v="-16.128490836121198"/>
    <n v="1665.1250677531145"/>
    <n v="0"/>
    <n v="0"/>
    <n v="0"/>
    <n v="0"/>
    <n v="0"/>
    <n v="0"/>
    <n v="0"/>
    <n v="1"/>
    <n v="0"/>
    <n v="0"/>
  </r>
  <r>
    <d v="2022-09-13T00:00:00"/>
    <n v="2022"/>
    <x v="43"/>
    <s v="P"/>
    <n v="3"/>
    <x v="2"/>
    <s v="CON"/>
    <s v="H"/>
    <n v="1"/>
    <n v="1"/>
    <n v="0"/>
    <n v="0"/>
    <n v="0"/>
    <n v="0"/>
    <n v="1697.6421124232656"/>
    <n v="1681.2535585892358"/>
    <n v="0.64058013217009169"/>
    <n v="85"/>
    <n v="71"/>
    <n v="0"/>
    <n v="14"/>
    <n v="1"/>
    <n v="0.48103849908535024"/>
    <n v="1.35"/>
    <n v="69.400000000000006"/>
    <n v="93.690000000000012"/>
    <n v="16.198513227594951"/>
    <n v="1713.8406256508606"/>
    <n v="0"/>
    <n v="0"/>
    <n v="0"/>
    <n v="0"/>
    <n v="0"/>
    <n v="0"/>
    <n v="1"/>
    <n v="0"/>
    <n v="0"/>
    <n v="0"/>
  </r>
  <r>
    <d v="2022-09-15T00:00:00"/>
    <n v="2022"/>
    <x v="44"/>
    <s v="P"/>
    <n v="3"/>
    <x v="2"/>
    <s v="CON"/>
    <s v="A"/>
    <n v="1"/>
    <n v="1"/>
    <n v="0"/>
    <n v="0"/>
    <n v="0"/>
    <n v="0"/>
    <n v="1713.8406256508606"/>
    <n v="1665.1250677531145"/>
    <n v="0.44939546120878215"/>
    <n v="76"/>
    <n v="105"/>
    <n v="0"/>
    <n v="-29"/>
    <n v="0"/>
    <n v="0.66439113276513351"/>
    <n v="1.35"/>
    <n v="69.25"/>
    <n v="93.487500000000011"/>
    <n v="-27.91297043674901"/>
    <n v="1685.9276552141116"/>
    <n v="0"/>
    <n v="0"/>
    <n v="0"/>
    <n v="0"/>
    <n v="0"/>
    <n v="0"/>
    <n v="0"/>
    <n v="1"/>
    <n v="0"/>
    <n v="0"/>
  </r>
  <r>
    <d v="2022-09-15T00:00:00"/>
    <n v="2022"/>
    <x v="46"/>
    <s v="P"/>
    <n v="3"/>
    <x v="10"/>
    <s v="LVA"/>
    <s v="H"/>
    <n v="1"/>
    <n v="1"/>
    <n v="0"/>
    <n v="0"/>
    <n v="0"/>
    <n v="0"/>
    <n v="1665.1250677531145"/>
    <n v="1713.8406256508606"/>
    <n v="0.55060453879121785"/>
    <n v="105"/>
    <n v="76"/>
    <n v="0"/>
    <n v="29"/>
    <n v="1"/>
    <n v="0.66439113276513351"/>
    <n v="1.35"/>
    <n v="68.95"/>
    <n v="93.08250000000001"/>
    <n v="27.792047821138546"/>
    <n v="1692.9171155742531"/>
    <n v="0"/>
    <n v="0"/>
    <n v="0"/>
    <n v="0"/>
    <n v="0"/>
    <n v="0"/>
    <n v="1"/>
    <n v="0"/>
    <n v="0"/>
    <n v="0"/>
  </r>
  <r>
    <d v="2022-09-18T00:00:00"/>
    <n v="2022"/>
    <x v="45"/>
    <s v="P"/>
    <n v="3"/>
    <x v="2"/>
    <s v="CON"/>
    <s v="A"/>
    <n v="2"/>
    <n v="2"/>
    <n v="0"/>
    <n v="0"/>
    <n v="0"/>
    <n v="0"/>
    <n v="1685.9276552141116"/>
    <n v="1692.9171155742531"/>
    <n v="0.37196936751875526"/>
    <n v="78"/>
    <n v="71"/>
    <n v="0"/>
    <n v="7"/>
    <n v="1"/>
    <n v="0.36796394796360932"/>
    <n v="1.35"/>
    <n v="69.099999999999994"/>
    <n v="93.284999999999997"/>
    <n v="21.557476080025385"/>
    <n v="1707.4851312941371"/>
    <n v="0"/>
    <n v="0"/>
    <n v="0"/>
    <n v="0"/>
    <n v="0"/>
    <n v="0"/>
    <n v="1"/>
    <n v="0"/>
    <n v="0"/>
    <n v="0"/>
  </r>
  <r>
    <d v="2022-09-18T00:00:00"/>
    <n v="2022"/>
    <x v="47"/>
    <s v="P"/>
    <n v="3"/>
    <x v="10"/>
    <s v="LVA"/>
    <s v="H"/>
    <n v="2"/>
    <n v="2"/>
    <n v="0"/>
    <n v="0"/>
    <n v="0"/>
    <n v="0"/>
    <n v="1692.9171155742531"/>
    <n v="1685.9276552141116"/>
    <n v="0.62803063248124469"/>
    <n v="71"/>
    <n v="78"/>
    <n v="0"/>
    <n v="-7"/>
    <n v="0"/>
    <n v="0.36796394796360932"/>
    <n v="1.35"/>
    <n v="68.8"/>
    <n v="92.88"/>
    <n v="-21.463883564482579"/>
    <n v="1671.4532320097705"/>
    <n v="0"/>
    <n v="0"/>
    <n v="0"/>
    <n v="0"/>
    <n v="0"/>
    <n v="0"/>
    <n v="0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60">
        <item m="1" x="40"/>
        <item x="8"/>
        <item m="1" x="51"/>
        <item m="1" x="29"/>
        <item m="1" x="27"/>
        <item m="1" x="39"/>
        <item m="1" x="55"/>
        <item m="1" x="17"/>
        <item x="1"/>
        <item m="1" x="41"/>
        <item m="1" x="18"/>
        <item x="10"/>
        <item x="9"/>
        <item m="1" x="34"/>
        <item m="1" x="14"/>
        <item m="1" x="56"/>
        <item m="1" x="36"/>
        <item m="1" x="16"/>
        <item x="6"/>
        <item m="1" x="50"/>
        <item m="1" x="49"/>
        <item m="1" x="26"/>
        <item m="1" x="25"/>
        <item m="1" x="58"/>
        <item x="0"/>
        <item m="1" x="57"/>
        <item x="2"/>
        <item m="1" x="28"/>
        <item m="1" x="20"/>
        <item m="1" x="35"/>
        <item x="4"/>
        <item m="1" x="43"/>
        <item m="1" x="23"/>
        <item m="1" x="31"/>
        <item m="1" x="44"/>
        <item m="1" x="52"/>
        <item x="11"/>
        <item m="1" x="45"/>
        <item m="1" x="33"/>
        <item m="1" x="22"/>
        <item m="1" x="30"/>
        <item x="3"/>
        <item m="1" x="47"/>
        <item m="1" x="21"/>
        <item m="1" x="32"/>
        <item m="1" x="15"/>
        <item m="1" x="12"/>
        <item m="1" x="42"/>
        <item x="5"/>
        <item m="1" x="53"/>
        <item m="1" x="48"/>
        <item m="1" x="54"/>
        <item m="1" x="46"/>
        <item m="1" x="24"/>
        <item m="1" x="13"/>
        <item m="1" x="19"/>
        <item m="1" x="38"/>
        <item x="7"/>
        <item m="1" x="37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2"/>
    </i>
    <i>
      <x v="18"/>
    </i>
    <i>
      <x v="24"/>
    </i>
    <i>
      <x v="26"/>
    </i>
    <i>
      <x v="30"/>
    </i>
    <i>
      <x v="36"/>
    </i>
    <i>
      <x v="41"/>
    </i>
    <i>
      <x v="48"/>
    </i>
    <i>
      <x v="5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52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2:C13"/>
  </sortState>
  <tableColumns count="4">
    <tableColumn id="1" xr3:uid="{8C17ECDF-4459-4994-A3F5-8E8FEDF92B6F}" name="TeamID"/>
    <tableColumn id="4" xr3:uid="{789F069E-DAF9-4B19-A6DB-107BA6995CE5}" name="Logo" dataDxfId="22"/>
    <tableColumn id="5" xr3:uid="{A9DA91BA-5529-4913-978B-19C8EF225B29}" name="TeamName" dataDxfId="21"/>
    <tableColumn id="2" xr3:uid="{AA4C8157-DB69-4779-8EEE-6F419B992D71}" name="PreSeasonElo" dataDxfId="2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79" totalsRowShown="0" headerRowDxfId="62" dataDxfId="61">
  <autoFilter ref="A1:AL479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60"/>
    <tableColumn id="21" xr3:uid="{D754AB95-C77C-4DD5-B1B9-A24A4FEE7279}" name="Season" dataDxfId="59"/>
    <tableColumn id="19" xr3:uid="{4C42B78B-6AFC-42C3-A5F4-3266E247C458}" name="GamesPlayed" dataDxfId="58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57"/>
    <tableColumn id="14" xr3:uid="{EFA83923-8CCA-4DC9-BC85-5D86949A45D9}" name="Round" dataDxfId="56"/>
    <tableColumn id="2" xr3:uid="{6E102E51-A49B-416B-8CD2-B93B2A4EA389}" name="Team" dataDxfId="55"/>
    <tableColumn id="3" xr3:uid="{19101345-1C34-4AF3-88E6-76A7F19B7FE6}" name="Opponent" dataDxfId="54"/>
    <tableColumn id="16" xr3:uid="{4CBCDF29-B095-48DF-8EF6-06DC7D78C844}" name="HomeAway" dataDxfId="53"/>
    <tableColumn id="32" xr3:uid="{E3FA53E3-DAD6-4BC2-969A-C53F4798E86D}" name="DaysOff" dataDxfId="52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51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50">
      <calculatedColumnFormula>Games[[#This Row],[DaysOff]]-Games[[#This Row],[OppDaysOff]]</calculatedColumnFormula>
    </tableColumn>
    <tableColumn id="35" xr3:uid="{3F2DB366-7372-41BA-8B0C-09F9BA7EA850}" name="OppRestDiff" dataDxfId="49">
      <calculatedColumnFormula>Games[[#This Row],[OppDaysOff]]-Games[[#This Row],[DaysOff]]</calculatedColumnFormula>
    </tableColumn>
    <tableColumn id="36" xr3:uid="{BDD0FD2C-608F-4CCC-867B-4481F0F4B802}" name="RestAdj" dataDxfId="48">
      <calculatedColumnFormula>MAX(-16, MIN(16, Games[[#This Row],[RestDiff]]*8))</calculatedColumnFormula>
    </tableColumn>
    <tableColumn id="37" xr3:uid="{5F89213A-4C28-428C-B766-3B05D4F530A5}" name="OppRestAdj" dataDxfId="47">
      <calculatedColumnFormula>MAX(-16, MIN(16, Games[[#This Row],[OppRestDiff]]*8))</calculatedColumnFormula>
    </tableColumn>
    <tableColumn id="4" xr3:uid="{68053CFA-948B-4F2C-A114-7C46ABD9EA33}" name="PreGmRate" dataDxfId="46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45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44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43"/>
    <tableColumn id="8" xr3:uid="{0CDDF0F9-2F1E-487C-96DD-90F70CE7DAFC}" name="PointsAgainst" dataDxfId="42"/>
    <tableColumn id="22" xr3:uid="{AB7B5B5C-5BAD-4213-990E-8EB9B177497C}" name="OT" dataDxfId="41"/>
    <tableColumn id="9" xr3:uid="{CE171F1D-5E5D-4800-A6DC-8F6DBD74C939}" name="MOV" dataDxfId="40">
      <calculatedColumnFormula>Games[[#This Row],[PointsFor]]-Games[[#This Row],[PointsAgainst]]</calculatedColumnFormula>
    </tableColumn>
    <tableColumn id="10" xr3:uid="{883A3911-25F6-4C39-9637-F1C42D6A1FC2}" name="Result" dataDxfId="39">
      <calculatedColumnFormula>IF(Games[[#This Row],[MOV]]&gt;0,1,IF(Games[[#This Row],[MOV]]=0,0.5,0))</calculatedColumnFormula>
    </tableColumn>
    <tableColumn id="15" xr3:uid="{00048431-5FD6-47EE-807E-5B63FD521193}" name="MOVMult" dataDxfId="38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37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36">
      <calculatedColumnFormula>MAX(kmin, kmax - 0.15 * MIN(Games[[#This Row],[GamesPlayed]], 82))</calculatedColumnFormula>
    </tableColumn>
    <tableColumn id="29" xr3:uid="{FBA5D644-15ED-4725-9E52-1D37FD0FAC64}" name="Keff" dataDxfId="35">
      <calculatedColumnFormula>Games[[#This Row],[K]]*Games[[#This Row],[POMult]]</calculatedColumnFormula>
    </tableColumn>
    <tableColumn id="11" xr3:uid="{309DAEBD-E62C-4090-89E9-A58FD32AB89B}" name="RatingChange" dataDxfId="34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33">
      <calculatedColumnFormula>Games[[#This Row],[PreGmRate]]+Games[[#This Row],[RatingChange]]</calculatedColumnFormula>
    </tableColumn>
    <tableColumn id="17" xr3:uid="{90B7BF87-E472-4474-A10D-555BD3BF8F04}" name="W" dataDxfId="32">
      <calculatedColumnFormula>IF(Games[[#This Row],[Type]]="R",IF(Games[[#This Row],[Result]]&gt;0.5,1,0),0)</calculatedColumnFormula>
    </tableColumn>
    <tableColumn id="18" xr3:uid="{29756EA1-783D-4C76-A7B8-F906AF0EC7E7}" name="L" dataDxfId="31">
      <calculatedColumnFormula>IF(Games[[#This Row],[Type]]="R",IF(Games[[#This Row],[Result]]&lt;0.5,1,0),0)</calculatedColumnFormula>
    </tableColumn>
    <tableColumn id="23" xr3:uid="{C253CFA7-28A4-4AE5-B131-DC1E8F2B73F8}" name="R1W" dataDxfId="30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29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28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27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26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25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24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23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workbookViewId="0">
      <selection activeCell="C2" sqref="C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4" x14ac:dyDescent="0.35">
      <c r="A1" t="s">
        <v>29</v>
      </c>
      <c r="B1" t="s">
        <v>27</v>
      </c>
      <c r="C1" t="s">
        <v>28</v>
      </c>
      <c r="D1" t="s">
        <v>58</v>
      </c>
    </row>
    <row r="2" spans="1:4" x14ac:dyDescent="0.35">
      <c r="A2" t="s">
        <v>77</v>
      </c>
      <c r="B2" s="8"/>
      <c r="C2" s="15" t="s">
        <v>78</v>
      </c>
      <c r="D2" s="13">
        <v>1324.8143061154153</v>
      </c>
    </row>
    <row r="3" spans="1:4" x14ac:dyDescent="0.35">
      <c r="A3" t="s">
        <v>75</v>
      </c>
      <c r="B3" s="8"/>
      <c r="C3" s="15" t="s">
        <v>76</v>
      </c>
      <c r="D3" s="13">
        <v>1633.9632287286888</v>
      </c>
    </row>
    <row r="4" spans="1:4" x14ac:dyDescent="0.35">
      <c r="A4" t="s">
        <v>74</v>
      </c>
      <c r="B4" s="8"/>
      <c r="C4" s="15" t="s">
        <v>73</v>
      </c>
      <c r="D4" s="13">
        <v>1677.437570329653</v>
      </c>
    </row>
    <row r="5" spans="1:4" x14ac:dyDescent="0.35">
      <c r="A5" t="s">
        <v>85</v>
      </c>
      <c r="B5" s="8"/>
      <c r="C5" s="15" t="s">
        <v>84</v>
      </c>
      <c r="D5" s="13">
        <v>1443.59773643156</v>
      </c>
    </row>
    <row r="6" spans="1:4" x14ac:dyDescent="0.35">
      <c r="A6" t="s">
        <v>69</v>
      </c>
      <c r="B6" s="8"/>
      <c r="C6" s="15" t="s">
        <v>70</v>
      </c>
      <c r="D6" s="13">
        <v>1306.7731255260319</v>
      </c>
    </row>
    <row r="7" spans="1:4" x14ac:dyDescent="0.35">
      <c r="A7" t="s">
        <v>86</v>
      </c>
      <c r="B7" s="8"/>
      <c r="C7" s="15" t="s">
        <v>87</v>
      </c>
      <c r="D7" s="13">
        <v>1645.1521500954682</v>
      </c>
    </row>
    <row r="8" spans="1:4" x14ac:dyDescent="0.35">
      <c r="A8" t="s">
        <v>63</v>
      </c>
      <c r="B8" s="8"/>
      <c r="C8" s="15" t="s">
        <v>64</v>
      </c>
      <c r="D8" s="13">
        <v>1430.1973523109912</v>
      </c>
    </row>
    <row r="9" spans="1:4" x14ac:dyDescent="0.35">
      <c r="A9" t="s">
        <v>67</v>
      </c>
      <c r="B9" s="8"/>
      <c r="C9" s="15" t="s">
        <v>68</v>
      </c>
      <c r="D9" s="13">
        <v>1600.9328365785566</v>
      </c>
    </row>
    <row r="10" spans="1:4" x14ac:dyDescent="0.35">
      <c r="A10" t="s">
        <v>60</v>
      </c>
      <c r="B10" s="8"/>
      <c r="C10" s="15" t="s">
        <v>61</v>
      </c>
      <c r="D10" s="13">
        <v>1360.4849001651637</v>
      </c>
    </row>
    <row r="11" spans="1:4" x14ac:dyDescent="0.35">
      <c r="A11" t="s">
        <v>40</v>
      </c>
      <c r="B11" s="8"/>
      <c r="C11" s="15" t="s">
        <v>62</v>
      </c>
      <c r="D11" s="13">
        <v>1573.8022088393056</v>
      </c>
    </row>
    <row r="12" spans="1:4" x14ac:dyDescent="0.35">
      <c r="A12" t="s">
        <v>71</v>
      </c>
      <c r="B12" s="8"/>
      <c r="C12" s="15" t="s">
        <v>72</v>
      </c>
      <c r="D12" s="13">
        <v>1581.4101281931503</v>
      </c>
    </row>
    <row r="13" spans="1:4" x14ac:dyDescent="0.35">
      <c r="A13" t="s">
        <v>65</v>
      </c>
      <c r="B13" s="8"/>
      <c r="C13" s="15" t="s">
        <v>66</v>
      </c>
      <c r="D13" s="13">
        <v>1421.6199106308025</v>
      </c>
    </row>
    <row r="14" spans="1:4" x14ac:dyDescent="0.35">
      <c r="B14" s="8"/>
      <c r="C14" s="15"/>
      <c r="D14" s="13"/>
    </row>
    <row r="15" spans="1:4" x14ac:dyDescent="0.35">
      <c r="B15" s="8"/>
      <c r="C15" s="15"/>
      <c r="D15" s="13"/>
    </row>
    <row r="16" spans="1:4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tabSelected="1" workbookViewId="0">
      <selection activeCell="C2" sqref="C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LVA</v>
      </c>
      <c r="B2">
        <v>0</v>
      </c>
      <c r="C2" t="str">
        <v>Las Vegas Aces</v>
      </c>
      <c r="D2" s="1">
        <v>26</v>
      </c>
      <c r="E2" s="1">
        <v>10</v>
      </c>
      <c r="F2" s="3">
        <v>0.72222222222222221</v>
      </c>
      <c r="G2" s="9">
        <v>1707.4851312941371</v>
      </c>
      <c r="H2" s="1">
        <v>44822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CON</v>
      </c>
      <c r="B3">
        <v>0</v>
      </c>
      <c r="C3" t="str">
        <v>Connecticut Sun</v>
      </c>
      <c r="D3" s="1">
        <v>25</v>
      </c>
      <c r="E3" s="1">
        <v>11</v>
      </c>
      <c r="F3" s="3">
        <v>0.69444444444444442</v>
      </c>
      <c r="G3" s="9">
        <v>1671.4532320097705</v>
      </c>
      <c r="H3" s="1">
        <v>44822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1</v>
      </c>
      <c r="AO3" s="1">
        <f>_xlfn.XLOOKUP($AK3,StandingsPivot!$A$4:$A$33,StandingsPivot!E$4:E$33)</f>
        <v>2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1</v>
      </c>
      <c r="AW3" s="1">
        <f t="shared" si="1"/>
        <v>2</v>
      </c>
      <c r="AX3" s="4" cm="1">
        <f t="array" ref="AX3">_xlfn.IFNA(INDEX(Games[PostGmRate], MATCH(1, (Games[Team]=AK3)*(Games[Date]=AY3), 0)),0)</f>
        <v>1470.4699327340877</v>
      </c>
      <c r="AY3" s="1">
        <f>_xlfn.MAXIFS(Games[Date], Games[Team], AK3)</f>
        <v>44796</v>
      </c>
      <c r="AZ3">
        <f t="shared" si="2"/>
        <v>3</v>
      </c>
    </row>
    <row r="4" spans="1:68" x14ac:dyDescent="0.35">
      <c r="A4" t="str">
        <v>CHI</v>
      </c>
      <c r="B4">
        <v>0</v>
      </c>
      <c r="C4" t="str">
        <v>Chicago Sky</v>
      </c>
      <c r="D4" s="1">
        <v>26</v>
      </c>
      <c r="E4" s="1">
        <v>10</v>
      </c>
      <c r="F4" s="3">
        <v>0.72222222222222221</v>
      </c>
      <c r="G4" s="9">
        <v>1630.8253455837603</v>
      </c>
      <c r="H4" s="1">
        <v>44812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SEA</v>
      </c>
      <c r="B5">
        <v>0</v>
      </c>
      <c r="C5" t="str">
        <v>Seattle Storm</v>
      </c>
      <c r="D5" s="1">
        <v>22</v>
      </c>
      <c r="E5" s="1">
        <v>14</v>
      </c>
      <c r="F5" s="3">
        <v>0.61111111111111116</v>
      </c>
      <c r="G5" s="9">
        <v>1594.296651499885</v>
      </c>
      <c r="H5" s="1">
        <v>44810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WAS</v>
      </c>
      <c r="B6">
        <v>0</v>
      </c>
      <c r="C6" t="str">
        <v>Washington Mystics</v>
      </c>
      <c r="D6" s="1">
        <v>22</v>
      </c>
      <c r="E6" s="1">
        <v>14</v>
      </c>
      <c r="F6" s="3">
        <v>0.61111111111111116</v>
      </c>
      <c r="G6" s="9">
        <v>1548.9067162187946</v>
      </c>
      <c r="H6" s="1">
        <v>44794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2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2</v>
      </c>
      <c r="AX6" s="4" cm="1">
        <f t="array" ref="AX6">_xlfn.IFNA(INDEX(Games[PostGmRate], MATCH(1, (Games[Team]=AK6)*(Games[Date]=AY6), 0)),0)</f>
        <v>1435.8336751780203</v>
      </c>
      <c r="AY6" s="1">
        <f>_xlfn.MAXIFS(Games[Date], Games[Team], AK6)</f>
        <v>44793</v>
      </c>
      <c r="AZ6">
        <f>SUM(AV6:AW6)</f>
        <v>2</v>
      </c>
      <c r="BO6" s="4"/>
      <c r="BP6" s="1"/>
    </row>
    <row r="7" spans="1:68" x14ac:dyDescent="0.35">
      <c r="A7" t="str">
        <v>DAL</v>
      </c>
      <c r="B7">
        <v>0</v>
      </c>
      <c r="C7" t="str">
        <v>Dallas Wings</v>
      </c>
      <c r="D7" s="1">
        <v>18</v>
      </c>
      <c r="E7" s="1">
        <v>18</v>
      </c>
      <c r="F7" s="3">
        <v>0.5</v>
      </c>
      <c r="G7" s="9">
        <v>1493.8789348713156</v>
      </c>
      <c r="H7" s="1">
        <v>44797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0</v>
      </c>
      <c r="AX7" s="4" cm="1">
        <f t="array" ref="AX7">_xlfn.IFNA(INDEX(Games[PostGmRate], MATCH(1, (Games[Team]=AK7)*(Games[Date]=AY7), 0)),0)</f>
        <v>1354.5358463426967</v>
      </c>
      <c r="AY7" s="1">
        <f>_xlfn.MAXIFS(Games[Date], Games[Team], AK7)</f>
        <v>44787</v>
      </c>
      <c r="AZ7">
        <f>SUM(AV7:AW7)</f>
        <v>0</v>
      </c>
      <c r="BO7" s="4"/>
      <c r="BP7" s="1"/>
    </row>
    <row r="8" spans="1:68" x14ac:dyDescent="0.35">
      <c r="A8" t="str">
        <v>MIN</v>
      </c>
      <c r="B8">
        <v>0</v>
      </c>
      <c r="C8" t="str">
        <v>Minnesota Lynx</v>
      </c>
      <c r="D8" s="1">
        <v>14</v>
      </c>
      <c r="E8" s="1">
        <v>22</v>
      </c>
      <c r="F8" s="3">
        <v>0.3888888888888889</v>
      </c>
      <c r="G8" s="9">
        <v>1484.1672189859942</v>
      </c>
      <c r="H8" s="1">
        <v>44787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NYL</v>
      </c>
      <c r="B9">
        <v>0</v>
      </c>
      <c r="C9" t="str">
        <v>New York Liberty</v>
      </c>
      <c r="D9" s="1">
        <v>16</v>
      </c>
      <c r="E9" s="1">
        <v>20</v>
      </c>
      <c r="F9" s="3">
        <v>0.44444444444444442</v>
      </c>
      <c r="G9" s="9">
        <v>1470.4699327340877</v>
      </c>
      <c r="H9" s="1">
        <v>44796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PHX</v>
      </c>
      <c r="B10">
        <v>0</v>
      </c>
      <c r="C10" t="str">
        <v>Phoenix Mercury</v>
      </c>
      <c r="D10" s="1">
        <v>15</v>
      </c>
      <c r="E10" s="1">
        <v>21</v>
      </c>
      <c r="F10" s="3">
        <v>0.41666666666666669</v>
      </c>
      <c r="G10" s="9">
        <v>1435.8336751780203</v>
      </c>
      <c r="H10" s="1">
        <v>44793</v>
      </c>
      <c r="O10" s="3"/>
      <c r="P10" s="4"/>
      <c r="Q10" s="1"/>
      <c r="AX10" s="4"/>
      <c r="BO10" s="4"/>
      <c r="BP10" s="1"/>
    </row>
    <row r="11" spans="1:68" x14ac:dyDescent="0.35">
      <c r="A11" t="str">
        <v>ATL</v>
      </c>
      <c r="B11">
        <v>0</v>
      </c>
      <c r="C11" t="str">
        <v>Atlanta Dream</v>
      </c>
      <c r="D11" s="1">
        <v>14</v>
      </c>
      <c r="E11" s="1">
        <v>22</v>
      </c>
      <c r="F11" s="3">
        <v>0.3888888888888889</v>
      </c>
      <c r="G11" s="9">
        <v>1382.435987391608</v>
      </c>
      <c r="H11" s="1">
        <v>44787</v>
      </c>
      <c r="O11" s="3"/>
      <c r="P11" s="4"/>
      <c r="Q11" s="1"/>
      <c r="AX11" s="4"/>
      <c r="BO11" s="4"/>
      <c r="BP11" s="1"/>
    </row>
    <row r="12" spans="1:68" x14ac:dyDescent="0.35">
      <c r="A12" t="str">
        <v>LAS</v>
      </c>
      <c r="B12">
        <v>0</v>
      </c>
      <c r="C12" t="str">
        <v>Los Angeles Sparks</v>
      </c>
      <c r="D12" s="1">
        <v>13</v>
      </c>
      <c r="E12" s="1">
        <v>23</v>
      </c>
      <c r="F12" s="3">
        <v>0.3611111111111111</v>
      </c>
      <c r="G12" s="9">
        <v>1354.5358463426967</v>
      </c>
      <c r="H12" s="1">
        <v>44787</v>
      </c>
      <c r="O12" s="3"/>
      <c r="P12" s="4"/>
      <c r="Q12" s="1"/>
      <c r="AX12" s="4"/>
      <c r="BO12" s="4"/>
      <c r="BP12" s="1"/>
    </row>
    <row r="13" spans="1:68" x14ac:dyDescent="0.35">
      <c r="A13" t="str">
        <v>IND</v>
      </c>
      <c r="B13">
        <v>0</v>
      </c>
      <c r="C13" t="str">
        <v>Indiana Fever</v>
      </c>
      <c r="D13" s="1">
        <v>5</v>
      </c>
      <c r="E13" s="1">
        <v>31</v>
      </c>
      <c r="F13" s="3">
        <v>0.1388888888888889</v>
      </c>
      <c r="G13" s="9">
        <v>1226.5130945621243</v>
      </c>
      <c r="H13" s="1">
        <v>44787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77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14</v>
      </c>
      <c r="E25" s="1">
        <f>_xlfn.XLOOKUP($A25,StandingsPivot!$A$4:$A$35,StandingsPivot!C$4:C$35)</f>
        <v>22</v>
      </c>
      <c r="F25" s="3">
        <f>(D25)/(D25+E25)</f>
        <v>0.3888888888888889</v>
      </c>
      <c r="G25" s="9" cm="1">
        <f t="array" ref="G25">INDEX(Games[PostGmRate], MATCH(1, (Games[Team]=A25)*(Games[Date]=H25), 0))</f>
        <v>1382.435987391608</v>
      </c>
      <c r="H25" s="1">
        <f>_xlfn.MAXIFS(Games[Date], Games[Team], A25)</f>
        <v>44787</v>
      </c>
      <c r="AR25" s="3"/>
      <c r="AS25" s="4"/>
      <c r="BD25" s="1"/>
      <c r="BG25" s="3"/>
      <c r="BH25" s="4"/>
    </row>
    <row r="26" spans="1:60" x14ac:dyDescent="0.35">
      <c r="A26" t="s">
        <v>75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26</v>
      </c>
      <c r="E26" s="1">
        <f>_xlfn.XLOOKUP($A26,StandingsPivot!$A$4:$A$35,StandingsPivot!C$4:C$35)</f>
        <v>10</v>
      </c>
      <c r="F26" s="3">
        <f>(D26)/(D26+E26)</f>
        <v>0.72222222222222221</v>
      </c>
      <c r="G26" s="9" cm="1">
        <f t="array" ref="G26">INDEX(Games[PostGmRate], MATCH(1, (Games[Team]=A26)*(Games[Date]=H26), 0))</f>
        <v>1630.8253455837603</v>
      </c>
      <c r="H26" s="1">
        <f>_xlfn.MAXIFS(Games[Date], Games[Team], A26)</f>
        <v>44812</v>
      </c>
      <c r="AR26" s="3"/>
      <c r="AS26" s="4"/>
      <c r="BD26" s="1"/>
      <c r="BG26" s="3"/>
      <c r="BH26" s="4"/>
    </row>
    <row r="27" spans="1:60" x14ac:dyDescent="0.35">
      <c r="A27" t="s">
        <v>74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25</v>
      </c>
      <c r="E27" s="1">
        <f>_xlfn.XLOOKUP($A27,StandingsPivot!$A$4:$A$35,StandingsPivot!C$4:C$35)</f>
        <v>11</v>
      </c>
      <c r="F27" s="3">
        <f>(D27)/(D27+E27)</f>
        <v>0.69444444444444442</v>
      </c>
      <c r="G27" s="9" cm="1">
        <f t="array" ref="G27">INDEX(Games[PostGmRate], MATCH(1, (Games[Team]=A27)*(Games[Date]=H27), 0))</f>
        <v>1671.4532320097705</v>
      </c>
      <c r="H27" s="1">
        <f>_xlfn.MAXIFS(Games[Date], Games[Team], A27)</f>
        <v>44822</v>
      </c>
      <c r="AR27" s="3"/>
      <c r="AS27" s="4"/>
      <c r="BD27" s="1"/>
      <c r="BG27" s="3"/>
      <c r="BH27" s="4"/>
    </row>
    <row r="28" spans="1:60" x14ac:dyDescent="0.35">
      <c r="A28" t="s">
        <v>85</v>
      </c>
      <c r="B28">
        <f>_xlfn.XLOOKUP(A28,ConfDiv[TeamID],ConfDiv[Logo])</f>
        <v>0</v>
      </c>
      <c r="C28" t="str">
        <f>_xlfn.XLOOKUP(A28,ConfDiv[TeamID],ConfDiv[TeamName])</f>
        <v>Dallas Wings</v>
      </c>
      <c r="D28" s="1">
        <f>_xlfn.XLOOKUP($A28,StandingsPivot!$A$4:$A$35,StandingsPivot!B$4:B$35)</f>
        <v>18</v>
      </c>
      <c r="E28" s="1">
        <f>_xlfn.XLOOKUP($A28,StandingsPivot!$A$4:$A$35,StandingsPivot!C$4:C$35)</f>
        <v>18</v>
      </c>
      <c r="F28" s="3">
        <f>(D28)/(D28+E28)</f>
        <v>0.5</v>
      </c>
      <c r="G28" s="9" cm="1">
        <f t="array" ref="G28">INDEX(Games[PostGmRate], MATCH(1, (Games[Team]=A28)*(Games[Date]=H28), 0))</f>
        <v>1493.8789348713156</v>
      </c>
      <c r="H28" s="1">
        <f>_xlfn.MAXIFS(Games[Date], Games[Team], A28)</f>
        <v>44797</v>
      </c>
      <c r="AR28" s="3"/>
      <c r="AS28" s="4"/>
      <c r="BD28" s="1"/>
      <c r="BG28" s="3"/>
      <c r="BH28" s="4"/>
    </row>
    <row r="29" spans="1:60" x14ac:dyDescent="0.35">
      <c r="A29" t="s">
        <v>69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5</v>
      </c>
      <c r="E29" s="1">
        <f>_xlfn.XLOOKUP($A29,StandingsPivot!$A$4:$A$35,StandingsPivot!C$4:C$35)</f>
        <v>31</v>
      </c>
      <c r="F29" s="3">
        <f>(D29)/(D29+E29)</f>
        <v>0.1388888888888889</v>
      </c>
      <c r="G29" s="9" cm="1">
        <f t="array" ref="G29">INDEX(Games[PostGmRate], MATCH(1, (Games[Team]=A29)*(Games[Date]=H29), 0))</f>
        <v>1226.5130945621243</v>
      </c>
      <c r="H29" s="1">
        <f>_xlfn.MAXIFS(Games[Date], Games[Team], A29)</f>
        <v>44787</v>
      </c>
      <c r="AR29" s="3"/>
      <c r="AS29" s="4"/>
      <c r="BD29" s="1"/>
      <c r="BG29" s="3"/>
      <c r="BH29" s="4"/>
    </row>
    <row r="30" spans="1:60" x14ac:dyDescent="0.35">
      <c r="A30" t="s">
        <v>63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13</v>
      </c>
      <c r="E30" s="1">
        <f>_xlfn.XLOOKUP($A30,StandingsPivot!$A$4:$A$35,StandingsPivot!C$4:C$35)</f>
        <v>23</v>
      </c>
      <c r="F30" s="3">
        <f>(D30)/(D30+E30)</f>
        <v>0.3611111111111111</v>
      </c>
      <c r="G30" s="9" cm="1">
        <f t="array" ref="G30">INDEX(Games[PostGmRate], MATCH(1, (Games[Team]=A30)*(Games[Date]=H30), 0))</f>
        <v>1354.5358463426967</v>
      </c>
      <c r="H30" s="1">
        <f>_xlfn.MAXIFS(Games[Date], Games[Team], A30)</f>
        <v>44787</v>
      </c>
      <c r="AR30" s="3"/>
      <c r="AS30" s="4"/>
      <c r="BD30" s="1"/>
      <c r="BG30" s="3"/>
      <c r="BH30" s="4"/>
    </row>
    <row r="31" spans="1:60" x14ac:dyDescent="0.35">
      <c r="A31" t="s">
        <v>86</v>
      </c>
      <c r="B31">
        <f>_xlfn.XLOOKUP(A31,ConfDiv[TeamID],ConfDiv[Logo])</f>
        <v>0</v>
      </c>
      <c r="C31" t="str">
        <f>_xlfn.XLOOKUP(A31,ConfDiv[TeamID],ConfDiv[TeamName])</f>
        <v>Las Vegas Aces</v>
      </c>
      <c r="D31" s="1">
        <f>_xlfn.XLOOKUP($A31,StandingsPivot!$A$4:$A$35,StandingsPivot!B$4:B$35)</f>
        <v>26</v>
      </c>
      <c r="E31" s="1">
        <f>_xlfn.XLOOKUP($A31,StandingsPivot!$A$4:$A$35,StandingsPivot!C$4:C$35)</f>
        <v>10</v>
      </c>
      <c r="F31" s="3">
        <f>(D31)/(D31+E31)</f>
        <v>0.72222222222222221</v>
      </c>
      <c r="G31" s="9" cm="1">
        <f t="array" ref="G31">INDEX(Games[PostGmRate], MATCH(1, (Games[Team]=A31)*(Games[Date]=H31), 0))</f>
        <v>1707.4851312941371</v>
      </c>
      <c r="H31" s="1">
        <f>_xlfn.MAXIFS(Games[Date], Games[Team], A31)</f>
        <v>44822</v>
      </c>
      <c r="AR31" s="3"/>
      <c r="AS31" s="4"/>
      <c r="BD31" s="1"/>
      <c r="BG31" s="3"/>
      <c r="BH31" s="4"/>
    </row>
    <row r="32" spans="1:60" x14ac:dyDescent="0.35">
      <c r="A32" t="s">
        <v>67</v>
      </c>
      <c r="B32">
        <f>_xlfn.XLOOKUP(A32,ConfDiv[TeamID],ConfDiv[Logo])</f>
        <v>0</v>
      </c>
      <c r="C32" t="str">
        <f>_xlfn.XLOOKUP(A32,ConfDiv[TeamID],ConfDiv[TeamName])</f>
        <v>Minnesota Lynx</v>
      </c>
      <c r="D32" s="1">
        <f>_xlfn.XLOOKUP($A32,StandingsPivot!$A$4:$A$35,StandingsPivot!B$4:B$35)</f>
        <v>14</v>
      </c>
      <c r="E32" s="1">
        <f>_xlfn.XLOOKUP($A32,StandingsPivot!$A$4:$A$35,StandingsPivot!C$4:C$35)</f>
        <v>22</v>
      </c>
      <c r="F32" s="3">
        <f>(D32)/(D32+E32)</f>
        <v>0.3888888888888889</v>
      </c>
      <c r="G32" s="9" cm="1">
        <f t="array" ref="G32">INDEX(Games[PostGmRate], MATCH(1, (Games[Team]=A32)*(Games[Date]=H32), 0))</f>
        <v>1484.1672189859942</v>
      </c>
      <c r="H32" s="1">
        <f>_xlfn.MAXIFS(Games[Date], Games[Team], A32)</f>
        <v>44787</v>
      </c>
    </row>
    <row r="33" spans="1:8" x14ac:dyDescent="0.35">
      <c r="A33" t="s">
        <v>60</v>
      </c>
      <c r="B33">
        <f>_xlfn.XLOOKUP(A33,ConfDiv[TeamID],ConfDiv[Logo])</f>
        <v>0</v>
      </c>
      <c r="C33" t="str">
        <f>_xlfn.XLOOKUP(A33,ConfDiv[TeamID],ConfDiv[TeamName])</f>
        <v>New York Liberty</v>
      </c>
      <c r="D33" s="1">
        <f>_xlfn.XLOOKUP($A33,StandingsPivot!$A$4:$A$35,StandingsPivot!B$4:B$35)</f>
        <v>16</v>
      </c>
      <c r="E33" s="1">
        <f>_xlfn.XLOOKUP($A33,StandingsPivot!$A$4:$A$35,StandingsPivot!C$4:C$35)</f>
        <v>20</v>
      </c>
      <c r="F33" s="3">
        <f>(D33)/(D33+E33)</f>
        <v>0.44444444444444442</v>
      </c>
      <c r="G33" s="9" cm="1">
        <f t="array" ref="G33">INDEX(Games[PostGmRate], MATCH(1, (Games[Team]=A33)*(Games[Date]=H33), 0))</f>
        <v>1470.4699327340877</v>
      </c>
      <c r="H33" s="1">
        <f>_xlfn.MAXIFS(Games[Date], Games[Team], A33)</f>
        <v>44796</v>
      </c>
    </row>
    <row r="34" spans="1:8" x14ac:dyDescent="0.35">
      <c r="A34" t="s">
        <v>40</v>
      </c>
      <c r="B34">
        <f>_xlfn.XLOOKUP(A34,ConfDiv[TeamID],ConfDiv[Logo])</f>
        <v>0</v>
      </c>
      <c r="C34" t="str">
        <f>_xlfn.XLOOKUP(A34,ConfDiv[TeamID],ConfDiv[TeamName])</f>
        <v>Phoenix Mercury</v>
      </c>
      <c r="D34" s="1">
        <f>_xlfn.XLOOKUP($A34,StandingsPivot!$A$4:$A$35,StandingsPivot!B$4:B$35)</f>
        <v>15</v>
      </c>
      <c r="E34" s="1">
        <f>_xlfn.XLOOKUP($A34,StandingsPivot!$A$4:$A$35,StandingsPivot!C$4:C$35)</f>
        <v>21</v>
      </c>
      <c r="F34" s="3">
        <f>(D34)/(D34+E34)</f>
        <v>0.41666666666666669</v>
      </c>
      <c r="G34" s="9" cm="1">
        <f t="array" ref="G34">INDEX(Games[PostGmRate], MATCH(1, (Games[Team]=A34)*(Games[Date]=H34), 0))</f>
        <v>1435.8336751780203</v>
      </c>
      <c r="H34" s="1">
        <f>_xlfn.MAXIFS(Games[Date], Games[Team], A34)</f>
        <v>44793</v>
      </c>
    </row>
    <row r="35" spans="1:8" x14ac:dyDescent="0.35">
      <c r="A35" t="s">
        <v>71</v>
      </c>
      <c r="B35">
        <f>_xlfn.XLOOKUP(A35,ConfDiv[TeamID],ConfDiv[Logo])</f>
        <v>0</v>
      </c>
      <c r="C35" t="str">
        <f>_xlfn.XLOOKUP(A35,ConfDiv[TeamID],ConfDiv[TeamName])</f>
        <v>Seattle Storm</v>
      </c>
      <c r="D35" s="1">
        <f>_xlfn.XLOOKUP($A35,StandingsPivot!$A$4:$A$35,StandingsPivot!B$4:B$35)</f>
        <v>22</v>
      </c>
      <c r="E35" s="1">
        <f>_xlfn.XLOOKUP($A35,StandingsPivot!$A$4:$A$35,StandingsPivot!C$4:C$35)</f>
        <v>14</v>
      </c>
      <c r="F35" s="3">
        <f>(D35)/(D35+E35)</f>
        <v>0.61111111111111116</v>
      </c>
      <c r="G35" s="9" cm="1">
        <f t="array" ref="G35">INDEX(Games[PostGmRate], MATCH(1, (Games[Team]=A35)*(Games[Date]=H35), 0))</f>
        <v>1594.296651499885</v>
      </c>
      <c r="H35" s="1">
        <f>_xlfn.MAXIFS(Games[Date], Games[Team], A35)</f>
        <v>44810</v>
      </c>
    </row>
    <row r="36" spans="1:8" x14ac:dyDescent="0.35">
      <c r="A36" t="s">
        <v>65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22</v>
      </c>
      <c r="E36" s="1">
        <f>_xlfn.XLOOKUP($A36,StandingsPivot!$A$4:$A$35,StandingsPivot!C$4:C$35)</f>
        <v>14</v>
      </c>
      <c r="F36" s="3">
        <f>(D36)/(D36+E36)</f>
        <v>0.61111111111111116</v>
      </c>
      <c r="G36" s="9" cm="1">
        <f t="array" ref="G36">INDEX(Games[PostGmRate], MATCH(1, (Games[Team]=A36)*(Games[Date]=H36), 0))</f>
        <v>1548.9067162187946</v>
      </c>
      <c r="H36" s="1">
        <f>_xlfn.MAXIFS(Games[Date], Games[Team], A36)</f>
        <v>44794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77</v>
      </c>
      <c r="B4" s="2">
        <v>14</v>
      </c>
      <c r="C4" s="2">
        <v>22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75</v>
      </c>
      <c r="B5" s="2">
        <v>26</v>
      </c>
      <c r="C5" s="2">
        <v>10</v>
      </c>
      <c r="D5" s="2">
        <v>2</v>
      </c>
      <c r="E5" s="2">
        <v>1</v>
      </c>
      <c r="F5" s="2">
        <v>2</v>
      </c>
      <c r="G5" s="2">
        <v>3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74</v>
      </c>
      <c r="B6" s="2">
        <v>25</v>
      </c>
      <c r="C6" s="2">
        <v>11</v>
      </c>
      <c r="D6" s="2">
        <v>2</v>
      </c>
      <c r="E6" s="2">
        <v>1</v>
      </c>
      <c r="F6" s="2">
        <v>3</v>
      </c>
      <c r="G6" s="2">
        <v>2</v>
      </c>
      <c r="H6" s="2">
        <v>1</v>
      </c>
      <c r="I6" s="2">
        <v>3</v>
      </c>
      <c r="J6" s="2">
        <v>0</v>
      </c>
      <c r="K6" s="2">
        <v>0</v>
      </c>
    </row>
    <row r="7" spans="1:11" x14ac:dyDescent="0.35">
      <c r="A7" s="6" t="s">
        <v>85</v>
      </c>
      <c r="B7" s="2">
        <v>18</v>
      </c>
      <c r="C7" s="2">
        <v>18</v>
      </c>
      <c r="D7" s="2">
        <v>1</v>
      </c>
      <c r="E7" s="2">
        <v>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69</v>
      </c>
      <c r="B8" s="2">
        <v>5</v>
      </c>
      <c r="C8" s="2">
        <v>31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63</v>
      </c>
      <c r="B9" s="2">
        <v>13</v>
      </c>
      <c r="C9" s="2">
        <v>23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86</v>
      </c>
      <c r="B10" s="2">
        <v>26</v>
      </c>
      <c r="C10" s="2">
        <v>10</v>
      </c>
      <c r="D10" s="2">
        <v>2</v>
      </c>
      <c r="E10" s="2">
        <v>0</v>
      </c>
      <c r="F10" s="2">
        <v>3</v>
      </c>
      <c r="G10" s="2">
        <v>1</v>
      </c>
      <c r="H10" s="2">
        <v>3</v>
      </c>
      <c r="I10" s="2">
        <v>1</v>
      </c>
      <c r="J10" s="2">
        <v>0</v>
      </c>
      <c r="K10" s="2">
        <v>0</v>
      </c>
    </row>
    <row r="11" spans="1:11" x14ac:dyDescent="0.35">
      <c r="A11" s="6" t="s">
        <v>67</v>
      </c>
      <c r="B11" s="2">
        <v>14</v>
      </c>
      <c r="C11" s="2">
        <v>22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60</v>
      </c>
      <c r="B12" s="2">
        <v>16</v>
      </c>
      <c r="C12" s="2">
        <v>20</v>
      </c>
      <c r="D12" s="2">
        <v>1</v>
      </c>
      <c r="E12" s="2">
        <v>2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40</v>
      </c>
      <c r="B13" s="2">
        <v>15</v>
      </c>
      <c r="C13" s="2">
        <v>21</v>
      </c>
      <c r="D13" s="2">
        <v>0</v>
      </c>
      <c r="E13" s="2">
        <v>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71</v>
      </c>
      <c r="B14" s="2">
        <v>22</v>
      </c>
      <c r="C14" s="2">
        <v>14</v>
      </c>
      <c r="D14" s="2">
        <v>2</v>
      </c>
      <c r="E14" s="2">
        <v>0</v>
      </c>
      <c r="F14" s="2">
        <v>1</v>
      </c>
      <c r="G14" s="2">
        <v>3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65</v>
      </c>
      <c r="B15" s="2">
        <v>22</v>
      </c>
      <c r="C15" s="2">
        <v>14</v>
      </c>
      <c r="D15" s="2">
        <v>0</v>
      </c>
      <c r="E15" s="2">
        <v>2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18</v>
      </c>
      <c r="B16" s="2">
        <v>216</v>
      </c>
      <c r="C16" s="2">
        <v>216</v>
      </c>
      <c r="D16" s="2">
        <v>10</v>
      </c>
      <c r="E16" s="2">
        <v>10</v>
      </c>
      <c r="F16" s="2">
        <v>9</v>
      </c>
      <c r="G16" s="2">
        <v>9</v>
      </c>
      <c r="H16" s="2">
        <v>4</v>
      </c>
      <c r="I16" s="2">
        <v>4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52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>
        <v>44</v>
      </c>
    </row>
    <row r="48" spans="1:1" x14ac:dyDescent="0.35">
      <c r="A48" s="11">
        <v>45</v>
      </c>
    </row>
    <row r="49" spans="1:1" x14ac:dyDescent="0.35">
      <c r="A49" s="11">
        <v>46</v>
      </c>
    </row>
    <row r="50" spans="1:1" x14ac:dyDescent="0.35">
      <c r="A50" s="11">
        <v>47</v>
      </c>
    </row>
    <row r="51" spans="1:1" x14ac:dyDescent="0.35">
      <c r="A51" s="11">
        <v>48</v>
      </c>
    </row>
    <row r="52" spans="1:1" x14ac:dyDescent="0.35">
      <c r="A52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79"/>
  <sheetViews>
    <sheetView workbookViewId="0">
      <selection activeCell="A2" sqref="A2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44687</v>
      </c>
      <c r="B2" s="2">
        <v>2022</v>
      </c>
      <c r="C2" s="2">
        <f>COUNTIFS(Games[Team],Games[[#This Row],[Team]],Games[Season],Games[[#This Row],[Season]],Games[Date],"&lt;=" &amp; Games[[#This Row],[Date]])</f>
        <v>1</v>
      </c>
      <c r="D2" s="2" t="s">
        <v>79</v>
      </c>
      <c r="E2" s="2" t="s">
        <v>80</v>
      </c>
      <c r="F2" s="1" t="s">
        <v>63</v>
      </c>
      <c r="G2" s="1" t="s">
        <v>75</v>
      </c>
      <c r="H2" s="1" t="s">
        <v>81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1465.0986761554955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1566.9816143643443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0.25539772013141943</v>
      </c>
      <c r="R2" s="1">
        <v>98</v>
      </c>
      <c r="S2" s="1">
        <v>91</v>
      </c>
      <c r="T2" s="1">
        <v>1</v>
      </c>
      <c r="U2" s="1">
        <f>Games[[#This Row],[PointsFor]]-Games[[#This Row],[PointsAgainst]]</f>
        <v>7</v>
      </c>
      <c r="V2" s="1">
        <f>IF(Games[[#This Row],[MOV]]&gt;0,1,IF(Games[[#This Row],[MOV]]=0,0.5,0))</f>
        <v>1</v>
      </c>
      <c r="W2" s="4">
        <f>((ABS(Games[[#This Row],[MOV]])+5)^0.6)/(12+0.01*(ABS(Games[[#This Row],[PreGmRate]]-Games[[#This Row],[OppPreGmRate]])))*IF(Games[[#This Row],[OT]]=1,0.9,1)</f>
        <v>0.30702894596349872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17.340406271432684</v>
      </c>
      <c r="AB2" s="4">
        <f>Games[[#This Row],[PreGmRate]]+Games[[#This Row],[RatingChange]]</f>
        <v>1482.4390824269281</v>
      </c>
      <c r="AC2" s="2">
        <f>IF(Games[[#This Row],[Type]]="R",IF(Games[[#This Row],[Result]]&gt;0.5,1,0),0)</f>
        <v>1</v>
      </c>
      <c r="AD2" s="2">
        <f>IF(Games[[#This Row],[Type]]="R",IF(Games[[#This Row],[Result]]&lt;0.5,1,0),0)</f>
        <v>0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44687</v>
      </c>
      <c r="B3" s="2">
        <v>2022</v>
      </c>
      <c r="C3" s="2">
        <f>COUNTIFS(Games[Team],Games[[#This Row],[Team]],Games[Season],Games[[#This Row],[Season]],Games[Date],"&lt;=" &amp; Games[[#This Row],[Date]])</f>
        <v>1</v>
      </c>
      <c r="D3" s="2" t="s">
        <v>79</v>
      </c>
      <c r="E3" s="2" t="s">
        <v>80</v>
      </c>
      <c r="F3" s="1" t="s">
        <v>75</v>
      </c>
      <c r="G3" s="1" t="s">
        <v>63</v>
      </c>
      <c r="H3" s="1" t="s">
        <v>82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1566.9816143643443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1465.0986761554955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0.74460227986858052</v>
      </c>
      <c r="R3" s="1">
        <v>91</v>
      </c>
      <c r="S3" s="1">
        <v>98</v>
      </c>
      <c r="T3" s="1">
        <v>1</v>
      </c>
      <c r="U3" s="1">
        <f>Games[[#This Row],[PointsFor]]-Games[[#This Row],[PointsAgainst]]</f>
        <v>-7</v>
      </c>
      <c r="V3" s="1">
        <f>IF(Games[[#This Row],[MOV]]&gt;0,1,IF(Games[[#This Row],[MOV]]=0,0.5,0))</f>
        <v>0</v>
      </c>
      <c r="W3" s="4">
        <f>((ABS(Games[[#This Row],[MOV]])+5)^0.6)/(12+0.01*(ABS(Games[[#This Row],[PreGmRate]]-Games[[#This Row],[OppPreGmRate]])))*IF(Games[[#This Row],[OT]]=1,0.9,1)</f>
        <v>0.30702894596349872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-17.340406271432684</v>
      </c>
      <c r="AB3" s="4">
        <f>Games[[#This Row],[PreGmRate]]+Games[[#This Row],[RatingChange]]</f>
        <v>1549.6412080929117</v>
      </c>
      <c r="AC3" s="2">
        <f>IF(Games[[#This Row],[Type]]="R",IF(Games[[#This Row],[Result]]&gt;0.5,1,0),0)</f>
        <v>0</v>
      </c>
      <c r="AD3" s="2">
        <f>IF(Games[[#This Row],[Type]]="R",IF(Games[[#This Row],[Result]]&lt;0.5,1,0),0)</f>
        <v>1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44687</v>
      </c>
      <c r="B4" s="2">
        <v>2022</v>
      </c>
      <c r="C4" s="2">
        <f>COUNTIFS(Games[Team],Games[[#This Row],[Team]],Games[Season],Games[[#This Row],[Season]],Games[Date],"&lt;=" &amp; Games[[#This Row],[Date]])</f>
        <v>1</v>
      </c>
      <c r="D4" s="2" t="s">
        <v>79</v>
      </c>
      <c r="E4" s="2" t="s">
        <v>80</v>
      </c>
      <c r="F4" s="1" t="s">
        <v>86</v>
      </c>
      <c r="G4" s="1" t="s">
        <v>40</v>
      </c>
      <c r="H4" s="1" t="s">
        <v>81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1572.5760750477341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1536.9011044196527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0.43089972788873043</v>
      </c>
      <c r="R4" s="1">
        <v>106</v>
      </c>
      <c r="S4" s="1">
        <v>88</v>
      </c>
      <c r="T4" s="1">
        <v>0</v>
      </c>
      <c r="U4" s="1">
        <f>Games[[#This Row],[PointsFor]]-Games[[#This Row],[PointsAgainst]]</f>
        <v>18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0.53104637882083594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22.9232837446852</v>
      </c>
      <c r="AB4" s="4">
        <f>Games[[#This Row],[PreGmRate]]+Games[[#This Row],[RatingChange]]</f>
        <v>1595.4993587924193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44687</v>
      </c>
      <c r="B5" s="2">
        <v>2022</v>
      </c>
      <c r="C5" s="2">
        <f>COUNTIFS(Games[Team],Games[[#This Row],[Team]],Games[Season],Games[[#This Row],[Season]],Games[Date],"&lt;=" &amp; Games[[#This Row],[Date]])</f>
        <v>1</v>
      </c>
      <c r="D5" s="2" t="s">
        <v>79</v>
      </c>
      <c r="E5" s="2" t="s">
        <v>80</v>
      </c>
      <c r="F5" s="1" t="s">
        <v>40</v>
      </c>
      <c r="G5" s="1" t="s">
        <v>86</v>
      </c>
      <c r="H5" s="1" t="s">
        <v>82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1536.9011044196527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1572.5760750477341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0.56910027211126957</v>
      </c>
      <c r="R5" s="1">
        <v>88</v>
      </c>
      <c r="S5" s="1">
        <v>106</v>
      </c>
      <c r="T5" s="1">
        <v>0</v>
      </c>
      <c r="U5" s="1">
        <f>Games[[#This Row],[PointsFor]]-Games[[#This Row],[PointsAgainst]]</f>
        <v>-18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0.53104637882083594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-22.9232837446852</v>
      </c>
      <c r="AB5" s="4">
        <f>Games[[#This Row],[PreGmRate]]+Games[[#This Row],[RatingChange]]</f>
        <v>1513.9778206749675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44687</v>
      </c>
      <c r="B6" s="2">
        <v>2022</v>
      </c>
      <c r="C6" s="2">
        <f>COUNTIFS(Games[Team],Games[[#This Row],[Team]],Games[Season],Games[[#This Row],[Season]],Games[Date],"&lt;=" &amp; Games[[#This Row],[Date]])</f>
        <v>1</v>
      </c>
      <c r="D6" s="2" t="s">
        <v>79</v>
      </c>
      <c r="E6" s="2" t="s">
        <v>80</v>
      </c>
      <c r="F6" s="1" t="s">
        <v>67</v>
      </c>
      <c r="G6" s="1" t="s">
        <v>71</v>
      </c>
      <c r="H6" s="1" t="s">
        <v>81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1550.4664182892784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1540.7050640965751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0.39475882697182202</v>
      </c>
      <c r="R6" s="1">
        <v>74</v>
      </c>
      <c r="S6" s="1">
        <v>97</v>
      </c>
      <c r="T6" s="1">
        <v>0</v>
      </c>
      <c r="U6" s="1">
        <f>Games[[#This Row],[PointsFor]]-Games[[#This Row],[PointsAgainst]]</f>
        <v>-23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0.61037271567256668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-18.276058808754421</v>
      </c>
      <c r="AB6" s="4">
        <f>Games[[#This Row],[PreGmRate]]+Games[[#This Row],[RatingChange]]</f>
        <v>1532.190359480524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44687</v>
      </c>
      <c r="B7" s="2">
        <v>2022</v>
      </c>
      <c r="C7" s="2">
        <f>COUNTIFS(Games[Team],Games[[#This Row],[Team]],Games[Season],Games[[#This Row],[Season]],Games[Date],"&lt;=" &amp; Games[[#This Row],[Date]])</f>
        <v>1</v>
      </c>
      <c r="D7" s="2" t="s">
        <v>79</v>
      </c>
      <c r="E7" s="2" t="s">
        <v>80</v>
      </c>
      <c r="F7" s="1" t="s">
        <v>71</v>
      </c>
      <c r="G7" s="1" t="s">
        <v>67</v>
      </c>
      <c r="H7" s="1" t="s">
        <v>82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1540.7050640965751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1550.4664182892784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0.60524117302817793</v>
      </c>
      <c r="R7" s="1">
        <v>97</v>
      </c>
      <c r="S7" s="1">
        <v>74</v>
      </c>
      <c r="T7" s="1">
        <v>0</v>
      </c>
      <c r="U7" s="1">
        <f>Games[[#This Row],[PointsFor]]-Games[[#This Row],[PointsAgainst]]</f>
        <v>23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0.61037271567256668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18.276058808754421</v>
      </c>
      <c r="AB7" s="4">
        <f>Games[[#This Row],[PreGmRate]]+Games[[#This Row],[RatingChange]]</f>
        <v>1558.9811229053296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44687</v>
      </c>
      <c r="B8" s="2">
        <v>2022</v>
      </c>
      <c r="C8" s="2">
        <f>COUNTIFS(Games[Team],Games[[#This Row],[Team]],Games[Season],Games[[#This Row],[Season]],Games[Date],"&lt;=" &amp; Games[[#This Row],[Date]])</f>
        <v>1</v>
      </c>
      <c r="D8" s="2" t="s">
        <v>79</v>
      </c>
      <c r="E8" s="2" t="s">
        <v>80</v>
      </c>
      <c r="F8" s="1" t="s">
        <v>69</v>
      </c>
      <c r="G8" s="1" t="s">
        <v>65</v>
      </c>
      <c r="H8" s="1" t="s">
        <v>81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1403.3865627630159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1460.8099553154011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0.30701782092314167</v>
      </c>
      <c r="R8" s="1">
        <v>70</v>
      </c>
      <c r="S8" s="1">
        <v>84</v>
      </c>
      <c r="T8" s="1">
        <v>0</v>
      </c>
      <c r="U8" s="1">
        <f>Games[[#This Row],[PointsFor]]-Games[[#This Row],[PointsAgainst]]</f>
        <v>-14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0.46534025667614948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-10.83651895829316</v>
      </c>
      <c r="AB8" s="4">
        <f>Games[[#This Row],[PreGmRate]]+Games[[#This Row],[RatingChange]]</f>
        <v>1392.5500438047227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44687</v>
      </c>
      <c r="B9" s="2">
        <v>2022</v>
      </c>
      <c r="C9" s="2">
        <f>COUNTIFS(Games[Team],Games[[#This Row],[Team]],Games[Season],Games[[#This Row],[Season]],Games[Date],"&lt;=" &amp; Games[[#This Row],[Date]])</f>
        <v>1</v>
      </c>
      <c r="D9" s="2" t="s">
        <v>79</v>
      </c>
      <c r="E9" s="2" t="s">
        <v>80</v>
      </c>
      <c r="F9" s="1" t="s">
        <v>65</v>
      </c>
      <c r="G9" s="1" t="s">
        <v>69</v>
      </c>
      <c r="H9" s="1" t="s">
        <v>82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1460.8099553154011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1403.3865627630159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0.69298217907685833</v>
      </c>
      <c r="R9" s="1">
        <v>84</v>
      </c>
      <c r="S9" s="1">
        <v>70</v>
      </c>
      <c r="T9" s="1">
        <v>0</v>
      </c>
      <c r="U9" s="1">
        <f>Games[[#This Row],[PointsFor]]-Games[[#This Row],[PointsAgainst]]</f>
        <v>14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0.46534025667614948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10.83651895829316</v>
      </c>
      <c r="AB9" s="4">
        <f>Games[[#This Row],[PreGmRate]]+Games[[#This Row],[RatingChange]]</f>
        <v>1471.6464742736944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44688</v>
      </c>
      <c r="B10" s="2">
        <v>2022</v>
      </c>
      <c r="C10" s="2">
        <f>COUNTIFS(Games[Team],Games[[#This Row],[Team]],Games[Season],Games[[#This Row],[Season]],Games[Date],"&lt;=" &amp; Games[[#This Row],[Date]])</f>
        <v>1</v>
      </c>
      <c r="D10" s="2" t="s">
        <v>79</v>
      </c>
      <c r="E10" s="2" t="s">
        <v>80</v>
      </c>
      <c r="F10" s="1" t="s">
        <v>77</v>
      </c>
      <c r="G10" s="1" t="s">
        <v>85</v>
      </c>
      <c r="H10" s="1" t="s">
        <v>81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1412.4071530577075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1471.79886821578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0.30461243701346147</v>
      </c>
      <c r="R10" s="1">
        <v>66</v>
      </c>
      <c r="S10" s="1">
        <v>59</v>
      </c>
      <c r="T10" s="1">
        <v>0</v>
      </c>
      <c r="U10" s="1">
        <f>Games[[#This Row],[PointsFor]]-Games[[#This Row],[PointsAgainst]]</f>
        <v>7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0.35265327033602034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18.600748461367324</v>
      </c>
      <c r="AB10" s="4">
        <f>Games[[#This Row],[PreGmRate]]+Games[[#This Row],[RatingChange]]</f>
        <v>1431.0079015190749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44688</v>
      </c>
      <c r="B11" s="2">
        <v>2022</v>
      </c>
      <c r="C11" s="2">
        <f>COUNTIFS(Games[Team],Games[[#This Row],[Team]],Games[Season],Games[[#This Row],[Season]],Games[Date],"&lt;=" &amp; Games[[#This Row],[Date]])</f>
        <v>1</v>
      </c>
      <c r="D11" s="2" t="s">
        <v>79</v>
      </c>
      <c r="E11" s="2" t="s">
        <v>80</v>
      </c>
      <c r="F11" s="1" t="s">
        <v>85</v>
      </c>
      <c r="G11" s="1" t="s">
        <v>77</v>
      </c>
      <c r="H11" s="1" t="s">
        <v>82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1471.79886821578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1412.4071530577075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0.69538756298653859</v>
      </c>
      <c r="R11" s="1">
        <v>59</v>
      </c>
      <c r="S11" s="1">
        <v>66</v>
      </c>
      <c r="T11" s="1">
        <v>0</v>
      </c>
      <c r="U11" s="1">
        <f>Games[[#This Row],[PointsFor]]-Games[[#This Row],[PointsAgainst]]</f>
        <v>-7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0.35265327033602034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-18.600748461367328</v>
      </c>
      <c r="AB11" s="4">
        <f>Games[[#This Row],[PreGmRate]]+Games[[#This Row],[RatingChange]]</f>
        <v>1453.1981197544126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44688</v>
      </c>
      <c r="B12" s="2">
        <v>2022</v>
      </c>
      <c r="C12" s="2">
        <f>COUNTIFS(Games[Team],Games[[#This Row],[Team]],Games[Season],Games[[#This Row],[Season]],Games[Date],"&lt;=" &amp; Games[[#This Row],[Date]])</f>
        <v>1</v>
      </c>
      <c r="D12" s="2" t="s">
        <v>79</v>
      </c>
      <c r="E12" s="2" t="s">
        <v>80</v>
      </c>
      <c r="F12" s="1" t="s">
        <v>74</v>
      </c>
      <c r="G12" s="1" t="s">
        <v>60</v>
      </c>
      <c r="H12" s="1" t="s">
        <v>81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1588.7187851648264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1430.2424500825819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0.60556803394712322</v>
      </c>
      <c r="R12" s="1">
        <v>79</v>
      </c>
      <c r="S12" s="1">
        <v>81</v>
      </c>
      <c r="T12" s="1">
        <v>0</v>
      </c>
      <c r="U12" s="1">
        <f>Games[[#This Row],[PointsFor]]-Games[[#This Row],[PointsAgainst]]</f>
        <v>-2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0.23659564518814025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-10.867390523019969</v>
      </c>
      <c r="AB12" s="4">
        <f>Games[[#This Row],[PreGmRate]]+Games[[#This Row],[RatingChange]]</f>
        <v>1577.8513946418063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44688</v>
      </c>
      <c r="B13" s="2">
        <v>2022</v>
      </c>
      <c r="C13" s="2">
        <f>COUNTIFS(Games[Team],Games[[#This Row],[Team]],Games[Season],Games[[#This Row],[Season]],Games[Date],"&lt;=" &amp; Games[[#This Row],[Date]])</f>
        <v>1</v>
      </c>
      <c r="D13" s="2" t="s">
        <v>79</v>
      </c>
      <c r="E13" s="2" t="s">
        <v>80</v>
      </c>
      <c r="F13" s="1" t="s">
        <v>60</v>
      </c>
      <c r="G13" s="1" t="s">
        <v>74</v>
      </c>
      <c r="H13" s="1" t="s">
        <v>82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1430.2424500825819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1588.7187851648264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0.39443196605287684</v>
      </c>
      <c r="R13" s="1">
        <v>81</v>
      </c>
      <c r="S13" s="1">
        <v>79</v>
      </c>
      <c r="T13" s="1">
        <v>0</v>
      </c>
      <c r="U13" s="1">
        <f>Games[[#This Row],[PointsFor]]-Games[[#This Row],[PointsAgainst]]</f>
        <v>2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0.23659564518814025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10.867390523019969</v>
      </c>
      <c r="AB13" s="4">
        <f>Games[[#This Row],[PreGmRate]]+Games[[#This Row],[RatingChange]]</f>
        <v>1441.1098406056019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44689</v>
      </c>
      <c r="B14" s="2">
        <v>2022</v>
      </c>
      <c r="C14" s="2">
        <f>COUNTIFS(Games[Team],Games[[#This Row],[Team]],Games[Season],Games[[#This Row],[Season]],Games[Date],"&lt;=" &amp; Games[[#This Row],[Date]])</f>
        <v>2</v>
      </c>
      <c r="D14" s="2" t="s">
        <v>79</v>
      </c>
      <c r="E14" s="2" t="s">
        <v>80</v>
      </c>
      <c r="F14" s="1" t="s">
        <v>63</v>
      </c>
      <c r="G14" s="1" t="s">
        <v>69</v>
      </c>
      <c r="H14" s="1" t="s">
        <v>81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1482.4390824269281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1392.5500438047227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0.50847419630117063</v>
      </c>
      <c r="R14" s="1">
        <v>87</v>
      </c>
      <c r="S14" s="1">
        <v>77</v>
      </c>
      <c r="T14" s="1">
        <v>0</v>
      </c>
      <c r="U14" s="1">
        <f>Games[[#This Row],[PointsFor]]-Games[[#This Row],[PointsAgainst]]</f>
        <v>10</v>
      </c>
      <c r="V14" s="1">
        <f>IF(Games[[#This Row],[MOV]]&gt;0,1,IF(Games[[#This Row],[MOV]]=0,0.5,0))</f>
        <v>1</v>
      </c>
      <c r="W14" s="4">
        <f>((ABS(Games[[#This Row],[MOV]])+5)^0.6)/(12+0.01*(ABS(Games[[#This Row],[PreGmRate]]-Games[[#This Row],[OppPreGmRate]])))*IF(Games[[#This Row],[OT]]=1,0.9,1)</f>
        <v>0.39364288244599693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14.646862506259648</v>
      </c>
      <c r="AB14" s="4">
        <f>Games[[#This Row],[PreGmRate]]+Games[[#This Row],[RatingChange]]</f>
        <v>1497.0859449331876</v>
      </c>
      <c r="AC14" s="2">
        <f>IF(Games[[#This Row],[Type]]="R",IF(Games[[#This Row],[Result]]&gt;0.5,1,0),0)</f>
        <v>1</v>
      </c>
      <c r="AD14" s="2">
        <f>IF(Games[[#This Row],[Type]]="R",IF(Games[[#This Row],[Result]]&lt;0.5,1,0),0)</f>
        <v>0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44689</v>
      </c>
      <c r="B15" s="2">
        <v>2022</v>
      </c>
      <c r="C15" s="2">
        <f>COUNTIFS(Games[Team],Games[[#This Row],[Team]],Games[Season],Games[[#This Row],[Season]],Games[Date],"&lt;=" &amp; Games[[#This Row],[Date]])</f>
        <v>2</v>
      </c>
      <c r="D15" s="2" t="s">
        <v>79</v>
      </c>
      <c r="E15" s="2" t="s">
        <v>80</v>
      </c>
      <c r="F15" s="1" t="s">
        <v>69</v>
      </c>
      <c r="G15" s="1" t="s">
        <v>63</v>
      </c>
      <c r="H15" s="1" t="s">
        <v>82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1392.5500438047227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1482.4390824269281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0.49152580369882942</v>
      </c>
      <c r="R15" s="1">
        <v>77</v>
      </c>
      <c r="S15" s="1">
        <v>87</v>
      </c>
      <c r="T15" s="1">
        <v>0</v>
      </c>
      <c r="U15" s="1">
        <f>Games[[#This Row],[PointsFor]]-Games[[#This Row],[PointsAgainst]]</f>
        <v>-10</v>
      </c>
      <c r="V15" s="1">
        <f>IF(Games[[#This Row],[MOV]]&gt;0,1,IF(Games[[#This Row],[MOV]]=0,0.5,0))</f>
        <v>0</v>
      </c>
      <c r="W15" s="4">
        <f>((ABS(Games[[#This Row],[MOV]])+5)^0.6)/(12+0.01*(ABS(Games[[#This Row],[PreGmRate]]-Games[[#This Row],[OppPreGmRate]])))*IF(Games[[#This Row],[OT]]=1,0.9,1)</f>
        <v>0.39364288244599693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-14.64686250625965</v>
      </c>
      <c r="AB15" s="4">
        <f>Games[[#This Row],[PreGmRate]]+Games[[#This Row],[RatingChange]]</f>
        <v>1377.9031812984631</v>
      </c>
      <c r="AC15" s="2">
        <f>IF(Games[[#This Row],[Type]]="R",IF(Games[[#This Row],[Result]]&gt;0.5,1,0),0)</f>
        <v>0</v>
      </c>
      <c r="AD15" s="2">
        <f>IF(Games[[#This Row],[Type]]="R",IF(Games[[#This Row],[Result]]&lt;0.5,1,0),0)</f>
        <v>1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44689</v>
      </c>
      <c r="B16" s="2">
        <v>2022</v>
      </c>
      <c r="C16" s="2">
        <f>COUNTIFS(Games[Team],Games[[#This Row],[Team]],Games[Season],Games[[#This Row],[Season]],Games[Date],"&lt;=" &amp; Games[[#This Row],[Date]])</f>
        <v>2</v>
      </c>
      <c r="D16" s="2" t="s">
        <v>79</v>
      </c>
      <c r="E16" s="2" t="s">
        <v>80</v>
      </c>
      <c r="F16" s="1" t="s">
        <v>71</v>
      </c>
      <c r="G16" s="1" t="s">
        <v>86</v>
      </c>
      <c r="H16" s="1" t="s">
        <v>81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1558.9811229053296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1595.4993587924193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0.3331974465414651</v>
      </c>
      <c r="R16" s="1">
        <v>74</v>
      </c>
      <c r="S16" s="1">
        <v>85</v>
      </c>
      <c r="T16" s="1">
        <v>0</v>
      </c>
      <c r="U16" s="1">
        <f>Games[[#This Row],[PointsFor]]-Games[[#This Row],[PointsAgainst]]</f>
        <v>-11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0.42684624374383506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-10.766362741031509</v>
      </c>
      <c r="AB16" s="4">
        <f>Games[[#This Row],[PreGmRate]]+Games[[#This Row],[RatingChange]]</f>
        <v>1548.214760164298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44689</v>
      </c>
      <c r="B17" s="2">
        <v>2022</v>
      </c>
      <c r="C17" s="2">
        <f>COUNTIFS(Games[Team],Games[[#This Row],[Team]],Games[Season],Games[[#This Row],[Season]],Games[Date],"&lt;=" &amp; Games[[#This Row],[Date]])</f>
        <v>2</v>
      </c>
      <c r="D17" s="2" t="s">
        <v>79</v>
      </c>
      <c r="E17" s="2" t="s">
        <v>80</v>
      </c>
      <c r="F17" s="1" t="s">
        <v>86</v>
      </c>
      <c r="G17" s="1" t="s">
        <v>71</v>
      </c>
      <c r="H17" s="1" t="s">
        <v>82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1595.4993587924193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1558.9811229053296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0.6668025534585349</v>
      </c>
      <c r="R17" s="1">
        <v>85</v>
      </c>
      <c r="S17" s="1">
        <v>74</v>
      </c>
      <c r="T17" s="1">
        <v>0</v>
      </c>
      <c r="U17" s="1">
        <f>Games[[#This Row],[PointsFor]]-Games[[#This Row],[PointsAgainst]]</f>
        <v>11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0.42684624374383506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10.766362741031509</v>
      </c>
      <c r="AB17" s="4">
        <f>Games[[#This Row],[PreGmRate]]+Games[[#This Row],[RatingChange]]</f>
        <v>1606.2657215334509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44689</v>
      </c>
      <c r="B18" s="2">
        <v>2022</v>
      </c>
      <c r="C18" s="2">
        <f>COUNTIFS(Games[Team],Games[[#This Row],[Team]],Games[Season],Games[[#This Row],[Season]],Games[Date],"&lt;=" &amp; Games[[#This Row],[Date]])</f>
        <v>2</v>
      </c>
      <c r="D18" s="2" t="s">
        <v>79</v>
      </c>
      <c r="E18" s="2" t="s">
        <v>80</v>
      </c>
      <c r="F18" s="1" t="s">
        <v>65</v>
      </c>
      <c r="G18" s="1" t="s">
        <v>67</v>
      </c>
      <c r="H18" s="1" t="s">
        <v>81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" s="2">
        <f>Games[[#This Row],[DaysOff]]-Games[[#This Row],[OppDaysOff]]</f>
        <v>0</v>
      </c>
      <c r="L18" s="2">
        <f>Games[[#This Row],[OppDaysOff]]-Games[[#This Row],[DaysOff]]</f>
        <v>0</v>
      </c>
      <c r="M18" s="1">
        <f>MAX(-16, MIN(16, Games[[#This Row],[RestDiff]]*8))</f>
        <v>0</v>
      </c>
      <c r="N18" s="1">
        <f>MAX(-16, MIN(16, Games[[#This Row],[OppRestDiff]]*8))</f>
        <v>0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1471.6464742736944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1532.190359480524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0.30320935581813857</v>
      </c>
      <c r="R18" s="1">
        <v>78</v>
      </c>
      <c r="S18" s="1">
        <v>66</v>
      </c>
      <c r="T18" s="1">
        <v>0</v>
      </c>
      <c r="U18" s="1">
        <f>Games[[#This Row],[PointsFor]]-Games[[#This Row],[PointsAgainst]]</f>
        <v>12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0.43422155953105829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22.903907077875701</v>
      </c>
      <c r="AB18" s="4">
        <f>Games[[#This Row],[PreGmRate]]+Games[[#This Row],[RatingChange]]</f>
        <v>1494.55038135157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44689</v>
      </c>
      <c r="B19" s="2">
        <v>2022</v>
      </c>
      <c r="C19" s="2">
        <f>COUNTIFS(Games[Team],Games[[#This Row],[Team]],Games[Season],Games[[#This Row],[Season]],Games[Date],"&lt;=" &amp; Games[[#This Row],[Date]])</f>
        <v>2</v>
      </c>
      <c r="D19" s="2" t="s">
        <v>79</v>
      </c>
      <c r="E19" s="2" t="s">
        <v>80</v>
      </c>
      <c r="F19" s="1" t="s">
        <v>67</v>
      </c>
      <c r="G19" s="1" t="s">
        <v>65</v>
      </c>
      <c r="H19" s="1" t="s">
        <v>82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" s="2">
        <f>Games[[#This Row],[DaysOff]]-Games[[#This Row],[OppDaysOff]]</f>
        <v>0</v>
      </c>
      <c r="L19" s="2">
        <f>Games[[#This Row],[OppDaysOff]]-Games[[#This Row],[DaysOff]]</f>
        <v>0</v>
      </c>
      <c r="M19" s="1">
        <f>MAX(-16, MIN(16, Games[[#This Row],[RestDiff]]*8))</f>
        <v>0</v>
      </c>
      <c r="N19" s="1">
        <f>MAX(-16, MIN(16, Games[[#This Row],[OppRestDiff]]*8))</f>
        <v>0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1532.190359480524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1471.6464742736944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0.69679064418186143</v>
      </c>
      <c r="R19" s="1">
        <v>66</v>
      </c>
      <c r="S19" s="1">
        <v>78</v>
      </c>
      <c r="T19" s="1">
        <v>0</v>
      </c>
      <c r="U19" s="1">
        <f>Games[[#This Row],[PointsFor]]-Games[[#This Row],[PointsAgainst]]</f>
        <v>-12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0.43422155953105829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-22.903907077875701</v>
      </c>
      <c r="AB19" s="4">
        <f>Games[[#This Row],[PreGmRate]]+Games[[#This Row],[RatingChange]]</f>
        <v>1509.2864524026484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44691</v>
      </c>
      <c r="B20" s="2">
        <v>2022</v>
      </c>
      <c r="C20" s="2">
        <f>COUNTIFS(Games[Team],Games[[#This Row],[Team]],Games[Season],Games[[#This Row],[Season]],Games[Date],"&lt;=" &amp; Games[[#This Row],[Date]])</f>
        <v>3</v>
      </c>
      <c r="D20" s="2" t="s">
        <v>79</v>
      </c>
      <c r="E20" s="2" t="s">
        <v>80</v>
      </c>
      <c r="F20" s="1" t="s">
        <v>67</v>
      </c>
      <c r="G20" s="1" t="s">
        <v>69</v>
      </c>
      <c r="H20" s="1" t="s">
        <v>81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" s="2">
        <f>Games[[#This Row],[DaysOff]]-Games[[#This Row],[OppDaysOff]]</f>
        <v>0</v>
      </c>
      <c r="L20" s="2">
        <f>Games[[#This Row],[OppDaysOff]]-Games[[#This Row],[DaysOff]]</f>
        <v>0</v>
      </c>
      <c r="M20" s="1">
        <f>MAX(-16, MIN(16, Games[[#This Row],[RestDiff]]*8))</f>
        <v>0</v>
      </c>
      <c r="N20" s="1">
        <f>MAX(-16, MIN(16, Games[[#This Row],[OppRestDiff]]*8))</f>
        <v>0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1509.2864524026484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1377.9031812984631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0.56777036347012744</v>
      </c>
      <c r="R20" s="1">
        <v>76</v>
      </c>
      <c r="S20" s="1">
        <v>82</v>
      </c>
      <c r="T20" s="1">
        <v>0</v>
      </c>
      <c r="U20" s="1">
        <f>Games[[#This Row],[PointsFor]]-Games[[#This Row],[PointsAgainst]]</f>
        <v>-6</v>
      </c>
      <c r="V20" s="1">
        <f>IF(Games[[#This Row],[MOV]]&gt;0,1,IF(Games[[#This Row],[MOV]]=0,0.5,0))</f>
        <v>0</v>
      </c>
      <c r="W20" s="4">
        <f>((ABS(Games[[#This Row],[MOV]])+5)^0.6)/(12+0.01*(ABS(Games[[#This Row],[PreGmRate]]-Games[[#This Row],[OppPreGmRate]])))*IF(Games[[#This Row],[OT]]=1,0.9,1)</f>
        <v>0.31661575029374339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75.55</v>
      </c>
      <c r="Z20" s="4">
        <f>Games[[#This Row],[K]]*Games[[#This Row],[POMult]]</f>
        <v>75.55</v>
      </c>
      <c r="AA20" s="4">
        <f>(Games[[#This Row],[Keff]]*Games[[#This Row],[MOVMult]])*(Games[[#This Row],[Result]]-Games[[#This Row],[ExpectedWin%]])</f>
        <v>-13.581248743641989</v>
      </c>
      <c r="AB20" s="4">
        <f>Games[[#This Row],[PreGmRate]]+Games[[#This Row],[RatingChange]]</f>
        <v>1495.7052036590064</v>
      </c>
      <c r="AC20" s="2">
        <f>IF(Games[[#This Row],[Type]]="R",IF(Games[[#This Row],[Result]]&gt;0.5,1,0),0)</f>
        <v>0</v>
      </c>
      <c r="AD20" s="2">
        <f>IF(Games[[#This Row],[Type]]="R",IF(Games[[#This Row],[Result]]&lt;0.5,1,0),0)</f>
        <v>1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44691</v>
      </c>
      <c r="B21" s="2">
        <v>2022</v>
      </c>
      <c r="C21" s="2">
        <f>COUNTIFS(Games[Team],Games[[#This Row],[Team]],Games[Season],Games[[#This Row],[Season]],Games[Date],"&lt;=" &amp; Games[[#This Row],[Date]])</f>
        <v>3</v>
      </c>
      <c r="D21" s="2" t="s">
        <v>79</v>
      </c>
      <c r="E21" s="2" t="s">
        <v>80</v>
      </c>
      <c r="F21" s="1" t="s">
        <v>69</v>
      </c>
      <c r="G21" s="1" t="s">
        <v>67</v>
      </c>
      <c r="H21" s="1" t="s">
        <v>82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" s="2">
        <f>Games[[#This Row],[DaysOff]]-Games[[#This Row],[OppDaysOff]]</f>
        <v>0</v>
      </c>
      <c r="L21" s="2">
        <f>Games[[#This Row],[OppDaysOff]]-Games[[#This Row],[DaysOff]]</f>
        <v>0</v>
      </c>
      <c r="M21" s="1">
        <f>MAX(-16, MIN(16, Games[[#This Row],[RestDiff]]*8))</f>
        <v>0</v>
      </c>
      <c r="N21" s="1">
        <f>MAX(-16, MIN(16, Games[[#This Row],[OppRestDiff]]*8))</f>
        <v>0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1377.9031812984631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1509.2864524026484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0.43222963652987267</v>
      </c>
      <c r="R21" s="1">
        <v>82</v>
      </c>
      <c r="S21" s="1">
        <v>76</v>
      </c>
      <c r="T21" s="1">
        <v>0</v>
      </c>
      <c r="U21" s="1">
        <f>Games[[#This Row],[PointsFor]]-Games[[#This Row],[PointsAgainst]]</f>
        <v>6</v>
      </c>
      <c r="V21" s="1">
        <f>IF(Games[[#This Row],[MOV]]&gt;0,1,IF(Games[[#This Row],[MOV]]=0,0.5,0))</f>
        <v>1</v>
      </c>
      <c r="W21" s="4">
        <f>((ABS(Games[[#This Row],[MOV]])+5)^0.6)/(12+0.01*(ABS(Games[[#This Row],[PreGmRate]]-Games[[#This Row],[OppPreGmRate]])))*IF(Games[[#This Row],[OT]]=1,0.9,1)</f>
        <v>0.31661575029374339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75.55</v>
      </c>
      <c r="Z21" s="4">
        <f>Games[[#This Row],[K]]*Games[[#This Row],[POMult]]</f>
        <v>75.55</v>
      </c>
      <c r="AA21" s="4">
        <f>(Games[[#This Row],[Keff]]*Games[[#This Row],[MOVMult]])*(Games[[#This Row],[Result]]-Games[[#This Row],[ExpectedWin%]])</f>
        <v>13.581248743641986</v>
      </c>
      <c r="AB21" s="4">
        <f>Games[[#This Row],[PreGmRate]]+Games[[#This Row],[RatingChange]]</f>
        <v>1391.484430042105</v>
      </c>
      <c r="AC21" s="2">
        <f>IF(Games[[#This Row],[Type]]="R",IF(Games[[#This Row],[Result]]&gt;0.5,1,0),0)</f>
        <v>1</v>
      </c>
      <c r="AD21" s="2">
        <f>IF(Games[[#This Row],[Type]]="R",IF(Games[[#This Row],[Result]]&lt;0.5,1,0),0)</f>
        <v>0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44691</v>
      </c>
      <c r="B22" s="2">
        <v>2022</v>
      </c>
      <c r="C22" s="2">
        <f>COUNTIFS(Games[Team],Games[[#This Row],[Team]],Games[Season],Games[[#This Row],[Season]],Games[Date],"&lt;=" &amp; Games[[#This Row],[Date]])</f>
        <v>3</v>
      </c>
      <c r="D22" s="2" t="s">
        <v>79</v>
      </c>
      <c r="E22" s="2" t="s">
        <v>80</v>
      </c>
      <c r="F22" s="1" t="s">
        <v>86</v>
      </c>
      <c r="G22" s="1" t="s">
        <v>65</v>
      </c>
      <c r="H22" s="1" t="s">
        <v>81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1606.2657215334509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1494.55038135157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0.53980119236967694</v>
      </c>
      <c r="R22" s="1">
        <v>76</v>
      </c>
      <c r="S22" s="1">
        <v>89</v>
      </c>
      <c r="T22" s="1">
        <v>0</v>
      </c>
      <c r="U22" s="1">
        <f>Games[[#This Row],[PointsFor]]-Games[[#This Row],[PointsAgainst]]</f>
        <v>-13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0.43184103244412575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75.55</v>
      </c>
      <c r="Z22" s="4">
        <f>Games[[#This Row],[K]]*Games[[#This Row],[POMult]]</f>
        <v>75.55</v>
      </c>
      <c r="AA22" s="4">
        <f>(Games[[#This Row],[Keff]]*Games[[#This Row],[MOVMult]])*(Games[[#This Row],[Result]]-Games[[#This Row],[ExpectedWin%]])</f>
        <v>-17.611332384386976</v>
      </c>
      <c r="AB22" s="4">
        <f>Games[[#This Row],[PreGmRate]]+Games[[#This Row],[RatingChange]]</f>
        <v>1588.6543891490639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44691</v>
      </c>
      <c r="B23" s="2">
        <v>2022</v>
      </c>
      <c r="C23" s="2">
        <f>COUNTIFS(Games[Team],Games[[#This Row],[Team]],Games[Season],Games[[#This Row],[Season]],Games[Date],"&lt;=" &amp; Games[[#This Row],[Date]])</f>
        <v>3</v>
      </c>
      <c r="D23" s="2" t="s">
        <v>79</v>
      </c>
      <c r="E23" s="2" t="s">
        <v>80</v>
      </c>
      <c r="F23" s="1" t="s">
        <v>65</v>
      </c>
      <c r="G23" s="1" t="s">
        <v>86</v>
      </c>
      <c r="H23" s="1" t="s">
        <v>82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1494.55038135157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1606.2657215334509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0.460198807630323</v>
      </c>
      <c r="R23" s="1">
        <v>89</v>
      </c>
      <c r="S23" s="1">
        <v>76</v>
      </c>
      <c r="T23" s="1">
        <v>0</v>
      </c>
      <c r="U23" s="1">
        <f>Games[[#This Row],[PointsFor]]-Games[[#This Row],[PointsAgainst]]</f>
        <v>13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0.43184103244412575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75.55</v>
      </c>
      <c r="Z23" s="4">
        <f>Games[[#This Row],[K]]*Games[[#This Row],[POMult]]</f>
        <v>75.55</v>
      </c>
      <c r="AA23" s="4">
        <f>(Games[[#This Row],[Keff]]*Games[[#This Row],[MOVMult]])*(Games[[#This Row],[Result]]-Games[[#This Row],[ExpectedWin%]])</f>
        <v>17.61133238438698</v>
      </c>
      <c r="AB23" s="4">
        <f>Games[[#This Row],[PreGmRate]]+Games[[#This Row],[RatingChange]]</f>
        <v>1512.1617137359569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44692</v>
      </c>
      <c r="B24" s="2">
        <v>2022</v>
      </c>
      <c r="C24" s="2">
        <f>COUNTIFS(Games[Team],Games[[#This Row],[Team]],Games[Season],Games[[#This Row],[Season]],Games[Date],"&lt;=" &amp; Games[[#This Row],[Date]])</f>
        <v>3</v>
      </c>
      <c r="D24" s="2" t="s">
        <v>79</v>
      </c>
      <c r="E24" s="2" t="s">
        <v>80</v>
      </c>
      <c r="F24" s="1" t="s">
        <v>63</v>
      </c>
      <c r="G24" s="1" t="s">
        <v>77</v>
      </c>
      <c r="H24" s="1" t="s">
        <v>81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" s="2">
        <f>Games[[#This Row],[DaysOff]]-Games[[#This Row],[OppDaysOff]]</f>
        <v>-1</v>
      </c>
      <c r="L24" s="2">
        <f>Games[[#This Row],[OppDaysOff]]-Games[[#This Row],[DaysOff]]</f>
        <v>1</v>
      </c>
      <c r="M24" s="1">
        <f>MAX(-16, MIN(16, Games[[#This Row],[RestDiff]]*8))</f>
        <v>-8</v>
      </c>
      <c r="N24" s="1">
        <f>MAX(-16, MIN(16, Games[[#This Row],[OppRestDiff]]*8))</f>
        <v>8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1497.0859449331876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1431.0079015190749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0.45133691133080406</v>
      </c>
      <c r="R24" s="1">
        <v>75</v>
      </c>
      <c r="S24" s="1">
        <v>77</v>
      </c>
      <c r="T24" s="1">
        <v>0</v>
      </c>
      <c r="U24" s="1">
        <f>Games[[#This Row],[PointsFor]]-Games[[#This Row],[PointsAgainst]]</f>
        <v>-2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0.2538623796878185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75.55</v>
      </c>
      <c r="Z24" s="4">
        <f>Games[[#This Row],[K]]*Games[[#This Row],[POMult]]</f>
        <v>75.55</v>
      </c>
      <c r="AA24" s="4">
        <f>(Games[[#This Row],[Keff]]*Games[[#This Row],[MOVMult]])*(Games[[#This Row],[Result]]-Games[[#This Row],[ExpectedWin%]])</f>
        <v>-8.6563272806473517</v>
      </c>
      <c r="AB24" s="4">
        <f>Games[[#This Row],[PreGmRate]]+Games[[#This Row],[RatingChange]]</f>
        <v>1488.4296176525404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44692</v>
      </c>
      <c r="B25" s="2">
        <v>2022</v>
      </c>
      <c r="C25" s="2">
        <f>COUNTIFS(Games[Team],Games[[#This Row],[Team]],Games[Season],Games[[#This Row],[Season]],Games[Date],"&lt;=" &amp; Games[[#This Row],[Date]])</f>
        <v>2</v>
      </c>
      <c r="D25" s="2" t="s">
        <v>79</v>
      </c>
      <c r="E25" s="2" t="s">
        <v>80</v>
      </c>
      <c r="F25" s="1" t="s">
        <v>77</v>
      </c>
      <c r="G25" s="1" t="s">
        <v>63</v>
      </c>
      <c r="H25" s="1" t="s">
        <v>82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" s="2">
        <f>Games[[#This Row],[DaysOff]]-Games[[#This Row],[OppDaysOff]]</f>
        <v>1</v>
      </c>
      <c r="L25" s="2">
        <f>Games[[#This Row],[OppDaysOff]]-Games[[#This Row],[DaysOff]]</f>
        <v>-1</v>
      </c>
      <c r="M25" s="1">
        <f>MAX(-16, MIN(16, Games[[#This Row],[RestDiff]]*8))</f>
        <v>8</v>
      </c>
      <c r="N25" s="1">
        <f>MAX(-16, MIN(16, Games[[#This Row],[OppRestDiff]]*8))</f>
        <v>-8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1431.0079015190749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1497.0859449331876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0.548663088669196</v>
      </c>
      <c r="R25" s="1">
        <v>77</v>
      </c>
      <c r="S25" s="1">
        <v>75</v>
      </c>
      <c r="T25" s="1">
        <v>0</v>
      </c>
      <c r="U25" s="1">
        <f>Games[[#This Row],[PointsFor]]-Games[[#This Row],[PointsAgainst]]</f>
        <v>2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0.2538623796878185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8.6735139000000601</v>
      </c>
      <c r="AB25" s="4">
        <f>Games[[#This Row],[PreGmRate]]+Games[[#This Row],[RatingChange]]</f>
        <v>1439.6814154190749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44692</v>
      </c>
      <c r="B26" s="2">
        <v>2022</v>
      </c>
      <c r="C26" s="2">
        <f>COUNTIFS(Games[Team],Games[[#This Row],[Team]],Games[Season],Games[[#This Row],[Season]],Games[Date],"&lt;=" &amp; Games[[#This Row],[Date]])</f>
        <v>2</v>
      </c>
      <c r="D26" s="2" t="s">
        <v>79</v>
      </c>
      <c r="E26" s="2" t="s">
        <v>80</v>
      </c>
      <c r="F26" s="1" t="s">
        <v>60</v>
      </c>
      <c r="G26" s="1" t="s">
        <v>75</v>
      </c>
      <c r="H26" s="1" t="s">
        <v>81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" s="2">
        <f>Games[[#This Row],[DaysOff]]-Games[[#This Row],[OppDaysOff]]</f>
        <v>-1</v>
      </c>
      <c r="L26" s="2">
        <f>Games[[#This Row],[OppDaysOff]]-Games[[#This Row],[DaysOff]]</f>
        <v>1</v>
      </c>
      <c r="M26" s="1">
        <f>MAX(-16, MIN(16, Games[[#This Row],[RestDiff]]*8))</f>
        <v>-8</v>
      </c>
      <c r="N26" s="1">
        <f>MAX(-16, MIN(16, Games[[#This Row],[OppRestDiff]]*8))</f>
        <v>8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1441.1098406056019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1549.6412080929117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0.23140352470812819</v>
      </c>
      <c r="R26" s="1">
        <v>50</v>
      </c>
      <c r="S26" s="1">
        <v>83</v>
      </c>
      <c r="T26" s="1">
        <v>0</v>
      </c>
      <c r="U26" s="1">
        <f>Games[[#This Row],[PointsFor]]-Games[[#This Row],[PointsAgainst]]</f>
        <v>-33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0.67777574051791067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-11.872764935535221</v>
      </c>
      <c r="AB26" s="4">
        <f>Games[[#This Row],[PreGmRate]]+Games[[#This Row],[RatingChange]]</f>
        <v>1429.2370756700666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44692</v>
      </c>
      <c r="B27" s="2">
        <v>2022</v>
      </c>
      <c r="C27" s="2">
        <f>COUNTIFS(Games[Team],Games[[#This Row],[Team]],Games[Season],Games[[#This Row],[Season]],Games[Date],"&lt;=" &amp; Games[[#This Row],[Date]])</f>
        <v>2</v>
      </c>
      <c r="D27" s="2" t="s">
        <v>79</v>
      </c>
      <c r="E27" s="2" t="s">
        <v>80</v>
      </c>
      <c r="F27" s="1" t="s">
        <v>75</v>
      </c>
      <c r="G27" s="1" t="s">
        <v>60</v>
      </c>
      <c r="H27" s="1" t="s">
        <v>82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" s="2">
        <f>Games[[#This Row],[DaysOff]]-Games[[#This Row],[OppDaysOff]]</f>
        <v>1</v>
      </c>
      <c r="L27" s="2">
        <f>Games[[#This Row],[OppDaysOff]]-Games[[#This Row],[DaysOff]]</f>
        <v>-1</v>
      </c>
      <c r="M27" s="1">
        <f>MAX(-16, MIN(16, Games[[#This Row],[RestDiff]]*8))</f>
        <v>8</v>
      </c>
      <c r="N27" s="1">
        <f>MAX(-16, MIN(16, Games[[#This Row],[OppRestDiff]]*8))</f>
        <v>-8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1549.6412080929117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1441.1098406056019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0.76859647529187181</v>
      </c>
      <c r="R27" s="1">
        <v>83</v>
      </c>
      <c r="S27" s="1">
        <v>50</v>
      </c>
      <c r="T27" s="1">
        <v>0</v>
      </c>
      <c r="U27" s="1">
        <f>Games[[#This Row],[PointsFor]]-Games[[#This Row],[PointsAgainst]]</f>
        <v>33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0.67777574051791067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75.7</v>
      </c>
      <c r="Z27" s="4">
        <f>Games[[#This Row],[K]]*Games[[#This Row],[POMult]]</f>
        <v>75.7</v>
      </c>
      <c r="AA27" s="4">
        <f>(Games[[#This Row],[Keff]]*Games[[#This Row],[MOVMult]])*(Games[[#This Row],[Result]]-Games[[#This Row],[ExpectedWin%]])</f>
        <v>11.872764935535221</v>
      </c>
      <c r="AB27" s="4">
        <f>Games[[#This Row],[PreGmRate]]+Games[[#This Row],[RatingChange]]</f>
        <v>1561.513973028447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44692</v>
      </c>
      <c r="B28" s="2">
        <v>2022</v>
      </c>
      <c r="C28" s="2">
        <f>COUNTIFS(Games[Team],Games[[#This Row],[Team]],Games[Season],Games[[#This Row],[Season]],Games[Date],"&lt;=" &amp; Games[[#This Row],[Date]])</f>
        <v>3</v>
      </c>
      <c r="D28" s="2" t="s">
        <v>79</v>
      </c>
      <c r="E28" s="2" t="s">
        <v>80</v>
      </c>
      <c r="F28" s="1" t="s">
        <v>71</v>
      </c>
      <c r="G28" s="1" t="s">
        <v>40</v>
      </c>
      <c r="H28" s="1" t="s">
        <v>81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" s="2">
        <f>Games[[#This Row],[DaysOff]]-Games[[#This Row],[OppDaysOff]]</f>
        <v>-2</v>
      </c>
      <c r="L28" s="2">
        <f>Games[[#This Row],[OppDaysOff]]-Games[[#This Row],[DaysOff]]</f>
        <v>2</v>
      </c>
      <c r="M28" s="1">
        <f>MAX(-16, MIN(16, Games[[#This Row],[RestDiff]]*8))</f>
        <v>-16</v>
      </c>
      <c r="N28" s="1">
        <f>MAX(-16, MIN(16, Games[[#This Row],[OppRestDiff]]*8))</f>
        <v>16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1548.214760164298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1513.9778206749675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0.38445861992127756</v>
      </c>
      <c r="R28" s="1">
        <v>77</v>
      </c>
      <c r="S28" s="1">
        <v>97</v>
      </c>
      <c r="T28" s="1">
        <v>0</v>
      </c>
      <c r="U28" s="1">
        <f>Games[[#This Row],[PointsFor]]-Games[[#This Row],[PointsAgainst]]</f>
        <v>-20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0.55894035307032786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-16.234896947197591</v>
      </c>
      <c r="AB28" s="4">
        <f>Games[[#This Row],[PreGmRate]]+Games[[#This Row],[RatingChange]]</f>
        <v>1531.9798632171005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44692</v>
      </c>
      <c r="B29" s="2">
        <v>2022</v>
      </c>
      <c r="C29" s="2">
        <f>COUNTIFS(Games[Team],Games[[#This Row],[Team]],Games[Season],Games[[#This Row],[Season]],Games[Date],"&lt;=" &amp; Games[[#This Row],[Date]])</f>
        <v>2</v>
      </c>
      <c r="D29" s="2" t="s">
        <v>79</v>
      </c>
      <c r="E29" s="2" t="s">
        <v>80</v>
      </c>
      <c r="F29" s="1" t="s">
        <v>40</v>
      </c>
      <c r="G29" s="1" t="s">
        <v>71</v>
      </c>
      <c r="H29" s="1" t="s">
        <v>82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" s="2">
        <f>Games[[#This Row],[DaysOff]]-Games[[#This Row],[OppDaysOff]]</f>
        <v>2</v>
      </c>
      <c r="L29" s="2">
        <f>Games[[#This Row],[OppDaysOff]]-Games[[#This Row],[DaysOff]]</f>
        <v>-2</v>
      </c>
      <c r="M29" s="1">
        <f>MAX(-16, MIN(16, Games[[#This Row],[RestDiff]]*8))</f>
        <v>16</v>
      </c>
      <c r="N29" s="1">
        <f>MAX(-16, MIN(16, Games[[#This Row],[OppRestDiff]]*8))</f>
        <v>-16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1513.9778206749675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1548.214760164298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0.6155413800787225</v>
      </c>
      <c r="R29" s="1">
        <v>97</v>
      </c>
      <c r="S29" s="1">
        <v>77</v>
      </c>
      <c r="T29" s="1">
        <v>0</v>
      </c>
      <c r="U29" s="1">
        <f>Games[[#This Row],[PointsFor]]-Games[[#This Row],[PointsAgainst]]</f>
        <v>20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0.55894035307032786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75.7</v>
      </c>
      <c r="Z29" s="4">
        <f>Games[[#This Row],[K]]*Games[[#This Row],[POMult]]</f>
        <v>75.7</v>
      </c>
      <c r="AA29" s="4">
        <f>(Games[[#This Row],[Keff]]*Games[[#This Row],[MOVMult]])*(Games[[#This Row],[Result]]-Games[[#This Row],[ExpectedWin%]])</f>
        <v>16.267130362711548</v>
      </c>
      <c r="AB29" s="4">
        <f>Games[[#This Row],[PreGmRate]]+Games[[#This Row],[RatingChange]]</f>
        <v>1530.2449510376789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44694</v>
      </c>
      <c r="B30" s="2">
        <v>2022</v>
      </c>
      <c r="C30" s="2">
        <f>COUNTIFS(Games[Team],Games[[#This Row],[Team]],Games[Season],Games[[#This Row],[Season]],Games[Date],"&lt;=" &amp; Games[[#This Row],[Date]])</f>
        <v>4</v>
      </c>
      <c r="D30" s="2" t="s">
        <v>79</v>
      </c>
      <c r="E30" s="2" t="s">
        <v>80</v>
      </c>
      <c r="F30" s="1" t="s">
        <v>86</v>
      </c>
      <c r="G30" s="1" t="s">
        <v>77</v>
      </c>
      <c r="H30" s="1" t="s">
        <v>81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" s="2">
        <f>Games[[#This Row],[DaysOff]]-Games[[#This Row],[OppDaysOff]]</f>
        <v>1</v>
      </c>
      <c r="L30" s="2">
        <f>Games[[#This Row],[OppDaysOff]]-Games[[#This Row],[DaysOff]]</f>
        <v>-1</v>
      </c>
      <c r="M30" s="1">
        <f>MAX(-16, MIN(16, Games[[#This Row],[RestDiff]]*8))</f>
        <v>8</v>
      </c>
      <c r="N30" s="1">
        <f>MAX(-16, MIN(16, Games[[#This Row],[OppRestDiff]]*8))</f>
        <v>-8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1588.6543891490639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1439.6814154190749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0.61446450610810432</v>
      </c>
      <c r="R30" s="1">
        <v>96</v>
      </c>
      <c r="S30" s="1">
        <v>73</v>
      </c>
      <c r="T30" s="1">
        <v>0</v>
      </c>
      <c r="U30" s="1">
        <f>Games[[#This Row],[PointsFor]]-Games[[#This Row],[PointsAgainst]]</f>
        <v>23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0.54738333343520462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75.400000000000006</v>
      </c>
      <c r="Z30" s="4">
        <f>Games[[#This Row],[K]]*Games[[#This Row],[POMult]]</f>
        <v>75.400000000000006</v>
      </c>
      <c r="AA30" s="4">
        <f>(Games[[#This Row],[Keff]]*Games[[#This Row],[MOVMult]])*(Games[[#This Row],[Result]]-Games[[#This Row],[ExpectedWin%]])</f>
        <v>15.912092066831693</v>
      </c>
      <c r="AB30" s="4">
        <f>Games[[#This Row],[PreGmRate]]+Games[[#This Row],[RatingChange]]</f>
        <v>1604.5664812158957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44694</v>
      </c>
      <c r="B31" s="2">
        <v>2022</v>
      </c>
      <c r="C31" s="2">
        <f>COUNTIFS(Games[Team],Games[[#This Row],[Team]],Games[Season],Games[[#This Row],[Season]],Games[Date],"&lt;=" &amp; Games[[#This Row],[Date]])</f>
        <v>3</v>
      </c>
      <c r="D31" s="2" t="s">
        <v>79</v>
      </c>
      <c r="E31" s="2" t="s">
        <v>80</v>
      </c>
      <c r="F31" s="1" t="s">
        <v>77</v>
      </c>
      <c r="G31" s="1" t="s">
        <v>86</v>
      </c>
      <c r="H31" s="1" t="s">
        <v>82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" s="2">
        <f>Games[[#This Row],[DaysOff]]-Games[[#This Row],[OppDaysOff]]</f>
        <v>-1</v>
      </c>
      <c r="L31" s="2">
        <f>Games[[#This Row],[OppDaysOff]]-Games[[#This Row],[DaysOff]]</f>
        <v>1</v>
      </c>
      <c r="M31" s="1">
        <f>MAX(-16, MIN(16, Games[[#This Row],[RestDiff]]*8))</f>
        <v>-8</v>
      </c>
      <c r="N31" s="1">
        <f>MAX(-16, MIN(16, Games[[#This Row],[OppRestDiff]]*8))</f>
        <v>8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1439.6814154190749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1588.6543891490639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0.38553549389189562</v>
      </c>
      <c r="R31" s="1">
        <v>73</v>
      </c>
      <c r="S31" s="1">
        <v>96</v>
      </c>
      <c r="T31" s="1">
        <v>0</v>
      </c>
      <c r="U31" s="1">
        <f>Games[[#This Row],[PointsFor]]-Games[[#This Row],[PointsAgainst]]</f>
        <v>-23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0.54738333343520462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-15.943747422402309</v>
      </c>
      <c r="AB31" s="4">
        <f>Games[[#This Row],[PreGmRate]]+Games[[#This Row],[RatingChange]]</f>
        <v>1423.7376679966726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44694</v>
      </c>
      <c r="B32" s="2">
        <v>2022</v>
      </c>
      <c r="C32" s="2">
        <f>COUNTIFS(Games[Team],Games[[#This Row],[Team]],Games[Season],Games[[#This Row],[Season]],Games[Date],"&lt;=" &amp; Games[[#This Row],[Date]])</f>
        <v>4</v>
      </c>
      <c r="D32" s="2" t="s">
        <v>79</v>
      </c>
      <c r="E32" s="2" t="s">
        <v>80</v>
      </c>
      <c r="F32" s="1" t="s">
        <v>69</v>
      </c>
      <c r="G32" s="1" t="s">
        <v>60</v>
      </c>
      <c r="H32" s="1" t="s">
        <v>81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" s="2">
        <f>Games[[#This Row],[DaysOff]]-Games[[#This Row],[OppDaysOff]]</f>
        <v>1</v>
      </c>
      <c r="L32" s="2">
        <f>Games[[#This Row],[OppDaysOff]]-Games[[#This Row],[DaysOff]]</f>
        <v>-1</v>
      </c>
      <c r="M32" s="1">
        <f>MAX(-16, MIN(16, Games[[#This Row],[RestDiff]]*8))</f>
        <v>8</v>
      </c>
      <c r="N32" s="1">
        <f>MAX(-16, MIN(16, Games[[#This Row],[OppRestDiff]]*8))</f>
        <v>-8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1391.484430042105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1429.2370756700666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0.35234184505724936</v>
      </c>
      <c r="R32" s="1">
        <v>92</v>
      </c>
      <c r="S32" s="1">
        <v>86</v>
      </c>
      <c r="T32" s="1">
        <v>1</v>
      </c>
      <c r="U32" s="1">
        <f>Games[[#This Row],[PointsFor]]-Games[[#This Row],[PointsAgainst]]</f>
        <v>6</v>
      </c>
      <c r="V32" s="1">
        <f>IF(Games[[#This Row],[MOV]]&gt;0,1,IF(Games[[#This Row],[MOV]]=0,0.5,0))</f>
        <v>1</v>
      </c>
      <c r="W32" s="4">
        <f>((ABS(Games[[#This Row],[MOV]])+5)^0.6)/(12+0.01*(ABS(Games[[#This Row],[PreGmRate]]-Games[[#This Row],[OppPreGmRate]])))*IF(Games[[#This Row],[OT]]=1,0.9,1)</f>
        <v>0.30650972415073663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75.400000000000006</v>
      </c>
      <c r="Z32" s="4">
        <f>Games[[#This Row],[K]]*Games[[#This Row],[POMult]]</f>
        <v>75.400000000000006</v>
      </c>
      <c r="AA32" s="4">
        <f>(Games[[#This Row],[Keff]]*Games[[#This Row],[MOVMult]])*(Games[[#This Row],[Result]]-Games[[#This Row],[ExpectedWin%]])</f>
        <v>14.967919590127009</v>
      </c>
      <c r="AB32" s="4">
        <f>Games[[#This Row],[PreGmRate]]+Games[[#This Row],[RatingChange]]</f>
        <v>1406.452349632232</v>
      </c>
      <c r="AC32" s="2">
        <f>IF(Games[[#This Row],[Type]]="R",IF(Games[[#This Row],[Result]]&gt;0.5,1,0),0)</f>
        <v>1</v>
      </c>
      <c r="AD32" s="2">
        <f>IF(Games[[#This Row],[Type]]="R",IF(Games[[#This Row],[Result]]&lt;0.5,1,0),0)</f>
        <v>0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44694</v>
      </c>
      <c r="B33" s="2">
        <v>2022</v>
      </c>
      <c r="C33" s="2">
        <f>COUNTIFS(Games[Team],Games[[#This Row],[Team]],Games[Season],Games[[#This Row],[Season]],Games[Date],"&lt;=" &amp; Games[[#This Row],[Date]])</f>
        <v>3</v>
      </c>
      <c r="D33" s="2" t="s">
        <v>79</v>
      </c>
      <c r="E33" s="2" t="s">
        <v>80</v>
      </c>
      <c r="F33" s="1" t="s">
        <v>60</v>
      </c>
      <c r="G33" s="1" t="s">
        <v>69</v>
      </c>
      <c r="H33" s="1" t="s">
        <v>82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" s="2">
        <f>Games[[#This Row],[DaysOff]]-Games[[#This Row],[OppDaysOff]]</f>
        <v>-1</v>
      </c>
      <c r="L33" s="2">
        <f>Games[[#This Row],[OppDaysOff]]-Games[[#This Row],[DaysOff]]</f>
        <v>1</v>
      </c>
      <c r="M33" s="1">
        <f>MAX(-16, MIN(16, Games[[#This Row],[RestDiff]]*8))</f>
        <v>-8</v>
      </c>
      <c r="N33" s="1">
        <f>MAX(-16, MIN(16, Games[[#This Row],[OppRestDiff]]*8))</f>
        <v>8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1429.2370756700666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1391.484430042105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0.6476581549427507</v>
      </c>
      <c r="R33" s="1">
        <v>86</v>
      </c>
      <c r="S33" s="1">
        <v>92</v>
      </c>
      <c r="T33" s="1">
        <v>1</v>
      </c>
      <c r="U33" s="1">
        <f>Games[[#This Row],[PointsFor]]-Games[[#This Row],[PointsAgainst]]</f>
        <v>-6</v>
      </c>
      <c r="V33" s="1">
        <f>IF(Games[[#This Row],[MOV]]&gt;0,1,IF(Games[[#This Row],[MOV]]=0,0.5,0))</f>
        <v>0</v>
      </c>
      <c r="W33" s="4">
        <f>((ABS(Games[[#This Row],[MOV]])+5)^0.6)/(12+0.01*(ABS(Games[[#This Row],[PreGmRate]]-Games[[#This Row],[OppPreGmRate]])))*IF(Games[[#This Row],[OT]]=1,0.9,1)</f>
        <v>0.30650972415073663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-14.997696618489329</v>
      </c>
      <c r="AB33" s="4">
        <f>Games[[#This Row],[PreGmRate]]+Games[[#This Row],[RatingChange]]</f>
        <v>1414.2393790515773</v>
      </c>
      <c r="AC33" s="2">
        <f>IF(Games[[#This Row],[Type]]="R",IF(Games[[#This Row],[Result]]&gt;0.5,1,0),0)</f>
        <v>0</v>
      </c>
      <c r="AD33" s="2">
        <f>IF(Games[[#This Row],[Type]]="R",IF(Games[[#This Row],[Result]]&lt;0.5,1,0),0)</f>
        <v>1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44694</v>
      </c>
      <c r="B34" s="2">
        <v>2022</v>
      </c>
      <c r="C34" s="2">
        <f>COUNTIFS(Games[Team],Games[[#This Row],[Team]],Games[Season],Games[[#This Row],[Season]],Games[Date],"&lt;=" &amp; Games[[#This Row],[Date]])</f>
        <v>2</v>
      </c>
      <c r="D34" s="2" t="s">
        <v>79</v>
      </c>
      <c r="E34" s="2" t="s">
        <v>80</v>
      </c>
      <c r="F34" s="1" t="s">
        <v>85</v>
      </c>
      <c r="G34" s="1" t="s">
        <v>65</v>
      </c>
      <c r="H34" s="1" t="s">
        <v>81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5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" s="2">
        <f>Games[[#This Row],[DaysOff]]-Games[[#This Row],[OppDaysOff]]</f>
        <v>3</v>
      </c>
      <c r="L34" s="2">
        <f>Games[[#This Row],[OppDaysOff]]-Games[[#This Row],[DaysOff]]</f>
        <v>-3</v>
      </c>
      <c r="M34" s="1">
        <f>MAX(-16, MIN(16, Games[[#This Row],[RestDiff]]*8))</f>
        <v>16</v>
      </c>
      <c r="N34" s="1">
        <f>MAX(-16, MIN(16, Games[[#This Row],[OppRestDiff]]*8))</f>
        <v>-16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1453.1981197544126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1512.1617137359569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0.34552739584361308</v>
      </c>
      <c r="R34" s="1">
        <v>94</v>
      </c>
      <c r="S34" s="1">
        <v>86</v>
      </c>
      <c r="T34" s="1">
        <v>0</v>
      </c>
      <c r="U34" s="1">
        <f>Games[[#This Row],[PointsFor]]-Games[[#This Row],[PointsAgainst]]</f>
        <v>8</v>
      </c>
      <c r="V34" s="1">
        <f>IF(Games[[#This Row],[MOV]]&gt;0,1,IF(Games[[#This Row],[MOV]]=0,0.5,0))</f>
        <v>1</v>
      </c>
      <c r="W34" s="4">
        <f>((ABS(Games[[#This Row],[MOV]])+5)^0.6)/(12+0.01*(ABS(Games[[#This Row],[PreGmRate]]-Games[[#This Row],[OppPreGmRate]])))*IF(Games[[#This Row],[OT]]=1,0.9,1)</f>
        <v>0.37012876641644771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75.7</v>
      </c>
      <c r="Z34" s="4">
        <f>Games[[#This Row],[K]]*Games[[#This Row],[POMult]]</f>
        <v>75.7</v>
      </c>
      <c r="AA34" s="4">
        <f>(Games[[#This Row],[Keff]]*Games[[#This Row],[MOVMult]])*(Games[[#This Row],[Result]]-Games[[#This Row],[ExpectedWin%]])</f>
        <v>18.337502718573102</v>
      </c>
      <c r="AB34" s="4">
        <f>Games[[#This Row],[PreGmRate]]+Games[[#This Row],[RatingChange]]</f>
        <v>1471.5356224729858</v>
      </c>
      <c r="AC34" s="2">
        <f>IF(Games[[#This Row],[Type]]="R",IF(Games[[#This Row],[Result]]&gt;0.5,1,0),0)</f>
        <v>1</v>
      </c>
      <c r="AD34" s="2">
        <f>IF(Games[[#This Row],[Type]]="R",IF(Games[[#This Row],[Result]]&lt;0.5,1,0),0)</f>
        <v>0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44694</v>
      </c>
      <c r="B35" s="2">
        <v>2022</v>
      </c>
      <c r="C35" s="2">
        <f>COUNTIFS(Games[Team],Games[[#This Row],[Team]],Games[Season],Games[[#This Row],[Season]],Games[Date],"&lt;=" &amp; Games[[#This Row],[Date]])</f>
        <v>4</v>
      </c>
      <c r="D35" s="2" t="s">
        <v>79</v>
      </c>
      <c r="E35" s="2" t="s">
        <v>80</v>
      </c>
      <c r="F35" s="1" t="s">
        <v>65</v>
      </c>
      <c r="G35" s="1" t="s">
        <v>85</v>
      </c>
      <c r="H35" s="1" t="s">
        <v>82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5" s="2">
        <f>Games[[#This Row],[DaysOff]]-Games[[#This Row],[OppDaysOff]]</f>
        <v>-3</v>
      </c>
      <c r="L35" s="2">
        <f>Games[[#This Row],[OppDaysOff]]-Games[[#This Row],[DaysOff]]</f>
        <v>3</v>
      </c>
      <c r="M35" s="1">
        <f>MAX(-16, MIN(16, Games[[#This Row],[RestDiff]]*8))</f>
        <v>-16</v>
      </c>
      <c r="N35" s="1">
        <f>MAX(-16, MIN(16, Games[[#This Row],[OppRestDiff]]*8))</f>
        <v>16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1512.1617137359569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1453.1981197544126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0.65447260415638697</v>
      </c>
      <c r="R35" s="1">
        <v>86</v>
      </c>
      <c r="S35" s="1">
        <v>94</v>
      </c>
      <c r="T35" s="1">
        <v>0</v>
      </c>
      <c r="U35" s="1">
        <f>Games[[#This Row],[PointsFor]]-Games[[#This Row],[PointsAgainst]]</f>
        <v>-8</v>
      </c>
      <c r="V35" s="1">
        <f>IF(Games[[#This Row],[MOV]]&gt;0,1,IF(Games[[#This Row],[MOV]]=0,0.5,0))</f>
        <v>0</v>
      </c>
      <c r="W35" s="4">
        <f>((ABS(Games[[#This Row],[MOV]])+5)^0.6)/(12+0.01*(ABS(Games[[#This Row],[PreGmRate]]-Games[[#This Row],[OppPreGmRate]])))*IF(Games[[#This Row],[OT]]=1,0.9,1)</f>
        <v>0.37012876641644771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75.400000000000006</v>
      </c>
      <c r="Z35" s="4">
        <f>Games[[#This Row],[K]]*Games[[#This Row],[POMult]]</f>
        <v>75.400000000000006</v>
      </c>
      <c r="AA35" s="4">
        <f>(Games[[#This Row],[Keff]]*Games[[#This Row],[MOVMult]])*(Games[[#This Row],[Result]]-Games[[#This Row],[ExpectedWin%]])</f>
        <v>-18.264830977284177</v>
      </c>
      <c r="AB35" s="4">
        <f>Games[[#This Row],[PreGmRate]]+Games[[#This Row],[RatingChange]]</f>
        <v>1493.8968827586727</v>
      </c>
      <c r="AC35" s="2">
        <f>IF(Games[[#This Row],[Type]]="R",IF(Games[[#This Row],[Result]]&gt;0.5,1,0),0)</f>
        <v>0</v>
      </c>
      <c r="AD35" s="2">
        <f>IF(Games[[#This Row],[Type]]="R",IF(Games[[#This Row],[Result]]&lt;0.5,1,0),0)</f>
        <v>1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44695</v>
      </c>
      <c r="B36" s="2">
        <v>2022</v>
      </c>
      <c r="C36" s="2">
        <f>COUNTIFS(Games[Team],Games[[#This Row],[Team]],Games[Season],Games[[#This Row],[Season]],Games[Date],"&lt;=" &amp; Games[[#This Row],[Date]])</f>
        <v>4</v>
      </c>
      <c r="D36" s="2" t="s">
        <v>79</v>
      </c>
      <c r="E36" s="2" t="s">
        <v>80</v>
      </c>
      <c r="F36" s="1" t="s">
        <v>63</v>
      </c>
      <c r="G36" s="1" t="s">
        <v>74</v>
      </c>
      <c r="H36" s="1" t="s">
        <v>81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6" s="2">
        <f>Games[[#This Row],[DaysOff]]-Games[[#This Row],[OppDaysOff]]</f>
        <v>-4</v>
      </c>
      <c r="L36" s="2">
        <f>Games[[#This Row],[OppDaysOff]]-Games[[#This Row],[DaysOff]]</f>
        <v>4</v>
      </c>
      <c r="M36" s="1">
        <f>MAX(-16, MIN(16, Games[[#This Row],[RestDiff]]*8))</f>
        <v>-16</v>
      </c>
      <c r="N36" s="1">
        <f>MAX(-16, MIN(16, Games[[#This Row],[OppRestDiff]]*8))</f>
        <v>16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1488.4296176525404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1577.8513946418063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0.23460248391852123</v>
      </c>
      <c r="R36" s="1">
        <v>60</v>
      </c>
      <c r="S36" s="1">
        <v>77</v>
      </c>
      <c r="T36" s="1">
        <v>0</v>
      </c>
      <c r="U36" s="1">
        <f>Games[[#This Row],[PointsFor]]-Games[[#This Row],[PointsAgainst]]</f>
        <v>-17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0.49551705601736218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-8.7652147252912318</v>
      </c>
      <c r="AB36" s="4">
        <f>Games[[#This Row],[PreGmRate]]+Games[[#This Row],[RatingChange]]</f>
        <v>1479.6644029272491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44695</v>
      </c>
      <c r="B37" s="2">
        <v>2022</v>
      </c>
      <c r="C37" s="2">
        <f>COUNTIFS(Games[Team],Games[[#This Row],[Team]],Games[Season],Games[[#This Row],[Season]],Games[Date],"&lt;=" &amp; Games[[#This Row],[Date]])</f>
        <v>2</v>
      </c>
      <c r="D37" s="2" t="s">
        <v>79</v>
      </c>
      <c r="E37" s="2" t="s">
        <v>80</v>
      </c>
      <c r="F37" s="1" t="s">
        <v>74</v>
      </c>
      <c r="G37" s="1" t="s">
        <v>63</v>
      </c>
      <c r="H37" s="1" t="s">
        <v>82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6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" s="2">
        <f>Games[[#This Row],[DaysOff]]-Games[[#This Row],[OppDaysOff]]</f>
        <v>4</v>
      </c>
      <c r="L37" s="2">
        <f>Games[[#This Row],[OppDaysOff]]-Games[[#This Row],[DaysOff]]</f>
        <v>-4</v>
      </c>
      <c r="M37" s="1">
        <f>MAX(-16, MIN(16, Games[[#This Row],[RestDiff]]*8))</f>
        <v>16</v>
      </c>
      <c r="N37" s="1">
        <f>MAX(-16, MIN(16, Games[[#This Row],[OppRestDiff]]*8))</f>
        <v>-16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1577.8513946418063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1488.4296176525404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0.76539751608147877</v>
      </c>
      <c r="R37" s="1">
        <v>77</v>
      </c>
      <c r="S37" s="1">
        <v>60</v>
      </c>
      <c r="T37" s="1">
        <v>0</v>
      </c>
      <c r="U37" s="1">
        <f>Games[[#This Row],[PointsFor]]-Games[[#This Row],[PointsAgainst]]</f>
        <v>17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0.49551705601736218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75.7</v>
      </c>
      <c r="Z37" s="4">
        <f>Games[[#This Row],[K]]*Games[[#This Row],[POMult]]</f>
        <v>75.7</v>
      </c>
      <c r="AA37" s="4">
        <f>(Games[[#This Row],[Keff]]*Games[[#This Row],[MOVMult]])*(Games[[#This Row],[Result]]-Games[[#This Row],[ExpectedWin%]])</f>
        <v>8.8000895849409311</v>
      </c>
      <c r="AB37" s="4">
        <f>Games[[#This Row],[PreGmRate]]+Games[[#This Row],[RatingChange]]</f>
        <v>1586.6514842267472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44695</v>
      </c>
      <c r="B38" s="2">
        <v>2022</v>
      </c>
      <c r="C38" s="2">
        <f>COUNTIFS(Games[Team],Games[[#This Row],[Team]],Games[Season],Games[[#This Row],[Season]],Games[Date],"&lt;=" &amp; Games[[#This Row],[Date]])</f>
        <v>3</v>
      </c>
      <c r="D38" s="2" t="s">
        <v>79</v>
      </c>
      <c r="E38" s="2" t="s">
        <v>80</v>
      </c>
      <c r="F38" s="1" t="s">
        <v>75</v>
      </c>
      <c r="G38" s="1" t="s">
        <v>67</v>
      </c>
      <c r="H38" s="1" t="s">
        <v>81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" s="2">
        <f>Games[[#This Row],[DaysOff]]-Games[[#This Row],[OppDaysOff]]</f>
        <v>-1</v>
      </c>
      <c r="L38" s="2">
        <f>Games[[#This Row],[OppDaysOff]]-Games[[#This Row],[DaysOff]]</f>
        <v>1</v>
      </c>
      <c r="M38" s="1">
        <f>MAX(-16, MIN(16, Games[[#This Row],[RestDiff]]*8))</f>
        <v>-8</v>
      </c>
      <c r="N38" s="1">
        <f>MAX(-16, MIN(16, Games[[#This Row],[OppRestDiff]]*8))</f>
        <v>8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1561.513973028447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1495.7052036590064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0.45095309456400062</v>
      </c>
      <c r="R38" s="1">
        <v>82</v>
      </c>
      <c r="S38" s="1">
        <v>78</v>
      </c>
      <c r="T38" s="1">
        <v>0</v>
      </c>
      <c r="U38" s="1">
        <f>Games[[#This Row],[PointsFor]]-Games[[#This Row],[PointsAgainst]]</f>
        <v>4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0.29524150166128377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75.55</v>
      </c>
      <c r="Z38" s="4">
        <f>Games[[#This Row],[K]]*Games[[#This Row],[POMult]]</f>
        <v>75.55</v>
      </c>
      <c r="AA38" s="4">
        <f>(Games[[#This Row],[Keff]]*Games[[#This Row],[MOVMult]])*(Games[[#This Row],[Result]]-Games[[#This Row],[ExpectedWin%]])</f>
        <v>12.246763251319273</v>
      </c>
      <c r="AB38" s="4">
        <f>Games[[#This Row],[PreGmRate]]+Games[[#This Row],[RatingChange]]</f>
        <v>1573.7607362797662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44695</v>
      </c>
      <c r="B39" s="2">
        <v>2022</v>
      </c>
      <c r="C39" s="2">
        <f>COUNTIFS(Games[Team],Games[[#This Row],[Team]],Games[Season],Games[[#This Row],[Season]],Games[Date],"&lt;=" &amp; Games[[#This Row],[Date]])</f>
        <v>4</v>
      </c>
      <c r="D39" s="2" t="s">
        <v>79</v>
      </c>
      <c r="E39" s="2" t="s">
        <v>80</v>
      </c>
      <c r="F39" s="1" t="s">
        <v>67</v>
      </c>
      <c r="G39" s="1" t="s">
        <v>75</v>
      </c>
      <c r="H39" s="1" t="s">
        <v>82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" s="2">
        <f>Games[[#This Row],[DaysOff]]-Games[[#This Row],[OppDaysOff]]</f>
        <v>1</v>
      </c>
      <c r="L39" s="2">
        <f>Games[[#This Row],[OppDaysOff]]-Games[[#This Row],[DaysOff]]</f>
        <v>-1</v>
      </c>
      <c r="M39" s="1">
        <f>MAX(-16, MIN(16, Games[[#This Row],[RestDiff]]*8))</f>
        <v>8</v>
      </c>
      <c r="N39" s="1">
        <f>MAX(-16, MIN(16, Games[[#This Row],[OppRestDiff]]*8))</f>
        <v>-8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1495.7052036590064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1561.513973028447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0.54904690543599943</v>
      </c>
      <c r="R39" s="1">
        <v>78</v>
      </c>
      <c r="S39" s="1">
        <v>82</v>
      </c>
      <c r="T39" s="1">
        <v>0</v>
      </c>
      <c r="U39" s="1">
        <f>Games[[#This Row],[PointsFor]]-Games[[#This Row],[PointsAgainst]]</f>
        <v>-4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0.29524150166128377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75.400000000000006</v>
      </c>
      <c r="Z39" s="4">
        <f>Games[[#This Row],[K]]*Games[[#This Row],[POMult]]</f>
        <v>75.400000000000006</v>
      </c>
      <c r="AA39" s="4">
        <f>(Games[[#This Row],[Keff]]*Games[[#This Row],[MOVMult]])*(Games[[#This Row],[Result]]-Games[[#This Row],[ExpectedWin%]])</f>
        <v>-12.222448036392764</v>
      </c>
      <c r="AB39" s="4">
        <f>Games[[#This Row],[PreGmRate]]+Games[[#This Row],[RatingChange]]</f>
        <v>1483.4827556226137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44695</v>
      </c>
      <c r="B40" s="2">
        <v>2022</v>
      </c>
      <c r="C40" s="2">
        <f>COUNTIFS(Games[Team],Games[[#This Row],[Team]],Games[Season],Games[[#This Row],[Season]],Games[Date],"&lt;=" &amp; Games[[#This Row],[Date]])</f>
        <v>3</v>
      </c>
      <c r="D40" s="2" t="s">
        <v>79</v>
      </c>
      <c r="E40" s="2" t="s">
        <v>80</v>
      </c>
      <c r="F40" s="1" t="s">
        <v>40</v>
      </c>
      <c r="G40" s="1" t="s">
        <v>71</v>
      </c>
      <c r="H40" s="1" t="s">
        <v>81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1530.2449510376789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1531.9798632171005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0.37906238390738062</v>
      </c>
      <c r="R40" s="1">
        <v>69</v>
      </c>
      <c r="S40" s="1">
        <v>64</v>
      </c>
      <c r="T40" s="1">
        <v>0</v>
      </c>
      <c r="U40" s="1">
        <f>Games[[#This Row],[PointsFor]]-Games[[#This Row],[PointsAgainst]]</f>
        <v>5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0.33127702833522987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75.55</v>
      </c>
      <c r="Z40" s="4">
        <f>Games[[#This Row],[K]]*Games[[#This Row],[POMult]]</f>
        <v>75.55</v>
      </c>
      <c r="AA40" s="4">
        <f>(Games[[#This Row],[Keff]]*Games[[#This Row],[MOVMult]])*(Games[[#This Row],[Result]]-Games[[#This Row],[ExpectedWin%]])</f>
        <v>15.540813920586755</v>
      </c>
      <c r="AB40" s="4">
        <f>Games[[#This Row],[PreGmRate]]+Games[[#This Row],[RatingChange]]</f>
        <v>1545.7857649582656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44695</v>
      </c>
      <c r="B41" s="2">
        <v>2022</v>
      </c>
      <c r="C41" s="2">
        <f>COUNTIFS(Games[Team],Games[[#This Row],[Team]],Games[Season],Games[[#This Row],[Season]],Games[Date],"&lt;=" &amp; Games[[#This Row],[Date]])</f>
        <v>4</v>
      </c>
      <c r="D41" s="2" t="s">
        <v>79</v>
      </c>
      <c r="E41" s="2" t="s">
        <v>80</v>
      </c>
      <c r="F41" s="1" t="s">
        <v>71</v>
      </c>
      <c r="G41" s="1" t="s">
        <v>40</v>
      </c>
      <c r="H41" s="1" t="s">
        <v>82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1531.9798632171005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1530.2449510376789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0.62093761609261944</v>
      </c>
      <c r="R41" s="1">
        <v>64</v>
      </c>
      <c r="S41" s="1">
        <v>69</v>
      </c>
      <c r="T41" s="1">
        <v>0</v>
      </c>
      <c r="U41" s="1">
        <f>Games[[#This Row],[PointsFor]]-Games[[#This Row],[PointsAgainst]]</f>
        <v>-5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0.33127702833522987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-15.509958565350649</v>
      </c>
      <c r="AB41" s="4">
        <f>Games[[#This Row],[PreGmRate]]+Games[[#This Row],[RatingChange]]</f>
        <v>1516.4699046517499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44696</v>
      </c>
      <c r="B42" s="2">
        <v>2022</v>
      </c>
      <c r="C42" s="2">
        <f>COUNTIFS(Games[Team],Games[[#This Row],[Team]],Games[Season],Games[[#This Row],[Season]],Games[Date],"&lt;=" &amp; Games[[#This Row],[Date]])</f>
        <v>4</v>
      </c>
      <c r="D42" s="2" t="s">
        <v>79</v>
      </c>
      <c r="E42" s="2" t="s">
        <v>80</v>
      </c>
      <c r="F42" s="1" t="s">
        <v>77</v>
      </c>
      <c r="G42" s="1" t="s">
        <v>69</v>
      </c>
      <c r="H42" s="1" t="s">
        <v>81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" s="2">
        <f>Games[[#This Row],[DaysOff]]-Games[[#This Row],[OppDaysOff]]</f>
        <v>0</v>
      </c>
      <c r="L42" s="2">
        <f>Games[[#This Row],[OppDaysOff]]-Games[[#This Row],[DaysOff]]</f>
        <v>0</v>
      </c>
      <c r="M42" s="1">
        <f>MAX(-16, MIN(16, Games[[#This Row],[RestDiff]]*8))</f>
        <v>0</v>
      </c>
      <c r="N42" s="1">
        <f>MAX(-16, MIN(16, Games[[#This Row],[OppRestDiff]]*8))</f>
        <v>0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1423.7376679966726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1406.452349632232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0.40515272948085007</v>
      </c>
      <c r="R42" s="1">
        <v>85</v>
      </c>
      <c r="S42" s="1">
        <v>79</v>
      </c>
      <c r="T42" s="1">
        <v>0</v>
      </c>
      <c r="U42" s="1">
        <f>Games[[#This Row],[PointsFor]]-Games[[#This Row],[PointsAgainst]]</f>
        <v>6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0.34629261270937872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15.531737646522375</v>
      </c>
      <c r="AB42" s="4">
        <f>Games[[#This Row],[PreGmRate]]+Games[[#This Row],[RatingChange]]</f>
        <v>1439.2694056431949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44696</v>
      </c>
      <c r="B43" s="2">
        <v>2022</v>
      </c>
      <c r="C43" s="2">
        <f>COUNTIFS(Games[Team],Games[[#This Row],[Team]],Games[Season],Games[[#This Row],[Season]],Games[Date],"&lt;=" &amp; Games[[#This Row],[Date]])</f>
        <v>5</v>
      </c>
      <c r="D43" s="2" t="s">
        <v>79</v>
      </c>
      <c r="E43" s="2" t="s">
        <v>80</v>
      </c>
      <c r="F43" s="1" t="s">
        <v>69</v>
      </c>
      <c r="G43" s="1" t="s">
        <v>77</v>
      </c>
      <c r="H43" s="1" t="s">
        <v>82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0</v>
      </c>
      <c r="L43" s="2">
        <f>Games[[#This Row],[OppDaysOff]]-Games[[#This Row],[DaysOff]]</f>
        <v>0</v>
      </c>
      <c r="M43" s="1">
        <f>MAX(-16, MIN(16, Games[[#This Row],[RestDiff]]*8))</f>
        <v>0</v>
      </c>
      <c r="N43" s="1">
        <f>MAX(-16, MIN(16, Games[[#This Row],[OppRestDiff]]*8))</f>
        <v>0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1406.452349632232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1423.7376679966726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0.59484727051914987</v>
      </c>
      <c r="R43" s="1">
        <v>79</v>
      </c>
      <c r="S43" s="1">
        <v>85</v>
      </c>
      <c r="T43" s="1">
        <v>0</v>
      </c>
      <c r="U43" s="1">
        <f>Games[[#This Row],[PointsFor]]-Games[[#This Row],[PointsAgainst]]</f>
        <v>-6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0.34629261270937872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75.25</v>
      </c>
      <c r="Z43" s="4">
        <f>Games[[#This Row],[K]]*Games[[#This Row],[POMult]]</f>
        <v>75.25</v>
      </c>
      <c r="AA43" s="4">
        <f>(Games[[#This Row],[Keff]]*Games[[#This Row],[MOVMult]])*(Games[[#This Row],[Result]]-Games[[#This Row],[ExpectedWin%]])</f>
        <v>-15.500838964201705</v>
      </c>
      <c r="AB43" s="4">
        <f>Games[[#This Row],[PreGmRate]]+Games[[#This Row],[RatingChange]]</f>
        <v>1390.9515106680303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44696</v>
      </c>
      <c r="B44" s="2">
        <v>2022</v>
      </c>
      <c r="C44" s="2">
        <f>COUNTIFS(Games[Team],Games[[#This Row],[Team]],Games[Season],Games[[#This Row],[Season]],Games[Date],"&lt;=" &amp; Games[[#This Row],[Date]])</f>
        <v>3</v>
      </c>
      <c r="D44" s="2" t="s">
        <v>79</v>
      </c>
      <c r="E44" s="2" t="s">
        <v>80</v>
      </c>
      <c r="F44" s="1" t="s">
        <v>85</v>
      </c>
      <c r="G44" s="1" t="s">
        <v>60</v>
      </c>
      <c r="H44" s="1" t="s">
        <v>81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0</v>
      </c>
      <c r="L44" s="2">
        <f>Games[[#This Row],[OppDaysOff]]-Games[[#This Row],[DaysOff]]</f>
        <v>0</v>
      </c>
      <c r="M44" s="1">
        <f>MAX(-16, MIN(16, Games[[#This Row],[RestDiff]]*8))</f>
        <v>0</v>
      </c>
      <c r="N44" s="1">
        <f>MAX(-16, MIN(16, Games[[#This Row],[OppRestDiff]]*8))</f>
        <v>0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1471.5356224729858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1414.2393790515773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0.46164570006885458</v>
      </c>
      <c r="R44" s="1">
        <v>81</v>
      </c>
      <c r="S44" s="1">
        <v>71</v>
      </c>
      <c r="T44" s="1">
        <v>0</v>
      </c>
      <c r="U44" s="1">
        <f>Games[[#This Row],[PointsFor]]-Games[[#This Row],[PointsAgainst]]</f>
        <v>10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0.40384725704501778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75.55</v>
      </c>
      <c r="Z44" s="4">
        <f>Games[[#This Row],[K]]*Games[[#This Row],[POMult]]</f>
        <v>75.55</v>
      </c>
      <c r="AA44" s="4">
        <f>(Games[[#This Row],[Keff]]*Games[[#This Row],[MOVMult]])*(Games[[#This Row],[Result]]-Games[[#This Row],[ExpectedWin%]])</f>
        <v>16.425545149958864</v>
      </c>
      <c r="AB44" s="4">
        <f>Games[[#This Row],[PreGmRate]]+Games[[#This Row],[RatingChange]]</f>
        <v>1487.9611676229447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44696</v>
      </c>
      <c r="B45" s="2">
        <v>2022</v>
      </c>
      <c r="C45" s="2">
        <f>COUNTIFS(Games[Team],Games[[#This Row],[Team]],Games[Season],Games[[#This Row],[Season]],Games[Date],"&lt;=" &amp; Games[[#This Row],[Date]])</f>
        <v>4</v>
      </c>
      <c r="D45" s="2" t="s">
        <v>79</v>
      </c>
      <c r="E45" s="2" t="s">
        <v>80</v>
      </c>
      <c r="F45" s="1" t="s">
        <v>60</v>
      </c>
      <c r="G45" s="1" t="s">
        <v>85</v>
      </c>
      <c r="H45" s="1" t="s">
        <v>82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0</v>
      </c>
      <c r="L45" s="2">
        <f>Games[[#This Row],[OppDaysOff]]-Games[[#This Row],[DaysOff]]</f>
        <v>0</v>
      </c>
      <c r="M45" s="1">
        <f>MAX(-16, MIN(16, Games[[#This Row],[RestDiff]]*8))</f>
        <v>0</v>
      </c>
      <c r="N45" s="1">
        <f>MAX(-16, MIN(16, Games[[#This Row],[OppRestDiff]]*8))</f>
        <v>0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1414.2393790515773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1471.5356224729858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0.53835429993114547</v>
      </c>
      <c r="R45" s="1">
        <v>71</v>
      </c>
      <c r="S45" s="1">
        <v>81</v>
      </c>
      <c r="T45" s="1">
        <v>0</v>
      </c>
      <c r="U45" s="1">
        <f>Games[[#This Row],[PointsFor]]-Games[[#This Row],[PointsAgainst]]</f>
        <v>-10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0.40384725704501778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75.400000000000006</v>
      </c>
      <c r="Z45" s="4">
        <f>Games[[#This Row],[K]]*Games[[#This Row],[POMult]]</f>
        <v>75.400000000000006</v>
      </c>
      <c r="AA45" s="4">
        <f>(Games[[#This Row],[Keff]]*Games[[#This Row],[MOVMult]])*(Games[[#This Row],[Result]]-Games[[#This Row],[ExpectedWin%]])</f>
        <v>-16.392933213857027</v>
      </c>
      <c r="AB45" s="4">
        <f>Games[[#This Row],[PreGmRate]]+Games[[#This Row],[RatingChange]]</f>
        <v>1397.8464458377202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44698</v>
      </c>
      <c r="B46" s="2">
        <v>2022</v>
      </c>
      <c r="C46" s="2">
        <f>COUNTIFS(Games[Team],Games[[#This Row],[Team]],Games[Season],Games[[#This Row],[Season]],Games[Date],"&lt;=" &amp; Games[[#This Row],[Date]])</f>
        <v>5</v>
      </c>
      <c r="D46" s="2" t="s">
        <v>79</v>
      </c>
      <c r="E46" s="2" t="s">
        <v>80</v>
      </c>
      <c r="F46" s="1" t="s">
        <v>65</v>
      </c>
      <c r="G46" s="1" t="s">
        <v>85</v>
      </c>
      <c r="H46" s="1" t="s">
        <v>81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" s="2">
        <f>Games[[#This Row],[DaysOff]]-Games[[#This Row],[OppDaysOff]]</f>
        <v>2</v>
      </c>
      <c r="L46" s="2">
        <f>Games[[#This Row],[OppDaysOff]]-Games[[#This Row],[DaysOff]]</f>
        <v>-2</v>
      </c>
      <c r="M46" s="1">
        <f>MAX(-16, MIN(16, Games[[#This Row],[RestDiff]]*8))</f>
        <v>16</v>
      </c>
      <c r="N46" s="1">
        <f>MAX(-16, MIN(16, Games[[#This Row],[OppRestDiff]]*8))</f>
        <v>-16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1493.8968827586727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1487.9611676229447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0.43409388872809845</v>
      </c>
      <c r="R46" s="1">
        <v>84</v>
      </c>
      <c r="S46" s="1">
        <v>68</v>
      </c>
      <c r="T46" s="1">
        <v>0</v>
      </c>
      <c r="U46" s="1">
        <f>Games[[#This Row],[PointsFor]]-Games[[#This Row],[PointsAgainst]]</f>
        <v>16</v>
      </c>
      <c r="V46" s="1">
        <f>IF(Games[[#This Row],[MOV]]&gt;0,1,IF(Games[[#This Row],[MOV]]=0,0.5,0))</f>
        <v>1</v>
      </c>
      <c r="W46" s="4">
        <f>((ABS(Games[[#This Row],[MOV]])+5)^0.6)/(12+0.01*(ABS(Games[[#This Row],[PreGmRate]]-Games[[#This Row],[OppPreGmRate]])))*IF(Games[[#This Row],[OT]]=1,0.9,1)</f>
        <v>0.51523744668772997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75.25</v>
      </c>
      <c r="Z46" s="4">
        <f>Games[[#This Row],[K]]*Games[[#This Row],[POMult]]</f>
        <v>75.25</v>
      </c>
      <c r="AA46" s="4">
        <f>(Games[[#This Row],[Keff]]*Games[[#This Row],[MOVMult]])*(Games[[#This Row],[Result]]-Games[[#This Row],[ExpectedWin%]])</f>
        <v>21.941095492712947</v>
      </c>
      <c r="AB46" s="4">
        <f>Games[[#This Row],[PreGmRate]]+Games[[#This Row],[RatingChange]]</f>
        <v>1515.8379782513857</v>
      </c>
      <c r="AC46" s="2">
        <f>IF(Games[[#This Row],[Type]]="R",IF(Games[[#This Row],[Result]]&gt;0.5,1,0),0)</f>
        <v>1</v>
      </c>
      <c r="AD46" s="2">
        <f>IF(Games[[#This Row],[Type]]="R",IF(Games[[#This Row],[Result]]&lt;0.5,1,0),0)</f>
        <v>0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44698</v>
      </c>
      <c r="B47" s="2">
        <v>2022</v>
      </c>
      <c r="C47" s="2">
        <f>COUNTIFS(Games[Team],Games[[#This Row],[Team]],Games[Season],Games[[#This Row],[Season]],Games[Date],"&lt;=" &amp; Games[[#This Row],[Date]])</f>
        <v>4</v>
      </c>
      <c r="D47" s="2" t="s">
        <v>79</v>
      </c>
      <c r="E47" s="2" t="s">
        <v>80</v>
      </c>
      <c r="F47" s="1" t="s">
        <v>85</v>
      </c>
      <c r="G47" s="1" t="s">
        <v>65</v>
      </c>
      <c r="H47" s="1" t="s">
        <v>82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7" s="2">
        <f>Games[[#This Row],[DaysOff]]-Games[[#This Row],[OppDaysOff]]</f>
        <v>-2</v>
      </c>
      <c r="L47" s="2">
        <f>Games[[#This Row],[OppDaysOff]]-Games[[#This Row],[DaysOff]]</f>
        <v>2</v>
      </c>
      <c r="M47" s="1">
        <f>MAX(-16, MIN(16, Games[[#This Row],[RestDiff]]*8))</f>
        <v>-16</v>
      </c>
      <c r="N47" s="1">
        <f>MAX(-16, MIN(16, Games[[#This Row],[OppRestDiff]]*8))</f>
        <v>16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1487.9611676229447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1493.8968827586727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0.56590611127190149</v>
      </c>
      <c r="R47" s="1">
        <v>68</v>
      </c>
      <c r="S47" s="1">
        <v>84</v>
      </c>
      <c r="T47" s="1">
        <v>0</v>
      </c>
      <c r="U47" s="1">
        <f>Games[[#This Row],[PointsFor]]-Games[[#This Row],[PointsAgainst]]</f>
        <v>-16</v>
      </c>
      <c r="V47" s="1">
        <f>IF(Games[[#This Row],[MOV]]&gt;0,1,IF(Games[[#This Row],[MOV]]=0,0.5,0))</f>
        <v>0</v>
      </c>
      <c r="W47" s="4">
        <f>((ABS(Games[[#This Row],[MOV]])+5)^0.6)/(12+0.01*(ABS(Games[[#This Row],[PreGmRate]]-Games[[#This Row],[OppPreGmRate]])))*IF(Games[[#This Row],[OT]]=1,0.9,1)</f>
        <v>0.51523744668772997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-21.984831895688458</v>
      </c>
      <c r="AB47" s="4">
        <f>Games[[#This Row],[PreGmRate]]+Games[[#This Row],[RatingChange]]</f>
        <v>1465.9763357272561</v>
      </c>
      <c r="AC47" s="2">
        <f>IF(Games[[#This Row],[Type]]="R",IF(Games[[#This Row],[Result]]&gt;0.5,1,0),0)</f>
        <v>0</v>
      </c>
      <c r="AD47" s="2">
        <f>IF(Games[[#This Row],[Type]]="R",IF(Games[[#This Row],[Result]]&lt;0.5,1,0),0)</f>
        <v>1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44698</v>
      </c>
      <c r="B48" s="2">
        <v>2022</v>
      </c>
      <c r="C48" s="2">
        <f>COUNTIFS(Games[Team],Games[[#This Row],[Team]],Games[Season],Games[[#This Row],[Season]],Games[Date],"&lt;=" &amp; Games[[#This Row],[Date]])</f>
        <v>5</v>
      </c>
      <c r="D48" s="2" t="s">
        <v>79</v>
      </c>
      <c r="E48" s="2" t="s">
        <v>80</v>
      </c>
      <c r="F48" s="1" t="s">
        <v>77</v>
      </c>
      <c r="G48" s="1" t="s">
        <v>69</v>
      </c>
      <c r="H48" s="1" t="s">
        <v>81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0</v>
      </c>
      <c r="L48" s="2">
        <f>Games[[#This Row],[OppDaysOff]]-Games[[#This Row],[DaysOff]]</f>
        <v>0</v>
      </c>
      <c r="M48" s="1">
        <f>MAX(-16, MIN(16, Games[[#This Row],[RestDiff]]*8))</f>
        <v>0</v>
      </c>
      <c r="N48" s="1">
        <f>MAX(-16, MIN(16, Games[[#This Row],[OppRestDiff]]*8))</f>
        <v>0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1439.2694056431949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1390.9515106680303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0.44882910616742527</v>
      </c>
      <c r="R48" s="1">
        <v>101</v>
      </c>
      <c r="S48" s="1">
        <v>79</v>
      </c>
      <c r="T48" s="1">
        <v>0</v>
      </c>
      <c r="U48" s="1">
        <f>Games[[#This Row],[PointsFor]]-Games[[#This Row],[PointsAgainst]]</f>
        <v>22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0.57875274278478661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75.25</v>
      </c>
      <c r="Z48" s="4">
        <f>Games[[#This Row],[K]]*Games[[#This Row],[POMult]]</f>
        <v>75.25</v>
      </c>
      <c r="AA48" s="4">
        <f>(Games[[#This Row],[Keff]]*Games[[#This Row],[MOVMult]])*(Games[[#This Row],[Result]]-Games[[#This Row],[ExpectedWin%]])</f>
        <v>24.004122907793068</v>
      </c>
      <c r="AB48" s="4">
        <f>Games[[#This Row],[PreGmRate]]+Games[[#This Row],[RatingChange]]</f>
        <v>1463.273528550988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44698</v>
      </c>
      <c r="B49" s="2">
        <v>2022</v>
      </c>
      <c r="C49" s="2">
        <f>COUNTIFS(Games[Team],Games[[#This Row],[Team]],Games[Season],Games[[#This Row],[Season]],Games[Date],"&lt;=" &amp; Games[[#This Row],[Date]])</f>
        <v>6</v>
      </c>
      <c r="D49" s="2" t="s">
        <v>79</v>
      </c>
      <c r="E49" s="2" t="s">
        <v>80</v>
      </c>
      <c r="F49" s="1" t="s">
        <v>69</v>
      </c>
      <c r="G49" s="1" t="s">
        <v>77</v>
      </c>
      <c r="H49" s="1" t="s">
        <v>82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" s="2">
        <f>Games[[#This Row],[DaysOff]]-Games[[#This Row],[OppDaysOff]]</f>
        <v>0</v>
      </c>
      <c r="L49" s="2">
        <f>Games[[#This Row],[OppDaysOff]]-Games[[#This Row],[DaysOff]]</f>
        <v>0</v>
      </c>
      <c r="M49" s="1">
        <f>MAX(-16, MIN(16, Games[[#This Row],[RestDiff]]*8))</f>
        <v>0</v>
      </c>
      <c r="N49" s="1">
        <f>MAX(-16, MIN(16, Games[[#This Row],[OppRestDiff]]*8))</f>
        <v>0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1390.9515106680303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1439.2694056431949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0.55117089383257467</v>
      </c>
      <c r="R49" s="1">
        <v>79</v>
      </c>
      <c r="S49" s="1">
        <v>101</v>
      </c>
      <c r="T49" s="1">
        <v>0</v>
      </c>
      <c r="U49" s="1">
        <f>Games[[#This Row],[PointsFor]]-Games[[#This Row],[PointsAgainst]]</f>
        <v>-22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0.57875274278478661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75.099999999999994</v>
      </c>
      <c r="Z49" s="4">
        <f>Games[[#This Row],[K]]*Games[[#This Row],[POMult]]</f>
        <v>75.099999999999994</v>
      </c>
      <c r="AA49" s="4">
        <f>(Games[[#This Row],[Keff]]*Games[[#This Row],[MOVMult]])*(Games[[#This Row],[Result]]-Games[[#This Row],[ExpectedWin%]])</f>
        <v>-23.95627415781075</v>
      </c>
      <c r="AB49" s="4">
        <f>Games[[#This Row],[PreGmRate]]+Games[[#This Row],[RatingChange]]</f>
        <v>1366.9952365102197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44698</v>
      </c>
      <c r="B50" s="2">
        <v>2022</v>
      </c>
      <c r="C50" s="2">
        <f>COUNTIFS(Games[Team],Games[[#This Row],[Team]],Games[Season],Games[[#This Row],[Season]],Games[Date],"&lt;=" &amp; Games[[#This Row],[Date]])</f>
        <v>5</v>
      </c>
      <c r="D50" s="2" t="s">
        <v>79</v>
      </c>
      <c r="E50" s="2" t="s">
        <v>80</v>
      </c>
      <c r="F50" s="1" t="s">
        <v>67</v>
      </c>
      <c r="G50" s="1" t="s">
        <v>63</v>
      </c>
      <c r="H50" s="1" t="s">
        <v>81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" s="2">
        <f>Games[[#This Row],[DaysOff]]-Games[[#This Row],[OppDaysOff]]</f>
        <v>0</v>
      </c>
      <c r="L50" s="2">
        <f>Games[[#This Row],[OppDaysOff]]-Games[[#This Row],[DaysOff]]</f>
        <v>0</v>
      </c>
      <c r="M50" s="1">
        <f>MAX(-16, MIN(16, Games[[#This Row],[RestDiff]]*8))</f>
        <v>0</v>
      </c>
      <c r="N50" s="1">
        <f>MAX(-16, MIN(16, Games[[#This Row],[OppRestDiff]]*8))</f>
        <v>0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1483.4827556226137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1479.6644029272491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0.38661518192833727</v>
      </c>
      <c r="R50" s="1">
        <v>87</v>
      </c>
      <c r="S50" s="1">
        <v>84</v>
      </c>
      <c r="T50" s="1">
        <v>0</v>
      </c>
      <c r="U50" s="1">
        <f>Games[[#This Row],[PointsFor]]-Games[[#This Row],[PointsAgainst]]</f>
        <v>3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0.28926309732592137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13.351576822689974</v>
      </c>
      <c r="AB50" s="4">
        <f>Games[[#This Row],[PreGmRate]]+Games[[#This Row],[RatingChange]]</f>
        <v>1496.8343324453037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44698</v>
      </c>
      <c r="B51" s="2">
        <v>2022</v>
      </c>
      <c r="C51" s="2">
        <f>COUNTIFS(Games[Team],Games[[#This Row],[Team]],Games[Season],Games[[#This Row],[Season]],Games[Date],"&lt;=" &amp; Games[[#This Row],[Date]])</f>
        <v>5</v>
      </c>
      <c r="D51" s="2" t="s">
        <v>79</v>
      </c>
      <c r="E51" s="2" t="s">
        <v>80</v>
      </c>
      <c r="F51" s="1" t="s">
        <v>63</v>
      </c>
      <c r="G51" s="1" t="s">
        <v>67</v>
      </c>
      <c r="H51" s="1" t="s">
        <v>82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" s="2">
        <f>Games[[#This Row],[DaysOff]]-Games[[#This Row],[OppDaysOff]]</f>
        <v>0</v>
      </c>
      <c r="L51" s="2">
        <f>Games[[#This Row],[OppDaysOff]]-Games[[#This Row],[DaysOff]]</f>
        <v>0</v>
      </c>
      <c r="M51" s="1">
        <f>MAX(-16, MIN(16, Games[[#This Row],[RestDiff]]*8))</f>
        <v>0</v>
      </c>
      <c r="N51" s="1">
        <f>MAX(-16, MIN(16, Games[[#This Row],[OppRestDiff]]*8))</f>
        <v>0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1479.6644029272491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1483.4827556226137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0.61338481807166267</v>
      </c>
      <c r="R51" s="1">
        <v>84</v>
      </c>
      <c r="S51" s="1">
        <v>87</v>
      </c>
      <c r="T51" s="1">
        <v>0</v>
      </c>
      <c r="U51" s="1">
        <f>Games[[#This Row],[PointsFor]]-Games[[#This Row],[PointsAgainst]]</f>
        <v>-3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0.28926309732592137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75.25</v>
      </c>
      <c r="Z51" s="4">
        <f>Games[[#This Row],[K]]*Games[[#This Row],[POMult]]</f>
        <v>75.25</v>
      </c>
      <c r="AA51" s="4">
        <f>(Games[[#This Row],[Keff]]*Games[[#This Row],[MOVMult]])*(Games[[#This Row],[Result]]-Games[[#This Row],[ExpectedWin%]])</f>
        <v>-13.351576822689973</v>
      </c>
      <c r="AB51" s="4">
        <f>Games[[#This Row],[PreGmRate]]+Games[[#This Row],[RatingChange]]</f>
        <v>1466.312826104559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44698</v>
      </c>
      <c r="B52" s="2">
        <v>2022</v>
      </c>
      <c r="C52" s="2">
        <f>COUNTIFS(Games[Team],Games[[#This Row],[Team]],Games[Season],Games[[#This Row],[Season]],Games[Date],"&lt;=" &amp; Games[[#This Row],[Date]])</f>
        <v>4</v>
      </c>
      <c r="D52" s="2" t="s">
        <v>79</v>
      </c>
      <c r="E52" s="2" t="s">
        <v>80</v>
      </c>
      <c r="F52" s="1" t="s">
        <v>40</v>
      </c>
      <c r="G52" s="1" t="s">
        <v>86</v>
      </c>
      <c r="H52" s="1" t="s">
        <v>81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2" s="2">
        <f>Games[[#This Row],[DaysOff]]-Games[[#This Row],[OppDaysOff]]</f>
        <v>-1</v>
      </c>
      <c r="L52" s="2">
        <f>Games[[#This Row],[OppDaysOff]]-Games[[#This Row],[DaysOff]]</f>
        <v>1</v>
      </c>
      <c r="M52" s="1">
        <f>MAX(-16, MIN(16, Games[[#This Row],[RestDiff]]*8))</f>
        <v>-8</v>
      </c>
      <c r="N52" s="1">
        <f>MAX(-16, MIN(16, Games[[#This Row],[OppRestDiff]]*8))</f>
        <v>8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1545.7857649582656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1604.5664812158957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0.28617889085011289</v>
      </c>
      <c r="R52" s="1">
        <v>74</v>
      </c>
      <c r="S52" s="1">
        <v>86</v>
      </c>
      <c r="T52" s="1">
        <v>0</v>
      </c>
      <c r="U52" s="1">
        <f>Games[[#This Row],[PointsFor]]-Games[[#This Row],[PointsAgainst]]</f>
        <v>-12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0.43482977187571059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75.400000000000006</v>
      </c>
      <c r="Z52" s="4">
        <f>Games[[#This Row],[K]]*Games[[#This Row],[POMult]]</f>
        <v>75.400000000000006</v>
      </c>
      <c r="AA52" s="4">
        <f>(Games[[#This Row],[Keff]]*Games[[#This Row],[MOVMult]])*(Games[[#This Row],[Result]]-Games[[#This Row],[ExpectedWin%]])</f>
        <v>-9.3827082775294866</v>
      </c>
      <c r="AB52" s="4">
        <f>Games[[#This Row],[PreGmRate]]+Games[[#This Row],[RatingChange]]</f>
        <v>1536.4030566807362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44698</v>
      </c>
      <c r="B53" s="2">
        <v>2022</v>
      </c>
      <c r="C53" s="2">
        <f>COUNTIFS(Games[Team],Games[[#This Row],[Team]],Games[Season],Games[[#This Row],[Season]],Games[Date],"&lt;=" &amp; Games[[#This Row],[Date]])</f>
        <v>5</v>
      </c>
      <c r="D53" s="2" t="s">
        <v>79</v>
      </c>
      <c r="E53" s="2" t="s">
        <v>80</v>
      </c>
      <c r="F53" s="1" t="s">
        <v>86</v>
      </c>
      <c r="G53" s="1" t="s">
        <v>40</v>
      </c>
      <c r="H53" s="1" t="s">
        <v>82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" s="2">
        <f>Games[[#This Row],[DaysOff]]-Games[[#This Row],[OppDaysOff]]</f>
        <v>1</v>
      </c>
      <c r="L53" s="2">
        <f>Games[[#This Row],[OppDaysOff]]-Games[[#This Row],[DaysOff]]</f>
        <v>-1</v>
      </c>
      <c r="M53" s="1">
        <f>MAX(-16, MIN(16, Games[[#This Row],[RestDiff]]*8))</f>
        <v>8</v>
      </c>
      <c r="N53" s="1">
        <f>MAX(-16, MIN(16, Games[[#This Row],[OppRestDiff]]*8))</f>
        <v>-8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1604.5664812158957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1545.7857649582656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0.71382110914988706</v>
      </c>
      <c r="R53" s="1">
        <v>86</v>
      </c>
      <c r="S53" s="1">
        <v>74</v>
      </c>
      <c r="T53" s="1">
        <v>0</v>
      </c>
      <c r="U53" s="1">
        <f>Games[[#This Row],[PointsFor]]-Games[[#This Row],[PointsAgainst]]</f>
        <v>12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0.43482977187571059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9.3640424122558858</v>
      </c>
      <c r="AB53" s="4">
        <f>Games[[#This Row],[PreGmRate]]+Games[[#This Row],[RatingChange]]</f>
        <v>1613.9305236281516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44698</v>
      </c>
      <c r="B54" s="2">
        <v>2022</v>
      </c>
      <c r="C54" s="2">
        <f>COUNTIFS(Games[Team],Games[[#This Row],[Team]],Games[Season],Games[[#This Row],[Season]],Games[Date],"&lt;=" &amp; Games[[#This Row],[Date]])</f>
        <v>3</v>
      </c>
      <c r="D54" s="2" t="s">
        <v>79</v>
      </c>
      <c r="E54" s="2" t="s">
        <v>80</v>
      </c>
      <c r="F54" s="1" t="s">
        <v>74</v>
      </c>
      <c r="G54" s="1" t="s">
        <v>60</v>
      </c>
      <c r="H54" s="1" t="s">
        <v>81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1</v>
      </c>
      <c r="L54" s="2">
        <f>Games[[#This Row],[OppDaysOff]]-Games[[#This Row],[DaysOff]]</f>
        <v>-1</v>
      </c>
      <c r="M54" s="1">
        <f>MAX(-16, MIN(16, Games[[#This Row],[RestDiff]]*8))</f>
        <v>8</v>
      </c>
      <c r="N54" s="1">
        <f>MAX(-16, MIN(16, Games[[#This Row],[OppRestDiff]]*8))</f>
        <v>-8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1586.6514842267472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1397.8464458377202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0.66716925933629945</v>
      </c>
      <c r="R54" s="1">
        <v>92</v>
      </c>
      <c r="S54" s="1">
        <v>65</v>
      </c>
      <c r="T54" s="1">
        <v>0</v>
      </c>
      <c r="U54" s="1">
        <f>Games[[#This Row],[PointsFor]]-Games[[#This Row],[PointsAgainst]]</f>
        <v>27</v>
      </c>
      <c r="V54" s="1">
        <f>IF(Games[[#This Row],[MOV]]&gt;0,1,IF(Games[[#This Row],[MOV]]=0,0.5,0))</f>
        <v>1</v>
      </c>
      <c r="W54" s="4">
        <f>((ABS(Games[[#This Row],[MOV]])+5)^0.6)/(12+0.01*(ABS(Games[[#This Row],[PreGmRate]]-Games[[#This Row],[OppPreGmRate]])))*IF(Games[[#This Row],[OT]]=1,0.9,1)</f>
        <v>0.57603477657884672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75.55</v>
      </c>
      <c r="Z54" s="4">
        <f>Games[[#This Row],[K]]*Games[[#This Row],[POMult]]</f>
        <v>75.55</v>
      </c>
      <c r="AA54" s="4">
        <f>(Games[[#This Row],[Keff]]*Games[[#This Row],[MOVMult]])*(Games[[#This Row],[Result]]-Games[[#This Row],[ExpectedWin%]])</f>
        <v>14.484603244994243</v>
      </c>
      <c r="AB54" s="4">
        <f>Games[[#This Row],[PreGmRate]]+Games[[#This Row],[RatingChange]]</f>
        <v>1601.1360874717416</v>
      </c>
      <c r="AC54" s="2">
        <f>IF(Games[[#This Row],[Type]]="R",IF(Games[[#This Row],[Result]]&gt;0.5,1,0),0)</f>
        <v>1</v>
      </c>
      <c r="AD54" s="2">
        <f>IF(Games[[#This Row],[Type]]="R",IF(Games[[#This Row],[Result]]&lt;0.5,1,0),0)</f>
        <v>0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44698</v>
      </c>
      <c r="B55" s="2">
        <v>2022</v>
      </c>
      <c r="C55" s="2">
        <f>COUNTIFS(Games[Team],Games[[#This Row],[Team]],Games[Season],Games[[#This Row],[Season]],Games[Date],"&lt;=" &amp; Games[[#This Row],[Date]])</f>
        <v>5</v>
      </c>
      <c r="D55" s="2" t="s">
        <v>79</v>
      </c>
      <c r="E55" s="2" t="s">
        <v>80</v>
      </c>
      <c r="F55" s="1" t="s">
        <v>60</v>
      </c>
      <c r="G55" s="1" t="s">
        <v>74</v>
      </c>
      <c r="H55" s="1" t="s">
        <v>82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5" s="2">
        <f>Games[[#This Row],[DaysOff]]-Games[[#This Row],[OppDaysOff]]</f>
        <v>-1</v>
      </c>
      <c r="L55" s="2">
        <f>Games[[#This Row],[OppDaysOff]]-Games[[#This Row],[DaysOff]]</f>
        <v>1</v>
      </c>
      <c r="M55" s="1">
        <f>MAX(-16, MIN(16, Games[[#This Row],[RestDiff]]*8))</f>
        <v>-8</v>
      </c>
      <c r="N55" s="1">
        <f>MAX(-16, MIN(16, Games[[#This Row],[OppRestDiff]]*8))</f>
        <v>8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1397.8464458377202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1586.6514842267472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0.33283074066370055</v>
      </c>
      <c r="R55" s="1">
        <v>65</v>
      </c>
      <c r="S55" s="1">
        <v>92</v>
      </c>
      <c r="T55" s="1">
        <v>0</v>
      </c>
      <c r="U55" s="1">
        <f>Games[[#This Row],[PointsFor]]-Games[[#This Row],[PointsAgainst]]</f>
        <v>-27</v>
      </c>
      <c r="V55" s="1">
        <f>IF(Games[[#This Row],[MOV]]&gt;0,1,IF(Games[[#This Row],[MOV]]=0,0.5,0))</f>
        <v>0</v>
      </c>
      <c r="W55" s="4">
        <f>((ABS(Games[[#This Row],[MOV]])+5)^0.6)/(12+0.01*(ABS(Games[[#This Row],[PreGmRate]]-Games[[#This Row],[OppPreGmRate]])))*IF(Games[[#This Row],[OT]]=1,0.9,1)</f>
        <v>0.57603477657884672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75.25</v>
      </c>
      <c r="Z55" s="4">
        <f>Games[[#This Row],[K]]*Games[[#This Row],[POMult]]</f>
        <v>75.25</v>
      </c>
      <c r="AA55" s="4">
        <f>(Games[[#This Row],[Keff]]*Games[[#This Row],[MOVMult]])*(Games[[#This Row],[Result]]-Games[[#This Row],[ExpectedWin%]])</f>
        <v>-14.427086620593208</v>
      </c>
      <c r="AB55" s="4">
        <f>Games[[#This Row],[PreGmRate]]+Games[[#This Row],[RatingChange]]</f>
        <v>1383.4193592171271</v>
      </c>
      <c r="AC55" s="2">
        <f>IF(Games[[#This Row],[Type]]="R",IF(Games[[#This Row],[Result]]&gt;0.5,1,0),0)</f>
        <v>0</v>
      </c>
      <c r="AD55" s="2">
        <f>IF(Games[[#This Row],[Type]]="R",IF(Games[[#This Row],[Result]]&lt;0.5,1,0),0)</f>
        <v>1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44699</v>
      </c>
      <c r="B56" s="2">
        <v>2022</v>
      </c>
      <c r="C56" s="2">
        <f>COUNTIFS(Games[Team],Games[[#This Row],[Team]],Games[Season],Games[[#This Row],[Season]],Games[Date],"&lt;=" &amp; Games[[#This Row],[Date]])</f>
        <v>4</v>
      </c>
      <c r="D56" s="2" t="s">
        <v>79</v>
      </c>
      <c r="E56" s="2" t="s">
        <v>80</v>
      </c>
      <c r="F56" s="1" t="s">
        <v>75</v>
      </c>
      <c r="G56" s="1" t="s">
        <v>71</v>
      </c>
      <c r="H56" s="1" t="s">
        <v>81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3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6" s="2">
        <f>Games[[#This Row],[DaysOff]]-Games[[#This Row],[OppDaysOff]]</f>
        <v>0</v>
      </c>
      <c r="L56" s="2">
        <f>Games[[#This Row],[OppDaysOff]]-Games[[#This Row],[DaysOff]]</f>
        <v>0</v>
      </c>
      <c r="M56" s="1">
        <f>MAX(-16, MIN(16, Games[[#This Row],[RestDiff]]*8))</f>
        <v>0</v>
      </c>
      <c r="N56" s="1">
        <f>MAX(-16, MIN(16, Games[[#This Row],[OppRestDiff]]*8))</f>
        <v>0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1573.7607362797662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1516.4699046517499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0.46163795770874133</v>
      </c>
      <c r="R56" s="1">
        <v>71</v>
      </c>
      <c r="S56" s="1">
        <v>74</v>
      </c>
      <c r="T56" s="1">
        <v>0</v>
      </c>
      <c r="U56" s="1">
        <f>Games[[#This Row],[PointsFor]]-Games[[#This Row],[PointsAgainst]]</f>
        <v>-3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0.27696076083490806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-9.6403122397953727</v>
      </c>
      <c r="AB56" s="4">
        <f>Games[[#This Row],[PreGmRate]]+Games[[#This Row],[RatingChange]]</f>
        <v>1564.1204240399709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44699</v>
      </c>
      <c r="B57" s="2">
        <v>2022</v>
      </c>
      <c r="C57" s="2">
        <f>COUNTIFS(Games[Team],Games[[#This Row],[Team]],Games[Season],Games[[#This Row],[Season]],Games[Date],"&lt;=" &amp; Games[[#This Row],[Date]])</f>
        <v>5</v>
      </c>
      <c r="D57" s="2" t="s">
        <v>79</v>
      </c>
      <c r="E57" s="2" t="s">
        <v>80</v>
      </c>
      <c r="F57" s="1" t="s">
        <v>71</v>
      </c>
      <c r="G57" s="1" t="s">
        <v>75</v>
      </c>
      <c r="H57" s="1" t="s">
        <v>82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3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7" s="2">
        <f>Games[[#This Row],[DaysOff]]-Games[[#This Row],[OppDaysOff]]</f>
        <v>0</v>
      </c>
      <c r="L57" s="2">
        <f>Games[[#This Row],[OppDaysOff]]-Games[[#This Row],[DaysOff]]</f>
        <v>0</v>
      </c>
      <c r="M57" s="1">
        <f>MAX(-16, MIN(16, Games[[#This Row],[RestDiff]]*8))</f>
        <v>0</v>
      </c>
      <c r="N57" s="1">
        <f>MAX(-16, MIN(16, Games[[#This Row],[OppRestDiff]]*8))</f>
        <v>0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1516.4699046517499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1573.7607362797662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0.53836204229125872</v>
      </c>
      <c r="R57" s="1">
        <v>74</v>
      </c>
      <c r="S57" s="1">
        <v>71</v>
      </c>
      <c r="T57" s="1">
        <v>0</v>
      </c>
      <c r="U57" s="1">
        <f>Games[[#This Row],[PointsFor]]-Games[[#This Row],[PointsAgainst]]</f>
        <v>3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0.27696076083490806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75.25</v>
      </c>
      <c r="Z57" s="4">
        <f>Games[[#This Row],[K]]*Games[[#This Row],[POMult]]</f>
        <v>75.25</v>
      </c>
      <c r="AA57" s="4">
        <f>(Games[[#This Row],[Keff]]*Games[[#This Row],[MOVMult]])*(Games[[#This Row],[Result]]-Games[[#This Row],[ExpectedWin%]])</f>
        <v>9.6211338997957778</v>
      </c>
      <c r="AB57" s="4">
        <f>Games[[#This Row],[PreGmRate]]+Games[[#This Row],[RatingChange]]</f>
        <v>1526.0910385515456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44700</v>
      </c>
      <c r="B58" s="2">
        <v>2022</v>
      </c>
      <c r="C58" s="2">
        <f>COUNTIFS(Games[Team],Games[[#This Row],[Team]],Games[Season],Games[[#This Row],[Season]],Games[Date],"&lt;=" &amp; Games[[#This Row],[Date]])</f>
        <v>6</v>
      </c>
      <c r="D58" s="2" t="s">
        <v>79</v>
      </c>
      <c r="E58" s="2" t="s">
        <v>80</v>
      </c>
      <c r="F58" s="1" t="s">
        <v>67</v>
      </c>
      <c r="G58" s="1" t="s">
        <v>86</v>
      </c>
      <c r="H58" s="1" t="s">
        <v>81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" s="2">
        <f>Games[[#This Row],[DaysOff]]-Games[[#This Row],[OppDaysOff]]</f>
        <v>0</v>
      </c>
      <c r="L58" s="2">
        <f>Games[[#This Row],[OppDaysOff]]-Games[[#This Row],[DaysOff]]</f>
        <v>0</v>
      </c>
      <c r="M58" s="1">
        <f>MAX(-16, MIN(16, Games[[#This Row],[RestDiff]]*8))</f>
        <v>0</v>
      </c>
      <c r="N58" s="1">
        <f>MAX(-16, MIN(16, Games[[#This Row],[OppRestDiff]]*8))</f>
        <v>0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1496.8343324453037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1613.9305236281516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0.23910315443356189</v>
      </c>
      <c r="R58" s="1">
        <v>87</v>
      </c>
      <c r="S58" s="1">
        <v>93</v>
      </c>
      <c r="T58" s="1">
        <v>0</v>
      </c>
      <c r="U58" s="1">
        <f>Games[[#This Row],[PointsFor]]-Games[[#This Row],[PointsAgainst]]</f>
        <v>-6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0.32005021055494765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75.099999999999994</v>
      </c>
      <c r="Z58" s="4">
        <f>Games[[#This Row],[K]]*Games[[#This Row],[POMult]]</f>
        <v>75.099999999999994</v>
      </c>
      <c r="AA58" s="4">
        <f>(Games[[#This Row],[Keff]]*Games[[#This Row],[MOVMult]])*(Games[[#This Row],[Result]]-Games[[#This Row],[ExpectedWin%]])</f>
        <v>-5.7470286205531043</v>
      </c>
      <c r="AB58" s="4">
        <f>Games[[#This Row],[PreGmRate]]+Games[[#This Row],[RatingChange]]</f>
        <v>1491.0873038247507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44700</v>
      </c>
      <c r="B59" s="2">
        <v>2022</v>
      </c>
      <c r="C59" s="2">
        <f>COUNTIFS(Games[Team],Games[[#This Row],[Team]],Games[Season],Games[[#This Row],[Season]],Games[Date],"&lt;=" &amp; Games[[#This Row],[Date]])</f>
        <v>6</v>
      </c>
      <c r="D59" s="2" t="s">
        <v>79</v>
      </c>
      <c r="E59" s="2" t="s">
        <v>80</v>
      </c>
      <c r="F59" s="1" t="s">
        <v>86</v>
      </c>
      <c r="G59" s="1" t="s">
        <v>67</v>
      </c>
      <c r="H59" s="1" t="s">
        <v>82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" s="2">
        <f>Games[[#This Row],[DaysOff]]-Games[[#This Row],[OppDaysOff]]</f>
        <v>0</v>
      </c>
      <c r="L59" s="2">
        <f>Games[[#This Row],[OppDaysOff]]-Games[[#This Row],[DaysOff]]</f>
        <v>0</v>
      </c>
      <c r="M59" s="1">
        <f>MAX(-16, MIN(16, Games[[#This Row],[RestDiff]]*8))</f>
        <v>0</v>
      </c>
      <c r="N59" s="1">
        <f>MAX(-16, MIN(16, Games[[#This Row],[OppRestDiff]]*8))</f>
        <v>0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1613.9305236281516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1496.8343324453037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0.76089684556643811</v>
      </c>
      <c r="R59" s="1">
        <v>93</v>
      </c>
      <c r="S59" s="1">
        <v>87</v>
      </c>
      <c r="T59" s="1">
        <v>0</v>
      </c>
      <c r="U59" s="1">
        <f>Games[[#This Row],[PointsFor]]-Games[[#This Row],[PointsAgainst]]</f>
        <v>6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0.32005021055494765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75.099999999999994</v>
      </c>
      <c r="Z59" s="4">
        <f>Games[[#This Row],[K]]*Games[[#This Row],[POMult]]</f>
        <v>75.099999999999994</v>
      </c>
      <c r="AA59" s="4">
        <f>(Games[[#This Row],[Keff]]*Games[[#This Row],[MOVMult]])*(Games[[#This Row],[Result]]-Games[[#This Row],[ExpectedWin%]])</f>
        <v>5.7470286205531043</v>
      </c>
      <c r="AB59" s="4">
        <f>Games[[#This Row],[PreGmRate]]+Games[[#This Row],[RatingChange]]</f>
        <v>1619.6775522487046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44700</v>
      </c>
      <c r="B60" s="2">
        <v>2022</v>
      </c>
      <c r="C60" s="2">
        <f>COUNTIFS(Games[Team],Games[[#This Row],[Team]],Games[Season],Games[[#This Row],[Season]],Games[Date],"&lt;=" &amp; Games[[#This Row],[Date]])</f>
        <v>5</v>
      </c>
      <c r="D60" s="2" t="s">
        <v>79</v>
      </c>
      <c r="E60" s="2" t="s">
        <v>80</v>
      </c>
      <c r="F60" s="1" t="s">
        <v>85</v>
      </c>
      <c r="G60" s="1" t="s">
        <v>40</v>
      </c>
      <c r="H60" s="1" t="s">
        <v>81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" s="2">
        <f>Games[[#This Row],[DaysOff]]-Games[[#This Row],[OppDaysOff]]</f>
        <v>0</v>
      </c>
      <c r="L60" s="2">
        <f>Games[[#This Row],[OppDaysOff]]-Games[[#This Row],[DaysOff]]</f>
        <v>0</v>
      </c>
      <c r="M60" s="1">
        <f>MAX(-16, MIN(16, Games[[#This Row],[RestDiff]]*8))</f>
        <v>0</v>
      </c>
      <c r="N60" s="1">
        <f>MAX(-16, MIN(16, Games[[#This Row],[OppRestDiff]]*8))</f>
        <v>0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1465.9763357272561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1536.4030566807362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0.29132621453529578</v>
      </c>
      <c r="R60" s="1">
        <v>94</v>
      </c>
      <c r="S60" s="1">
        <v>84</v>
      </c>
      <c r="T60" s="1">
        <v>0</v>
      </c>
      <c r="U60" s="1">
        <f>Games[[#This Row],[PointsFor]]-Games[[#This Row],[PointsAgainst]]</f>
        <v>10</v>
      </c>
      <c r="V60" s="1">
        <f>IF(Games[[#This Row],[MOV]]&gt;0,1,IF(Games[[#This Row],[MOV]]=0,0.5,0))</f>
        <v>1</v>
      </c>
      <c r="W60" s="4">
        <f>((ABS(Games[[#This Row],[MOV]])+5)^0.6)/(12+0.01*(ABS(Games[[#This Row],[PreGmRate]]-Games[[#This Row],[OppPreGmRate]])))*IF(Games[[#This Row],[OT]]=1,0.9,1)</f>
        <v>0.39967329939160934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75.25</v>
      </c>
      <c r="Z60" s="4">
        <f>Games[[#This Row],[K]]*Games[[#This Row],[POMult]]</f>
        <v>75.25</v>
      </c>
      <c r="AA60" s="4">
        <f>(Games[[#This Row],[Keff]]*Games[[#This Row],[MOVMult]])*(Games[[#This Row],[Result]]-Games[[#This Row],[ExpectedWin%]])</f>
        <v>21.313658749683746</v>
      </c>
      <c r="AB60" s="4">
        <f>Games[[#This Row],[PreGmRate]]+Games[[#This Row],[RatingChange]]</f>
        <v>1487.2899944769399</v>
      </c>
      <c r="AC60" s="2">
        <f>IF(Games[[#This Row],[Type]]="R",IF(Games[[#This Row],[Result]]&gt;0.5,1,0),0)</f>
        <v>1</v>
      </c>
      <c r="AD60" s="2">
        <f>IF(Games[[#This Row],[Type]]="R",IF(Games[[#This Row],[Result]]&lt;0.5,1,0),0)</f>
        <v>0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44700</v>
      </c>
      <c r="B61" s="2">
        <v>2022</v>
      </c>
      <c r="C61" s="2">
        <f>COUNTIFS(Games[Team],Games[[#This Row],[Team]],Games[Season],Games[[#This Row],[Season]],Games[Date],"&lt;=" &amp; Games[[#This Row],[Date]])</f>
        <v>5</v>
      </c>
      <c r="D61" s="2" t="s">
        <v>79</v>
      </c>
      <c r="E61" s="2" t="s">
        <v>80</v>
      </c>
      <c r="F61" s="1" t="s">
        <v>40</v>
      </c>
      <c r="G61" s="1" t="s">
        <v>85</v>
      </c>
      <c r="H61" s="1" t="s">
        <v>82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" s="2">
        <f>Games[[#This Row],[DaysOff]]-Games[[#This Row],[OppDaysOff]]</f>
        <v>0</v>
      </c>
      <c r="L61" s="2">
        <f>Games[[#This Row],[OppDaysOff]]-Games[[#This Row],[DaysOff]]</f>
        <v>0</v>
      </c>
      <c r="M61" s="1">
        <f>MAX(-16, MIN(16, Games[[#This Row],[RestDiff]]*8))</f>
        <v>0</v>
      </c>
      <c r="N61" s="1">
        <f>MAX(-16, MIN(16, Games[[#This Row],[OppRestDiff]]*8))</f>
        <v>0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1536.4030566807362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1465.9763357272561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0.70867378546470428</v>
      </c>
      <c r="R61" s="1">
        <v>84</v>
      </c>
      <c r="S61" s="1">
        <v>94</v>
      </c>
      <c r="T61" s="1">
        <v>0</v>
      </c>
      <c r="U61" s="1">
        <f>Games[[#This Row],[PointsFor]]-Games[[#This Row],[PointsAgainst]]</f>
        <v>-10</v>
      </c>
      <c r="V61" s="1">
        <f>IF(Games[[#This Row],[MOV]]&gt;0,1,IF(Games[[#This Row],[MOV]]=0,0.5,0))</f>
        <v>0</v>
      </c>
      <c r="W61" s="4">
        <f>((ABS(Games[[#This Row],[MOV]])+5)^0.6)/(12+0.01*(ABS(Games[[#This Row],[PreGmRate]]-Games[[#This Row],[OppPreGmRate]])))*IF(Games[[#This Row],[OT]]=1,0.9,1)</f>
        <v>0.39967329939160934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75.25</v>
      </c>
      <c r="Z61" s="4">
        <f>Games[[#This Row],[K]]*Games[[#This Row],[POMult]]</f>
        <v>75.25</v>
      </c>
      <c r="AA61" s="4">
        <f>(Games[[#This Row],[Keff]]*Games[[#This Row],[MOVMult]])*(Games[[#This Row],[Result]]-Games[[#This Row],[ExpectedWin%]])</f>
        <v>-21.313658749683746</v>
      </c>
      <c r="AB61" s="4">
        <f>Games[[#This Row],[PreGmRate]]+Games[[#This Row],[RatingChange]]</f>
        <v>1515.0893979310524</v>
      </c>
      <c r="AC61" s="2">
        <f>IF(Games[[#This Row],[Type]]="R",IF(Games[[#This Row],[Result]]&gt;0.5,1,0),0)</f>
        <v>0</v>
      </c>
      <c r="AD61" s="2">
        <f>IF(Games[[#This Row],[Type]]="R",IF(Games[[#This Row],[Result]]&lt;0.5,1,0),0)</f>
        <v>1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44701</v>
      </c>
      <c r="B62" s="2">
        <v>2022</v>
      </c>
      <c r="C62" s="2">
        <f>COUNTIFS(Games[Team],Games[[#This Row],[Team]],Games[Season],Games[[#This Row],[Season]],Games[Date],"&lt;=" &amp; Games[[#This Row],[Date]])</f>
        <v>6</v>
      </c>
      <c r="D62" s="2" t="s">
        <v>79</v>
      </c>
      <c r="E62" s="2" t="s">
        <v>80</v>
      </c>
      <c r="F62" s="1" t="s">
        <v>65</v>
      </c>
      <c r="G62" s="1" t="s">
        <v>77</v>
      </c>
      <c r="H62" s="1" t="s">
        <v>81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2" s="2">
        <f>Games[[#This Row],[DaysOff]]-Games[[#This Row],[OppDaysOff]]</f>
        <v>0</v>
      </c>
      <c r="L62" s="2">
        <f>Games[[#This Row],[OppDaysOff]]-Games[[#This Row],[DaysOff]]</f>
        <v>0</v>
      </c>
      <c r="M62" s="1">
        <f>MAX(-16, MIN(16, Games[[#This Row],[RestDiff]]*8))</f>
        <v>0</v>
      </c>
      <c r="N62" s="1">
        <f>MAX(-16, MIN(16, Games[[#This Row],[OppRestDiff]]*8))</f>
        <v>0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1515.8379782513857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1463.273528550988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0.4548836530691181</v>
      </c>
      <c r="R62" s="1">
        <v>78</v>
      </c>
      <c r="S62" s="1">
        <v>73</v>
      </c>
      <c r="T62" s="1">
        <v>0</v>
      </c>
      <c r="U62" s="1">
        <f>Games[[#This Row],[PointsFor]]-Games[[#This Row],[PointsAgainst]]</f>
        <v>5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0.31783368165104875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75.099999999999994</v>
      </c>
      <c r="Z62" s="4">
        <f>Games[[#This Row],[K]]*Games[[#This Row],[POMult]]</f>
        <v>75.099999999999994</v>
      </c>
      <c r="AA62" s="4">
        <f>(Games[[#This Row],[Keff]]*Games[[#This Row],[MOVMult]])*(Games[[#This Row],[Result]]-Games[[#This Row],[ExpectedWin%]])</f>
        <v>13.011550794038264</v>
      </c>
      <c r="AB62" s="4">
        <f>Games[[#This Row],[PreGmRate]]+Games[[#This Row],[RatingChange]]</f>
        <v>1528.8495290454239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44701</v>
      </c>
      <c r="B63" s="2">
        <v>2022</v>
      </c>
      <c r="C63" s="2">
        <f>COUNTIFS(Games[Team],Games[[#This Row],[Team]],Games[Season],Games[[#This Row],[Season]],Games[Date],"&lt;=" &amp; Games[[#This Row],[Date]])</f>
        <v>6</v>
      </c>
      <c r="D63" s="2" t="s">
        <v>79</v>
      </c>
      <c r="E63" s="2" t="s">
        <v>80</v>
      </c>
      <c r="F63" s="1" t="s">
        <v>77</v>
      </c>
      <c r="G63" s="1" t="s">
        <v>65</v>
      </c>
      <c r="H63" s="1" t="s">
        <v>82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3" s="2">
        <f>Games[[#This Row],[DaysOff]]-Games[[#This Row],[OppDaysOff]]</f>
        <v>0</v>
      </c>
      <c r="L63" s="2">
        <f>Games[[#This Row],[OppDaysOff]]-Games[[#This Row],[DaysOff]]</f>
        <v>0</v>
      </c>
      <c r="M63" s="1">
        <f>MAX(-16, MIN(16, Games[[#This Row],[RestDiff]]*8))</f>
        <v>0</v>
      </c>
      <c r="N63" s="1">
        <f>MAX(-16, MIN(16, Games[[#This Row],[OppRestDiff]]*8))</f>
        <v>0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1463.273528550988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1515.8379782513857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0.54511634693088196</v>
      </c>
      <c r="R63" s="1">
        <v>73</v>
      </c>
      <c r="S63" s="1">
        <v>78</v>
      </c>
      <c r="T63" s="1">
        <v>0</v>
      </c>
      <c r="U63" s="1">
        <f>Games[[#This Row],[PointsFor]]-Games[[#This Row],[PointsAgainst]]</f>
        <v>-5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0.31783368165104875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75.099999999999994</v>
      </c>
      <c r="Z63" s="4">
        <f>Games[[#This Row],[K]]*Games[[#This Row],[POMult]]</f>
        <v>75.099999999999994</v>
      </c>
      <c r="AA63" s="4">
        <f>(Games[[#This Row],[Keff]]*Games[[#This Row],[MOVMult]])*(Games[[#This Row],[Result]]-Games[[#This Row],[ExpectedWin%]])</f>
        <v>-13.011550794038264</v>
      </c>
      <c r="AB63" s="4">
        <f>Games[[#This Row],[PreGmRate]]+Games[[#This Row],[RatingChange]]</f>
        <v>1450.2619777569498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44701</v>
      </c>
      <c r="B64" s="2">
        <v>2022</v>
      </c>
      <c r="C64" s="2">
        <f>COUNTIFS(Games[Team],Games[[#This Row],[Team]],Games[Season],Games[[#This Row],[Season]],Games[Date],"&lt;=" &amp; Games[[#This Row],[Date]])</f>
        <v>7</v>
      </c>
      <c r="D64" s="2" t="s">
        <v>79</v>
      </c>
      <c r="E64" s="2" t="s">
        <v>80</v>
      </c>
      <c r="F64" s="1" t="s">
        <v>69</v>
      </c>
      <c r="G64" s="1" t="s">
        <v>74</v>
      </c>
      <c r="H64" s="1" t="s">
        <v>81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4" s="2">
        <f>Games[[#This Row],[DaysOff]]-Games[[#This Row],[OppDaysOff]]</f>
        <v>0</v>
      </c>
      <c r="L64" s="2">
        <f>Games[[#This Row],[OppDaysOff]]-Games[[#This Row],[DaysOff]]</f>
        <v>0</v>
      </c>
      <c r="M64" s="1">
        <f>MAX(-16, MIN(16, Games[[#This Row],[RestDiff]]*8))</f>
        <v>0</v>
      </c>
      <c r="N64" s="1">
        <f>MAX(-16, MIN(16, Games[[#This Row],[OppRestDiff]]*8))</f>
        <v>0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1366.9952365102197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1601.1360874717416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0.13807562979052843</v>
      </c>
      <c r="R64" s="1">
        <v>85</v>
      </c>
      <c r="S64" s="1">
        <v>94</v>
      </c>
      <c r="T64" s="1">
        <v>0</v>
      </c>
      <c r="U64" s="1">
        <f>Games[[#This Row],[PointsFor]]-Games[[#This Row],[PointsAgainst]]</f>
        <v>-9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0.33969176197029066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74.95</v>
      </c>
      <c r="Z64" s="4">
        <f>Games[[#This Row],[K]]*Games[[#This Row],[POMult]]</f>
        <v>74.95</v>
      </c>
      <c r="AA64" s="4">
        <f>(Games[[#This Row],[Keff]]*Games[[#This Row],[MOVMult]])*(Games[[#This Row],[Result]]-Games[[#This Row],[ExpectedWin%]])</f>
        <v>-3.5153913899542268</v>
      </c>
      <c r="AB64" s="4">
        <f>Games[[#This Row],[PreGmRate]]+Games[[#This Row],[RatingChange]]</f>
        <v>1363.4798451202655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44701</v>
      </c>
      <c r="B65" s="2">
        <v>2022</v>
      </c>
      <c r="C65" s="2">
        <f>COUNTIFS(Games[Team],Games[[#This Row],[Team]],Games[Season],Games[[#This Row],[Season]],Games[Date],"&lt;=" &amp; Games[[#This Row],[Date]])</f>
        <v>4</v>
      </c>
      <c r="D65" s="2" t="s">
        <v>79</v>
      </c>
      <c r="E65" s="2" t="s">
        <v>80</v>
      </c>
      <c r="F65" s="1" t="s">
        <v>74</v>
      </c>
      <c r="G65" s="1" t="s">
        <v>69</v>
      </c>
      <c r="H65" s="1" t="s">
        <v>82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5" s="2">
        <f>Games[[#This Row],[DaysOff]]-Games[[#This Row],[OppDaysOff]]</f>
        <v>0</v>
      </c>
      <c r="L65" s="2">
        <f>Games[[#This Row],[OppDaysOff]]-Games[[#This Row],[DaysOff]]</f>
        <v>0</v>
      </c>
      <c r="M65" s="1">
        <f>MAX(-16, MIN(16, Games[[#This Row],[RestDiff]]*8))</f>
        <v>0</v>
      </c>
      <c r="N65" s="1">
        <f>MAX(-16, MIN(16, Games[[#This Row],[OppRestDiff]]*8))</f>
        <v>0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1601.1360874717416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1366.9952365102197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0.86192437020947155</v>
      </c>
      <c r="R65" s="1">
        <v>94</v>
      </c>
      <c r="S65" s="1">
        <v>85</v>
      </c>
      <c r="T65" s="1">
        <v>0</v>
      </c>
      <c r="U65" s="1">
        <f>Games[[#This Row],[PointsFor]]-Games[[#This Row],[PointsAgainst]]</f>
        <v>9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0.33969176197029066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75.400000000000006</v>
      </c>
      <c r="Z65" s="4">
        <f>Games[[#This Row],[K]]*Games[[#This Row],[POMult]]</f>
        <v>75.400000000000006</v>
      </c>
      <c r="AA65" s="4">
        <f>(Games[[#This Row],[Keff]]*Games[[#This Row],[MOVMult]])*(Games[[#This Row],[Result]]-Games[[#This Row],[ExpectedWin%]])</f>
        <v>3.5364978092401436</v>
      </c>
      <c r="AB65" s="4">
        <f>Games[[#This Row],[PreGmRate]]+Games[[#This Row],[RatingChange]]</f>
        <v>1604.6725852809818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44701</v>
      </c>
      <c r="B66" s="2">
        <v>2022</v>
      </c>
      <c r="C66" s="2">
        <f>COUNTIFS(Games[Team],Games[[#This Row],[Team]],Games[Season],Games[[#This Row],[Season]],Games[Date],"&lt;=" &amp; Games[[#This Row],[Date]])</f>
        <v>6</v>
      </c>
      <c r="D66" s="2" t="s">
        <v>79</v>
      </c>
      <c r="E66" s="2" t="s">
        <v>80</v>
      </c>
      <c r="F66" s="1" t="s">
        <v>63</v>
      </c>
      <c r="G66" s="1" t="s">
        <v>71</v>
      </c>
      <c r="H66" s="1" t="s">
        <v>81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1</v>
      </c>
      <c r="L66" s="2">
        <f>Games[[#This Row],[OppDaysOff]]-Games[[#This Row],[DaysOff]]</f>
        <v>-1</v>
      </c>
      <c r="M66" s="1">
        <f>MAX(-16, MIN(16, Games[[#This Row],[RestDiff]]*8))</f>
        <v>8</v>
      </c>
      <c r="N66" s="1">
        <f>MAX(-16, MIN(16, Games[[#This Row],[OppRestDiff]]*8))</f>
        <v>-8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1466.312826104559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1526.0910385515456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0.32397788822836976</v>
      </c>
      <c r="R66" s="1">
        <v>80</v>
      </c>
      <c r="S66" s="1">
        <v>83</v>
      </c>
      <c r="T66" s="1">
        <v>0</v>
      </c>
      <c r="U66" s="1">
        <f>Games[[#This Row],[PointsFor]]-Games[[#This Row],[PointsAgainst]]</f>
        <v>-3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0.27641391308242147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-6.7253548873874669</v>
      </c>
      <c r="AB66" s="4">
        <f>Games[[#This Row],[PreGmRate]]+Games[[#This Row],[RatingChange]]</f>
        <v>1459.5874712171715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44701</v>
      </c>
      <c r="B67" s="2">
        <v>2022</v>
      </c>
      <c r="C67" s="2">
        <f>COUNTIFS(Games[Team],Games[[#This Row],[Team]],Games[Season],Games[[#This Row],[Season]],Games[Date],"&lt;=" &amp; Games[[#This Row],[Date]])</f>
        <v>6</v>
      </c>
      <c r="D67" s="2" t="s">
        <v>79</v>
      </c>
      <c r="E67" s="2" t="s">
        <v>80</v>
      </c>
      <c r="F67" s="1" t="s">
        <v>71</v>
      </c>
      <c r="G67" s="1" t="s">
        <v>63</v>
      </c>
      <c r="H67" s="1" t="s">
        <v>82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7" s="2">
        <f>Games[[#This Row],[DaysOff]]-Games[[#This Row],[OppDaysOff]]</f>
        <v>-1</v>
      </c>
      <c r="L67" s="2">
        <f>Games[[#This Row],[OppDaysOff]]-Games[[#This Row],[DaysOff]]</f>
        <v>1</v>
      </c>
      <c r="M67" s="1">
        <f>MAX(-16, MIN(16, Games[[#This Row],[RestDiff]]*8))</f>
        <v>-8</v>
      </c>
      <c r="N67" s="1">
        <f>MAX(-16, MIN(16, Games[[#This Row],[OppRestDiff]]*8))</f>
        <v>8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1526.0910385515456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1466.312826104559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0.67602211177163019</v>
      </c>
      <c r="R67" s="1">
        <v>83</v>
      </c>
      <c r="S67" s="1">
        <v>80</v>
      </c>
      <c r="T67" s="1">
        <v>0</v>
      </c>
      <c r="U67" s="1">
        <f>Games[[#This Row],[PointsFor]]-Games[[#This Row],[PointsAgainst]]</f>
        <v>3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0.27641391308242147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75.099999999999994</v>
      </c>
      <c r="Z67" s="4">
        <f>Games[[#This Row],[K]]*Games[[#This Row],[POMult]]</f>
        <v>75.099999999999994</v>
      </c>
      <c r="AA67" s="4">
        <f>(Games[[#This Row],[Keff]]*Games[[#This Row],[MOVMult]])*(Games[[#This Row],[Result]]-Games[[#This Row],[ExpectedWin%]])</f>
        <v>6.7253548873874687</v>
      </c>
      <c r="AB67" s="4">
        <f>Games[[#This Row],[PreGmRate]]+Games[[#This Row],[RatingChange]]</f>
        <v>1532.8163934389331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44702</v>
      </c>
      <c r="B68" s="2">
        <v>2022</v>
      </c>
      <c r="C68" s="2">
        <f>COUNTIFS(Games[Team],Games[[#This Row],[Team]],Games[Season],Games[[#This Row],[Season]],Games[Date],"&lt;=" &amp; Games[[#This Row],[Date]])</f>
        <v>7</v>
      </c>
      <c r="D68" s="2" t="s">
        <v>79</v>
      </c>
      <c r="E68" s="2" t="s">
        <v>80</v>
      </c>
      <c r="F68" s="1" t="s">
        <v>67</v>
      </c>
      <c r="G68" s="1" t="s">
        <v>85</v>
      </c>
      <c r="H68" s="1" t="s">
        <v>81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1491.0873038247507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1487.2899944769399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0.38658645584032331</v>
      </c>
      <c r="R68" s="1">
        <v>78</v>
      </c>
      <c r="S68" s="1">
        <v>94</v>
      </c>
      <c r="T68" s="1">
        <v>0</v>
      </c>
      <c r="U68" s="1">
        <f>Games[[#This Row],[PointsFor]]-Games[[#This Row],[PointsAgainst]]</f>
        <v>-16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0.51615270603379526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74.95</v>
      </c>
      <c r="Z68" s="4">
        <f>Games[[#This Row],[K]]*Games[[#This Row],[POMult]]</f>
        <v>74.95</v>
      </c>
      <c r="AA68" s="4">
        <f>(Games[[#This Row],[Keff]]*Games[[#This Row],[MOVMult]])*(Games[[#This Row],[Result]]-Games[[#This Row],[ExpectedWin%]])</f>
        <v>-14.955346515084887</v>
      </c>
      <c r="AB68" s="4">
        <f>Games[[#This Row],[PreGmRate]]+Games[[#This Row],[RatingChange]]</f>
        <v>1476.1319573096659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44702</v>
      </c>
      <c r="B69" s="2">
        <v>2022</v>
      </c>
      <c r="C69" s="2">
        <f>COUNTIFS(Games[Team],Games[[#This Row],[Team]],Games[Season],Games[[#This Row],[Season]],Games[Date],"&lt;=" &amp; Games[[#This Row],[Date]])</f>
        <v>6</v>
      </c>
      <c r="D69" s="2" t="s">
        <v>79</v>
      </c>
      <c r="E69" s="2" t="s">
        <v>80</v>
      </c>
      <c r="F69" s="1" t="s">
        <v>85</v>
      </c>
      <c r="G69" s="1" t="s">
        <v>67</v>
      </c>
      <c r="H69" s="1" t="s">
        <v>82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1487.2899944769399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1491.0873038247507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0.61341354415967664</v>
      </c>
      <c r="R69" s="1">
        <v>94</v>
      </c>
      <c r="S69" s="1">
        <v>78</v>
      </c>
      <c r="T69" s="1">
        <v>0</v>
      </c>
      <c r="U69" s="1">
        <f>Games[[#This Row],[PointsFor]]-Games[[#This Row],[PointsAgainst]]</f>
        <v>16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0.51615270603379526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75.099999999999994</v>
      </c>
      <c r="Z69" s="4">
        <f>Games[[#This Row],[K]]*Games[[#This Row],[POMult]]</f>
        <v>75.099999999999994</v>
      </c>
      <c r="AA69" s="4">
        <f>(Games[[#This Row],[Keff]]*Games[[#This Row],[MOVMult]])*(Games[[#This Row],[Result]]-Games[[#This Row],[ExpectedWin%]])</f>
        <v>14.985277161879589</v>
      </c>
      <c r="AB69" s="4">
        <f>Games[[#This Row],[PreGmRate]]+Games[[#This Row],[RatingChange]]</f>
        <v>1502.2752716388195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44702</v>
      </c>
      <c r="B70" s="2">
        <v>2022</v>
      </c>
      <c r="C70" s="2">
        <f>COUNTIFS(Games[Team],Games[[#This Row],[Team]],Games[Season],Games[[#This Row],[Season]],Games[Date],"&lt;=" &amp; Games[[#This Row],[Date]])</f>
        <v>6</v>
      </c>
      <c r="D70" s="2" t="s">
        <v>79</v>
      </c>
      <c r="E70" s="2" t="s">
        <v>80</v>
      </c>
      <c r="F70" s="1" t="s">
        <v>40</v>
      </c>
      <c r="G70" s="1" t="s">
        <v>86</v>
      </c>
      <c r="H70" s="1" t="s">
        <v>81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1515.0893979310524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1619.6775522487046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0.25244760350976653</v>
      </c>
      <c r="R70" s="1">
        <v>80</v>
      </c>
      <c r="S70" s="1">
        <v>100</v>
      </c>
      <c r="T70" s="1">
        <v>0</v>
      </c>
      <c r="U70" s="1">
        <f>Games[[#This Row],[PointsFor]]-Games[[#This Row],[PointsAgainst]]</f>
        <v>-20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0.52879893815334544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75.099999999999994</v>
      </c>
      <c r="Z70" s="4">
        <f>Games[[#This Row],[K]]*Games[[#This Row],[POMult]]</f>
        <v>75.099999999999994</v>
      </c>
      <c r="AA70" s="4">
        <f>(Games[[#This Row],[Keff]]*Games[[#This Row],[MOVMult]])*(Games[[#This Row],[Result]]-Games[[#This Row],[ExpectedWin%]])</f>
        <v>-10.025401253116629</v>
      </c>
      <c r="AB70" s="4">
        <f>Games[[#This Row],[PreGmRate]]+Games[[#This Row],[RatingChange]]</f>
        <v>1505.0639966779358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44702</v>
      </c>
      <c r="B71" s="2">
        <v>2022</v>
      </c>
      <c r="C71" s="2">
        <f>COUNTIFS(Games[Team],Games[[#This Row],[Team]],Games[Season],Games[[#This Row],[Season]],Games[Date],"&lt;=" &amp; Games[[#This Row],[Date]])</f>
        <v>7</v>
      </c>
      <c r="D71" s="2" t="s">
        <v>79</v>
      </c>
      <c r="E71" s="2" t="s">
        <v>80</v>
      </c>
      <c r="F71" s="1" t="s">
        <v>86</v>
      </c>
      <c r="G71" s="1" t="s">
        <v>40</v>
      </c>
      <c r="H71" s="1" t="s">
        <v>82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1619.6775522487046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1515.0893979310524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0.74755239649023353</v>
      </c>
      <c r="R71" s="1">
        <v>100</v>
      </c>
      <c r="S71" s="1">
        <v>80</v>
      </c>
      <c r="T71" s="1">
        <v>0</v>
      </c>
      <c r="U71" s="1">
        <f>Games[[#This Row],[PointsFor]]-Games[[#This Row],[PointsAgainst]]</f>
        <v>20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0.52879893815334544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74.95</v>
      </c>
      <c r="Z71" s="4">
        <f>Games[[#This Row],[K]]*Games[[#This Row],[POMult]]</f>
        <v>74.95</v>
      </c>
      <c r="AA71" s="4">
        <f>(Games[[#This Row],[Keff]]*Games[[#This Row],[MOVMult]])*(Games[[#This Row],[Result]]-Games[[#This Row],[ExpectedWin%]])</f>
        <v>10.005377149415331</v>
      </c>
      <c r="AB71" s="4">
        <f>Games[[#This Row],[PreGmRate]]+Games[[#This Row],[RatingChange]]</f>
        <v>1629.68292939812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44703</v>
      </c>
      <c r="B72" s="2">
        <v>2022</v>
      </c>
      <c r="C72" s="2">
        <f>COUNTIFS(Games[Team],Games[[#This Row],[Team]],Games[Season],Games[[#This Row],[Season]],Games[Date],"&lt;=" &amp; Games[[#This Row],[Date]])</f>
        <v>5</v>
      </c>
      <c r="D72" s="2" t="s">
        <v>79</v>
      </c>
      <c r="E72" s="2" t="s">
        <v>80</v>
      </c>
      <c r="F72" s="1" t="s">
        <v>74</v>
      </c>
      <c r="G72" s="1" t="s">
        <v>69</v>
      </c>
      <c r="H72" s="1" t="s">
        <v>81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0</v>
      </c>
      <c r="L72" s="2">
        <f>Games[[#This Row],[OppDaysOff]]-Games[[#This Row],[DaysOff]]</f>
        <v>0</v>
      </c>
      <c r="M72" s="1">
        <f>MAX(-16, MIN(16, Games[[#This Row],[RestDiff]]*8))</f>
        <v>0</v>
      </c>
      <c r="N72" s="1">
        <f>MAX(-16, MIN(16, Games[[#This Row],[OppRestDiff]]*8))</f>
        <v>0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1604.6725852809818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1363.4798451202655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0.71195011125513952</v>
      </c>
      <c r="R72" s="1">
        <v>92</v>
      </c>
      <c r="S72" s="1">
        <v>70</v>
      </c>
      <c r="T72" s="1">
        <v>0</v>
      </c>
      <c r="U72" s="1">
        <f>Games[[#This Row],[PointsFor]]-Games[[#This Row],[PointsAgainst]]</f>
        <v>22</v>
      </c>
      <c r="V72" s="1">
        <f>IF(Games[[#This Row],[MOV]]&gt;0,1,IF(Games[[#This Row],[MOV]]=0,0.5,0))</f>
        <v>1</v>
      </c>
      <c r="W72" s="4">
        <f>((ABS(Games[[#This Row],[MOV]])+5)^0.6)/(12+0.01*(ABS(Games[[#This Row],[PreGmRate]]-Games[[#This Row],[OppPreGmRate]])))*IF(Games[[#This Row],[OT]]=1,0.9,1)</f>
        <v>0.50129825487716573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75.25</v>
      </c>
      <c r="Z72" s="4">
        <f>Games[[#This Row],[K]]*Games[[#This Row],[POMult]]</f>
        <v>75.25</v>
      </c>
      <c r="AA72" s="4">
        <f>(Games[[#This Row],[Keff]]*Games[[#This Row],[MOVMult]])*(Games[[#This Row],[Result]]-Games[[#This Row],[ExpectedWin%]])</f>
        <v>10.866017717538362</v>
      </c>
      <c r="AB72" s="4">
        <f>Games[[#This Row],[PreGmRate]]+Games[[#This Row],[RatingChange]]</f>
        <v>1615.5386029985202</v>
      </c>
      <c r="AC72" s="2">
        <f>IF(Games[[#This Row],[Type]]="R",IF(Games[[#This Row],[Result]]&gt;0.5,1,0),0)</f>
        <v>1</v>
      </c>
      <c r="AD72" s="2">
        <f>IF(Games[[#This Row],[Type]]="R",IF(Games[[#This Row],[Result]]&lt;0.5,1,0),0)</f>
        <v>0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44703</v>
      </c>
      <c r="B73" s="2">
        <v>2022</v>
      </c>
      <c r="C73" s="2">
        <f>COUNTIFS(Games[Team],Games[[#This Row],[Team]],Games[Season],Games[[#This Row],[Season]],Games[Date],"&lt;=" &amp; Games[[#This Row],[Date]])</f>
        <v>8</v>
      </c>
      <c r="D73" s="2" t="s">
        <v>79</v>
      </c>
      <c r="E73" s="2" t="s">
        <v>80</v>
      </c>
      <c r="F73" s="1" t="s">
        <v>69</v>
      </c>
      <c r="G73" s="1" t="s">
        <v>74</v>
      </c>
      <c r="H73" s="1" t="s">
        <v>82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3" s="2">
        <f>Games[[#This Row],[DaysOff]]-Games[[#This Row],[OppDaysOff]]</f>
        <v>0</v>
      </c>
      <c r="L73" s="2">
        <f>Games[[#This Row],[OppDaysOff]]-Games[[#This Row],[DaysOff]]</f>
        <v>0</v>
      </c>
      <c r="M73" s="1">
        <f>MAX(-16, MIN(16, Games[[#This Row],[RestDiff]]*8))</f>
        <v>0</v>
      </c>
      <c r="N73" s="1">
        <f>MAX(-16, MIN(16, Games[[#This Row],[OppRestDiff]]*8))</f>
        <v>0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1363.4798451202655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1604.6725852809818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0.28804988874486037</v>
      </c>
      <c r="R73" s="1">
        <v>70</v>
      </c>
      <c r="S73" s="1">
        <v>92</v>
      </c>
      <c r="T73" s="1">
        <v>0</v>
      </c>
      <c r="U73" s="1">
        <f>Games[[#This Row],[PointsFor]]-Games[[#This Row],[PointsAgainst]]</f>
        <v>-22</v>
      </c>
      <c r="V73" s="1">
        <f>IF(Games[[#This Row],[MOV]]&gt;0,1,IF(Games[[#This Row],[MOV]]=0,0.5,0))</f>
        <v>0</v>
      </c>
      <c r="W73" s="4">
        <f>((ABS(Games[[#This Row],[MOV]])+5)^0.6)/(12+0.01*(ABS(Games[[#This Row],[PreGmRate]]-Games[[#This Row],[OppPreGmRate]])))*IF(Games[[#This Row],[OT]]=1,0.9,1)</f>
        <v>0.50129825487716573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74.8</v>
      </c>
      <c r="Z73" s="4">
        <f>Games[[#This Row],[K]]*Games[[#This Row],[POMult]]</f>
        <v>74.8</v>
      </c>
      <c r="AA73" s="4">
        <f>(Games[[#This Row],[Keff]]*Games[[#This Row],[MOVMult]])*(Games[[#This Row],[Result]]-Games[[#This Row],[ExpectedWin%]])</f>
        <v>-10.801038209592946</v>
      </c>
      <c r="AB73" s="4">
        <f>Games[[#This Row],[PreGmRate]]+Games[[#This Row],[RatingChange]]</f>
        <v>1352.6788069106726</v>
      </c>
      <c r="AC73" s="2">
        <f>IF(Games[[#This Row],[Type]]="R",IF(Games[[#This Row],[Result]]&gt;0.5,1,0),0)</f>
        <v>0</v>
      </c>
      <c r="AD73" s="2">
        <f>IF(Games[[#This Row],[Type]]="R",IF(Games[[#This Row],[Result]]&lt;0.5,1,0),0)</f>
        <v>1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44703</v>
      </c>
      <c r="B74" s="2">
        <v>2022</v>
      </c>
      <c r="C74" s="2">
        <f>COUNTIFS(Games[Team],Games[[#This Row],[Team]],Games[Season],Games[[#This Row],[Season]],Games[Date],"&lt;=" &amp; Games[[#This Row],[Date]])</f>
        <v>5</v>
      </c>
      <c r="D74" s="2" t="s">
        <v>79</v>
      </c>
      <c r="E74" s="2" t="s">
        <v>80</v>
      </c>
      <c r="F74" s="1" t="s">
        <v>75</v>
      </c>
      <c r="G74" s="1" t="s">
        <v>65</v>
      </c>
      <c r="H74" s="1" t="s">
        <v>81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3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4" s="2">
        <f>Games[[#This Row],[DaysOff]]-Games[[#This Row],[OppDaysOff]]</f>
        <v>2</v>
      </c>
      <c r="L74" s="2">
        <f>Games[[#This Row],[OppDaysOff]]-Games[[#This Row],[DaysOff]]</f>
        <v>-2</v>
      </c>
      <c r="M74" s="1">
        <f>MAX(-16, MIN(16, Games[[#This Row],[RestDiff]]*8))</f>
        <v>16</v>
      </c>
      <c r="N74" s="1">
        <f>MAX(-16, MIN(16, Games[[#This Row],[OppRestDiff]]*8))</f>
        <v>-16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1564.1204240399709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1528.8495290454239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0.47594347099650541</v>
      </c>
      <c r="R74" s="1">
        <v>82</v>
      </c>
      <c r="S74" s="1">
        <v>73</v>
      </c>
      <c r="T74" s="1">
        <v>0</v>
      </c>
      <c r="U74" s="1">
        <f>Games[[#This Row],[PointsFor]]-Games[[#This Row],[PointsAgainst]]</f>
        <v>9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0.39437975471675141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75.25</v>
      </c>
      <c r="Z74" s="4">
        <f>Games[[#This Row],[K]]*Games[[#This Row],[POMult]]</f>
        <v>75.25</v>
      </c>
      <c r="AA74" s="4">
        <f>(Games[[#This Row],[Keff]]*Games[[#This Row],[MOVMult]])*(Games[[#This Row],[Result]]-Games[[#This Row],[ExpectedWin%]])</f>
        <v>15.552465723799802</v>
      </c>
      <c r="AB74" s="4">
        <f>Games[[#This Row],[PreGmRate]]+Games[[#This Row],[RatingChange]]</f>
        <v>1579.6728897637706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44703</v>
      </c>
      <c r="B75" s="2">
        <v>2022</v>
      </c>
      <c r="C75" s="2">
        <f>COUNTIFS(Games[Team],Games[[#This Row],[Team]],Games[Season],Games[[#This Row],[Season]],Games[Date],"&lt;=" &amp; Games[[#This Row],[Date]])</f>
        <v>7</v>
      </c>
      <c r="D75" s="2" t="s">
        <v>79</v>
      </c>
      <c r="E75" s="2" t="s">
        <v>80</v>
      </c>
      <c r="F75" s="1" t="s">
        <v>65</v>
      </c>
      <c r="G75" s="1" t="s">
        <v>75</v>
      </c>
      <c r="H75" s="1" t="s">
        <v>82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5" s="2">
        <f>Games[[#This Row],[DaysOff]]-Games[[#This Row],[OppDaysOff]]</f>
        <v>-2</v>
      </c>
      <c r="L75" s="2">
        <f>Games[[#This Row],[OppDaysOff]]-Games[[#This Row],[DaysOff]]</f>
        <v>2</v>
      </c>
      <c r="M75" s="1">
        <f>MAX(-16, MIN(16, Games[[#This Row],[RestDiff]]*8))</f>
        <v>-16</v>
      </c>
      <c r="N75" s="1">
        <f>MAX(-16, MIN(16, Games[[#This Row],[OppRestDiff]]*8))</f>
        <v>16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1528.8495290454239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1564.1204240399709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0.52405652900349464</v>
      </c>
      <c r="R75" s="1">
        <v>73</v>
      </c>
      <c r="S75" s="1">
        <v>82</v>
      </c>
      <c r="T75" s="1">
        <v>0</v>
      </c>
      <c r="U75" s="1">
        <f>Games[[#This Row],[PointsFor]]-Games[[#This Row],[PointsAgainst]]</f>
        <v>-9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0.39437975471675141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74.95</v>
      </c>
      <c r="Z75" s="4">
        <f>Games[[#This Row],[K]]*Games[[#This Row],[POMult]]</f>
        <v>74.95</v>
      </c>
      <c r="AA75" s="4">
        <f>(Games[[#This Row],[Keff]]*Games[[#This Row],[MOVMult]])*(Games[[#This Row],[Result]]-Games[[#This Row],[ExpectedWin%]])</f>
        <v>-15.49046253818997</v>
      </c>
      <c r="AB75" s="4">
        <f>Games[[#This Row],[PreGmRate]]+Games[[#This Row],[RatingChange]]</f>
        <v>1513.3590665072338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44704</v>
      </c>
      <c r="B76" s="2">
        <v>2022</v>
      </c>
      <c r="C76" s="2">
        <f>COUNTIFS(Games[Team],Games[[#This Row],[Team]],Games[Season],Games[[#This Row],[Season]],Games[Date],"&lt;=" &amp; Games[[#This Row],[Date]])</f>
        <v>7</v>
      </c>
      <c r="D76" s="2" t="s">
        <v>79</v>
      </c>
      <c r="E76" s="2" t="s">
        <v>80</v>
      </c>
      <c r="F76" s="1" t="s">
        <v>63</v>
      </c>
      <c r="G76" s="1" t="s">
        <v>86</v>
      </c>
      <c r="H76" s="1" t="s">
        <v>81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6" s="2">
        <f>Games[[#This Row],[DaysOff]]-Games[[#This Row],[OppDaysOff]]</f>
        <v>1</v>
      </c>
      <c r="L76" s="2">
        <f>Games[[#This Row],[OppDaysOff]]-Games[[#This Row],[DaysOff]]</f>
        <v>-1</v>
      </c>
      <c r="M76" s="1">
        <f>MAX(-16, MIN(16, Games[[#This Row],[RestDiff]]*8))</f>
        <v>8</v>
      </c>
      <c r="N76" s="1">
        <f>MAX(-16, MIN(16, Games[[#This Row],[OppRestDiff]]*8))</f>
        <v>-8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1459.5874712171715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1629.68292939812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0.20252492226528138</v>
      </c>
      <c r="R76" s="1">
        <v>76</v>
      </c>
      <c r="S76" s="1">
        <v>104</v>
      </c>
      <c r="T76" s="1">
        <v>0</v>
      </c>
      <c r="U76" s="1">
        <f>Games[[#This Row],[PointsFor]]-Games[[#This Row],[PointsAgainst]]</f>
        <v>-28</v>
      </c>
      <c r="V76" s="1">
        <f>IF(Games[[#This Row],[MOV]]&gt;0,1,IF(Games[[#This Row],[MOV]]=0,0.5,0))</f>
        <v>0</v>
      </c>
      <c r="W76" s="4">
        <f>((ABS(Games[[#This Row],[MOV]])+5)^0.6)/(12+0.01*(ABS(Games[[#This Row],[PreGmRate]]-Games[[#This Row],[OppPreGmRate]])))*IF(Games[[#This Row],[OT]]=1,0.9,1)</f>
        <v>0.5947816170175626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74.95</v>
      </c>
      <c r="Z76" s="4">
        <f>Games[[#This Row],[K]]*Games[[#This Row],[POMult]]</f>
        <v>74.95</v>
      </c>
      <c r="AA76" s="4">
        <f>(Games[[#This Row],[Keff]]*Games[[#This Row],[MOVMult]])*(Games[[#This Row],[Result]]-Games[[#This Row],[ExpectedWin%]])</f>
        <v>-9.0283346513099527</v>
      </c>
      <c r="AB76" s="4">
        <f>Games[[#This Row],[PreGmRate]]+Games[[#This Row],[RatingChange]]</f>
        <v>1450.5591365658615</v>
      </c>
      <c r="AC76" s="2">
        <f>IF(Games[[#This Row],[Type]]="R",IF(Games[[#This Row],[Result]]&gt;0.5,1,0),0)</f>
        <v>0</v>
      </c>
      <c r="AD76" s="2">
        <f>IF(Games[[#This Row],[Type]]="R",IF(Games[[#This Row],[Result]]&lt;0.5,1,0),0)</f>
        <v>1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44704</v>
      </c>
      <c r="B77" s="2">
        <v>2022</v>
      </c>
      <c r="C77" s="2">
        <f>COUNTIFS(Games[Team],Games[[#This Row],[Team]],Games[Season],Games[[#This Row],[Season]],Games[Date],"&lt;=" &amp; Games[[#This Row],[Date]])</f>
        <v>8</v>
      </c>
      <c r="D77" s="2" t="s">
        <v>79</v>
      </c>
      <c r="E77" s="2" t="s">
        <v>80</v>
      </c>
      <c r="F77" s="1" t="s">
        <v>86</v>
      </c>
      <c r="G77" s="1" t="s">
        <v>63</v>
      </c>
      <c r="H77" s="1" t="s">
        <v>82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7" s="2">
        <f>Games[[#This Row],[DaysOff]]-Games[[#This Row],[OppDaysOff]]</f>
        <v>-1</v>
      </c>
      <c r="L77" s="2">
        <f>Games[[#This Row],[OppDaysOff]]-Games[[#This Row],[DaysOff]]</f>
        <v>1</v>
      </c>
      <c r="M77" s="1">
        <f>MAX(-16, MIN(16, Games[[#This Row],[RestDiff]]*8))</f>
        <v>-8</v>
      </c>
      <c r="N77" s="1">
        <f>MAX(-16, MIN(16, Games[[#This Row],[OppRestDiff]]*8))</f>
        <v>8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1629.68292939812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1459.5874712171715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0.79747507773471871</v>
      </c>
      <c r="R77" s="1">
        <v>104</v>
      </c>
      <c r="S77" s="1">
        <v>76</v>
      </c>
      <c r="T77" s="1">
        <v>0</v>
      </c>
      <c r="U77" s="1">
        <f>Games[[#This Row],[PointsFor]]-Games[[#This Row],[PointsAgainst]]</f>
        <v>28</v>
      </c>
      <c r="V77" s="1">
        <f>IF(Games[[#This Row],[MOV]]&gt;0,1,IF(Games[[#This Row],[MOV]]=0,0.5,0))</f>
        <v>1</v>
      </c>
      <c r="W77" s="4">
        <f>((ABS(Games[[#This Row],[MOV]])+5)^0.6)/(12+0.01*(ABS(Games[[#This Row],[PreGmRate]]-Games[[#This Row],[OppPreGmRate]])))*IF(Games[[#This Row],[OT]]=1,0.9,1)</f>
        <v>0.5947816170175626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74.8</v>
      </c>
      <c r="Z77" s="4">
        <f>Games[[#This Row],[K]]*Games[[#This Row],[POMult]]</f>
        <v>74.8</v>
      </c>
      <c r="AA77" s="4">
        <f>(Games[[#This Row],[Keff]]*Games[[#This Row],[MOVMult]])*(Games[[#This Row],[Result]]-Games[[#This Row],[ExpectedWin%]])</f>
        <v>9.0102659361972517</v>
      </c>
      <c r="AB77" s="4">
        <f>Games[[#This Row],[PreGmRate]]+Games[[#This Row],[RatingChange]]</f>
        <v>1638.6931953343174</v>
      </c>
      <c r="AC77" s="2">
        <f>IF(Games[[#This Row],[Type]]="R",IF(Games[[#This Row],[Result]]&gt;0.5,1,0),0)</f>
        <v>1</v>
      </c>
      <c r="AD77" s="2">
        <f>IF(Games[[#This Row],[Type]]="R",IF(Games[[#This Row],[Result]]&lt;0.5,1,0),0)</f>
        <v>0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44705</v>
      </c>
      <c r="B78" s="2">
        <v>2022</v>
      </c>
      <c r="C78" s="2">
        <f>COUNTIFS(Games[Team],Games[[#This Row],[Team]],Games[Season],Games[[#This Row],[Season]],Games[Date],"&lt;=" &amp; Games[[#This Row],[Date]])</f>
        <v>9</v>
      </c>
      <c r="D78" s="2" t="s">
        <v>79</v>
      </c>
      <c r="E78" s="2" t="s">
        <v>80</v>
      </c>
      <c r="F78" s="1" t="s">
        <v>69</v>
      </c>
      <c r="G78" s="1" t="s">
        <v>75</v>
      </c>
      <c r="H78" s="1" t="s">
        <v>81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0</v>
      </c>
      <c r="L78" s="2">
        <f>Games[[#This Row],[OppDaysOff]]-Games[[#This Row],[DaysOff]]</f>
        <v>0</v>
      </c>
      <c r="M78" s="1">
        <f>MAX(-16, MIN(16, Games[[#This Row],[RestDiff]]*8))</f>
        <v>0</v>
      </c>
      <c r="N78" s="1">
        <f>MAX(-16, MIN(16, Games[[#This Row],[OppRestDiff]]*8))</f>
        <v>0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1352.6788069106726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1579.6728897637706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0.14304503609201782</v>
      </c>
      <c r="R78" s="1">
        <v>90</v>
      </c>
      <c r="S78" s="1">
        <v>95</v>
      </c>
      <c r="T78" s="1">
        <v>0</v>
      </c>
      <c r="U78" s="1">
        <f>Games[[#This Row],[PointsFor]]-Games[[#This Row],[PointsAgainst]]</f>
        <v>-5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0.27898305629798498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74.650000000000006</v>
      </c>
      <c r="Z78" s="4">
        <f>Games[[#This Row],[K]]*Games[[#This Row],[POMult]]</f>
        <v>74.650000000000006</v>
      </c>
      <c r="AA78" s="4">
        <f>(Games[[#This Row],[Keff]]*Games[[#This Row],[MOVMult]])*(Games[[#This Row],[Result]]-Games[[#This Row],[ExpectedWin%]])</f>
        <v>-2.9790681023154804</v>
      </c>
      <c r="AB78" s="4">
        <f>Games[[#This Row],[PreGmRate]]+Games[[#This Row],[RatingChange]]</f>
        <v>1349.6997388083571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44705</v>
      </c>
      <c r="B79" s="2">
        <v>2022</v>
      </c>
      <c r="C79" s="2">
        <f>COUNTIFS(Games[Team],Games[[#This Row],[Team]],Games[Season],Games[[#This Row],[Season]],Games[Date],"&lt;=" &amp; Games[[#This Row],[Date]])</f>
        <v>6</v>
      </c>
      <c r="D79" s="2" t="s">
        <v>79</v>
      </c>
      <c r="E79" s="2" t="s">
        <v>80</v>
      </c>
      <c r="F79" s="1" t="s">
        <v>75</v>
      </c>
      <c r="G79" s="1" t="s">
        <v>69</v>
      </c>
      <c r="H79" s="1" t="s">
        <v>82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9" s="2">
        <f>Games[[#This Row],[DaysOff]]-Games[[#This Row],[OppDaysOff]]</f>
        <v>0</v>
      </c>
      <c r="L79" s="2">
        <f>Games[[#This Row],[OppDaysOff]]-Games[[#This Row],[DaysOff]]</f>
        <v>0</v>
      </c>
      <c r="M79" s="1">
        <f>MAX(-16, MIN(16, Games[[#This Row],[RestDiff]]*8))</f>
        <v>0</v>
      </c>
      <c r="N79" s="1">
        <f>MAX(-16, MIN(16, Games[[#This Row],[OppRestDiff]]*8))</f>
        <v>0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1579.6728897637706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1352.6788069106726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0.85695496390798209</v>
      </c>
      <c r="R79" s="1">
        <v>95</v>
      </c>
      <c r="S79" s="1">
        <v>90</v>
      </c>
      <c r="T79" s="1">
        <v>0</v>
      </c>
      <c r="U79" s="1">
        <f>Games[[#This Row],[PointsFor]]-Games[[#This Row],[PointsAgainst]]</f>
        <v>5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0.27898305629798498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75.099999999999994</v>
      </c>
      <c r="Z79" s="4">
        <f>Games[[#This Row],[K]]*Games[[#This Row],[POMult]]</f>
        <v>75.099999999999994</v>
      </c>
      <c r="AA79" s="4">
        <f>(Games[[#This Row],[Keff]]*Games[[#This Row],[MOVMult]])*(Games[[#This Row],[Result]]-Games[[#This Row],[ExpectedWin%]])</f>
        <v>2.9970263159262247</v>
      </c>
      <c r="AB79" s="4">
        <f>Games[[#This Row],[PreGmRate]]+Games[[#This Row],[RatingChange]]</f>
        <v>1582.6699160796968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44705</v>
      </c>
      <c r="B80" s="2">
        <v>2022</v>
      </c>
      <c r="C80" s="2">
        <f>COUNTIFS(Games[Team],Games[[#This Row],[Team]],Games[Season],Games[[#This Row],[Season]],Games[Date],"&lt;=" &amp; Games[[#This Row],[Date]])</f>
        <v>7</v>
      </c>
      <c r="D80" s="2" t="s">
        <v>79</v>
      </c>
      <c r="E80" s="2" t="s">
        <v>80</v>
      </c>
      <c r="F80" s="1" t="s">
        <v>85</v>
      </c>
      <c r="G80" s="1" t="s">
        <v>74</v>
      </c>
      <c r="H80" s="1" t="s">
        <v>81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1</v>
      </c>
      <c r="L80" s="2">
        <f>Games[[#This Row],[OppDaysOff]]-Games[[#This Row],[DaysOff]]</f>
        <v>-1</v>
      </c>
      <c r="M80" s="1">
        <f>MAX(-16, MIN(16, Games[[#This Row],[RestDiff]]*8))</f>
        <v>8</v>
      </c>
      <c r="N80" s="1">
        <f>MAX(-16, MIN(16, Games[[#This Row],[OppRestDiff]]*8))</f>
        <v>-8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1502.2752716388195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1615.5386029985202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0.26048763449414508</v>
      </c>
      <c r="R80" s="1">
        <v>85</v>
      </c>
      <c r="S80" s="1">
        <v>77</v>
      </c>
      <c r="T80" s="1">
        <v>0</v>
      </c>
      <c r="U80" s="1">
        <f>Games[[#This Row],[PointsFor]]-Games[[#This Row],[PointsAgainst]]</f>
        <v>8</v>
      </c>
      <c r="V80" s="1">
        <f>IF(Games[[#This Row],[MOV]]&gt;0,1,IF(Games[[#This Row],[MOV]]=0,0.5,0))</f>
        <v>1</v>
      </c>
      <c r="W80" s="4">
        <f>((ABS(Games[[#This Row],[MOV]])+5)^0.6)/(12+0.01*(ABS(Games[[#This Row],[PreGmRate]]-Games[[#This Row],[OppPreGmRate]])))*IF(Games[[#This Row],[OT]]=1,0.9,1)</f>
        <v>0.35482498511638999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19.666689933095899</v>
      </c>
      <c r="AB80" s="4">
        <f>Games[[#This Row],[PreGmRate]]+Games[[#This Row],[RatingChange]]</f>
        <v>1521.9419615719155</v>
      </c>
      <c r="AC80" s="2">
        <f>IF(Games[[#This Row],[Type]]="R",IF(Games[[#This Row],[Result]]&gt;0.5,1,0),0)</f>
        <v>1</v>
      </c>
      <c r="AD80" s="2">
        <f>IF(Games[[#This Row],[Type]]="R",IF(Games[[#This Row],[Result]]&lt;0.5,1,0),0)</f>
        <v>0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44705</v>
      </c>
      <c r="B81" s="2">
        <v>2022</v>
      </c>
      <c r="C81" s="2">
        <f>COUNTIFS(Games[Team],Games[[#This Row],[Team]],Games[Season],Games[[#This Row],[Season]],Games[Date],"&lt;=" &amp; Games[[#This Row],[Date]])</f>
        <v>6</v>
      </c>
      <c r="D81" s="2" t="s">
        <v>79</v>
      </c>
      <c r="E81" s="2" t="s">
        <v>80</v>
      </c>
      <c r="F81" s="1" t="s">
        <v>74</v>
      </c>
      <c r="G81" s="1" t="s">
        <v>85</v>
      </c>
      <c r="H81" s="1" t="s">
        <v>82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1" s="2">
        <f>Games[[#This Row],[DaysOff]]-Games[[#This Row],[OppDaysOff]]</f>
        <v>-1</v>
      </c>
      <c r="L81" s="2">
        <f>Games[[#This Row],[OppDaysOff]]-Games[[#This Row],[DaysOff]]</f>
        <v>1</v>
      </c>
      <c r="M81" s="1">
        <f>MAX(-16, MIN(16, Games[[#This Row],[RestDiff]]*8))</f>
        <v>-8</v>
      </c>
      <c r="N81" s="1">
        <f>MAX(-16, MIN(16, Games[[#This Row],[OppRestDiff]]*8))</f>
        <v>8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1615.5386029985202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1502.2752716388195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0.73951236550585486</v>
      </c>
      <c r="R81" s="1">
        <v>77</v>
      </c>
      <c r="S81" s="1">
        <v>85</v>
      </c>
      <c r="T81" s="1">
        <v>0</v>
      </c>
      <c r="U81" s="1">
        <f>Games[[#This Row],[PointsFor]]-Games[[#This Row],[PointsAgainst]]</f>
        <v>-8</v>
      </c>
      <c r="V81" s="1">
        <f>IF(Games[[#This Row],[MOV]]&gt;0,1,IF(Games[[#This Row],[MOV]]=0,0.5,0))</f>
        <v>0</v>
      </c>
      <c r="W81" s="4">
        <f>((ABS(Games[[#This Row],[MOV]])+5)^0.6)/(12+0.01*(ABS(Games[[#This Row],[PreGmRate]]-Games[[#This Row],[OppPreGmRate]])))*IF(Games[[#This Row],[OT]]=1,0.9,1)</f>
        <v>0.35482498511638999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75.099999999999994</v>
      </c>
      <c r="Z81" s="4">
        <f>Games[[#This Row],[K]]*Games[[#This Row],[POMult]]</f>
        <v>75.099999999999994</v>
      </c>
      <c r="AA81" s="4">
        <f>(Games[[#This Row],[Keff]]*Games[[#This Row],[MOVMult]])*(Games[[#This Row],[Result]]-Games[[#This Row],[ExpectedWin%]])</f>
        <v>-19.706049552708496</v>
      </c>
      <c r="AB81" s="4">
        <f>Games[[#This Row],[PreGmRate]]+Games[[#This Row],[RatingChange]]</f>
        <v>1595.8325534458118</v>
      </c>
      <c r="AC81" s="2">
        <f>IF(Games[[#This Row],[Type]]="R",IF(Games[[#This Row],[Result]]&gt;0.5,1,0),0)</f>
        <v>0</v>
      </c>
      <c r="AD81" s="2">
        <f>IF(Games[[#This Row],[Type]]="R",IF(Games[[#This Row],[Result]]&lt;0.5,1,0),0)</f>
        <v>1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44705</v>
      </c>
      <c r="B82" s="2">
        <v>2022</v>
      </c>
      <c r="C82" s="2">
        <f>COUNTIFS(Games[Team],Games[[#This Row],[Team]],Games[Season],Games[[#This Row],[Season]],Games[Date],"&lt;=" &amp; Games[[#This Row],[Date]])</f>
        <v>6</v>
      </c>
      <c r="D82" s="2" t="s">
        <v>79</v>
      </c>
      <c r="E82" s="2" t="s">
        <v>80</v>
      </c>
      <c r="F82" s="1" t="s">
        <v>60</v>
      </c>
      <c r="G82" s="1" t="s">
        <v>67</v>
      </c>
      <c r="H82" s="1" t="s">
        <v>81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6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2" s="2">
        <f>Games[[#This Row],[DaysOff]]-Games[[#This Row],[OppDaysOff]]</f>
        <v>4</v>
      </c>
      <c r="L82" s="2">
        <f>Games[[#This Row],[OppDaysOff]]-Games[[#This Row],[DaysOff]]</f>
        <v>-4</v>
      </c>
      <c r="M82" s="1">
        <f>MAX(-16, MIN(16, Games[[#This Row],[RestDiff]]*8))</f>
        <v>16</v>
      </c>
      <c r="N82" s="1">
        <f>MAX(-16, MIN(16, Games[[#This Row],[OppRestDiff]]*8))</f>
        <v>-16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1383.4193592171271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1476.1319573096659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0.3030042085062421</v>
      </c>
      <c r="R82" s="1">
        <v>78</v>
      </c>
      <c r="S82" s="1">
        <v>84</v>
      </c>
      <c r="T82" s="1">
        <v>0</v>
      </c>
      <c r="U82" s="1">
        <f>Games[[#This Row],[PointsFor]]-Games[[#This Row],[PointsAgainst]]</f>
        <v>-6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0.3260871085585369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75.099999999999994</v>
      </c>
      <c r="Z82" s="4">
        <f>Games[[#This Row],[K]]*Games[[#This Row],[POMult]]</f>
        <v>75.099999999999994</v>
      </c>
      <c r="AA82" s="4">
        <f>(Games[[#This Row],[Keff]]*Games[[#This Row],[MOVMult]])*(Games[[#This Row],[Result]]-Games[[#This Row],[ExpectedWin%]])</f>
        <v>-7.4203130440884246</v>
      </c>
      <c r="AB82" s="4">
        <f>Games[[#This Row],[PreGmRate]]+Games[[#This Row],[RatingChange]]</f>
        <v>1375.9990461730386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44705</v>
      </c>
      <c r="B83" s="2">
        <v>2022</v>
      </c>
      <c r="C83" s="2">
        <f>COUNTIFS(Games[Team],Games[[#This Row],[Team]],Games[Season],Games[[#This Row],[Season]],Games[Date],"&lt;=" &amp; Games[[#This Row],[Date]])</f>
        <v>8</v>
      </c>
      <c r="D83" s="2" t="s">
        <v>79</v>
      </c>
      <c r="E83" s="2" t="s">
        <v>80</v>
      </c>
      <c r="F83" s="1" t="s">
        <v>67</v>
      </c>
      <c r="G83" s="1" t="s">
        <v>60</v>
      </c>
      <c r="H83" s="1" t="s">
        <v>82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83" s="2">
        <f>Games[[#This Row],[DaysOff]]-Games[[#This Row],[OppDaysOff]]</f>
        <v>-4</v>
      </c>
      <c r="L83" s="2">
        <f>Games[[#This Row],[OppDaysOff]]-Games[[#This Row],[DaysOff]]</f>
        <v>4</v>
      </c>
      <c r="M83" s="1">
        <f>MAX(-16, MIN(16, Games[[#This Row],[RestDiff]]*8))</f>
        <v>-16</v>
      </c>
      <c r="N83" s="1">
        <f>MAX(-16, MIN(16, Games[[#This Row],[OppRestDiff]]*8))</f>
        <v>16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1476.1319573096659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1383.4193592171271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0.6969957914937579</v>
      </c>
      <c r="R83" s="1">
        <v>84</v>
      </c>
      <c r="S83" s="1">
        <v>78</v>
      </c>
      <c r="T83" s="1">
        <v>0</v>
      </c>
      <c r="U83" s="1">
        <f>Games[[#This Row],[PointsFor]]-Games[[#This Row],[PointsAgainst]]</f>
        <v>6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0.3260871085585369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74.8</v>
      </c>
      <c r="Z83" s="4">
        <f>Games[[#This Row],[K]]*Games[[#This Row],[POMult]]</f>
        <v>74.8</v>
      </c>
      <c r="AA83" s="4">
        <f>(Games[[#This Row],[Keff]]*Games[[#This Row],[MOVMult]])*(Games[[#This Row],[Result]]-Games[[#This Row],[ExpectedWin%]])</f>
        <v>7.3906713142185643</v>
      </c>
      <c r="AB83" s="4">
        <f>Games[[#This Row],[PreGmRate]]+Games[[#This Row],[RatingChange]]</f>
        <v>1483.5226286238844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44705</v>
      </c>
      <c r="B84" s="2">
        <v>2022</v>
      </c>
      <c r="C84" s="2">
        <f>COUNTIFS(Games[Team],Games[[#This Row],[Team]],Games[Season],Games[[#This Row],[Season]],Games[Date],"&lt;=" &amp; Games[[#This Row],[Date]])</f>
        <v>7</v>
      </c>
      <c r="D84" s="2" t="s">
        <v>79</v>
      </c>
      <c r="E84" s="2" t="s">
        <v>80</v>
      </c>
      <c r="F84" s="1" t="s">
        <v>77</v>
      </c>
      <c r="G84" s="1" t="s">
        <v>65</v>
      </c>
      <c r="H84" s="1" t="s">
        <v>81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3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4" s="2">
        <f>Games[[#This Row],[DaysOff]]-Games[[#This Row],[OppDaysOff]]</f>
        <v>2</v>
      </c>
      <c r="L84" s="2">
        <f>Games[[#This Row],[OppDaysOff]]-Games[[#This Row],[DaysOff]]</f>
        <v>-2</v>
      </c>
      <c r="M84" s="1">
        <f>MAX(-16, MIN(16, Games[[#This Row],[RestDiff]]*8))</f>
        <v>16</v>
      </c>
      <c r="N84" s="1">
        <f>MAX(-16, MIN(16, Games[[#This Row],[OppRestDiff]]*8))</f>
        <v>-16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1450.2619777569498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1513.3590665072338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0.34016655046444916</v>
      </c>
      <c r="R84" s="1">
        <v>50</v>
      </c>
      <c r="S84" s="1">
        <v>70</v>
      </c>
      <c r="T84" s="1">
        <v>0</v>
      </c>
      <c r="U84" s="1">
        <f>Games[[#This Row],[PointsFor]]-Games[[#This Row],[PointsAgainst]]</f>
        <v>-20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0.54616928253168862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74.95</v>
      </c>
      <c r="Z84" s="4">
        <f>Games[[#This Row],[K]]*Games[[#This Row],[POMult]]</f>
        <v>74.95</v>
      </c>
      <c r="AA84" s="4">
        <f>(Games[[#This Row],[Keff]]*Games[[#This Row],[MOVMult]])*(Games[[#This Row],[Result]]-Games[[#This Row],[ExpectedWin%]])</f>
        <v>-13.924849634593151</v>
      </c>
      <c r="AB84" s="4">
        <f>Games[[#This Row],[PreGmRate]]+Games[[#This Row],[RatingChange]]</f>
        <v>1436.3371281223567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44705</v>
      </c>
      <c r="B85" s="2">
        <v>2022</v>
      </c>
      <c r="C85" s="2">
        <f>COUNTIFS(Games[Team],Games[[#This Row],[Team]],Games[Season],Games[[#This Row],[Season]],Games[Date],"&lt;=" &amp; Games[[#This Row],[Date]])</f>
        <v>8</v>
      </c>
      <c r="D85" s="2" t="s">
        <v>79</v>
      </c>
      <c r="E85" s="2" t="s">
        <v>80</v>
      </c>
      <c r="F85" s="1" t="s">
        <v>65</v>
      </c>
      <c r="G85" s="1" t="s">
        <v>77</v>
      </c>
      <c r="H85" s="1" t="s">
        <v>82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5" s="2">
        <f>Games[[#This Row],[DaysOff]]-Games[[#This Row],[OppDaysOff]]</f>
        <v>-2</v>
      </c>
      <c r="L85" s="2">
        <f>Games[[#This Row],[OppDaysOff]]-Games[[#This Row],[DaysOff]]</f>
        <v>2</v>
      </c>
      <c r="M85" s="1">
        <f>MAX(-16, MIN(16, Games[[#This Row],[RestDiff]]*8))</f>
        <v>-16</v>
      </c>
      <c r="N85" s="1">
        <f>MAX(-16, MIN(16, Games[[#This Row],[OppRestDiff]]*8))</f>
        <v>16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1513.3590665072338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1450.2619777569498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0.6598334495355509</v>
      </c>
      <c r="R85" s="1">
        <v>70</v>
      </c>
      <c r="S85" s="1">
        <v>50</v>
      </c>
      <c r="T85" s="1">
        <v>0</v>
      </c>
      <c r="U85" s="1">
        <f>Games[[#This Row],[PointsFor]]-Games[[#This Row],[PointsAgainst]]</f>
        <v>20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0.54616928253168862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74.8</v>
      </c>
      <c r="Z85" s="4">
        <f>Games[[#This Row],[K]]*Games[[#This Row],[POMult]]</f>
        <v>74.8</v>
      </c>
      <c r="AA85" s="4">
        <f>(Games[[#This Row],[Keff]]*Games[[#This Row],[MOVMult]])*(Games[[#This Row],[Result]]-Games[[#This Row],[ExpectedWin%]])</f>
        <v>13.896981356471882</v>
      </c>
      <c r="AB85" s="4">
        <f>Games[[#This Row],[PreGmRate]]+Games[[#This Row],[RatingChange]]</f>
        <v>1527.2560478637056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44706</v>
      </c>
      <c r="B86" s="2">
        <v>2022</v>
      </c>
      <c r="C86" s="2">
        <f>COUNTIFS(Games[Team],Games[[#This Row],[Team]],Games[Season],Games[[#This Row],[Season]],Games[Date],"&lt;=" &amp; Games[[#This Row],[Date]])</f>
        <v>7</v>
      </c>
      <c r="D86" s="2" t="s">
        <v>79</v>
      </c>
      <c r="E86" s="2" t="s">
        <v>80</v>
      </c>
      <c r="F86" s="1" t="s">
        <v>40</v>
      </c>
      <c r="G86" s="1" t="s">
        <v>63</v>
      </c>
      <c r="H86" s="1" t="s">
        <v>81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3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6" s="2">
        <f>Games[[#This Row],[DaysOff]]-Games[[#This Row],[OppDaysOff]]</f>
        <v>2</v>
      </c>
      <c r="L86" s="2">
        <f>Games[[#This Row],[OppDaysOff]]-Games[[#This Row],[DaysOff]]</f>
        <v>-2</v>
      </c>
      <c r="M86" s="1">
        <f>MAX(-16, MIN(16, Games[[#This Row],[RestDiff]]*8))</f>
        <v>16</v>
      </c>
      <c r="N86" s="1">
        <f>MAX(-16, MIN(16, Games[[#This Row],[OppRestDiff]]*8))</f>
        <v>-16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1505.0639966779358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1450.5591365658615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0.50360472101630482</v>
      </c>
      <c r="R86" s="1">
        <v>94</v>
      </c>
      <c r="S86" s="1">
        <v>99</v>
      </c>
      <c r="T86" s="1">
        <v>0</v>
      </c>
      <c r="U86" s="1">
        <f>Games[[#This Row],[PointsFor]]-Games[[#This Row],[PointsAgainst]]</f>
        <v>-5</v>
      </c>
      <c r="V86" s="1">
        <f>IF(Games[[#This Row],[MOV]]&gt;0,1,IF(Games[[#This Row],[MOV]]=0,0.5,0))</f>
        <v>0</v>
      </c>
      <c r="W86" s="4">
        <f>((ABS(Games[[#This Row],[MOV]])+5)^0.6)/(12+0.01*(ABS(Games[[#This Row],[PreGmRate]]-Games[[#This Row],[OppPreGmRate]])))*IF(Games[[#This Row],[OT]]=1,0.9,1)</f>
        <v>0.31734207113229623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74.95</v>
      </c>
      <c r="Z86" s="4">
        <f>Games[[#This Row],[K]]*Games[[#This Row],[POMult]]</f>
        <v>74.95</v>
      </c>
      <c r="AA86" s="4">
        <f>(Games[[#This Row],[Keff]]*Games[[#This Row],[MOVMult]])*(Games[[#This Row],[Result]]-Games[[#This Row],[ExpectedWin%]])</f>
        <v>-11.978131641688766</v>
      </c>
      <c r="AB86" s="4">
        <f>Games[[#This Row],[PreGmRate]]+Games[[#This Row],[RatingChange]]</f>
        <v>1493.085865036247</v>
      </c>
      <c r="AC86" s="2">
        <f>IF(Games[[#This Row],[Type]]="R",IF(Games[[#This Row],[Result]]&gt;0.5,1,0),0)</f>
        <v>0</v>
      </c>
      <c r="AD86" s="2">
        <f>IF(Games[[#This Row],[Type]]="R",IF(Games[[#This Row],[Result]]&lt;0.5,1,0),0)</f>
        <v>1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44706</v>
      </c>
      <c r="B87" s="2">
        <v>2022</v>
      </c>
      <c r="C87" s="2">
        <f>COUNTIFS(Games[Team],Games[[#This Row],[Team]],Games[Season],Games[[#This Row],[Season]],Games[Date],"&lt;=" &amp; Games[[#This Row],[Date]])</f>
        <v>8</v>
      </c>
      <c r="D87" s="2" t="s">
        <v>79</v>
      </c>
      <c r="E87" s="2" t="s">
        <v>80</v>
      </c>
      <c r="F87" s="1" t="s">
        <v>63</v>
      </c>
      <c r="G87" s="1" t="s">
        <v>40</v>
      </c>
      <c r="H87" s="1" t="s">
        <v>82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7" s="2">
        <f>Games[[#This Row],[DaysOff]]-Games[[#This Row],[OppDaysOff]]</f>
        <v>-2</v>
      </c>
      <c r="L87" s="2">
        <f>Games[[#This Row],[OppDaysOff]]-Games[[#This Row],[DaysOff]]</f>
        <v>2</v>
      </c>
      <c r="M87" s="1">
        <f>MAX(-16, MIN(16, Games[[#This Row],[RestDiff]]*8))</f>
        <v>-16</v>
      </c>
      <c r="N87" s="1">
        <f>MAX(-16, MIN(16, Games[[#This Row],[OppRestDiff]]*8))</f>
        <v>16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1450.5591365658615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1505.0639966779358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0.49639527898369523</v>
      </c>
      <c r="R87" s="1">
        <v>99</v>
      </c>
      <c r="S87" s="1">
        <v>94</v>
      </c>
      <c r="T87" s="1">
        <v>0</v>
      </c>
      <c r="U87" s="1">
        <f>Games[[#This Row],[PointsFor]]-Games[[#This Row],[PointsAgainst]]</f>
        <v>5</v>
      </c>
      <c r="V87" s="1">
        <f>IF(Games[[#This Row],[MOV]]&gt;0,1,IF(Games[[#This Row],[MOV]]=0,0.5,0))</f>
        <v>1</v>
      </c>
      <c r="W87" s="4">
        <f>((ABS(Games[[#This Row],[MOV]])+5)^0.6)/(12+0.01*(ABS(Games[[#This Row],[PreGmRate]]-Games[[#This Row],[OppPreGmRate]])))*IF(Games[[#This Row],[OT]]=1,0.9,1)</f>
        <v>0.31734207113229623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74.8</v>
      </c>
      <c r="Z87" s="4">
        <f>Games[[#This Row],[K]]*Games[[#This Row],[POMult]]</f>
        <v>74.8</v>
      </c>
      <c r="AA87" s="4">
        <f>(Games[[#This Row],[Keff]]*Games[[#This Row],[MOVMult]])*(Games[[#This Row],[Result]]-Games[[#This Row],[ExpectedWin%]])</f>
        <v>11.954159396908867</v>
      </c>
      <c r="AB87" s="4">
        <f>Games[[#This Row],[PreGmRate]]+Games[[#This Row],[RatingChange]]</f>
        <v>1462.5132959627704</v>
      </c>
      <c r="AC87" s="2">
        <f>IF(Games[[#This Row],[Type]]="R",IF(Games[[#This Row],[Result]]&gt;0.5,1,0),0)</f>
        <v>1</v>
      </c>
      <c r="AD87" s="2">
        <f>IF(Games[[#This Row],[Type]]="R",IF(Games[[#This Row],[Result]]&lt;0.5,1,0),0)</f>
        <v>0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44707</v>
      </c>
      <c r="B88" s="2">
        <v>2022</v>
      </c>
      <c r="C88" s="2">
        <f>COUNTIFS(Games[Team],Games[[#This Row],[Team]],Games[Season],Games[[#This Row],[Season]],Games[Date],"&lt;=" &amp; Games[[#This Row],[Date]])</f>
        <v>8</v>
      </c>
      <c r="D88" s="2" t="s">
        <v>79</v>
      </c>
      <c r="E88" s="2" t="s">
        <v>80</v>
      </c>
      <c r="F88" s="1" t="s">
        <v>85</v>
      </c>
      <c r="G88" s="1" t="s">
        <v>74</v>
      </c>
      <c r="H88" s="1" t="s">
        <v>81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0</v>
      </c>
      <c r="L88" s="2">
        <f>Games[[#This Row],[OppDaysOff]]-Games[[#This Row],[DaysOff]]</f>
        <v>0</v>
      </c>
      <c r="M88" s="1">
        <f>MAX(-16, MIN(16, Games[[#This Row],[RestDiff]]*8))</f>
        <v>0</v>
      </c>
      <c r="N88" s="1">
        <f>MAX(-16, MIN(16, Games[[#This Row],[OppRestDiff]]*8))</f>
        <v>0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1521.9419615719155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1595.8325534458118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0.28722676350314769</v>
      </c>
      <c r="R88" s="1">
        <v>68</v>
      </c>
      <c r="S88" s="1">
        <v>99</v>
      </c>
      <c r="T88" s="1">
        <v>0</v>
      </c>
      <c r="U88" s="1">
        <f>Games[[#This Row],[PointsFor]]-Games[[#This Row],[PointsAgainst]]</f>
        <v>-31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0.67398366401323173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74.8</v>
      </c>
      <c r="Z88" s="4">
        <f>Games[[#This Row],[K]]*Games[[#This Row],[POMult]]</f>
        <v>74.8</v>
      </c>
      <c r="AA88" s="4">
        <f>(Games[[#This Row],[Keff]]*Games[[#This Row],[MOVMult]])*(Games[[#This Row],[Result]]-Games[[#This Row],[ExpectedWin%]])</f>
        <v>-14.480243755844807</v>
      </c>
      <c r="AB88" s="4">
        <f>Games[[#This Row],[PreGmRate]]+Games[[#This Row],[RatingChange]]</f>
        <v>1507.4617178160706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44707</v>
      </c>
      <c r="B89" s="2">
        <v>2022</v>
      </c>
      <c r="C89" s="2">
        <f>COUNTIFS(Games[Team],Games[[#This Row],[Team]],Games[Season],Games[[#This Row],[Season]],Games[Date],"&lt;=" &amp; Games[[#This Row],[Date]])</f>
        <v>7</v>
      </c>
      <c r="D89" s="2" t="s">
        <v>79</v>
      </c>
      <c r="E89" s="2" t="s">
        <v>80</v>
      </c>
      <c r="F89" s="1" t="s">
        <v>74</v>
      </c>
      <c r="G89" s="1" t="s">
        <v>85</v>
      </c>
      <c r="H89" s="1" t="s">
        <v>82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0</v>
      </c>
      <c r="L89" s="2">
        <f>Games[[#This Row],[OppDaysOff]]-Games[[#This Row],[DaysOff]]</f>
        <v>0</v>
      </c>
      <c r="M89" s="1">
        <f>MAX(-16, MIN(16, Games[[#This Row],[RestDiff]]*8))</f>
        <v>0</v>
      </c>
      <c r="N89" s="1">
        <f>MAX(-16, MIN(16, Games[[#This Row],[OppRestDiff]]*8))</f>
        <v>0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1595.8325534458118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1521.9419615719155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0.71277323649685231</v>
      </c>
      <c r="R89" s="1">
        <v>99</v>
      </c>
      <c r="S89" s="1">
        <v>68</v>
      </c>
      <c r="T89" s="1">
        <v>0</v>
      </c>
      <c r="U89" s="1">
        <f>Games[[#This Row],[PointsFor]]-Games[[#This Row],[PointsAgainst]]</f>
        <v>31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0.67398366401323173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74.95</v>
      </c>
      <c r="Z89" s="4">
        <f>Games[[#This Row],[K]]*Games[[#This Row],[POMult]]</f>
        <v>74.95</v>
      </c>
      <c r="AA89" s="4">
        <f>(Games[[#This Row],[Keff]]*Games[[#This Row],[MOVMult]])*(Games[[#This Row],[Result]]-Games[[#This Row],[ExpectedWin%]])</f>
        <v>14.509281677815085</v>
      </c>
      <c r="AB89" s="4">
        <f>Games[[#This Row],[PreGmRate]]+Games[[#This Row],[RatingChange]]</f>
        <v>1610.3418351236269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44708</v>
      </c>
      <c r="B90" s="2">
        <v>2022</v>
      </c>
      <c r="C90" s="2">
        <f>COUNTIFS(Games[Team],Games[[#This Row],[Team]],Games[Season],Games[[#This Row],[Season]],Games[Date],"&lt;=" &amp; Games[[#This Row],[Date]])</f>
        <v>9</v>
      </c>
      <c r="D90" s="2" t="s">
        <v>79</v>
      </c>
      <c r="E90" s="2" t="s">
        <v>80</v>
      </c>
      <c r="F90" s="1" t="s">
        <v>63</v>
      </c>
      <c r="G90" s="1" t="s">
        <v>69</v>
      </c>
      <c r="H90" s="1" t="s">
        <v>81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0" s="2">
        <f>Games[[#This Row],[DaysOff]]-Games[[#This Row],[OppDaysOff]]</f>
        <v>-1</v>
      </c>
      <c r="L90" s="2">
        <f>Games[[#This Row],[OppDaysOff]]-Games[[#This Row],[DaysOff]]</f>
        <v>1</v>
      </c>
      <c r="M90" s="1">
        <f>MAX(-16, MIN(16, Games[[#This Row],[RestDiff]]*8))</f>
        <v>-8</v>
      </c>
      <c r="N90" s="1">
        <f>MAX(-16, MIN(16, Games[[#This Row],[OppRestDiff]]*8))</f>
        <v>8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1462.5132959627704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1349.6997388083571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0.51843183505102319</v>
      </c>
      <c r="R90" s="1">
        <v>96</v>
      </c>
      <c r="S90" s="1">
        <v>101</v>
      </c>
      <c r="T90" s="1">
        <v>0</v>
      </c>
      <c r="U90" s="1">
        <f>Games[[#This Row],[PointsFor]]-Games[[#This Row],[PointsAgainst]]</f>
        <v>-5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0.30324730300349256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74.650000000000006</v>
      </c>
      <c r="Z90" s="4">
        <f>Games[[#This Row],[K]]*Games[[#This Row],[POMult]]</f>
        <v>74.650000000000006</v>
      </c>
      <c r="AA90" s="4">
        <f>(Games[[#This Row],[Keff]]*Games[[#This Row],[MOVMult]])*(Games[[#This Row],[Result]]-Games[[#This Row],[ExpectedWin%]])</f>
        <v>-11.735954613258443</v>
      </c>
      <c r="AB90" s="4">
        <f>Games[[#This Row],[PreGmRate]]+Games[[#This Row],[RatingChange]]</f>
        <v>1450.777341349512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44708</v>
      </c>
      <c r="B91" s="2">
        <v>2022</v>
      </c>
      <c r="C91" s="2">
        <f>COUNTIFS(Games[Team],Games[[#This Row],[Team]],Games[Season],Games[[#This Row],[Season]],Games[Date],"&lt;=" &amp; Games[[#This Row],[Date]])</f>
        <v>10</v>
      </c>
      <c r="D91" s="2" t="s">
        <v>79</v>
      </c>
      <c r="E91" s="2" t="s">
        <v>80</v>
      </c>
      <c r="F91" s="1" t="s">
        <v>69</v>
      </c>
      <c r="G91" s="1" t="s">
        <v>63</v>
      </c>
      <c r="H91" s="1" t="s">
        <v>82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1" s="2">
        <f>Games[[#This Row],[DaysOff]]-Games[[#This Row],[OppDaysOff]]</f>
        <v>1</v>
      </c>
      <c r="L91" s="2">
        <f>Games[[#This Row],[OppDaysOff]]-Games[[#This Row],[DaysOff]]</f>
        <v>-1</v>
      </c>
      <c r="M91" s="1">
        <f>MAX(-16, MIN(16, Games[[#This Row],[RestDiff]]*8))</f>
        <v>8</v>
      </c>
      <c r="N91" s="1">
        <f>MAX(-16, MIN(16, Games[[#This Row],[OppRestDiff]]*8))</f>
        <v>-8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1349.6997388083571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1462.5132959627704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0.4815681649489767</v>
      </c>
      <c r="R91" s="1">
        <v>101</v>
      </c>
      <c r="S91" s="1">
        <v>96</v>
      </c>
      <c r="T91" s="1">
        <v>0</v>
      </c>
      <c r="U91" s="1">
        <f>Games[[#This Row],[PointsFor]]-Games[[#This Row],[PointsAgainst]]</f>
        <v>5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0.30324730300349256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74.5</v>
      </c>
      <c r="Z91" s="4">
        <f>Games[[#This Row],[K]]*Games[[#This Row],[POMult]]</f>
        <v>74.5</v>
      </c>
      <c r="AA91" s="4">
        <f>(Games[[#This Row],[Keff]]*Games[[#This Row],[MOVMult]])*(Games[[#This Row],[Result]]-Games[[#This Row],[ExpectedWin%]])</f>
        <v>11.712372654892889</v>
      </c>
      <c r="AB91" s="4">
        <f>Games[[#This Row],[PreGmRate]]+Games[[#This Row],[RatingChange]]</f>
        <v>1361.4121114632501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44708</v>
      </c>
      <c r="B92" s="2">
        <v>2022</v>
      </c>
      <c r="C92" s="2">
        <f>COUNTIFS(Games[Team],Games[[#This Row],[Team]],Games[Season],Games[[#This Row],[Season]],Games[Date],"&lt;=" &amp; Games[[#This Row],[Date]])</f>
        <v>7</v>
      </c>
      <c r="D92" s="2" t="s">
        <v>79</v>
      </c>
      <c r="E92" s="2" t="s">
        <v>80</v>
      </c>
      <c r="F92" s="1" t="s">
        <v>60</v>
      </c>
      <c r="G92" s="1" t="s">
        <v>71</v>
      </c>
      <c r="H92" s="1" t="s">
        <v>81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92" s="2">
        <f>Games[[#This Row],[DaysOff]]-Games[[#This Row],[OppDaysOff]]</f>
        <v>-4</v>
      </c>
      <c r="L92" s="2">
        <f>Games[[#This Row],[OppDaysOff]]-Games[[#This Row],[DaysOff]]</f>
        <v>4</v>
      </c>
      <c r="M92" s="1">
        <f>MAX(-16, MIN(16, Games[[#This Row],[RestDiff]]*8))</f>
        <v>-16</v>
      </c>
      <c r="N92" s="1">
        <f>MAX(-16, MIN(16, Games[[#This Row],[OppRestDiff]]*8))</f>
        <v>16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1375.9990461730386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1532.8163934389331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0.17215041278723173</v>
      </c>
      <c r="R92" s="1">
        <v>71</v>
      </c>
      <c r="S92" s="1">
        <v>79</v>
      </c>
      <c r="T92" s="1">
        <v>1</v>
      </c>
      <c r="U92" s="1">
        <f>Games[[#This Row],[PointsFor]]-Games[[#This Row],[PointsAgainst]]</f>
        <v>-8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0.30909155064116389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74.95</v>
      </c>
      <c r="Z92" s="4">
        <f>Games[[#This Row],[K]]*Games[[#This Row],[POMult]]</f>
        <v>74.95</v>
      </c>
      <c r="AA92" s="4">
        <f>(Games[[#This Row],[Keff]]*Games[[#This Row],[MOVMult]])*(Games[[#This Row],[Result]]-Games[[#This Row],[ExpectedWin%]])</f>
        <v>-3.9881073404925469</v>
      </c>
      <c r="AB92" s="4">
        <f>Games[[#This Row],[PreGmRate]]+Games[[#This Row],[RatingChange]]</f>
        <v>1372.0109388325461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44708</v>
      </c>
      <c r="B93" s="2">
        <v>2022</v>
      </c>
      <c r="C93" s="2">
        <f>COUNTIFS(Games[Team],Games[[#This Row],[Team]],Games[Season],Games[[#This Row],[Season]],Games[Date],"&lt;=" &amp; Games[[#This Row],[Date]])</f>
        <v>7</v>
      </c>
      <c r="D93" s="2" t="s">
        <v>79</v>
      </c>
      <c r="E93" s="2" t="s">
        <v>80</v>
      </c>
      <c r="F93" s="1" t="s">
        <v>71</v>
      </c>
      <c r="G93" s="1" t="s">
        <v>60</v>
      </c>
      <c r="H93" s="1" t="s">
        <v>82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6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3" s="2">
        <f>Games[[#This Row],[DaysOff]]-Games[[#This Row],[OppDaysOff]]</f>
        <v>4</v>
      </c>
      <c r="L93" s="2">
        <f>Games[[#This Row],[OppDaysOff]]-Games[[#This Row],[DaysOff]]</f>
        <v>-4</v>
      </c>
      <c r="M93" s="1">
        <f>MAX(-16, MIN(16, Games[[#This Row],[RestDiff]]*8))</f>
        <v>16</v>
      </c>
      <c r="N93" s="1">
        <f>MAX(-16, MIN(16, Games[[#This Row],[OppRestDiff]]*8))</f>
        <v>-16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1532.8163934389331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1375.9990461730386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0.82784958721276825</v>
      </c>
      <c r="R93" s="1">
        <v>79</v>
      </c>
      <c r="S93" s="1">
        <v>71</v>
      </c>
      <c r="T93" s="1">
        <v>1</v>
      </c>
      <c r="U93" s="1">
        <f>Games[[#This Row],[PointsFor]]-Games[[#This Row],[PointsAgainst]]</f>
        <v>8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0.30909155064116389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74.95</v>
      </c>
      <c r="Z93" s="4">
        <f>Games[[#This Row],[K]]*Games[[#This Row],[POMult]]</f>
        <v>74.95</v>
      </c>
      <c r="AA93" s="4">
        <f>(Games[[#This Row],[Keff]]*Games[[#This Row],[MOVMult]])*(Games[[#This Row],[Result]]-Games[[#This Row],[ExpectedWin%]])</f>
        <v>3.9881073404925473</v>
      </c>
      <c r="AB93" s="4">
        <f>Games[[#This Row],[PreGmRate]]+Games[[#This Row],[RatingChange]]</f>
        <v>1536.8045007794258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44709</v>
      </c>
      <c r="B94" s="2">
        <v>2022</v>
      </c>
      <c r="C94" s="2">
        <f>COUNTIFS(Games[Team],Games[[#This Row],[Team]],Games[Season],Games[[#This Row],[Season]],Games[Date],"&lt;=" &amp; Games[[#This Row],[Date]])</f>
        <v>9</v>
      </c>
      <c r="D94" s="2" t="s">
        <v>79</v>
      </c>
      <c r="E94" s="2" t="s">
        <v>80</v>
      </c>
      <c r="F94" s="1" t="s">
        <v>86</v>
      </c>
      <c r="G94" s="1" t="s">
        <v>75</v>
      </c>
      <c r="H94" s="1" t="s">
        <v>81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4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4" s="2">
        <f>Games[[#This Row],[DaysOff]]-Games[[#This Row],[OppDaysOff]]</f>
        <v>1</v>
      </c>
      <c r="L94" s="2">
        <f>Games[[#This Row],[OppDaysOff]]-Games[[#This Row],[DaysOff]]</f>
        <v>-1</v>
      </c>
      <c r="M94" s="1">
        <f>MAX(-16, MIN(16, Games[[#This Row],[RestDiff]]*8))</f>
        <v>8</v>
      </c>
      <c r="N94" s="1">
        <f>MAX(-16, MIN(16, Games[[#This Row],[OppRestDiff]]*8))</f>
        <v>-8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1638.6931953343174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1582.6699160796968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0.48277093725226328</v>
      </c>
      <c r="R94" s="1">
        <v>83</v>
      </c>
      <c r="S94" s="1">
        <v>76</v>
      </c>
      <c r="T94" s="1">
        <v>0</v>
      </c>
      <c r="U94" s="1">
        <f>Games[[#This Row],[PointsFor]]-Games[[#This Row],[PointsAgainst]]</f>
        <v>7</v>
      </c>
      <c r="V94" s="1">
        <f>IF(Games[[#This Row],[MOV]]&gt;0,1,IF(Games[[#This Row],[MOV]]=0,0.5,0))</f>
        <v>1</v>
      </c>
      <c r="W94" s="4">
        <f>((ABS(Games[[#This Row],[MOV]])+5)^0.6)/(12+0.01*(ABS(Games[[#This Row],[PreGmRate]]-Games[[#This Row],[OppPreGmRate]])))*IF(Games[[#This Row],[OT]]=1,0.9,1)</f>
        <v>0.35359902505003687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74.650000000000006</v>
      </c>
      <c r="Z94" s="4">
        <f>Games[[#This Row],[K]]*Games[[#This Row],[POMult]]</f>
        <v>74.650000000000006</v>
      </c>
      <c r="AA94" s="4">
        <f>(Games[[#This Row],[Keff]]*Games[[#This Row],[MOVMult]])*(Games[[#This Row],[Result]]-Games[[#This Row],[ExpectedWin%]])</f>
        <v>13.652864831325505</v>
      </c>
      <c r="AB94" s="4">
        <f>Games[[#This Row],[PreGmRate]]+Games[[#This Row],[RatingChange]]</f>
        <v>1652.3460601656429</v>
      </c>
      <c r="AC94" s="2">
        <f>IF(Games[[#This Row],[Type]]="R",IF(Games[[#This Row],[Result]]&gt;0.5,1,0),0)</f>
        <v>1</v>
      </c>
      <c r="AD94" s="2">
        <f>IF(Games[[#This Row],[Type]]="R",IF(Games[[#This Row],[Result]]&lt;0.5,1,0),0)</f>
        <v>0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44709</v>
      </c>
      <c r="B95" s="2">
        <v>2022</v>
      </c>
      <c r="C95" s="2">
        <f>COUNTIFS(Games[Team],Games[[#This Row],[Team]],Games[Season],Games[[#This Row],[Season]],Games[Date],"&lt;=" &amp; Games[[#This Row],[Date]])</f>
        <v>7</v>
      </c>
      <c r="D95" s="2" t="s">
        <v>79</v>
      </c>
      <c r="E95" s="2" t="s">
        <v>80</v>
      </c>
      <c r="F95" s="1" t="s">
        <v>75</v>
      </c>
      <c r="G95" s="1" t="s">
        <v>86</v>
      </c>
      <c r="H95" s="1" t="s">
        <v>82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5" s="2">
        <f>Games[[#This Row],[DaysOff]]-Games[[#This Row],[OppDaysOff]]</f>
        <v>-1</v>
      </c>
      <c r="L95" s="2">
        <f>Games[[#This Row],[OppDaysOff]]-Games[[#This Row],[DaysOff]]</f>
        <v>1</v>
      </c>
      <c r="M95" s="1">
        <f>MAX(-16, MIN(16, Games[[#This Row],[RestDiff]]*8))</f>
        <v>-8</v>
      </c>
      <c r="N95" s="1">
        <f>MAX(-16, MIN(16, Games[[#This Row],[OppRestDiff]]*8))</f>
        <v>8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1582.6699160796968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1638.6931953343174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0.51722906274773672</v>
      </c>
      <c r="R95" s="1">
        <v>76</v>
      </c>
      <c r="S95" s="1">
        <v>83</v>
      </c>
      <c r="T95" s="1">
        <v>0</v>
      </c>
      <c r="U95" s="1">
        <f>Games[[#This Row],[PointsFor]]-Games[[#This Row],[PointsAgainst]]</f>
        <v>-7</v>
      </c>
      <c r="V95" s="1">
        <f>IF(Games[[#This Row],[MOV]]&gt;0,1,IF(Games[[#This Row],[MOV]]=0,0.5,0))</f>
        <v>0</v>
      </c>
      <c r="W95" s="4">
        <f>((ABS(Games[[#This Row],[MOV]])+5)^0.6)/(12+0.01*(ABS(Games[[#This Row],[PreGmRate]]-Games[[#This Row],[OppPreGmRate]])))*IF(Games[[#This Row],[OT]]=1,0.9,1)</f>
        <v>0.35359902505003687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74.95</v>
      </c>
      <c r="Z95" s="4">
        <f>Games[[#This Row],[K]]*Games[[#This Row],[POMult]]</f>
        <v>74.95</v>
      </c>
      <c r="AA95" s="4">
        <f>(Games[[#This Row],[Keff]]*Games[[#This Row],[MOVMult]])*(Games[[#This Row],[Result]]-Games[[#This Row],[ExpectedWin%]])</f>
        <v>-13.707732339020048</v>
      </c>
      <c r="AB95" s="4">
        <f>Games[[#This Row],[PreGmRate]]+Games[[#This Row],[RatingChange]]</f>
        <v>1568.9621837406767</v>
      </c>
      <c r="AC95" s="2">
        <f>IF(Games[[#This Row],[Type]]="R",IF(Games[[#This Row],[Result]]&gt;0.5,1,0),0)</f>
        <v>0</v>
      </c>
      <c r="AD95" s="2">
        <f>IF(Games[[#This Row],[Type]]="R",IF(Games[[#This Row],[Result]]&lt;0.5,1,0),0)</f>
        <v>1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44709</v>
      </c>
      <c r="B96" s="2">
        <v>2022</v>
      </c>
      <c r="C96" s="2">
        <f>COUNTIFS(Games[Team],Games[[#This Row],[Team]],Games[Season],Games[[#This Row],[Season]],Games[Date],"&lt;=" &amp; Games[[#This Row],[Date]])</f>
        <v>9</v>
      </c>
      <c r="D96" s="2" t="s">
        <v>79</v>
      </c>
      <c r="E96" s="2" t="s">
        <v>80</v>
      </c>
      <c r="F96" s="1" t="s">
        <v>65</v>
      </c>
      <c r="G96" s="1" t="s">
        <v>74</v>
      </c>
      <c r="H96" s="1" t="s">
        <v>81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3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2</v>
      </c>
      <c r="L96" s="2">
        <f>Games[[#This Row],[OppDaysOff]]-Games[[#This Row],[DaysOff]]</f>
        <v>-2</v>
      </c>
      <c r="M96" s="1">
        <f>MAX(-16, MIN(16, Games[[#This Row],[RestDiff]]*8))</f>
        <v>16</v>
      </c>
      <c r="N96" s="1">
        <f>MAX(-16, MIN(16, Games[[#This Row],[OppRestDiff]]*8))</f>
        <v>-16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1527.2560478637056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1610.3418351236269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0.31483385521873741</v>
      </c>
      <c r="R96" s="1">
        <v>71</v>
      </c>
      <c r="S96" s="1">
        <v>79</v>
      </c>
      <c r="T96" s="1">
        <v>0</v>
      </c>
      <c r="U96" s="1">
        <f>Games[[#This Row],[PointsFor]]-Games[[#This Row],[PointsAgainst]]</f>
        <v>-8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0.36317029354578217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74.650000000000006</v>
      </c>
      <c r="Z96" s="4">
        <f>Games[[#This Row],[K]]*Games[[#This Row],[POMult]]</f>
        <v>74.650000000000006</v>
      </c>
      <c r="AA96" s="4">
        <f>(Games[[#This Row],[Keff]]*Games[[#This Row],[MOVMult]])*(Games[[#This Row],[Result]]-Games[[#This Row],[ExpectedWin%]])</f>
        <v>-8.5353543650791579</v>
      </c>
      <c r="AB96" s="4">
        <f>Games[[#This Row],[PreGmRate]]+Games[[#This Row],[RatingChange]]</f>
        <v>1518.7206934986264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44709</v>
      </c>
      <c r="B97" s="2">
        <v>2022</v>
      </c>
      <c r="C97" s="2">
        <f>COUNTIFS(Games[Team],Games[[#This Row],[Team]],Games[Season],Games[[#This Row],[Season]],Games[Date],"&lt;=" &amp; Games[[#This Row],[Date]])</f>
        <v>8</v>
      </c>
      <c r="D97" s="2" t="s">
        <v>79</v>
      </c>
      <c r="E97" s="2" t="s">
        <v>80</v>
      </c>
      <c r="F97" s="1" t="s">
        <v>74</v>
      </c>
      <c r="G97" s="1" t="s">
        <v>65</v>
      </c>
      <c r="H97" s="1" t="s">
        <v>82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7" s="2">
        <f>Games[[#This Row],[DaysOff]]-Games[[#This Row],[OppDaysOff]]</f>
        <v>-2</v>
      </c>
      <c r="L97" s="2">
        <f>Games[[#This Row],[OppDaysOff]]-Games[[#This Row],[DaysOff]]</f>
        <v>2</v>
      </c>
      <c r="M97" s="1">
        <f>MAX(-16, MIN(16, Games[[#This Row],[RestDiff]]*8))</f>
        <v>-16</v>
      </c>
      <c r="N97" s="1">
        <f>MAX(-16, MIN(16, Games[[#This Row],[OppRestDiff]]*8))</f>
        <v>16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1610.3418351236269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1527.2560478637056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0.68516614478126259</v>
      </c>
      <c r="R97" s="1">
        <v>79</v>
      </c>
      <c r="S97" s="1">
        <v>71</v>
      </c>
      <c r="T97" s="1">
        <v>0</v>
      </c>
      <c r="U97" s="1">
        <f>Games[[#This Row],[PointsFor]]-Games[[#This Row],[PointsAgainst]]</f>
        <v>8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0.36317029354578217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74.8</v>
      </c>
      <c r="Z97" s="4">
        <f>Games[[#This Row],[K]]*Games[[#This Row],[POMult]]</f>
        <v>74.8</v>
      </c>
      <c r="AA97" s="4">
        <f>(Games[[#This Row],[Keff]]*Games[[#This Row],[MOVMult]])*(Games[[#This Row],[Result]]-Games[[#This Row],[ExpectedWin%]])</f>
        <v>8.5525051106218477</v>
      </c>
      <c r="AB97" s="4">
        <f>Games[[#This Row],[PreGmRate]]+Games[[#This Row],[RatingChange]]</f>
        <v>1618.8943402342488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44710</v>
      </c>
      <c r="B98" s="2">
        <v>2022</v>
      </c>
      <c r="C98" s="2">
        <f>COUNTIFS(Games[Team],Games[[#This Row],[Team]],Games[Season],Games[[#This Row],[Season]],Games[Date],"&lt;=" &amp; Games[[#This Row],[Date]])</f>
        <v>8</v>
      </c>
      <c r="D98" s="2" t="s">
        <v>79</v>
      </c>
      <c r="E98" s="2" t="s">
        <v>80</v>
      </c>
      <c r="F98" s="1" t="s">
        <v>40</v>
      </c>
      <c r="G98" s="1" t="s">
        <v>77</v>
      </c>
      <c r="H98" s="1" t="s">
        <v>81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8" s="2">
        <f>Games[[#This Row],[DaysOff]]-Games[[#This Row],[OppDaysOff]]</f>
        <v>-1</v>
      </c>
      <c r="L98" s="2">
        <f>Games[[#This Row],[OppDaysOff]]-Games[[#This Row],[DaysOff]]</f>
        <v>1</v>
      </c>
      <c r="M98" s="1">
        <f>MAX(-16, MIN(16, Games[[#This Row],[RestDiff]]*8))</f>
        <v>-8</v>
      </c>
      <c r="N98" s="1">
        <f>MAX(-16, MIN(16, Games[[#This Row],[OppRestDiff]]*8))</f>
        <v>8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1493.085865036247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1436.3371281223567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0.43807597883919297</v>
      </c>
      <c r="R98" s="1">
        <v>54</v>
      </c>
      <c r="S98" s="1">
        <v>81</v>
      </c>
      <c r="T98" s="1">
        <v>0</v>
      </c>
      <c r="U98" s="1">
        <f>Games[[#This Row],[PointsFor]]-Games[[#This Row],[PointsAgainst]]</f>
        <v>-27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0.63656320193685156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74.8</v>
      </c>
      <c r="Z98" s="4">
        <f>Games[[#This Row],[K]]*Games[[#This Row],[POMult]]</f>
        <v>74.8</v>
      </c>
      <c r="AA98" s="4">
        <f>(Games[[#This Row],[Keff]]*Games[[#This Row],[MOVMult]])*(Games[[#This Row],[Result]]-Games[[#This Row],[ExpectedWin%]])</f>
        <v>-20.858955974055984</v>
      </c>
      <c r="AB98" s="4">
        <f>Games[[#This Row],[PreGmRate]]+Games[[#This Row],[RatingChange]]</f>
        <v>1472.226909062191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44710</v>
      </c>
      <c r="B99" s="2">
        <v>2022</v>
      </c>
      <c r="C99" s="2">
        <f>COUNTIFS(Games[Team],Games[[#This Row],[Team]],Games[Season],Games[[#This Row],[Season]],Games[Date],"&lt;=" &amp; Games[[#This Row],[Date]])</f>
        <v>8</v>
      </c>
      <c r="D99" s="2" t="s">
        <v>79</v>
      </c>
      <c r="E99" s="2" t="s">
        <v>80</v>
      </c>
      <c r="F99" s="1" t="s">
        <v>77</v>
      </c>
      <c r="G99" s="1" t="s">
        <v>40</v>
      </c>
      <c r="H99" s="1" t="s">
        <v>82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4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9" s="2">
        <f>Games[[#This Row],[DaysOff]]-Games[[#This Row],[OppDaysOff]]</f>
        <v>1</v>
      </c>
      <c r="L99" s="2">
        <f>Games[[#This Row],[OppDaysOff]]-Games[[#This Row],[DaysOff]]</f>
        <v>-1</v>
      </c>
      <c r="M99" s="1">
        <f>MAX(-16, MIN(16, Games[[#This Row],[RestDiff]]*8))</f>
        <v>8</v>
      </c>
      <c r="N99" s="1">
        <f>MAX(-16, MIN(16, Games[[#This Row],[OppRestDiff]]*8))</f>
        <v>-8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1436.3371281223567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1493.085865036247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0.56192402116080709</v>
      </c>
      <c r="R99" s="1">
        <v>81</v>
      </c>
      <c r="S99" s="1">
        <v>54</v>
      </c>
      <c r="T99" s="1">
        <v>0</v>
      </c>
      <c r="U99" s="1">
        <f>Games[[#This Row],[PointsFor]]-Games[[#This Row],[PointsAgainst]]</f>
        <v>27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0.63656320193685156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74.8</v>
      </c>
      <c r="Z99" s="4">
        <f>Games[[#This Row],[K]]*Games[[#This Row],[POMult]]</f>
        <v>74.8</v>
      </c>
      <c r="AA99" s="4">
        <f>(Games[[#This Row],[Keff]]*Games[[#This Row],[MOVMult]])*(Games[[#This Row],[Result]]-Games[[#This Row],[ExpectedWin%]])</f>
        <v>20.858955974055981</v>
      </c>
      <c r="AB99" s="4">
        <f>Games[[#This Row],[PreGmRate]]+Games[[#This Row],[RatingChange]]</f>
        <v>1457.1960840964127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44710</v>
      </c>
      <c r="B100" s="2">
        <v>2022</v>
      </c>
      <c r="C100" s="2">
        <f>COUNTIFS(Games[Team],Games[[#This Row],[Team]],Games[Season],Games[[#This Row],[Season]],Games[Date],"&lt;=" &amp; Games[[#This Row],[Date]])</f>
        <v>10</v>
      </c>
      <c r="D100" s="2" t="s">
        <v>79</v>
      </c>
      <c r="E100" s="2" t="s">
        <v>80</v>
      </c>
      <c r="F100" s="1" t="s">
        <v>63</v>
      </c>
      <c r="G100" s="1" t="s">
        <v>67</v>
      </c>
      <c r="H100" s="1" t="s">
        <v>81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0" s="2">
        <f>Games[[#This Row],[DaysOff]]-Games[[#This Row],[OppDaysOff]]</f>
        <v>-3</v>
      </c>
      <c r="L100" s="2">
        <f>Games[[#This Row],[OppDaysOff]]-Games[[#This Row],[DaysOff]]</f>
        <v>3</v>
      </c>
      <c r="M100" s="1">
        <f>MAX(-16, MIN(16, Games[[#This Row],[RestDiff]]*8))</f>
        <v>-16</v>
      </c>
      <c r="N100" s="1">
        <f>MAX(-16, MIN(16, Games[[#This Row],[OppRestDiff]]*8))</f>
        <v>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1450.777341349512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1483.5226286238844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0.29812411300959568</v>
      </c>
      <c r="R100" s="1">
        <v>85</v>
      </c>
      <c r="S100" s="1">
        <v>83</v>
      </c>
      <c r="T100" s="1">
        <v>0</v>
      </c>
      <c r="U100" s="1">
        <f>Games[[#This Row],[PointsFor]]-Games[[#This Row],[PointsAgainst]]</f>
        <v>2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0.26072667913600189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74.5</v>
      </c>
      <c r="Z100" s="4">
        <f>Games[[#This Row],[K]]*Games[[#This Row],[POMult]]</f>
        <v>74.5</v>
      </c>
      <c r="AA100" s="4">
        <f>(Games[[#This Row],[Keff]]*Games[[#This Row],[MOVMult]])*(Games[[#This Row],[Result]]-Games[[#This Row],[ExpectedWin%]])</f>
        <v>13.633333803957969</v>
      </c>
      <c r="AB100" s="4">
        <f>Games[[#This Row],[PreGmRate]]+Games[[#This Row],[RatingChange]]</f>
        <v>1464.41067515347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44710</v>
      </c>
      <c r="B101" s="2">
        <v>2022</v>
      </c>
      <c r="C101" s="2">
        <f>COUNTIFS(Games[Team],Games[[#This Row],[Team]],Games[Season],Games[[#This Row],[Season]],Games[Date],"&lt;=" &amp; Games[[#This Row],[Date]])</f>
        <v>9</v>
      </c>
      <c r="D101" s="2" t="s">
        <v>79</v>
      </c>
      <c r="E101" s="2" t="s">
        <v>80</v>
      </c>
      <c r="F101" s="1" t="s">
        <v>67</v>
      </c>
      <c r="G101" s="1" t="s">
        <v>63</v>
      </c>
      <c r="H101" s="1" t="s">
        <v>82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3</v>
      </c>
      <c r="L101" s="2">
        <f>Games[[#This Row],[OppDaysOff]]-Games[[#This Row],[DaysOff]]</f>
        <v>-3</v>
      </c>
      <c r="M101" s="1">
        <f>MAX(-16, MIN(16, Games[[#This Row],[RestDiff]]*8))</f>
        <v>16</v>
      </c>
      <c r="N101" s="1">
        <f>MAX(-16, MIN(16, Games[[#This Row],[OppRestDiff]]*8))</f>
        <v>-16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1483.5226286238844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1450.777341349512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0.70187588699040437</v>
      </c>
      <c r="R101" s="1">
        <v>83</v>
      </c>
      <c r="S101" s="1">
        <v>85</v>
      </c>
      <c r="T101" s="1">
        <v>0</v>
      </c>
      <c r="U101" s="1">
        <f>Games[[#This Row],[PointsFor]]-Games[[#This Row],[PointsAgainst]]</f>
        <v>-2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0.26072667913600189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74.650000000000006</v>
      </c>
      <c r="Z101" s="4">
        <f>Games[[#This Row],[K]]*Games[[#This Row],[POMult]]</f>
        <v>74.650000000000006</v>
      </c>
      <c r="AA101" s="4">
        <f>(Games[[#This Row],[Keff]]*Games[[#This Row],[MOVMult]])*(Games[[#This Row],[Result]]-Games[[#This Row],[ExpectedWin%]])</f>
        <v>-13.660783469335067</v>
      </c>
      <c r="AB101" s="4">
        <f>Games[[#This Row],[PreGmRate]]+Games[[#This Row],[RatingChange]]</f>
        <v>1469.8618451545494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44710</v>
      </c>
      <c r="B102" s="2">
        <v>2022</v>
      </c>
      <c r="C102" s="2">
        <f>COUNTIFS(Games[Team],Games[[#This Row],[Team]],Games[Season],Games[[#This Row],[Season]],Games[Date],"&lt;=" &amp; Games[[#This Row],[Date]])</f>
        <v>8</v>
      </c>
      <c r="D102" s="2" t="s">
        <v>79</v>
      </c>
      <c r="E102" s="2" t="s">
        <v>80</v>
      </c>
      <c r="F102" s="1" t="s">
        <v>60</v>
      </c>
      <c r="G102" s="1" t="s">
        <v>71</v>
      </c>
      <c r="H102" s="1" t="s">
        <v>81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1372.0109388325461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1536.8045007794258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0.19276066328042463</v>
      </c>
      <c r="R102" s="1">
        <v>61</v>
      </c>
      <c r="S102" s="1">
        <v>92</v>
      </c>
      <c r="T102" s="1">
        <v>0</v>
      </c>
      <c r="U102" s="1">
        <f>Games[[#This Row],[PointsFor]]-Games[[#This Row],[PointsAgainst]]</f>
        <v>-31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0.62909254014825922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74.8</v>
      </c>
      <c r="Z102" s="4">
        <f>Games[[#This Row],[K]]*Games[[#This Row],[POMult]]</f>
        <v>74.8</v>
      </c>
      <c r="AA102" s="4">
        <f>(Games[[#This Row],[Keff]]*Games[[#This Row],[MOVMult]])*(Games[[#This Row],[Result]]-Games[[#This Row],[ExpectedWin%]])</f>
        <v>-9.0705692887201721</v>
      </c>
      <c r="AB102" s="4">
        <f>Games[[#This Row],[PreGmRate]]+Games[[#This Row],[RatingChange]]</f>
        <v>1362.9403695438259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44710</v>
      </c>
      <c r="B103" s="2">
        <v>2022</v>
      </c>
      <c r="C103" s="2">
        <f>COUNTIFS(Games[Team],Games[[#This Row],[Team]],Games[Season],Games[[#This Row],[Season]],Games[Date],"&lt;=" &amp; Games[[#This Row],[Date]])</f>
        <v>8</v>
      </c>
      <c r="D103" s="2" t="s">
        <v>79</v>
      </c>
      <c r="E103" s="2" t="s">
        <v>80</v>
      </c>
      <c r="F103" s="1" t="s">
        <v>71</v>
      </c>
      <c r="G103" s="1" t="s">
        <v>60</v>
      </c>
      <c r="H103" s="1" t="s">
        <v>82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1536.8045007794258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1372.0109388325461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0.80723933671957537</v>
      </c>
      <c r="R103" s="1">
        <v>92</v>
      </c>
      <c r="S103" s="1">
        <v>61</v>
      </c>
      <c r="T103" s="1">
        <v>0</v>
      </c>
      <c r="U103" s="1">
        <f>Games[[#This Row],[PointsFor]]-Games[[#This Row],[PointsAgainst]]</f>
        <v>31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0.62909254014825922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74.8</v>
      </c>
      <c r="Z103" s="4">
        <f>Games[[#This Row],[K]]*Games[[#This Row],[POMult]]</f>
        <v>74.8</v>
      </c>
      <c r="AA103" s="4">
        <f>(Games[[#This Row],[Keff]]*Games[[#This Row],[MOVMult]])*(Games[[#This Row],[Result]]-Games[[#This Row],[ExpectedWin%]])</f>
        <v>9.0705692887201721</v>
      </c>
      <c r="AB103" s="4">
        <f>Games[[#This Row],[PreGmRate]]+Games[[#This Row],[RatingChange]]</f>
        <v>1545.875070068146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44712</v>
      </c>
      <c r="B104" s="2">
        <v>2022</v>
      </c>
      <c r="C104" s="2">
        <f>COUNTIFS(Games[Team],Games[[#This Row],[Team]],Games[Season],Games[[#This Row],[Season]],Games[Date],"&lt;=" &amp; Games[[#This Row],[Date]])</f>
        <v>9</v>
      </c>
      <c r="D104" s="2" t="s">
        <v>79</v>
      </c>
      <c r="E104" s="2" t="s">
        <v>80</v>
      </c>
      <c r="F104" s="1" t="s">
        <v>40</v>
      </c>
      <c r="G104" s="1" t="s">
        <v>75</v>
      </c>
      <c r="H104" s="1" t="s">
        <v>81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4" s="2">
        <f>Games[[#This Row],[DaysOff]]-Games[[#This Row],[OppDaysOff]]</f>
        <v>-1</v>
      </c>
      <c r="L104" s="2">
        <f>Games[[#This Row],[OppDaysOff]]-Games[[#This Row],[DaysOff]]</f>
        <v>1</v>
      </c>
      <c r="M104" s="1">
        <f>MAX(-16, MIN(16, Games[[#This Row],[RestDiff]]*8))</f>
        <v>-8</v>
      </c>
      <c r="N104" s="1">
        <f>MAX(-16, MIN(16, Games[[#This Row],[OppRestDiff]]*8))</f>
        <v>8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1472.226909062191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1568.9621837406767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0.24370016318449625</v>
      </c>
      <c r="R104" s="1">
        <v>70</v>
      </c>
      <c r="S104" s="1">
        <v>73</v>
      </c>
      <c r="T104" s="1">
        <v>0</v>
      </c>
      <c r="U104" s="1">
        <f>Games[[#This Row],[PointsFor]]-Games[[#This Row],[PointsAgainst]]</f>
        <v>-3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0.26853609377194421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74.650000000000006</v>
      </c>
      <c r="Z104" s="4">
        <f>Games[[#This Row],[K]]*Games[[#This Row],[POMult]]</f>
        <v>74.650000000000006</v>
      </c>
      <c r="AA104" s="4">
        <f>(Games[[#This Row],[Keff]]*Games[[#This Row],[MOVMult]])*(Games[[#This Row],[Result]]-Games[[#This Row],[ExpectedWin%]])</f>
        <v>-4.8852669390306467</v>
      </c>
      <c r="AB104" s="4">
        <f>Games[[#This Row],[PreGmRate]]+Games[[#This Row],[RatingChange]]</f>
        <v>1467.3416421231605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44712</v>
      </c>
      <c r="B105" s="2">
        <v>2022</v>
      </c>
      <c r="C105" s="2">
        <f>COUNTIFS(Games[Team],Games[[#This Row],[Team]],Games[Season],Games[[#This Row],[Season]],Games[Date],"&lt;=" &amp; Games[[#This Row],[Date]])</f>
        <v>8</v>
      </c>
      <c r="D105" s="2" t="s">
        <v>79</v>
      </c>
      <c r="E105" s="2" t="s">
        <v>80</v>
      </c>
      <c r="F105" s="1" t="s">
        <v>75</v>
      </c>
      <c r="G105" s="1" t="s">
        <v>40</v>
      </c>
      <c r="H105" s="1" t="s">
        <v>82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5" s="2">
        <f>Games[[#This Row],[DaysOff]]-Games[[#This Row],[OppDaysOff]]</f>
        <v>1</v>
      </c>
      <c r="L105" s="2">
        <f>Games[[#This Row],[OppDaysOff]]-Games[[#This Row],[DaysOff]]</f>
        <v>-1</v>
      </c>
      <c r="M105" s="1">
        <f>MAX(-16, MIN(16, Games[[#This Row],[RestDiff]]*8))</f>
        <v>8</v>
      </c>
      <c r="N105" s="1">
        <f>MAX(-16, MIN(16, Games[[#This Row],[OppRestDiff]]*8))</f>
        <v>-8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1568.9621837406767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1472.226909062191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0.75629983681550372</v>
      </c>
      <c r="R105" s="1">
        <v>73</v>
      </c>
      <c r="S105" s="1">
        <v>70</v>
      </c>
      <c r="T105" s="1">
        <v>0</v>
      </c>
      <c r="U105" s="1">
        <f>Games[[#This Row],[PointsFor]]-Games[[#This Row],[PointsAgainst]]</f>
        <v>3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0.26853609377194421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74.8</v>
      </c>
      <c r="Z105" s="4">
        <f>Games[[#This Row],[K]]*Games[[#This Row],[POMult]]</f>
        <v>74.8</v>
      </c>
      <c r="AA105" s="4">
        <f>(Games[[#This Row],[Keff]]*Games[[#This Row],[MOVMult]])*(Games[[#This Row],[Result]]-Games[[#This Row],[ExpectedWin%]])</f>
        <v>4.8950832825116199</v>
      </c>
      <c r="AB105" s="4">
        <f>Games[[#This Row],[PreGmRate]]+Games[[#This Row],[RatingChange]]</f>
        <v>1573.8572670231883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44712</v>
      </c>
      <c r="B106" s="2">
        <v>2022</v>
      </c>
      <c r="C106" s="2">
        <f>COUNTIFS(Games[Team],Games[[#This Row],[Team]],Games[Season],Games[[#This Row],[Season]],Games[Date],"&lt;=" &amp; Games[[#This Row],[Date]])</f>
        <v>10</v>
      </c>
      <c r="D106" s="2" t="s">
        <v>79</v>
      </c>
      <c r="E106" s="2" t="s">
        <v>80</v>
      </c>
      <c r="F106" s="1" t="s">
        <v>65</v>
      </c>
      <c r="G106" s="1" t="s">
        <v>69</v>
      </c>
      <c r="H106" s="1" t="s">
        <v>81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6" s="2">
        <f>Games[[#This Row],[DaysOff]]-Games[[#This Row],[OppDaysOff]]</f>
        <v>-1</v>
      </c>
      <c r="L106" s="2">
        <f>Games[[#This Row],[OppDaysOff]]-Games[[#This Row],[DaysOff]]</f>
        <v>1</v>
      </c>
      <c r="M106" s="1">
        <f>MAX(-16, MIN(16, Games[[#This Row],[RestDiff]]*8))</f>
        <v>-8</v>
      </c>
      <c r="N106" s="1">
        <f>MAX(-16, MIN(16, Games[[#This Row],[OppRestDiff]]*8))</f>
        <v>8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1518.7206934986264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1361.4121114632501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0.58173375958194085</v>
      </c>
      <c r="R106" s="1">
        <v>87</v>
      </c>
      <c r="S106" s="1">
        <v>75</v>
      </c>
      <c r="T106" s="1">
        <v>0</v>
      </c>
      <c r="U106" s="1">
        <f>Games[[#This Row],[PointsFor]]-Games[[#This Row],[PointsAgainst]]</f>
        <v>12</v>
      </c>
      <c r="V106" s="1">
        <f>IF(Games[[#This Row],[MOV]]&gt;0,1,IF(Games[[#This Row],[MOV]]=0,0.5,0))</f>
        <v>1</v>
      </c>
      <c r="W106" s="4">
        <f>((ABS(Games[[#This Row],[MOV]])+5)^0.6)/(12+0.01*(ABS(Games[[#This Row],[PreGmRate]]-Games[[#This Row],[OppPreGmRate]])))*IF(Games[[#This Row],[OT]]=1,0.9,1)</f>
        <v>0.403265210974392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74.5</v>
      </c>
      <c r="Z106" s="4">
        <f>Games[[#This Row],[K]]*Games[[#This Row],[POMult]]</f>
        <v>74.5</v>
      </c>
      <c r="AA106" s="4">
        <f>(Games[[#This Row],[Keff]]*Games[[#This Row],[MOVMult]])*(Games[[#This Row],[Result]]-Games[[#This Row],[ExpectedWin%]])</f>
        <v>12.566080664581252</v>
      </c>
      <c r="AB106" s="4">
        <f>Games[[#This Row],[PreGmRate]]+Games[[#This Row],[RatingChange]]</f>
        <v>1531.2867741632076</v>
      </c>
      <c r="AC106" s="2">
        <f>IF(Games[[#This Row],[Type]]="R",IF(Games[[#This Row],[Result]]&gt;0.5,1,0),0)</f>
        <v>1</v>
      </c>
      <c r="AD106" s="2">
        <f>IF(Games[[#This Row],[Type]]="R",IF(Games[[#This Row],[Result]]&lt;0.5,1,0),0)</f>
        <v>0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44712</v>
      </c>
      <c r="B107" s="2">
        <v>2022</v>
      </c>
      <c r="C107" s="2">
        <f>COUNTIFS(Games[Team],Games[[#This Row],[Team]],Games[Season],Games[[#This Row],[Season]],Games[Date],"&lt;=" &amp; Games[[#This Row],[Date]])</f>
        <v>11</v>
      </c>
      <c r="D107" s="2" t="s">
        <v>79</v>
      </c>
      <c r="E107" s="2" t="s">
        <v>80</v>
      </c>
      <c r="F107" s="1" t="s">
        <v>69</v>
      </c>
      <c r="G107" s="1" t="s">
        <v>65</v>
      </c>
      <c r="H107" s="1" t="s">
        <v>82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7" s="2">
        <f>Games[[#This Row],[DaysOff]]-Games[[#This Row],[OppDaysOff]]</f>
        <v>1</v>
      </c>
      <c r="L107" s="2">
        <f>Games[[#This Row],[OppDaysOff]]-Games[[#This Row],[DaysOff]]</f>
        <v>-1</v>
      </c>
      <c r="M107" s="1">
        <f>MAX(-16, MIN(16, Games[[#This Row],[RestDiff]]*8))</f>
        <v>8</v>
      </c>
      <c r="N107" s="1">
        <f>MAX(-16, MIN(16, Games[[#This Row],[OppRestDiff]]*8))</f>
        <v>-8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1361.4121114632501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1518.7206934986264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0.41826624041805921</v>
      </c>
      <c r="R107" s="1">
        <v>75</v>
      </c>
      <c r="S107" s="1">
        <v>87</v>
      </c>
      <c r="T107" s="1">
        <v>0</v>
      </c>
      <c r="U107" s="1">
        <f>Games[[#This Row],[PointsFor]]-Games[[#This Row],[PointsAgainst]]</f>
        <v>-12</v>
      </c>
      <c r="V107" s="1">
        <f>IF(Games[[#This Row],[MOV]]&gt;0,1,IF(Games[[#This Row],[MOV]]=0,0.5,0))</f>
        <v>0</v>
      </c>
      <c r="W107" s="4">
        <f>((ABS(Games[[#This Row],[MOV]])+5)^0.6)/(12+0.01*(ABS(Games[[#This Row],[PreGmRate]]-Games[[#This Row],[OppPreGmRate]])))*IF(Games[[#This Row],[OT]]=1,0.9,1)</f>
        <v>0.403265210974392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74.349999999999994</v>
      </c>
      <c r="Z107" s="4">
        <f>Games[[#This Row],[K]]*Games[[#This Row],[POMult]]</f>
        <v>74.349999999999994</v>
      </c>
      <c r="AA107" s="4">
        <f>(Games[[#This Row],[Keff]]*Games[[#This Row],[MOVMult]])*(Games[[#This Row],[Result]]-Games[[#This Row],[ExpectedWin%]])</f>
        <v>-12.540779831028404</v>
      </c>
      <c r="AB107" s="4">
        <f>Games[[#This Row],[PreGmRate]]+Games[[#This Row],[RatingChange]]</f>
        <v>1348.8713316322217</v>
      </c>
      <c r="AC107" s="2">
        <f>IF(Games[[#This Row],[Type]]="R",IF(Games[[#This Row],[Result]]&gt;0.5,1,0),0)</f>
        <v>0</v>
      </c>
      <c r="AD107" s="2">
        <f>IF(Games[[#This Row],[Type]]="R",IF(Games[[#This Row],[Result]]&lt;0.5,1,0),0)</f>
        <v>1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44712</v>
      </c>
      <c r="B108" s="2">
        <v>2022</v>
      </c>
      <c r="C108" s="2">
        <f>COUNTIFS(Games[Team],Games[[#This Row],[Team]],Games[Season],Games[[#This Row],[Season]],Games[Date],"&lt;=" &amp; Games[[#This Row],[Date]])</f>
        <v>9</v>
      </c>
      <c r="D108" s="2" t="s">
        <v>79</v>
      </c>
      <c r="E108" s="2" t="s">
        <v>80</v>
      </c>
      <c r="F108" s="1" t="s">
        <v>85</v>
      </c>
      <c r="G108" s="1" t="s">
        <v>63</v>
      </c>
      <c r="H108" s="1" t="s">
        <v>81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8" s="2">
        <f>Games[[#This Row],[DaysOff]]-Games[[#This Row],[OppDaysOff]]</f>
        <v>3</v>
      </c>
      <c r="L108" s="2">
        <f>Games[[#This Row],[OppDaysOff]]-Games[[#This Row],[DaysOff]]</f>
        <v>-3</v>
      </c>
      <c r="M108" s="1">
        <f>MAX(-16, MIN(16, Games[[#This Row],[RestDiff]]*8))</f>
        <v>16</v>
      </c>
      <c r="N108" s="1">
        <f>MAX(-16, MIN(16, Games[[#This Row],[OppRestDiff]]*8))</f>
        <v>-16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1507.4617178160706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1464.41067515347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0.48712426241345308</v>
      </c>
      <c r="R108" s="1">
        <v>91</v>
      </c>
      <c r="S108" s="1">
        <v>93</v>
      </c>
      <c r="T108" s="1">
        <v>0</v>
      </c>
      <c r="U108" s="1">
        <f>Games[[#This Row],[PointsFor]]-Games[[#This Row],[PointsAgainst]]</f>
        <v>-2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0.25856507411244217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74.650000000000006</v>
      </c>
      <c r="Z108" s="4">
        <f>Games[[#This Row],[K]]*Games[[#This Row],[POMult]]</f>
        <v>74.650000000000006</v>
      </c>
      <c r="AA108" s="4">
        <f>(Games[[#This Row],[Keff]]*Games[[#This Row],[MOVMult]])*(Games[[#This Row],[Result]]-Games[[#This Row],[ExpectedWin%]])</f>
        <v>-9.4024154136132267</v>
      </c>
      <c r="AB108" s="4">
        <f>Games[[#This Row],[PreGmRate]]+Games[[#This Row],[RatingChange]]</f>
        <v>1498.0593024024574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44712</v>
      </c>
      <c r="B109" s="2">
        <v>2022</v>
      </c>
      <c r="C109" s="2">
        <f>COUNTIFS(Games[Team],Games[[#This Row],[Team]],Games[Season],Games[[#This Row],[Season]],Games[Date],"&lt;=" &amp; Games[[#This Row],[Date]])</f>
        <v>11</v>
      </c>
      <c r="D109" s="2" t="s">
        <v>79</v>
      </c>
      <c r="E109" s="2" t="s">
        <v>80</v>
      </c>
      <c r="F109" s="1" t="s">
        <v>63</v>
      </c>
      <c r="G109" s="1" t="s">
        <v>85</v>
      </c>
      <c r="H109" s="1" t="s">
        <v>82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9" s="2">
        <f>Games[[#This Row],[DaysOff]]-Games[[#This Row],[OppDaysOff]]</f>
        <v>-3</v>
      </c>
      <c r="L109" s="2">
        <f>Games[[#This Row],[OppDaysOff]]-Games[[#This Row],[DaysOff]]</f>
        <v>3</v>
      </c>
      <c r="M109" s="1">
        <f>MAX(-16, MIN(16, Games[[#This Row],[RestDiff]]*8))</f>
        <v>-16</v>
      </c>
      <c r="N109" s="1">
        <f>MAX(-16, MIN(16, Games[[#This Row],[OppRestDiff]]*8))</f>
        <v>16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1464.41067515347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1507.4617178160706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0.51287573758654692</v>
      </c>
      <c r="R109" s="1">
        <v>93</v>
      </c>
      <c r="S109" s="1">
        <v>91</v>
      </c>
      <c r="T109" s="1">
        <v>0</v>
      </c>
      <c r="U109" s="1">
        <f>Games[[#This Row],[PointsFor]]-Games[[#This Row],[PointsAgainst]]</f>
        <v>2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0.25856507411244217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74.349999999999994</v>
      </c>
      <c r="Z109" s="4">
        <f>Games[[#This Row],[K]]*Games[[#This Row],[POMult]]</f>
        <v>74.349999999999994</v>
      </c>
      <c r="AA109" s="4">
        <f>(Games[[#This Row],[Keff]]*Games[[#This Row],[MOVMult]])*(Games[[#This Row],[Result]]-Games[[#This Row],[ExpectedWin%]])</f>
        <v>9.3646294173093541</v>
      </c>
      <c r="AB109" s="4">
        <f>Games[[#This Row],[PreGmRate]]+Games[[#This Row],[RatingChange]]</f>
        <v>1473.7753045707793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44712</v>
      </c>
      <c r="B110" s="2">
        <v>2022</v>
      </c>
      <c r="C110" s="2">
        <f>COUNTIFS(Games[Team],Games[[#This Row],[Team]],Games[Season],Games[[#This Row],[Season]],Games[Date],"&lt;=" &amp; Games[[#This Row],[Date]])</f>
        <v>9</v>
      </c>
      <c r="D110" s="2" t="s">
        <v>79</v>
      </c>
      <c r="E110" s="2" t="s">
        <v>80</v>
      </c>
      <c r="F110" s="1" t="s">
        <v>74</v>
      </c>
      <c r="G110" s="1" t="s">
        <v>86</v>
      </c>
      <c r="H110" s="1" t="s">
        <v>81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0" s="2">
        <f>Games[[#This Row],[DaysOff]]-Games[[#This Row],[OppDaysOff]]</f>
        <v>0</v>
      </c>
      <c r="L110" s="2">
        <f>Games[[#This Row],[OppDaysOff]]-Games[[#This Row],[DaysOff]]</f>
        <v>0</v>
      </c>
      <c r="M110" s="1">
        <f>MAX(-16, MIN(16, Games[[#This Row],[RestDiff]]*8))</f>
        <v>0</v>
      </c>
      <c r="N110" s="1">
        <f>MAX(-16, MIN(16, Games[[#This Row],[OppRestDiff]]*8))</f>
        <v>0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1618.8943402342488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1652.3460601656429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0.33713085617912686</v>
      </c>
      <c r="R110" s="1">
        <v>81</v>
      </c>
      <c r="S110" s="1">
        <v>89</v>
      </c>
      <c r="T110" s="1">
        <v>0</v>
      </c>
      <c r="U110" s="1">
        <f>Games[[#This Row],[PointsFor]]-Games[[#This Row],[PointsAgainst]]</f>
        <v>-8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0.37778425735992716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74.650000000000006</v>
      </c>
      <c r="Z110" s="4">
        <f>Games[[#This Row],[K]]*Games[[#This Row],[POMult]]</f>
        <v>74.650000000000006</v>
      </c>
      <c r="AA110" s="4">
        <f>(Games[[#This Row],[Keff]]*Games[[#This Row],[MOVMult]])*(Games[[#This Row],[Result]]-Games[[#This Row],[ExpectedWin%]])</f>
        <v>-9.5076278045589273</v>
      </c>
      <c r="AB110" s="4">
        <f>Games[[#This Row],[PreGmRate]]+Games[[#This Row],[RatingChange]]</f>
        <v>1609.3867124296899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44712</v>
      </c>
      <c r="B111" s="2">
        <v>2022</v>
      </c>
      <c r="C111" s="2">
        <f>COUNTIFS(Games[Team],Games[[#This Row],[Team]],Games[Season],Games[[#This Row],[Season]],Games[Date],"&lt;=" &amp; Games[[#This Row],[Date]])</f>
        <v>10</v>
      </c>
      <c r="D111" s="2" t="s">
        <v>79</v>
      </c>
      <c r="E111" s="2" t="s">
        <v>80</v>
      </c>
      <c r="F111" s="1" t="s">
        <v>86</v>
      </c>
      <c r="G111" s="1" t="s">
        <v>74</v>
      </c>
      <c r="H111" s="1" t="s">
        <v>82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1" s="2">
        <f>Games[[#This Row],[DaysOff]]-Games[[#This Row],[OppDaysOff]]</f>
        <v>0</v>
      </c>
      <c r="L111" s="2">
        <f>Games[[#This Row],[OppDaysOff]]-Games[[#This Row],[DaysOff]]</f>
        <v>0</v>
      </c>
      <c r="M111" s="1">
        <f>MAX(-16, MIN(16, Games[[#This Row],[RestDiff]]*8))</f>
        <v>0</v>
      </c>
      <c r="N111" s="1">
        <f>MAX(-16, MIN(16, Games[[#This Row],[OppRestDiff]]*8))</f>
        <v>0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1652.3460601656429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1618.8943402342488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0.66286914382087314</v>
      </c>
      <c r="R111" s="1">
        <v>89</v>
      </c>
      <c r="S111" s="1">
        <v>81</v>
      </c>
      <c r="T111" s="1">
        <v>0</v>
      </c>
      <c r="U111" s="1">
        <f>Games[[#This Row],[PointsFor]]-Games[[#This Row],[PointsAgainst]]</f>
        <v>8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0.37778425735992716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74.5</v>
      </c>
      <c r="Z111" s="4">
        <f>Games[[#This Row],[K]]*Games[[#This Row],[POMult]]</f>
        <v>74.5</v>
      </c>
      <c r="AA111" s="4">
        <f>(Games[[#This Row],[Keff]]*Games[[#This Row],[MOVMult]])*(Games[[#This Row],[Result]]-Games[[#This Row],[ExpectedWin%]])</f>
        <v>9.4885233950387153</v>
      </c>
      <c r="AB111" s="4">
        <f>Games[[#This Row],[PreGmRate]]+Games[[#This Row],[RatingChange]]</f>
        <v>1661.8345835606817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44713</v>
      </c>
      <c r="B112" s="2">
        <v>2022</v>
      </c>
      <c r="C112" s="2">
        <f>COUNTIFS(Games[Team],Games[[#This Row],[Team]],Games[Season],Games[[#This Row],[Season]],Games[Date],"&lt;=" &amp; Games[[#This Row],[Date]])</f>
        <v>10</v>
      </c>
      <c r="D112" s="2" t="s">
        <v>79</v>
      </c>
      <c r="E112" s="2" t="s">
        <v>80</v>
      </c>
      <c r="F112" s="1" t="s">
        <v>67</v>
      </c>
      <c r="G112" s="1" t="s">
        <v>77</v>
      </c>
      <c r="H112" s="1" t="s">
        <v>81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1469.8618451545494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1457.1960840964127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0.39876037619047183</v>
      </c>
      <c r="R112" s="1">
        <v>76</v>
      </c>
      <c r="S112" s="1">
        <v>84</v>
      </c>
      <c r="T112" s="1">
        <v>0</v>
      </c>
      <c r="U112" s="1">
        <f>Games[[#This Row],[PointsFor]]-Games[[#This Row],[PointsAgainst]]</f>
        <v>-8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0.3842597498563885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74.5</v>
      </c>
      <c r="Z112" s="4">
        <f>Games[[#This Row],[K]]*Games[[#This Row],[POMult]]</f>
        <v>74.5</v>
      </c>
      <c r="AA112" s="4">
        <f>(Games[[#This Row],[Keff]]*Games[[#This Row],[MOVMult]])*(Games[[#This Row],[Result]]-Games[[#This Row],[ExpectedWin%]])</f>
        <v>-11.415453399365461</v>
      </c>
      <c r="AB112" s="4">
        <f>Games[[#This Row],[PreGmRate]]+Games[[#This Row],[RatingChange]]</f>
        <v>1458.4463917551839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44713</v>
      </c>
      <c r="B113" s="2">
        <v>2022</v>
      </c>
      <c r="C113" s="2">
        <f>COUNTIFS(Games[Team],Games[[#This Row],[Team]],Games[Season],Games[[#This Row],[Season]],Games[Date],"&lt;=" &amp; Games[[#This Row],[Date]])</f>
        <v>9</v>
      </c>
      <c r="D113" s="2" t="s">
        <v>79</v>
      </c>
      <c r="E113" s="2" t="s">
        <v>80</v>
      </c>
      <c r="F113" s="1" t="s">
        <v>77</v>
      </c>
      <c r="G113" s="1" t="s">
        <v>67</v>
      </c>
      <c r="H113" s="1" t="s">
        <v>82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1457.1960840964127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1469.8618451545494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0.60123962380952822</v>
      </c>
      <c r="R113" s="1">
        <v>84</v>
      </c>
      <c r="S113" s="1">
        <v>76</v>
      </c>
      <c r="T113" s="1">
        <v>0</v>
      </c>
      <c r="U113" s="1">
        <f>Games[[#This Row],[PointsFor]]-Games[[#This Row],[PointsAgainst]]</f>
        <v>8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0.3842597498563885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74.650000000000006</v>
      </c>
      <c r="Z113" s="4">
        <f>Games[[#This Row],[K]]*Games[[#This Row],[POMult]]</f>
        <v>74.650000000000006</v>
      </c>
      <c r="AA113" s="4">
        <f>(Games[[#This Row],[Keff]]*Games[[#This Row],[MOVMult]])*(Games[[#This Row],[Result]]-Games[[#This Row],[ExpectedWin%]])</f>
        <v>11.438437533726599</v>
      </c>
      <c r="AB113" s="4">
        <f>Games[[#This Row],[PreGmRate]]+Games[[#This Row],[RatingChange]]</f>
        <v>1468.6345216301393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44713</v>
      </c>
      <c r="B114" s="2">
        <v>2022</v>
      </c>
      <c r="C114" s="2">
        <f>COUNTIFS(Games[Team],Games[[#This Row],[Team]],Games[Season],Games[[#This Row],[Season]],Games[Date],"&lt;=" &amp; Games[[#This Row],[Date]])</f>
        <v>12</v>
      </c>
      <c r="D114" s="2" t="s">
        <v>79</v>
      </c>
      <c r="E114" s="2" t="s">
        <v>80</v>
      </c>
      <c r="F114" s="1" t="s">
        <v>69</v>
      </c>
      <c r="G114" s="1" t="s">
        <v>60</v>
      </c>
      <c r="H114" s="1" t="s">
        <v>81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4" s="2">
        <f>Games[[#This Row],[DaysOff]]-Games[[#This Row],[OppDaysOff]]</f>
        <v>-2</v>
      </c>
      <c r="L114" s="2">
        <f>Games[[#This Row],[OppDaysOff]]-Games[[#This Row],[DaysOff]]</f>
        <v>2</v>
      </c>
      <c r="M114" s="1">
        <f>MAX(-16, MIN(16, Games[[#This Row],[RestDiff]]*8))</f>
        <v>-16</v>
      </c>
      <c r="N114" s="1">
        <f>MAX(-16, MIN(16, Games[[#This Row],[OppRestDiff]]*8))</f>
        <v>16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1348.8713316322217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1362.9403695438259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0.32109644033506007</v>
      </c>
      <c r="R114" s="1">
        <v>74</v>
      </c>
      <c r="S114" s="1">
        <v>87</v>
      </c>
      <c r="T114" s="1">
        <v>0</v>
      </c>
      <c r="U114" s="1">
        <f>Games[[#This Row],[PointsFor]]-Games[[#This Row],[PointsAgainst]]</f>
        <v>-13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0.46657355478839269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74.2</v>
      </c>
      <c r="Z114" s="4">
        <f>Games[[#This Row],[K]]*Games[[#This Row],[POMult]]</f>
        <v>74.2</v>
      </c>
      <c r="AA114" s="4">
        <f>(Games[[#This Row],[Keff]]*Games[[#This Row],[MOVMult]])*(Games[[#This Row],[Result]]-Games[[#This Row],[ExpectedWin%]])</f>
        <v>-11.116280983699479</v>
      </c>
      <c r="AB114" s="4">
        <f>Games[[#This Row],[PreGmRate]]+Games[[#This Row],[RatingChange]]</f>
        <v>1337.7550506485222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44713</v>
      </c>
      <c r="B115" s="2">
        <v>2022</v>
      </c>
      <c r="C115" s="2">
        <f>COUNTIFS(Games[Team],Games[[#This Row],[Team]],Games[Season],Games[[#This Row],[Season]],Games[Date],"&lt;=" &amp; Games[[#This Row],[Date]])</f>
        <v>9</v>
      </c>
      <c r="D115" s="2" t="s">
        <v>79</v>
      </c>
      <c r="E115" s="2" t="s">
        <v>80</v>
      </c>
      <c r="F115" s="1" t="s">
        <v>60</v>
      </c>
      <c r="G115" s="1" t="s">
        <v>69</v>
      </c>
      <c r="H115" s="1" t="s">
        <v>82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5" s="2">
        <f>Games[[#This Row],[DaysOff]]-Games[[#This Row],[OppDaysOff]]</f>
        <v>2</v>
      </c>
      <c r="L115" s="2">
        <f>Games[[#This Row],[OppDaysOff]]-Games[[#This Row],[DaysOff]]</f>
        <v>-2</v>
      </c>
      <c r="M115" s="1">
        <f>MAX(-16, MIN(16, Games[[#This Row],[RestDiff]]*8))</f>
        <v>16</v>
      </c>
      <c r="N115" s="1">
        <f>MAX(-16, MIN(16, Games[[#This Row],[OppRestDiff]]*8))</f>
        <v>-16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1362.9403695438259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1348.8713316322217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0.67890355966493987</v>
      </c>
      <c r="R115" s="1">
        <v>87</v>
      </c>
      <c r="S115" s="1">
        <v>74</v>
      </c>
      <c r="T115" s="1">
        <v>0</v>
      </c>
      <c r="U115" s="1">
        <f>Games[[#This Row],[PointsFor]]-Games[[#This Row],[PointsAgainst]]</f>
        <v>13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0.46657355478839269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74.650000000000006</v>
      </c>
      <c r="Z115" s="4">
        <f>Games[[#This Row],[K]]*Games[[#This Row],[POMult]]</f>
        <v>74.650000000000006</v>
      </c>
      <c r="AA115" s="4">
        <f>(Games[[#This Row],[Keff]]*Games[[#This Row],[MOVMult]])*(Games[[#This Row],[Result]]-Games[[#This Row],[ExpectedWin%]])</f>
        <v>11.183697782118143</v>
      </c>
      <c r="AB115" s="4">
        <f>Games[[#This Row],[PreGmRate]]+Games[[#This Row],[RatingChange]]</f>
        <v>1374.124067325944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44714</v>
      </c>
      <c r="B116" s="2">
        <v>2022</v>
      </c>
      <c r="C116" s="2">
        <f>COUNTIFS(Games[Team],Games[[#This Row],[Team]],Games[Season],Games[[#This Row],[Season]],Games[Date],"&lt;=" &amp; Games[[#This Row],[Date]])</f>
        <v>10</v>
      </c>
      <c r="D116" s="2" t="s">
        <v>79</v>
      </c>
      <c r="E116" s="2" t="s">
        <v>80</v>
      </c>
      <c r="F116" s="1" t="s">
        <v>74</v>
      </c>
      <c r="G116" s="1" t="s">
        <v>86</v>
      </c>
      <c r="H116" s="1" t="s">
        <v>81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1609.3867124296899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1661.8345835606817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0.31314495272581555</v>
      </c>
      <c r="R116" s="1">
        <v>97</v>
      </c>
      <c r="S116" s="1">
        <v>90</v>
      </c>
      <c r="T116" s="1">
        <v>0</v>
      </c>
      <c r="U116" s="1">
        <f>Games[[#This Row],[PointsFor]]-Games[[#This Row],[PointsAgainst]]</f>
        <v>7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0.35460845694402016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74.5</v>
      </c>
      <c r="Z116" s="4">
        <f>Games[[#This Row],[K]]*Games[[#This Row],[POMult]]</f>
        <v>74.5</v>
      </c>
      <c r="AA116" s="4">
        <f>(Games[[#This Row],[Keff]]*Games[[#This Row],[MOVMult]])*(Games[[#This Row],[Result]]-Games[[#This Row],[ExpectedWin%]])</f>
        <v>18.145563330129235</v>
      </c>
      <c r="AB116" s="4">
        <f>Games[[#This Row],[PreGmRate]]+Games[[#This Row],[RatingChange]]</f>
        <v>1627.5322757598192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44714</v>
      </c>
      <c r="B117" s="2">
        <v>2022</v>
      </c>
      <c r="C117" s="2">
        <f>COUNTIFS(Games[Team],Games[[#This Row],[Team]],Games[Season],Games[[#This Row],[Season]],Games[Date],"&lt;=" &amp; Games[[#This Row],[Date]])</f>
        <v>11</v>
      </c>
      <c r="D117" s="2" t="s">
        <v>79</v>
      </c>
      <c r="E117" s="2" t="s">
        <v>80</v>
      </c>
      <c r="F117" s="1" t="s">
        <v>86</v>
      </c>
      <c r="G117" s="1" t="s">
        <v>74</v>
      </c>
      <c r="H117" s="1" t="s">
        <v>82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1661.8345835606817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1609.3867124296899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0.68685504727418445</v>
      </c>
      <c r="R117" s="1">
        <v>90</v>
      </c>
      <c r="S117" s="1">
        <v>97</v>
      </c>
      <c r="T117" s="1">
        <v>0</v>
      </c>
      <c r="U117" s="1">
        <f>Games[[#This Row],[PointsFor]]-Games[[#This Row],[PointsAgainst]]</f>
        <v>-7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0.35460845694402016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74.349999999999994</v>
      </c>
      <c r="Z117" s="4">
        <f>Games[[#This Row],[K]]*Games[[#This Row],[POMult]]</f>
        <v>74.349999999999994</v>
      </c>
      <c r="AA117" s="4">
        <f>(Games[[#This Row],[Keff]]*Games[[#This Row],[MOVMult]])*(Games[[#This Row],[Result]]-Games[[#This Row],[ExpectedWin%]])</f>
        <v>-18.109028638860519</v>
      </c>
      <c r="AB117" s="4">
        <f>Games[[#This Row],[PreGmRate]]+Games[[#This Row],[RatingChange]]</f>
        <v>1643.7255549218212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44715</v>
      </c>
      <c r="B118" s="2">
        <v>2022</v>
      </c>
      <c r="C118" s="2">
        <f>COUNTIFS(Games[Team],Games[[#This Row],[Team]],Games[Season],Games[[#This Row],[Season]],Games[Date],"&lt;=" &amp; Games[[#This Row],[Date]])</f>
        <v>9</v>
      </c>
      <c r="D118" s="2" t="s">
        <v>79</v>
      </c>
      <c r="E118" s="2" t="s">
        <v>80</v>
      </c>
      <c r="F118" s="1" t="s">
        <v>75</v>
      </c>
      <c r="G118" s="1" t="s">
        <v>77</v>
      </c>
      <c r="H118" s="1" t="s">
        <v>81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1</v>
      </c>
      <c r="L118" s="2">
        <f>Games[[#This Row],[OppDaysOff]]-Games[[#This Row],[DaysOff]]</f>
        <v>-1</v>
      </c>
      <c r="M118" s="1">
        <f>MAX(-16, MIN(16, Games[[#This Row],[RestDiff]]*8))</f>
        <v>8</v>
      </c>
      <c r="N118" s="1">
        <f>MAX(-16, MIN(16, Games[[#This Row],[OppRestDiff]]*8))</f>
        <v>-8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1573.8572670231883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1468.6345216301393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0.55336382180957755</v>
      </c>
      <c r="R118" s="1">
        <v>73</v>
      </c>
      <c r="S118" s="1">
        <v>65</v>
      </c>
      <c r="T118" s="1">
        <v>0</v>
      </c>
      <c r="U118" s="1">
        <f>Games[[#This Row],[PointsFor]]-Games[[#This Row],[PointsAgainst]]</f>
        <v>8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0.35701081953125463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74.650000000000006</v>
      </c>
      <c r="Z118" s="4">
        <f>Games[[#This Row],[K]]*Games[[#This Row],[POMult]]</f>
        <v>74.650000000000006</v>
      </c>
      <c r="AA118" s="4">
        <f>(Games[[#This Row],[Keff]]*Games[[#This Row],[MOVMult]])*(Games[[#This Row],[Result]]-Games[[#This Row],[ExpectedWin%]])</f>
        <v>11.903237218802442</v>
      </c>
      <c r="AB118" s="4">
        <f>Games[[#This Row],[PreGmRate]]+Games[[#This Row],[RatingChange]]</f>
        <v>1585.7605042419907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44715</v>
      </c>
      <c r="B119" s="2">
        <v>2022</v>
      </c>
      <c r="C119" s="2">
        <f>COUNTIFS(Games[Team],Games[[#This Row],[Team]],Games[Season],Games[[#This Row],[Season]],Games[Date],"&lt;=" &amp; Games[[#This Row],[Date]])</f>
        <v>10</v>
      </c>
      <c r="D119" s="2" t="s">
        <v>79</v>
      </c>
      <c r="E119" s="2" t="s">
        <v>80</v>
      </c>
      <c r="F119" s="1" t="s">
        <v>77</v>
      </c>
      <c r="G119" s="1" t="s">
        <v>75</v>
      </c>
      <c r="H119" s="1" t="s">
        <v>82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9" s="2">
        <f>Games[[#This Row],[DaysOff]]-Games[[#This Row],[OppDaysOff]]</f>
        <v>-1</v>
      </c>
      <c r="L119" s="2">
        <f>Games[[#This Row],[OppDaysOff]]-Games[[#This Row],[DaysOff]]</f>
        <v>1</v>
      </c>
      <c r="M119" s="1">
        <f>MAX(-16, MIN(16, Games[[#This Row],[RestDiff]]*8))</f>
        <v>-8</v>
      </c>
      <c r="N119" s="1">
        <f>MAX(-16, MIN(16, Games[[#This Row],[OppRestDiff]]*8))</f>
        <v>8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1468.6345216301393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1573.8572670231883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0.44663617819042251</v>
      </c>
      <c r="R119" s="1">
        <v>65</v>
      </c>
      <c r="S119" s="1">
        <v>73</v>
      </c>
      <c r="T119" s="1">
        <v>0</v>
      </c>
      <c r="U119" s="1">
        <f>Games[[#This Row],[PointsFor]]-Games[[#This Row],[PointsAgainst]]</f>
        <v>-8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0.35701081953125463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74.5</v>
      </c>
      <c r="Z119" s="4">
        <f>Games[[#This Row],[K]]*Games[[#This Row],[POMult]]</f>
        <v>74.5</v>
      </c>
      <c r="AA119" s="4">
        <f>(Games[[#This Row],[Keff]]*Games[[#This Row],[MOVMult]])*(Games[[#This Row],[Result]]-Games[[#This Row],[ExpectedWin%]])</f>
        <v>-11.879319126601231</v>
      </c>
      <c r="AB119" s="4">
        <f>Games[[#This Row],[PreGmRate]]+Games[[#This Row],[RatingChange]]</f>
        <v>1456.7552025035379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44715</v>
      </c>
      <c r="B120" s="2">
        <v>2022</v>
      </c>
      <c r="C120" s="2">
        <f>COUNTIFS(Games[Team],Games[[#This Row],[Team]],Games[Season],Games[[#This Row],[Season]],Games[Date],"&lt;=" &amp; Games[[#This Row],[Date]])</f>
        <v>11</v>
      </c>
      <c r="D120" s="2" t="s">
        <v>79</v>
      </c>
      <c r="E120" s="2" t="s">
        <v>80</v>
      </c>
      <c r="F120" s="1" t="s">
        <v>74</v>
      </c>
      <c r="G120" s="1" t="s">
        <v>40</v>
      </c>
      <c r="H120" s="1" t="s">
        <v>81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0" s="2">
        <f>Games[[#This Row],[DaysOff]]-Games[[#This Row],[OppDaysOff]]</f>
        <v>-2</v>
      </c>
      <c r="L120" s="2">
        <f>Games[[#This Row],[OppDaysOff]]-Games[[#This Row],[DaysOff]]</f>
        <v>2</v>
      </c>
      <c r="M120" s="1">
        <f>MAX(-16, MIN(16, Games[[#This Row],[RestDiff]]*8))</f>
        <v>-16</v>
      </c>
      <c r="N120" s="1">
        <f>MAX(-16, MIN(16, Games[[#This Row],[OppRestDiff]]*8))</f>
        <v>16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1627.5322757598192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1467.3416421231605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0.56325469990118449</v>
      </c>
      <c r="R120" s="1">
        <v>92</v>
      </c>
      <c r="S120" s="1">
        <v>88</v>
      </c>
      <c r="T120" s="1">
        <v>0</v>
      </c>
      <c r="U120" s="1">
        <f>Games[[#This Row],[PointsFor]]-Games[[#This Row],[PointsAgainst]]</f>
        <v>4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0.27475507670969967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74.349999999999994</v>
      </c>
      <c r="Z120" s="4">
        <f>Games[[#This Row],[K]]*Games[[#This Row],[POMult]]</f>
        <v>74.349999999999994</v>
      </c>
      <c r="AA120" s="4">
        <f>(Games[[#This Row],[Keff]]*Games[[#This Row],[MOVMult]])*(Games[[#This Row],[Result]]-Games[[#This Row],[ExpectedWin%]])</f>
        <v>8.9218504398635012</v>
      </c>
      <c r="AB120" s="4">
        <f>Games[[#This Row],[PreGmRate]]+Games[[#This Row],[RatingChange]]</f>
        <v>1636.4541261996826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44715</v>
      </c>
      <c r="B121" s="2">
        <v>2022</v>
      </c>
      <c r="C121" s="2">
        <f>COUNTIFS(Games[Team],Games[[#This Row],[Team]],Games[Season],Games[[#This Row],[Season]],Games[Date],"&lt;=" &amp; Games[[#This Row],[Date]])</f>
        <v>10</v>
      </c>
      <c r="D121" s="2" t="s">
        <v>79</v>
      </c>
      <c r="E121" s="2" t="s">
        <v>80</v>
      </c>
      <c r="F121" s="1" t="s">
        <v>40</v>
      </c>
      <c r="G121" s="1" t="s">
        <v>74</v>
      </c>
      <c r="H121" s="1" t="s">
        <v>82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1" s="2">
        <f>Games[[#This Row],[DaysOff]]-Games[[#This Row],[OppDaysOff]]</f>
        <v>2</v>
      </c>
      <c r="L121" s="2">
        <f>Games[[#This Row],[OppDaysOff]]-Games[[#This Row],[DaysOff]]</f>
        <v>-2</v>
      </c>
      <c r="M121" s="1">
        <f>MAX(-16, MIN(16, Games[[#This Row],[RestDiff]]*8))</f>
        <v>16</v>
      </c>
      <c r="N121" s="1">
        <f>MAX(-16, MIN(16, Games[[#This Row],[OppRestDiff]]*8))</f>
        <v>-16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1467.3416421231605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1627.5322757598192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0.43674530009881551</v>
      </c>
      <c r="R121" s="1">
        <v>88</v>
      </c>
      <c r="S121" s="1">
        <v>92</v>
      </c>
      <c r="T121" s="1">
        <v>0</v>
      </c>
      <c r="U121" s="1">
        <f>Games[[#This Row],[PointsFor]]-Games[[#This Row],[PointsAgainst]]</f>
        <v>-4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0.27475507670969967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74.5</v>
      </c>
      <c r="Z121" s="4">
        <f>Games[[#This Row],[K]]*Games[[#This Row],[POMult]]</f>
        <v>74.5</v>
      </c>
      <c r="AA121" s="4">
        <f>(Games[[#This Row],[Keff]]*Games[[#This Row],[MOVMult]])*(Games[[#This Row],[Result]]-Games[[#This Row],[ExpectedWin%]])</f>
        <v>-8.9398501381281896</v>
      </c>
      <c r="AB121" s="4">
        <f>Games[[#This Row],[PreGmRate]]+Games[[#This Row],[RatingChange]]</f>
        <v>1458.4017919850323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44715</v>
      </c>
      <c r="B122" s="2">
        <v>2022</v>
      </c>
      <c r="C122" s="2">
        <f>COUNTIFS(Games[Team],Games[[#This Row],[Team]],Games[Season],Games[[#This Row],[Season]],Games[Date],"&lt;=" &amp; Games[[#This Row],[Date]])</f>
        <v>10</v>
      </c>
      <c r="D122" s="2" t="s">
        <v>79</v>
      </c>
      <c r="E122" s="2" t="s">
        <v>80</v>
      </c>
      <c r="F122" s="1" t="s">
        <v>85</v>
      </c>
      <c r="G122" s="1" t="s">
        <v>71</v>
      </c>
      <c r="H122" s="1" t="s">
        <v>81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22" s="2">
        <f>Games[[#This Row],[DaysOff]]-Games[[#This Row],[OppDaysOff]]</f>
        <v>-2</v>
      </c>
      <c r="L122" s="2">
        <f>Games[[#This Row],[OppDaysOff]]-Games[[#This Row],[DaysOff]]</f>
        <v>2</v>
      </c>
      <c r="M122" s="1">
        <f>MAX(-16, MIN(16, Games[[#This Row],[RestDiff]]*8))</f>
        <v>-16</v>
      </c>
      <c r="N122" s="1">
        <f>MAX(-16, MIN(16, Games[[#This Row],[OppRestDiff]]*8))</f>
        <v>16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1498.0593024024574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1545.875070068146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0.28029488386156765</v>
      </c>
      <c r="R122" s="1">
        <v>68</v>
      </c>
      <c r="S122" s="1">
        <v>51</v>
      </c>
      <c r="T122" s="1">
        <v>0</v>
      </c>
      <c r="U122" s="1">
        <f>Games[[#This Row],[PointsFor]]-Games[[#This Row],[PointsAgainst]]</f>
        <v>17</v>
      </c>
      <c r="V122" s="1">
        <f>IF(Games[[#This Row],[MOV]]&gt;0,1,IF(Games[[#This Row],[MOV]]=0,0.5,0))</f>
        <v>1</v>
      </c>
      <c r="W122" s="4">
        <f>((ABS(Games[[#This Row],[MOV]])+5)^0.6)/(12+0.01*(ABS(Games[[#This Row],[PreGmRate]]-Games[[#This Row],[OppPreGmRate]])))*IF(Games[[#This Row],[OT]]=1,0.9,1)</f>
        <v>0.51203911623400589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74.5</v>
      </c>
      <c r="Z122" s="4">
        <f>Games[[#This Row],[K]]*Games[[#This Row],[POMult]]</f>
        <v>74.5</v>
      </c>
      <c r="AA122" s="4">
        <f>(Games[[#This Row],[Keff]]*Games[[#This Row],[MOVMult]])*(Games[[#This Row],[Result]]-Games[[#This Row],[ExpectedWin%]])</f>
        <v>27.45452928543785</v>
      </c>
      <c r="AB122" s="4">
        <f>Games[[#This Row],[PreGmRate]]+Games[[#This Row],[RatingChange]]</f>
        <v>1525.5138316878954</v>
      </c>
      <c r="AC122" s="2">
        <f>IF(Games[[#This Row],[Type]]="R",IF(Games[[#This Row],[Result]]&gt;0.5,1,0),0)</f>
        <v>1</v>
      </c>
      <c r="AD122" s="2">
        <f>IF(Games[[#This Row],[Type]]="R",IF(Games[[#This Row],[Result]]&lt;0.5,1,0),0)</f>
        <v>0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44715</v>
      </c>
      <c r="B123" s="2">
        <v>2022</v>
      </c>
      <c r="C123" s="2">
        <f>COUNTIFS(Games[Team],Games[[#This Row],[Team]],Games[Season],Games[[#This Row],[Season]],Games[Date],"&lt;=" &amp; Games[[#This Row],[Date]])</f>
        <v>9</v>
      </c>
      <c r="D123" s="2" t="s">
        <v>79</v>
      </c>
      <c r="E123" s="2" t="s">
        <v>80</v>
      </c>
      <c r="F123" s="1" t="s">
        <v>71</v>
      </c>
      <c r="G123" s="1" t="s">
        <v>85</v>
      </c>
      <c r="H123" s="1" t="s">
        <v>82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2</v>
      </c>
      <c r="L123" s="2">
        <f>Games[[#This Row],[OppDaysOff]]-Games[[#This Row],[DaysOff]]</f>
        <v>-2</v>
      </c>
      <c r="M123" s="1">
        <f>MAX(-16, MIN(16, Games[[#This Row],[RestDiff]]*8))</f>
        <v>16</v>
      </c>
      <c r="N123" s="1">
        <f>MAX(-16, MIN(16, Games[[#This Row],[OppRestDiff]]*8))</f>
        <v>-16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1545.875070068146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1498.0593024024574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0.71970511613843235</v>
      </c>
      <c r="R123" s="1">
        <v>51</v>
      </c>
      <c r="S123" s="1">
        <v>68</v>
      </c>
      <c r="T123" s="1">
        <v>0</v>
      </c>
      <c r="U123" s="1">
        <f>Games[[#This Row],[PointsFor]]-Games[[#This Row],[PointsAgainst]]</f>
        <v>-17</v>
      </c>
      <c r="V123" s="1">
        <f>IF(Games[[#This Row],[MOV]]&gt;0,1,IF(Games[[#This Row],[MOV]]=0,0.5,0))</f>
        <v>0</v>
      </c>
      <c r="W123" s="4">
        <f>((ABS(Games[[#This Row],[MOV]])+5)^0.6)/(12+0.01*(ABS(Games[[#This Row],[PreGmRate]]-Games[[#This Row],[OppPreGmRate]])))*IF(Games[[#This Row],[OT]]=1,0.9,1)</f>
        <v>0.51203911623400589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74.650000000000006</v>
      </c>
      <c r="Z123" s="4">
        <f>Games[[#This Row],[K]]*Games[[#This Row],[POMult]]</f>
        <v>74.650000000000006</v>
      </c>
      <c r="AA123" s="4">
        <f>(Games[[#This Row],[Keff]]*Games[[#This Row],[MOVMult]])*(Games[[#This Row],[Result]]-Games[[#This Row],[ExpectedWin%]])</f>
        <v>-27.509806861180348</v>
      </c>
      <c r="AB123" s="4">
        <f>Games[[#This Row],[PreGmRate]]+Games[[#This Row],[RatingChange]]</f>
        <v>1518.3652632069657</v>
      </c>
      <c r="AC123" s="2">
        <f>IF(Games[[#This Row],[Type]]="R",IF(Games[[#This Row],[Result]]&gt;0.5,1,0),0)</f>
        <v>0</v>
      </c>
      <c r="AD123" s="2">
        <f>IF(Games[[#This Row],[Type]]="R",IF(Games[[#This Row],[Result]]&lt;0.5,1,0),0)</f>
        <v>1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44715</v>
      </c>
      <c r="B124" s="2">
        <v>2022</v>
      </c>
      <c r="C124" s="2">
        <f>COUNTIFS(Games[Team],Games[[#This Row],[Team]],Games[Season],Games[[#This Row],[Season]],Games[Date],"&lt;=" &amp; Games[[#This Row],[Date]])</f>
        <v>10</v>
      </c>
      <c r="D124" s="2" t="s">
        <v>79</v>
      </c>
      <c r="E124" s="2" t="s">
        <v>80</v>
      </c>
      <c r="F124" s="1" t="s">
        <v>60</v>
      </c>
      <c r="G124" s="1" t="s">
        <v>65</v>
      </c>
      <c r="H124" s="1" t="s">
        <v>81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4" s="2">
        <f>Games[[#This Row],[DaysOff]]-Games[[#This Row],[OppDaysOff]]</f>
        <v>-1</v>
      </c>
      <c r="L124" s="2">
        <f>Games[[#This Row],[OppDaysOff]]-Games[[#This Row],[DaysOff]]</f>
        <v>1</v>
      </c>
      <c r="M124" s="1">
        <f>MAX(-16, MIN(16, Games[[#This Row],[RestDiff]]*8))</f>
        <v>-8</v>
      </c>
      <c r="N124" s="1">
        <f>MAX(-16, MIN(16, Games[[#This Row],[OppRestDiff]]*8))</f>
        <v>8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1374.124067325944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1531.2867741632076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0.18537493145617981</v>
      </c>
      <c r="R124" s="1">
        <v>74</v>
      </c>
      <c r="S124" s="1">
        <v>70</v>
      </c>
      <c r="T124" s="1">
        <v>0</v>
      </c>
      <c r="U124" s="1">
        <f>Games[[#This Row],[PointsFor]]-Games[[#This Row],[PointsAgainst]]</f>
        <v>4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0.2753680748829091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74.5</v>
      </c>
      <c r="Z124" s="4">
        <f>Games[[#This Row],[K]]*Games[[#This Row],[POMult]]</f>
        <v>74.5</v>
      </c>
      <c r="AA124" s="4">
        <f>(Games[[#This Row],[Keff]]*Games[[#This Row],[MOVMult]])*(Games[[#This Row],[Result]]-Games[[#This Row],[ExpectedWin%]])</f>
        <v>16.71196939728209</v>
      </c>
      <c r="AB124" s="4">
        <f>Games[[#This Row],[PreGmRate]]+Games[[#This Row],[RatingChange]]</f>
        <v>1390.836036723226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44715</v>
      </c>
      <c r="B125" s="2">
        <v>2022</v>
      </c>
      <c r="C125" s="2">
        <f>COUNTIFS(Games[Team],Games[[#This Row],[Team]],Games[Season],Games[[#This Row],[Season]],Games[Date],"&lt;=" &amp; Games[[#This Row],[Date]])</f>
        <v>11</v>
      </c>
      <c r="D125" s="2" t="s">
        <v>79</v>
      </c>
      <c r="E125" s="2" t="s">
        <v>80</v>
      </c>
      <c r="F125" s="1" t="s">
        <v>65</v>
      </c>
      <c r="G125" s="1" t="s">
        <v>60</v>
      </c>
      <c r="H125" s="1" t="s">
        <v>82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5" s="2">
        <f>Games[[#This Row],[DaysOff]]-Games[[#This Row],[OppDaysOff]]</f>
        <v>1</v>
      </c>
      <c r="L125" s="2">
        <f>Games[[#This Row],[OppDaysOff]]-Games[[#This Row],[DaysOff]]</f>
        <v>-1</v>
      </c>
      <c r="M125" s="1">
        <f>MAX(-16, MIN(16, Games[[#This Row],[RestDiff]]*8))</f>
        <v>8</v>
      </c>
      <c r="N125" s="1">
        <f>MAX(-16, MIN(16, Games[[#This Row],[OppRestDiff]]*8))</f>
        <v>-8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1531.2867741632076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1374.124067325944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0.81462506854382022</v>
      </c>
      <c r="R125" s="1">
        <v>70</v>
      </c>
      <c r="S125" s="1">
        <v>74</v>
      </c>
      <c r="T125" s="1">
        <v>0</v>
      </c>
      <c r="U125" s="1">
        <f>Games[[#This Row],[PointsFor]]-Games[[#This Row],[PointsAgainst]]</f>
        <v>-4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0.2753680748829091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74.349999999999994</v>
      </c>
      <c r="Z125" s="4">
        <f>Games[[#This Row],[K]]*Games[[#This Row],[POMult]]</f>
        <v>74.349999999999994</v>
      </c>
      <c r="AA125" s="4">
        <f>(Games[[#This Row],[Keff]]*Games[[#This Row],[MOVMult]])*(Games[[#This Row],[Result]]-Games[[#This Row],[ExpectedWin%]])</f>
        <v>-16.678321136750647</v>
      </c>
      <c r="AB125" s="4">
        <f>Games[[#This Row],[PreGmRate]]+Games[[#This Row],[RatingChange]]</f>
        <v>1514.608453026457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44717</v>
      </c>
      <c r="B126" s="2">
        <v>2022</v>
      </c>
      <c r="C126" s="2">
        <f>COUNTIFS(Games[Team],Games[[#This Row],[Team]],Games[Season],Games[[#This Row],[Season]],Games[Date],"&lt;=" &amp; Games[[#This Row],[Date]])</f>
        <v>13</v>
      </c>
      <c r="D126" s="2" t="s">
        <v>79</v>
      </c>
      <c r="E126" s="2" t="s">
        <v>80</v>
      </c>
      <c r="F126" s="1" t="s">
        <v>69</v>
      </c>
      <c r="G126" s="1" t="s">
        <v>77</v>
      </c>
      <c r="H126" s="1" t="s">
        <v>81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6" s="2">
        <f>Games[[#This Row],[DaysOff]]-Games[[#This Row],[OppDaysOff]]</f>
        <v>2</v>
      </c>
      <c r="L126" s="2">
        <f>Games[[#This Row],[OppDaysOff]]-Games[[#This Row],[DaysOff]]</f>
        <v>-2</v>
      </c>
      <c r="M126" s="1">
        <f>MAX(-16, MIN(16, Games[[#This Row],[RestDiff]]*8))</f>
        <v>16</v>
      </c>
      <c r="N126" s="1">
        <f>MAX(-16, MIN(16, Games[[#This Row],[OppRestDiff]]*8))</f>
        <v>-16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1337.7550506485222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1456.7552025035379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0.27202831334924538</v>
      </c>
      <c r="R126" s="1">
        <v>66</v>
      </c>
      <c r="S126" s="1">
        <v>75</v>
      </c>
      <c r="T126" s="1">
        <v>0</v>
      </c>
      <c r="U126" s="1">
        <f>Games[[#This Row],[PointsFor]]-Games[[#This Row],[PointsAgainst]]</f>
        <v>-9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0.36934478884748495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74.05</v>
      </c>
      <c r="Z126" s="4">
        <f>Games[[#This Row],[K]]*Games[[#This Row],[POMult]]</f>
        <v>74.05</v>
      </c>
      <c r="AA126" s="4">
        <f>(Games[[#This Row],[Keff]]*Games[[#This Row],[MOVMult]])*(Games[[#This Row],[Result]]-Games[[#This Row],[ExpectedWin%]])</f>
        <v>-7.4399693686317985</v>
      </c>
      <c r="AB126" s="4">
        <f>Games[[#This Row],[PreGmRate]]+Games[[#This Row],[RatingChange]]</f>
        <v>1330.3150812798904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44717</v>
      </c>
      <c r="B127" s="2">
        <v>2022</v>
      </c>
      <c r="C127" s="2">
        <f>COUNTIFS(Games[Team],Games[[#This Row],[Team]],Games[Season],Games[[#This Row],[Season]],Games[Date],"&lt;=" &amp; Games[[#This Row],[Date]])</f>
        <v>11</v>
      </c>
      <c r="D127" s="2" t="s">
        <v>79</v>
      </c>
      <c r="E127" s="2" t="s">
        <v>80</v>
      </c>
      <c r="F127" s="1" t="s">
        <v>77</v>
      </c>
      <c r="G127" s="1" t="s">
        <v>69</v>
      </c>
      <c r="H127" s="1" t="s">
        <v>82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7" s="2">
        <f>Games[[#This Row],[DaysOff]]-Games[[#This Row],[OppDaysOff]]</f>
        <v>-2</v>
      </c>
      <c r="L127" s="2">
        <f>Games[[#This Row],[OppDaysOff]]-Games[[#This Row],[DaysOff]]</f>
        <v>2</v>
      </c>
      <c r="M127" s="1">
        <f>MAX(-16, MIN(16, Games[[#This Row],[RestDiff]]*8))</f>
        <v>-16</v>
      </c>
      <c r="N127" s="1">
        <f>MAX(-16, MIN(16, Games[[#This Row],[OppRestDiff]]*8))</f>
        <v>16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1456.7552025035379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1337.7550506485222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0.72797168665075462</v>
      </c>
      <c r="R127" s="1">
        <v>75</v>
      </c>
      <c r="S127" s="1">
        <v>66</v>
      </c>
      <c r="T127" s="1">
        <v>0</v>
      </c>
      <c r="U127" s="1">
        <f>Games[[#This Row],[PointsFor]]-Games[[#This Row],[PointsAgainst]]</f>
        <v>9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0.36934478884748495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74.349999999999994</v>
      </c>
      <c r="Z127" s="4">
        <f>Games[[#This Row],[K]]*Games[[#This Row],[POMult]]</f>
        <v>74.349999999999994</v>
      </c>
      <c r="AA127" s="4">
        <f>(Games[[#This Row],[Keff]]*Games[[#This Row],[MOVMult]])*(Games[[#This Row],[Result]]-Games[[#This Row],[ExpectedWin%]])</f>
        <v>7.4701110406181526</v>
      </c>
      <c r="AB127" s="4">
        <f>Games[[#This Row],[PreGmRate]]+Games[[#This Row],[RatingChange]]</f>
        <v>1464.2253135441561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44717</v>
      </c>
      <c r="B128" s="2">
        <v>2022</v>
      </c>
      <c r="C128" s="2">
        <f>COUNTIFS(Games[Team],Games[[#This Row],[Team]],Games[Season],Games[[#This Row],[Season]],Games[Date],"&lt;=" &amp; Games[[#This Row],[Date]])</f>
        <v>12</v>
      </c>
      <c r="D128" s="2" t="s">
        <v>79</v>
      </c>
      <c r="E128" s="2" t="s">
        <v>80</v>
      </c>
      <c r="F128" s="1" t="s">
        <v>65</v>
      </c>
      <c r="G128" s="1" t="s">
        <v>75</v>
      </c>
      <c r="H128" s="1" t="s">
        <v>81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8" s="2">
        <f>Games[[#This Row],[DaysOff]]-Games[[#This Row],[OppDaysOff]]</f>
        <v>0</v>
      </c>
      <c r="L128" s="2">
        <f>Games[[#This Row],[OppDaysOff]]-Games[[#This Row],[DaysOff]]</f>
        <v>0</v>
      </c>
      <c r="M128" s="1">
        <f>MAX(-16, MIN(16, Games[[#This Row],[RestDiff]]*8))</f>
        <v>0</v>
      </c>
      <c r="N128" s="1">
        <f>MAX(-16, MIN(16, Games[[#This Row],[OppRestDiff]]*8))</f>
        <v>0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1514.608453026457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1585.7605042419907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0.29046494602396189</v>
      </c>
      <c r="R128" s="1">
        <v>82</v>
      </c>
      <c r="S128" s="1">
        <v>91</v>
      </c>
      <c r="T128" s="1">
        <v>0</v>
      </c>
      <c r="U128" s="1">
        <f>Games[[#This Row],[PointsFor]]-Games[[#This Row],[PointsAgainst]]</f>
        <v>-9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0.38324748963811306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74.2</v>
      </c>
      <c r="Z128" s="4">
        <f>Games[[#This Row],[K]]*Games[[#This Row],[POMult]]</f>
        <v>74.2</v>
      </c>
      <c r="AA128" s="4">
        <f>(Games[[#This Row],[Keff]]*Games[[#This Row],[MOVMult]])*(Games[[#This Row],[Result]]-Games[[#This Row],[ExpectedWin%]])</f>
        <v>-8.2599411352532623</v>
      </c>
      <c r="AB128" s="4">
        <f>Games[[#This Row],[PreGmRate]]+Games[[#This Row],[RatingChange]]</f>
        <v>1506.3485118912038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44717</v>
      </c>
      <c r="B129" s="2">
        <v>2022</v>
      </c>
      <c r="C129" s="2">
        <f>COUNTIFS(Games[Team],Games[[#This Row],[Team]],Games[Season],Games[[#This Row],[Season]],Games[Date],"&lt;=" &amp; Games[[#This Row],[Date]])</f>
        <v>10</v>
      </c>
      <c r="D129" s="2" t="s">
        <v>79</v>
      </c>
      <c r="E129" s="2" t="s">
        <v>80</v>
      </c>
      <c r="F129" s="1" t="s">
        <v>75</v>
      </c>
      <c r="G129" s="1" t="s">
        <v>65</v>
      </c>
      <c r="H129" s="1" t="s">
        <v>82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0</v>
      </c>
      <c r="L129" s="2">
        <f>Games[[#This Row],[OppDaysOff]]-Games[[#This Row],[DaysOff]]</f>
        <v>0</v>
      </c>
      <c r="M129" s="1">
        <f>MAX(-16, MIN(16, Games[[#This Row],[RestDiff]]*8))</f>
        <v>0</v>
      </c>
      <c r="N129" s="1">
        <f>MAX(-16, MIN(16, Games[[#This Row],[OppRestDiff]]*8))</f>
        <v>0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1585.7605042419907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1514.608453026457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0.70953505397603811</v>
      </c>
      <c r="R129" s="1">
        <v>91</v>
      </c>
      <c r="S129" s="1">
        <v>82</v>
      </c>
      <c r="T129" s="1">
        <v>0</v>
      </c>
      <c r="U129" s="1">
        <f>Games[[#This Row],[PointsFor]]-Games[[#This Row],[PointsAgainst]]</f>
        <v>9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0.38324748963811306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74.5</v>
      </c>
      <c r="Z129" s="4">
        <f>Games[[#This Row],[K]]*Games[[#This Row],[POMult]]</f>
        <v>74.5</v>
      </c>
      <c r="AA129" s="4">
        <f>(Games[[#This Row],[Keff]]*Games[[#This Row],[MOVMult]])*(Games[[#This Row],[Result]]-Games[[#This Row],[ExpectedWin%]])</f>
        <v>8.2933371236707281</v>
      </c>
      <c r="AB129" s="4">
        <f>Games[[#This Row],[PreGmRate]]+Games[[#This Row],[RatingChange]]</f>
        <v>1594.0538413656614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44717</v>
      </c>
      <c r="B130" s="2">
        <v>2022</v>
      </c>
      <c r="C130" s="2">
        <f>COUNTIFS(Games[Team],Games[[#This Row],[Team]],Games[Season],Games[[#This Row],[Season]],Games[Date],"&lt;=" &amp; Games[[#This Row],[Date]])</f>
        <v>11</v>
      </c>
      <c r="D130" s="2" t="s">
        <v>79</v>
      </c>
      <c r="E130" s="2" t="s">
        <v>80</v>
      </c>
      <c r="F130" s="1" t="s">
        <v>85</v>
      </c>
      <c r="G130" s="1" t="s">
        <v>86</v>
      </c>
      <c r="H130" s="1" t="s">
        <v>81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0" s="2">
        <f>Games[[#This Row],[DaysOff]]-Games[[#This Row],[OppDaysOff]]</f>
        <v>-1</v>
      </c>
      <c r="L130" s="2">
        <f>Games[[#This Row],[OppDaysOff]]-Games[[#This Row],[DaysOff]]</f>
        <v>1</v>
      </c>
      <c r="M130" s="1">
        <f>MAX(-16, MIN(16, Games[[#This Row],[RestDiff]]*8))</f>
        <v>-8</v>
      </c>
      <c r="N130" s="1">
        <f>MAX(-16, MIN(16, Games[[#This Row],[OppRestDiff]]*8))</f>
        <v>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1525.5138316878954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1643.7255549218212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0.22164121546240034</v>
      </c>
      <c r="R130" s="1">
        <v>78</v>
      </c>
      <c r="S130" s="1">
        <v>84</v>
      </c>
      <c r="T130" s="1">
        <v>0</v>
      </c>
      <c r="U130" s="1">
        <f>Games[[#This Row],[PointsFor]]-Games[[#This Row],[PointsAgainst]]</f>
        <v>-6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0.31977936918589012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74.349999999999994</v>
      </c>
      <c r="Z130" s="4">
        <f>Games[[#This Row],[K]]*Games[[#This Row],[POMult]]</f>
        <v>74.349999999999994</v>
      </c>
      <c r="AA130" s="4">
        <f>(Games[[#This Row],[Keff]]*Games[[#This Row],[MOVMult]])*(Games[[#This Row],[Result]]-Games[[#This Row],[ExpectedWin%]])</f>
        <v>-5.2696520177190207</v>
      </c>
      <c r="AB130" s="4">
        <f>Games[[#This Row],[PreGmRate]]+Games[[#This Row],[RatingChange]]</f>
        <v>1520.2441796701764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44717</v>
      </c>
      <c r="B131" s="2">
        <v>2022</v>
      </c>
      <c r="C131" s="2">
        <f>COUNTIFS(Games[Team],Games[[#This Row],[Team]],Games[Season],Games[[#This Row],[Season]],Games[Date],"&lt;=" &amp; Games[[#This Row],[Date]])</f>
        <v>12</v>
      </c>
      <c r="D131" s="2" t="s">
        <v>79</v>
      </c>
      <c r="E131" s="2" t="s">
        <v>80</v>
      </c>
      <c r="F131" s="1" t="s">
        <v>86</v>
      </c>
      <c r="G131" s="1" t="s">
        <v>85</v>
      </c>
      <c r="H131" s="1" t="s">
        <v>82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1" s="2">
        <f>Games[[#This Row],[DaysOff]]-Games[[#This Row],[OppDaysOff]]</f>
        <v>1</v>
      </c>
      <c r="L131" s="2">
        <f>Games[[#This Row],[OppDaysOff]]-Games[[#This Row],[DaysOff]]</f>
        <v>-1</v>
      </c>
      <c r="M131" s="1">
        <f>MAX(-16, MIN(16, Games[[#This Row],[RestDiff]]*8))</f>
        <v>8</v>
      </c>
      <c r="N131" s="1">
        <f>MAX(-16, MIN(16, Games[[#This Row],[OppRestDiff]]*8))</f>
        <v>-8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1643.7255549218212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1525.5138316878954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0.77835878453759966</v>
      </c>
      <c r="R131" s="1">
        <v>84</v>
      </c>
      <c r="S131" s="1">
        <v>78</v>
      </c>
      <c r="T131" s="1">
        <v>0</v>
      </c>
      <c r="U131" s="1">
        <f>Games[[#This Row],[PointsFor]]-Games[[#This Row],[PointsAgainst]]</f>
        <v>6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0.31977936918589012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74.2</v>
      </c>
      <c r="Z131" s="4">
        <f>Games[[#This Row],[K]]*Games[[#This Row],[POMult]]</f>
        <v>74.2</v>
      </c>
      <c r="AA131" s="4">
        <f>(Games[[#This Row],[Keff]]*Games[[#This Row],[MOVMult]])*(Games[[#This Row],[Result]]-Games[[#This Row],[ExpectedWin%]])</f>
        <v>5.2590205745090968</v>
      </c>
      <c r="AB131" s="4">
        <f>Games[[#This Row],[PreGmRate]]+Games[[#This Row],[RatingChange]]</f>
        <v>1648.9845754963303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44717</v>
      </c>
      <c r="B132" s="2">
        <v>2022</v>
      </c>
      <c r="C132" s="2">
        <f>COUNTIFS(Games[Team],Games[[#This Row],[Team]],Games[Season],Games[[#This Row],[Season]],Games[Date],"&lt;=" &amp; Games[[#This Row],[Date]])</f>
        <v>11</v>
      </c>
      <c r="D132" s="2" t="s">
        <v>79</v>
      </c>
      <c r="E132" s="2" t="s">
        <v>80</v>
      </c>
      <c r="F132" s="1" t="s">
        <v>67</v>
      </c>
      <c r="G132" s="1" t="s">
        <v>60</v>
      </c>
      <c r="H132" s="1" t="s">
        <v>81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2" s="2">
        <f>Games[[#This Row],[DaysOff]]-Games[[#This Row],[OppDaysOff]]</f>
        <v>2</v>
      </c>
      <c r="L132" s="2">
        <f>Games[[#This Row],[OppDaysOff]]-Games[[#This Row],[DaysOff]]</f>
        <v>-2</v>
      </c>
      <c r="M132" s="1">
        <f>MAX(-16, MIN(16, Games[[#This Row],[RestDiff]]*8))</f>
        <v>16</v>
      </c>
      <c r="N132" s="1">
        <f>MAX(-16, MIN(16, Games[[#This Row],[OppRestDiff]]*8))</f>
        <v>-16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1458.4463917551839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1390.836036723226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0.52245000199171499</v>
      </c>
      <c r="R132" s="1">
        <v>84</v>
      </c>
      <c r="S132" s="1">
        <v>77</v>
      </c>
      <c r="T132" s="1">
        <v>0</v>
      </c>
      <c r="U132" s="1">
        <f>Games[[#This Row],[PointsFor]]-Games[[#This Row],[PointsAgainst]]</f>
        <v>7</v>
      </c>
      <c r="V132" s="1">
        <f>IF(Games[[#This Row],[MOV]]&gt;0,1,IF(Games[[#This Row],[MOV]]=0,0.5,0))</f>
        <v>1</v>
      </c>
      <c r="W132" s="4">
        <f>((ABS(Games[[#This Row],[MOV]])+5)^0.6)/(12+0.01*(ABS(Games[[#This Row],[PreGmRate]]-Games[[#This Row],[OppPreGmRate]])))*IF(Games[[#This Row],[OT]]=1,0.9,1)</f>
        <v>0.35036681833779043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74.349999999999994</v>
      </c>
      <c r="Z132" s="4">
        <f>Games[[#This Row],[K]]*Games[[#This Row],[POMult]]</f>
        <v>74.349999999999994</v>
      </c>
      <c r="AA132" s="4">
        <f>(Games[[#This Row],[Keff]]*Games[[#This Row],[MOVMult]])*(Games[[#This Row],[Result]]-Games[[#This Row],[ExpectedWin%]])</f>
        <v>12.440069017243975</v>
      </c>
      <c r="AB132" s="4">
        <f>Games[[#This Row],[PreGmRate]]+Games[[#This Row],[RatingChange]]</f>
        <v>1470.8864607724279</v>
      </c>
      <c r="AC132" s="2">
        <f>IF(Games[[#This Row],[Type]]="R",IF(Games[[#This Row],[Result]]&gt;0.5,1,0),0)</f>
        <v>1</v>
      </c>
      <c r="AD132" s="2">
        <f>IF(Games[[#This Row],[Type]]="R",IF(Games[[#This Row],[Result]]&lt;0.5,1,0),0)</f>
        <v>0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44717</v>
      </c>
      <c r="B133" s="2">
        <v>2022</v>
      </c>
      <c r="C133" s="2">
        <f>COUNTIFS(Games[Team],Games[[#This Row],[Team]],Games[Season],Games[[#This Row],[Season]],Games[Date],"&lt;=" &amp; Games[[#This Row],[Date]])</f>
        <v>11</v>
      </c>
      <c r="D133" s="2" t="s">
        <v>79</v>
      </c>
      <c r="E133" s="2" t="s">
        <v>80</v>
      </c>
      <c r="F133" s="1" t="s">
        <v>60</v>
      </c>
      <c r="G133" s="1" t="s">
        <v>67</v>
      </c>
      <c r="H133" s="1" t="s">
        <v>82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3" s="2">
        <f>Games[[#This Row],[DaysOff]]-Games[[#This Row],[OppDaysOff]]</f>
        <v>-2</v>
      </c>
      <c r="L133" s="2">
        <f>Games[[#This Row],[OppDaysOff]]-Games[[#This Row],[DaysOff]]</f>
        <v>2</v>
      </c>
      <c r="M133" s="1">
        <f>MAX(-16, MIN(16, Games[[#This Row],[RestDiff]]*8))</f>
        <v>-16</v>
      </c>
      <c r="N133" s="1">
        <f>MAX(-16, MIN(16, Games[[#This Row],[OppRestDiff]]*8))</f>
        <v>16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1390.836036723226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1458.4463917551839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0.47754999800828507</v>
      </c>
      <c r="R133" s="1">
        <v>77</v>
      </c>
      <c r="S133" s="1">
        <v>84</v>
      </c>
      <c r="T133" s="1">
        <v>0</v>
      </c>
      <c r="U133" s="1">
        <f>Games[[#This Row],[PointsFor]]-Games[[#This Row],[PointsAgainst]]</f>
        <v>-7</v>
      </c>
      <c r="V133" s="1">
        <f>IF(Games[[#This Row],[MOV]]&gt;0,1,IF(Games[[#This Row],[MOV]]=0,0.5,0))</f>
        <v>0</v>
      </c>
      <c r="W133" s="4">
        <f>((ABS(Games[[#This Row],[MOV]])+5)^0.6)/(12+0.01*(ABS(Games[[#This Row],[PreGmRate]]-Games[[#This Row],[OppPreGmRate]])))*IF(Games[[#This Row],[OT]]=1,0.9,1)</f>
        <v>0.35036681833779043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74.349999999999994</v>
      </c>
      <c r="Z133" s="4">
        <f>Games[[#This Row],[K]]*Games[[#This Row],[POMult]]</f>
        <v>74.349999999999994</v>
      </c>
      <c r="AA133" s="4">
        <f>(Games[[#This Row],[Keff]]*Games[[#This Row],[MOVMult]])*(Games[[#This Row],[Result]]-Games[[#This Row],[ExpectedWin%]])</f>
        <v>-12.440069017243976</v>
      </c>
      <c r="AB133" s="4">
        <f>Games[[#This Row],[PreGmRate]]+Games[[#This Row],[RatingChange]]</f>
        <v>1378.395967705982</v>
      </c>
      <c r="AC133" s="2">
        <f>IF(Games[[#This Row],[Type]]="R",IF(Games[[#This Row],[Result]]&gt;0.5,1,0),0)</f>
        <v>0</v>
      </c>
      <c r="AD133" s="2">
        <f>IF(Games[[#This Row],[Type]]="R",IF(Games[[#This Row],[Result]]&lt;0.5,1,0),0)</f>
        <v>1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44717</v>
      </c>
      <c r="B134" s="2">
        <v>2022</v>
      </c>
      <c r="C134" s="2">
        <f>COUNTIFS(Games[Team],Games[[#This Row],[Team]],Games[Season],Games[[#This Row],[Season]],Games[Date],"&lt;=" &amp; Games[[#This Row],[Date]])</f>
        <v>12</v>
      </c>
      <c r="D134" s="2" t="s">
        <v>79</v>
      </c>
      <c r="E134" s="2" t="s">
        <v>80</v>
      </c>
      <c r="F134" s="1" t="s">
        <v>63</v>
      </c>
      <c r="G134" s="1" t="s">
        <v>40</v>
      </c>
      <c r="H134" s="1" t="s">
        <v>81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4" s="2">
        <f>Games[[#This Row],[DaysOff]]-Games[[#This Row],[OppDaysOff]]</f>
        <v>3</v>
      </c>
      <c r="L134" s="2">
        <f>Games[[#This Row],[OppDaysOff]]-Games[[#This Row],[DaysOff]]</f>
        <v>-3</v>
      </c>
      <c r="M134" s="1">
        <f>MAX(-16, MIN(16, Games[[#This Row],[RestDiff]]*8))</f>
        <v>16</v>
      </c>
      <c r="N134" s="1">
        <f>MAX(-16, MIN(16, Games[[#This Row],[OppRestDiff]]*8))</f>
        <v>-16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1473.7753045707793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1458.4017919850323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0.44748464271595084</v>
      </c>
      <c r="R134" s="1">
        <v>74</v>
      </c>
      <c r="S134" s="1">
        <v>81</v>
      </c>
      <c r="T134" s="1">
        <v>0</v>
      </c>
      <c r="U134" s="1">
        <f>Games[[#This Row],[PointsFor]]-Games[[#This Row],[PointsAgainst]]</f>
        <v>-7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0.36542560981083572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74.2</v>
      </c>
      <c r="Z134" s="4">
        <f>Games[[#This Row],[K]]*Games[[#This Row],[POMult]]</f>
        <v>74.2</v>
      </c>
      <c r="AA134" s="4">
        <f>(Games[[#This Row],[Keff]]*Games[[#This Row],[MOVMult]])*(Games[[#This Row],[Result]]-Games[[#This Row],[ExpectedWin%]])</f>
        <v>-12.133358254653153</v>
      </c>
      <c r="AB134" s="4">
        <f>Games[[#This Row],[PreGmRate]]+Games[[#This Row],[RatingChange]]</f>
        <v>1461.6419463161262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44717</v>
      </c>
      <c r="B135" s="2">
        <v>2022</v>
      </c>
      <c r="C135" s="2">
        <f>COUNTIFS(Games[Team],Games[[#This Row],[Team]],Games[Season],Games[[#This Row],[Season]],Games[Date],"&lt;=" &amp; Games[[#This Row],[Date]])</f>
        <v>11</v>
      </c>
      <c r="D135" s="2" t="s">
        <v>79</v>
      </c>
      <c r="E135" s="2" t="s">
        <v>80</v>
      </c>
      <c r="F135" s="1" t="s">
        <v>40</v>
      </c>
      <c r="G135" s="1" t="s">
        <v>63</v>
      </c>
      <c r="H135" s="1" t="s">
        <v>82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5" s="2">
        <f>Games[[#This Row],[DaysOff]]-Games[[#This Row],[OppDaysOff]]</f>
        <v>-3</v>
      </c>
      <c r="L135" s="2">
        <f>Games[[#This Row],[OppDaysOff]]-Games[[#This Row],[DaysOff]]</f>
        <v>3</v>
      </c>
      <c r="M135" s="1">
        <f>MAX(-16, MIN(16, Games[[#This Row],[RestDiff]]*8))</f>
        <v>-16</v>
      </c>
      <c r="N135" s="1">
        <f>MAX(-16, MIN(16, Games[[#This Row],[OppRestDiff]]*8))</f>
        <v>16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1458.4017919850323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1473.7753045707793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0.5525153572840491</v>
      </c>
      <c r="R135" s="1">
        <v>81</v>
      </c>
      <c r="S135" s="1">
        <v>74</v>
      </c>
      <c r="T135" s="1">
        <v>0</v>
      </c>
      <c r="U135" s="1">
        <f>Games[[#This Row],[PointsFor]]-Games[[#This Row],[PointsAgainst]]</f>
        <v>7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0.36542560981083572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74.349999999999994</v>
      </c>
      <c r="Z135" s="4">
        <f>Games[[#This Row],[K]]*Games[[#This Row],[POMult]]</f>
        <v>74.349999999999994</v>
      </c>
      <c r="AA135" s="4">
        <f>(Games[[#This Row],[Keff]]*Games[[#This Row],[MOVMult]])*(Games[[#This Row],[Result]]-Games[[#This Row],[ExpectedWin%]])</f>
        <v>12.157886606919973</v>
      </c>
      <c r="AB135" s="4">
        <f>Games[[#This Row],[PreGmRate]]+Games[[#This Row],[RatingChange]]</f>
        <v>1470.5596785919522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44717</v>
      </c>
      <c r="B136" s="2">
        <v>2022</v>
      </c>
      <c r="C136" s="2">
        <f>COUNTIFS(Games[Team],Games[[#This Row],[Team]],Games[Season],Games[[#This Row],[Season]],Games[Date],"&lt;=" &amp; Games[[#This Row],[Date]])</f>
        <v>12</v>
      </c>
      <c r="D136" s="2" t="s">
        <v>79</v>
      </c>
      <c r="E136" s="2" t="s">
        <v>80</v>
      </c>
      <c r="F136" s="1" t="s">
        <v>74</v>
      </c>
      <c r="G136" s="1" t="s">
        <v>71</v>
      </c>
      <c r="H136" s="1" t="s">
        <v>81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6" s="2">
        <f>Games[[#This Row],[DaysOff]]-Games[[#This Row],[OppDaysOff]]</f>
        <v>0</v>
      </c>
      <c r="L136" s="2">
        <f>Games[[#This Row],[OppDaysOff]]-Games[[#This Row],[DaysOff]]</f>
        <v>0</v>
      </c>
      <c r="M136" s="1">
        <f>MAX(-16, MIN(16, Games[[#This Row],[RestDiff]]*8))</f>
        <v>0</v>
      </c>
      <c r="N136" s="1">
        <f>MAX(-16, MIN(16, Games[[#This Row],[OppRestDiff]]*8))</f>
        <v>0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1636.4541261996826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1518.3652632069657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0.54890099991067187</v>
      </c>
      <c r="R136" s="1">
        <v>93</v>
      </c>
      <c r="S136" s="1">
        <v>86</v>
      </c>
      <c r="T136" s="1">
        <v>0</v>
      </c>
      <c r="U136" s="1">
        <f>Games[[#This Row],[PointsFor]]-Games[[#This Row],[PointsAgainst]]</f>
        <v>7</v>
      </c>
      <c r="V136" s="1">
        <f>IF(Games[[#This Row],[MOV]]&gt;0,1,IF(Games[[#This Row],[MOV]]=0,0.5,0))</f>
        <v>1</v>
      </c>
      <c r="W136" s="4">
        <f>((ABS(Games[[#This Row],[MOV]])+5)^0.6)/(12+0.01*(ABS(Games[[#This Row],[PreGmRate]]-Games[[#This Row],[OppPreGmRate]])))*IF(Games[[#This Row],[OT]]=1,0.9,1)</f>
        <v>0.3369489109984522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74.2</v>
      </c>
      <c r="Z136" s="4">
        <f>Games[[#This Row],[K]]*Games[[#This Row],[POMult]]</f>
        <v>74.2</v>
      </c>
      <c r="AA136" s="4">
        <f>(Games[[#This Row],[Keff]]*Games[[#This Row],[MOVMult]])*(Games[[#This Row],[Result]]-Games[[#This Row],[ExpectedWin%]])</f>
        <v>11.278200908978164</v>
      </c>
      <c r="AB136" s="4">
        <f>Games[[#This Row],[PreGmRate]]+Games[[#This Row],[RatingChange]]</f>
        <v>1647.7323271086607</v>
      </c>
      <c r="AC136" s="2">
        <f>IF(Games[[#This Row],[Type]]="R",IF(Games[[#This Row],[Result]]&gt;0.5,1,0),0)</f>
        <v>1</v>
      </c>
      <c r="AD136" s="2">
        <f>IF(Games[[#This Row],[Type]]="R",IF(Games[[#This Row],[Result]]&lt;0.5,1,0),0)</f>
        <v>0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44717</v>
      </c>
      <c r="B137" s="2">
        <v>2022</v>
      </c>
      <c r="C137" s="2">
        <f>COUNTIFS(Games[Team],Games[[#This Row],[Team]],Games[Season],Games[[#This Row],[Season]],Games[Date],"&lt;=" &amp; Games[[#This Row],[Date]])</f>
        <v>10</v>
      </c>
      <c r="D137" s="2" t="s">
        <v>79</v>
      </c>
      <c r="E137" s="2" t="s">
        <v>80</v>
      </c>
      <c r="F137" s="1" t="s">
        <v>71</v>
      </c>
      <c r="G137" s="1" t="s">
        <v>74</v>
      </c>
      <c r="H137" s="1" t="s">
        <v>82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7" s="2">
        <f>Games[[#This Row],[DaysOff]]-Games[[#This Row],[OppDaysOff]]</f>
        <v>0</v>
      </c>
      <c r="L137" s="2">
        <f>Games[[#This Row],[OppDaysOff]]-Games[[#This Row],[DaysOff]]</f>
        <v>0</v>
      </c>
      <c r="M137" s="1">
        <f>MAX(-16, MIN(16, Games[[#This Row],[RestDiff]]*8))</f>
        <v>0</v>
      </c>
      <c r="N137" s="1">
        <f>MAX(-16, MIN(16, Games[[#This Row],[OppRestDiff]]*8))</f>
        <v>0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1518.3652632069657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1636.4541261996826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0.45109900008932818</v>
      </c>
      <c r="R137" s="1">
        <v>86</v>
      </c>
      <c r="S137" s="1">
        <v>93</v>
      </c>
      <c r="T137" s="1">
        <v>0</v>
      </c>
      <c r="U137" s="1">
        <f>Games[[#This Row],[PointsFor]]-Games[[#This Row],[PointsAgainst]]</f>
        <v>-7</v>
      </c>
      <c r="V137" s="1">
        <f>IF(Games[[#This Row],[MOV]]&gt;0,1,IF(Games[[#This Row],[MOV]]=0,0.5,0))</f>
        <v>0</v>
      </c>
      <c r="W137" s="4">
        <f>((ABS(Games[[#This Row],[MOV]])+5)^0.6)/(12+0.01*(ABS(Games[[#This Row],[PreGmRate]]-Games[[#This Row],[OppPreGmRate]])))*IF(Games[[#This Row],[OT]]=1,0.9,1)</f>
        <v>0.3369489109984522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74.5</v>
      </c>
      <c r="Z137" s="4">
        <f>Games[[#This Row],[K]]*Games[[#This Row],[POMult]]</f>
        <v>74.5</v>
      </c>
      <c r="AA137" s="4">
        <f>(Games[[#This Row],[Keff]]*Games[[#This Row],[MOVMult]])*(Games[[#This Row],[Result]]-Games[[#This Row],[ExpectedWin%]])</f>
        <v>-11.32380010402794</v>
      </c>
      <c r="AB137" s="4">
        <f>Games[[#This Row],[PreGmRate]]+Games[[#This Row],[RatingChange]]</f>
        <v>1507.0414631029378</v>
      </c>
      <c r="AC137" s="2">
        <f>IF(Games[[#This Row],[Type]]="R",IF(Games[[#This Row],[Result]]&gt;0.5,1,0),0)</f>
        <v>0</v>
      </c>
      <c r="AD137" s="2">
        <f>IF(Games[[#This Row],[Type]]="R",IF(Games[[#This Row],[Result]]&lt;0.5,1,0),0)</f>
        <v>1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44719</v>
      </c>
      <c r="B138" s="2">
        <v>2022</v>
      </c>
      <c r="C138" s="2">
        <f>COUNTIFS(Games[Team],Games[[#This Row],[Team]],Games[Season],Games[[#This Row],[Season]],Games[Date],"&lt;=" &amp; Games[[#This Row],[Date]])</f>
        <v>12</v>
      </c>
      <c r="D138" s="2" t="s">
        <v>79</v>
      </c>
      <c r="E138" s="2" t="s">
        <v>80</v>
      </c>
      <c r="F138" s="1" t="s">
        <v>67</v>
      </c>
      <c r="G138" s="1" t="s">
        <v>60</v>
      </c>
      <c r="H138" s="1" t="s">
        <v>81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8" s="2">
        <f>Games[[#This Row],[DaysOff]]-Games[[#This Row],[OppDaysOff]]</f>
        <v>0</v>
      </c>
      <c r="L138" s="2">
        <f>Games[[#This Row],[OppDaysOff]]-Games[[#This Row],[DaysOff]]</f>
        <v>0</v>
      </c>
      <c r="M138" s="1">
        <f>MAX(-16, MIN(16, Games[[#This Row],[RestDiff]]*8))</f>
        <v>0</v>
      </c>
      <c r="N138" s="1">
        <f>MAX(-16, MIN(16, Games[[#This Row],[OppRestDiff]]*8))</f>
        <v>0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1470.8864607724279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1378.395967705982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0.51221636996852449</v>
      </c>
      <c r="R138" s="1">
        <v>69</v>
      </c>
      <c r="S138" s="1">
        <v>88</v>
      </c>
      <c r="T138" s="1">
        <v>0</v>
      </c>
      <c r="U138" s="1">
        <f>Games[[#This Row],[PointsFor]]-Games[[#This Row],[PointsAgainst]]</f>
        <v>-19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0.5208340725745767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74.2</v>
      </c>
      <c r="Z138" s="4">
        <f>Games[[#This Row],[K]]*Games[[#This Row],[POMult]]</f>
        <v>74.2</v>
      </c>
      <c r="AA138" s="4">
        <f>(Games[[#This Row],[Keff]]*Games[[#This Row],[MOVMult]])*(Games[[#This Row],[Result]]-Games[[#This Row],[ExpectedWin%]])</f>
        <v>-19.795056560347394</v>
      </c>
      <c r="AB138" s="4">
        <f>Games[[#This Row],[PreGmRate]]+Games[[#This Row],[RatingChange]]</f>
        <v>1451.0914042120805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44719</v>
      </c>
      <c r="B139" s="2">
        <v>2022</v>
      </c>
      <c r="C139" s="2">
        <f>COUNTIFS(Games[Team],Games[[#This Row],[Team]],Games[Season],Games[[#This Row],[Season]],Games[Date],"&lt;=" &amp; Games[[#This Row],[Date]])</f>
        <v>12</v>
      </c>
      <c r="D139" s="2" t="s">
        <v>79</v>
      </c>
      <c r="E139" s="2" t="s">
        <v>80</v>
      </c>
      <c r="F139" s="1" t="s">
        <v>60</v>
      </c>
      <c r="G139" s="1" t="s">
        <v>67</v>
      </c>
      <c r="H139" s="1" t="s">
        <v>82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9" s="2">
        <f>Games[[#This Row],[DaysOff]]-Games[[#This Row],[OppDaysOff]]</f>
        <v>0</v>
      </c>
      <c r="L139" s="2">
        <f>Games[[#This Row],[OppDaysOff]]-Games[[#This Row],[DaysOff]]</f>
        <v>0</v>
      </c>
      <c r="M139" s="1">
        <f>MAX(-16, MIN(16, Games[[#This Row],[RestDiff]]*8))</f>
        <v>0</v>
      </c>
      <c r="N139" s="1">
        <f>MAX(-16, MIN(16, Games[[#This Row],[OppRestDiff]]*8))</f>
        <v>0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1378.395967705982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1470.8864607724279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0.48778363003147551</v>
      </c>
      <c r="R139" s="1">
        <v>88</v>
      </c>
      <c r="S139" s="1">
        <v>69</v>
      </c>
      <c r="T139" s="1">
        <v>0</v>
      </c>
      <c r="U139" s="1">
        <f>Games[[#This Row],[PointsFor]]-Games[[#This Row],[PointsAgainst]]</f>
        <v>19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0.5208340725745767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74.2</v>
      </c>
      <c r="Z139" s="4">
        <f>Games[[#This Row],[K]]*Games[[#This Row],[POMult]]</f>
        <v>74.2</v>
      </c>
      <c r="AA139" s="4">
        <f>(Games[[#This Row],[Keff]]*Games[[#This Row],[MOVMult]])*(Games[[#This Row],[Result]]-Games[[#This Row],[ExpectedWin%]])</f>
        <v>19.795056560347394</v>
      </c>
      <c r="AB139" s="4">
        <f>Games[[#This Row],[PreGmRate]]+Games[[#This Row],[RatingChange]]</f>
        <v>1398.1910242663294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44719</v>
      </c>
      <c r="B140" s="2">
        <v>2022</v>
      </c>
      <c r="C140" s="2">
        <f>COUNTIFS(Games[Team],Games[[#This Row],[Team]],Games[Season],Games[[#This Row],[Season]],Games[Date],"&lt;=" &amp; Games[[#This Row],[Date]])</f>
        <v>12</v>
      </c>
      <c r="D140" s="2" t="s">
        <v>79</v>
      </c>
      <c r="E140" s="2" t="s">
        <v>80</v>
      </c>
      <c r="F140" s="1" t="s">
        <v>77</v>
      </c>
      <c r="G140" s="1" t="s">
        <v>71</v>
      </c>
      <c r="H140" s="1" t="s">
        <v>81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0" s="2">
        <f>Games[[#This Row],[DaysOff]]-Games[[#This Row],[OppDaysOff]]</f>
        <v>0</v>
      </c>
      <c r="L140" s="2">
        <f>Games[[#This Row],[OppDaysOff]]-Games[[#This Row],[DaysOff]]</f>
        <v>0</v>
      </c>
      <c r="M140" s="1">
        <f>MAX(-16, MIN(16, Games[[#This Row],[RestDiff]]*8))</f>
        <v>0</v>
      </c>
      <c r="N140" s="1">
        <f>MAX(-16, MIN(16, Games[[#This Row],[OppRestDiff]]*8))</f>
        <v>0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1464.2253135441561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1507.0414631029378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0.32519199781186403</v>
      </c>
      <c r="R140" s="1">
        <v>60</v>
      </c>
      <c r="S140" s="1">
        <v>72</v>
      </c>
      <c r="T140" s="1">
        <v>0</v>
      </c>
      <c r="U140" s="1">
        <f>Games[[#This Row],[PointsFor]]-Games[[#This Row],[PointsAgainst]]</f>
        <v>-12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0.44041536786126267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74.2</v>
      </c>
      <c r="Z140" s="4">
        <f>Games[[#This Row],[K]]*Games[[#This Row],[POMult]]</f>
        <v>74.2</v>
      </c>
      <c r="AA140" s="4">
        <f>(Games[[#This Row],[Keff]]*Games[[#This Row],[MOVMult]])*(Games[[#This Row],[Result]]-Games[[#This Row],[ExpectedWin%]])</f>
        <v>-10.626890857965346</v>
      </c>
      <c r="AB140" s="4">
        <f>Games[[#This Row],[PreGmRate]]+Games[[#This Row],[RatingChange]]</f>
        <v>1453.5984226861908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44719</v>
      </c>
      <c r="B141" s="2">
        <v>2022</v>
      </c>
      <c r="C141" s="2">
        <f>COUNTIFS(Games[Team],Games[[#This Row],[Team]],Games[Season],Games[[#This Row],[Season]],Games[Date],"&lt;=" &amp; Games[[#This Row],[Date]])</f>
        <v>11</v>
      </c>
      <c r="D141" s="2" t="s">
        <v>79</v>
      </c>
      <c r="E141" s="2" t="s">
        <v>80</v>
      </c>
      <c r="F141" s="1" t="s">
        <v>71</v>
      </c>
      <c r="G141" s="1" t="s">
        <v>77</v>
      </c>
      <c r="H141" s="1" t="s">
        <v>82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1" s="2">
        <f>Games[[#This Row],[DaysOff]]-Games[[#This Row],[OppDaysOff]]</f>
        <v>0</v>
      </c>
      <c r="L141" s="2">
        <f>Games[[#This Row],[OppDaysOff]]-Games[[#This Row],[DaysOff]]</f>
        <v>0</v>
      </c>
      <c r="M141" s="1">
        <f>MAX(-16, MIN(16, Games[[#This Row],[RestDiff]]*8))</f>
        <v>0</v>
      </c>
      <c r="N141" s="1">
        <f>MAX(-16, MIN(16, Games[[#This Row],[OppRestDiff]]*8))</f>
        <v>0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1507.0414631029378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1464.2253135441561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0.67480800218813597</v>
      </c>
      <c r="R141" s="1">
        <v>72</v>
      </c>
      <c r="S141" s="1">
        <v>60</v>
      </c>
      <c r="T141" s="1">
        <v>0</v>
      </c>
      <c r="U141" s="1">
        <f>Games[[#This Row],[PointsFor]]-Games[[#This Row],[PointsAgainst]]</f>
        <v>12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0.44041536786126267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74.349999999999994</v>
      </c>
      <c r="Z141" s="4">
        <f>Games[[#This Row],[K]]*Games[[#This Row],[POMult]]</f>
        <v>74.349999999999994</v>
      </c>
      <c r="AA141" s="4">
        <f>(Games[[#This Row],[Keff]]*Games[[#This Row],[MOVMult]])*(Games[[#This Row],[Result]]-Games[[#This Row],[ExpectedWin%]])</f>
        <v>10.648373790966623</v>
      </c>
      <c r="AB141" s="4">
        <f>Games[[#This Row],[PreGmRate]]+Games[[#This Row],[RatingChange]]</f>
        <v>1517.6898368939044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44720</v>
      </c>
      <c r="B142" s="2">
        <v>2022</v>
      </c>
      <c r="C142" s="2">
        <f>COUNTIFS(Games[Team],Games[[#This Row],[Team]],Games[Season],Games[[#This Row],[Season]],Games[Date],"&lt;=" &amp; Games[[#This Row],[Date]])</f>
        <v>14</v>
      </c>
      <c r="D142" s="2" t="s">
        <v>79</v>
      </c>
      <c r="E142" s="2" t="s">
        <v>80</v>
      </c>
      <c r="F142" s="1" t="s">
        <v>69</v>
      </c>
      <c r="G142" s="1" t="s">
        <v>74</v>
      </c>
      <c r="H142" s="1" t="s">
        <v>81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1330.3150812798904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1647.7323271086607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9.0237095863492572E-2</v>
      </c>
      <c r="R142" s="1">
        <v>69</v>
      </c>
      <c r="S142" s="1">
        <v>88</v>
      </c>
      <c r="T142" s="1">
        <v>0</v>
      </c>
      <c r="U142" s="1">
        <f>Games[[#This Row],[PointsFor]]-Games[[#This Row],[PointsAgainst]]</f>
        <v>-19</v>
      </c>
      <c r="V142" s="1">
        <f>IF(Games[[#This Row],[MOV]]&gt;0,1,IF(Games[[#This Row],[MOV]]=0,0.5,0))</f>
        <v>0</v>
      </c>
      <c r="W142" s="4">
        <f>((ABS(Games[[#This Row],[MOV]])+5)^0.6)/(12+0.01*(ABS(Games[[#This Row],[PreGmRate]]-Games[[#This Row],[OppPreGmRate]])))*IF(Games[[#This Row],[OT]]=1,0.9,1)</f>
        <v>0.44363083991447033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73.900000000000006</v>
      </c>
      <c r="Z142" s="4">
        <f>Games[[#This Row],[K]]*Games[[#This Row],[POMult]]</f>
        <v>73.900000000000006</v>
      </c>
      <c r="AA142" s="4">
        <f>(Games[[#This Row],[Keff]]*Games[[#This Row],[MOVMult]])*(Games[[#This Row],[Result]]-Games[[#This Row],[ExpectedWin%]])</f>
        <v>-2.9583617427099842</v>
      </c>
      <c r="AB142" s="4">
        <f>Games[[#This Row],[PreGmRate]]+Games[[#This Row],[RatingChange]]</f>
        <v>1327.3567195371804</v>
      </c>
      <c r="AC142" s="2">
        <f>IF(Games[[#This Row],[Type]]="R",IF(Games[[#This Row],[Result]]&gt;0.5,1,0),0)</f>
        <v>0</v>
      </c>
      <c r="AD142" s="2">
        <f>IF(Games[[#This Row],[Type]]="R",IF(Games[[#This Row],[Result]]&lt;0.5,1,0),0)</f>
        <v>1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44720</v>
      </c>
      <c r="B143" s="2">
        <v>2022</v>
      </c>
      <c r="C143" s="2">
        <f>COUNTIFS(Games[Team],Games[[#This Row],[Team]],Games[Season],Games[[#This Row],[Season]],Games[Date],"&lt;=" &amp; Games[[#This Row],[Date]])</f>
        <v>13</v>
      </c>
      <c r="D143" s="2" t="s">
        <v>79</v>
      </c>
      <c r="E143" s="2" t="s">
        <v>80</v>
      </c>
      <c r="F143" s="1" t="s">
        <v>74</v>
      </c>
      <c r="G143" s="1" t="s">
        <v>69</v>
      </c>
      <c r="H143" s="1" t="s">
        <v>82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1647.7323271086607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1330.3150812798904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0.9097629041365074</v>
      </c>
      <c r="R143" s="1">
        <v>88</v>
      </c>
      <c r="S143" s="1">
        <v>69</v>
      </c>
      <c r="T143" s="1">
        <v>0</v>
      </c>
      <c r="U143" s="1">
        <f>Games[[#This Row],[PointsFor]]-Games[[#This Row],[PointsAgainst]]</f>
        <v>19</v>
      </c>
      <c r="V143" s="1">
        <f>IF(Games[[#This Row],[MOV]]&gt;0,1,IF(Games[[#This Row],[MOV]]=0,0.5,0))</f>
        <v>1</v>
      </c>
      <c r="W143" s="4">
        <f>((ABS(Games[[#This Row],[MOV]])+5)^0.6)/(12+0.01*(ABS(Games[[#This Row],[PreGmRate]]-Games[[#This Row],[OppPreGmRate]])))*IF(Games[[#This Row],[OT]]=1,0.9,1)</f>
        <v>0.44363083991447033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74.05</v>
      </c>
      <c r="Z143" s="4">
        <f>Games[[#This Row],[K]]*Games[[#This Row],[POMult]]</f>
        <v>74.05</v>
      </c>
      <c r="AA143" s="4">
        <f>(Games[[#This Row],[Keff]]*Games[[#This Row],[MOVMult]])*(Games[[#This Row],[Result]]-Games[[#This Row],[ExpectedWin%]])</f>
        <v>2.964366536504389</v>
      </c>
      <c r="AB143" s="4">
        <f>Games[[#This Row],[PreGmRate]]+Games[[#This Row],[RatingChange]]</f>
        <v>1650.6966936451652</v>
      </c>
      <c r="AC143" s="2">
        <f>IF(Games[[#This Row],[Type]]="R",IF(Games[[#This Row],[Result]]&gt;0.5,1,0),0)</f>
        <v>1</v>
      </c>
      <c r="AD143" s="2">
        <f>IF(Games[[#This Row],[Type]]="R",IF(Games[[#This Row],[Result]]&lt;0.5,1,0),0)</f>
        <v>0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44720</v>
      </c>
      <c r="B144" s="2">
        <v>2022</v>
      </c>
      <c r="C144" s="2">
        <f>COUNTIFS(Games[Team],Games[[#This Row],[Team]],Games[Season],Games[[#This Row],[Season]],Games[Date],"&lt;=" &amp; Games[[#This Row],[Date]])</f>
        <v>11</v>
      </c>
      <c r="D144" s="2" t="s">
        <v>79</v>
      </c>
      <c r="E144" s="2" t="s">
        <v>80</v>
      </c>
      <c r="F144" s="1" t="s">
        <v>75</v>
      </c>
      <c r="G144" s="1" t="s">
        <v>65</v>
      </c>
      <c r="H144" s="1" t="s">
        <v>81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4" s="2">
        <f>Games[[#This Row],[DaysOff]]-Games[[#This Row],[OppDaysOff]]</f>
        <v>0</v>
      </c>
      <c r="L144" s="2">
        <f>Games[[#This Row],[OppDaysOff]]-Games[[#This Row],[DaysOff]]</f>
        <v>0</v>
      </c>
      <c r="M144" s="1">
        <f>MAX(-16, MIN(16, Games[[#This Row],[RestDiff]]*8))</f>
        <v>0</v>
      </c>
      <c r="N144" s="1">
        <f>MAX(-16, MIN(16, Games[[#This Row],[OppRestDiff]]*8))</f>
        <v>0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1594.0538413656614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1506.3485118912038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0.50533219560184461</v>
      </c>
      <c r="R144" s="1">
        <v>82</v>
      </c>
      <c r="S144" s="1">
        <v>84</v>
      </c>
      <c r="T144" s="1">
        <v>0</v>
      </c>
      <c r="U144" s="1">
        <f>Games[[#This Row],[PointsFor]]-Games[[#This Row],[PointsAgainst]]</f>
        <v>-2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0.24959870679635887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74.349999999999994</v>
      </c>
      <c r="Z144" s="4">
        <f>Games[[#This Row],[K]]*Games[[#This Row],[POMult]]</f>
        <v>74.349999999999994</v>
      </c>
      <c r="AA144" s="4">
        <f>(Games[[#This Row],[Keff]]*Games[[#This Row],[MOVMult]])*(Games[[#This Row],[Result]]-Games[[#This Row],[ExpectedWin%]])</f>
        <v>-9.3777850187177716</v>
      </c>
      <c r="AB144" s="4">
        <f>Games[[#This Row],[PreGmRate]]+Games[[#This Row],[RatingChange]]</f>
        <v>1584.6760563469436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44720</v>
      </c>
      <c r="B145" s="2">
        <v>2022</v>
      </c>
      <c r="C145" s="2">
        <f>COUNTIFS(Games[Team],Games[[#This Row],[Team]],Games[Season],Games[[#This Row],[Season]],Games[Date],"&lt;=" &amp; Games[[#This Row],[Date]])</f>
        <v>13</v>
      </c>
      <c r="D145" s="2" t="s">
        <v>79</v>
      </c>
      <c r="E145" s="2" t="s">
        <v>80</v>
      </c>
      <c r="F145" s="1" t="s">
        <v>65</v>
      </c>
      <c r="G145" s="1" t="s">
        <v>75</v>
      </c>
      <c r="H145" s="1" t="s">
        <v>82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5" s="2">
        <f>Games[[#This Row],[DaysOff]]-Games[[#This Row],[OppDaysOff]]</f>
        <v>0</v>
      </c>
      <c r="L145" s="2">
        <f>Games[[#This Row],[OppDaysOff]]-Games[[#This Row],[DaysOff]]</f>
        <v>0</v>
      </c>
      <c r="M145" s="1">
        <f>MAX(-16, MIN(16, Games[[#This Row],[RestDiff]]*8))</f>
        <v>0</v>
      </c>
      <c r="N145" s="1">
        <f>MAX(-16, MIN(16, Games[[#This Row],[OppRestDiff]]*8))</f>
        <v>0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1506.3485118912038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1594.0538413656614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0.49466780439815544</v>
      </c>
      <c r="R145" s="1">
        <v>84</v>
      </c>
      <c r="S145" s="1">
        <v>82</v>
      </c>
      <c r="T145" s="1">
        <v>0</v>
      </c>
      <c r="U145" s="1">
        <f>Games[[#This Row],[PointsFor]]-Games[[#This Row],[PointsAgainst]]</f>
        <v>2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0.24959870679635887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74.05</v>
      </c>
      <c r="Z145" s="4">
        <f>Games[[#This Row],[K]]*Games[[#This Row],[POMult]]</f>
        <v>74.05</v>
      </c>
      <c r="AA145" s="4">
        <f>(Games[[#This Row],[Keff]]*Games[[#This Row],[MOVMult]])*(Games[[#This Row],[Result]]-Games[[#This Row],[ExpectedWin%]])</f>
        <v>9.3399459399603355</v>
      </c>
      <c r="AB145" s="4">
        <f>Games[[#This Row],[PreGmRate]]+Games[[#This Row],[RatingChange]]</f>
        <v>1515.6884578311642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44722</v>
      </c>
      <c r="B146" s="2">
        <v>2022</v>
      </c>
      <c r="C146" s="2">
        <f>COUNTIFS(Games[Team],Games[[#This Row],[Team]],Games[Season],Games[[#This Row],[Season]],Games[Date],"&lt;=" &amp; Games[[#This Row],[Date]])</f>
        <v>12</v>
      </c>
      <c r="D146" s="2" t="s">
        <v>79</v>
      </c>
      <c r="E146" s="2" t="s">
        <v>80</v>
      </c>
      <c r="F146" s="1" t="s">
        <v>75</v>
      </c>
      <c r="G146" s="1" t="s">
        <v>74</v>
      </c>
      <c r="H146" s="1" t="s">
        <v>81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1584.6760563469436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1650.6966936451652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0.29659021179469119</v>
      </c>
      <c r="R146" s="1">
        <v>83</v>
      </c>
      <c r="S146" s="1">
        <v>79</v>
      </c>
      <c r="T146" s="1">
        <v>0</v>
      </c>
      <c r="U146" s="1">
        <f>Games[[#This Row],[PointsFor]]-Games[[#This Row],[PointsAgainst]]</f>
        <v>4</v>
      </c>
      <c r="V146" s="1">
        <f>IF(Games[[#This Row],[MOV]]&gt;0,1,IF(Games[[#This Row],[MOV]]=0,0.5,0))</f>
        <v>1</v>
      </c>
      <c r="W146" s="4">
        <f>((ABS(Games[[#This Row],[MOV]])+5)^0.6)/(12+0.01*(ABS(Games[[#This Row],[PreGmRate]]-Games[[#This Row],[OppPreGmRate]])))*IF(Games[[#This Row],[OT]]=1,0.9,1)</f>
        <v>0.2951920931417033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74.2</v>
      </c>
      <c r="Z146" s="4">
        <f>Games[[#This Row],[K]]*Games[[#This Row],[POMult]]</f>
        <v>74.2</v>
      </c>
      <c r="AA146" s="4">
        <f>(Games[[#This Row],[Keff]]*Games[[#This Row],[MOVMult]])*(Games[[#This Row],[Result]]-Games[[#This Row],[ExpectedWin%]])</f>
        <v>15.406962772578199</v>
      </c>
      <c r="AB146" s="4">
        <f>Games[[#This Row],[PreGmRate]]+Games[[#This Row],[RatingChange]]</f>
        <v>1600.0830191195219</v>
      </c>
      <c r="AC146" s="2">
        <f>IF(Games[[#This Row],[Type]]="R",IF(Games[[#This Row],[Result]]&gt;0.5,1,0),0)</f>
        <v>1</v>
      </c>
      <c r="AD146" s="2">
        <f>IF(Games[[#This Row],[Type]]="R",IF(Games[[#This Row],[Result]]&lt;0.5,1,0),0)</f>
        <v>0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44722</v>
      </c>
      <c r="B147" s="2">
        <v>2022</v>
      </c>
      <c r="C147" s="2">
        <f>COUNTIFS(Games[Team],Games[[#This Row],[Team]],Games[Season],Games[[#This Row],[Season]],Games[Date],"&lt;=" &amp; Games[[#This Row],[Date]])</f>
        <v>14</v>
      </c>
      <c r="D147" s="2" t="s">
        <v>79</v>
      </c>
      <c r="E147" s="2" t="s">
        <v>80</v>
      </c>
      <c r="F147" s="1" t="s">
        <v>74</v>
      </c>
      <c r="G147" s="1" t="s">
        <v>75</v>
      </c>
      <c r="H147" s="1" t="s">
        <v>82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1650.6966936451652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1584.6760563469436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0.70340978820530886</v>
      </c>
      <c r="R147" s="1">
        <v>79</v>
      </c>
      <c r="S147" s="1">
        <v>83</v>
      </c>
      <c r="T147" s="1">
        <v>0</v>
      </c>
      <c r="U147" s="1">
        <f>Games[[#This Row],[PointsFor]]-Games[[#This Row],[PointsAgainst]]</f>
        <v>-4</v>
      </c>
      <c r="V147" s="1">
        <f>IF(Games[[#This Row],[MOV]]&gt;0,1,IF(Games[[#This Row],[MOV]]=0,0.5,0))</f>
        <v>0</v>
      </c>
      <c r="W147" s="4">
        <f>((ABS(Games[[#This Row],[MOV]])+5)^0.6)/(12+0.01*(ABS(Games[[#This Row],[PreGmRate]]-Games[[#This Row],[OppPreGmRate]])))*IF(Games[[#This Row],[OT]]=1,0.9,1)</f>
        <v>0.2951920931417033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73.900000000000006</v>
      </c>
      <c r="Z147" s="4">
        <f>Games[[#This Row],[K]]*Games[[#This Row],[POMult]]</f>
        <v>73.900000000000006</v>
      </c>
      <c r="AA147" s="4">
        <f>(Games[[#This Row],[Keff]]*Games[[#This Row],[MOVMult]])*(Games[[#This Row],[Result]]-Games[[#This Row],[ExpectedWin%]])</f>
        <v>-15.344670470263196</v>
      </c>
      <c r="AB147" s="4">
        <f>Games[[#This Row],[PreGmRate]]+Games[[#This Row],[RatingChange]]</f>
        <v>1635.3520231749019</v>
      </c>
      <c r="AC147" s="2">
        <f>IF(Games[[#This Row],[Type]]="R",IF(Games[[#This Row],[Result]]&gt;0.5,1,0),0)</f>
        <v>0</v>
      </c>
      <c r="AD147" s="2">
        <f>IF(Games[[#This Row],[Type]]="R",IF(Games[[#This Row],[Result]]&lt;0.5,1,0),0)</f>
        <v>1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44722</v>
      </c>
      <c r="B148" s="2">
        <v>2022</v>
      </c>
      <c r="C148" s="2">
        <f>COUNTIFS(Games[Team],Games[[#This Row],[Team]],Games[Season],Games[[#This Row],[Season]],Games[Date],"&lt;=" &amp; Games[[#This Row],[Date]])</f>
        <v>12</v>
      </c>
      <c r="D148" s="2" t="s">
        <v>79</v>
      </c>
      <c r="E148" s="2" t="s">
        <v>80</v>
      </c>
      <c r="F148" s="1" t="s">
        <v>71</v>
      </c>
      <c r="G148" s="1" t="s">
        <v>85</v>
      </c>
      <c r="H148" s="1" t="s">
        <v>81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8" s="2">
        <f>Games[[#This Row],[DaysOff]]-Games[[#This Row],[OppDaysOff]]</f>
        <v>-2</v>
      </c>
      <c r="L148" s="2">
        <f>Games[[#This Row],[OppDaysOff]]-Games[[#This Row],[DaysOff]]</f>
        <v>2</v>
      </c>
      <c r="M148" s="1">
        <f>MAX(-16, MIN(16, Games[[#This Row],[RestDiff]]*8))</f>
        <v>-16</v>
      </c>
      <c r="N148" s="1">
        <f>MAX(-16, MIN(16, Games[[#This Row],[OppRestDiff]]*8))</f>
        <v>16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1517.6898368939044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1520.2441796701764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0.33571389220783709</v>
      </c>
      <c r="R148" s="1">
        <v>89</v>
      </c>
      <c r="S148" s="1">
        <v>88</v>
      </c>
      <c r="T148" s="1">
        <v>0</v>
      </c>
      <c r="U148" s="1">
        <f>Games[[#This Row],[PointsFor]]-Games[[#This Row],[PointsAgainst]]</f>
        <v>1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0.24366100951569714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74.2</v>
      </c>
      <c r="Z148" s="4">
        <f>Games[[#This Row],[K]]*Games[[#This Row],[POMult]]</f>
        <v>74.2</v>
      </c>
      <c r="AA148" s="4">
        <f>(Games[[#This Row],[Keff]]*Games[[#This Row],[MOVMult]])*(Games[[#This Row],[Result]]-Games[[#This Row],[ExpectedWin%]])</f>
        <v>12.010058273486358</v>
      </c>
      <c r="AB148" s="4">
        <f>Games[[#This Row],[PreGmRate]]+Games[[#This Row],[RatingChange]]</f>
        <v>1529.6998951673907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44722</v>
      </c>
      <c r="B149" s="2">
        <v>2022</v>
      </c>
      <c r="C149" s="2">
        <f>COUNTIFS(Games[Team],Games[[#This Row],[Team]],Games[Season],Games[[#This Row],[Season]],Games[Date],"&lt;=" &amp; Games[[#This Row],[Date]])</f>
        <v>12</v>
      </c>
      <c r="D149" s="2" t="s">
        <v>79</v>
      </c>
      <c r="E149" s="2" t="s">
        <v>80</v>
      </c>
      <c r="F149" s="1" t="s">
        <v>85</v>
      </c>
      <c r="G149" s="1" t="s">
        <v>71</v>
      </c>
      <c r="H149" s="1" t="s">
        <v>82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9" s="2">
        <f>Games[[#This Row],[DaysOff]]-Games[[#This Row],[OppDaysOff]]</f>
        <v>2</v>
      </c>
      <c r="L149" s="2">
        <f>Games[[#This Row],[OppDaysOff]]-Games[[#This Row],[DaysOff]]</f>
        <v>-2</v>
      </c>
      <c r="M149" s="1">
        <f>MAX(-16, MIN(16, Games[[#This Row],[RestDiff]]*8))</f>
        <v>16</v>
      </c>
      <c r="N149" s="1">
        <f>MAX(-16, MIN(16, Games[[#This Row],[OppRestDiff]]*8))</f>
        <v>-16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1520.2441796701764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1517.6898368939044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0.66428610779216291</v>
      </c>
      <c r="R149" s="1">
        <v>88</v>
      </c>
      <c r="S149" s="1">
        <v>89</v>
      </c>
      <c r="T149" s="1">
        <v>0</v>
      </c>
      <c r="U149" s="1">
        <f>Games[[#This Row],[PointsFor]]-Games[[#This Row],[PointsAgainst]]</f>
        <v>-1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0.24366100951569714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74.2</v>
      </c>
      <c r="Z149" s="4">
        <f>Games[[#This Row],[K]]*Games[[#This Row],[POMult]]</f>
        <v>74.2</v>
      </c>
      <c r="AA149" s="4">
        <f>(Games[[#This Row],[Keff]]*Games[[#This Row],[MOVMult]])*(Games[[#This Row],[Result]]-Games[[#This Row],[ExpectedWin%]])</f>
        <v>-12.010058273486358</v>
      </c>
      <c r="AB149" s="4">
        <f>Games[[#This Row],[PreGmRate]]+Games[[#This Row],[RatingChange]]</f>
        <v>1508.2341213966902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44722</v>
      </c>
      <c r="B150" s="2">
        <v>2022</v>
      </c>
      <c r="C150" s="2">
        <f>COUNTIFS(Games[Team],Games[[#This Row],[Team]],Games[Season],Games[[#This Row],[Season]],Games[Date],"&lt;=" &amp; Games[[#This Row],[Date]])</f>
        <v>13</v>
      </c>
      <c r="D150" s="2" t="s">
        <v>79</v>
      </c>
      <c r="E150" s="2" t="s">
        <v>80</v>
      </c>
      <c r="F150" s="1" t="s">
        <v>60</v>
      </c>
      <c r="G150" s="1" t="s">
        <v>69</v>
      </c>
      <c r="H150" s="1" t="s">
        <v>81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1</v>
      </c>
      <c r="L150" s="2">
        <f>Games[[#This Row],[OppDaysOff]]-Games[[#This Row],[DaysOff]]</f>
        <v>-1</v>
      </c>
      <c r="M150" s="1">
        <f>MAX(-16, MIN(16, Games[[#This Row],[RestDiff]]*8))</f>
        <v>8</v>
      </c>
      <c r="N150" s="1">
        <f>MAX(-16, MIN(16, Games[[#This Row],[OppRestDiff]]*8))</f>
        <v>-8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1398.1910242663294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1327.3567195371804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0.5040788019061867</v>
      </c>
      <c r="R150" s="1">
        <v>97</v>
      </c>
      <c r="S150" s="1">
        <v>83</v>
      </c>
      <c r="T150" s="1">
        <v>0</v>
      </c>
      <c r="U150" s="1">
        <f>Games[[#This Row],[PointsFor]]-Games[[#This Row],[PointsAgainst]]</f>
        <v>14</v>
      </c>
      <c r="V150" s="1">
        <f>IF(Games[[#This Row],[MOV]]&gt;0,1,IF(Games[[#This Row],[MOV]]=0,0.5,0))</f>
        <v>1</v>
      </c>
      <c r="W150" s="4">
        <f>((ABS(Games[[#This Row],[MOV]])+5)^0.6)/(12+0.01*(ABS(Games[[#This Row],[PreGmRate]]-Games[[#This Row],[OppPreGmRate]])))*IF(Games[[#This Row],[OT]]=1,0.9,1)</f>
        <v>0.4604295950018672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74.05</v>
      </c>
      <c r="Z150" s="4">
        <f>Games[[#This Row],[K]]*Games[[#This Row],[POMult]]</f>
        <v>74.05</v>
      </c>
      <c r="AA150" s="4">
        <f>(Games[[#This Row],[Keff]]*Games[[#This Row],[MOVMult]])*(Games[[#This Row],[Result]]-Games[[#This Row],[ExpectedWin%]])</f>
        <v>16.908339772766524</v>
      </c>
      <c r="AB150" s="4">
        <f>Games[[#This Row],[PreGmRate]]+Games[[#This Row],[RatingChange]]</f>
        <v>1415.0993640390959</v>
      </c>
      <c r="AC150" s="2">
        <f>IF(Games[[#This Row],[Type]]="R",IF(Games[[#This Row],[Result]]&gt;0.5,1,0),0)</f>
        <v>1</v>
      </c>
      <c r="AD150" s="2">
        <f>IF(Games[[#This Row],[Type]]="R",IF(Games[[#This Row],[Result]]&lt;0.5,1,0),0)</f>
        <v>0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44722</v>
      </c>
      <c r="B151" s="2">
        <v>2022</v>
      </c>
      <c r="C151" s="2">
        <f>COUNTIFS(Games[Team],Games[[#This Row],[Team]],Games[Season],Games[[#This Row],[Season]],Games[Date],"&lt;=" &amp; Games[[#This Row],[Date]])</f>
        <v>15</v>
      </c>
      <c r="D151" s="2" t="s">
        <v>79</v>
      </c>
      <c r="E151" s="2" t="s">
        <v>80</v>
      </c>
      <c r="F151" s="1" t="s">
        <v>69</v>
      </c>
      <c r="G151" s="1" t="s">
        <v>60</v>
      </c>
      <c r="H151" s="1" t="s">
        <v>82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1" s="2">
        <f>Games[[#This Row],[DaysOff]]-Games[[#This Row],[OppDaysOff]]</f>
        <v>-1</v>
      </c>
      <c r="L151" s="2">
        <f>Games[[#This Row],[OppDaysOff]]-Games[[#This Row],[DaysOff]]</f>
        <v>1</v>
      </c>
      <c r="M151" s="1">
        <f>MAX(-16, MIN(16, Games[[#This Row],[RestDiff]]*8))</f>
        <v>-8</v>
      </c>
      <c r="N151" s="1">
        <f>MAX(-16, MIN(16, Games[[#This Row],[OppRestDiff]]*8))</f>
        <v>8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1327.3567195371804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1398.1910242663294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0.4959211980938133</v>
      </c>
      <c r="R151" s="1">
        <v>83</v>
      </c>
      <c r="S151" s="1">
        <v>97</v>
      </c>
      <c r="T151" s="1">
        <v>0</v>
      </c>
      <c r="U151" s="1">
        <f>Games[[#This Row],[PointsFor]]-Games[[#This Row],[PointsAgainst]]</f>
        <v>-14</v>
      </c>
      <c r="V151" s="1">
        <f>IF(Games[[#This Row],[MOV]]&gt;0,1,IF(Games[[#This Row],[MOV]]=0,0.5,0))</f>
        <v>0</v>
      </c>
      <c r="W151" s="4">
        <f>((ABS(Games[[#This Row],[MOV]])+5)^0.6)/(12+0.01*(ABS(Games[[#This Row],[PreGmRate]]-Games[[#This Row],[OppPreGmRate]])))*IF(Games[[#This Row],[OT]]=1,0.9,1)</f>
        <v>0.4604295950018672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73.75</v>
      </c>
      <c r="Z151" s="4">
        <f>Games[[#This Row],[K]]*Games[[#This Row],[POMult]]</f>
        <v>73.75</v>
      </c>
      <c r="AA151" s="4">
        <f>(Games[[#This Row],[Keff]]*Games[[#This Row],[MOVMult]])*(Games[[#This Row],[Result]]-Games[[#This Row],[ExpectedWin%]])</f>
        <v>-16.839838733849174</v>
      </c>
      <c r="AB151" s="4">
        <f>Games[[#This Row],[PreGmRate]]+Games[[#This Row],[RatingChange]]</f>
        <v>1310.5168808033313</v>
      </c>
      <c r="AC151" s="2">
        <f>IF(Games[[#This Row],[Type]]="R",IF(Games[[#This Row],[Result]]&gt;0.5,1,0),0)</f>
        <v>0</v>
      </c>
      <c r="AD151" s="2">
        <f>IF(Games[[#This Row],[Type]]="R",IF(Games[[#This Row],[Result]]&lt;0.5,1,0),0)</f>
        <v>1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44722</v>
      </c>
      <c r="B152" s="2">
        <v>2022</v>
      </c>
      <c r="C152" s="2">
        <f>COUNTIFS(Games[Team],Games[[#This Row],[Team]],Games[Season],Games[[#This Row],[Season]],Games[Date],"&lt;=" &amp; Games[[#This Row],[Date]])</f>
        <v>14</v>
      </c>
      <c r="D152" s="2" t="s">
        <v>79</v>
      </c>
      <c r="E152" s="2" t="s">
        <v>80</v>
      </c>
      <c r="F152" s="1" t="s">
        <v>65</v>
      </c>
      <c r="G152" s="1" t="s">
        <v>67</v>
      </c>
      <c r="H152" s="1" t="s">
        <v>81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2" s="2">
        <f>Games[[#This Row],[DaysOff]]-Games[[#This Row],[OppDaysOff]]</f>
        <v>-1</v>
      </c>
      <c r="L152" s="2">
        <f>Games[[#This Row],[OppDaysOff]]-Games[[#This Row],[DaysOff]]</f>
        <v>1</v>
      </c>
      <c r="M152" s="1">
        <f>MAX(-16, MIN(16, Games[[#This Row],[RestDiff]]*8))</f>
        <v>-8</v>
      </c>
      <c r="N152" s="1">
        <f>MAX(-16, MIN(16, Games[[#This Row],[OppRestDiff]]*8))</f>
        <v>8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1515.6884578311642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1451.0914042120805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0.44922667257860099</v>
      </c>
      <c r="R152" s="1">
        <v>76</v>
      </c>
      <c r="S152" s="1">
        <v>59</v>
      </c>
      <c r="T152" s="1">
        <v>0</v>
      </c>
      <c r="U152" s="1">
        <f>Games[[#This Row],[PointsFor]]-Games[[#This Row],[PointsAgainst]]</f>
        <v>17</v>
      </c>
      <c r="V152" s="1">
        <f>IF(Games[[#This Row],[MOV]]&gt;0,1,IF(Games[[#This Row],[MOV]]=0,0.5,0))</f>
        <v>1</v>
      </c>
      <c r="W152" s="4">
        <f>((ABS(Games[[#This Row],[MOV]])+5)^0.6)/(12+0.01*(ABS(Games[[#This Row],[PreGmRate]]-Games[[#This Row],[OppPreGmRate]])))*IF(Games[[#This Row],[OT]]=1,0.9,1)</f>
        <v>0.50524432353363091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73.900000000000006</v>
      </c>
      <c r="Z152" s="4">
        <f>Games[[#This Row],[K]]*Games[[#This Row],[POMult]]</f>
        <v>73.900000000000006</v>
      </c>
      <c r="AA152" s="4">
        <f>(Games[[#This Row],[Keff]]*Games[[#This Row],[MOVMult]])*(Games[[#This Row],[Result]]-Games[[#This Row],[ExpectedWin%]])</f>
        <v>20.564529685547654</v>
      </c>
      <c r="AB152" s="4">
        <f>Games[[#This Row],[PreGmRate]]+Games[[#This Row],[RatingChange]]</f>
        <v>1536.252987516712</v>
      </c>
      <c r="AC152" s="2">
        <f>IF(Games[[#This Row],[Type]]="R",IF(Games[[#This Row],[Result]]&gt;0.5,1,0),0)</f>
        <v>1</v>
      </c>
      <c r="AD152" s="2">
        <f>IF(Games[[#This Row],[Type]]="R",IF(Games[[#This Row],[Result]]&lt;0.5,1,0),0)</f>
        <v>0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44722</v>
      </c>
      <c r="B153" s="2">
        <v>2022</v>
      </c>
      <c r="C153" s="2">
        <f>COUNTIFS(Games[Team],Games[[#This Row],[Team]],Games[Season],Games[[#This Row],[Season]],Games[Date],"&lt;=" &amp; Games[[#This Row],[Date]])</f>
        <v>13</v>
      </c>
      <c r="D153" s="2" t="s">
        <v>79</v>
      </c>
      <c r="E153" s="2" t="s">
        <v>80</v>
      </c>
      <c r="F153" s="1" t="s">
        <v>67</v>
      </c>
      <c r="G153" s="1" t="s">
        <v>65</v>
      </c>
      <c r="H153" s="1" t="s">
        <v>82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1</v>
      </c>
      <c r="L153" s="2">
        <f>Games[[#This Row],[OppDaysOff]]-Games[[#This Row],[DaysOff]]</f>
        <v>-1</v>
      </c>
      <c r="M153" s="1">
        <f>MAX(-16, MIN(16, Games[[#This Row],[RestDiff]]*8))</f>
        <v>8</v>
      </c>
      <c r="N153" s="1">
        <f>MAX(-16, MIN(16, Games[[#This Row],[OppRestDiff]]*8))</f>
        <v>-8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1451.0914042120805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1515.6884578311642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0.55077332742139906</v>
      </c>
      <c r="R153" s="1">
        <v>59</v>
      </c>
      <c r="S153" s="1">
        <v>76</v>
      </c>
      <c r="T153" s="1">
        <v>0</v>
      </c>
      <c r="U153" s="1">
        <f>Games[[#This Row],[PointsFor]]-Games[[#This Row],[PointsAgainst]]</f>
        <v>-17</v>
      </c>
      <c r="V153" s="1">
        <f>IF(Games[[#This Row],[MOV]]&gt;0,1,IF(Games[[#This Row],[MOV]]=0,0.5,0))</f>
        <v>0</v>
      </c>
      <c r="W153" s="4">
        <f>((ABS(Games[[#This Row],[MOV]])+5)^0.6)/(12+0.01*(ABS(Games[[#This Row],[PreGmRate]]-Games[[#This Row],[OppPreGmRate]])))*IF(Games[[#This Row],[OT]]=1,0.9,1)</f>
        <v>0.50524432353363091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74.05</v>
      </c>
      <c r="Z153" s="4">
        <f>Games[[#This Row],[K]]*Games[[#This Row],[POMult]]</f>
        <v>74.05</v>
      </c>
      <c r="AA153" s="4">
        <f>(Games[[#This Row],[Keff]]*Games[[#This Row],[MOVMult]])*(Games[[#This Row],[Result]]-Games[[#This Row],[ExpectedWin%]])</f>
        <v>-20.606270950132661</v>
      </c>
      <c r="AB153" s="4">
        <f>Games[[#This Row],[PreGmRate]]+Games[[#This Row],[RatingChange]]</f>
        <v>1430.4851332619478</v>
      </c>
      <c r="AC153" s="2">
        <f>IF(Games[[#This Row],[Type]]="R",IF(Games[[#This Row],[Result]]&gt;0.5,1,0),0)</f>
        <v>0</v>
      </c>
      <c r="AD153" s="2">
        <f>IF(Games[[#This Row],[Type]]="R",IF(Games[[#This Row],[Result]]&lt;0.5,1,0),0)</f>
        <v>1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44722</v>
      </c>
      <c r="B154" s="2">
        <v>2022</v>
      </c>
      <c r="C154" s="2">
        <f>COUNTIFS(Games[Team],Games[[#This Row],[Team]],Games[Season],Games[[#This Row],[Season]],Games[Date],"&lt;=" &amp; Games[[#This Row],[Date]])</f>
        <v>13</v>
      </c>
      <c r="D154" s="2" t="s">
        <v>79</v>
      </c>
      <c r="E154" s="2" t="s">
        <v>80</v>
      </c>
      <c r="F154" s="1" t="s">
        <v>77</v>
      </c>
      <c r="G154" s="1" t="s">
        <v>40</v>
      </c>
      <c r="H154" s="1" t="s">
        <v>81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54" s="2">
        <f>Games[[#This Row],[DaysOff]]-Games[[#This Row],[OppDaysOff]]</f>
        <v>-2</v>
      </c>
      <c r="L154" s="2">
        <f>Games[[#This Row],[OppDaysOff]]-Games[[#This Row],[DaysOff]]</f>
        <v>2</v>
      </c>
      <c r="M154" s="1">
        <f>MAX(-16, MIN(16, Games[[#This Row],[RestDiff]]*8))</f>
        <v>-16</v>
      </c>
      <c r="N154" s="1">
        <f>MAX(-16, MIN(16, Games[[#This Row],[OppRestDiff]]*8))</f>
        <v>16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1453.5984226861908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1470.5596785919522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0.31747793973807742</v>
      </c>
      <c r="R154" s="1">
        <v>88</v>
      </c>
      <c r="S154" s="1">
        <v>90</v>
      </c>
      <c r="T154" s="1">
        <v>0</v>
      </c>
      <c r="U154" s="1">
        <f>Games[[#This Row],[PointsFor]]-Games[[#This Row],[PointsAgainst]]</f>
        <v>-2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0.2641083135653195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74.05</v>
      </c>
      <c r="Z154" s="4">
        <f>Games[[#This Row],[K]]*Games[[#This Row],[POMult]]</f>
        <v>74.05</v>
      </c>
      <c r="AA154" s="4">
        <f>(Games[[#This Row],[Keff]]*Games[[#This Row],[MOVMult]])*(Games[[#This Row],[Result]]-Games[[#This Row],[ExpectedWin%]])</f>
        <v>-6.2089861092856875</v>
      </c>
      <c r="AB154" s="4">
        <f>Games[[#This Row],[PreGmRate]]+Games[[#This Row],[RatingChange]]</f>
        <v>1447.3894365769052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44722</v>
      </c>
      <c r="B155" s="2">
        <v>2022</v>
      </c>
      <c r="C155" s="2">
        <f>COUNTIFS(Games[Team],Games[[#This Row],[Team]],Games[Season],Games[[#This Row],[Season]],Games[Date],"&lt;=" &amp; Games[[#This Row],[Date]])</f>
        <v>12</v>
      </c>
      <c r="D155" s="2" t="s">
        <v>79</v>
      </c>
      <c r="E155" s="2" t="s">
        <v>80</v>
      </c>
      <c r="F155" s="1" t="s">
        <v>40</v>
      </c>
      <c r="G155" s="1" t="s">
        <v>77</v>
      </c>
      <c r="H155" s="1" t="s">
        <v>82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5" s="2">
        <f>Games[[#This Row],[DaysOff]]-Games[[#This Row],[OppDaysOff]]</f>
        <v>2</v>
      </c>
      <c r="L155" s="2">
        <f>Games[[#This Row],[OppDaysOff]]-Games[[#This Row],[DaysOff]]</f>
        <v>-2</v>
      </c>
      <c r="M155" s="1">
        <f>MAX(-16, MIN(16, Games[[#This Row],[RestDiff]]*8))</f>
        <v>16</v>
      </c>
      <c r="N155" s="1">
        <f>MAX(-16, MIN(16, Games[[#This Row],[OppRestDiff]]*8))</f>
        <v>-16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1470.5596785919522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1453.5984226861908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0.68252206026192264</v>
      </c>
      <c r="R155" s="1">
        <v>90</v>
      </c>
      <c r="S155" s="1">
        <v>88</v>
      </c>
      <c r="T155" s="1">
        <v>0</v>
      </c>
      <c r="U155" s="1">
        <f>Games[[#This Row],[PointsFor]]-Games[[#This Row],[PointsAgainst]]</f>
        <v>2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0.2641083135653195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74.2</v>
      </c>
      <c r="Z155" s="4">
        <f>Games[[#This Row],[K]]*Games[[#This Row],[POMult]]</f>
        <v>74.2</v>
      </c>
      <c r="AA155" s="4">
        <f>(Games[[#This Row],[Keff]]*Games[[#This Row],[MOVMult]])*(Games[[#This Row],[Result]]-Games[[#This Row],[ExpectedWin%]])</f>
        <v>6.2215633937744483</v>
      </c>
      <c r="AB155" s="4">
        <f>Games[[#This Row],[PreGmRate]]+Games[[#This Row],[RatingChange]]</f>
        <v>1476.7812419857266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44723</v>
      </c>
      <c r="B156" s="2">
        <v>2022</v>
      </c>
      <c r="C156" s="2">
        <f>COUNTIFS(Games[Team],Games[[#This Row],[Team]],Games[Season],Games[[#This Row],[Season]],Games[Date],"&lt;=" &amp; Games[[#This Row],[Date]])</f>
        <v>13</v>
      </c>
      <c r="D156" s="2" t="s">
        <v>79</v>
      </c>
      <c r="E156" s="2" t="s">
        <v>80</v>
      </c>
      <c r="F156" s="1" t="s">
        <v>86</v>
      </c>
      <c r="G156" s="1" t="s">
        <v>63</v>
      </c>
      <c r="H156" s="1" t="s">
        <v>81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5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1648.9845754963303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1461.6419463161262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0.64448589077577823</v>
      </c>
      <c r="R156" s="1">
        <v>89</v>
      </c>
      <c r="S156" s="1">
        <v>72</v>
      </c>
      <c r="T156" s="1">
        <v>0</v>
      </c>
      <c r="U156" s="1">
        <f>Games[[#This Row],[PointsFor]]-Games[[#This Row],[PointsAgainst]]</f>
        <v>17</v>
      </c>
      <c r="V156" s="1">
        <f>IF(Games[[#This Row],[MOV]]&gt;0,1,IF(Games[[#This Row],[MOV]]=0,0.5,0))</f>
        <v>1</v>
      </c>
      <c r="W156" s="4">
        <f>((ABS(Games[[#This Row],[MOV]])+5)^0.6)/(12+0.01*(ABS(Games[[#This Row],[PreGmRate]]-Games[[#This Row],[OppPreGmRate]])))*IF(Games[[#This Row],[OT]]=1,0.9,1)</f>
        <v>0.46054267306407776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74.05</v>
      </c>
      <c r="Z156" s="4">
        <f>Games[[#This Row],[K]]*Games[[#This Row],[POMult]]</f>
        <v>74.05</v>
      </c>
      <c r="AA156" s="4">
        <f>(Games[[#This Row],[Keff]]*Games[[#This Row],[MOVMult]])*(Games[[#This Row],[Result]]-Games[[#This Row],[ExpectedWin%]])</f>
        <v>12.124163415793406</v>
      </c>
      <c r="AB156" s="4">
        <f>Games[[#This Row],[PreGmRate]]+Games[[#This Row],[RatingChange]]</f>
        <v>1661.1087389121237</v>
      </c>
      <c r="AC156" s="2">
        <f>IF(Games[[#This Row],[Type]]="R",IF(Games[[#This Row],[Result]]&gt;0.5,1,0),0)</f>
        <v>1</v>
      </c>
      <c r="AD156" s="2">
        <f>IF(Games[[#This Row],[Type]]="R",IF(Games[[#This Row],[Result]]&lt;0.5,1,0),0)</f>
        <v>0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44723</v>
      </c>
      <c r="B157" s="2">
        <v>2022</v>
      </c>
      <c r="C157" s="2">
        <f>COUNTIFS(Games[Team],Games[[#This Row],[Team]],Games[Season],Games[[#This Row],[Season]],Games[Date],"&lt;=" &amp; Games[[#This Row],[Date]])</f>
        <v>13</v>
      </c>
      <c r="D157" s="2" t="s">
        <v>79</v>
      </c>
      <c r="E157" s="2" t="s">
        <v>80</v>
      </c>
      <c r="F157" s="1" t="s">
        <v>63</v>
      </c>
      <c r="G157" s="1" t="s">
        <v>86</v>
      </c>
      <c r="H157" s="1" t="s">
        <v>82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5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1461.6419463161262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1648.9845754963303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0.35551410922422172</v>
      </c>
      <c r="R157" s="1">
        <v>72</v>
      </c>
      <c r="S157" s="1">
        <v>89</v>
      </c>
      <c r="T157" s="1">
        <v>0</v>
      </c>
      <c r="U157" s="1">
        <f>Games[[#This Row],[PointsFor]]-Games[[#This Row],[PointsAgainst]]</f>
        <v>-17</v>
      </c>
      <c r="V157" s="1">
        <f>IF(Games[[#This Row],[MOV]]&gt;0,1,IF(Games[[#This Row],[MOV]]=0,0.5,0))</f>
        <v>0</v>
      </c>
      <c r="W157" s="4">
        <f>((ABS(Games[[#This Row],[MOV]])+5)^0.6)/(12+0.01*(ABS(Games[[#This Row],[PreGmRate]]-Games[[#This Row],[OppPreGmRate]])))*IF(Games[[#This Row],[OT]]=1,0.9,1)</f>
        <v>0.46054267306407776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74.05</v>
      </c>
      <c r="Z157" s="4">
        <f>Games[[#This Row],[K]]*Games[[#This Row],[POMult]]</f>
        <v>74.05</v>
      </c>
      <c r="AA157" s="4">
        <f>(Games[[#This Row],[Keff]]*Games[[#This Row],[MOVMult]])*(Games[[#This Row],[Result]]-Games[[#This Row],[ExpectedWin%]])</f>
        <v>-12.124163415793404</v>
      </c>
      <c r="AB157" s="4">
        <f>Games[[#This Row],[PreGmRate]]+Games[[#This Row],[RatingChange]]</f>
        <v>1449.5177829003328</v>
      </c>
      <c r="AC157" s="2">
        <f>IF(Games[[#This Row],[Type]]="R",IF(Games[[#This Row],[Result]]&gt;0.5,1,0),0)</f>
        <v>0</v>
      </c>
      <c r="AD157" s="2">
        <f>IF(Games[[#This Row],[Type]]="R",IF(Games[[#This Row],[Result]]&lt;0.5,1,0),0)</f>
        <v>1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44724</v>
      </c>
      <c r="B158" s="2">
        <v>2022</v>
      </c>
      <c r="C158" s="2">
        <f>COUNTIFS(Games[Team],Games[[#This Row],[Team]],Games[Season],Games[[#This Row],[Season]],Games[Date],"&lt;=" &amp; Games[[#This Row],[Date]])</f>
        <v>13</v>
      </c>
      <c r="D158" s="2" t="s">
        <v>79</v>
      </c>
      <c r="E158" s="2" t="s">
        <v>80</v>
      </c>
      <c r="F158" s="1" t="s">
        <v>71</v>
      </c>
      <c r="G158" s="1" t="s">
        <v>85</v>
      </c>
      <c r="H158" s="1" t="s">
        <v>81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0</v>
      </c>
      <c r="L158" s="2">
        <f>Games[[#This Row],[OppDaysOff]]-Games[[#This Row],[DaysOff]]</f>
        <v>0</v>
      </c>
      <c r="M158" s="1">
        <f>MAX(-16, MIN(16, Games[[#This Row],[RestDiff]]*8))</f>
        <v>0</v>
      </c>
      <c r="N158" s="1">
        <f>MAX(-16, MIN(16, Games[[#This Row],[OppRestDiff]]*8))</f>
        <v>0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1529.6998951673907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1508.2341213966902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0.41096538952505413</v>
      </c>
      <c r="R158" s="1">
        <v>84</v>
      </c>
      <c r="S158" s="1">
        <v>79</v>
      </c>
      <c r="T158" s="1">
        <v>0</v>
      </c>
      <c r="U158" s="1">
        <f>Games[[#This Row],[PointsFor]]-Games[[#This Row],[PointsAgainst]]</f>
        <v>5</v>
      </c>
      <c r="V158" s="1">
        <f>IF(Games[[#This Row],[MOV]]&gt;0,1,IF(Games[[#This Row],[MOV]]=0,0.5,0))</f>
        <v>1</v>
      </c>
      <c r="W158" s="4">
        <f>((ABS(Games[[#This Row],[MOV]])+5)^0.6)/(12+0.01*(ABS(Games[[#This Row],[PreGmRate]]-Games[[#This Row],[OppPreGmRate]])))*IF(Games[[#This Row],[OT]]=1,0.9,1)</f>
        <v>0.32592576812408652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74.05</v>
      </c>
      <c r="Z158" s="4">
        <f>Games[[#This Row],[K]]*Games[[#This Row],[POMult]]</f>
        <v>74.05</v>
      </c>
      <c r="AA158" s="4">
        <f>(Games[[#This Row],[Keff]]*Games[[#This Row],[MOVMult]])*(Games[[#This Row],[Result]]-Games[[#This Row],[ExpectedWin%]])</f>
        <v>14.216234360326728</v>
      </c>
      <c r="AB158" s="4">
        <f>Games[[#This Row],[PreGmRate]]+Games[[#This Row],[RatingChange]]</f>
        <v>1543.9161295277174</v>
      </c>
      <c r="AC158" s="2">
        <f>IF(Games[[#This Row],[Type]]="R",IF(Games[[#This Row],[Result]]&gt;0.5,1,0),0)</f>
        <v>1</v>
      </c>
      <c r="AD158" s="2">
        <f>IF(Games[[#This Row],[Type]]="R",IF(Games[[#This Row],[Result]]&lt;0.5,1,0),0)</f>
        <v>0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44724</v>
      </c>
      <c r="B159" s="2">
        <v>2022</v>
      </c>
      <c r="C159" s="2">
        <f>COUNTIFS(Games[Team],Games[[#This Row],[Team]],Games[Season],Games[[#This Row],[Season]],Games[Date],"&lt;=" &amp; Games[[#This Row],[Date]])</f>
        <v>13</v>
      </c>
      <c r="D159" s="2" t="s">
        <v>79</v>
      </c>
      <c r="E159" s="2" t="s">
        <v>80</v>
      </c>
      <c r="F159" s="1" t="s">
        <v>85</v>
      </c>
      <c r="G159" s="1" t="s">
        <v>71</v>
      </c>
      <c r="H159" s="1" t="s">
        <v>82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0</v>
      </c>
      <c r="L159" s="2">
        <f>Games[[#This Row],[OppDaysOff]]-Games[[#This Row],[DaysOff]]</f>
        <v>0</v>
      </c>
      <c r="M159" s="1">
        <f>MAX(-16, MIN(16, Games[[#This Row],[RestDiff]]*8))</f>
        <v>0</v>
      </c>
      <c r="N159" s="1">
        <f>MAX(-16, MIN(16, Games[[#This Row],[OppRestDiff]]*8))</f>
        <v>0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1508.2341213966902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1529.6998951673907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0.58903461047494587</v>
      </c>
      <c r="R159" s="1">
        <v>79</v>
      </c>
      <c r="S159" s="1">
        <v>84</v>
      </c>
      <c r="T159" s="1">
        <v>0</v>
      </c>
      <c r="U159" s="1">
        <f>Games[[#This Row],[PointsFor]]-Games[[#This Row],[PointsAgainst]]</f>
        <v>-5</v>
      </c>
      <c r="V159" s="1">
        <f>IF(Games[[#This Row],[MOV]]&gt;0,1,IF(Games[[#This Row],[MOV]]=0,0.5,0))</f>
        <v>0</v>
      </c>
      <c r="W159" s="4">
        <f>((ABS(Games[[#This Row],[MOV]])+5)^0.6)/(12+0.01*(ABS(Games[[#This Row],[PreGmRate]]-Games[[#This Row],[OppPreGmRate]])))*IF(Games[[#This Row],[OT]]=1,0.9,1)</f>
        <v>0.32592576812408652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74.05</v>
      </c>
      <c r="Z159" s="4">
        <f>Games[[#This Row],[K]]*Games[[#This Row],[POMult]]</f>
        <v>74.05</v>
      </c>
      <c r="AA159" s="4">
        <f>(Games[[#This Row],[Keff]]*Games[[#This Row],[MOVMult]])*(Games[[#This Row],[Result]]-Games[[#This Row],[ExpectedWin%]])</f>
        <v>-14.216234360326728</v>
      </c>
      <c r="AB159" s="4">
        <f>Games[[#This Row],[PreGmRate]]+Games[[#This Row],[RatingChange]]</f>
        <v>1494.0178870363634</v>
      </c>
      <c r="AC159" s="2">
        <f>IF(Games[[#This Row],[Type]]="R",IF(Games[[#This Row],[Result]]&gt;0.5,1,0),0)</f>
        <v>0</v>
      </c>
      <c r="AD159" s="2">
        <f>IF(Games[[#This Row],[Type]]="R",IF(Games[[#This Row],[Result]]&lt;0.5,1,0),0)</f>
        <v>1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44724</v>
      </c>
      <c r="B160" s="2">
        <v>2022</v>
      </c>
      <c r="C160" s="2">
        <f>COUNTIFS(Games[Team],Games[[#This Row],[Team]],Games[Season],Games[[#This Row],[Season]],Games[Date],"&lt;=" &amp; Games[[#This Row],[Date]])</f>
        <v>16</v>
      </c>
      <c r="D160" s="2" t="s">
        <v>79</v>
      </c>
      <c r="E160" s="2" t="s">
        <v>80</v>
      </c>
      <c r="F160" s="1" t="s">
        <v>69</v>
      </c>
      <c r="G160" s="1" t="s">
        <v>67</v>
      </c>
      <c r="H160" s="1" t="s">
        <v>81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1310.5168808033313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1430.4851332619478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0.23610826090393575</v>
      </c>
      <c r="R160" s="1">
        <v>84</v>
      </c>
      <c r="S160" s="1">
        <v>80</v>
      </c>
      <c r="T160" s="1">
        <v>0</v>
      </c>
      <c r="U160" s="1">
        <f>Games[[#This Row],[PointsFor]]-Games[[#This Row],[PointsAgainst]]</f>
        <v>4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0.28312747764088519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73.599999999999994</v>
      </c>
      <c r="Z160" s="4">
        <f>Games[[#This Row],[K]]*Games[[#This Row],[POMult]]</f>
        <v>73.599999999999994</v>
      </c>
      <c r="AA160" s="4">
        <f>(Games[[#This Row],[Keff]]*Games[[#This Row],[MOVMult]])*(Games[[#This Row],[Result]]-Games[[#This Row],[ExpectedWin%]])</f>
        <v>15.918115358279968</v>
      </c>
      <c r="AB160" s="4">
        <f>Games[[#This Row],[PreGmRate]]+Games[[#This Row],[RatingChange]]</f>
        <v>1326.4349961616113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44724</v>
      </c>
      <c r="B161" s="2">
        <v>2022</v>
      </c>
      <c r="C161" s="2">
        <f>COUNTIFS(Games[Team],Games[[#This Row],[Team]],Games[Season],Games[[#This Row],[Season]],Games[Date],"&lt;=" &amp; Games[[#This Row],[Date]])</f>
        <v>14</v>
      </c>
      <c r="D161" s="2" t="s">
        <v>79</v>
      </c>
      <c r="E161" s="2" t="s">
        <v>80</v>
      </c>
      <c r="F161" s="1" t="s">
        <v>67</v>
      </c>
      <c r="G161" s="1" t="s">
        <v>69</v>
      </c>
      <c r="H161" s="1" t="s">
        <v>82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1430.4851332619478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1310.5168808033313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0.76389173909606423</v>
      </c>
      <c r="R161" s="1">
        <v>80</v>
      </c>
      <c r="S161" s="1">
        <v>84</v>
      </c>
      <c r="T161" s="1">
        <v>0</v>
      </c>
      <c r="U161" s="1">
        <f>Games[[#This Row],[PointsFor]]-Games[[#This Row],[PointsAgainst]]</f>
        <v>-4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0.28312747764088519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73.900000000000006</v>
      </c>
      <c r="Z161" s="4">
        <f>Games[[#This Row],[K]]*Games[[#This Row],[POMult]]</f>
        <v>73.900000000000006</v>
      </c>
      <c r="AA161" s="4">
        <f>(Games[[#This Row],[Keff]]*Games[[#This Row],[MOVMult]])*(Games[[#This Row],[Result]]-Games[[#This Row],[ExpectedWin%]])</f>
        <v>-15.982998980664261</v>
      </c>
      <c r="AB161" s="4">
        <f>Games[[#This Row],[PreGmRate]]+Games[[#This Row],[RatingChange]]</f>
        <v>1414.5021342812836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44724</v>
      </c>
      <c r="B162" s="2">
        <v>2022</v>
      </c>
      <c r="C162" s="2">
        <f>COUNTIFS(Games[Team],Games[[#This Row],[Team]],Games[Season],Games[[#This Row],[Season]],Games[Date],"&lt;=" &amp; Games[[#This Row],[Date]])</f>
        <v>13</v>
      </c>
      <c r="D162" s="2" t="s">
        <v>79</v>
      </c>
      <c r="E162" s="2" t="s">
        <v>80</v>
      </c>
      <c r="F162" s="1" t="s">
        <v>75</v>
      </c>
      <c r="G162" s="1" t="s">
        <v>60</v>
      </c>
      <c r="H162" s="1" t="s">
        <v>81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0</v>
      </c>
      <c r="L162" s="2">
        <f>Games[[#This Row],[OppDaysOff]]-Games[[#This Row],[DaysOff]]</f>
        <v>0</v>
      </c>
      <c r="M162" s="1">
        <f>MAX(-16, MIN(16, Games[[#This Row],[RestDiff]]*8))</f>
        <v>0</v>
      </c>
      <c r="N162" s="1">
        <f>MAX(-16, MIN(16, Games[[#This Row],[OppRestDiff]]*8))</f>
        <v>0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1600.0830191195219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1415.0993640390959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0.64136847038464795</v>
      </c>
      <c r="R162" s="1">
        <v>88</v>
      </c>
      <c r="S162" s="1">
        <v>86</v>
      </c>
      <c r="T162" s="1">
        <v>0</v>
      </c>
      <c r="U162" s="1">
        <f>Games[[#This Row],[PointsFor]]-Games[[#This Row],[PointsAgainst]]</f>
        <v>2</v>
      </c>
      <c r="V162" s="1">
        <f>IF(Games[[#This Row],[MOV]]&gt;0,1,IF(Games[[#This Row],[MOV]]=0,0.5,0))</f>
        <v>1</v>
      </c>
      <c r="W162" s="4">
        <f>((ABS(Games[[#This Row],[MOV]])+5)^0.6)/(12+0.01*(ABS(Games[[#This Row],[PreGmRate]]-Games[[#This Row],[OppPreGmRate]])))*IF(Games[[#This Row],[OT]]=1,0.9,1)</f>
        <v>0.23206742100717398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74.05</v>
      </c>
      <c r="Z162" s="4">
        <f>Games[[#This Row],[K]]*Games[[#This Row],[POMult]]</f>
        <v>74.05</v>
      </c>
      <c r="AA162" s="4">
        <f>(Games[[#This Row],[Keff]]*Games[[#This Row],[MOVMult]])*(Games[[#This Row],[Result]]-Games[[#This Row],[ExpectedWin%]])</f>
        <v>6.1629367032657436</v>
      </c>
      <c r="AB162" s="4">
        <f>Games[[#This Row],[PreGmRate]]+Games[[#This Row],[RatingChange]]</f>
        <v>1606.2459558227877</v>
      </c>
      <c r="AC162" s="2">
        <f>IF(Games[[#This Row],[Type]]="R",IF(Games[[#This Row],[Result]]&gt;0.5,1,0),0)</f>
        <v>1</v>
      </c>
      <c r="AD162" s="2">
        <f>IF(Games[[#This Row],[Type]]="R",IF(Games[[#This Row],[Result]]&lt;0.5,1,0),0)</f>
        <v>0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44724</v>
      </c>
      <c r="B163" s="2">
        <v>2022</v>
      </c>
      <c r="C163" s="2">
        <f>COUNTIFS(Games[Team],Games[[#This Row],[Team]],Games[Season],Games[[#This Row],[Season]],Games[Date],"&lt;=" &amp; Games[[#This Row],[Date]])</f>
        <v>14</v>
      </c>
      <c r="D163" s="2" t="s">
        <v>79</v>
      </c>
      <c r="E163" s="2" t="s">
        <v>80</v>
      </c>
      <c r="F163" s="1" t="s">
        <v>60</v>
      </c>
      <c r="G163" s="1" t="s">
        <v>75</v>
      </c>
      <c r="H163" s="1" t="s">
        <v>82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3" s="2">
        <f>Games[[#This Row],[DaysOff]]-Games[[#This Row],[OppDaysOff]]</f>
        <v>0</v>
      </c>
      <c r="L163" s="2">
        <f>Games[[#This Row],[OppDaysOff]]-Games[[#This Row],[DaysOff]]</f>
        <v>0</v>
      </c>
      <c r="M163" s="1">
        <f>MAX(-16, MIN(16, Games[[#This Row],[RestDiff]]*8))</f>
        <v>0</v>
      </c>
      <c r="N163" s="1">
        <f>MAX(-16, MIN(16, Games[[#This Row],[OppRestDiff]]*8))</f>
        <v>0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1415.0993640390959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1600.0830191195219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0.35863152961535205</v>
      </c>
      <c r="R163" s="1">
        <v>86</v>
      </c>
      <c r="S163" s="1">
        <v>88</v>
      </c>
      <c r="T163" s="1">
        <v>0</v>
      </c>
      <c r="U163" s="1">
        <f>Games[[#This Row],[PointsFor]]-Games[[#This Row],[PointsAgainst]]</f>
        <v>-2</v>
      </c>
      <c r="V163" s="1">
        <f>IF(Games[[#This Row],[MOV]]&gt;0,1,IF(Games[[#This Row],[MOV]]=0,0.5,0))</f>
        <v>0</v>
      </c>
      <c r="W163" s="4">
        <f>((ABS(Games[[#This Row],[MOV]])+5)^0.6)/(12+0.01*(ABS(Games[[#This Row],[PreGmRate]]-Games[[#This Row],[OppPreGmRate]])))*IF(Games[[#This Row],[OT]]=1,0.9,1)</f>
        <v>0.23206742100717398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73.900000000000006</v>
      </c>
      <c r="Z163" s="4">
        <f>Games[[#This Row],[K]]*Games[[#This Row],[POMult]]</f>
        <v>73.900000000000006</v>
      </c>
      <c r="AA163" s="4">
        <f>(Games[[#This Row],[Keff]]*Games[[#This Row],[MOVMult]])*(Games[[#This Row],[Result]]-Games[[#This Row],[ExpectedWin%]])</f>
        <v>-6.1504526991402901</v>
      </c>
      <c r="AB163" s="4">
        <f>Games[[#This Row],[PreGmRate]]+Games[[#This Row],[RatingChange]]</f>
        <v>1408.9489113399557</v>
      </c>
      <c r="AC163" s="2">
        <f>IF(Games[[#This Row],[Type]]="R",IF(Games[[#This Row],[Result]]&gt;0.5,1,0),0)</f>
        <v>0</v>
      </c>
      <c r="AD163" s="2">
        <f>IF(Games[[#This Row],[Type]]="R",IF(Games[[#This Row],[Result]]&lt;0.5,1,0),0)</f>
        <v>1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44724</v>
      </c>
      <c r="B164" s="2">
        <v>2022</v>
      </c>
      <c r="C164" s="2">
        <f>COUNTIFS(Games[Team],Games[[#This Row],[Team]],Games[Season],Games[[#This Row],[Season]],Games[Date],"&lt;=" &amp; Games[[#This Row],[Date]])</f>
        <v>13</v>
      </c>
      <c r="D164" s="2" t="s">
        <v>79</v>
      </c>
      <c r="E164" s="2" t="s">
        <v>80</v>
      </c>
      <c r="F164" s="1" t="s">
        <v>40</v>
      </c>
      <c r="G164" s="1" t="s">
        <v>65</v>
      </c>
      <c r="H164" s="1" t="s">
        <v>81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1476.7812419857266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1536.252987516712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0.30451486034413183</v>
      </c>
      <c r="R164" s="1">
        <v>99</v>
      </c>
      <c r="S164" s="1">
        <v>90</v>
      </c>
      <c r="T164" s="1">
        <v>1</v>
      </c>
      <c r="U164" s="1">
        <f>Games[[#This Row],[PointsFor]]-Games[[#This Row],[PointsAgainst]]</f>
        <v>9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0.34812154450846761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74.05</v>
      </c>
      <c r="Z164" s="4">
        <f>Games[[#This Row],[K]]*Games[[#This Row],[POMult]]</f>
        <v>74.05</v>
      </c>
      <c r="AA164" s="4">
        <f>(Games[[#This Row],[Keff]]*Games[[#This Row],[MOVMult]])*(Games[[#This Row],[Result]]-Games[[#This Row],[ExpectedWin%]])</f>
        <v>17.928494382026905</v>
      </c>
      <c r="AB164" s="4">
        <f>Games[[#This Row],[PreGmRate]]+Games[[#This Row],[RatingChange]]</f>
        <v>1494.7097363677535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44724</v>
      </c>
      <c r="B165" s="2">
        <v>2022</v>
      </c>
      <c r="C165" s="2">
        <f>COUNTIFS(Games[Team],Games[[#This Row],[Team]],Games[Season],Games[[#This Row],[Season]],Games[Date],"&lt;=" &amp; Games[[#This Row],[Date]])</f>
        <v>15</v>
      </c>
      <c r="D165" s="2" t="s">
        <v>79</v>
      </c>
      <c r="E165" s="2" t="s">
        <v>80</v>
      </c>
      <c r="F165" s="1" t="s">
        <v>65</v>
      </c>
      <c r="G165" s="1" t="s">
        <v>40</v>
      </c>
      <c r="H165" s="1" t="s">
        <v>82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1536.252987516712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1476.7812419857266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0.69548513965586811</v>
      </c>
      <c r="R165" s="1">
        <v>90</v>
      </c>
      <c r="S165" s="1">
        <v>99</v>
      </c>
      <c r="T165" s="1">
        <v>1</v>
      </c>
      <c r="U165" s="1">
        <f>Games[[#This Row],[PointsFor]]-Games[[#This Row],[PointsAgainst]]</f>
        <v>-9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0.34812154450846761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73.75</v>
      </c>
      <c r="Z165" s="4">
        <f>Games[[#This Row],[K]]*Games[[#This Row],[POMult]]</f>
        <v>73.75</v>
      </c>
      <c r="AA165" s="4">
        <f>(Games[[#This Row],[Keff]]*Games[[#This Row],[MOVMult]])*(Games[[#This Row],[Result]]-Games[[#This Row],[ExpectedWin%]])</f>
        <v>-17.855860373726998</v>
      </c>
      <c r="AB165" s="4">
        <f>Games[[#This Row],[PreGmRate]]+Games[[#This Row],[RatingChange]]</f>
        <v>1518.397127142985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44726</v>
      </c>
      <c r="B166" s="2">
        <v>2022</v>
      </c>
      <c r="C166" s="2">
        <f>COUNTIFS(Games[Team],Games[[#This Row],[Team]],Games[Season],Games[[#This Row],[Season]],Games[Date],"&lt;=" &amp; Games[[#This Row],[Date]])</f>
        <v>14</v>
      </c>
      <c r="D166" s="2" t="s">
        <v>79</v>
      </c>
      <c r="E166" s="2" t="s">
        <v>80</v>
      </c>
      <c r="F166" s="1" t="s">
        <v>71</v>
      </c>
      <c r="G166" s="1" t="s">
        <v>67</v>
      </c>
      <c r="H166" s="1" t="s">
        <v>81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0</v>
      </c>
      <c r="L166" s="2">
        <f>Games[[#This Row],[OppDaysOff]]-Games[[#This Row],[DaysOff]]</f>
        <v>0</v>
      </c>
      <c r="M166" s="1">
        <f>MAX(-16, MIN(16, Games[[#This Row],[RestDiff]]*8))</f>
        <v>0</v>
      </c>
      <c r="N166" s="1">
        <f>MAX(-16, MIN(16, Games[[#This Row],[OppRestDiff]]*8))</f>
        <v>0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1543.9161295277174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1414.5021342812836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0.56498630318284093</v>
      </c>
      <c r="R166" s="1">
        <v>81</v>
      </c>
      <c r="S166" s="1">
        <v>79</v>
      </c>
      <c r="T166" s="1">
        <v>0</v>
      </c>
      <c r="U166" s="1">
        <f>Games[[#This Row],[PointsFor]]-Games[[#This Row],[PointsAgainst]]</f>
        <v>2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0.24176786623344074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73.900000000000006</v>
      </c>
      <c r="Z166" s="4">
        <f>Games[[#This Row],[K]]*Games[[#This Row],[POMult]]</f>
        <v>73.900000000000006</v>
      </c>
      <c r="AA166" s="4">
        <f>(Games[[#This Row],[Keff]]*Games[[#This Row],[MOVMult]])*(Games[[#This Row],[Result]]-Games[[#This Row],[ExpectedWin%]])</f>
        <v>7.7722354280474244</v>
      </c>
      <c r="AB166" s="4">
        <f>Games[[#This Row],[PreGmRate]]+Games[[#This Row],[RatingChange]]</f>
        <v>1551.6883649557649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44726</v>
      </c>
      <c r="B167" s="2">
        <v>2022</v>
      </c>
      <c r="C167" s="2">
        <f>COUNTIFS(Games[Team],Games[[#This Row],[Team]],Games[Season],Games[[#This Row],[Season]],Games[Date],"&lt;=" &amp; Games[[#This Row],[Date]])</f>
        <v>15</v>
      </c>
      <c r="D167" s="2" t="s">
        <v>79</v>
      </c>
      <c r="E167" s="2" t="s">
        <v>80</v>
      </c>
      <c r="F167" s="1" t="s">
        <v>67</v>
      </c>
      <c r="G167" s="1" t="s">
        <v>71</v>
      </c>
      <c r="H167" s="1" t="s">
        <v>82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0</v>
      </c>
      <c r="L167" s="2">
        <f>Games[[#This Row],[OppDaysOff]]-Games[[#This Row],[DaysOff]]</f>
        <v>0</v>
      </c>
      <c r="M167" s="1">
        <f>MAX(-16, MIN(16, Games[[#This Row],[RestDiff]]*8))</f>
        <v>0</v>
      </c>
      <c r="N167" s="1">
        <f>MAX(-16, MIN(16, Games[[#This Row],[OppRestDiff]]*8))</f>
        <v>0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1414.5021342812836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1543.9161295277174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0.43501369681715907</v>
      </c>
      <c r="R167" s="1">
        <v>79</v>
      </c>
      <c r="S167" s="1">
        <v>81</v>
      </c>
      <c r="T167" s="1">
        <v>0</v>
      </c>
      <c r="U167" s="1">
        <f>Games[[#This Row],[PointsFor]]-Games[[#This Row],[PointsAgainst]]</f>
        <v>-2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0.24176786623344074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73.75</v>
      </c>
      <c r="Z167" s="4">
        <f>Games[[#This Row],[K]]*Games[[#This Row],[POMult]]</f>
        <v>73.75</v>
      </c>
      <c r="AA167" s="4">
        <f>(Games[[#This Row],[Keff]]*Games[[#This Row],[MOVMult]])*(Games[[#This Row],[Result]]-Games[[#This Row],[ExpectedWin%]])</f>
        <v>-7.756459578058152</v>
      </c>
      <c r="AB167" s="4">
        <f>Games[[#This Row],[PreGmRate]]+Games[[#This Row],[RatingChange]]</f>
        <v>1406.7456747032254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44726</v>
      </c>
      <c r="B168" s="2">
        <v>2022</v>
      </c>
      <c r="C168" s="2">
        <f>COUNTIFS(Games[Team],Games[[#This Row],[Team]],Games[Season],Games[[#This Row],[Season]],Games[Date],"&lt;=" &amp; Games[[#This Row],[Date]])</f>
        <v>14</v>
      </c>
      <c r="D168" s="2" t="s">
        <v>79</v>
      </c>
      <c r="E168" s="2" t="s">
        <v>80</v>
      </c>
      <c r="F168" s="1" t="s">
        <v>40</v>
      </c>
      <c r="G168" s="1" t="s">
        <v>65</v>
      </c>
      <c r="H168" s="1" t="s">
        <v>81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1494.7097363677535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1518.397127142985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0.34980454734111932</v>
      </c>
      <c r="R168" s="1">
        <v>65</v>
      </c>
      <c r="S168" s="1">
        <v>83</v>
      </c>
      <c r="T168" s="1">
        <v>0</v>
      </c>
      <c r="U168" s="1">
        <f>Games[[#This Row],[PointsFor]]-Games[[#This Row],[PointsAgainst]]</f>
        <v>-18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0.53624865590538495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73.900000000000006</v>
      </c>
      <c r="Z168" s="4">
        <f>Games[[#This Row],[K]]*Games[[#This Row],[POMult]]</f>
        <v>73.900000000000006</v>
      </c>
      <c r="AA168" s="4">
        <f>(Games[[#This Row],[Keff]]*Games[[#This Row],[MOVMult]])*(Games[[#This Row],[Result]]-Games[[#This Row],[ExpectedWin%]])</f>
        <v>-13.862325935419619</v>
      </c>
      <c r="AB168" s="4">
        <f>Games[[#This Row],[PreGmRate]]+Games[[#This Row],[RatingChange]]</f>
        <v>1480.8474104323338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44726</v>
      </c>
      <c r="B169" s="2">
        <v>2022</v>
      </c>
      <c r="C169" s="2">
        <f>COUNTIFS(Games[Team],Games[[#This Row],[Team]],Games[Season],Games[[#This Row],[Season]],Games[Date],"&lt;=" &amp; Games[[#This Row],[Date]])</f>
        <v>16</v>
      </c>
      <c r="D169" s="2" t="s">
        <v>79</v>
      </c>
      <c r="E169" s="2" t="s">
        <v>80</v>
      </c>
      <c r="F169" s="1" t="s">
        <v>65</v>
      </c>
      <c r="G169" s="1" t="s">
        <v>40</v>
      </c>
      <c r="H169" s="1" t="s">
        <v>82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1518.397127142985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1494.7097363677535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0.65019545265888068</v>
      </c>
      <c r="R169" s="1">
        <v>83</v>
      </c>
      <c r="S169" s="1">
        <v>65</v>
      </c>
      <c r="T169" s="1">
        <v>0</v>
      </c>
      <c r="U169" s="1">
        <f>Games[[#This Row],[PointsFor]]-Games[[#This Row],[PointsAgainst]]</f>
        <v>18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0.53624865590538495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73.599999999999994</v>
      </c>
      <c r="Z169" s="4">
        <f>Games[[#This Row],[K]]*Games[[#This Row],[POMult]]</f>
        <v>73.599999999999994</v>
      </c>
      <c r="AA169" s="4">
        <f>(Games[[#This Row],[Keff]]*Games[[#This Row],[MOVMult]])*(Games[[#This Row],[Result]]-Games[[#This Row],[ExpectedWin%]])</f>
        <v>13.806051269917239</v>
      </c>
      <c r="AB169" s="4">
        <f>Games[[#This Row],[PreGmRate]]+Games[[#This Row],[RatingChange]]</f>
        <v>1532.2031784129022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44727</v>
      </c>
      <c r="B170" s="2">
        <v>2022</v>
      </c>
      <c r="C170" s="2">
        <f>COUNTIFS(Games[Team],Games[[#This Row],[Team]],Games[Season],Games[[#This Row],[Season]],Games[Date],"&lt;=" &amp; Games[[#This Row],[Date]])</f>
        <v>14</v>
      </c>
      <c r="D170" s="2" t="s">
        <v>79</v>
      </c>
      <c r="E170" s="2" t="s">
        <v>80</v>
      </c>
      <c r="F170" s="1" t="s">
        <v>77</v>
      </c>
      <c r="G170" s="1" t="s">
        <v>74</v>
      </c>
      <c r="H170" s="1" t="s">
        <v>81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0" s="2">
        <f>Games[[#This Row],[DaysOff]]-Games[[#This Row],[OppDaysOff]]</f>
        <v>0</v>
      </c>
      <c r="L170" s="2">
        <f>Games[[#This Row],[OppDaysOff]]-Games[[#This Row],[DaysOff]]</f>
        <v>0</v>
      </c>
      <c r="M170" s="1">
        <f>MAX(-16, MIN(16, Games[[#This Row],[RestDiff]]*8))</f>
        <v>0</v>
      </c>
      <c r="N170" s="1">
        <f>MAX(-16, MIN(16, Games[[#This Row],[OppRestDiff]]*8))</f>
        <v>0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1447.3894365769052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1635.3520231749019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0.17285277316295949</v>
      </c>
      <c r="R170" s="1">
        <v>92</v>
      </c>
      <c r="S170" s="1">
        <v>105</v>
      </c>
      <c r="T170" s="1">
        <v>0</v>
      </c>
      <c r="U170" s="1">
        <f>Games[[#This Row],[PointsFor]]-Games[[#This Row],[PointsAgainst]]</f>
        <v>-13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0.40811799413510114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73.900000000000006</v>
      </c>
      <c r="Z170" s="4">
        <f>Games[[#This Row],[K]]*Games[[#This Row],[POMult]]</f>
        <v>73.900000000000006</v>
      </c>
      <c r="AA170" s="4">
        <f>(Games[[#This Row],[Keff]]*Games[[#This Row],[MOVMult]])*(Games[[#This Row],[Result]]-Games[[#This Row],[ExpectedWin%]])</f>
        <v>-5.2132257700263978</v>
      </c>
      <c r="AB170" s="4">
        <f>Games[[#This Row],[PreGmRate]]+Games[[#This Row],[RatingChange]]</f>
        <v>1442.1762108068788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44727</v>
      </c>
      <c r="B171" s="2">
        <v>2022</v>
      </c>
      <c r="C171" s="2">
        <f>COUNTIFS(Games[Team],Games[[#This Row],[Team]],Games[Season],Games[[#This Row],[Season]],Games[Date],"&lt;=" &amp; Games[[#This Row],[Date]])</f>
        <v>15</v>
      </c>
      <c r="D171" s="2" t="s">
        <v>79</v>
      </c>
      <c r="E171" s="2" t="s">
        <v>80</v>
      </c>
      <c r="F171" s="1" t="s">
        <v>74</v>
      </c>
      <c r="G171" s="1" t="s">
        <v>77</v>
      </c>
      <c r="H171" s="1" t="s">
        <v>82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1" s="2">
        <f>Games[[#This Row],[DaysOff]]-Games[[#This Row],[OppDaysOff]]</f>
        <v>0</v>
      </c>
      <c r="L171" s="2">
        <f>Games[[#This Row],[OppDaysOff]]-Games[[#This Row],[DaysOff]]</f>
        <v>0</v>
      </c>
      <c r="M171" s="1">
        <f>MAX(-16, MIN(16, Games[[#This Row],[RestDiff]]*8))</f>
        <v>0</v>
      </c>
      <c r="N171" s="1">
        <f>MAX(-16, MIN(16, Games[[#This Row],[OppRestDiff]]*8))</f>
        <v>0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1635.3520231749019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1447.3894365769052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0.82714722683704056</v>
      </c>
      <c r="R171" s="1">
        <v>105</v>
      </c>
      <c r="S171" s="1">
        <v>92</v>
      </c>
      <c r="T171" s="1">
        <v>0</v>
      </c>
      <c r="U171" s="1">
        <f>Games[[#This Row],[PointsFor]]-Games[[#This Row],[PointsAgainst]]</f>
        <v>13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0.40811799413510114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73.75</v>
      </c>
      <c r="Z171" s="4">
        <f>Games[[#This Row],[K]]*Games[[#This Row],[POMult]]</f>
        <v>73.75</v>
      </c>
      <c r="AA171" s="4">
        <f>(Games[[#This Row],[Keff]]*Games[[#This Row],[MOVMult]])*(Games[[#This Row],[Result]]-Games[[#This Row],[ExpectedWin%]])</f>
        <v>5.2026441209668031</v>
      </c>
      <c r="AB171" s="4">
        <f>Games[[#This Row],[PreGmRate]]+Games[[#This Row],[RatingChange]]</f>
        <v>1640.5546672958687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44727</v>
      </c>
      <c r="B172" s="2">
        <v>2022</v>
      </c>
      <c r="C172" s="2">
        <f>COUNTIFS(Games[Team],Games[[#This Row],[Team]],Games[Season],Games[[#This Row],[Season]],Games[Date],"&lt;=" &amp; Games[[#This Row],[Date]])</f>
        <v>14</v>
      </c>
      <c r="D172" s="2" t="s">
        <v>79</v>
      </c>
      <c r="E172" s="2" t="s">
        <v>80</v>
      </c>
      <c r="F172" s="1" t="s">
        <v>86</v>
      </c>
      <c r="G172" s="1" t="s">
        <v>85</v>
      </c>
      <c r="H172" s="1" t="s">
        <v>81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2" s="2">
        <f>Games[[#This Row],[DaysOff]]-Games[[#This Row],[OppDaysOff]]</f>
        <v>1</v>
      </c>
      <c r="L172" s="2">
        <f>Games[[#This Row],[OppDaysOff]]-Games[[#This Row],[DaysOff]]</f>
        <v>-1</v>
      </c>
      <c r="M172" s="1">
        <f>MAX(-16, MIN(16, Games[[#This Row],[RestDiff]]*8))</f>
        <v>8</v>
      </c>
      <c r="N172" s="1">
        <f>MAX(-16, MIN(16, Games[[#This Row],[OppRestDiff]]*8))</f>
        <v>-8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1661.1087389121237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1494.0178870363634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0.63885842020363759</v>
      </c>
      <c r="R172" s="1">
        <v>92</v>
      </c>
      <c r="S172" s="1">
        <v>84</v>
      </c>
      <c r="T172" s="1">
        <v>0</v>
      </c>
      <c r="U172" s="1">
        <f>Games[[#This Row],[PointsFor]]-Games[[#This Row],[PointsAgainst]]</f>
        <v>8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0.34085418782829674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73.900000000000006</v>
      </c>
      <c r="Z172" s="4">
        <f>Games[[#This Row],[K]]*Games[[#This Row],[POMult]]</f>
        <v>73.900000000000006</v>
      </c>
      <c r="AA172" s="4">
        <f>(Games[[#This Row],[Keff]]*Games[[#This Row],[MOVMult]])*(Games[[#This Row],[Result]]-Games[[#This Row],[ExpectedWin%]])</f>
        <v>9.0968402085790174</v>
      </c>
      <c r="AB172" s="4">
        <f>Games[[#This Row],[PreGmRate]]+Games[[#This Row],[RatingChange]]</f>
        <v>1670.2055791207029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44727</v>
      </c>
      <c r="B173" s="2">
        <v>2022</v>
      </c>
      <c r="C173" s="2">
        <f>COUNTIFS(Games[Team],Games[[#This Row],[Team]],Games[Season],Games[[#This Row],[Season]],Games[Date],"&lt;=" &amp; Games[[#This Row],[Date]])</f>
        <v>14</v>
      </c>
      <c r="D173" s="2" t="s">
        <v>79</v>
      </c>
      <c r="E173" s="2" t="s">
        <v>80</v>
      </c>
      <c r="F173" s="1" t="s">
        <v>85</v>
      </c>
      <c r="G173" s="1" t="s">
        <v>86</v>
      </c>
      <c r="H173" s="1" t="s">
        <v>82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3" s="2">
        <f>Games[[#This Row],[DaysOff]]-Games[[#This Row],[OppDaysOff]]</f>
        <v>-1</v>
      </c>
      <c r="L173" s="2">
        <f>Games[[#This Row],[OppDaysOff]]-Games[[#This Row],[DaysOff]]</f>
        <v>1</v>
      </c>
      <c r="M173" s="1">
        <f>MAX(-16, MIN(16, Games[[#This Row],[RestDiff]]*8))</f>
        <v>-8</v>
      </c>
      <c r="N173" s="1">
        <f>MAX(-16, MIN(16, Games[[#This Row],[OppRestDiff]]*8))</f>
        <v>8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1494.0178870363634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1661.1087389121237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0.36114157979636236</v>
      </c>
      <c r="R173" s="1">
        <v>84</v>
      </c>
      <c r="S173" s="1">
        <v>92</v>
      </c>
      <c r="T173" s="1">
        <v>0</v>
      </c>
      <c r="U173" s="1">
        <f>Games[[#This Row],[PointsFor]]-Games[[#This Row],[PointsAgainst]]</f>
        <v>-8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0.34085418782829674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73.900000000000006</v>
      </c>
      <c r="Z173" s="4">
        <f>Games[[#This Row],[K]]*Games[[#This Row],[POMult]]</f>
        <v>73.900000000000006</v>
      </c>
      <c r="AA173" s="4">
        <f>(Games[[#This Row],[Keff]]*Games[[#This Row],[MOVMult]])*(Games[[#This Row],[Result]]-Games[[#This Row],[ExpectedWin%]])</f>
        <v>-9.0968402085790157</v>
      </c>
      <c r="AB173" s="4">
        <f>Games[[#This Row],[PreGmRate]]+Games[[#This Row],[RatingChange]]</f>
        <v>1484.9210468277843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44727</v>
      </c>
      <c r="B174" s="2">
        <v>2022</v>
      </c>
      <c r="C174" s="2">
        <f>COUNTIFS(Games[Team],Games[[#This Row],[Team]],Games[Season],Games[[#This Row],[Season]],Games[Date],"&lt;=" &amp; Games[[#This Row],[Date]])</f>
        <v>15</v>
      </c>
      <c r="D174" s="2" t="s">
        <v>79</v>
      </c>
      <c r="E174" s="2" t="s">
        <v>80</v>
      </c>
      <c r="F174" s="1" t="s">
        <v>40</v>
      </c>
      <c r="G174" s="1" t="s">
        <v>69</v>
      </c>
      <c r="H174" s="1" t="s">
        <v>81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4" s="2">
        <f>Games[[#This Row],[DaysOff]]-Games[[#This Row],[OppDaysOff]]</f>
        <v>-2</v>
      </c>
      <c r="L174" s="2">
        <f>Games[[#This Row],[OppDaysOff]]-Games[[#This Row],[DaysOff]]</f>
        <v>2</v>
      </c>
      <c r="M174" s="1">
        <f>MAX(-16, MIN(16, Games[[#This Row],[RestDiff]]*8))</f>
        <v>-16</v>
      </c>
      <c r="N174" s="1">
        <f>MAX(-16, MIN(16, Games[[#This Row],[OppRestDiff]]*8))</f>
        <v>16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1480.8474104323338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1326.4349961616113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0.55505576617181118</v>
      </c>
      <c r="R174" s="1">
        <v>93</v>
      </c>
      <c r="S174" s="1">
        <v>80</v>
      </c>
      <c r="T174" s="1">
        <v>0</v>
      </c>
      <c r="U174" s="1">
        <f>Games[[#This Row],[PointsFor]]-Games[[#This Row],[PointsAgainst]]</f>
        <v>13</v>
      </c>
      <c r="V174" s="1">
        <f>IF(Games[[#This Row],[MOV]]&gt;0,1,IF(Games[[#This Row],[MOV]]=0,0.5,0))</f>
        <v>1</v>
      </c>
      <c r="W174" s="4">
        <f>((ABS(Games[[#This Row],[MOV]])+5)^0.6)/(12+0.01*(ABS(Games[[#This Row],[PreGmRate]]-Games[[#This Row],[OppPreGmRate]])))*IF(Games[[#This Row],[OT]]=1,0.9,1)</f>
        <v>0.41822749172152629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73.75</v>
      </c>
      <c r="Z174" s="4">
        <f>Games[[#This Row],[K]]*Games[[#This Row],[POMult]]</f>
        <v>73.75</v>
      </c>
      <c r="AA174" s="4">
        <f>(Games[[#This Row],[Keff]]*Games[[#This Row],[MOVMult]])*(Games[[#This Row],[Result]]-Games[[#This Row],[ExpectedWin%]])</f>
        <v>13.723983426656577</v>
      </c>
      <c r="AB174" s="4">
        <f>Games[[#This Row],[PreGmRate]]+Games[[#This Row],[RatingChange]]</f>
        <v>1494.5713938589904</v>
      </c>
      <c r="AC174" s="2">
        <f>IF(Games[[#This Row],[Type]]="R",IF(Games[[#This Row],[Result]]&gt;0.5,1,0),0)</f>
        <v>1</v>
      </c>
      <c r="AD174" s="2">
        <f>IF(Games[[#This Row],[Type]]="R",IF(Games[[#This Row],[Result]]&lt;0.5,1,0),0)</f>
        <v>0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44727</v>
      </c>
      <c r="B175" s="2">
        <v>2022</v>
      </c>
      <c r="C175" s="2">
        <f>COUNTIFS(Games[Team],Games[[#This Row],[Team]],Games[Season],Games[[#This Row],[Season]],Games[Date],"&lt;=" &amp; Games[[#This Row],[Date]])</f>
        <v>17</v>
      </c>
      <c r="D175" s="2" t="s">
        <v>79</v>
      </c>
      <c r="E175" s="2" t="s">
        <v>80</v>
      </c>
      <c r="F175" s="1" t="s">
        <v>69</v>
      </c>
      <c r="G175" s="1" t="s">
        <v>40</v>
      </c>
      <c r="H175" s="1" t="s">
        <v>82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5" s="2">
        <f>Games[[#This Row],[DaysOff]]-Games[[#This Row],[OppDaysOff]]</f>
        <v>2</v>
      </c>
      <c r="L175" s="2">
        <f>Games[[#This Row],[OppDaysOff]]-Games[[#This Row],[DaysOff]]</f>
        <v>-2</v>
      </c>
      <c r="M175" s="1">
        <f>MAX(-16, MIN(16, Games[[#This Row],[RestDiff]]*8))</f>
        <v>16</v>
      </c>
      <c r="N175" s="1">
        <f>MAX(-16, MIN(16, Games[[#This Row],[OppRestDiff]]*8))</f>
        <v>-16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1326.4349961616113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1480.8474104323338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0.44494423382818882</v>
      </c>
      <c r="R175" s="1">
        <v>80</v>
      </c>
      <c r="S175" s="1">
        <v>93</v>
      </c>
      <c r="T175" s="1">
        <v>0</v>
      </c>
      <c r="U175" s="1">
        <f>Games[[#This Row],[PointsFor]]-Games[[#This Row],[PointsAgainst]]</f>
        <v>-13</v>
      </c>
      <c r="V175" s="1">
        <f>IF(Games[[#This Row],[MOV]]&gt;0,1,IF(Games[[#This Row],[MOV]]=0,0.5,0))</f>
        <v>0</v>
      </c>
      <c r="W175" s="4">
        <f>((ABS(Games[[#This Row],[MOV]])+5)^0.6)/(12+0.01*(ABS(Games[[#This Row],[PreGmRate]]-Games[[#This Row],[OppPreGmRate]])))*IF(Games[[#This Row],[OT]]=1,0.9,1)</f>
        <v>0.41822749172152629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73.45</v>
      </c>
      <c r="Z175" s="4">
        <f>Games[[#This Row],[K]]*Games[[#This Row],[POMult]]</f>
        <v>73.45</v>
      </c>
      <c r="AA175" s="4">
        <f>(Games[[#This Row],[Keff]]*Games[[#This Row],[MOVMult]])*(Games[[#This Row],[Result]]-Games[[#This Row],[ExpectedWin%]])</f>
        <v>-13.668157053395602</v>
      </c>
      <c r="AB175" s="4">
        <f>Games[[#This Row],[PreGmRate]]+Games[[#This Row],[RatingChange]]</f>
        <v>1312.7668391082157</v>
      </c>
      <c r="AC175" s="2">
        <f>IF(Games[[#This Row],[Type]]="R",IF(Games[[#This Row],[Result]]&gt;0.5,1,0),0)</f>
        <v>0</v>
      </c>
      <c r="AD175" s="2">
        <f>IF(Games[[#This Row],[Type]]="R",IF(Games[[#This Row],[Result]]&lt;0.5,1,0),0)</f>
        <v>1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44728</v>
      </c>
      <c r="B176" s="2">
        <v>2022</v>
      </c>
      <c r="C176" s="2">
        <f>COUNTIFS(Games[Team],Games[[#This Row],[Team]],Games[Season],Games[[#This Row],[Season]],Games[Date],"&lt;=" &amp; Games[[#This Row],[Date]])</f>
        <v>17</v>
      </c>
      <c r="D176" s="2" t="s">
        <v>79</v>
      </c>
      <c r="E176" s="2" t="s">
        <v>80</v>
      </c>
      <c r="F176" s="1" t="s">
        <v>65</v>
      </c>
      <c r="G176" s="1" t="s">
        <v>60</v>
      </c>
      <c r="H176" s="1" t="s">
        <v>81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6" s="2">
        <f>Games[[#This Row],[DaysOff]]-Games[[#This Row],[OppDaysOff]]</f>
        <v>-2</v>
      </c>
      <c r="L176" s="2">
        <f>Games[[#This Row],[OppDaysOff]]-Games[[#This Row],[DaysOff]]</f>
        <v>2</v>
      </c>
      <c r="M176" s="1">
        <f>MAX(-16, MIN(16, Games[[#This Row],[RestDiff]]*8))</f>
        <v>-16</v>
      </c>
      <c r="N176" s="1">
        <f>MAX(-16, MIN(16, Games[[#This Row],[OppRestDiff]]*8))</f>
        <v>16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1532.2031784129022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1408.9489113399557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0.51043821270573908</v>
      </c>
      <c r="R176" s="1">
        <v>65</v>
      </c>
      <c r="S176" s="1">
        <v>77</v>
      </c>
      <c r="T176" s="1">
        <v>0</v>
      </c>
      <c r="U176" s="1">
        <f>Games[[#This Row],[PointsFor]]-Games[[#This Row],[PointsAgainst]]</f>
        <v>-12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0.41364335283996861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73.45</v>
      </c>
      <c r="Z176" s="4">
        <f>Games[[#This Row],[K]]*Games[[#This Row],[POMult]]</f>
        <v>73.45</v>
      </c>
      <c r="AA176" s="4">
        <f>(Games[[#This Row],[Keff]]*Games[[#This Row],[MOVMult]])*(Games[[#This Row],[Result]]-Games[[#This Row],[ExpectedWin%]])</f>
        <v>-15.508186999825297</v>
      </c>
      <c r="AB176" s="4">
        <f>Games[[#This Row],[PreGmRate]]+Games[[#This Row],[RatingChange]]</f>
        <v>1516.6949914130769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44728</v>
      </c>
      <c r="B177" s="2">
        <v>2022</v>
      </c>
      <c r="C177" s="2">
        <f>COUNTIFS(Games[Team],Games[[#This Row],[Team]],Games[Season],Games[[#This Row],[Season]],Games[Date],"&lt;=" &amp; Games[[#This Row],[Date]])</f>
        <v>15</v>
      </c>
      <c r="D177" s="2" t="s">
        <v>79</v>
      </c>
      <c r="E177" s="2" t="s">
        <v>80</v>
      </c>
      <c r="F177" s="1" t="s">
        <v>60</v>
      </c>
      <c r="G177" s="1" t="s">
        <v>65</v>
      </c>
      <c r="H177" s="1" t="s">
        <v>82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7" s="2">
        <f>Games[[#This Row],[DaysOff]]-Games[[#This Row],[OppDaysOff]]</f>
        <v>2</v>
      </c>
      <c r="L177" s="2">
        <f>Games[[#This Row],[OppDaysOff]]-Games[[#This Row],[DaysOff]]</f>
        <v>-2</v>
      </c>
      <c r="M177" s="1">
        <f>MAX(-16, MIN(16, Games[[#This Row],[RestDiff]]*8))</f>
        <v>16</v>
      </c>
      <c r="N177" s="1">
        <f>MAX(-16, MIN(16, Games[[#This Row],[OppRestDiff]]*8))</f>
        <v>-16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1408.9489113399557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1532.2031784129022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0.48956178729426092</v>
      </c>
      <c r="R177" s="1">
        <v>77</v>
      </c>
      <c r="S177" s="1">
        <v>65</v>
      </c>
      <c r="T177" s="1">
        <v>0</v>
      </c>
      <c r="U177" s="1">
        <f>Games[[#This Row],[PointsFor]]-Games[[#This Row],[PointsAgainst]]</f>
        <v>12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0.41364335283996861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73.75</v>
      </c>
      <c r="Z177" s="4">
        <f>Games[[#This Row],[K]]*Games[[#This Row],[POMult]]</f>
        <v>73.75</v>
      </c>
      <c r="AA177" s="4">
        <f>(Games[[#This Row],[Keff]]*Games[[#This Row],[MOVMult]])*(Games[[#This Row],[Result]]-Games[[#This Row],[ExpectedWin%]])</f>
        <v>15.57152881194167</v>
      </c>
      <c r="AB177" s="4">
        <f>Games[[#This Row],[PreGmRate]]+Games[[#This Row],[RatingChange]]</f>
        <v>1424.5204401518972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44729</v>
      </c>
      <c r="B178" s="2">
        <v>2022</v>
      </c>
      <c r="C178" s="2">
        <f>COUNTIFS(Games[Team],Games[[#This Row],[Team]],Games[Season],Games[[#This Row],[Season]],Games[Date],"&lt;=" &amp; Games[[#This Row],[Date]])</f>
        <v>15</v>
      </c>
      <c r="D178" s="2" t="s">
        <v>79</v>
      </c>
      <c r="E178" s="2" t="s">
        <v>80</v>
      </c>
      <c r="F178" s="1" t="s">
        <v>77</v>
      </c>
      <c r="G178" s="1" t="s">
        <v>75</v>
      </c>
      <c r="H178" s="1" t="s">
        <v>81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8" s="2">
        <f>Games[[#This Row],[DaysOff]]-Games[[#This Row],[OppDaysOff]]</f>
        <v>-3</v>
      </c>
      <c r="L178" s="2">
        <f>Games[[#This Row],[OppDaysOff]]-Games[[#This Row],[DaysOff]]</f>
        <v>3</v>
      </c>
      <c r="M178" s="1">
        <f>MAX(-16, MIN(16, Games[[#This Row],[RestDiff]]*8))</f>
        <v>-16</v>
      </c>
      <c r="N178" s="1">
        <f>MAX(-16, MIN(16, Games[[#This Row],[OppRestDiff]]*8))</f>
        <v>16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1442.1762108068788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1606.2459558227877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0.16628186466527578</v>
      </c>
      <c r="R178" s="1">
        <v>100</v>
      </c>
      <c r="S178" s="1">
        <v>106</v>
      </c>
      <c r="T178" s="1">
        <v>1</v>
      </c>
      <c r="U178" s="1">
        <f>Games[[#This Row],[PointsFor]]-Games[[#This Row],[PointsAgainst]]</f>
        <v>-6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0.27812597073168449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73.75</v>
      </c>
      <c r="Z178" s="4">
        <f>Games[[#This Row],[K]]*Games[[#This Row],[POMult]]</f>
        <v>73.75</v>
      </c>
      <c r="AA178" s="4">
        <f>(Games[[#This Row],[Keff]]*Games[[#This Row],[MOVMult]])*(Games[[#This Row],[Result]]-Games[[#This Row],[ExpectedWin%]])</f>
        <v>-3.4107387456014502</v>
      </c>
      <c r="AB178" s="4">
        <f>Games[[#This Row],[PreGmRate]]+Games[[#This Row],[RatingChange]]</f>
        <v>1438.7654720612773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44729</v>
      </c>
      <c r="B179" s="2">
        <v>2022</v>
      </c>
      <c r="C179" s="2">
        <f>COUNTIFS(Games[Team],Games[[#This Row],[Team]],Games[Season],Games[[#This Row],[Season]],Games[Date],"&lt;=" &amp; Games[[#This Row],[Date]])</f>
        <v>14</v>
      </c>
      <c r="D179" s="2" t="s">
        <v>79</v>
      </c>
      <c r="E179" s="2" t="s">
        <v>80</v>
      </c>
      <c r="F179" s="1" t="s">
        <v>75</v>
      </c>
      <c r="G179" s="1" t="s">
        <v>77</v>
      </c>
      <c r="H179" s="1" t="s">
        <v>82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9" s="2">
        <f>Games[[#This Row],[DaysOff]]-Games[[#This Row],[OppDaysOff]]</f>
        <v>3</v>
      </c>
      <c r="L179" s="2">
        <f>Games[[#This Row],[OppDaysOff]]-Games[[#This Row],[DaysOff]]</f>
        <v>-3</v>
      </c>
      <c r="M179" s="1">
        <f>MAX(-16, MIN(16, Games[[#This Row],[RestDiff]]*8))</f>
        <v>16</v>
      </c>
      <c r="N179" s="1">
        <f>MAX(-16, MIN(16, Games[[#This Row],[OppRestDiff]]*8))</f>
        <v>-16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1606.2459558227877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1442.1762108068788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0.83371813533472416</v>
      </c>
      <c r="R179" s="1">
        <v>106</v>
      </c>
      <c r="S179" s="1">
        <v>100</v>
      </c>
      <c r="T179" s="1">
        <v>1</v>
      </c>
      <c r="U179" s="1">
        <f>Games[[#This Row],[PointsFor]]-Games[[#This Row],[PointsAgainst]]</f>
        <v>6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0.27812597073168449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73.900000000000006</v>
      </c>
      <c r="Z179" s="4">
        <f>Games[[#This Row],[K]]*Games[[#This Row],[POMult]]</f>
        <v>73.900000000000006</v>
      </c>
      <c r="AA179" s="4">
        <f>(Games[[#This Row],[Keff]]*Games[[#This Row],[MOVMult]])*(Games[[#This Row],[Result]]-Games[[#This Row],[ExpectedWin%]])</f>
        <v>3.4176758413552175</v>
      </c>
      <c r="AB179" s="4">
        <f>Games[[#This Row],[PreGmRate]]+Games[[#This Row],[RatingChange]]</f>
        <v>1609.6636316641429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44729</v>
      </c>
      <c r="B180" s="2">
        <v>2022</v>
      </c>
      <c r="C180" s="2">
        <f>COUNTIFS(Games[Team],Games[[#This Row],[Team]],Games[Season],Games[[#This Row],[Season]],Games[Date],"&lt;=" &amp; Games[[#This Row],[Date]])</f>
        <v>15</v>
      </c>
      <c r="D180" s="2" t="s">
        <v>79</v>
      </c>
      <c r="E180" s="2" t="s">
        <v>80</v>
      </c>
      <c r="F180" s="1" t="s">
        <v>71</v>
      </c>
      <c r="G180" s="1" t="s">
        <v>74</v>
      </c>
      <c r="H180" s="1" t="s">
        <v>81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1</v>
      </c>
      <c r="L180" s="2">
        <f>Games[[#This Row],[OppDaysOff]]-Games[[#This Row],[DaysOff]]</f>
        <v>-1</v>
      </c>
      <c r="M180" s="1">
        <f>MAX(-16, MIN(16, Games[[#This Row],[RestDiff]]*8))</f>
        <v>8</v>
      </c>
      <c r="N180" s="1">
        <f>MAX(-16, MIN(16, Games[[#This Row],[OppRestDiff]]*8))</f>
        <v>-8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1551.6883649557649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1640.5546672958687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0.28843540821738523</v>
      </c>
      <c r="R180" s="1">
        <v>71</v>
      </c>
      <c r="S180" s="1">
        <v>82</v>
      </c>
      <c r="T180" s="1">
        <v>0</v>
      </c>
      <c r="U180" s="1">
        <f>Games[[#This Row],[PointsFor]]-Games[[#This Row],[PointsAgainst]]</f>
        <v>-11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0.40950963133325979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73.75</v>
      </c>
      <c r="Z180" s="4">
        <f>Games[[#This Row],[K]]*Games[[#This Row],[POMult]]</f>
        <v>73.75</v>
      </c>
      <c r="AA180" s="4">
        <f>(Games[[#This Row],[Keff]]*Games[[#This Row],[MOVMult]])*(Games[[#This Row],[Result]]-Games[[#This Row],[ExpectedWin%]])</f>
        <v>-8.7111344790887788</v>
      </c>
      <c r="AB180" s="4">
        <f>Games[[#This Row],[PreGmRate]]+Games[[#This Row],[RatingChange]]</f>
        <v>1542.9772304766761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44729</v>
      </c>
      <c r="B181" s="2">
        <v>2022</v>
      </c>
      <c r="C181" s="2">
        <f>COUNTIFS(Games[Team],Games[[#This Row],[Team]],Games[Season],Games[[#This Row],[Season]],Games[Date],"&lt;=" &amp; Games[[#This Row],[Date]])</f>
        <v>16</v>
      </c>
      <c r="D181" s="2" t="s">
        <v>79</v>
      </c>
      <c r="E181" s="2" t="s">
        <v>80</v>
      </c>
      <c r="F181" s="1" t="s">
        <v>74</v>
      </c>
      <c r="G181" s="1" t="s">
        <v>71</v>
      </c>
      <c r="H181" s="1" t="s">
        <v>82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1" s="2">
        <f>Games[[#This Row],[DaysOff]]-Games[[#This Row],[OppDaysOff]]</f>
        <v>-1</v>
      </c>
      <c r="L181" s="2">
        <f>Games[[#This Row],[OppDaysOff]]-Games[[#This Row],[DaysOff]]</f>
        <v>1</v>
      </c>
      <c r="M181" s="1">
        <f>MAX(-16, MIN(16, Games[[#This Row],[RestDiff]]*8))</f>
        <v>-8</v>
      </c>
      <c r="N181" s="1">
        <f>MAX(-16, MIN(16, Games[[#This Row],[OppRestDiff]]*8))</f>
        <v>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1640.5546672958687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1551.6883649557649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0.71156459178261477</v>
      </c>
      <c r="R181" s="1">
        <v>82</v>
      </c>
      <c r="S181" s="1">
        <v>71</v>
      </c>
      <c r="T181" s="1">
        <v>0</v>
      </c>
      <c r="U181" s="1">
        <f>Games[[#This Row],[PointsFor]]-Games[[#This Row],[PointsAgainst]]</f>
        <v>11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0.40950963133325979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73.599999999999994</v>
      </c>
      <c r="Z181" s="4">
        <f>Games[[#This Row],[K]]*Games[[#This Row],[POMult]]</f>
        <v>73.599999999999994</v>
      </c>
      <c r="AA181" s="4">
        <f>(Games[[#This Row],[Keff]]*Games[[#This Row],[MOVMult]])*(Games[[#This Row],[Result]]-Games[[#This Row],[ExpectedWin%]])</f>
        <v>8.6934169174363944</v>
      </c>
      <c r="AB181" s="4">
        <f>Games[[#This Row],[PreGmRate]]+Games[[#This Row],[RatingChange]]</f>
        <v>1649.2480842133052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44729</v>
      </c>
      <c r="B182" s="2">
        <v>2022</v>
      </c>
      <c r="C182" s="2">
        <f>COUNTIFS(Games[Team],Games[[#This Row],[Team]],Games[Season],Games[[#This Row],[Season]],Games[Date],"&lt;=" &amp; Games[[#This Row],[Date]])</f>
        <v>16</v>
      </c>
      <c r="D182" s="2" t="s">
        <v>79</v>
      </c>
      <c r="E182" s="2" t="s">
        <v>80</v>
      </c>
      <c r="F182" s="1" t="s">
        <v>40</v>
      </c>
      <c r="G182" s="1" t="s">
        <v>85</v>
      </c>
      <c r="H182" s="1" t="s">
        <v>81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0</v>
      </c>
      <c r="L182" s="2">
        <f>Games[[#This Row],[OppDaysOff]]-Games[[#This Row],[DaysOff]]</f>
        <v>0</v>
      </c>
      <c r="M182" s="1">
        <f>MAX(-16, MIN(16, Games[[#This Row],[RestDiff]]*8))</f>
        <v>0</v>
      </c>
      <c r="N182" s="1">
        <f>MAX(-16, MIN(16, Games[[#This Row],[OppRestDiff]]*8))</f>
        <v>0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1494.5713938589904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1484.9210468277843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0.39460616256694686</v>
      </c>
      <c r="R182" s="1">
        <v>88</v>
      </c>
      <c r="S182" s="1">
        <v>93</v>
      </c>
      <c r="T182" s="1">
        <v>0</v>
      </c>
      <c r="U182" s="1">
        <f>Games[[#This Row],[PointsFor]]-Games[[#This Row],[PointsAgainst]]</f>
        <v>-5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0.32910929305361247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73.599999999999994</v>
      </c>
      <c r="Z182" s="4">
        <f>Games[[#This Row],[K]]*Games[[#This Row],[POMult]]</f>
        <v>73.599999999999994</v>
      </c>
      <c r="AA182" s="4">
        <f>(Games[[#This Row],[Keff]]*Games[[#This Row],[MOVMult]])*(Games[[#This Row],[Result]]-Games[[#This Row],[ExpectedWin%]])</f>
        <v>-9.558325662499696</v>
      </c>
      <c r="AB182" s="4">
        <f>Games[[#This Row],[PreGmRate]]+Games[[#This Row],[RatingChange]]</f>
        <v>1485.0130681964906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44729</v>
      </c>
      <c r="B183" s="2">
        <v>2022</v>
      </c>
      <c r="C183" s="2">
        <f>COUNTIFS(Games[Team],Games[[#This Row],[Team]],Games[Season],Games[[#This Row],[Season]],Games[Date],"&lt;=" &amp; Games[[#This Row],[Date]])</f>
        <v>15</v>
      </c>
      <c r="D183" s="2" t="s">
        <v>79</v>
      </c>
      <c r="E183" s="2" t="s">
        <v>80</v>
      </c>
      <c r="F183" s="1" t="s">
        <v>85</v>
      </c>
      <c r="G183" s="1" t="s">
        <v>40</v>
      </c>
      <c r="H183" s="1" t="s">
        <v>82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0</v>
      </c>
      <c r="L183" s="2">
        <f>Games[[#This Row],[OppDaysOff]]-Games[[#This Row],[DaysOff]]</f>
        <v>0</v>
      </c>
      <c r="M183" s="1">
        <f>MAX(-16, MIN(16, Games[[#This Row],[RestDiff]]*8))</f>
        <v>0</v>
      </c>
      <c r="N183" s="1">
        <f>MAX(-16, MIN(16, Games[[#This Row],[OppRestDiff]]*8))</f>
        <v>0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1484.9210468277843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1494.5713938589904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0.60539383743305319</v>
      </c>
      <c r="R183" s="1">
        <v>93</v>
      </c>
      <c r="S183" s="1">
        <v>88</v>
      </c>
      <c r="T183" s="1">
        <v>0</v>
      </c>
      <c r="U183" s="1">
        <f>Games[[#This Row],[PointsFor]]-Games[[#This Row],[PointsAgainst]]</f>
        <v>5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0.32910929305361247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73.75</v>
      </c>
      <c r="Z183" s="4">
        <f>Games[[#This Row],[K]]*Games[[#This Row],[POMult]]</f>
        <v>73.75</v>
      </c>
      <c r="AA183" s="4">
        <f>(Games[[#This Row],[Keff]]*Games[[#This Row],[MOVMult]])*(Games[[#This Row],[Result]]-Games[[#This Row],[ExpectedWin%]])</f>
        <v>9.5778059457792466</v>
      </c>
      <c r="AB183" s="4">
        <f>Games[[#This Row],[PreGmRate]]+Games[[#This Row],[RatingChange]]</f>
        <v>1494.4988527735636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44731</v>
      </c>
      <c r="B184" s="2">
        <v>2022</v>
      </c>
      <c r="C184" s="2">
        <f>COUNTIFS(Games[Team],Games[[#This Row],[Team]],Games[Season],Games[[#This Row],[Season]],Games[Date],"&lt;=" &amp; Games[[#This Row],[Date]])</f>
        <v>14</v>
      </c>
      <c r="D184" s="2" t="s">
        <v>79</v>
      </c>
      <c r="E184" s="2" t="s">
        <v>80</v>
      </c>
      <c r="F184" s="1" t="s">
        <v>63</v>
      </c>
      <c r="G184" s="1" t="s">
        <v>85</v>
      </c>
      <c r="H184" s="1" t="s">
        <v>81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7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6</v>
      </c>
      <c r="L184" s="2">
        <f>Games[[#This Row],[OppDaysOff]]-Games[[#This Row],[DaysOff]]</f>
        <v>-6</v>
      </c>
      <c r="M184" s="1">
        <f>MAX(-16, MIN(16, Games[[#This Row],[RestDiff]]*8))</f>
        <v>16</v>
      </c>
      <c r="N184" s="1">
        <f>MAX(-16, MIN(16, Games[[#This Row],[OppRestDiff]]*8))</f>
        <v>-16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1449.5177829003328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1494.4988527735636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0.3639483255288592</v>
      </c>
      <c r="R184" s="1">
        <v>82</v>
      </c>
      <c r="S184" s="1">
        <v>92</v>
      </c>
      <c r="T184" s="1">
        <v>0</v>
      </c>
      <c r="U184" s="1">
        <f>Games[[#This Row],[PointsFor]]-Games[[#This Row],[PointsAgainst]]</f>
        <v>-10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0.40784205598438739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73.900000000000006</v>
      </c>
      <c r="Z184" s="4">
        <f>Games[[#This Row],[K]]*Games[[#This Row],[POMult]]</f>
        <v>73.900000000000006</v>
      </c>
      <c r="AA184" s="4">
        <f>(Games[[#This Row],[Keff]]*Games[[#This Row],[MOVMult]])*(Games[[#This Row],[Result]]-Games[[#This Row],[ExpectedWin%]])</f>
        <v>-10.969230724991037</v>
      </c>
      <c r="AB184" s="4">
        <f>Games[[#This Row],[PreGmRate]]+Games[[#This Row],[RatingChange]]</f>
        <v>1438.5485521753417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44731</v>
      </c>
      <c r="B185" s="2">
        <v>2022</v>
      </c>
      <c r="C185" s="2">
        <f>COUNTIFS(Games[Team],Games[[#This Row],[Team]],Games[Season],Games[[#This Row],[Season]],Games[Date],"&lt;=" &amp; Games[[#This Row],[Date]])</f>
        <v>16</v>
      </c>
      <c r="D185" s="2" t="s">
        <v>79</v>
      </c>
      <c r="E185" s="2" t="s">
        <v>80</v>
      </c>
      <c r="F185" s="1" t="s">
        <v>85</v>
      </c>
      <c r="G185" s="1" t="s">
        <v>63</v>
      </c>
      <c r="H185" s="1" t="s">
        <v>82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85" s="2">
        <f>Games[[#This Row],[DaysOff]]-Games[[#This Row],[OppDaysOff]]</f>
        <v>-6</v>
      </c>
      <c r="L185" s="2">
        <f>Games[[#This Row],[OppDaysOff]]-Games[[#This Row],[DaysOff]]</f>
        <v>6</v>
      </c>
      <c r="M185" s="1">
        <f>MAX(-16, MIN(16, Games[[#This Row],[RestDiff]]*8))</f>
        <v>-16</v>
      </c>
      <c r="N185" s="1">
        <f>MAX(-16, MIN(16, Games[[#This Row],[OppRestDiff]]*8))</f>
        <v>16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1494.4988527735636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1449.5177829003328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0.63605167447114086</v>
      </c>
      <c r="R185" s="1">
        <v>92</v>
      </c>
      <c r="S185" s="1">
        <v>82</v>
      </c>
      <c r="T185" s="1">
        <v>0</v>
      </c>
      <c r="U185" s="1">
        <f>Games[[#This Row],[PointsFor]]-Games[[#This Row],[PointsAgainst]]</f>
        <v>10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0.40784205598438739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73.599999999999994</v>
      </c>
      <c r="Z185" s="4">
        <f>Games[[#This Row],[K]]*Games[[#This Row],[POMult]]</f>
        <v>73.599999999999994</v>
      </c>
      <c r="AA185" s="4">
        <f>(Games[[#This Row],[Keff]]*Games[[#This Row],[MOVMult]])*(Games[[#This Row],[Result]]-Games[[#This Row],[ExpectedWin%]])</f>
        <v>10.924700694984304</v>
      </c>
      <c r="AB185" s="4">
        <f>Games[[#This Row],[PreGmRate]]+Games[[#This Row],[RatingChange]]</f>
        <v>1505.4235534685479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44731</v>
      </c>
      <c r="B186" s="2">
        <v>2022</v>
      </c>
      <c r="C186" s="2">
        <f>COUNTIFS(Games[Team],Games[[#This Row],[Team]],Games[Season],Games[[#This Row],[Season]],Games[Date],"&lt;=" &amp; Games[[#This Row],[Date]])</f>
        <v>15</v>
      </c>
      <c r="D186" s="2" t="s">
        <v>79</v>
      </c>
      <c r="E186" s="2" t="s">
        <v>80</v>
      </c>
      <c r="F186" s="1" t="s">
        <v>75</v>
      </c>
      <c r="G186" s="1" t="s">
        <v>69</v>
      </c>
      <c r="H186" s="1" t="s">
        <v>81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6" s="2">
        <f>Games[[#This Row],[DaysOff]]-Games[[#This Row],[OppDaysOff]]</f>
        <v>-2</v>
      </c>
      <c r="L186" s="2">
        <f>Games[[#This Row],[OppDaysOff]]-Games[[#This Row],[DaysOff]]</f>
        <v>2</v>
      </c>
      <c r="M186" s="1">
        <f>MAX(-16, MIN(16, Games[[#This Row],[RestDiff]]*8))</f>
        <v>-16</v>
      </c>
      <c r="N186" s="1">
        <f>MAX(-16, MIN(16, Games[[#This Row],[OppRestDiff]]*8))</f>
        <v>16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1609.6636316641429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1312.7668391082157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0.73910570913694795</v>
      </c>
      <c r="R186" s="1">
        <v>87</v>
      </c>
      <c r="S186" s="1">
        <v>89</v>
      </c>
      <c r="T186" s="1">
        <v>0</v>
      </c>
      <c r="U186" s="1">
        <f>Games[[#This Row],[PointsFor]]-Games[[#This Row],[PointsAgainst]]</f>
        <v>-2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0.21471726479071554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73.75</v>
      </c>
      <c r="Z186" s="4">
        <f>Games[[#This Row],[K]]*Games[[#This Row],[POMult]]</f>
        <v>73.75</v>
      </c>
      <c r="AA186" s="4">
        <f>(Games[[#This Row],[Keff]]*Games[[#This Row],[MOVMult]])*(Games[[#This Row],[Result]]-Games[[#This Row],[ExpectedWin%]])</f>
        <v>-11.704033273960214</v>
      </c>
      <c r="AB186" s="4">
        <f>Games[[#This Row],[PreGmRate]]+Games[[#This Row],[RatingChange]]</f>
        <v>1597.9595983901827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44731</v>
      </c>
      <c r="B187" s="2">
        <v>2022</v>
      </c>
      <c r="C187" s="2">
        <f>COUNTIFS(Games[Team],Games[[#This Row],[Team]],Games[Season],Games[[#This Row],[Season]],Games[Date],"&lt;=" &amp; Games[[#This Row],[Date]])</f>
        <v>18</v>
      </c>
      <c r="D187" s="2" t="s">
        <v>79</v>
      </c>
      <c r="E187" s="2" t="s">
        <v>80</v>
      </c>
      <c r="F187" s="1" t="s">
        <v>69</v>
      </c>
      <c r="G187" s="1" t="s">
        <v>75</v>
      </c>
      <c r="H187" s="1" t="s">
        <v>82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2</v>
      </c>
      <c r="L187" s="2">
        <f>Games[[#This Row],[OppDaysOff]]-Games[[#This Row],[DaysOff]]</f>
        <v>-2</v>
      </c>
      <c r="M187" s="1">
        <f>MAX(-16, MIN(16, Games[[#This Row],[RestDiff]]*8))</f>
        <v>16</v>
      </c>
      <c r="N187" s="1">
        <f>MAX(-16, MIN(16, Games[[#This Row],[OppRestDiff]]*8))</f>
        <v>-16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1312.7668391082157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1609.6636316641429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0.26089429086305205</v>
      </c>
      <c r="R187" s="1">
        <v>89</v>
      </c>
      <c r="S187" s="1">
        <v>87</v>
      </c>
      <c r="T187" s="1">
        <v>0</v>
      </c>
      <c r="U187" s="1">
        <f>Games[[#This Row],[PointsFor]]-Games[[#This Row],[PointsAgainst]]</f>
        <v>2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0.21471726479071554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73.3</v>
      </c>
      <c r="Z187" s="4">
        <f>Games[[#This Row],[K]]*Games[[#This Row],[POMult]]</f>
        <v>73.3</v>
      </c>
      <c r="AA187" s="4">
        <f>(Games[[#This Row],[Keff]]*Games[[#This Row],[MOVMult]])*(Games[[#This Row],[Result]]-Games[[#This Row],[ExpectedWin%]])</f>
        <v>11.632618833644523</v>
      </c>
      <c r="AB187" s="4">
        <f>Games[[#This Row],[PreGmRate]]+Games[[#This Row],[RatingChange]]</f>
        <v>1324.3994579418602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44731</v>
      </c>
      <c r="B188" s="2">
        <v>2022</v>
      </c>
      <c r="C188" s="2">
        <f>COUNTIFS(Games[Team],Games[[#This Row],[Team]],Games[Season],Games[[#This Row],[Season]],Games[Date],"&lt;=" &amp; Games[[#This Row],[Date]])</f>
        <v>16</v>
      </c>
      <c r="D188" s="2" t="s">
        <v>79</v>
      </c>
      <c r="E188" s="2" t="s">
        <v>80</v>
      </c>
      <c r="F188" s="1" t="s">
        <v>67</v>
      </c>
      <c r="G188" s="1" t="s">
        <v>86</v>
      </c>
      <c r="H188" s="1" t="s">
        <v>81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8" s="2">
        <f>Games[[#This Row],[DaysOff]]-Games[[#This Row],[OppDaysOff]]</f>
        <v>1</v>
      </c>
      <c r="L188" s="2">
        <f>Games[[#This Row],[OppDaysOff]]-Games[[#This Row],[DaysOff]]</f>
        <v>-1</v>
      </c>
      <c r="M188" s="1">
        <f>MAX(-16, MIN(16, Games[[#This Row],[RestDiff]]*8))</f>
        <v>8</v>
      </c>
      <c r="N188" s="1">
        <f>MAX(-16, MIN(16, Games[[#This Row],[OppRestDiff]]*8))</f>
        <v>-8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1406.7456747032254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1670.2055791207029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0.12920159209096013</v>
      </c>
      <c r="R188" s="1">
        <v>95</v>
      </c>
      <c r="S188" s="1">
        <v>96</v>
      </c>
      <c r="T188" s="1">
        <v>0</v>
      </c>
      <c r="U188" s="1">
        <f>Games[[#This Row],[PointsFor]]-Games[[#This Row],[PointsAgainst]]</f>
        <v>-1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0.20022113641370001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73.599999999999994</v>
      </c>
      <c r="Z188" s="4">
        <f>Games[[#This Row],[K]]*Games[[#This Row],[POMult]]</f>
        <v>73.599999999999994</v>
      </c>
      <c r="AA188" s="4">
        <f>(Games[[#This Row],[Keff]]*Games[[#This Row],[MOVMult]])*(Games[[#This Row],[Result]]-Games[[#This Row],[ExpectedWin%]])</f>
        <v>-1.9039502741854755</v>
      </c>
      <c r="AB188" s="4">
        <f>Games[[#This Row],[PreGmRate]]+Games[[#This Row],[RatingChange]]</f>
        <v>1404.8417244290399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44731</v>
      </c>
      <c r="B189" s="2">
        <v>2022</v>
      </c>
      <c r="C189" s="2">
        <f>COUNTIFS(Games[Team],Games[[#This Row],[Team]],Games[Season],Games[[#This Row],[Season]],Games[Date],"&lt;=" &amp; Games[[#This Row],[Date]])</f>
        <v>15</v>
      </c>
      <c r="D189" s="2" t="s">
        <v>79</v>
      </c>
      <c r="E189" s="2" t="s">
        <v>80</v>
      </c>
      <c r="F189" s="1" t="s">
        <v>86</v>
      </c>
      <c r="G189" s="1" t="s">
        <v>67</v>
      </c>
      <c r="H189" s="1" t="s">
        <v>82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9" s="2">
        <f>Games[[#This Row],[DaysOff]]-Games[[#This Row],[OppDaysOff]]</f>
        <v>-1</v>
      </c>
      <c r="L189" s="2">
        <f>Games[[#This Row],[OppDaysOff]]-Games[[#This Row],[DaysOff]]</f>
        <v>1</v>
      </c>
      <c r="M189" s="1">
        <f>MAX(-16, MIN(16, Games[[#This Row],[RestDiff]]*8))</f>
        <v>-8</v>
      </c>
      <c r="N189" s="1">
        <f>MAX(-16, MIN(16, Games[[#This Row],[OppRestDiff]]*8))</f>
        <v>8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1670.2055791207029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1406.7456747032254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0.87079840790903995</v>
      </c>
      <c r="R189" s="1">
        <v>96</v>
      </c>
      <c r="S189" s="1">
        <v>95</v>
      </c>
      <c r="T189" s="1">
        <v>0</v>
      </c>
      <c r="U189" s="1">
        <f>Games[[#This Row],[PointsFor]]-Games[[#This Row],[PointsAgainst]]</f>
        <v>1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0.20022113641370001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73.75</v>
      </c>
      <c r="Z189" s="4">
        <f>Games[[#This Row],[K]]*Games[[#This Row],[POMult]]</f>
        <v>73.75</v>
      </c>
      <c r="AA189" s="4">
        <f>(Games[[#This Row],[Keff]]*Games[[#This Row],[MOVMult]])*(Games[[#This Row],[Result]]-Games[[#This Row],[ExpectedWin%]])</f>
        <v>1.9078306076247111</v>
      </c>
      <c r="AB189" s="4">
        <f>Games[[#This Row],[PreGmRate]]+Games[[#This Row],[RatingChange]]</f>
        <v>1672.1134097283275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44731</v>
      </c>
      <c r="B190" s="2">
        <v>2022</v>
      </c>
      <c r="C190" s="2">
        <f>COUNTIFS(Games[Team],Games[[#This Row],[Team]],Games[Season],Games[[#This Row],[Season]],Games[Date],"&lt;=" &amp; Games[[#This Row],[Date]])</f>
        <v>16</v>
      </c>
      <c r="D190" s="2" t="s">
        <v>79</v>
      </c>
      <c r="E190" s="2" t="s">
        <v>80</v>
      </c>
      <c r="F190" s="1" t="s">
        <v>71</v>
      </c>
      <c r="G190" s="1" t="s">
        <v>60</v>
      </c>
      <c r="H190" s="1" t="s">
        <v>81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0" s="2">
        <f>Games[[#This Row],[DaysOff]]-Games[[#This Row],[OppDaysOff]]</f>
        <v>-1</v>
      </c>
      <c r="L190" s="2">
        <f>Games[[#This Row],[OppDaysOff]]-Games[[#This Row],[DaysOff]]</f>
        <v>1</v>
      </c>
      <c r="M190" s="1">
        <f>MAX(-16, MIN(16, Games[[#This Row],[RestDiff]]*8))</f>
        <v>-8</v>
      </c>
      <c r="N190" s="1">
        <f>MAX(-16, MIN(16, Games[[#This Row],[OppRestDiff]]*8))</f>
        <v>8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1542.9772304766761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1424.5204401518972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0.52653649872370623</v>
      </c>
      <c r="R190" s="1">
        <v>81</v>
      </c>
      <c r="S190" s="1">
        <v>72</v>
      </c>
      <c r="T190" s="1">
        <v>0</v>
      </c>
      <c r="U190" s="1">
        <f>Games[[#This Row],[PointsFor]]-Games[[#This Row],[PointsAgainst]]</f>
        <v>9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0.3694970029747327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73.599999999999994</v>
      </c>
      <c r="Z190" s="4">
        <f>Games[[#This Row],[K]]*Games[[#This Row],[POMult]]</f>
        <v>73.599999999999994</v>
      </c>
      <c r="AA190" s="4">
        <f>(Games[[#This Row],[Keff]]*Games[[#This Row],[MOVMult]])*(Games[[#This Row],[Result]]-Games[[#This Row],[ExpectedWin%]])</f>
        <v>12.875830172828236</v>
      </c>
      <c r="AB190" s="4">
        <f>Games[[#This Row],[PreGmRate]]+Games[[#This Row],[RatingChange]]</f>
        <v>1555.8530606495044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44731</v>
      </c>
      <c r="B191" s="2">
        <v>2022</v>
      </c>
      <c r="C191" s="2">
        <f>COUNTIFS(Games[Team],Games[[#This Row],[Team]],Games[Season],Games[[#This Row],[Season]],Games[Date],"&lt;=" &amp; Games[[#This Row],[Date]])</f>
        <v>16</v>
      </c>
      <c r="D191" s="2" t="s">
        <v>79</v>
      </c>
      <c r="E191" s="2" t="s">
        <v>80</v>
      </c>
      <c r="F191" s="1" t="s">
        <v>60</v>
      </c>
      <c r="G191" s="1" t="s">
        <v>71</v>
      </c>
      <c r="H191" s="1" t="s">
        <v>82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1</v>
      </c>
      <c r="L191" s="2">
        <f>Games[[#This Row],[OppDaysOff]]-Games[[#This Row],[DaysOff]]</f>
        <v>-1</v>
      </c>
      <c r="M191" s="1">
        <f>MAX(-16, MIN(16, Games[[#This Row],[RestDiff]]*8))</f>
        <v>8</v>
      </c>
      <c r="N191" s="1">
        <f>MAX(-16, MIN(16, Games[[#This Row],[OppRestDiff]]*8))</f>
        <v>-8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1424.5204401518972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1542.9772304766761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0.47346350127629377</v>
      </c>
      <c r="R191" s="1">
        <v>72</v>
      </c>
      <c r="S191" s="1">
        <v>81</v>
      </c>
      <c r="T191" s="1">
        <v>0</v>
      </c>
      <c r="U191" s="1">
        <f>Games[[#This Row],[PointsFor]]-Games[[#This Row],[PointsAgainst]]</f>
        <v>-9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0.3694970029747327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73.599999999999994</v>
      </c>
      <c r="Z191" s="4">
        <f>Games[[#This Row],[K]]*Games[[#This Row],[POMult]]</f>
        <v>73.599999999999994</v>
      </c>
      <c r="AA191" s="4">
        <f>(Games[[#This Row],[Keff]]*Games[[#This Row],[MOVMult]])*(Games[[#This Row],[Result]]-Games[[#This Row],[ExpectedWin%]])</f>
        <v>-12.875830172828236</v>
      </c>
      <c r="AB191" s="4">
        <f>Games[[#This Row],[PreGmRate]]+Games[[#This Row],[RatingChange]]</f>
        <v>1411.6446099790689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44731</v>
      </c>
      <c r="B192" s="2">
        <v>2022</v>
      </c>
      <c r="C192" s="2">
        <f>COUNTIFS(Games[Team],Games[[#This Row],[Team]],Games[Season],Games[[#This Row],[Season]],Games[Date],"&lt;=" &amp; Games[[#This Row],[Date]])</f>
        <v>17</v>
      </c>
      <c r="D192" s="2" t="s">
        <v>79</v>
      </c>
      <c r="E192" s="2" t="s">
        <v>80</v>
      </c>
      <c r="F192" s="1" t="s">
        <v>74</v>
      </c>
      <c r="G192" s="1" t="s">
        <v>65</v>
      </c>
      <c r="H192" s="1" t="s">
        <v>81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2" s="2">
        <f>Games[[#This Row],[DaysOff]]-Games[[#This Row],[OppDaysOff]]</f>
        <v>-1</v>
      </c>
      <c r="L192" s="2">
        <f>Games[[#This Row],[OppDaysOff]]-Games[[#This Row],[DaysOff]]</f>
        <v>1</v>
      </c>
      <c r="M192" s="1">
        <f>MAX(-16, MIN(16, Games[[#This Row],[RestDiff]]*8))</f>
        <v>-8</v>
      </c>
      <c r="N192" s="1">
        <f>MAX(-16, MIN(16, Games[[#This Row],[OppRestDiff]]*8))</f>
        <v>8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1649.2480842133052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1516.6949914130769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0.5467110570653041</v>
      </c>
      <c r="R192" s="1">
        <v>63</v>
      </c>
      <c r="S192" s="1">
        <v>71</v>
      </c>
      <c r="T192" s="1">
        <v>0</v>
      </c>
      <c r="U192" s="1">
        <f>Games[[#This Row],[PointsFor]]-Games[[#This Row],[PointsAgainst]]</f>
        <v>-8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0.3496886124247392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73.45</v>
      </c>
      <c r="Z192" s="4">
        <f>Games[[#This Row],[K]]*Games[[#This Row],[POMult]]</f>
        <v>73.45</v>
      </c>
      <c r="AA192" s="4">
        <f>(Games[[#This Row],[Keff]]*Games[[#This Row],[MOVMult]])*(Games[[#This Row],[Result]]-Games[[#This Row],[ExpectedWin%]])</f>
        <v>-14.042070442721382</v>
      </c>
      <c r="AB192" s="4">
        <f>Games[[#This Row],[PreGmRate]]+Games[[#This Row],[RatingChange]]</f>
        <v>1635.2060137705839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44731</v>
      </c>
      <c r="B193" s="2">
        <v>2022</v>
      </c>
      <c r="C193" s="2">
        <f>COUNTIFS(Games[Team],Games[[#This Row],[Team]],Games[Season],Games[[#This Row],[Season]],Games[Date],"&lt;=" &amp; Games[[#This Row],[Date]])</f>
        <v>18</v>
      </c>
      <c r="D193" s="2" t="s">
        <v>79</v>
      </c>
      <c r="E193" s="2" t="s">
        <v>80</v>
      </c>
      <c r="F193" s="1" t="s">
        <v>65</v>
      </c>
      <c r="G193" s="1" t="s">
        <v>74</v>
      </c>
      <c r="H193" s="1" t="s">
        <v>82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1</v>
      </c>
      <c r="L193" s="2">
        <f>Games[[#This Row],[OppDaysOff]]-Games[[#This Row],[DaysOff]]</f>
        <v>-1</v>
      </c>
      <c r="M193" s="1">
        <f>MAX(-16, MIN(16, Games[[#This Row],[RestDiff]]*8))</f>
        <v>8</v>
      </c>
      <c r="N193" s="1">
        <f>MAX(-16, MIN(16, Games[[#This Row],[OppRestDiff]]*8))</f>
        <v>-8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1516.6949914130769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1649.2480842133052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0.45328894293469596</v>
      </c>
      <c r="R193" s="1">
        <v>71</v>
      </c>
      <c r="S193" s="1">
        <v>63</v>
      </c>
      <c r="T193" s="1">
        <v>0</v>
      </c>
      <c r="U193" s="1">
        <f>Games[[#This Row],[PointsFor]]-Games[[#This Row],[PointsAgainst]]</f>
        <v>8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0.3496886124247392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73.3</v>
      </c>
      <c r="Z193" s="4">
        <f>Games[[#This Row],[K]]*Games[[#This Row],[POMult]]</f>
        <v>73.3</v>
      </c>
      <c r="AA193" s="4">
        <f>(Games[[#This Row],[Keff]]*Games[[#This Row],[MOVMult]])*(Games[[#This Row],[Result]]-Games[[#This Row],[ExpectedWin%]])</f>
        <v>14.013393648080013</v>
      </c>
      <c r="AB193" s="4">
        <f>Games[[#This Row],[PreGmRate]]+Games[[#This Row],[RatingChange]]</f>
        <v>1530.7083850611568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44733</v>
      </c>
      <c r="B194" s="2">
        <v>2022</v>
      </c>
      <c r="C194" s="2">
        <f>COUNTIFS(Games[Team],Games[[#This Row],[Team]],Games[Season],Games[[#This Row],[Season]],Games[Date],"&lt;=" &amp; Games[[#This Row],[Date]])</f>
        <v>17</v>
      </c>
      <c r="D194" s="2" t="s">
        <v>79</v>
      </c>
      <c r="E194" s="2" t="s">
        <v>80</v>
      </c>
      <c r="F194" s="1" t="s">
        <v>85</v>
      </c>
      <c r="G194" s="1" t="s">
        <v>77</v>
      </c>
      <c r="H194" s="1" t="s">
        <v>81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4" s="2">
        <f>Games[[#This Row],[DaysOff]]-Games[[#This Row],[OppDaysOff]]</f>
        <v>-2</v>
      </c>
      <c r="L194" s="2">
        <f>Games[[#This Row],[OppDaysOff]]-Games[[#This Row],[DaysOff]]</f>
        <v>2</v>
      </c>
      <c r="M194" s="1">
        <f>MAX(-16, MIN(16, Games[[#This Row],[RestDiff]]*8))</f>
        <v>-16</v>
      </c>
      <c r="N194" s="1">
        <f>MAX(-16, MIN(16, Games[[#This Row],[OppRestDiff]]*8))</f>
        <v>16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1505.4235534685479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1438.7654720612773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0.42946484161257825</v>
      </c>
      <c r="R194" s="1">
        <v>75</v>
      </c>
      <c r="S194" s="1">
        <v>80</v>
      </c>
      <c r="T194" s="1">
        <v>0</v>
      </c>
      <c r="U194" s="1">
        <f>Games[[#This Row],[PointsFor]]-Games[[#This Row],[PointsAgainst]]</f>
        <v>-5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0.31429726490292942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73.45</v>
      </c>
      <c r="Z194" s="4">
        <f>Games[[#This Row],[K]]*Games[[#This Row],[POMult]]</f>
        <v>73.45</v>
      </c>
      <c r="AA194" s="4">
        <f>(Games[[#This Row],[Keff]]*Games[[#This Row],[MOVMult]])*(Games[[#This Row],[Result]]-Games[[#This Row],[ExpectedWin%]])</f>
        <v>-9.9142534629194898</v>
      </c>
      <c r="AB194" s="4">
        <f>Games[[#This Row],[PreGmRate]]+Games[[#This Row],[RatingChange]]</f>
        <v>1495.5093000056283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44733</v>
      </c>
      <c r="B195" s="2">
        <v>2022</v>
      </c>
      <c r="C195" s="2">
        <f>COUNTIFS(Games[Team],Games[[#This Row],[Team]],Games[Season],Games[[#This Row],[Season]],Games[Date],"&lt;=" &amp; Games[[#This Row],[Date]])</f>
        <v>16</v>
      </c>
      <c r="D195" s="2" t="s">
        <v>79</v>
      </c>
      <c r="E195" s="2" t="s">
        <v>80</v>
      </c>
      <c r="F195" s="1" t="s">
        <v>77</v>
      </c>
      <c r="G195" s="1" t="s">
        <v>85</v>
      </c>
      <c r="H195" s="1" t="s">
        <v>82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5" s="2">
        <f>Games[[#This Row],[DaysOff]]-Games[[#This Row],[OppDaysOff]]</f>
        <v>2</v>
      </c>
      <c r="L195" s="2">
        <f>Games[[#This Row],[OppDaysOff]]-Games[[#This Row],[DaysOff]]</f>
        <v>-2</v>
      </c>
      <c r="M195" s="1">
        <f>MAX(-16, MIN(16, Games[[#This Row],[RestDiff]]*8))</f>
        <v>16</v>
      </c>
      <c r="N195" s="1">
        <f>MAX(-16, MIN(16, Games[[#This Row],[OppRestDiff]]*8))</f>
        <v>-16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1438.7654720612773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1505.4235534685479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0.57053515838742186</v>
      </c>
      <c r="R195" s="1">
        <v>80</v>
      </c>
      <c r="S195" s="1">
        <v>75</v>
      </c>
      <c r="T195" s="1">
        <v>0</v>
      </c>
      <c r="U195" s="1">
        <f>Games[[#This Row],[PointsFor]]-Games[[#This Row],[PointsAgainst]]</f>
        <v>5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0.31429726490292942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73.599999999999994</v>
      </c>
      <c r="Z195" s="4">
        <f>Games[[#This Row],[K]]*Games[[#This Row],[POMult]]</f>
        <v>73.599999999999994</v>
      </c>
      <c r="AA195" s="4">
        <f>(Games[[#This Row],[Keff]]*Games[[#This Row],[MOVMult]])*(Games[[#This Row],[Result]]-Games[[#This Row],[ExpectedWin%]])</f>
        <v>9.9345004066831066</v>
      </c>
      <c r="AB195" s="4">
        <f>Games[[#This Row],[PreGmRate]]+Games[[#This Row],[RatingChange]]</f>
        <v>1448.6999724679604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44733</v>
      </c>
      <c r="B196" s="2">
        <v>2022</v>
      </c>
      <c r="C196" s="2">
        <f>COUNTIFS(Games[Team],Games[[#This Row],[Team]],Games[Season],Games[[#This Row],[Season]],Games[Date],"&lt;=" &amp; Games[[#This Row],[Date]])</f>
        <v>19</v>
      </c>
      <c r="D196" s="2" t="s">
        <v>79</v>
      </c>
      <c r="E196" s="2" t="s">
        <v>80</v>
      </c>
      <c r="F196" s="1" t="s">
        <v>65</v>
      </c>
      <c r="G196" s="1" t="s">
        <v>63</v>
      </c>
      <c r="H196" s="1" t="s">
        <v>81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1530.7083850611568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1438.5485521753417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0.51174078486934604</v>
      </c>
      <c r="R196" s="1">
        <v>82</v>
      </c>
      <c r="S196" s="1">
        <v>84</v>
      </c>
      <c r="T196" s="1">
        <v>0</v>
      </c>
      <c r="U196" s="1">
        <f>Games[[#This Row],[PointsFor]]-Games[[#This Row],[PointsAgainst]]</f>
        <v>-2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0.24873825728957324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73.150000000000006</v>
      </c>
      <c r="Z196" s="4">
        <f>Games[[#This Row],[K]]*Games[[#This Row],[POMult]]</f>
        <v>73.150000000000006</v>
      </c>
      <c r="AA196" s="4">
        <f>(Games[[#This Row],[Keff]]*Games[[#This Row],[MOVMult]])*(Games[[#This Row],[Result]]-Games[[#This Row],[ExpectedWin%]])</f>
        <v>-9.3112277305570288</v>
      </c>
      <c r="AB196" s="4">
        <f>Games[[#This Row],[PreGmRate]]+Games[[#This Row],[RatingChange]]</f>
        <v>1521.3971573305998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44733</v>
      </c>
      <c r="B197" s="2">
        <v>2022</v>
      </c>
      <c r="C197" s="2">
        <f>COUNTIFS(Games[Team],Games[[#This Row],[Team]],Games[Season],Games[[#This Row],[Season]],Games[Date],"&lt;=" &amp; Games[[#This Row],[Date]])</f>
        <v>15</v>
      </c>
      <c r="D197" s="2" t="s">
        <v>79</v>
      </c>
      <c r="E197" s="2" t="s">
        <v>80</v>
      </c>
      <c r="F197" s="1" t="s">
        <v>63</v>
      </c>
      <c r="G197" s="1" t="s">
        <v>65</v>
      </c>
      <c r="H197" s="1" t="s">
        <v>82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1438.5485521753417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1530.7083850611568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0.48825921513065396</v>
      </c>
      <c r="R197" s="1">
        <v>84</v>
      </c>
      <c r="S197" s="1">
        <v>82</v>
      </c>
      <c r="T197" s="1">
        <v>0</v>
      </c>
      <c r="U197" s="1">
        <f>Games[[#This Row],[PointsFor]]-Games[[#This Row],[PointsAgainst]]</f>
        <v>2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0.24873825728957324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73.75</v>
      </c>
      <c r="Z197" s="4">
        <f>Games[[#This Row],[K]]*Games[[#This Row],[POMult]]</f>
        <v>73.75</v>
      </c>
      <c r="AA197" s="4">
        <f>(Games[[#This Row],[Keff]]*Games[[#This Row],[MOVMult]])*(Games[[#This Row],[Result]]-Games[[#This Row],[ExpectedWin%]])</f>
        <v>9.3876014371644665</v>
      </c>
      <c r="AB197" s="4">
        <f>Games[[#This Row],[PreGmRate]]+Games[[#This Row],[RatingChange]]</f>
        <v>1447.9361536125061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44733</v>
      </c>
      <c r="B198" s="2">
        <v>2022</v>
      </c>
      <c r="C198" s="2">
        <f>COUNTIFS(Games[Team],Games[[#This Row],[Team]],Games[Season],Games[[#This Row],[Season]],Games[Date],"&lt;=" &amp; Games[[#This Row],[Date]])</f>
        <v>16</v>
      </c>
      <c r="D198" s="2" t="s">
        <v>79</v>
      </c>
      <c r="E198" s="2" t="s">
        <v>80</v>
      </c>
      <c r="F198" s="1" t="s">
        <v>75</v>
      </c>
      <c r="G198" s="1" t="s">
        <v>86</v>
      </c>
      <c r="H198" s="1" t="s">
        <v>81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1597.9595983901827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1672.1134097283275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0.286916657687179</v>
      </c>
      <c r="R198" s="1">
        <v>104</v>
      </c>
      <c r="S198" s="1">
        <v>95</v>
      </c>
      <c r="T198" s="1">
        <v>0</v>
      </c>
      <c r="U198" s="1">
        <f>Games[[#This Row],[PointsFor]]-Games[[#This Row],[PointsAgainst]]</f>
        <v>9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0.38234460254453811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73.599999999999994</v>
      </c>
      <c r="Z198" s="4">
        <f>Games[[#This Row],[K]]*Games[[#This Row],[POMult]]</f>
        <v>73.599999999999994</v>
      </c>
      <c r="AA198" s="4">
        <f>(Games[[#This Row],[Keff]]*Games[[#This Row],[MOVMult]])*(Games[[#This Row],[Result]]-Games[[#This Row],[ExpectedWin%]])</f>
        <v>20.06656653839266</v>
      </c>
      <c r="AB198" s="4">
        <f>Games[[#This Row],[PreGmRate]]+Games[[#This Row],[RatingChange]]</f>
        <v>1618.0261649285753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44733</v>
      </c>
      <c r="B199" s="2">
        <v>2022</v>
      </c>
      <c r="C199" s="2">
        <f>COUNTIFS(Games[Team],Games[[#This Row],[Team]],Games[Season],Games[[#This Row],[Season]],Games[Date],"&lt;=" &amp; Games[[#This Row],[Date]])</f>
        <v>16</v>
      </c>
      <c r="D199" s="2" t="s">
        <v>79</v>
      </c>
      <c r="E199" s="2" t="s">
        <v>80</v>
      </c>
      <c r="F199" s="1" t="s">
        <v>86</v>
      </c>
      <c r="G199" s="1" t="s">
        <v>75</v>
      </c>
      <c r="H199" s="1" t="s">
        <v>82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1672.1134097283275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1597.9595983901827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0.71308334231282111</v>
      </c>
      <c r="R199" s="1">
        <v>95</v>
      </c>
      <c r="S199" s="1">
        <v>104</v>
      </c>
      <c r="T199" s="1">
        <v>0</v>
      </c>
      <c r="U199" s="1">
        <f>Games[[#This Row],[PointsFor]]-Games[[#This Row],[PointsAgainst]]</f>
        <v>-9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0.38234460254453811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73.599999999999994</v>
      </c>
      <c r="Z199" s="4">
        <f>Games[[#This Row],[K]]*Games[[#This Row],[POMult]]</f>
        <v>73.599999999999994</v>
      </c>
      <c r="AA199" s="4">
        <f>(Games[[#This Row],[Keff]]*Games[[#This Row],[MOVMult]])*(Games[[#This Row],[Result]]-Games[[#This Row],[ExpectedWin%]])</f>
        <v>-20.066566538392664</v>
      </c>
      <c r="AB199" s="4">
        <f>Games[[#This Row],[PreGmRate]]+Games[[#This Row],[RatingChange]]</f>
        <v>1652.0468431899349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44733</v>
      </c>
      <c r="B200" s="2">
        <v>2022</v>
      </c>
      <c r="C200" s="2">
        <f>COUNTIFS(Games[Team],Games[[#This Row],[Team]],Games[Season],Games[[#This Row],[Season]],Games[Date],"&lt;=" &amp; Games[[#This Row],[Date]])</f>
        <v>17</v>
      </c>
      <c r="D200" s="2" t="s">
        <v>79</v>
      </c>
      <c r="E200" s="2" t="s">
        <v>80</v>
      </c>
      <c r="F200" s="1" t="s">
        <v>67</v>
      </c>
      <c r="G200" s="1" t="s">
        <v>40</v>
      </c>
      <c r="H200" s="1" t="s">
        <v>81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0" s="2">
        <f>Games[[#This Row],[DaysOff]]-Games[[#This Row],[OppDaysOff]]</f>
        <v>-2</v>
      </c>
      <c r="L200" s="2">
        <f>Games[[#This Row],[OppDaysOff]]-Games[[#This Row],[DaysOff]]</f>
        <v>2</v>
      </c>
      <c r="M200" s="1">
        <f>MAX(-16, MIN(16, Games[[#This Row],[RestDiff]]*8))</f>
        <v>-16</v>
      </c>
      <c r="N200" s="1">
        <f>MAX(-16, MIN(16, Games[[#This Row],[OppRestDiff]]*8))</f>
        <v>16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1404.8417244290399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1485.0130681964906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0.24429897799290373</v>
      </c>
      <c r="R200" s="1">
        <v>84</v>
      </c>
      <c r="S200" s="1">
        <v>71</v>
      </c>
      <c r="T200" s="1">
        <v>0</v>
      </c>
      <c r="U200" s="1">
        <f>Games[[#This Row],[PointsFor]]-Games[[#This Row],[PointsAgainst]]</f>
        <v>13</v>
      </c>
      <c r="V200" s="1">
        <f>IF(Games[[#This Row],[MOV]]&gt;0,1,IF(Games[[#This Row],[MOV]]=0,0.5,0))</f>
        <v>1</v>
      </c>
      <c r="W200" s="4">
        <f>((ABS(Games[[#This Row],[MOV]])+5)^0.6)/(12+0.01*(ABS(Games[[#This Row],[PreGmRate]]-Games[[#This Row],[OppPreGmRate]])))*IF(Games[[#This Row],[OT]]=1,0.9,1)</f>
        <v>0.44248178928135723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73.45</v>
      </c>
      <c r="Z200" s="4">
        <f>Games[[#This Row],[K]]*Games[[#This Row],[POMult]]</f>
        <v>73.45</v>
      </c>
      <c r="AA200" s="4">
        <f>(Games[[#This Row],[Keff]]*Games[[#This Row],[MOVMult]])*(Games[[#This Row],[Result]]-Games[[#This Row],[ExpectedWin%]])</f>
        <v>24.560500420870621</v>
      </c>
      <c r="AB200" s="4">
        <f>Games[[#This Row],[PreGmRate]]+Games[[#This Row],[RatingChange]]</f>
        <v>1429.4022248499105</v>
      </c>
      <c r="AC200" s="2">
        <f>IF(Games[[#This Row],[Type]]="R",IF(Games[[#This Row],[Result]]&gt;0.5,1,0),0)</f>
        <v>1</v>
      </c>
      <c r="AD200" s="2">
        <f>IF(Games[[#This Row],[Type]]="R",IF(Games[[#This Row],[Result]]&lt;0.5,1,0),0)</f>
        <v>0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44733</v>
      </c>
      <c r="B201" s="2">
        <v>2022</v>
      </c>
      <c r="C201" s="2">
        <f>COUNTIFS(Games[Team],Games[[#This Row],[Team]],Games[Season],Games[[#This Row],[Season]],Games[Date],"&lt;=" &amp; Games[[#This Row],[Date]])</f>
        <v>17</v>
      </c>
      <c r="D201" s="2" t="s">
        <v>79</v>
      </c>
      <c r="E201" s="2" t="s">
        <v>80</v>
      </c>
      <c r="F201" s="1" t="s">
        <v>40</v>
      </c>
      <c r="G201" s="1" t="s">
        <v>67</v>
      </c>
      <c r="H201" s="1" t="s">
        <v>82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2</v>
      </c>
      <c r="L201" s="2">
        <f>Games[[#This Row],[OppDaysOff]]-Games[[#This Row],[DaysOff]]</f>
        <v>-2</v>
      </c>
      <c r="M201" s="1">
        <f>MAX(-16, MIN(16, Games[[#This Row],[RestDiff]]*8))</f>
        <v>16</v>
      </c>
      <c r="N201" s="1">
        <f>MAX(-16, MIN(16, Games[[#This Row],[OppRestDiff]]*8))</f>
        <v>-16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1485.0130681964906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1404.8417244290399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0.75570102200709632</v>
      </c>
      <c r="R201" s="1">
        <v>71</v>
      </c>
      <c r="S201" s="1">
        <v>84</v>
      </c>
      <c r="T201" s="1">
        <v>0</v>
      </c>
      <c r="U201" s="1">
        <f>Games[[#This Row],[PointsFor]]-Games[[#This Row],[PointsAgainst]]</f>
        <v>-13</v>
      </c>
      <c r="V201" s="1">
        <f>IF(Games[[#This Row],[MOV]]&gt;0,1,IF(Games[[#This Row],[MOV]]=0,0.5,0))</f>
        <v>0</v>
      </c>
      <c r="W201" s="4">
        <f>((ABS(Games[[#This Row],[MOV]])+5)^0.6)/(12+0.01*(ABS(Games[[#This Row],[PreGmRate]]-Games[[#This Row],[OppPreGmRate]])))*IF(Games[[#This Row],[OT]]=1,0.9,1)</f>
        <v>0.44248178928135723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73.45</v>
      </c>
      <c r="Z201" s="4">
        <f>Games[[#This Row],[K]]*Games[[#This Row],[POMult]]</f>
        <v>73.45</v>
      </c>
      <c r="AA201" s="4">
        <f>(Games[[#This Row],[Keff]]*Games[[#This Row],[MOVMult]])*(Games[[#This Row],[Result]]-Games[[#This Row],[ExpectedWin%]])</f>
        <v>-24.560500420870621</v>
      </c>
      <c r="AB201" s="4">
        <f>Games[[#This Row],[PreGmRate]]+Games[[#This Row],[RatingChange]]</f>
        <v>1460.4525677756201</v>
      </c>
      <c r="AC201" s="2">
        <f>IF(Games[[#This Row],[Type]]="R",IF(Games[[#This Row],[Result]]&gt;0.5,1,0),0)</f>
        <v>0</v>
      </c>
      <c r="AD201" s="2">
        <f>IF(Games[[#This Row],[Type]]="R",IF(Games[[#This Row],[Result]]&lt;0.5,1,0),0)</f>
        <v>1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44734</v>
      </c>
      <c r="B202" s="2">
        <v>2022</v>
      </c>
      <c r="C202" s="2">
        <f>COUNTIFS(Games[Team],Games[[#This Row],[Team]],Games[Season],Games[[#This Row],[Season]],Games[Date],"&lt;=" &amp; Games[[#This Row],[Date]])</f>
        <v>17</v>
      </c>
      <c r="D202" s="2" t="s">
        <v>79</v>
      </c>
      <c r="E202" s="2" t="s">
        <v>80</v>
      </c>
      <c r="F202" s="1" t="s">
        <v>60</v>
      </c>
      <c r="G202" s="1" t="s">
        <v>74</v>
      </c>
      <c r="H202" s="1" t="s">
        <v>81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1411.6446099790689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1635.2060137705839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0.14548441683697383</v>
      </c>
      <c r="R202" s="1">
        <v>81</v>
      </c>
      <c r="S202" s="1">
        <v>77</v>
      </c>
      <c r="T202" s="1">
        <v>0</v>
      </c>
      <c r="U202" s="1">
        <f>Games[[#This Row],[PointsFor]]-Games[[#This Row],[PointsAgainst]]</f>
        <v>4</v>
      </c>
      <c r="V202" s="1">
        <f>IF(Games[[#This Row],[MOV]]&gt;0,1,IF(Games[[#This Row],[MOV]]=0,0.5,0))</f>
        <v>1</v>
      </c>
      <c r="W202" s="4">
        <f>((ABS(Games[[#This Row],[MOV]])+5)^0.6)/(12+0.01*(ABS(Games[[#This Row],[PreGmRate]]-Games[[#This Row],[OppPreGmRate]])))*IF(Games[[#This Row],[OT]]=1,0.9,1)</f>
        <v>0.26252417415173723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73.45</v>
      </c>
      <c r="Z202" s="4">
        <f>Games[[#This Row],[K]]*Games[[#This Row],[POMult]]</f>
        <v>73.45</v>
      </c>
      <c r="AA202" s="4">
        <f>(Games[[#This Row],[Keff]]*Games[[#This Row],[MOVMult]])*(Games[[#This Row],[Result]]-Games[[#This Row],[ExpectedWin%]])</f>
        <v>16.477111786181791</v>
      </c>
      <c r="AB202" s="4">
        <f>Games[[#This Row],[PreGmRate]]+Games[[#This Row],[RatingChange]]</f>
        <v>1428.1217217652506</v>
      </c>
      <c r="AC202" s="2">
        <f>IF(Games[[#This Row],[Type]]="R",IF(Games[[#This Row],[Result]]&gt;0.5,1,0),0)</f>
        <v>1</v>
      </c>
      <c r="AD202" s="2">
        <f>IF(Games[[#This Row],[Type]]="R",IF(Games[[#This Row],[Result]]&lt;0.5,1,0),0)</f>
        <v>0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44734</v>
      </c>
      <c r="B203" s="2">
        <v>2022</v>
      </c>
      <c r="C203" s="2">
        <f>COUNTIFS(Games[Team],Games[[#This Row],[Team]],Games[Season],Games[[#This Row],[Season]],Games[Date],"&lt;=" &amp; Games[[#This Row],[Date]])</f>
        <v>18</v>
      </c>
      <c r="D203" s="2" t="s">
        <v>79</v>
      </c>
      <c r="E203" s="2" t="s">
        <v>80</v>
      </c>
      <c r="F203" s="1" t="s">
        <v>74</v>
      </c>
      <c r="G203" s="1" t="s">
        <v>60</v>
      </c>
      <c r="H203" s="1" t="s">
        <v>82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1635.2060137705839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1411.6446099790689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0.85451558316302612</v>
      </c>
      <c r="R203" s="1">
        <v>77</v>
      </c>
      <c r="S203" s="1">
        <v>81</v>
      </c>
      <c r="T203" s="1">
        <v>0</v>
      </c>
      <c r="U203" s="1">
        <f>Games[[#This Row],[PointsFor]]-Games[[#This Row],[PointsAgainst]]</f>
        <v>-4</v>
      </c>
      <c r="V203" s="1">
        <f>IF(Games[[#This Row],[MOV]]&gt;0,1,IF(Games[[#This Row],[MOV]]=0,0.5,0))</f>
        <v>0</v>
      </c>
      <c r="W203" s="4">
        <f>((ABS(Games[[#This Row],[MOV]])+5)^0.6)/(12+0.01*(ABS(Games[[#This Row],[PreGmRate]]-Games[[#This Row],[OppPreGmRate]])))*IF(Games[[#This Row],[OT]]=1,0.9,1)</f>
        <v>0.26252417415173723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73.3</v>
      </c>
      <c r="Z203" s="4">
        <f>Games[[#This Row],[K]]*Games[[#This Row],[POMult]]</f>
        <v>73.3</v>
      </c>
      <c r="AA203" s="4">
        <f>(Games[[#This Row],[Keff]]*Games[[#This Row],[MOVMult]])*(Games[[#This Row],[Result]]-Games[[#This Row],[ExpectedWin%]])</f>
        <v>-16.443462136516338</v>
      </c>
      <c r="AB203" s="4">
        <f>Games[[#This Row],[PreGmRate]]+Games[[#This Row],[RatingChange]]</f>
        <v>1618.7625516340677</v>
      </c>
      <c r="AC203" s="2">
        <f>IF(Games[[#This Row],[Type]]="R",IF(Games[[#This Row],[Result]]&gt;0.5,1,0),0)</f>
        <v>0</v>
      </c>
      <c r="AD203" s="2">
        <f>IF(Games[[#This Row],[Type]]="R",IF(Games[[#This Row],[Result]]&lt;0.5,1,0),0)</f>
        <v>1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44735</v>
      </c>
      <c r="B204" s="2">
        <v>2022</v>
      </c>
      <c r="C204" s="2">
        <f>COUNTIFS(Games[Team],Games[[#This Row],[Team]],Games[Season],Games[[#This Row],[Season]],Games[Date],"&lt;=" &amp; Games[[#This Row],[Date]])</f>
        <v>19</v>
      </c>
      <c r="D204" s="2" t="s">
        <v>79</v>
      </c>
      <c r="E204" s="2" t="s">
        <v>80</v>
      </c>
      <c r="F204" s="1" t="s">
        <v>69</v>
      </c>
      <c r="G204" s="1" t="s">
        <v>85</v>
      </c>
      <c r="H204" s="1" t="s">
        <v>81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4" s="2">
        <f>Games[[#This Row],[DaysOff]]-Games[[#This Row],[OppDaysOff]]</f>
        <v>2</v>
      </c>
      <c r="L204" s="2">
        <f>Games[[#This Row],[OppDaysOff]]-Games[[#This Row],[DaysOff]]</f>
        <v>-2</v>
      </c>
      <c r="M204" s="1">
        <f>MAX(-16, MIN(16, Games[[#This Row],[RestDiff]]*8))</f>
        <v>16</v>
      </c>
      <c r="N204" s="1">
        <f>MAX(-16, MIN(16, Games[[#This Row],[OppRestDiff]]*8))</f>
        <v>-16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1324.3994579418602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1495.5093000056283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0.2168151685127318</v>
      </c>
      <c r="R204" s="1">
        <v>68</v>
      </c>
      <c r="S204" s="1">
        <v>94</v>
      </c>
      <c r="T204" s="1">
        <v>0</v>
      </c>
      <c r="U204" s="1">
        <f>Games[[#This Row],[PointsFor]]-Games[[#This Row],[PointsAgainst]]</f>
        <v>-26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0.5724595014494096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73.150000000000006</v>
      </c>
      <c r="Z204" s="4">
        <f>Games[[#This Row],[K]]*Games[[#This Row],[POMult]]</f>
        <v>73.150000000000006</v>
      </c>
      <c r="AA204" s="4">
        <f>(Games[[#This Row],[Keff]]*Games[[#This Row],[MOVMult]])*(Games[[#This Row],[Result]]-Games[[#This Row],[ExpectedWin%]])</f>
        <v>-9.0792246244541985</v>
      </c>
      <c r="AB204" s="4">
        <f>Games[[#This Row],[PreGmRate]]+Games[[#This Row],[RatingChange]]</f>
        <v>1315.3202333174061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44735</v>
      </c>
      <c r="B205" s="2">
        <v>2022</v>
      </c>
      <c r="C205" s="2">
        <f>COUNTIFS(Games[Team],Games[[#This Row],[Team]],Games[Season],Games[[#This Row],[Season]],Games[Date],"&lt;=" &amp; Games[[#This Row],[Date]])</f>
        <v>18</v>
      </c>
      <c r="D205" s="2" t="s">
        <v>79</v>
      </c>
      <c r="E205" s="2" t="s">
        <v>80</v>
      </c>
      <c r="F205" s="1" t="s">
        <v>85</v>
      </c>
      <c r="G205" s="1" t="s">
        <v>69</v>
      </c>
      <c r="H205" s="1" t="s">
        <v>82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5" s="2">
        <f>Games[[#This Row],[DaysOff]]-Games[[#This Row],[OppDaysOff]]</f>
        <v>-2</v>
      </c>
      <c r="L205" s="2">
        <f>Games[[#This Row],[OppDaysOff]]-Games[[#This Row],[DaysOff]]</f>
        <v>2</v>
      </c>
      <c r="M205" s="1">
        <f>MAX(-16, MIN(16, Games[[#This Row],[RestDiff]]*8))</f>
        <v>-16</v>
      </c>
      <c r="N205" s="1">
        <f>MAX(-16, MIN(16, Games[[#This Row],[OppRestDiff]]*8))</f>
        <v>16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1495.5093000056283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1324.3994579418602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0.78318483148726825</v>
      </c>
      <c r="R205" s="1">
        <v>94</v>
      </c>
      <c r="S205" s="1">
        <v>68</v>
      </c>
      <c r="T205" s="1">
        <v>0</v>
      </c>
      <c r="U205" s="1">
        <f>Games[[#This Row],[PointsFor]]-Games[[#This Row],[PointsAgainst]]</f>
        <v>26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0.5724595014494096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73.3</v>
      </c>
      <c r="Z205" s="4">
        <f>Games[[#This Row],[K]]*Games[[#This Row],[POMult]]</f>
        <v>73.3</v>
      </c>
      <c r="AA205" s="4">
        <f>(Games[[#This Row],[Keff]]*Games[[#This Row],[MOVMult]])*(Games[[#This Row],[Result]]-Games[[#This Row],[ExpectedWin%]])</f>
        <v>9.0978423099452144</v>
      </c>
      <c r="AB205" s="4">
        <f>Games[[#This Row],[PreGmRate]]+Games[[#This Row],[RatingChange]]</f>
        <v>1504.6071423155736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44735</v>
      </c>
      <c r="B206" s="2">
        <v>2022</v>
      </c>
      <c r="C206" s="2">
        <f>COUNTIFS(Games[Team],Games[[#This Row],[Team]],Games[Season],Games[[#This Row],[Season]],Games[Date],"&lt;=" &amp; Games[[#This Row],[Date]])</f>
        <v>17</v>
      </c>
      <c r="D206" s="2" t="s">
        <v>79</v>
      </c>
      <c r="E206" s="2" t="s">
        <v>80</v>
      </c>
      <c r="F206" s="1" t="s">
        <v>75</v>
      </c>
      <c r="G206" s="1" t="s">
        <v>63</v>
      </c>
      <c r="H206" s="1" t="s">
        <v>81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6" s="2">
        <f>Games[[#This Row],[DaysOff]]-Games[[#This Row],[OppDaysOff]]</f>
        <v>0</v>
      </c>
      <c r="L206" s="2">
        <f>Games[[#This Row],[OppDaysOff]]-Games[[#This Row],[DaysOff]]</f>
        <v>0</v>
      </c>
      <c r="M206" s="1">
        <f>MAX(-16, MIN(16, Games[[#This Row],[RestDiff]]*8))</f>
        <v>0</v>
      </c>
      <c r="N206" s="1">
        <f>MAX(-16, MIN(16, Games[[#This Row],[OppRestDiff]]*8))</f>
        <v>0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1618.0261649285753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1447.9361536125061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0.6214186287153497</v>
      </c>
      <c r="R206" s="1">
        <v>82</v>
      </c>
      <c r="S206" s="1">
        <v>59</v>
      </c>
      <c r="T206" s="1">
        <v>0</v>
      </c>
      <c r="U206" s="1">
        <f>Games[[#This Row],[PointsFor]]-Games[[#This Row],[PointsAgainst]]</f>
        <v>23</v>
      </c>
      <c r="V206" s="1">
        <f>IF(Games[[#This Row],[MOV]]&gt;0,1,IF(Games[[#This Row],[MOV]]=0,0.5,0))</f>
        <v>1</v>
      </c>
      <c r="W206" s="4">
        <f>((ABS(Games[[#This Row],[MOV]])+5)^0.6)/(12+0.01*(ABS(Games[[#This Row],[PreGmRate]]-Games[[#This Row],[OppPreGmRate]])))*IF(Games[[#This Row],[OT]]=1,0.9,1)</f>
        <v>0.53894657794419731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73.45</v>
      </c>
      <c r="Z206" s="4">
        <f>Games[[#This Row],[K]]*Games[[#This Row],[POMult]]</f>
        <v>73.45</v>
      </c>
      <c r="AA206" s="4">
        <f>(Games[[#This Row],[Keff]]*Games[[#This Row],[MOVMult]])*(Games[[#This Row],[Result]]-Games[[#This Row],[ExpectedWin%]])</f>
        <v>14.986380631029004</v>
      </c>
      <c r="AB206" s="4">
        <f>Games[[#This Row],[PreGmRate]]+Games[[#This Row],[RatingChange]]</f>
        <v>1633.0125455596044</v>
      </c>
      <c r="AC206" s="2">
        <f>IF(Games[[#This Row],[Type]]="R",IF(Games[[#This Row],[Result]]&gt;0.5,1,0),0)</f>
        <v>1</v>
      </c>
      <c r="AD206" s="2">
        <f>IF(Games[[#This Row],[Type]]="R",IF(Games[[#This Row],[Result]]&lt;0.5,1,0),0)</f>
        <v>0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44735</v>
      </c>
      <c r="B207" s="2">
        <v>2022</v>
      </c>
      <c r="C207" s="2">
        <f>COUNTIFS(Games[Team],Games[[#This Row],[Team]],Games[Season],Games[[#This Row],[Season]],Games[Date],"&lt;=" &amp; Games[[#This Row],[Date]])</f>
        <v>16</v>
      </c>
      <c r="D207" s="2" t="s">
        <v>79</v>
      </c>
      <c r="E207" s="2" t="s">
        <v>80</v>
      </c>
      <c r="F207" s="1" t="s">
        <v>63</v>
      </c>
      <c r="G207" s="1" t="s">
        <v>75</v>
      </c>
      <c r="H207" s="1" t="s">
        <v>82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0</v>
      </c>
      <c r="L207" s="2">
        <f>Games[[#This Row],[OppDaysOff]]-Games[[#This Row],[DaysOff]]</f>
        <v>0</v>
      </c>
      <c r="M207" s="1">
        <f>MAX(-16, MIN(16, Games[[#This Row],[RestDiff]]*8))</f>
        <v>0</v>
      </c>
      <c r="N207" s="1">
        <f>MAX(-16, MIN(16, Games[[#This Row],[OppRestDiff]]*8))</f>
        <v>0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1447.9361536125061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1618.0261649285753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0.37858137128465025</v>
      </c>
      <c r="R207" s="1">
        <v>59</v>
      </c>
      <c r="S207" s="1">
        <v>82</v>
      </c>
      <c r="T207" s="1">
        <v>0</v>
      </c>
      <c r="U207" s="1">
        <f>Games[[#This Row],[PointsFor]]-Games[[#This Row],[PointsAgainst]]</f>
        <v>-23</v>
      </c>
      <c r="V207" s="1">
        <f>IF(Games[[#This Row],[MOV]]&gt;0,1,IF(Games[[#This Row],[MOV]]=0,0.5,0))</f>
        <v>0</v>
      </c>
      <c r="W207" s="4">
        <f>((ABS(Games[[#This Row],[MOV]])+5)^0.6)/(12+0.01*(ABS(Games[[#This Row],[PreGmRate]]-Games[[#This Row],[OppPreGmRate]])))*IF(Games[[#This Row],[OT]]=1,0.9,1)</f>
        <v>0.53894657794419731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73.599999999999994</v>
      </c>
      <c r="Z207" s="4">
        <f>Games[[#This Row],[K]]*Games[[#This Row],[POMult]]</f>
        <v>73.599999999999994</v>
      </c>
      <c r="AA207" s="4">
        <f>(Games[[#This Row],[Keff]]*Games[[#This Row],[MOVMult]])*(Games[[#This Row],[Result]]-Games[[#This Row],[ExpectedWin%]])</f>
        <v>-15.016985901208091</v>
      </c>
      <c r="AB207" s="4">
        <f>Games[[#This Row],[PreGmRate]]+Games[[#This Row],[RatingChange]]</f>
        <v>1432.9191677112981</v>
      </c>
      <c r="AC207" s="2">
        <f>IF(Games[[#This Row],[Type]]="R",IF(Games[[#This Row],[Result]]&gt;0.5,1,0),0)</f>
        <v>0</v>
      </c>
      <c r="AD207" s="2">
        <f>IF(Games[[#This Row],[Type]]="R",IF(Games[[#This Row],[Result]]&lt;0.5,1,0),0)</f>
        <v>1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44735</v>
      </c>
      <c r="B208" s="2">
        <v>2022</v>
      </c>
      <c r="C208" s="2">
        <f>COUNTIFS(Games[Team],Games[[#This Row],[Team]],Games[Season],Games[[#This Row],[Season]],Games[Date],"&lt;=" &amp; Games[[#This Row],[Date]])</f>
        <v>18</v>
      </c>
      <c r="D208" s="2" t="s">
        <v>79</v>
      </c>
      <c r="E208" s="2" t="s">
        <v>80</v>
      </c>
      <c r="F208" s="1" t="s">
        <v>40</v>
      </c>
      <c r="G208" s="1" t="s">
        <v>67</v>
      </c>
      <c r="H208" s="1" t="s">
        <v>81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1460.4525677756201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1429.4022248499105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0.42438383836231403</v>
      </c>
      <c r="R208" s="1">
        <v>88</v>
      </c>
      <c r="S208" s="1">
        <v>100</v>
      </c>
      <c r="T208" s="1">
        <v>0</v>
      </c>
      <c r="U208" s="1">
        <f>Games[[#This Row],[PointsFor]]-Games[[#This Row],[PointsAgainst]]</f>
        <v>-12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0.44462465311614002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73.3</v>
      </c>
      <c r="Z208" s="4">
        <f>Games[[#This Row],[K]]*Games[[#This Row],[POMult]]</f>
        <v>73.3</v>
      </c>
      <c r="AA208" s="4">
        <f>(Games[[#This Row],[Keff]]*Games[[#This Row],[MOVMult]])*(Games[[#This Row],[Result]]-Games[[#This Row],[ExpectedWin%]])</f>
        <v>-13.831088190231593</v>
      </c>
      <c r="AB208" s="4">
        <f>Games[[#This Row],[PreGmRate]]+Games[[#This Row],[RatingChange]]</f>
        <v>1446.6214795853884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44735</v>
      </c>
      <c r="B209" s="2">
        <v>2022</v>
      </c>
      <c r="C209" s="2">
        <f>COUNTIFS(Games[Team],Games[[#This Row],[Team]],Games[Season],Games[[#This Row],[Season]],Games[Date],"&lt;=" &amp; Games[[#This Row],[Date]])</f>
        <v>18</v>
      </c>
      <c r="D209" s="2" t="s">
        <v>79</v>
      </c>
      <c r="E209" s="2" t="s">
        <v>80</v>
      </c>
      <c r="F209" s="1" t="s">
        <v>67</v>
      </c>
      <c r="G209" s="1" t="s">
        <v>40</v>
      </c>
      <c r="H209" s="1" t="s">
        <v>82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1429.4022248499105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1460.4525677756201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0.57561616163768592</v>
      </c>
      <c r="R209" s="1">
        <v>100</v>
      </c>
      <c r="S209" s="1">
        <v>88</v>
      </c>
      <c r="T209" s="1">
        <v>0</v>
      </c>
      <c r="U209" s="1">
        <f>Games[[#This Row],[PointsFor]]-Games[[#This Row],[PointsAgainst]]</f>
        <v>12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0.44462465311614002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73.3</v>
      </c>
      <c r="Z209" s="4">
        <f>Games[[#This Row],[K]]*Games[[#This Row],[POMult]]</f>
        <v>73.3</v>
      </c>
      <c r="AA209" s="4">
        <f>(Games[[#This Row],[Keff]]*Games[[#This Row],[MOVMult]])*(Games[[#This Row],[Result]]-Games[[#This Row],[ExpectedWin%]])</f>
        <v>13.831088190231595</v>
      </c>
      <c r="AB209" s="4">
        <f>Games[[#This Row],[PreGmRate]]+Games[[#This Row],[RatingChange]]</f>
        <v>1443.2333130401421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44735</v>
      </c>
      <c r="B210" s="2">
        <v>2022</v>
      </c>
      <c r="C210" s="2">
        <f>COUNTIFS(Games[Team],Games[[#This Row],[Team]],Games[Season],Games[[#This Row],[Season]],Games[Date],"&lt;=" &amp; Games[[#This Row],[Date]])</f>
        <v>20</v>
      </c>
      <c r="D210" s="2" t="s">
        <v>79</v>
      </c>
      <c r="E210" s="2" t="s">
        <v>80</v>
      </c>
      <c r="F210" s="1" t="s">
        <v>65</v>
      </c>
      <c r="G210" s="1" t="s">
        <v>71</v>
      </c>
      <c r="H210" s="1" t="s">
        <v>81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0" s="2">
        <f>Games[[#This Row],[DaysOff]]-Games[[#This Row],[OppDaysOff]]</f>
        <v>-2</v>
      </c>
      <c r="L210" s="2">
        <f>Games[[#This Row],[OppDaysOff]]-Games[[#This Row],[DaysOff]]</f>
        <v>2</v>
      </c>
      <c r="M210" s="1">
        <f>MAX(-16, MIN(16, Games[[#This Row],[RestDiff]]*8))</f>
        <v>-16</v>
      </c>
      <c r="N210" s="1">
        <f>MAX(-16, MIN(16, Games[[#This Row],[OppRestDiff]]*8))</f>
        <v>16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1521.3971573305998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1555.8530606495044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0.29606775044287048</v>
      </c>
      <c r="R210" s="1">
        <v>71</v>
      </c>
      <c r="S210" s="1">
        <v>85</v>
      </c>
      <c r="T210" s="1">
        <v>0</v>
      </c>
      <c r="U210" s="1">
        <f>Games[[#This Row],[PointsFor]]-Games[[#This Row],[PointsAgainst]]</f>
        <v>-14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0.47399807694042945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</v>
      </c>
      <c r="Z210" s="4">
        <f>Games[[#This Row],[K]]*Games[[#This Row],[POMult]]</f>
        <v>73</v>
      </c>
      <c r="AA210" s="4">
        <f>(Games[[#This Row],[Keff]]*Games[[#This Row],[MOVMult]])*(Games[[#This Row],[Result]]-Games[[#This Row],[ExpectedWin%]])</f>
        <v>-10.244494737841968</v>
      </c>
      <c r="AB210" s="4">
        <f>Games[[#This Row],[PreGmRate]]+Games[[#This Row],[RatingChange]]</f>
        <v>1511.1526625927579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44735</v>
      </c>
      <c r="B211" s="2">
        <v>2022</v>
      </c>
      <c r="C211" s="2">
        <f>COUNTIFS(Games[Team],Games[[#This Row],[Team]],Games[Season],Games[[#This Row],[Season]],Games[Date],"&lt;=" &amp; Games[[#This Row],[Date]])</f>
        <v>17</v>
      </c>
      <c r="D211" s="2" t="s">
        <v>79</v>
      </c>
      <c r="E211" s="2" t="s">
        <v>80</v>
      </c>
      <c r="F211" s="1" t="s">
        <v>71</v>
      </c>
      <c r="G211" s="1" t="s">
        <v>65</v>
      </c>
      <c r="H211" s="1" t="s">
        <v>82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2</v>
      </c>
      <c r="L211" s="2">
        <f>Games[[#This Row],[OppDaysOff]]-Games[[#This Row],[DaysOff]]</f>
        <v>-2</v>
      </c>
      <c r="M211" s="1">
        <f>MAX(-16, MIN(16, Games[[#This Row],[RestDiff]]*8))</f>
        <v>16</v>
      </c>
      <c r="N211" s="1">
        <f>MAX(-16, MIN(16, Games[[#This Row],[OppRestDiff]]*8))</f>
        <v>-16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1555.8530606495044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1521.3971573305998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0.70393224955712952</v>
      </c>
      <c r="R211" s="1">
        <v>85</v>
      </c>
      <c r="S211" s="1">
        <v>71</v>
      </c>
      <c r="T211" s="1">
        <v>0</v>
      </c>
      <c r="U211" s="1">
        <f>Games[[#This Row],[PointsFor]]-Games[[#This Row],[PointsAgainst]]</f>
        <v>14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0.47399807694042945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73.45</v>
      </c>
      <c r="Z211" s="4">
        <f>Games[[#This Row],[K]]*Games[[#This Row],[POMult]]</f>
        <v>73.45</v>
      </c>
      <c r="AA211" s="4">
        <f>(Games[[#This Row],[Keff]]*Games[[#This Row],[MOVMult]])*(Games[[#This Row],[Result]]-Games[[#This Row],[ExpectedWin%]])</f>
        <v>10.307645732801271</v>
      </c>
      <c r="AB211" s="4">
        <f>Games[[#This Row],[PreGmRate]]+Games[[#This Row],[RatingChange]]</f>
        <v>1566.1607063823058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44736</v>
      </c>
      <c r="B212" s="2">
        <v>2022</v>
      </c>
      <c r="C212" s="2">
        <f>COUNTIFS(Games[Team],Games[[#This Row],[Team]],Games[Season],Games[[#This Row],[Season]],Games[Date],"&lt;=" &amp; Games[[#This Row],[Date]])</f>
        <v>18</v>
      </c>
      <c r="D212" s="2" t="s">
        <v>79</v>
      </c>
      <c r="E212" s="2" t="s">
        <v>80</v>
      </c>
      <c r="F212" s="1" t="s">
        <v>60</v>
      </c>
      <c r="G212" s="1" t="s">
        <v>77</v>
      </c>
      <c r="H212" s="1" t="s">
        <v>81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2" s="2">
        <f>Games[[#This Row],[DaysOff]]-Games[[#This Row],[OppDaysOff]]</f>
        <v>-1</v>
      </c>
      <c r="L212" s="2">
        <f>Games[[#This Row],[OppDaysOff]]-Games[[#This Row],[DaysOff]]</f>
        <v>1</v>
      </c>
      <c r="M212" s="1">
        <f>MAX(-16, MIN(16, Games[[#This Row],[RestDiff]]*8))</f>
        <v>-8</v>
      </c>
      <c r="N212" s="1">
        <f>MAX(-16, MIN(16, Games[[#This Row],[OppRestDiff]]*8))</f>
        <v>8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1428.1217217652506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1448.6999724679604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0.33312069483111284</v>
      </c>
      <c r="R212" s="1">
        <v>89</v>
      </c>
      <c r="S212" s="1">
        <v>77</v>
      </c>
      <c r="T212" s="1">
        <v>0</v>
      </c>
      <c r="U212" s="1">
        <f>Games[[#This Row],[PointsFor]]-Games[[#This Row],[PointsAgainst]]</f>
        <v>12</v>
      </c>
      <c r="V212" s="1">
        <f>IF(Games[[#This Row],[MOV]]&gt;0,1,IF(Games[[#This Row],[MOV]]=0,0.5,0))</f>
        <v>1</v>
      </c>
      <c r="W212" s="4">
        <f>((ABS(Games[[#This Row],[MOV]])+5)^0.6)/(12+0.01*(ABS(Games[[#This Row],[PreGmRate]]-Games[[#This Row],[OppPreGmRate]])))*IF(Games[[#This Row],[OT]]=1,0.9,1)</f>
        <v>0.44843936173426502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73.3</v>
      </c>
      <c r="Z212" s="4">
        <f>Games[[#This Row],[K]]*Games[[#This Row],[POMult]]</f>
        <v>73.3</v>
      </c>
      <c r="AA212" s="4">
        <f>(Games[[#This Row],[Keff]]*Games[[#This Row],[MOVMult]])*(Games[[#This Row],[Result]]-Games[[#This Row],[ExpectedWin%]])</f>
        <v>21.920726366341107</v>
      </c>
      <c r="AB212" s="4">
        <f>Games[[#This Row],[PreGmRate]]+Games[[#This Row],[RatingChange]]</f>
        <v>1450.0424481315918</v>
      </c>
      <c r="AC212" s="2">
        <f>IF(Games[[#This Row],[Type]]="R",IF(Games[[#This Row],[Result]]&gt;0.5,1,0),0)</f>
        <v>1</v>
      </c>
      <c r="AD212" s="2">
        <f>IF(Games[[#This Row],[Type]]="R",IF(Games[[#This Row],[Result]]&lt;0.5,1,0),0)</f>
        <v>0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44736</v>
      </c>
      <c r="B213" s="2">
        <v>2022</v>
      </c>
      <c r="C213" s="2">
        <f>COUNTIFS(Games[Team],Games[[#This Row],[Team]],Games[Season],Games[[#This Row],[Season]],Games[Date],"&lt;=" &amp; Games[[#This Row],[Date]])</f>
        <v>17</v>
      </c>
      <c r="D213" s="2" t="s">
        <v>79</v>
      </c>
      <c r="E213" s="2" t="s">
        <v>80</v>
      </c>
      <c r="F213" s="1" t="s">
        <v>77</v>
      </c>
      <c r="G213" s="1" t="s">
        <v>60</v>
      </c>
      <c r="H213" s="1" t="s">
        <v>82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3" s="2">
        <f>Games[[#This Row],[DaysOff]]-Games[[#This Row],[OppDaysOff]]</f>
        <v>1</v>
      </c>
      <c r="L213" s="2">
        <f>Games[[#This Row],[OppDaysOff]]-Games[[#This Row],[DaysOff]]</f>
        <v>-1</v>
      </c>
      <c r="M213" s="1">
        <f>MAX(-16, MIN(16, Games[[#This Row],[RestDiff]]*8))</f>
        <v>8</v>
      </c>
      <c r="N213" s="1">
        <f>MAX(-16, MIN(16, Games[[#This Row],[OppRestDiff]]*8))</f>
        <v>-8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1448.6999724679604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1428.1217217652506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0.66687930516888716</v>
      </c>
      <c r="R213" s="1">
        <v>77</v>
      </c>
      <c r="S213" s="1">
        <v>89</v>
      </c>
      <c r="T213" s="1">
        <v>0</v>
      </c>
      <c r="U213" s="1">
        <f>Games[[#This Row],[PointsFor]]-Games[[#This Row],[PointsAgainst]]</f>
        <v>-12</v>
      </c>
      <c r="V213" s="1">
        <f>IF(Games[[#This Row],[MOV]]&gt;0,1,IF(Games[[#This Row],[MOV]]=0,0.5,0))</f>
        <v>0</v>
      </c>
      <c r="W213" s="4">
        <f>((ABS(Games[[#This Row],[MOV]])+5)^0.6)/(12+0.01*(ABS(Games[[#This Row],[PreGmRate]]-Games[[#This Row],[OppPreGmRate]])))*IF(Games[[#This Row],[OT]]=1,0.9,1)</f>
        <v>0.44843936173426502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73.45</v>
      </c>
      <c r="Z213" s="4">
        <f>Games[[#This Row],[K]]*Games[[#This Row],[POMult]]</f>
        <v>73.45</v>
      </c>
      <c r="AA213" s="4">
        <f>(Games[[#This Row],[Keff]]*Games[[#This Row],[MOVMult]])*(Games[[#This Row],[Result]]-Games[[#This Row],[ExpectedWin%]])</f>
        <v>-21.965584605835669</v>
      </c>
      <c r="AB213" s="4">
        <f>Games[[#This Row],[PreGmRate]]+Games[[#This Row],[RatingChange]]</f>
        <v>1426.7343878621248</v>
      </c>
      <c r="AC213" s="2">
        <f>IF(Games[[#This Row],[Type]]="R",IF(Games[[#This Row],[Result]]&gt;0.5,1,0),0)</f>
        <v>0</v>
      </c>
      <c r="AD213" s="2">
        <f>IF(Games[[#This Row],[Type]]="R",IF(Games[[#This Row],[Result]]&lt;0.5,1,0),0)</f>
        <v>1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44737</v>
      </c>
      <c r="B214" s="2">
        <v>2022</v>
      </c>
      <c r="C214" s="2">
        <f>COUNTIFS(Games[Team],Games[[#This Row],[Team]],Games[Season],Games[[#This Row],[Season]],Games[Date],"&lt;=" &amp; Games[[#This Row],[Date]])</f>
        <v>19</v>
      </c>
      <c r="D214" s="2" t="s">
        <v>79</v>
      </c>
      <c r="E214" s="2" t="s">
        <v>80</v>
      </c>
      <c r="F214" s="1" t="s">
        <v>40</v>
      </c>
      <c r="G214" s="1" t="s">
        <v>85</v>
      </c>
      <c r="H214" s="1" t="s">
        <v>81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0</v>
      </c>
      <c r="L214" s="2">
        <f>Games[[#This Row],[OppDaysOff]]-Games[[#This Row],[DaysOff]]</f>
        <v>0</v>
      </c>
      <c r="M214" s="1">
        <f>MAX(-16, MIN(16, Games[[#This Row],[RestDiff]]*8))</f>
        <v>0</v>
      </c>
      <c r="N214" s="1">
        <f>MAX(-16, MIN(16, Games[[#This Row],[OppRestDiff]]*8))</f>
        <v>0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1446.6214795853884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1504.6071423155736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0.30632962066101027</v>
      </c>
      <c r="R214" s="1">
        <v>83</v>
      </c>
      <c r="S214" s="1">
        <v>72</v>
      </c>
      <c r="T214" s="1">
        <v>0</v>
      </c>
      <c r="U214" s="1">
        <f>Games[[#This Row],[PointsFor]]-Games[[#This Row],[PointsAgainst]]</f>
        <v>11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0.41956214601339364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73.150000000000006</v>
      </c>
      <c r="Z214" s="4">
        <f>Games[[#This Row],[K]]*Games[[#This Row],[POMult]]</f>
        <v>73.150000000000006</v>
      </c>
      <c r="AA214" s="4">
        <f>(Games[[#This Row],[Keff]]*Games[[#This Row],[MOVMult]])*(Games[[#This Row],[Result]]-Games[[#This Row],[ExpectedWin%]])</f>
        <v>21.289417482588782</v>
      </c>
      <c r="AB214" s="4">
        <f>Games[[#This Row],[PreGmRate]]+Games[[#This Row],[RatingChange]]</f>
        <v>1467.9108970679772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44737</v>
      </c>
      <c r="B215" s="2">
        <v>2022</v>
      </c>
      <c r="C215" s="2">
        <f>COUNTIFS(Games[Team],Games[[#This Row],[Team]],Games[Season],Games[[#This Row],[Season]],Games[Date],"&lt;=" &amp; Games[[#This Row],[Date]])</f>
        <v>19</v>
      </c>
      <c r="D215" s="2" t="s">
        <v>79</v>
      </c>
      <c r="E215" s="2" t="s">
        <v>80</v>
      </c>
      <c r="F215" s="1" t="s">
        <v>85</v>
      </c>
      <c r="G215" s="1" t="s">
        <v>40</v>
      </c>
      <c r="H215" s="1" t="s">
        <v>82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0</v>
      </c>
      <c r="L215" s="2">
        <f>Games[[#This Row],[OppDaysOff]]-Games[[#This Row],[DaysOff]]</f>
        <v>0</v>
      </c>
      <c r="M215" s="1">
        <f>MAX(-16, MIN(16, Games[[#This Row],[RestDiff]]*8))</f>
        <v>0</v>
      </c>
      <c r="N215" s="1">
        <f>MAX(-16, MIN(16, Games[[#This Row],[OppRestDiff]]*8))</f>
        <v>0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1504.6071423155736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1446.6214795853884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0.69367037933898967</v>
      </c>
      <c r="R215" s="1">
        <v>72</v>
      </c>
      <c r="S215" s="1">
        <v>83</v>
      </c>
      <c r="T215" s="1">
        <v>0</v>
      </c>
      <c r="U215" s="1">
        <f>Games[[#This Row],[PointsFor]]-Games[[#This Row],[PointsAgainst]]</f>
        <v>-11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0.41956214601339364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73.150000000000006</v>
      </c>
      <c r="Z215" s="4">
        <f>Games[[#This Row],[K]]*Games[[#This Row],[POMult]]</f>
        <v>73.150000000000006</v>
      </c>
      <c r="AA215" s="4">
        <f>(Games[[#This Row],[Keff]]*Games[[#This Row],[MOVMult]])*(Games[[#This Row],[Result]]-Games[[#This Row],[ExpectedWin%]])</f>
        <v>-21.289417482588778</v>
      </c>
      <c r="AB215" s="4">
        <f>Games[[#This Row],[PreGmRate]]+Games[[#This Row],[RatingChange]]</f>
        <v>1483.3177248329848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44737</v>
      </c>
      <c r="B216" s="2">
        <v>2022</v>
      </c>
      <c r="C216" s="2">
        <f>COUNTIFS(Games[Team],Games[[#This Row],[Team]],Games[Season],Games[[#This Row],[Season]],Games[Date],"&lt;=" &amp; Games[[#This Row],[Date]])</f>
        <v>21</v>
      </c>
      <c r="D216" s="2" t="s">
        <v>79</v>
      </c>
      <c r="E216" s="2" t="s">
        <v>80</v>
      </c>
      <c r="F216" s="1" t="s">
        <v>65</v>
      </c>
      <c r="G216" s="1" t="s">
        <v>86</v>
      </c>
      <c r="H216" s="1" t="s">
        <v>81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6" s="2">
        <f>Games[[#This Row],[DaysOff]]-Games[[#This Row],[OppDaysOff]]</f>
        <v>-2</v>
      </c>
      <c r="L216" s="2">
        <f>Games[[#This Row],[OppDaysOff]]-Games[[#This Row],[DaysOff]]</f>
        <v>2</v>
      </c>
      <c r="M216" s="1">
        <f>MAX(-16, MIN(16, Games[[#This Row],[RestDiff]]*8))</f>
        <v>-16</v>
      </c>
      <c r="N216" s="1">
        <f>MAX(-16, MIN(16, Games[[#This Row],[OppRestDiff]]*8))</f>
        <v>16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1511.1526625927579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1652.0468431899349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0.18560847204983016</v>
      </c>
      <c r="R216" s="1">
        <v>87</v>
      </c>
      <c r="S216" s="1">
        <v>86</v>
      </c>
      <c r="T216" s="1">
        <v>1</v>
      </c>
      <c r="U216" s="1">
        <f>Games[[#This Row],[PointsFor]]-Games[[#This Row],[PointsAgainst]]</f>
        <v>1</v>
      </c>
      <c r="V216" s="1">
        <f>IF(Games[[#This Row],[MOV]]&gt;0,1,IF(Games[[#This Row],[MOV]]=0,0.5,0))</f>
        <v>1</v>
      </c>
      <c r="W216" s="4">
        <f>((ABS(Games[[#This Row],[MOV]])+5)^0.6)/(12+0.01*(ABS(Games[[#This Row],[PreGmRate]]-Games[[#This Row],[OppPreGmRate]])))*IF(Games[[#This Row],[OT]]=1,0.9,1)</f>
        <v>0.19667028797534938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72.849999999999994</v>
      </c>
      <c r="Z216" s="4">
        <f>Games[[#This Row],[K]]*Games[[#This Row],[POMult]]</f>
        <v>72.849999999999994</v>
      </c>
      <c r="AA216" s="4">
        <f>(Games[[#This Row],[Keff]]*Games[[#This Row],[MOVMult]])*(Games[[#This Row],[Result]]-Games[[#This Row],[ExpectedWin%]])</f>
        <v>11.668137999396066</v>
      </c>
      <c r="AB216" s="4">
        <f>Games[[#This Row],[PreGmRate]]+Games[[#This Row],[RatingChange]]</f>
        <v>1522.820800592154</v>
      </c>
      <c r="AC216" s="2">
        <f>IF(Games[[#This Row],[Type]]="R",IF(Games[[#This Row],[Result]]&gt;0.5,1,0),0)</f>
        <v>1</v>
      </c>
      <c r="AD216" s="2">
        <f>IF(Games[[#This Row],[Type]]="R",IF(Games[[#This Row],[Result]]&lt;0.5,1,0),0)</f>
        <v>0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44737</v>
      </c>
      <c r="B217" s="2">
        <v>2022</v>
      </c>
      <c r="C217" s="2">
        <f>COUNTIFS(Games[Team],Games[[#This Row],[Team]],Games[Season],Games[[#This Row],[Season]],Games[Date],"&lt;=" &amp; Games[[#This Row],[Date]])</f>
        <v>17</v>
      </c>
      <c r="D217" s="2" t="s">
        <v>79</v>
      </c>
      <c r="E217" s="2" t="s">
        <v>80</v>
      </c>
      <c r="F217" s="1" t="s">
        <v>86</v>
      </c>
      <c r="G217" s="1" t="s">
        <v>65</v>
      </c>
      <c r="H217" s="1" t="s">
        <v>82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2</v>
      </c>
      <c r="L217" s="2">
        <f>Games[[#This Row],[OppDaysOff]]-Games[[#This Row],[DaysOff]]</f>
        <v>-2</v>
      </c>
      <c r="M217" s="1">
        <f>MAX(-16, MIN(16, Games[[#This Row],[RestDiff]]*8))</f>
        <v>16</v>
      </c>
      <c r="N217" s="1">
        <f>MAX(-16, MIN(16, Games[[#This Row],[OppRestDiff]]*8))</f>
        <v>-16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1652.0468431899349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1511.1526625927579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0.81439152795016978</v>
      </c>
      <c r="R217" s="1">
        <v>86</v>
      </c>
      <c r="S217" s="1">
        <v>87</v>
      </c>
      <c r="T217" s="1">
        <v>1</v>
      </c>
      <c r="U217" s="1">
        <f>Games[[#This Row],[PointsFor]]-Games[[#This Row],[PointsAgainst]]</f>
        <v>-1</v>
      </c>
      <c r="V217" s="1">
        <f>IF(Games[[#This Row],[MOV]]&gt;0,1,IF(Games[[#This Row],[MOV]]=0,0.5,0))</f>
        <v>0</v>
      </c>
      <c r="W217" s="4">
        <f>((ABS(Games[[#This Row],[MOV]])+5)^0.6)/(12+0.01*(ABS(Games[[#This Row],[PreGmRate]]-Games[[#This Row],[OppPreGmRate]])))*IF(Games[[#This Row],[OT]]=1,0.9,1)</f>
        <v>0.19667028797534938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73.45</v>
      </c>
      <c r="Z217" s="4">
        <f>Games[[#This Row],[K]]*Games[[#This Row],[POMult]]</f>
        <v>73.45</v>
      </c>
      <c r="AA217" s="4">
        <f>(Games[[#This Row],[Keff]]*Games[[#This Row],[MOVMult]])*(Games[[#This Row],[Result]]-Games[[#This Row],[ExpectedWin%]])</f>
        <v>-11.764237969192052</v>
      </c>
      <c r="AB217" s="4">
        <f>Games[[#This Row],[PreGmRate]]+Games[[#This Row],[RatingChange]]</f>
        <v>1640.2826052207429</v>
      </c>
      <c r="AC217" s="2">
        <f>IF(Games[[#This Row],[Type]]="R",IF(Games[[#This Row],[Result]]&gt;0.5,1,0),0)</f>
        <v>0</v>
      </c>
      <c r="AD217" s="2">
        <f>IF(Games[[#This Row],[Type]]="R",IF(Games[[#This Row],[Result]]&lt;0.5,1,0),0)</f>
        <v>1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44737</v>
      </c>
      <c r="B218" s="2">
        <v>2022</v>
      </c>
      <c r="C218" s="2">
        <f>COUNTIFS(Games[Team],Games[[#This Row],[Team]],Games[Season],Games[[#This Row],[Season]],Games[Date],"&lt;=" &amp; Games[[#This Row],[Date]])</f>
        <v>17</v>
      </c>
      <c r="D218" s="2" t="s">
        <v>79</v>
      </c>
      <c r="E218" s="2" t="s">
        <v>80</v>
      </c>
      <c r="F218" s="1" t="s">
        <v>63</v>
      </c>
      <c r="G218" s="1" t="s">
        <v>71</v>
      </c>
      <c r="H218" s="1" t="s">
        <v>81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0</v>
      </c>
      <c r="L218" s="2">
        <f>Games[[#This Row],[OppDaysOff]]-Games[[#This Row],[DaysOff]]</f>
        <v>0</v>
      </c>
      <c r="M218" s="1">
        <f>MAX(-16, MIN(16, Games[[#This Row],[RestDiff]]*8))</f>
        <v>0</v>
      </c>
      <c r="N218" s="1">
        <f>MAX(-16, MIN(16, Games[[#This Row],[OppRestDiff]]*8))</f>
        <v>0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1432.9191677112981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1566.1607063823058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0.22260618800270612</v>
      </c>
      <c r="R218" s="1">
        <v>85</v>
      </c>
      <c r="S218" s="1">
        <v>77</v>
      </c>
      <c r="T218" s="1">
        <v>0</v>
      </c>
      <c r="U218" s="1">
        <f>Games[[#This Row],[PointsFor]]-Games[[#This Row],[PointsAgainst]]</f>
        <v>8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0.34950804373234584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73.45</v>
      </c>
      <c r="Z218" s="4">
        <f>Games[[#This Row],[K]]*Games[[#This Row],[POMult]]</f>
        <v>73.45</v>
      </c>
      <c r="AA218" s="4">
        <f>(Games[[#This Row],[Keff]]*Games[[#This Row],[MOVMult]])*(Games[[#This Row],[Result]]-Games[[#This Row],[ExpectedWin%]])</f>
        <v>19.956760927877145</v>
      </c>
      <c r="AB218" s="4">
        <f>Games[[#This Row],[PreGmRate]]+Games[[#This Row],[RatingChange]]</f>
        <v>1452.8759286391753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44737</v>
      </c>
      <c r="B219" s="2">
        <v>2022</v>
      </c>
      <c r="C219" s="2">
        <f>COUNTIFS(Games[Team],Games[[#This Row],[Team]],Games[Season],Games[[#This Row],[Season]],Games[Date],"&lt;=" &amp; Games[[#This Row],[Date]])</f>
        <v>18</v>
      </c>
      <c r="D219" s="2" t="s">
        <v>79</v>
      </c>
      <c r="E219" s="2" t="s">
        <v>80</v>
      </c>
      <c r="F219" s="1" t="s">
        <v>71</v>
      </c>
      <c r="G219" s="1" t="s">
        <v>63</v>
      </c>
      <c r="H219" s="1" t="s">
        <v>82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9" s="2">
        <f>Games[[#This Row],[DaysOff]]-Games[[#This Row],[OppDaysOff]]</f>
        <v>0</v>
      </c>
      <c r="L219" s="2">
        <f>Games[[#This Row],[OppDaysOff]]-Games[[#This Row],[DaysOff]]</f>
        <v>0</v>
      </c>
      <c r="M219" s="1">
        <f>MAX(-16, MIN(16, Games[[#This Row],[RestDiff]]*8))</f>
        <v>0</v>
      </c>
      <c r="N219" s="1">
        <f>MAX(-16, MIN(16, Games[[#This Row],[OppRestDiff]]*8))</f>
        <v>0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1566.1607063823058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1432.9191677112981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0.77739381199729385</v>
      </c>
      <c r="R219" s="1">
        <v>77</v>
      </c>
      <c r="S219" s="1">
        <v>85</v>
      </c>
      <c r="T219" s="1">
        <v>0</v>
      </c>
      <c r="U219" s="1">
        <f>Games[[#This Row],[PointsFor]]-Games[[#This Row],[PointsAgainst]]</f>
        <v>-8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0.34950804373234584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73.3</v>
      </c>
      <c r="Z219" s="4">
        <f>Games[[#This Row],[K]]*Games[[#This Row],[POMult]]</f>
        <v>73.3</v>
      </c>
      <c r="AA219" s="4">
        <f>(Games[[#This Row],[Keff]]*Games[[#This Row],[MOVMult]])*(Games[[#This Row],[Result]]-Games[[#This Row],[ExpectedWin%]])</f>
        <v>-19.91600511931102</v>
      </c>
      <c r="AB219" s="4">
        <f>Games[[#This Row],[PreGmRate]]+Games[[#This Row],[RatingChange]]</f>
        <v>1546.2447012629948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44738</v>
      </c>
      <c r="B220" s="2">
        <v>2022</v>
      </c>
      <c r="C220" s="2">
        <f>COUNTIFS(Games[Team],Games[[#This Row],[Team]],Games[Season],Games[[#This Row],[Season]],Games[Date],"&lt;=" &amp; Games[[#This Row],[Date]])</f>
        <v>19</v>
      </c>
      <c r="D220" s="2" t="s">
        <v>79</v>
      </c>
      <c r="E220" s="2" t="s">
        <v>80</v>
      </c>
      <c r="F220" s="1" t="s">
        <v>74</v>
      </c>
      <c r="G220" s="1" t="s">
        <v>77</v>
      </c>
      <c r="H220" s="1" t="s">
        <v>81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2</v>
      </c>
      <c r="L220" s="2">
        <f>Games[[#This Row],[OppDaysOff]]-Games[[#This Row],[DaysOff]]</f>
        <v>-2</v>
      </c>
      <c r="M220" s="1">
        <f>MAX(-16, MIN(16, Games[[#This Row],[RestDiff]]*8))</f>
        <v>16</v>
      </c>
      <c r="N220" s="1">
        <f>MAX(-16, MIN(16, Games[[#This Row],[OppRestDiff]]*8))</f>
        <v>-16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1618.7625516340677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1426.7343878621248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0.69127075319873876</v>
      </c>
      <c r="R220" s="1">
        <v>72</v>
      </c>
      <c r="S220" s="1">
        <v>61</v>
      </c>
      <c r="T220" s="1">
        <v>0</v>
      </c>
      <c r="U220" s="1">
        <f>Games[[#This Row],[PointsFor]]-Games[[#This Row],[PointsAgainst]]</f>
        <v>11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0.37916126846096493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73.150000000000006</v>
      </c>
      <c r="Z220" s="4">
        <f>Games[[#This Row],[K]]*Games[[#This Row],[POMult]]</f>
        <v>73.150000000000006</v>
      </c>
      <c r="AA220" s="4">
        <f>(Games[[#This Row],[Keff]]*Games[[#This Row],[MOVMult]])*(Games[[#This Row],[Result]]-Games[[#This Row],[ExpectedWin%]])</f>
        <v>8.5628053423802353</v>
      </c>
      <c r="AB220" s="4">
        <f>Games[[#This Row],[PreGmRate]]+Games[[#This Row],[RatingChange]]</f>
        <v>1627.3253569764479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44738</v>
      </c>
      <c r="B221" s="2">
        <v>2022</v>
      </c>
      <c r="C221" s="2">
        <f>COUNTIFS(Games[Team],Games[[#This Row],[Team]],Games[Season],Games[[#This Row],[Season]],Games[Date],"&lt;=" &amp; Games[[#This Row],[Date]])</f>
        <v>18</v>
      </c>
      <c r="D221" s="2" t="s">
        <v>79</v>
      </c>
      <c r="E221" s="2" t="s">
        <v>80</v>
      </c>
      <c r="F221" s="1" t="s">
        <v>77</v>
      </c>
      <c r="G221" s="1" t="s">
        <v>74</v>
      </c>
      <c r="H221" s="1" t="s">
        <v>82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1" s="2">
        <f>Games[[#This Row],[DaysOff]]-Games[[#This Row],[OppDaysOff]]</f>
        <v>-2</v>
      </c>
      <c r="L221" s="2">
        <f>Games[[#This Row],[OppDaysOff]]-Games[[#This Row],[DaysOff]]</f>
        <v>2</v>
      </c>
      <c r="M221" s="1">
        <f>MAX(-16, MIN(16, Games[[#This Row],[RestDiff]]*8))</f>
        <v>-16</v>
      </c>
      <c r="N221" s="1">
        <f>MAX(-16, MIN(16, Games[[#This Row],[OppRestDiff]]*8))</f>
        <v>16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1426.7343878621248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1618.7625516340677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0.30872924680126113</v>
      </c>
      <c r="R221" s="1">
        <v>61</v>
      </c>
      <c r="S221" s="1">
        <v>72</v>
      </c>
      <c r="T221" s="1">
        <v>0</v>
      </c>
      <c r="U221" s="1">
        <f>Games[[#This Row],[PointsFor]]-Games[[#This Row],[PointsAgainst]]</f>
        <v>-11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0.37916126846096493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73.3</v>
      </c>
      <c r="Z221" s="4">
        <f>Games[[#This Row],[K]]*Games[[#This Row],[POMult]]</f>
        <v>73.3</v>
      </c>
      <c r="AA221" s="4">
        <f>(Games[[#This Row],[Keff]]*Games[[#This Row],[MOVMult]])*(Games[[#This Row],[Result]]-Games[[#This Row],[ExpectedWin%]])</f>
        <v>-8.5803640683044549</v>
      </c>
      <c r="AB221" s="4">
        <f>Games[[#This Row],[PreGmRate]]+Games[[#This Row],[RatingChange]]</f>
        <v>1418.1540237938202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44738</v>
      </c>
      <c r="B222" s="2">
        <v>2022</v>
      </c>
      <c r="C222" s="2">
        <f>COUNTIFS(Games[Team],Games[[#This Row],[Team]],Games[Season],Games[[#This Row],[Season]],Games[Date],"&lt;=" &amp; Games[[#This Row],[Date]])</f>
        <v>19</v>
      </c>
      <c r="D222" s="2" t="s">
        <v>79</v>
      </c>
      <c r="E222" s="2" t="s">
        <v>80</v>
      </c>
      <c r="F222" s="1" t="s">
        <v>67</v>
      </c>
      <c r="G222" s="1" t="s">
        <v>75</v>
      </c>
      <c r="H222" s="1" t="s">
        <v>81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2" s="2">
        <f>Games[[#This Row],[DaysOff]]-Games[[#This Row],[OppDaysOff]]</f>
        <v>0</v>
      </c>
      <c r="L222" s="2">
        <f>Games[[#This Row],[OppDaysOff]]-Games[[#This Row],[DaysOff]]</f>
        <v>0</v>
      </c>
      <c r="M222" s="1">
        <f>MAX(-16, MIN(16, Games[[#This Row],[RestDiff]]*8))</f>
        <v>0</v>
      </c>
      <c r="N222" s="1">
        <f>MAX(-16, MIN(16, Games[[#This Row],[OppRestDiff]]*8))</f>
        <v>0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1443.2333130401421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1633.0125455596044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0.17136273301652125</v>
      </c>
      <c r="R222" s="1">
        <v>85</v>
      </c>
      <c r="S222" s="1">
        <v>88</v>
      </c>
      <c r="T222" s="1">
        <v>0</v>
      </c>
      <c r="U222" s="1">
        <f>Games[[#This Row],[PointsFor]]-Games[[#This Row],[PointsAgainst]]</f>
        <v>-3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0.25055794270805037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73.150000000000006</v>
      </c>
      <c r="Z222" s="4">
        <f>Games[[#This Row],[K]]*Games[[#This Row],[POMult]]</f>
        <v>73.150000000000006</v>
      </c>
      <c r="AA222" s="4">
        <f>(Games[[#This Row],[Keff]]*Games[[#This Row],[MOVMult]])*(Games[[#This Row],[Result]]-Games[[#This Row],[ExpectedWin%]])</f>
        <v>-3.140789894501955</v>
      </c>
      <c r="AB222" s="4">
        <f>Games[[#This Row],[PreGmRate]]+Games[[#This Row],[RatingChange]]</f>
        <v>1440.0925231456401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44738</v>
      </c>
      <c r="B223" s="2">
        <v>2022</v>
      </c>
      <c r="C223" s="2">
        <f>COUNTIFS(Games[Team],Games[[#This Row],[Team]],Games[Season],Games[[#This Row],[Season]],Games[Date],"&lt;=" &amp; Games[[#This Row],[Date]])</f>
        <v>18</v>
      </c>
      <c r="D223" s="2" t="s">
        <v>79</v>
      </c>
      <c r="E223" s="2" t="s">
        <v>80</v>
      </c>
      <c r="F223" s="1" t="s">
        <v>75</v>
      </c>
      <c r="G223" s="1" t="s">
        <v>67</v>
      </c>
      <c r="H223" s="1" t="s">
        <v>82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3" s="2">
        <f>Games[[#This Row],[DaysOff]]-Games[[#This Row],[OppDaysOff]]</f>
        <v>0</v>
      </c>
      <c r="L223" s="2">
        <f>Games[[#This Row],[OppDaysOff]]-Games[[#This Row],[DaysOff]]</f>
        <v>0</v>
      </c>
      <c r="M223" s="1">
        <f>MAX(-16, MIN(16, Games[[#This Row],[RestDiff]]*8))</f>
        <v>0</v>
      </c>
      <c r="N223" s="1">
        <f>MAX(-16, MIN(16, Games[[#This Row],[OppRestDiff]]*8))</f>
        <v>0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1633.0125455596044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1443.2333130401421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0.82863726698347884</v>
      </c>
      <c r="R223" s="1">
        <v>88</v>
      </c>
      <c r="S223" s="1">
        <v>85</v>
      </c>
      <c r="T223" s="1">
        <v>0</v>
      </c>
      <c r="U223" s="1">
        <f>Games[[#This Row],[PointsFor]]-Games[[#This Row],[PointsAgainst]]</f>
        <v>3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0.25055794270805037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73.3</v>
      </c>
      <c r="Z223" s="4">
        <f>Games[[#This Row],[K]]*Games[[#This Row],[POMult]]</f>
        <v>73.3</v>
      </c>
      <c r="AA223" s="4">
        <f>(Games[[#This Row],[Keff]]*Games[[#This Row],[MOVMult]])*(Games[[#This Row],[Result]]-Games[[#This Row],[ExpectedWin%]])</f>
        <v>3.1472303385781708</v>
      </c>
      <c r="AB223" s="4">
        <f>Games[[#This Row],[PreGmRate]]+Games[[#This Row],[RatingChange]]</f>
        <v>1636.1597758981825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44739</v>
      </c>
      <c r="B224" s="2">
        <v>2022</v>
      </c>
      <c r="C224" s="2">
        <f>COUNTIFS(Games[Team],Games[[#This Row],[Team]],Games[Season],Games[[#This Row],[Season]],Games[Date],"&lt;=" &amp; Games[[#This Row],[Date]])</f>
        <v>18</v>
      </c>
      <c r="D224" s="2" t="s">
        <v>79</v>
      </c>
      <c r="E224" s="2" t="s">
        <v>80</v>
      </c>
      <c r="F224" s="1" t="s">
        <v>86</v>
      </c>
      <c r="G224" s="1" t="s">
        <v>63</v>
      </c>
      <c r="H224" s="1" t="s">
        <v>81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0</v>
      </c>
      <c r="L224" s="2">
        <f>Games[[#This Row],[OppDaysOff]]-Games[[#This Row],[DaysOff]]</f>
        <v>0</v>
      </c>
      <c r="M224" s="1">
        <f>MAX(-16, MIN(16, Games[[#This Row],[RestDiff]]*8))</f>
        <v>0</v>
      </c>
      <c r="N224" s="1">
        <f>MAX(-16, MIN(16, Games[[#This Row],[OppRestDiff]]*8))</f>
        <v>0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1640.2826052207429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1452.8759286391753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0.64457036113226707</v>
      </c>
      <c r="R224" s="1">
        <v>79</v>
      </c>
      <c r="S224" s="1">
        <v>73</v>
      </c>
      <c r="T224" s="1">
        <v>0</v>
      </c>
      <c r="U224" s="1">
        <f>Games[[#This Row],[PointsFor]]-Games[[#This Row],[PointsAgainst]]</f>
        <v>6</v>
      </c>
      <c r="V224" s="1">
        <f>IF(Games[[#This Row],[MOV]]&gt;0,1,IF(Games[[#This Row],[MOV]]=0,0.5,0))</f>
        <v>1</v>
      </c>
      <c r="W224" s="4">
        <f>((ABS(Games[[#This Row],[MOV]])+5)^0.6)/(12+0.01*(ABS(Games[[#This Row],[PreGmRate]]-Games[[#This Row],[OppPreGmRate]])))*IF(Games[[#This Row],[OT]]=1,0.9,1)</f>
        <v>0.3038308236686702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73.3</v>
      </c>
      <c r="Z224" s="4">
        <f>Games[[#This Row],[K]]*Games[[#This Row],[POMult]]</f>
        <v>73.3</v>
      </c>
      <c r="AA224" s="4">
        <f>(Games[[#This Row],[Keff]]*Games[[#This Row],[MOVMult]])*(Games[[#This Row],[Result]]-Games[[#This Row],[ExpectedWin%]])</f>
        <v>7.9157021791212472</v>
      </c>
      <c r="AB224" s="4">
        <f>Games[[#This Row],[PreGmRate]]+Games[[#This Row],[RatingChange]]</f>
        <v>1648.1983073998642</v>
      </c>
      <c r="AC224" s="2">
        <f>IF(Games[[#This Row],[Type]]="R",IF(Games[[#This Row],[Result]]&gt;0.5,1,0),0)</f>
        <v>1</v>
      </c>
      <c r="AD224" s="2">
        <f>IF(Games[[#This Row],[Type]]="R",IF(Games[[#This Row],[Result]]&lt;0.5,1,0),0)</f>
        <v>0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44739</v>
      </c>
      <c r="B225" s="2">
        <v>2022</v>
      </c>
      <c r="C225" s="2">
        <f>COUNTIFS(Games[Team],Games[[#This Row],[Team]],Games[Season],Games[[#This Row],[Season]],Games[Date],"&lt;=" &amp; Games[[#This Row],[Date]])</f>
        <v>18</v>
      </c>
      <c r="D225" s="2" t="s">
        <v>79</v>
      </c>
      <c r="E225" s="2" t="s">
        <v>80</v>
      </c>
      <c r="F225" s="1" t="s">
        <v>63</v>
      </c>
      <c r="G225" s="1" t="s">
        <v>86</v>
      </c>
      <c r="H225" s="1" t="s">
        <v>82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0</v>
      </c>
      <c r="L225" s="2">
        <f>Games[[#This Row],[OppDaysOff]]-Games[[#This Row],[DaysOff]]</f>
        <v>0</v>
      </c>
      <c r="M225" s="1">
        <f>MAX(-16, MIN(16, Games[[#This Row],[RestDiff]]*8))</f>
        <v>0</v>
      </c>
      <c r="N225" s="1">
        <f>MAX(-16, MIN(16, Games[[#This Row],[OppRestDiff]]*8))</f>
        <v>0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1452.8759286391753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1640.2826052207429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0.35542963886773304</v>
      </c>
      <c r="R225" s="1">
        <v>73</v>
      </c>
      <c r="S225" s="1">
        <v>79</v>
      </c>
      <c r="T225" s="1">
        <v>0</v>
      </c>
      <c r="U225" s="1">
        <f>Games[[#This Row],[PointsFor]]-Games[[#This Row],[PointsAgainst]]</f>
        <v>-6</v>
      </c>
      <c r="V225" s="1">
        <f>IF(Games[[#This Row],[MOV]]&gt;0,1,IF(Games[[#This Row],[MOV]]=0,0.5,0))</f>
        <v>0</v>
      </c>
      <c r="W225" s="4">
        <f>((ABS(Games[[#This Row],[MOV]])+5)^0.6)/(12+0.01*(ABS(Games[[#This Row],[PreGmRate]]-Games[[#This Row],[OppPreGmRate]])))*IF(Games[[#This Row],[OT]]=1,0.9,1)</f>
        <v>0.3038308236686702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73.3</v>
      </c>
      <c r="Z225" s="4">
        <f>Games[[#This Row],[K]]*Games[[#This Row],[POMult]]</f>
        <v>73.3</v>
      </c>
      <c r="AA225" s="4">
        <f>(Games[[#This Row],[Keff]]*Games[[#This Row],[MOVMult]])*(Games[[#This Row],[Result]]-Games[[#This Row],[ExpectedWin%]])</f>
        <v>-7.9157021791212498</v>
      </c>
      <c r="AB225" s="4">
        <f>Games[[#This Row],[PreGmRate]]+Games[[#This Row],[RatingChange]]</f>
        <v>1444.9602264600539</v>
      </c>
      <c r="AC225" s="2">
        <f>IF(Games[[#This Row],[Type]]="R",IF(Games[[#This Row],[Result]]&gt;0.5,1,0),0)</f>
        <v>0</v>
      </c>
      <c r="AD225" s="2">
        <f>IF(Games[[#This Row],[Type]]="R",IF(Games[[#This Row],[Result]]&lt;0.5,1,0),0)</f>
        <v>1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44739</v>
      </c>
      <c r="B226" s="2">
        <v>2022</v>
      </c>
      <c r="C226" s="2">
        <f>COUNTIFS(Games[Team],Games[[#This Row],[Team]],Games[Season],Games[[#This Row],[Season]],Games[Date],"&lt;=" &amp; Games[[#This Row],[Date]])</f>
        <v>20</v>
      </c>
      <c r="D226" s="2" t="s">
        <v>79</v>
      </c>
      <c r="E226" s="2" t="s">
        <v>80</v>
      </c>
      <c r="F226" s="1" t="s">
        <v>69</v>
      </c>
      <c r="G226" s="1" t="s">
        <v>40</v>
      </c>
      <c r="H226" s="1" t="s">
        <v>81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2</v>
      </c>
      <c r="L226" s="2">
        <f>Games[[#This Row],[OppDaysOff]]-Games[[#This Row],[DaysOff]]</f>
        <v>-2</v>
      </c>
      <c r="M226" s="1">
        <f>MAX(-16, MIN(16, Games[[#This Row],[RestDiff]]*8))</f>
        <v>16</v>
      </c>
      <c r="N226" s="1">
        <f>MAX(-16, MIN(16, Games[[#This Row],[OppRestDiff]]*8))</f>
        <v>-16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1315.3202333174061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1467.9108970679772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0.23546265831512483</v>
      </c>
      <c r="R226" s="1">
        <v>71</v>
      </c>
      <c r="S226" s="1">
        <v>83</v>
      </c>
      <c r="T226" s="1">
        <v>0</v>
      </c>
      <c r="U226" s="1">
        <f>Games[[#This Row],[PointsFor]]-Games[[#This Row],[PointsAgainst]]</f>
        <v>-12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0.40467182449278366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</v>
      </c>
      <c r="Z226" s="4">
        <f>Games[[#This Row],[K]]*Games[[#This Row],[POMult]]</f>
        <v>73</v>
      </c>
      <c r="AA226" s="4">
        <f>(Games[[#This Row],[Keff]]*Games[[#This Row],[MOVMult]])*(Games[[#This Row],[Result]]-Games[[#This Row],[ExpectedWin%]])</f>
        <v>-6.9558125584420818</v>
      </c>
      <c r="AB226" s="4">
        <f>Games[[#This Row],[PreGmRate]]+Games[[#This Row],[RatingChange]]</f>
        <v>1308.3644207589639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44739</v>
      </c>
      <c r="B227" s="2">
        <v>2022</v>
      </c>
      <c r="C227" s="2">
        <f>COUNTIFS(Games[Team],Games[[#This Row],[Team]],Games[Season],Games[[#This Row],[Season]],Games[Date],"&lt;=" &amp; Games[[#This Row],[Date]])</f>
        <v>20</v>
      </c>
      <c r="D227" s="2" t="s">
        <v>79</v>
      </c>
      <c r="E227" s="2" t="s">
        <v>80</v>
      </c>
      <c r="F227" s="1" t="s">
        <v>40</v>
      </c>
      <c r="G227" s="1" t="s">
        <v>69</v>
      </c>
      <c r="H227" s="1" t="s">
        <v>82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7" s="2">
        <f>Games[[#This Row],[DaysOff]]-Games[[#This Row],[OppDaysOff]]</f>
        <v>-2</v>
      </c>
      <c r="L227" s="2">
        <f>Games[[#This Row],[OppDaysOff]]-Games[[#This Row],[DaysOff]]</f>
        <v>2</v>
      </c>
      <c r="M227" s="1">
        <f>MAX(-16, MIN(16, Games[[#This Row],[RestDiff]]*8))</f>
        <v>-16</v>
      </c>
      <c r="N227" s="1">
        <f>MAX(-16, MIN(16, Games[[#This Row],[OppRestDiff]]*8))</f>
        <v>16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1467.9108970679772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1315.3202333174061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0.76453734168487519</v>
      </c>
      <c r="R227" s="1">
        <v>83</v>
      </c>
      <c r="S227" s="1">
        <v>71</v>
      </c>
      <c r="T227" s="1">
        <v>0</v>
      </c>
      <c r="U227" s="1">
        <f>Games[[#This Row],[PointsFor]]-Games[[#This Row],[PointsAgainst]]</f>
        <v>12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0.40467182449278366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</v>
      </c>
      <c r="Z227" s="4">
        <f>Games[[#This Row],[K]]*Games[[#This Row],[POMult]]</f>
        <v>73</v>
      </c>
      <c r="AA227" s="4">
        <f>(Games[[#This Row],[Keff]]*Games[[#This Row],[MOVMult]])*(Games[[#This Row],[Result]]-Games[[#This Row],[ExpectedWin%]])</f>
        <v>6.9558125584420809</v>
      </c>
      <c r="AB227" s="4">
        <f>Games[[#This Row],[PreGmRate]]+Games[[#This Row],[RatingChange]]</f>
        <v>1474.8667096264194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44740</v>
      </c>
      <c r="B228" s="2">
        <v>2022</v>
      </c>
      <c r="C228" s="2">
        <f>COUNTIFS(Games[Team],Games[[#This Row],[Team]],Games[Season],Games[[#This Row],[Season]],Games[Date],"&lt;=" &amp; Games[[#This Row],[Date]])</f>
        <v>20</v>
      </c>
      <c r="D228" s="2" t="s">
        <v>79</v>
      </c>
      <c r="E228" s="2" t="s">
        <v>80</v>
      </c>
      <c r="F228" s="1" t="s">
        <v>85</v>
      </c>
      <c r="G228" s="1" t="s">
        <v>67</v>
      </c>
      <c r="H228" s="1" t="s">
        <v>81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8" s="2">
        <f>Games[[#This Row],[DaysOff]]-Games[[#This Row],[OppDaysOff]]</f>
        <v>1</v>
      </c>
      <c r="L228" s="2">
        <f>Games[[#This Row],[OppDaysOff]]-Games[[#This Row],[DaysOff]]</f>
        <v>-1</v>
      </c>
      <c r="M228" s="1">
        <f>MAX(-16, MIN(16, Games[[#This Row],[RestDiff]]*8))</f>
        <v>8</v>
      </c>
      <c r="N228" s="1">
        <f>MAX(-16, MIN(16, Games[[#This Row],[OppRestDiff]]*8))</f>
        <v>-8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1483.3177248329848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1440.0925231456401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0.46440650705131764</v>
      </c>
      <c r="R228" s="1">
        <v>64</v>
      </c>
      <c r="S228" s="1">
        <v>92</v>
      </c>
      <c r="T228" s="1">
        <v>0</v>
      </c>
      <c r="U228" s="1">
        <f>Games[[#This Row],[PointsFor]]-Games[[#This Row],[PointsAgainst]]</f>
        <v>-28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0.65547866225625451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</v>
      </c>
      <c r="Z228" s="4">
        <f>Games[[#This Row],[K]]*Games[[#This Row],[POMult]]</f>
        <v>73</v>
      </c>
      <c r="AA228" s="4">
        <f>(Games[[#This Row],[Keff]]*Games[[#This Row],[MOVMult]])*(Games[[#This Row],[Result]]-Games[[#This Row],[ExpectedWin%]])</f>
        <v>-22.221824586912117</v>
      </c>
      <c r="AB228" s="4">
        <f>Games[[#This Row],[PreGmRate]]+Games[[#This Row],[RatingChange]]</f>
        <v>1461.0959002460727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44740</v>
      </c>
      <c r="B229" s="2">
        <v>2022</v>
      </c>
      <c r="C229" s="2">
        <f>COUNTIFS(Games[Team],Games[[#This Row],[Team]],Games[Season],Games[[#This Row],[Season]],Games[Date],"&lt;=" &amp; Games[[#This Row],[Date]])</f>
        <v>20</v>
      </c>
      <c r="D229" s="2" t="s">
        <v>79</v>
      </c>
      <c r="E229" s="2" t="s">
        <v>80</v>
      </c>
      <c r="F229" s="1" t="s">
        <v>67</v>
      </c>
      <c r="G229" s="1" t="s">
        <v>85</v>
      </c>
      <c r="H229" s="1" t="s">
        <v>82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9" s="2">
        <f>Games[[#This Row],[DaysOff]]-Games[[#This Row],[OppDaysOff]]</f>
        <v>-1</v>
      </c>
      <c r="L229" s="2">
        <f>Games[[#This Row],[OppDaysOff]]-Games[[#This Row],[DaysOff]]</f>
        <v>1</v>
      </c>
      <c r="M229" s="1">
        <f>MAX(-16, MIN(16, Games[[#This Row],[RestDiff]]*8))</f>
        <v>-8</v>
      </c>
      <c r="N229" s="1">
        <f>MAX(-16, MIN(16, Games[[#This Row],[OppRestDiff]]*8))</f>
        <v>8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1440.0925231456401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1483.3177248329848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0.53559349294868241</v>
      </c>
      <c r="R229" s="1">
        <v>92</v>
      </c>
      <c r="S229" s="1">
        <v>64</v>
      </c>
      <c r="T229" s="1">
        <v>0</v>
      </c>
      <c r="U229" s="1">
        <f>Games[[#This Row],[PointsFor]]-Games[[#This Row],[PointsAgainst]]</f>
        <v>28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0.65547866225625451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</v>
      </c>
      <c r="Z229" s="4">
        <f>Games[[#This Row],[K]]*Games[[#This Row],[POMult]]</f>
        <v>73</v>
      </c>
      <c r="AA229" s="4">
        <f>(Games[[#This Row],[Keff]]*Games[[#This Row],[MOVMult]])*(Games[[#This Row],[Result]]-Games[[#This Row],[ExpectedWin%]])</f>
        <v>22.221824586912113</v>
      </c>
      <c r="AB229" s="4">
        <f>Games[[#This Row],[PreGmRate]]+Games[[#This Row],[RatingChange]]</f>
        <v>1462.3143477325523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44740</v>
      </c>
      <c r="B230" s="2">
        <v>2022</v>
      </c>
      <c r="C230" s="2">
        <f>COUNTIFS(Games[Team],Games[[#This Row],[Team]],Games[Season],Games[[#This Row],[Season]],Games[Date],"&lt;=" &amp; Games[[#This Row],[Date]])</f>
        <v>19</v>
      </c>
      <c r="D230" s="2" t="s">
        <v>79</v>
      </c>
      <c r="E230" s="2" t="s">
        <v>80</v>
      </c>
      <c r="F230" s="1" t="s">
        <v>77</v>
      </c>
      <c r="G230" s="1" t="s">
        <v>65</v>
      </c>
      <c r="H230" s="1" t="s">
        <v>81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0" s="2">
        <f>Games[[#This Row],[DaysOff]]-Games[[#This Row],[OppDaysOff]]</f>
        <v>-1</v>
      </c>
      <c r="L230" s="2">
        <f>Games[[#This Row],[OppDaysOff]]-Games[[#This Row],[DaysOff]]</f>
        <v>1</v>
      </c>
      <c r="M230" s="1">
        <f>MAX(-16, MIN(16, Games[[#This Row],[RestDiff]]*8))</f>
        <v>-8</v>
      </c>
      <c r="N230" s="1">
        <f>MAX(-16, MIN(16, Games[[#This Row],[OppRestDiff]]*8))</f>
        <v>8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1418.1540237938202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1522.820800592154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0.23538379315053923</v>
      </c>
      <c r="R230" s="1">
        <v>74</v>
      </c>
      <c r="S230" s="1">
        <v>92</v>
      </c>
      <c r="T230" s="1">
        <v>0</v>
      </c>
      <c r="U230" s="1">
        <f>Games[[#This Row],[PointsFor]]-Games[[#This Row],[PointsAgainst]]</f>
        <v>-18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0.50296422827743725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73.150000000000006</v>
      </c>
      <c r="Z230" s="4">
        <f>Games[[#This Row],[K]]*Games[[#This Row],[POMult]]</f>
        <v>73.150000000000006</v>
      </c>
      <c r="AA230" s="4">
        <f>(Games[[#This Row],[Keff]]*Games[[#This Row],[MOVMult]])*(Games[[#This Row],[Result]]-Games[[#This Row],[ExpectedWin%]])</f>
        <v>-8.66020127876196</v>
      </c>
      <c r="AB230" s="4">
        <f>Games[[#This Row],[PreGmRate]]+Games[[#This Row],[RatingChange]]</f>
        <v>1409.4938225150584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44740</v>
      </c>
      <c r="B231" s="2">
        <v>2022</v>
      </c>
      <c r="C231" s="2">
        <f>COUNTIFS(Games[Team],Games[[#This Row],[Team]],Games[Season],Games[[#This Row],[Season]],Games[Date],"&lt;=" &amp; Games[[#This Row],[Date]])</f>
        <v>22</v>
      </c>
      <c r="D231" s="2" t="s">
        <v>79</v>
      </c>
      <c r="E231" s="2" t="s">
        <v>80</v>
      </c>
      <c r="F231" s="1" t="s">
        <v>65</v>
      </c>
      <c r="G231" s="1" t="s">
        <v>77</v>
      </c>
      <c r="H231" s="1" t="s">
        <v>82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1" s="2">
        <f>Games[[#This Row],[DaysOff]]-Games[[#This Row],[OppDaysOff]]</f>
        <v>1</v>
      </c>
      <c r="L231" s="2">
        <f>Games[[#This Row],[OppDaysOff]]-Games[[#This Row],[DaysOff]]</f>
        <v>-1</v>
      </c>
      <c r="M231" s="1">
        <f>MAX(-16, MIN(16, Games[[#This Row],[RestDiff]]*8))</f>
        <v>8</v>
      </c>
      <c r="N231" s="1">
        <f>MAX(-16, MIN(16, Games[[#This Row],[OppRestDiff]]*8))</f>
        <v>-8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1522.820800592154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1418.1540237938202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0.76461620684946074</v>
      </c>
      <c r="R231" s="1">
        <v>92</v>
      </c>
      <c r="S231" s="1">
        <v>74</v>
      </c>
      <c r="T231" s="1">
        <v>0</v>
      </c>
      <c r="U231" s="1">
        <f>Games[[#This Row],[PointsFor]]-Games[[#This Row],[PointsAgainst]]</f>
        <v>18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0.50296422827743725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72.7</v>
      </c>
      <c r="Z231" s="4">
        <f>Games[[#This Row],[K]]*Games[[#This Row],[POMult]]</f>
        <v>72.7</v>
      </c>
      <c r="AA231" s="4">
        <f>(Games[[#This Row],[Keff]]*Games[[#This Row],[MOVMult]])*(Games[[#This Row],[Result]]-Games[[#This Row],[ExpectedWin%]])</f>
        <v>8.6069259462200218</v>
      </c>
      <c r="AB231" s="4">
        <f>Games[[#This Row],[PreGmRate]]+Games[[#This Row],[RatingChange]]</f>
        <v>1531.4277265383739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44741</v>
      </c>
      <c r="B232" s="2">
        <v>2022</v>
      </c>
      <c r="C232" s="2">
        <f>COUNTIFS(Games[Team],Games[[#This Row],[Team]],Games[Season],Games[[#This Row],[Season]],Games[Date],"&lt;=" &amp; Games[[#This Row],[Date]])</f>
        <v>20</v>
      </c>
      <c r="D232" s="2" t="s">
        <v>79</v>
      </c>
      <c r="E232" s="2" t="s">
        <v>80</v>
      </c>
      <c r="F232" s="1" t="s">
        <v>74</v>
      </c>
      <c r="G232" s="1" t="s">
        <v>75</v>
      </c>
      <c r="H232" s="1" t="s">
        <v>81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2" s="2">
        <f>Games[[#This Row],[DaysOff]]-Games[[#This Row],[OppDaysOff]]</f>
        <v>0</v>
      </c>
      <c r="L232" s="2">
        <f>Games[[#This Row],[OppDaysOff]]-Games[[#This Row],[DaysOff]]</f>
        <v>0</v>
      </c>
      <c r="M232" s="1">
        <f>MAX(-16, MIN(16, Games[[#This Row],[RestDiff]]*8))</f>
        <v>0</v>
      </c>
      <c r="N232" s="1">
        <f>MAX(-16, MIN(16, Games[[#This Row],[OppRestDiff]]*8))</f>
        <v>0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1627.3253569764479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1636.1597758981825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0.36949173944385194</v>
      </c>
      <c r="R232" s="1">
        <v>83</v>
      </c>
      <c r="S232" s="1">
        <v>91</v>
      </c>
      <c r="T232" s="1">
        <v>0</v>
      </c>
      <c r="U232" s="1">
        <f>Games[[#This Row],[PointsFor]]-Games[[#This Row],[PointsAgainst]]</f>
        <v>-8</v>
      </c>
      <c r="V232" s="1">
        <f>IF(Games[[#This Row],[MOV]]&gt;0,1,IF(Games[[#This Row],[MOV]]=0,0.5,0))</f>
        <v>0</v>
      </c>
      <c r="W232" s="4">
        <f>((ABS(Games[[#This Row],[MOV]])+5)^0.6)/(12+0.01*(ABS(Games[[#This Row],[PreGmRate]]-Games[[#This Row],[OppPreGmRate]])))*IF(Games[[#This Row],[OT]]=1,0.9,1)</f>
        <v>0.38547764252051481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</v>
      </c>
      <c r="Z232" s="4">
        <f>Games[[#This Row],[K]]*Games[[#This Row],[POMult]]</f>
        <v>73</v>
      </c>
      <c r="AA232" s="4">
        <f>(Games[[#This Row],[Keff]]*Games[[#This Row],[MOVMult]])*(Games[[#This Row],[Result]]-Games[[#This Row],[ExpectedWin%]])</f>
        <v>-10.397448739568286</v>
      </c>
      <c r="AB232" s="4">
        <f>Games[[#This Row],[PreGmRate]]+Games[[#This Row],[RatingChange]]</f>
        <v>1616.9279082368796</v>
      </c>
      <c r="AC232" s="2">
        <f>IF(Games[[#This Row],[Type]]="R",IF(Games[[#This Row],[Result]]&gt;0.5,1,0),0)</f>
        <v>0</v>
      </c>
      <c r="AD232" s="2">
        <f>IF(Games[[#This Row],[Type]]="R",IF(Games[[#This Row],[Result]]&lt;0.5,1,0),0)</f>
        <v>1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44741</v>
      </c>
      <c r="B233" s="2">
        <v>2022</v>
      </c>
      <c r="C233" s="2">
        <f>COUNTIFS(Games[Team],Games[[#This Row],[Team]],Games[Season],Games[[#This Row],[Season]],Games[Date],"&lt;=" &amp; Games[[#This Row],[Date]])</f>
        <v>19</v>
      </c>
      <c r="D233" s="2" t="s">
        <v>79</v>
      </c>
      <c r="E233" s="2" t="s">
        <v>80</v>
      </c>
      <c r="F233" s="1" t="s">
        <v>75</v>
      </c>
      <c r="G233" s="1" t="s">
        <v>74</v>
      </c>
      <c r="H233" s="1" t="s">
        <v>82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3" s="2">
        <f>Games[[#This Row],[DaysOff]]-Games[[#This Row],[OppDaysOff]]</f>
        <v>0</v>
      </c>
      <c r="L233" s="2">
        <f>Games[[#This Row],[OppDaysOff]]-Games[[#This Row],[DaysOff]]</f>
        <v>0</v>
      </c>
      <c r="M233" s="1">
        <f>MAX(-16, MIN(16, Games[[#This Row],[RestDiff]]*8))</f>
        <v>0</v>
      </c>
      <c r="N233" s="1">
        <f>MAX(-16, MIN(16, Games[[#This Row],[OppRestDiff]]*8))</f>
        <v>0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1636.1597758981825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1627.3253569764479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0.63050826055614806</v>
      </c>
      <c r="R233" s="1">
        <v>91</v>
      </c>
      <c r="S233" s="1">
        <v>83</v>
      </c>
      <c r="T233" s="1">
        <v>0</v>
      </c>
      <c r="U233" s="1">
        <f>Games[[#This Row],[PointsFor]]-Games[[#This Row],[PointsAgainst]]</f>
        <v>8</v>
      </c>
      <c r="V233" s="1">
        <f>IF(Games[[#This Row],[MOV]]&gt;0,1,IF(Games[[#This Row],[MOV]]=0,0.5,0))</f>
        <v>1</v>
      </c>
      <c r="W233" s="4">
        <f>((ABS(Games[[#This Row],[MOV]])+5)^0.6)/(12+0.01*(ABS(Games[[#This Row],[PreGmRate]]-Games[[#This Row],[OppPreGmRate]])))*IF(Games[[#This Row],[OT]]=1,0.9,1)</f>
        <v>0.38547764252051481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73.150000000000006</v>
      </c>
      <c r="Z233" s="4">
        <f>Games[[#This Row],[K]]*Games[[#This Row],[POMult]]</f>
        <v>73.150000000000006</v>
      </c>
      <c r="AA233" s="4">
        <f>(Games[[#This Row],[Keff]]*Games[[#This Row],[MOVMult]])*(Games[[#This Row],[Result]]-Games[[#This Row],[ExpectedWin%]])</f>
        <v>10.41881336026603</v>
      </c>
      <c r="AB233" s="4">
        <f>Games[[#This Row],[PreGmRate]]+Games[[#This Row],[RatingChange]]</f>
        <v>1646.5785892584486</v>
      </c>
      <c r="AC233" s="2">
        <f>IF(Games[[#This Row],[Type]]="R",IF(Games[[#This Row],[Result]]&gt;0.5,1,0),0)</f>
        <v>1</v>
      </c>
      <c r="AD233" s="2">
        <f>IF(Games[[#This Row],[Type]]="R",IF(Games[[#This Row],[Result]]&lt;0.5,1,0),0)</f>
        <v>0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44741</v>
      </c>
      <c r="B234" s="2">
        <v>2022</v>
      </c>
      <c r="C234" s="2">
        <f>COUNTIFS(Games[Team],Games[[#This Row],[Team]],Games[Season],Games[[#This Row],[Season]],Games[Date],"&lt;=" &amp; Games[[#This Row],[Date]])</f>
        <v>21</v>
      </c>
      <c r="D234" s="2" t="s">
        <v>79</v>
      </c>
      <c r="E234" s="2" t="s">
        <v>80</v>
      </c>
      <c r="F234" s="1" t="s">
        <v>69</v>
      </c>
      <c r="G234" s="1" t="s">
        <v>40</v>
      </c>
      <c r="H234" s="1" t="s">
        <v>81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1308.3644207589639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1474.8667096264194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0.19123473154301507</v>
      </c>
      <c r="R234" s="1">
        <v>78</v>
      </c>
      <c r="S234" s="1">
        <v>99</v>
      </c>
      <c r="T234" s="1">
        <v>0</v>
      </c>
      <c r="U234" s="1">
        <f>Games[[#This Row],[PointsFor]]-Games[[#This Row],[PointsAgainst]]</f>
        <v>-21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0.51686085934788484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72.849999999999994</v>
      </c>
      <c r="Z234" s="4">
        <f>Games[[#This Row],[K]]*Games[[#This Row],[POMult]]</f>
        <v>72.849999999999994</v>
      </c>
      <c r="AA234" s="4">
        <f>(Games[[#This Row],[Keff]]*Games[[#This Row],[MOVMult]])*(Games[[#This Row],[Result]]-Games[[#This Row],[ExpectedWin%]])</f>
        <v>-7.2006213186690191</v>
      </c>
      <c r="AB234" s="4">
        <f>Games[[#This Row],[PreGmRate]]+Games[[#This Row],[RatingChange]]</f>
        <v>1301.163799440295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44741</v>
      </c>
      <c r="B235" s="2">
        <v>2022</v>
      </c>
      <c r="C235" s="2">
        <f>COUNTIFS(Games[Team],Games[[#This Row],[Team]],Games[Season],Games[[#This Row],[Season]],Games[Date],"&lt;=" &amp; Games[[#This Row],[Date]])</f>
        <v>21</v>
      </c>
      <c r="D235" s="2" t="s">
        <v>79</v>
      </c>
      <c r="E235" s="2" t="s">
        <v>80</v>
      </c>
      <c r="F235" s="1" t="s">
        <v>40</v>
      </c>
      <c r="G235" s="1" t="s">
        <v>69</v>
      </c>
      <c r="H235" s="1" t="s">
        <v>82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1474.8667096264194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1308.3644207589639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0.80876526845698493</v>
      </c>
      <c r="R235" s="1">
        <v>99</v>
      </c>
      <c r="S235" s="1">
        <v>78</v>
      </c>
      <c r="T235" s="1">
        <v>0</v>
      </c>
      <c r="U235" s="1">
        <f>Games[[#This Row],[PointsFor]]-Games[[#This Row],[PointsAgainst]]</f>
        <v>21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0.51686085934788484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72.849999999999994</v>
      </c>
      <c r="Z235" s="4">
        <f>Games[[#This Row],[K]]*Games[[#This Row],[POMult]]</f>
        <v>72.849999999999994</v>
      </c>
      <c r="AA235" s="4">
        <f>(Games[[#This Row],[Keff]]*Games[[#This Row],[MOVMult]])*(Games[[#This Row],[Result]]-Games[[#This Row],[ExpectedWin%]])</f>
        <v>7.2006213186690191</v>
      </c>
      <c r="AB235" s="4">
        <f>Games[[#This Row],[PreGmRate]]+Games[[#This Row],[RatingChange]]</f>
        <v>1482.0673309450883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44741</v>
      </c>
      <c r="B236" s="2">
        <v>2022</v>
      </c>
      <c r="C236" s="2">
        <f>COUNTIFS(Games[Team],Games[[#This Row],[Team]],Games[Season],Games[[#This Row],[Season]],Games[Date],"&lt;=" &amp; Games[[#This Row],[Date]])</f>
        <v>19</v>
      </c>
      <c r="D236" s="2" t="s">
        <v>79</v>
      </c>
      <c r="E236" s="2" t="s">
        <v>80</v>
      </c>
      <c r="F236" s="1" t="s">
        <v>86</v>
      </c>
      <c r="G236" s="1" t="s">
        <v>71</v>
      </c>
      <c r="H236" s="1" t="s">
        <v>81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6" s="2">
        <f>Games[[#This Row],[DaysOff]]-Games[[#This Row],[OppDaysOff]]</f>
        <v>-2</v>
      </c>
      <c r="L236" s="2">
        <f>Games[[#This Row],[OppDaysOff]]-Games[[#This Row],[DaysOff]]</f>
        <v>2</v>
      </c>
      <c r="M236" s="1">
        <f>MAX(-16, MIN(16, Games[[#This Row],[RestDiff]]*8))</f>
        <v>-16</v>
      </c>
      <c r="N236" s="1">
        <f>MAX(-16, MIN(16, Games[[#This Row],[OppRestDiff]]*8))</f>
        <v>16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1648.1983073998642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1546.2447012629948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0.47979662047837307</v>
      </c>
      <c r="R236" s="1">
        <v>78</v>
      </c>
      <c r="S236" s="1">
        <v>88</v>
      </c>
      <c r="T236" s="1">
        <v>0</v>
      </c>
      <c r="U236" s="1">
        <f>Games[[#This Row],[PointsFor]]-Games[[#This Row],[PointsAgainst]]</f>
        <v>-10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0.38999518631492797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73.150000000000006</v>
      </c>
      <c r="Z236" s="4">
        <f>Games[[#This Row],[K]]*Games[[#This Row],[POMult]]</f>
        <v>73.150000000000006</v>
      </c>
      <c r="AA236" s="4">
        <f>(Games[[#This Row],[Keff]]*Games[[#This Row],[MOVMult]])*(Games[[#This Row],[Result]]-Games[[#This Row],[ExpectedWin%]])</f>
        <v>-13.687708940821231</v>
      </c>
      <c r="AB236" s="4">
        <f>Games[[#This Row],[PreGmRate]]+Games[[#This Row],[RatingChange]]</f>
        <v>1634.510598459043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44741</v>
      </c>
      <c r="B237" s="2">
        <v>2022</v>
      </c>
      <c r="C237" s="2">
        <f>COUNTIFS(Games[Team],Games[[#This Row],[Team]],Games[Season],Games[[#This Row],[Season]],Games[Date],"&lt;=" &amp; Games[[#This Row],[Date]])</f>
        <v>19</v>
      </c>
      <c r="D237" s="2" t="s">
        <v>79</v>
      </c>
      <c r="E237" s="2" t="s">
        <v>80</v>
      </c>
      <c r="F237" s="1" t="s">
        <v>71</v>
      </c>
      <c r="G237" s="1" t="s">
        <v>86</v>
      </c>
      <c r="H237" s="1" t="s">
        <v>82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2</v>
      </c>
      <c r="L237" s="2">
        <f>Games[[#This Row],[OppDaysOff]]-Games[[#This Row],[DaysOff]]</f>
        <v>-2</v>
      </c>
      <c r="M237" s="1">
        <f>MAX(-16, MIN(16, Games[[#This Row],[RestDiff]]*8))</f>
        <v>16</v>
      </c>
      <c r="N237" s="1">
        <f>MAX(-16, MIN(16, Games[[#This Row],[OppRestDiff]]*8))</f>
        <v>-16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1546.2447012629948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1648.1983073998642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0.52020337952162687</v>
      </c>
      <c r="R237" s="1">
        <v>88</v>
      </c>
      <c r="S237" s="1">
        <v>78</v>
      </c>
      <c r="T237" s="1">
        <v>0</v>
      </c>
      <c r="U237" s="1">
        <f>Games[[#This Row],[PointsFor]]-Games[[#This Row],[PointsAgainst]]</f>
        <v>10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0.38999518631492797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73.150000000000006</v>
      </c>
      <c r="Z237" s="4">
        <f>Games[[#This Row],[K]]*Games[[#This Row],[POMult]]</f>
        <v>73.150000000000006</v>
      </c>
      <c r="AA237" s="4">
        <f>(Games[[#This Row],[Keff]]*Games[[#This Row],[MOVMult]])*(Games[[#This Row],[Result]]-Games[[#This Row],[ExpectedWin%]])</f>
        <v>13.687708940821233</v>
      </c>
      <c r="AB237" s="4">
        <f>Games[[#This Row],[PreGmRate]]+Games[[#This Row],[RatingChange]]</f>
        <v>1559.9324102038161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44742</v>
      </c>
      <c r="B238" s="2">
        <v>2022</v>
      </c>
      <c r="C238" s="2">
        <f>COUNTIFS(Games[Team],Games[[#This Row],[Team]],Games[Season],Games[[#This Row],[Season]],Games[Date],"&lt;=" &amp; Games[[#This Row],[Date]])</f>
        <v>20</v>
      </c>
      <c r="D238" s="2" t="s">
        <v>79</v>
      </c>
      <c r="E238" s="2" t="s">
        <v>80</v>
      </c>
      <c r="F238" s="1" t="s">
        <v>77</v>
      </c>
      <c r="G238" s="1" t="s">
        <v>60</v>
      </c>
      <c r="H238" s="1" t="s">
        <v>81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38" s="2">
        <f>Games[[#This Row],[DaysOff]]-Games[[#This Row],[OppDaysOff]]</f>
        <v>-4</v>
      </c>
      <c r="L238" s="2">
        <f>Games[[#This Row],[OppDaysOff]]-Games[[#This Row],[DaysOff]]</f>
        <v>4</v>
      </c>
      <c r="M238" s="1">
        <f>MAX(-16, MIN(16, Games[[#This Row],[RestDiff]]*8))</f>
        <v>-16</v>
      </c>
      <c r="N238" s="1">
        <f>MAX(-16, MIN(16, Games[[#This Row],[OppRestDiff]]*8))</f>
        <v>16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1409.4938225150584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1450.0424481315918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0.28881087535229966</v>
      </c>
      <c r="R238" s="1">
        <v>92</v>
      </c>
      <c r="S238" s="1">
        <v>81</v>
      </c>
      <c r="T238" s="1">
        <v>1</v>
      </c>
      <c r="U238" s="1">
        <f>Games[[#This Row],[PointsFor]]-Games[[#This Row],[PointsAgainst]]</f>
        <v>11</v>
      </c>
      <c r="V238" s="1">
        <f>IF(Games[[#This Row],[MOV]]&gt;0,1,IF(Games[[#This Row],[MOV]]=0,0.5,0))</f>
        <v>1</v>
      </c>
      <c r="W238" s="4">
        <f>((ABS(Games[[#This Row],[MOV]])+5)^0.6)/(12+0.01*(ABS(Games[[#This Row],[PreGmRate]]-Games[[#This Row],[OppPreGmRate]])))*IF(Games[[#This Row],[OT]]=1,0.9,1)</f>
        <v>0.38291352557193226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</v>
      </c>
      <c r="Z238" s="4">
        <f>Games[[#This Row],[K]]*Games[[#This Row],[POMult]]</f>
        <v>73</v>
      </c>
      <c r="AA238" s="4">
        <f>(Games[[#This Row],[Keff]]*Games[[#This Row],[MOVMult]])*(Games[[#This Row],[Result]]-Games[[#This Row],[ExpectedWin%]])</f>
        <v>19.879647259910513</v>
      </c>
      <c r="AB238" s="4">
        <f>Games[[#This Row],[PreGmRate]]+Games[[#This Row],[RatingChange]]</f>
        <v>1429.373469774969</v>
      </c>
      <c r="AC238" s="2">
        <f>IF(Games[[#This Row],[Type]]="R",IF(Games[[#This Row],[Result]]&gt;0.5,1,0),0)</f>
        <v>1</v>
      </c>
      <c r="AD238" s="2">
        <f>IF(Games[[#This Row],[Type]]="R",IF(Games[[#This Row],[Result]]&lt;0.5,1,0),0)</f>
        <v>0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44742</v>
      </c>
      <c r="B239" s="2">
        <v>2022</v>
      </c>
      <c r="C239" s="2">
        <f>COUNTIFS(Games[Team],Games[[#This Row],[Team]],Games[Season],Games[[#This Row],[Season]],Games[Date],"&lt;=" &amp; Games[[#This Row],[Date]])</f>
        <v>19</v>
      </c>
      <c r="D239" s="2" t="s">
        <v>79</v>
      </c>
      <c r="E239" s="2" t="s">
        <v>80</v>
      </c>
      <c r="F239" s="1" t="s">
        <v>60</v>
      </c>
      <c r="G239" s="1" t="s">
        <v>77</v>
      </c>
      <c r="H239" s="1" t="s">
        <v>82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9" s="2">
        <f>Games[[#This Row],[DaysOff]]-Games[[#This Row],[OppDaysOff]]</f>
        <v>4</v>
      </c>
      <c r="L239" s="2">
        <f>Games[[#This Row],[OppDaysOff]]-Games[[#This Row],[DaysOff]]</f>
        <v>-4</v>
      </c>
      <c r="M239" s="1">
        <f>MAX(-16, MIN(16, Games[[#This Row],[RestDiff]]*8))</f>
        <v>16</v>
      </c>
      <c r="N239" s="1">
        <f>MAX(-16, MIN(16, Games[[#This Row],[OppRestDiff]]*8))</f>
        <v>-16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1450.0424481315918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1409.4938225150584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0.71118912464770034</v>
      </c>
      <c r="R239" s="1">
        <v>81</v>
      </c>
      <c r="S239" s="1">
        <v>92</v>
      </c>
      <c r="T239" s="1">
        <v>1</v>
      </c>
      <c r="U239" s="1">
        <f>Games[[#This Row],[PointsFor]]-Games[[#This Row],[PointsAgainst]]</f>
        <v>-11</v>
      </c>
      <c r="V239" s="1">
        <f>IF(Games[[#This Row],[MOV]]&gt;0,1,IF(Games[[#This Row],[MOV]]=0,0.5,0))</f>
        <v>0</v>
      </c>
      <c r="W239" s="4">
        <f>((ABS(Games[[#This Row],[MOV]])+5)^0.6)/(12+0.01*(ABS(Games[[#This Row],[PreGmRate]]-Games[[#This Row],[OppPreGmRate]])))*IF(Games[[#This Row],[OT]]=1,0.9,1)</f>
        <v>0.38291352557193226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73.150000000000006</v>
      </c>
      <c r="Z239" s="4">
        <f>Games[[#This Row],[K]]*Games[[#This Row],[POMult]]</f>
        <v>73.150000000000006</v>
      </c>
      <c r="AA239" s="4">
        <f>(Games[[#This Row],[Keff]]*Games[[#This Row],[MOVMult]])*(Games[[#This Row],[Result]]-Games[[#This Row],[ExpectedWin%]])</f>
        <v>-19.920495850170607</v>
      </c>
      <c r="AB239" s="4">
        <f>Games[[#This Row],[PreGmRate]]+Games[[#This Row],[RatingChange]]</f>
        <v>1430.121952281421</v>
      </c>
      <c r="AC239" s="2">
        <f>IF(Games[[#This Row],[Type]]="R",IF(Games[[#This Row],[Result]]&gt;0.5,1,0),0)</f>
        <v>0</v>
      </c>
      <c r="AD239" s="2">
        <f>IF(Games[[#This Row],[Type]]="R",IF(Games[[#This Row],[Result]]&lt;0.5,1,0),0)</f>
        <v>1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44743</v>
      </c>
      <c r="B240" s="2">
        <v>2022</v>
      </c>
      <c r="C240" s="2">
        <f>COUNTIFS(Games[Team],Games[[#This Row],[Team]],Games[Season],Games[[#This Row],[Season]],Games[Date],"&lt;=" &amp; Games[[#This Row],[Date]])</f>
        <v>19</v>
      </c>
      <c r="D240" s="2" t="s">
        <v>79</v>
      </c>
      <c r="E240" s="2" t="s">
        <v>80</v>
      </c>
      <c r="F240" s="1" t="s">
        <v>63</v>
      </c>
      <c r="G240" s="1" t="s">
        <v>85</v>
      </c>
      <c r="H240" s="1" t="s">
        <v>81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0" s="2">
        <f>Games[[#This Row],[DaysOff]]-Games[[#This Row],[OppDaysOff]]</f>
        <v>1</v>
      </c>
      <c r="L240" s="2">
        <f>Games[[#This Row],[OppDaysOff]]-Games[[#This Row],[DaysOff]]</f>
        <v>-1</v>
      </c>
      <c r="M240" s="1">
        <f>MAX(-16, MIN(16, Games[[#This Row],[RestDiff]]*8))</f>
        <v>8</v>
      </c>
      <c r="N240" s="1">
        <f>MAX(-16, MIN(16, Games[[#This Row],[OppRestDiff]]*8))</f>
        <v>-8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1444.9602264600539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1461.0959002460727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0.38123162730022636</v>
      </c>
      <c r="R240" s="1">
        <v>97</v>
      </c>
      <c r="S240" s="1">
        <v>89</v>
      </c>
      <c r="T240" s="1">
        <v>0</v>
      </c>
      <c r="U240" s="1">
        <f>Games[[#This Row],[PointsFor]]-Games[[#This Row],[PointsAgainst]]</f>
        <v>8</v>
      </c>
      <c r="V240" s="1">
        <f>IF(Games[[#This Row],[MOV]]&gt;0,1,IF(Games[[#This Row],[MOV]]=0,0.5,0))</f>
        <v>1</v>
      </c>
      <c r="W240" s="4">
        <f>((ABS(Games[[#This Row],[MOV]])+5)^0.6)/(12+0.01*(ABS(Games[[#This Row],[PreGmRate]]-Games[[#This Row],[OppPreGmRate]])))*IF(Games[[#This Row],[OT]]=1,0.9,1)</f>
        <v>0.38316336906139997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73.150000000000006</v>
      </c>
      <c r="Z240" s="4">
        <f>Games[[#This Row],[K]]*Games[[#This Row],[POMult]]</f>
        <v>73.150000000000006</v>
      </c>
      <c r="AA240" s="4">
        <f>(Games[[#This Row],[Keff]]*Games[[#This Row],[MOVMult]])*(Games[[#This Row],[Result]]-Games[[#This Row],[ExpectedWin%]])</f>
        <v>17.34308773386967</v>
      </c>
      <c r="AB240" s="4">
        <f>Games[[#This Row],[PreGmRate]]+Games[[#This Row],[RatingChange]]</f>
        <v>1462.3033141939236</v>
      </c>
      <c r="AC240" s="2">
        <f>IF(Games[[#This Row],[Type]]="R",IF(Games[[#This Row],[Result]]&gt;0.5,1,0),0)</f>
        <v>1</v>
      </c>
      <c r="AD240" s="2">
        <f>IF(Games[[#This Row],[Type]]="R",IF(Games[[#This Row],[Result]]&lt;0.5,1,0),0)</f>
        <v>0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44743</v>
      </c>
      <c r="B241" s="2">
        <v>2022</v>
      </c>
      <c r="C241" s="2">
        <f>COUNTIFS(Games[Team],Games[[#This Row],[Team]],Games[Season],Games[[#This Row],[Season]],Games[Date],"&lt;=" &amp; Games[[#This Row],[Date]])</f>
        <v>21</v>
      </c>
      <c r="D241" s="2" t="s">
        <v>79</v>
      </c>
      <c r="E241" s="2" t="s">
        <v>80</v>
      </c>
      <c r="F241" s="1" t="s">
        <v>85</v>
      </c>
      <c r="G241" s="1" t="s">
        <v>63</v>
      </c>
      <c r="H241" s="1" t="s">
        <v>82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1" s="2">
        <f>Games[[#This Row],[DaysOff]]-Games[[#This Row],[OppDaysOff]]</f>
        <v>-1</v>
      </c>
      <c r="L241" s="2">
        <f>Games[[#This Row],[OppDaysOff]]-Games[[#This Row],[DaysOff]]</f>
        <v>1</v>
      </c>
      <c r="M241" s="1">
        <f>MAX(-16, MIN(16, Games[[#This Row],[RestDiff]]*8))</f>
        <v>-8</v>
      </c>
      <c r="N241" s="1">
        <f>MAX(-16, MIN(16, Games[[#This Row],[OppRestDiff]]*8))</f>
        <v>8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1461.0959002460727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1444.9602264600539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0.61876837269977358</v>
      </c>
      <c r="R241" s="1">
        <v>89</v>
      </c>
      <c r="S241" s="1">
        <v>97</v>
      </c>
      <c r="T241" s="1">
        <v>0</v>
      </c>
      <c r="U241" s="1">
        <f>Games[[#This Row],[PointsFor]]-Games[[#This Row],[PointsAgainst]]</f>
        <v>-8</v>
      </c>
      <c r="V241" s="1">
        <f>IF(Games[[#This Row],[MOV]]&gt;0,1,IF(Games[[#This Row],[MOV]]=0,0.5,0))</f>
        <v>0</v>
      </c>
      <c r="W241" s="4">
        <f>((ABS(Games[[#This Row],[MOV]])+5)^0.6)/(12+0.01*(ABS(Games[[#This Row],[PreGmRate]]-Games[[#This Row],[OppPreGmRate]])))*IF(Games[[#This Row],[OT]]=1,0.9,1)</f>
        <v>0.38316336906139997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72.849999999999994</v>
      </c>
      <c r="Z241" s="4">
        <f>Games[[#This Row],[K]]*Games[[#This Row],[POMult]]</f>
        <v>72.849999999999994</v>
      </c>
      <c r="AA241" s="4">
        <f>(Games[[#This Row],[Keff]]*Games[[#This Row],[MOVMult]])*(Games[[#This Row],[Result]]-Games[[#This Row],[ExpectedWin%]])</f>
        <v>-17.271960921563977</v>
      </c>
      <c r="AB241" s="4">
        <f>Games[[#This Row],[PreGmRate]]+Games[[#This Row],[RatingChange]]</f>
        <v>1443.8239393245087</v>
      </c>
      <c r="AC241" s="2">
        <f>IF(Games[[#This Row],[Type]]="R",IF(Games[[#This Row],[Result]]&gt;0.5,1,0),0)</f>
        <v>0</v>
      </c>
      <c r="AD241" s="2">
        <f>IF(Games[[#This Row],[Type]]="R",IF(Games[[#This Row],[Result]]&lt;0.5,1,0),0)</f>
        <v>1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44743</v>
      </c>
      <c r="B242" s="2">
        <v>2022</v>
      </c>
      <c r="C242" s="2">
        <f>COUNTIFS(Games[Team],Games[[#This Row],[Team]],Games[Season],Games[[#This Row],[Season]],Games[Date],"&lt;=" &amp; Games[[#This Row],[Date]])</f>
        <v>20</v>
      </c>
      <c r="D242" s="2" t="s">
        <v>79</v>
      </c>
      <c r="E242" s="2" t="s">
        <v>80</v>
      </c>
      <c r="F242" s="1" t="s">
        <v>86</v>
      </c>
      <c r="G242" s="1" t="s">
        <v>67</v>
      </c>
      <c r="H242" s="1" t="s">
        <v>81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2" s="2">
        <f>Games[[#This Row],[DaysOff]]-Games[[#This Row],[OppDaysOff]]</f>
        <v>-1</v>
      </c>
      <c r="L242" s="2">
        <f>Games[[#This Row],[OppDaysOff]]-Games[[#This Row],[DaysOff]]</f>
        <v>1</v>
      </c>
      <c r="M242" s="1">
        <f>MAX(-16, MIN(16, Games[[#This Row],[RestDiff]]*8))</f>
        <v>-8</v>
      </c>
      <c r="N242" s="1">
        <f>MAX(-16, MIN(16, Games[[#This Row],[OppRestDiff]]*8))</f>
        <v>8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1634.510598459043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1462.3143477325523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0.60242869944855815</v>
      </c>
      <c r="R242" s="1">
        <v>91</v>
      </c>
      <c r="S242" s="1">
        <v>85</v>
      </c>
      <c r="T242" s="1">
        <v>0</v>
      </c>
      <c r="U242" s="1">
        <f>Games[[#This Row],[PointsFor]]-Games[[#This Row],[PointsAgainst]]</f>
        <v>6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0.3071987065159324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</v>
      </c>
      <c r="Z242" s="4">
        <f>Games[[#This Row],[K]]*Games[[#This Row],[POMult]]</f>
        <v>73</v>
      </c>
      <c r="AA242" s="4">
        <f>(Games[[#This Row],[Keff]]*Games[[#This Row],[MOVMult]])*(Games[[#This Row],[Result]]-Games[[#This Row],[ExpectedWin%]])</f>
        <v>8.9157374172399741</v>
      </c>
      <c r="AB242" s="4">
        <f>Games[[#This Row],[PreGmRate]]+Games[[#This Row],[RatingChange]]</f>
        <v>1643.426335876283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44743</v>
      </c>
      <c r="B243" s="2">
        <v>2022</v>
      </c>
      <c r="C243" s="2">
        <f>COUNTIFS(Games[Team],Games[[#This Row],[Team]],Games[Season],Games[[#This Row],[Season]],Games[Date],"&lt;=" &amp; Games[[#This Row],[Date]])</f>
        <v>21</v>
      </c>
      <c r="D243" s="2" t="s">
        <v>79</v>
      </c>
      <c r="E243" s="2" t="s">
        <v>80</v>
      </c>
      <c r="F243" s="1" t="s">
        <v>67</v>
      </c>
      <c r="G243" s="1" t="s">
        <v>86</v>
      </c>
      <c r="H243" s="1" t="s">
        <v>82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3" s="2">
        <f>Games[[#This Row],[DaysOff]]-Games[[#This Row],[OppDaysOff]]</f>
        <v>1</v>
      </c>
      <c r="L243" s="2">
        <f>Games[[#This Row],[OppDaysOff]]-Games[[#This Row],[DaysOff]]</f>
        <v>-1</v>
      </c>
      <c r="M243" s="1">
        <f>MAX(-16, MIN(16, Games[[#This Row],[RestDiff]]*8))</f>
        <v>8</v>
      </c>
      <c r="N243" s="1">
        <f>MAX(-16, MIN(16, Games[[#This Row],[OppRestDiff]]*8))</f>
        <v>-8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1462.3143477325523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1634.510598459043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0.3975713005514418</v>
      </c>
      <c r="R243" s="1">
        <v>85</v>
      </c>
      <c r="S243" s="1">
        <v>91</v>
      </c>
      <c r="T243" s="1">
        <v>0</v>
      </c>
      <c r="U243" s="1">
        <f>Games[[#This Row],[PointsFor]]-Games[[#This Row],[PointsAgainst]]</f>
        <v>-6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0.3071987065159324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72.849999999999994</v>
      </c>
      <c r="Z243" s="4">
        <f>Games[[#This Row],[K]]*Games[[#This Row],[POMult]]</f>
        <v>72.849999999999994</v>
      </c>
      <c r="AA243" s="4">
        <f>(Games[[#This Row],[Keff]]*Games[[#This Row],[MOVMult]])*(Games[[#This Row],[Result]]-Games[[#This Row],[ExpectedWin%]])</f>
        <v>-8.8974174088483853</v>
      </c>
      <c r="AB243" s="4">
        <f>Games[[#This Row],[PreGmRate]]+Games[[#This Row],[RatingChange]]</f>
        <v>1453.4169303237038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44743</v>
      </c>
      <c r="B244" s="2">
        <v>2022</v>
      </c>
      <c r="C244" s="2">
        <f>COUNTIFS(Games[Team],Games[[#This Row],[Team]],Games[Season],Games[[#This Row],[Season]],Games[Date],"&lt;=" &amp; Games[[#This Row],[Date]])</f>
        <v>22</v>
      </c>
      <c r="D244" s="2" t="s">
        <v>79</v>
      </c>
      <c r="E244" s="2" t="s">
        <v>80</v>
      </c>
      <c r="F244" s="1" t="s">
        <v>69</v>
      </c>
      <c r="G244" s="1" t="s">
        <v>71</v>
      </c>
      <c r="H244" s="1" t="s">
        <v>81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0</v>
      </c>
      <c r="L244" s="2">
        <f>Games[[#This Row],[OppDaysOff]]-Games[[#This Row],[DaysOff]]</f>
        <v>0</v>
      </c>
      <c r="M244" s="1">
        <f>MAX(-16, MIN(16, Games[[#This Row],[RestDiff]]*8))</f>
        <v>0</v>
      </c>
      <c r="N244" s="1">
        <f>MAX(-16, MIN(16, Games[[#This Row],[OppRestDiff]]*8))</f>
        <v>0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1301.163799440295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1559.9324102038161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0.12205258391312736</v>
      </c>
      <c r="R244" s="1">
        <v>57</v>
      </c>
      <c r="S244" s="1">
        <v>73</v>
      </c>
      <c r="T244" s="1">
        <v>0</v>
      </c>
      <c r="U244" s="1">
        <f>Games[[#This Row],[PointsFor]]-Games[[#This Row],[PointsAgainst]]</f>
        <v>-16</v>
      </c>
      <c r="V244" s="1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0.42593680324041422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72.7</v>
      </c>
      <c r="Z244" s="4">
        <f>Games[[#This Row],[K]]*Games[[#This Row],[POMult]]</f>
        <v>72.7</v>
      </c>
      <c r="AA244" s="4">
        <f>(Games[[#This Row],[Keff]]*Games[[#This Row],[MOVMult]])*(Games[[#This Row],[Result]]-Games[[#This Row],[ExpectedWin%]])</f>
        <v>-3.7794321753751041</v>
      </c>
      <c r="AB244" s="4">
        <f>Games[[#This Row],[PreGmRate]]+Games[[#This Row],[RatingChange]]</f>
        <v>1297.3843672649198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44743</v>
      </c>
      <c r="B245" s="2">
        <v>2022</v>
      </c>
      <c r="C245" s="2">
        <f>COUNTIFS(Games[Team],Games[[#This Row],[Team]],Games[Season],Games[[#This Row],[Season]],Games[Date],"&lt;=" &amp; Games[[#This Row],[Date]])</f>
        <v>20</v>
      </c>
      <c r="D245" s="2" t="s">
        <v>79</v>
      </c>
      <c r="E245" s="2" t="s">
        <v>80</v>
      </c>
      <c r="F245" s="1" t="s">
        <v>71</v>
      </c>
      <c r="G245" s="1" t="s">
        <v>69</v>
      </c>
      <c r="H245" s="1" t="s">
        <v>82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5" s="2">
        <f>Games[[#This Row],[DaysOff]]-Games[[#This Row],[OppDaysOff]]</f>
        <v>0</v>
      </c>
      <c r="L245" s="2">
        <f>Games[[#This Row],[OppDaysOff]]-Games[[#This Row],[DaysOff]]</f>
        <v>0</v>
      </c>
      <c r="M245" s="1">
        <f>MAX(-16, MIN(16, Games[[#This Row],[RestDiff]]*8))</f>
        <v>0</v>
      </c>
      <c r="N245" s="1">
        <f>MAX(-16, MIN(16, Games[[#This Row],[OppRestDiff]]*8))</f>
        <v>0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1559.9324102038161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1301.163799440295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0.87794741608687255</v>
      </c>
      <c r="R245" s="1">
        <v>73</v>
      </c>
      <c r="S245" s="1">
        <v>57</v>
      </c>
      <c r="T245" s="1">
        <v>0</v>
      </c>
      <c r="U245" s="1">
        <f>Games[[#This Row],[PointsFor]]-Games[[#This Row],[PointsAgainst]]</f>
        <v>16</v>
      </c>
      <c r="V245" s="1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0.42593680324041422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</v>
      </c>
      <c r="Z245" s="4">
        <f>Games[[#This Row],[K]]*Games[[#This Row],[POMult]]</f>
        <v>73</v>
      </c>
      <c r="AA245" s="4">
        <f>(Games[[#This Row],[Keff]]*Games[[#This Row],[MOVMult]])*(Games[[#This Row],[Result]]-Games[[#This Row],[ExpectedWin%]])</f>
        <v>3.795028181600864</v>
      </c>
      <c r="AB245" s="4">
        <f>Games[[#This Row],[PreGmRate]]+Games[[#This Row],[RatingChange]]</f>
        <v>1563.7274383854169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44744</v>
      </c>
      <c r="B246" s="2">
        <v>2022</v>
      </c>
      <c r="C246" s="2">
        <f>COUNTIFS(Games[Team],Games[[#This Row],[Team]],Games[Season],Games[[#This Row],[Season]],Games[Date],"&lt;=" &amp; Games[[#This Row],[Date]])</f>
        <v>22</v>
      </c>
      <c r="D246" s="2" t="s">
        <v>79</v>
      </c>
      <c r="E246" s="2" t="s">
        <v>80</v>
      </c>
      <c r="F246" s="1" t="s">
        <v>40</v>
      </c>
      <c r="G246" s="1" t="s">
        <v>75</v>
      </c>
      <c r="H246" s="1" t="s">
        <v>81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1482.0673309450883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1646.5785892584486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0.19301365697059866</v>
      </c>
      <c r="R246" s="1">
        <v>75</v>
      </c>
      <c r="S246" s="1">
        <v>91</v>
      </c>
      <c r="T246" s="1">
        <v>0</v>
      </c>
      <c r="U246" s="1">
        <f>Games[[#This Row],[PointsFor]]-Games[[#This Row],[PointsAgainst]]</f>
        <v>-16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0.45535955452951099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72.7</v>
      </c>
      <c r="Z246" s="4">
        <f>Games[[#This Row],[K]]*Games[[#This Row],[POMult]]</f>
        <v>72.7</v>
      </c>
      <c r="AA246" s="4">
        <f>(Games[[#This Row],[Keff]]*Games[[#This Row],[MOVMult]])*(Games[[#This Row],[Result]]-Games[[#This Row],[ExpectedWin%]])</f>
        <v>-6.3896475546489135</v>
      </c>
      <c r="AB246" s="4">
        <f>Games[[#This Row],[PreGmRate]]+Games[[#This Row],[RatingChange]]</f>
        <v>1475.6776833904394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44744</v>
      </c>
      <c r="B247" s="2">
        <v>2022</v>
      </c>
      <c r="C247" s="2">
        <f>COUNTIFS(Games[Team],Games[[#This Row],[Team]],Games[Season],Games[[#This Row],[Season]],Games[Date],"&lt;=" &amp; Games[[#This Row],[Date]])</f>
        <v>20</v>
      </c>
      <c r="D247" s="2" t="s">
        <v>79</v>
      </c>
      <c r="E247" s="2" t="s">
        <v>80</v>
      </c>
      <c r="F247" s="1" t="s">
        <v>75</v>
      </c>
      <c r="G247" s="1" t="s">
        <v>40</v>
      </c>
      <c r="H247" s="1" t="s">
        <v>82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1646.5785892584486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1482.0673309450883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0.80698634302940131</v>
      </c>
      <c r="R247" s="1">
        <v>91</v>
      </c>
      <c r="S247" s="1">
        <v>75</v>
      </c>
      <c r="T247" s="1">
        <v>0</v>
      </c>
      <c r="U247" s="1">
        <f>Games[[#This Row],[PointsFor]]-Games[[#This Row],[PointsAgainst]]</f>
        <v>16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0.45535955452951099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</v>
      </c>
      <c r="Z247" s="4">
        <f>Games[[#This Row],[K]]*Games[[#This Row],[POMult]]</f>
        <v>73</v>
      </c>
      <c r="AA247" s="4">
        <f>(Games[[#This Row],[Keff]]*Games[[#This Row],[MOVMult]])*(Games[[#This Row],[Result]]-Games[[#This Row],[ExpectedWin%]])</f>
        <v>6.4160147385057877</v>
      </c>
      <c r="AB247" s="4">
        <f>Games[[#This Row],[PreGmRate]]+Games[[#This Row],[RatingChange]]</f>
        <v>1652.9946039969543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44745</v>
      </c>
      <c r="B248" s="2">
        <v>2022</v>
      </c>
      <c r="C248" s="2">
        <f>COUNTIFS(Games[Team],Games[[#This Row],[Team]],Games[Season],Games[[#This Row],[Season]],Games[Date],"&lt;=" &amp; Games[[#This Row],[Date]])</f>
        <v>21</v>
      </c>
      <c r="D248" s="2" t="s">
        <v>79</v>
      </c>
      <c r="E248" s="2" t="s">
        <v>80</v>
      </c>
      <c r="F248" s="1" t="s">
        <v>71</v>
      </c>
      <c r="G248" s="1" t="s">
        <v>77</v>
      </c>
      <c r="H248" s="1" t="s">
        <v>81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8" s="2">
        <f>Games[[#This Row],[DaysOff]]-Games[[#This Row],[OppDaysOff]]</f>
        <v>-1</v>
      </c>
      <c r="L248" s="2">
        <f>Games[[#This Row],[OppDaysOff]]-Games[[#This Row],[DaysOff]]</f>
        <v>1</v>
      </c>
      <c r="M248" s="1">
        <f>MAX(-16, MIN(16, Games[[#This Row],[RestDiff]]*8))</f>
        <v>-8</v>
      </c>
      <c r="N248" s="1">
        <f>MAX(-16, MIN(16, Games[[#This Row],[OppRestDiff]]*8))</f>
        <v>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1563.7274383854169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1429.373469774969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0.54927883998812832</v>
      </c>
      <c r="R248" s="1">
        <v>76</v>
      </c>
      <c r="S248" s="1">
        <v>90</v>
      </c>
      <c r="T248" s="1">
        <v>0</v>
      </c>
      <c r="U248" s="1">
        <f>Games[[#This Row],[PointsFor]]-Games[[#This Row],[PointsAgainst]]</f>
        <v>-14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0.4385116228569067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72.849999999999994</v>
      </c>
      <c r="Z248" s="4">
        <f>Games[[#This Row],[K]]*Games[[#This Row],[POMult]]</f>
        <v>72.849999999999994</v>
      </c>
      <c r="AA248" s="4">
        <f>(Games[[#This Row],[Keff]]*Games[[#This Row],[MOVMult]])*(Games[[#This Row],[Result]]-Games[[#This Row],[ExpectedWin%]])</f>
        <v>-17.547026579934567</v>
      </c>
      <c r="AB248" s="4">
        <f>Games[[#This Row],[PreGmRate]]+Games[[#This Row],[RatingChange]]</f>
        <v>1546.1804118054824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44745</v>
      </c>
      <c r="B249" s="2">
        <v>2022</v>
      </c>
      <c r="C249" s="2">
        <f>COUNTIFS(Games[Team],Games[[#This Row],[Team]],Games[Season],Games[[#This Row],[Season]],Games[Date],"&lt;=" &amp; Games[[#This Row],[Date]])</f>
        <v>21</v>
      </c>
      <c r="D249" s="2" t="s">
        <v>79</v>
      </c>
      <c r="E249" s="2" t="s">
        <v>80</v>
      </c>
      <c r="F249" s="1" t="s">
        <v>77</v>
      </c>
      <c r="G249" s="1" t="s">
        <v>71</v>
      </c>
      <c r="H249" s="1" t="s">
        <v>82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9" s="2">
        <f>Games[[#This Row],[DaysOff]]-Games[[#This Row],[OppDaysOff]]</f>
        <v>1</v>
      </c>
      <c r="L249" s="2">
        <f>Games[[#This Row],[OppDaysOff]]-Games[[#This Row],[DaysOff]]</f>
        <v>-1</v>
      </c>
      <c r="M249" s="1">
        <f>MAX(-16, MIN(16, Games[[#This Row],[RestDiff]]*8))</f>
        <v>8</v>
      </c>
      <c r="N249" s="1">
        <f>MAX(-16, MIN(16, Games[[#This Row],[OppRestDiff]]*8))</f>
        <v>-8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1429.373469774969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1563.7274383854169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0.45072116001187168</v>
      </c>
      <c r="R249" s="1">
        <v>90</v>
      </c>
      <c r="S249" s="1">
        <v>76</v>
      </c>
      <c r="T249" s="1">
        <v>0</v>
      </c>
      <c r="U249" s="1">
        <f>Games[[#This Row],[PointsFor]]-Games[[#This Row],[PointsAgainst]]</f>
        <v>14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0.4385116228569067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72.849999999999994</v>
      </c>
      <c r="Z249" s="4">
        <f>Games[[#This Row],[K]]*Games[[#This Row],[POMult]]</f>
        <v>72.849999999999994</v>
      </c>
      <c r="AA249" s="4">
        <f>(Games[[#This Row],[Keff]]*Games[[#This Row],[MOVMult]])*(Games[[#This Row],[Result]]-Games[[#This Row],[ExpectedWin%]])</f>
        <v>17.547026579934567</v>
      </c>
      <c r="AB249" s="4">
        <f>Games[[#This Row],[PreGmRate]]+Games[[#This Row],[RatingChange]]</f>
        <v>1446.9204963549034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44745</v>
      </c>
      <c r="B250" s="2">
        <v>2022</v>
      </c>
      <c r="C250" s="2">
        <f>COUNTIFS(Games[Team],Games[[#This Row],[Team]],Games[Season],Games[[#This Row],[Season]],Games[Date],"&lt;=" &amp; Games[[#This Row],[Date]])</f>
        <v>23</v>
      </c>
      <c r="D250" s="2" t="s">
        <v>79</v>
      </c>
      <c r="E250" s="2" t="s">
        <v>80</v>
      </c>
      <c r="F250" s="1" t="s">
        <v>65</v>
      </c>
      <c r="G250" s="1" t="s">
        <v>74</v>
      </c>
      <c r="H250" s="1" t="s">
        <v>81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0" s="2">
        <f>Games[[#This Row],[DaysOff]]-Games[[#This Row],[OppDaysOff]]</f>
        <v>1</v>
      </c>
      <c r="L250" s="2">
        <f>Games[[#This Row],[OppDaysOff]]-Games[[#This Row],[DaysOff]]</f>
        <v>-1</v>
      </c>
      <c r="M250" s="1">
        <f>MAX(-16, MIN(16, Games[[#This Row],[RestDiff]]*8))</f>
        <v>8</v>
      </c>
      <c r="N250" s="1">
        <f>MAX(-16, MIN(16, Games[[#This Row],[OppRestDiff]]*8))</f>
        <v>-8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1531.4277265383739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1616.9279082368796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0.29242858623323564</v>
      </c>
      <c r="R250" s="1">
        <v>72</v>
      </c>
      <c r="S250" s="1">
        <v>74</v>
      </c>
      <c r="T250" s="1">
        <v>1</v>
      </c>
      <c r="U250" s="1">
        <f>Games[[#This Row],[PointsFor]]-Games[[#This Row],[PointsAgainst]]</f>
        <v>-2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0.22502418170975175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72.55</v>
      </c>
      <c r="Z250" s="4">
        <f>Games[[#This Row],[K]]*Games[[#This Row],[POMult]]</f>
        <v>72.55</v>
      </c>
      <c r="AA250" s="4">
        <f>(Games[[#This Row],[Keff]]*Games[[#This Row],[MOVMult]])*(Games[[#This Row],[Result]]-Games[[#This Row],[ExpectedWin%]])</f>
        <v>-4.7740441662776067</v>
      </c>
      <c r="AB250" s="4">
        <f>Games[[#This Row],[PreGmRate]]+Games[[#This Row],[RatingChange]]</f>
        <v>1526.6536823720962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44745</v>
      </c>
      <c r="B251" s="2">
        <v>2022</v>
      </c>
      <c r="C251" s="2">
        <f>COUNTIFS(Games[Team],Games[[#This Row],[Team]],Games[Season],Games[[#This Row],[Season]],Games[Date],"&lt;=" &amp; Games[[#This Row],[Date]])</f>
        <v>21</v>
      </c>
      <c r="D251" s="2" t="s">
        <v>79</v>
      </c>
      <c r="E251" s="2" t="s">
        <v>80</v>
      </c>
      <c r="F251" s="1" t="s">
        <v>74</v>
      </c>
      <c r="G251" s="1" t="s">
        <v>65</v>
      </c>
      <c r="H251" s="1" t="s">
        <v>82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1" s="2">
        <f>Games[[#This Row],[DaysOff]]-Games[[#This Row],[OppDaysOff]]</f>
        <v>-1</v>
      </c>
      <c r="L251" s="2">
        <f>Games[[#This Row],[OppDaysOff]]-Games[[#This Row],[DaysOff]]</f>
        <v>1</v>
      </c>
      <c r="M251" s="1">
        <f>MAX(-16, MIN(16, Games[[#This Row],[RestDiff]]*8))</f>
        <v>-8</v>
      </c>
      <c r="N251" s="1">
        <f>MAX(-16, MIN(16, Games[[#This Row],[OppRestDiff]]*8))</f>
        <v>8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1616.9279082368796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1531.4277265383739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0.70757141376676436</v>
      </c>
      <c r="R251" s="1">
        <v>74</v>
      </c>
      <c r="S251" s="1">
        <v>72</v>
      </c>
      <c r="T251" s="1">
        <v>1</v>
      </c>
      <c r="U251" s="1">
        <f>Games[[#This Row],[PointsFor]]-Games[[#This Row],[PointsAgainst]]</f>
        <v>2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0.22502418170975175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72.849999999999994</v>
      </c>
      <c r="Z251" s="4">
        <f>Games[[#This Row],[K]]*Games[[#This Row],[POMult]]</f>
        <v>72.849999999999994</v>
      </c>
      <c r="AA251" s="4">
        <f>(Games[[#This Row],[Keff]]*Games[[#This Row],[MOVMult]])*(Games[[#This Row],[Result]]-Games[[#This Row],[ExpectedWin%]])</f>
        <v>4.7937852172753086</v>
      </c>
      <c r="AB251" s="4">
        <f>Games[[#This Row],[PreGmRate]]+Games[[#This Row],[RatingChange]]</f>
        <v>1621.721693454155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44745</v>
      </c>
      <c r="B252" s="2">
        <v>2022</v>
      </c>
      <c r="C252" s="2">
        <f>COUNTIFS(Games[Team],Games[[#This Row],[Team]],Games[Season],Games[[#This Row],[Season]],Games[Date],"&lt;=" &amp; Games[[#This Row],[Date]])</f>
        <v>20</v>
      </c>
      <c r="D252" s="2" t="s">
        <v>79</v>
      </c>
      <c r="E252" s="2" t="s">
        <v>80</v>
      </c>
      <c r="F252" s="1" t="s">
        <v>60</v>
      </c>
      <c r="G252" s="1" t="s">
        <v>63</v>
      </c>
      <c r="H252" s="1" t="s">
        <v>81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2" s="2">
        <f>Games[[#This Row],[DaysOff]]-Games[[#This Row],[OppDaysOff]]</f>
        <v>1</v>
      </c>
      <c r="L252" s="2">
        <f>Games[[#This Row],[OppDaysOff]]-Games[[#This Row],[DaysOff]]</f>
        <v>-1</v>
      </c>
      <c r="M252" s="1">
        <f>MAX(-16, MIN(16, Games[[#This Row],[RestDiff]]*8))</f>
        <v>8</v>
      </c>
      <c r="N252" s="1">
        <f>MAX(-16, MIN(16, Games[[#This Row],[OppRestDiff]]*8))</f>
        <v>-8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1430.121952281421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1462.3033141939236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0.35969451607771824</v>
      </c>
      <c r="R252" s="1">
        <v>74</v>
      </c>
      <c r="S252" s="1">
        <v>84</v>
      </c>
      <c r="T252" s="1">
        <v>0</v>
      </c>
      <c r="U252" s="1">
        <f>Games[[#This Row],[PointsFor]]-Games[[#This Row],[PointsAgainst]]</f>
        <v>-10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0.41207865570263069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73</v>
      </c>
      <c r="Z252" s="4">
        <f>Games[[#This Row],[K]]*Games[[#This Row],[POMult]]</f>
        <v>73</v>
      </c>
      <c r="AA252" s="4">
        <f>(Games[[#This Row],[Keff]]*Games[[#This Row],[MOVMult]])*(Games[[#This Row],[Result]]-Games[[#This Row],[ExpectedWin%]])</f>
        <v>-10.820237583370753</v>
      </c>
      <c r="AB252" s="4">
        <f>Games[[#This Row],[PreGmRate]]+Games[[#This Row],[RatingChange]]</f>
        <v>1419.3017146980503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44745</v>
      </c>
      <c r="B253" s="2">
        <v>2022</v>
      </c>
      <c r="C253" s="2">
        <f>COUNTIFS(Games[Team],Games[[#This Row],[Team]],Games[Season],Games[[#This Row],[Season]],Games[Date],"&lt;=" &amp; Games[[#This Row],[Date]])</f>
        <v>20</v>
      </c>
      <c r="D253" s="2" t="s">
        <v>79</v>
      </c>
      <c r="E253" s="2" t="s">
        <v>80</v>
      </c>
      <c r="F253" s="1" t="s">
        <v>63</v>
      </c>
      <c r="G253" s="1" t="s">
        <v>60</v>
      </c>
      <c r="H253" s="1" t="s">
        <v>82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3" s="2">
        <f>Games[[#This Row],[DaysOff]]-Games[[#This Row],[OppDaysOff]]</f>
        <v>-1</v>
      </c>
      <c r="L253" s="2">
        <f>Games[[#This Row],[OppDaysOff]]-Games[[#This Row],[DaysOff]]</f>
        <v>1</v>
      </c>
      <c r="M253" s="1">
        <f>MAX(-16, MIN(16, Games[[#This Row],[RestDiff]]*8))</f>
        <v>-8</v>
      </c>
      <c r="N253" s="1">
        <f>MAX(-16, MIN(16, Games[[#This Row],[OppRestDiff]]*8))</f>
        <v>8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1462.3033141939236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1430.121952281421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0.64030548392228182</v>
      </c>
      <c r="R253" s="1">
        <v>84</v>
      </c>
      <c r="S253" s="1">
        <v>74</v>
      </c>
      <c r="T253" s="1">
        <v>0</v>
      </c>
      <c r="U253" s="1">
        <f>Games[[#This Row],[PointsFor]]-Games[[#This Row],[PointsAgainst]]</f>
        <v>10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0.41207865570263069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</v>
      </c>
      <c r="Z253" s="4">
        <f>Games[[#This Row],[K]]*Games[[#This Row],[POMult]]</f>
        <v>73</v>
      </c>
      <c r="AA253" s="4">
        <f>(Games[[#This Row],[Keff]]*Games[[#This Row],[MOVMult]])*(Games[[#This Row],[Result]]-Games[[#This Row],[ExpectedWin%]])</f>
        <v>10.820237583370751</v>
      </c>
      <c r="AB253" s="4">
        <f>Games[[#This Row],[PreGmRate]]+Games[[#This Row],[RatingChange]]</f>
        <v>1473.1235517772943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44745</v>
      </c>
      <c r="B254" s="2">
        <v>2022</v>
      </c>
      <c r="C254" s="2">
        <f>COUNTIFS(Games[Team],Games[[#This Row],[Team]],Games[Season],Games[[#This Row],[Season]],Games[Date],"&lt;=" &amp; Games[[#This Row],[Date]])</f>
        <v>21</v>
      </c>
      <c r="D254" s="2" t="s">
        <v>79</v>
      </c>
      <c r="E254" s="2" t="s">
        <v>80</v>
      </c>
      <c r="F254" s="1" t="s">
        <v>86</v>
      </c>
      <c r="G254" s="1" t="s">
        <v>67</v>
      </c>
      <c r="H254" s="1" t="s">
        <v>81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1643.426335876283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1453.4169303237038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0.64799536315981265</v>
      </c>
      <c r="R254" s="1">
        <v>71</v>
      </c>
      <c r="S254" s="1">
        <v>102</v>
      </c>
      <c r="T254" s="1">
        <v>0</v>
      </c>
      <c r="U254" s="1">
        <f>Games[[#This Row],[PointsFor]]-Games[[#This Row],[PointsAgainst]]</f>
        <v>-31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0.61768031585501093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72.849999999999994</v>
      </c>
      <c r="Z254" s="4">
        <f>Games[[#This Row],[K]]*Games[[#This Row],[POMult]]</f>
        <v>72.849999999999994</v>
      </c>
      <c r="AA254" s="4">
        <f>(Games[[#This Row],[Keff]]*Games[[#This Row],[MOVMult]])*(Games[[#This Row],[Result]]-Games[[#This Row],[ExpectedWin%]])</f>
        <v>-29.158502485918525</v>
      </c>
      <c r="AB254" s="4">
        <f>Games[[#This Row],[PreGmRate]]+Games[[#This Row],[RatingChange]]</f>
        <v>1614.2678333903646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44745</v>
      </c>
      <c r="B255" s="2">
        <v>2022</v>
      </c>
      <c r="C255" s="2">
        <f>COUNTIFS(Games[Team],Games[[#This Row],[Team]],Games[Season],Games[[#This Row],[Season]],Games[Date],"&lt;=" &amp; Games[[#This Row],[Date]])</f>
        <v>22</v>
      </c>
      <c r="D255" s="2" t="s">
        <v>79</v>
      </c>
      <c r="E255" s="2" t="s">
        <v>80</v>
      </c>
      <c r="F255" s="1" t="s">
        <v>67</v>
      </c>
      <c r="G255" s="1" t="s">
        <v>86</v>
      </c>
      <c r="H255" s="1" t="s">
        <v>82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1453.4169303237038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1643.426335876283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0.35200463684018729</v>
      </c>
      <c r="R255" s="1">
        <v>102</v>
      </c>
      <c r="S255" s="1">
        <v>71</v>
      </c>
      <c r="T255" s="1">
        <v>0</v>
      </c>
      <c r="U255" s="1">
        <f>Games[[#This Row],[PointsFor]]-Games[[#This Row],[PointsAgainst]]</f>
        <v>31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0.61768031585501093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72.7</v>
      </c>
      <c r="Z255" s="4">
        <f>Games[[#This Row],[K]]*Games[[#This Row],[POMult]]</f>
        <v>72.7</v>
      </c>
      <c r="AA255" s="4">
        <f>(Games[[#This Row],[Keff]]*Games[[#This Row],[MOVMult]])*(Games[[#This Row],[Result]]-Games[[#This Row],[ExpectedWin%]])</f>
        <v>29.098464388830166</v>
      </c>
      <c r="AB255" s="4">
        <f>Games[[#This Row],[PreGmRate]]+Games[[#This Row],[RatingChange]]</f>
        <v>1482.5153947125341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44746</v>
      </c>
      <c r="B256" s="2">
        <v>2022</v>
      </c>
      <c r="C256" s="2">
        <f>COUNTIFS(Games[Team],Games[[#This Row],[Team]],Games[Season],Games[[#This Row],[Season]],Games[Date],"&lt;=" &amp; Games[[#This Row],[Date]])</f>
        <v>23</v>
      </c>
      <c r="D256" s="2" t="s">
        <v>79</v>
      </c>
      <c r="E256" s="2" t="s">
        <v>80</v>
      </c>
      <c r="F256" s="1" t="s">
        <v>40</v>
      </c>
      <c r="G256" s="1" t="s">
        <v>63</v>
      </c>
      <c r="H256" s="1" t="s">
        <v>81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6" s="2">
        <f>Games[[#This Row],[DaysOff]]-Games[[#This Row],[OppDaysOff]]</f>
        <v>1</v>
      </c>
      <c r="L256" s="2">
        <f>Games[[#This Row],[OppDaysOff]]-Games[[#This Row],[DaysOff]]</f>
        <v>-1</v>
      </c>
      <c r="M256" s="1">
        <f>MAX(-16, MIN(16, Games[[#This Row],[RestDiff]]*8))</f>
        <v>8</v>
      </c>
      <c r="N256" s="1">
        <f>MAX(-16, MIN(16, Games[[#This Row],[OppRestDiff]]*8))</f>
        <v>-8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1475.6776833904394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1473.1235517772943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0.40691420525779404</v>
      </c>
      <c r="R256" s="1">
        <v>75</v>
      </c>
      <c r="S256" s="1">
        <v>78</v>
      </c>
      <c r="T256" s="1">
        <v>0</v>
      </c>
      <c r="U256" s="1">
        <f>Games[[#This Row],[PointsFor]]-Games[[#This Row],[PointsAgainst]]</f>
        <v>-3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0.28956719382880153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72.55</v>
      </c>
      <c r="Z256" s="4">
        <f>Games[[#This Row],[K]]*Games[[#This Row],[POMult]]</f>
        <v>72.55</v>
      </c>
      <c r="AA256" s="4">
        <f>(Games[[#This Row],[Keff]]*Games[[#This Row],[MOVMult]])*(Games[[#This Row],[Result]]-Games[[#This Row],[ExpectedWin%]])</f>
        <v>-8.5484942797815666</v>
      </c>
      <c r="AB256" s="4">
        <f>Games[[#This Row],[PreGmRate]]+Games[[#This Row],[RatingChange]]</f>
        <v>1467.1291891106578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44746</v>
      </c>
      <c r="B257" s="2">
        <v>2022</v>
      </c>
      <c r="C257" s="2">
        <f>COUNTIFS(Games[Team],Games[[#This Row],[Team]],Games[Season],Games[[#This Row],[Season]],Games[Date],"&lt;=" &amp; Games[[#This Row],[Date]])</f>
        <v>21</v>
      </c>
      <c r="D257" s="2" t="s">
        <v>79</v>
      </c>
      <c r="E257" s="2" t="s">
        <v>80</v>
      </c>
      <c r="F257" s="1" t="s">
        <v>63</v>
      </c>
      <c r="G257" s="1" t="s">
        <v>40</v>
      </c>
      <c r="H257" s="1" t="s">
        <v>82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-1</v>
      </c>
      <c r="L257" s="2">
        <f>Games[[#This Row],[OppDaysOff]]-Games[[#This Row],[DaysOff]]</f>
        <v>1</v>
      </c>
      <c r="M257" s="1">
        <f>MAX(-16, MIN(16, Games[[#This Row],[RestDiff]]*8))</f>
        <v>-8</v>
      </c>
      <c r="N257" s="1">
        <f>MAX(-16, MIN(16, Games[[#This Row],[OppRestDiff]]*8))</f>
        <v>8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1473.1235517772943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1475.6776833904394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0.59308579474220591</v>
      </c>
      <c r="R257" s="1">
        <v>78</v>
      </c>
      <c r="S257" s="1">
        <v>75</v>
      </c>
      <c r="T257" s="1">
        <v>0</v>
      </c>
      <c r="U257" s="1">
        <f>Games[[#This Row],[PointsFor]]-Games[[#This Row],[PointsAgainst]]</f>
        <v>3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0.28956719382880153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72.849999999999994</v>
      </c>
      <c r="Z257" s="4">
        <f>Games[[#This Row],[K]]*Games[[#This Row],[POMult]]</f>
        <v>72.849999999999994</v>
      </c>
      <c r="AA257" s="4">
        <f>(Games[[#This Row],[Keff]]*Games[[#This Row],[MOVMult]])*(Games[[#This Row],[Result]]-Games[[#This Row],[ExpectedWin%]])</f>
        <v>8.5838429811452386</v>
      </c>
      <c r="AB257" s="4">
        <f>Games[[#This Row],[PreGmRate]]+Games[[#This Row],[RatingChange]]</f>
        <v>1481.7073947584395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44747</v>
      </c>
      <c r="B258" s="2">
        <v>2022</v>
      </c>
      <c r="C258" s="2">
        <f>COUNTIFS(Games[Team],Games[[#This Row],[Team]],Games[Season],Games[[#This Row],[Season]],Games[Date],"&lt;=" &amp; Games[[#This Row],[Date]])</f>
        <v>22</v>
      </c>
      <c r="D258" s="2" t="s">
        <v>79</v>
      </c>
      <c r="E258" s="2" t="s">
        <v>80</v>
      </c>
      <c r="F258" s="1" t="s">
        <v>74</v>
      </c>
      <c r="G258" s="1" t="s">
        <v>85</v>
      </c>
      <c r="H258" s="1" t="s">
        <v>81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8" s="2">
        <f>Games[[#This Row],[DaysOff]]-Games[[#This Row],[OppDaysOff]]</f>
        <v>-2</v>
      </c>
      <c r="L258" s="2">
        <f>Games[[#This Row],[OppDaysOff]]-Games[[#This Row],[DaysOff]]</f>
        <v>2</v>
      </c>
      <c r="M258" s="1">
        <f>MAX(-16, MIN(16, Games[[#This Row],[RestDiff]]*8))</f>
        <v>-16</v>
      </c>
      <c r="N258" s="1">
        <f>MAX(-16, MIN(16, Games[[#This Row],[OppRestDiff]]*8))</f>
        <v>16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1621.721693454155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1443.8239393245087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0.58814740883207195</v>
      </c>
      <c r="R258" s="1">
        <v>71</v>
      </c>
      <c r="S258" s="1">
        <v>82</v>
      </c>
      <c r="T258" s="1">
        <v>0</v>
      </c>
      <c r="U258" s="1">
        <f>Games[[#This Row],[PointsFor]]-Games[[#This Row],[PointsAgainst]]</f>
        <v>-11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0.38304958602864281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72.7</v>
      </c>
      <c r="Z258" s="4">
        <f>Games[[#This Row],[K]]*Games[[#This Row],[POMult]]</f>
        <v>72.7</v>
      </c>
      <c r="AA258" s="4">
        <f>(Games[[#This Row],[Keff]]*Games[[#This Row],[MOVMult]])*(Games[[#This Row],[Result]]-Games[[#This Row],[ExpectedWin%]])</f>
        <v>-16.378555481373837</v>
      </c>
      <c r="AB258" s="4">
        <f>Games[[#This Row],[PreGmRate]]+Games[[#This Row],[RatingChange]]</f>
        <v>1605.3431379727813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44747</v>
      </c>
      <c r="B259" s="2">
        <v>2022</v>
      </c>
      <c r="C259" s="2">
        <f>COUNTIFS(Games[Team],Games[[#This Row],[Team]],Games[Season],Games[[#This Row],[Season]],Games[Date],"&lt;=" &amp; Games[[#This Row],[Date]])</f>
        <v>22</v>
      </c>
      <c r="D259" s="2" t="s">
        <v>79</v>
      </c>
      <c r="E259" s="2" t="s">
        <v>80</v>
      </c>
      <c r="F259" s="1" t="s">
        <v>85</v>
      </c>
      <c r="G259" s="1" t="s">
        <v>74</v>
      </c>
      <c r="H259" s="1" t="s">
        <v>82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2</v>
      </c>
      <c r="L259" s="2">
        <f>Games[[#This Row],[OppDaysOff]]-Games[[#This Row],[DaysOff]]</f>
        <v>-2</v>
      </c>
      <c r="M259" s="1">
        <f>MAX(-16, MIN(16, Games[[#This Row],[RestDiff]]*8))</f>
        <v>16</v>
      </c>
      <c r="N259" s="1">
        <f>MAX(-16, MIN(16, Games[[#This Row],[OppRestDiff]]*8))</f>
        <v>-16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1443.8239393245087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1621.721693454155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0.41185259116792805</v>
      </c>
      <c r="R259" s="1">
        <v>82</v>
      </c>
      <c r="S259" s="1">
        <v>71</v>
      </c>
      <c r="T259" s="1">
        <v>0</v>
      </c>
      <c r="U259" s="1">
        <f>Games[[#This Row],[PointsFor]]-Games[[#This Row],[PointsAgainst]]</f>
        <v>11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0.38304958602864281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72.7</v>
      </c>
      <c r="Z259" s="4">
        <f>Games[[#This Row],[K]]*Games[[#This Row],[POMult]]</f>
        <v>72.7</v>
      </c>
      <c r="AA259" s="4">
        <f>(Games[[#This Row],[Keff]]*Games[[#This Row],[MOVMult]])*(Games[[#This Row],[Result]]-Games[[#This Row],[ExpectedWin%]])</f>
        <v>16.378555481373837</v>
      </c>
      <c r="AB259" s="4">
        <f>Games[[#This Row],[PreGmRate]]+Games[[#This Row],[RatingChange]]</f>
        <v>1460.2024948058825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44747</v>
      </c>
      <c r="B260" s="2">
        <v>2022</v>
      </c>
      <c r="C260" s="2">
        <f>COUNTIFS(Games[Team],Games[[#This Row],[Team]],Games[Season],Games[[#This Row],[Season]],Games[Date],"&lt;=" &amp; Games[[#This Row],[Date]])</f>
        <v>22</v>
      </c>
      <c r="D260" s="2" t="s">
        <v>79</v>
      </c>
      <c r="E260" s="2" t="s">
        <v>80</v>
      </c>
      <c r="F260" s="1" t="s">
        <v>71</v>
      </c>
      <c r="G260" s="1" t="s">
        <v>69</v>
      </c>
      <c r="H260" s="1" t="s">
        <v>81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0" s="2">
        <f>Games[[#This Row],[DaysOff]]-Games[[#This Row],[OppDaysOff]]</f>
        <v>-2</v>
      </c>
      <c r="L260" s="2">
        <f>Games[[#This Row],[OppDaysOff]]-Games[[#This Row],[DaysOff]]</f>
        <v>2</v>
      </c>
      <c r="M260" s="1">
        <f>MAX(-16, MIN(16, Games[[#This Row],[RestDiff]]*8))</f>
        <v>-16</v>
      </c>
      <c r="N260" s="1">
        <f>MAX(-16, MIN(16, Games[[#This Row],[OppRestDiff]]*8))</f>
        <v>16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1546.1804118054824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1297.3843672649198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0.6823159492363442</v>
      </c>
      <c r="R260" s="1">
        <v>95</v>
      </c>
      <c r="S260" s="1">
        <v>73</v>
      </c>
      <c r="T260" s="1">
        <v>0</v>
      </c>
      <c r="U260" s="1">
        <f>Games[[#This Row],[PointsFor]]-Games[[#This Row],[PointsAgainst]]</f>
        <v>22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0.49866743376795597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72.7</v>
      </c>
      <c r="Z260" s="4">
        <f>Games[[#This Row],[K]]*Games[[#This Row],[POMult]]</f>
        <v>72.7</v>
      </c>
      <c r="AA260" s="4">
        <f>(Games[[#This Row],[Keff]]*Games[[#This Row],[MOVMult]])*(Games[[#This Row],[Result]]-Games[[#This Row],[ExpectedWin%]])</f>
        <v>11.517038787959457</v>
      </c>
      <c r="AB260" s="4">
        <f>Games[[#This Row],[PreGmRate]]+Games[[#This Row],[RatingChange]]</f>
        <v>1557.697450593442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44747</v>
      </c>
      <c r="B261" s="2">
        <v>2022</v>
      </c>
      <c r="C261" s="2">
        <f>COUNTIFS(Games[Team],Games[[#This Row],[Team]],Games[Season],Games[[#This Row],[Season]],Games[Date],"&lt;=" &amp; Games[[#This Row],[Date]])</f>
        <v>23</v>
      </c>
      <c r="D261" s="2" t="s">
        <v>79</v>
      </c>
      <c r="E261" s="2" t="s">
        <v>80</v>
      </c>
      <c r="F261" s="1" t="s">
        <v>69</v>
      </c>
      <c r="G261" s="1" t="s">
        <v>71</v>
      </c>
      <c r="H261" s="1" t="s">
        <v>82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2</v>
      </c>
      <c r="L261" s="2">
        <f>Games[[#This Row],[OppDaysOff]]-Games[[#This Row],[DaysOff]]</f>
        <v>-2</v>
      </c>
      <c r="M261" s="1">
        <f>MAX(-16, MIN(16, Games[[#This Row],[RestDiff]]*8))</f>
        <v>16</v>
      </c>
      <c r="N261" s="1">
        <f>MAX(-16, MIN(16, Games[[#This Row],[OppRestDiff]]*8))</f>
        <v>-16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1297.3843672649198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1546.1804118054824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0.3176840507636558</v>
      </c>
      <c r="R261" s="1">
        <v>73</v>
      </c>
      <c r="S261" s="1">
        <v>95</v>
      </c>
      <c r="T261" s="1">
        <v>0</v>
      </c>
      <c r="U261" s="1">
        <f>Games[[#This Row],[PointsFor]]-Games[[#This Row],[PointsAgainst]]</f>
        <v>-22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0.49866743376795597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72.55</v>
      </c>
      <c r="Z261" s="4">
        <f>Games[[#This Row],[K]]*Games[[#This Row],[POMult]]</f>
        <v>72.55</v>
      </c>
      <c r="AA261" s="4">
        <f>(Games[[#This Row],[Keff]]*Games[[#This Row],[MOVMult]])*(Games[[#This Row],[Result]]-Games[[#This Row],[ExpectedWin%]])</f>
        <v>-11.493275984407958</v>
      </c>
      <c r="AB261" s="4">
        <f>Games[[#This Row],[PreGmRate]]+Games[[#This Row],[RatingChange]]</f>
        <v>1285.8910912805118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44748</v>
      </c>
      <c r="B262" s="2">
        <v>2022</v>
      </c>
      <c r="C262" s="2">
        <f>COUNTIFS(Games[Team],Games[[#This Row],[Team]],Games[Season],Games[[#This Row],[Season]],Games[Date],"&lt;=" &amp; Games[[#This Row],[Date]])</f>
        <v>24</v>
      </c>
      <c r="D262" s="2" t="s">
        <v>79</v>
      </c>
      <c r="E262" s="2" t="s">
        <v>80</v>
      </c>
      <c r="F262" s="1" t="s">
        <v>65</v>
      </c>
      <c r="G262" s="1" t="s">
        <v>77</v>
      </c>
      <c r="H262" s="1" t="s">
        <v>81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1526.6536823720962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1446.9204963549034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0.49385986976201063</v>
      </c>
      <c r="R262" s="1">
        <v>85</v>
      </c>
      <c r="S262" s="1">
        <v>66</v>
      </c>
      <c r="T262" s="1">
        <v>0</v>
      </c>
      <c r="U262" s="1">
        <f>Games[[#This Row],[PointsFor]]-Games[[#This Row],[PointsAgainst]]</f>
        <v>19</v>
      </c>
      <c r="V262" s="1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0.52602612374441915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72.400000000000006</v>
      </c>
      <c r="Z262" s="4">
        <f>Games[[#This Row],[K]]*Games[[#This Row],[POMult]]</f>
        <v>72.400000000000006</v>
      </c>
      <c r="AA262" s="4">
        <f>(Games[[#This Row],[Keff]]*Games[[#This Row],[MOVMult]])*(Games[[#This Row],[Result]]-Games[[#This Row],[ExpectedWin%]])</f>
        <v>19.275988188514354</v>
      </c>
      <c r="AB262" s="4">
        <f>Games[[#This Row],[PreGmRate]]+Games[[#This Row],[RatingChange]]</f>
        <v>1545.9296705606105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44748</v>
      </c>
      <c r="B263" s="2">
        <v>2022</v>
      </c>
      <c r="C263" s="2">
        <f>COUNTIFS(Games[Team],Games[[#This Row],[Team]],Games[Season],Games[[#This Row],[Season]],Games[Date],"&lt;=" &amp; Games[[#This Row],[Date]])</f>
        <v>22</v>
      </c>
      <c r="D263" s="2" t="s">
        <v>79</v>
      </c>
      <c r="E263" s="2" t="s">
        <v>80</v>
      </c>
      <c r="F263" s="1" t="s">
        <v>77</v>
      </c>
      <c r="G263" s="1" t="s">
        <v>65</v>
      </c>
      <c r="H263" s="1" t="s">
        <v>82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1446.9204963549034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1526.6536823720962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0.50614013023798932</v>
      </c>
      <c r="R263" s="1">
        <v>66</v>
      </c>
      <c r="S263" s="1">
        <v>85</v>
      </c>
      <c r="T263" s="1">
        <v>0</v>
      </c>
      <c r="U263" s="1">
        <f>Games[[#This Row],[PointsFor]]-Games[[#This Row],[PointsAgainst]]</f>
        <v>-19</v>
      </c>
      <c r="V263" s="1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0.52602612374441915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72.7</v>
      </c>
      <c r="Z263" s="4">
        <f>Games[[#This Row],[K]]*Games[[#This Row],[POMult]]</f>
        <v>72.7</v>
      </c>
      <c r="AA263" s="4">
        <f>(Games[[#This Row],[Keff]]*Games[[#This Row],[MOVMult]])*(Games[[#This Row],[Result]]-Games[[#This Row],[ExpectedWin%]])</f>
        <v>-19.355861067748528</v>
      </c>
      <c r="AB263" s="4">
        <f>Games[[#This Row],[PreGmRate]]+Games[[#This Row],[RatingChange]]</f>
        <v>1427.5646352871549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44748</v>
      </c>
      <c r="B264" s="2">
        <v>2022</v>
      </c>
      <c r="C264" s="2">
        <f>COUNTIFS(Games[Team],Games[[#This Row],[Team]],Games[Season],Games[[#This Row],[Season]],Games[Date],"&lt;=" &amp; Games[[#This Row],[Date]])</f>
        <v>21</v>
      </c>
      <c r="D264" s="2" t="s">
        <v>79</v>
      </c>
      <c r="E264" s="2" t="s">
        <v>80</v>
      </c>
      <c r="F264" s="1" t="s">
        <v>60</v>
      </c>
      <c r="G264" s="1" t="s">
        <v>86</v>
      </c>
      <c r="H264" s="1" t="s">
        <v>81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4" s="2">
        <f>Games[[#This Row],[DaysOff]]-Games[[#This Row],[OppDaysOff]]</f>
        <v>0</v>
      </c>
      <c r="L264" s="2">
        <f>Games[[#This Row],[OppDaysOff]]-Games[[#This Row],[DaysOff]]</f>
        <v>0</v>
      </c>
      <c r="M264" s="1">
        <f>MAX(-16, MIN(16, Games[[#This Row],[RestDiff]]*8))</f>
        <v>0</v>
      </c>
      <c r="N264" s="1">
        <f>MAX(-16, MIN(16, Games[[#This Row],[OppRestDiff]]*8))</f>
        <v>0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1419.3017146980503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1614.2678333903646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0.1671644610547508</v>
      </c>
      <c r="R264" s="1">
        <v>116</v>
      </c>
      <c r="S264" s="1">
        <v>107</v>
      </c>
      <c r="T264" s="1">
        <v>0</v>
      </c>
      <c r="U264" s="1">
        <f>Games[[#This Row],[PointsFor]]-Games[[#This Row],[PointsAgainst]]</f>
        <v>9</v>
      </c>
      <c r="V264" s="1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0.34923130106799738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72.849999999999994</v>
      </c>
      <c r="Z264" s="4">
        <f>Games[[#This Row],[K]]*Games[[#This Row],[POMult]]</f>
        <v>72.849999999999994</v>
      </c>
      <c r="AA264" s="4">
        <f>(Games[[#This Row],[Keff]]*Games[[#This Row],[MOVMult]])*(Games[[#This Row],[Result]]-Games[[#This Row],[ExpectedWin%]])</f>
        <v>21.188585599604451</v>
      </c>
      <c r="AB264" s="4">
        <f>Games[[#This Row],[PreGmRate]]+Games[[#This Row],[RatingChange]]</f>
        <v>1440.4903002976548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44748</v>
      </c>
      <c r="B265" s="2">
        <v>2022</v>
      </c>
      <c r="C265" s="2">
        <f>COUNTIFS(Games[Team],Games[[#This Row],[Team]],Games[Season],Games[[#This Row],[Season]],Games[Date],"&lt;=" &amp; Games[[#This Row],[Date]])</f>
        <v>22</v>
      </c>
      <c r="D265" s="2" t="s">
        <v>79</v>
      </c>
      <c r="E265" s="2" t="s">
        <v>80</v>
      </c>
      <c r="F265" s="1" t="s">
        <v>86</v>
      </c>
      <c r="G265" s="1" t="s">
        <v>60</v>
      </c>
      <c r="H265" s="1" t="s">
        <v>82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5" s="2">
        <f>Games[[#This Row],[DaysOff]]-Games[[#This Row],[OppDaysOff]]</f>
        <v>0</v>
      </c>
      <c r="L265" s="2">
        <f>Games[[#This Row],[OppDaysOff]]-Games[[#This Row],[DaysOff]]</f>
        <v>0</v>
      </c>
      <c r="M265" s="1">
        <f>MAX(-16, MIN(16, Games[[#This Row],[RestDiff]]*8))</f>
        <v>0</v>
      </c>
      <c r="N265" s="1">
        <f>MAX(-16, MIN(16, Games[[#This Row],[OppRestDiff]]*8))</f>
        <v>0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1614.2678333903646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1419.3017146980503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0.8328355389452492</v>
      </c>
      <c r="R265" s="1">
        <v>107</v>
      </c>
      <c r="S265" s="1">
        <v>116</v>
      </c>
      <c r="T265" s="1">
        <v>0</v>
      </c>
      <c r="U265" s="1">
        <f>Games[[#This Row],[PointsFor]]-Games[[#This Row],[PointsAgainst]]</f>
        <v>-9</v>
      </c>
      <c r="V265" s="1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0.34923130106799738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72.7</v>
      </c>
      <c r="Z265" s="4">
        <f>Games[[#This Row],[K]]*Games[[#This Row],[POMult]]</f>
        <v>72.7</v>
      </c>
      <c r="AA265" s="4">
        <f>(Games[[#This Row],[Keff]]*Games[[#This Row],[MOVMult]])*(Games[[#This Row],[Result]]-Games[[#This Row],[ExpectedWin%]])</f>
        <v>-21.144957763778226</v>
      </c>
      <c r="AB265" s="4">
        <f>Games[[#This Row],[PreGmRate]]+Games[[#This Row],[RatingChange]]</f>
        <v>1593.1228756265864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44748</v>
      </c>
      <c r="B266" s="2">
        <v>2022</v>
      </c>
      <c r="C266" s="2">
        <f>COUNTIFS(Games[Team],Games[[#This Row],[Team]],Games[Season],Games[[#This Row],[Season]],Games[Date],"&lt;=" &amp; Games[[#This Row],[Date]])</f>
        <v>21</v>
      </c>
      <c r="D266" s="2" t="s">
        <v>79</v>
      </c>
      <c r="E266" s="2" t="s">
        <v>80</v>
      </c>
      <c r="F266" s="1" t="s">
        <v>75</v>
      </c>
      <c r="G266" s="1" t="s">
        <v>67</v>
      </c>
      <c r="H266" s="1" t="s">
        <v>81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6" s="2">
        <f>Games[[#This Row],[DaysOff]]-Games[[#This Row],[OppDaysOff]]</f>
        <v>1</v>
      </c>
      <c r="L266" s="2">
        <f>Games[[#This Row],[OppDaysOff]]-Games[[#This Row],[DaysOff]]</f>
        <v>-1</v>
      </c>
      <c r="M266" s="1">
        <f>MAX(-16, MIN(16, Games[[#This Row],[RestDiff]]*8))</f>
        <v>8</v>
      </c>
      <c r="N266" s="1">
        <f>MAX(-16, MIN(16, Games[[#This Row],[OppRestDiff]]*8))</f>
        <v>-8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1652.9946039969543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1482.5153947125341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0.64334627329616079</v>
      </c>
      <c r="R266" s="1">
        <v>78</v>
      </c>
      <c r="S266" s="1">
        <v>81</v>
      </c>
      <c r="T266" s="1">
        <v>0</v>
      </c>
      <c r="U266" s="1">
        <f>Games[[#This Row],[PointsFor]]-Games[[#This Row],[PointsAgainst]]</f>
        <v>-3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0.25408647060050532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72.849999999999994</v>
      </c>
      <c r="Z266" s="4">
        <f>Games[[#This Row],[K]]*Games[[#This Row],[POMult]]</f>
        <v>72.849999999999994</v>
      </c>
      <c r="AA266" s="4">
        <f>(Games[[#This Row],[Keff]]*Games[[#This Row],[MOVMult]])*(Games[[#This Row],[Result]]-Games[[#This Row],[ExpectedWin%]])</f>
        <v>-11.90846779118073</v>
      </c>
      <c r="AB266" s="4">
        <f>Games[[#This Row],[PreGmRate]]+Games[[#This Row],[RatingChange]]</f>
        <v>1641.0861362057735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44748</v>
      </c>
      <c r="B267" s="2">
        <v>2022</v>
      </c>
      <c r="C267" s="2">
        <f>COUNTIFS(Games[Team],Games[[#This Row],[Team]],Games[Season],Games[[#This Row],[Season]],Games[Date],"&lt;=" &amp; Games[[#This Row],[Date]])</f>
        <v>23</v>
      </c>
      <c r="D267" s="2" t="s">
        <v>79</v>
      </c>
      <c r="E267" s="2" t="s">
        <v>80</v>
      </c>
      <c r="F267" s="1" t="s">
        <v>67</v>
      </c>
      <c r="G267" s="1" t="s">
        <v>75</v>
      </c>
      <c r="H267" s="1" t="s">
        <v>82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7" s="2">
        <f>Games[[#This Row],[DaysOff]]-Games[[#This Row],[OppDaysOff]]</f>
        <v>-1</v>
      </c>
      <c r="L267" s="2">
        <f>Games[[#This Row],[OppDaysOff]]-Games[[#This Row],[DaysOff]]</f>
        <v>1</v>
      </c>
      <c r="M267" s="1">
        <f>MAX(-16, MIN(16, Games[[#This Row],[RestDiff]]*8))</f>
        <v>-8</v>
      </c>
      <c r="N267" s="1">
        <f>MAX(-16, MIN(16, Games[[#This Row],[OppRestDiff]]*8))</f>
        <v>8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1482.5153947125341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1652.9946039969543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0.35665372670383921</v>
      </c>
      <c r="R267" s="1">
        <v>81</v>
      </c>
      <c r="S267" s="1">
        <v>78</v>
      </c>
      <c r="T267" s="1">
        <v>0</v>
      </c>
      <c r="U267" s="1">
        <f>Games[[#This Row],[PointsFor]]-Games[[#This Row],[PointsAgainst]]</f>
        <v>3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0.25408647060050532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72.55</v>
      </c>
      <c r="Z267" s="4">
        <f>Games[[#This Row],[K]]*Games[[#This Row],[POMult]]</f>
        <v>72.55</v>
      </c>
      <c r="AA267" s="4">
        <f>(Games[[#This Row],[Keff]]*Games[[#This Row],[MOVMult]])*(Games[[#This Row],[Result]]-Games[[#This Row],[ExpectedWin%]])</f>
        <v>11.859428115993987</v>
      </c>
      <c r="AB267" s="4">
        <f>Games[[#This Row],[PreGmRate]]+Games[[#This Row],[RatingChange]]</f>
        <v>1494.3748228285281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44749</v>
      </c>
      <c r="B268" s="2">
        <v>2022</v>
      </c>
      <c r="C268" s="2">
        <f>COUNTIFS(Games[Team],Games[[#This Row],[Team]],Games[Season],Games[[#This Row],[Season]],Games[Date],"&lt;=" &amp; Games[[#This Row],[Date]])</f>
        <v>22</v>
      </c>
      <c r="D268" s="2" t="s">
        <v>79</v>
      </c>
      <c r="E268" s="2" t="s">
        <v>80</v>
      </c>
      <c r="F268" s="1" t="s">
        <v>75</v>
      </c>
      <c r="G268" s="1" t="s">
        <v>69</v>
      </c>
      <c r="H268" s="1" t="s">
        <v>81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8" s="2">
        <f>Games[[#This Row],[DaysOff]]-Games[[#This Row],[OppDaysOff]]</f>
        <v>-1</v>
      </c>
      <c r="L268" s="2">
        <f>Games[[#This Row],[OppDaysOff]]-Games[[#This Row],[DaysOff]]</f>
        <v>1</v>
      </c>
      <c r="M268" s="1">
        <f>MAX(-16, MIN(16, Games[[#This Row],[RestDiff]]*8))</f>
        <v>-8</v>
      </c>
      <c r="N268" s="1">
        <f>MAX(-16, MIN(16, Games[[#This Row],[OppRestDiff]]*8))</f>
        <v>8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1641.0861362057735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1285.8910912805118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0.81290850160231554</v>
      </c>
      <c r="R268" s="1">
        <v>93</v>
      </c>
      <c r="S268" s="1">
        <v>84</v>
      </c>
      <c r="T268" s="1">
        <v>0</v>
      </c>
      <c r="U268" s="1">
        <f>Games[[#This Row],[PointsFor]]-Games[[#This Row],[PointsAgainst]]</f>
        <v>9</v>
      </c>
      <c r="V268" s="1">
        <f>IF(Games[[#This Row],[MOV]]&gt;0,1,IF(Games[[#This Row],[MOV]]=0,0.5,0))</f>
        <v>1</v>
      </c>
      <c r="W268" s="4">
        <f>((ABS(Games[[#This Row],[MOV]])+5)^0.6)/(12+0.01*(ABS(Games[[#This Row],[PreGmRate]]-Games[[#This Row],[OppPreGmRate]])))*IF(Games[[#This Row],[OT]]=1,0.9,1)</f>
        <v>0.31325063320279756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72.7</v>
      </c>
      <c r="Z268" s="4">
        <f>Games[[#This Row],[K]]*Games[[#This Row],[POMult]]</f>
        <v>72.7</v>
      </c>
      <c r="AA268" s="4">
        <f>(Games[[#This Row],[Keff]]*Games[[#This Row],[MOVMult]])*(Games[[#This Row],[Result]]-Games[[#This Row],[ExpectedWin%]])</f>
        <v>4.2606947557132635</v>
      </c>
      <c r="AB268" s="4">
        <f>Games[[#This Row],[PreGmRate]]+Games[[#This Row],[RatingChange]]</f>
        <v>1645.3468309614868</v>
      </c>
      <c r="AC268" s="2">
        <f>IF(Games[[#This Row],[Type]]="R",IF(Games[[#This Row],[Result]]&gt;0.5,1,0),0)</f>
        <v>1</v>
      </c>
      <c r="AD268" s="2">
        <f>IF(Games[[#This Row],[Type]]="R",IF(Games[[#This Row],[Result]]&lt;0.5,1,0),0)</f>
        <v>0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44749</v>
      </c>
      <c r="B269" s="2">
        <v>2022</v>
      </c>
      <c r="C269" s="2">
        <f>COUNTIFS(Games[Team],Games[[#This Row],[Team]],Games[Season],Games[[#This Row],[Season]],Games[Date],"&lt;=" &amp; Games[[#This Row],[Date]])</f>
        <v>24</v>
      </c>
      <c r="D269" s="2" t="s">
        <v>79</v>
      </c>
      <c r="E269" s="2" t="s">
        <v>80</v>
      </c>
      <c r="F269" s="1" t="s">
        <v>69</v>
      </c>
      <c r="G269" s="1" t="s">
        <v>75</v>
      </c>
      <c r="H269" s="1" t="s">
        <v>82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9" s="2">
        <f>Games[[#This Row],[DaysOff]]-Games[[#This Row],[OppDaysOff]]</f>
        <v>1</v>
      </c>
      <c r="L269" s="2">
        <f>Games[[#This Row],[OppDaysOff]]-Games[[#This Row],[DaysOff]]</f>
        <v>-1</v>
      </c>
      <c r="M269" s="1">
        <f>MAX(-16, MIN(16, Games[[#This Row],[RestDiff]]*8))</f>
        <v>8</v>
      </c>
      <c r="N269" s="1">
        <f>MAX(-16, MIN(16, Games[[#This Row],[OppRestDiff]]*8))</f>
        <v>-8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1285.8910912805118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1641.0861362057735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0.18709149839768449</v>
      </c>
      <c r="R269" s="1">
        <v>84</v>
      </c>
      <c r="S269" s="1">
        <v>93</v>
      </c>
      <c r="T269" s="1">
        <v>0</v>
      </c>
      <c r="U269" s="1">
        <f>Games[[#This Row],[PointsFor]]-Games[[#This Row],[PointsAgainst]]</f>
        <v>-9</v>
      </c>
      <c r="V269" s="1">
        <f>IF(Games[[#This Row],[MOV]]&gt;0,1,IF(Games[[#This Row],[MOV]]=0,0.5,0))</f>
        <v>0</v>
      </c>
      <c r="W269" s="4">
        <f>((ABS(Games[[#This Row],[MOV]])+5)^0.6)/(12+0.01*(ABS(Games[[#This Row],[PreGmRate]]-Games[[#This Row],[OppPreGmRate]])))*IF(Games[[#This Row],[OT]]=1,0.9,1)</f>
        <v>0.31325063320279756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72.400000000000006</v>
      </c>
      <c r="Z269" s="4">
        <f>Games[[#This Row],[K]]*Games[[#This Row],[POMult]]</f>
        <v>72.400000000000006</v>
      </c>
      <c r="AA269" s="4">
        <f>(Games[[#This Row],[Keff]]*Games[[#This Row],[MOVMult]])*(Games[[#This Row],[Result]]-Games[[#This Row],[ExpectedWin%]])</f>
        <v>-4.2431127966112836</v>
      </c>
      <c r="AB269" s="4">
        <f>Games[[#This Row],[PreGmRate]]+Games[[#This Row],[RatingChange]]</f>
        <v>1281.6479784839005</v>
      </c>
      <c r="AC269" s="2">
        <f>IF(Games[[#This Row],[Type]]="R",IF(Games[[#This Row],[Result]]&gt;0.5,1,0),0)</f>
        <v>0</v>
      </c>
      <c r="AD269" s="2">
        <f>IF(Games[[#This Row],[Type]]="R",IF(Games[[#This Row],[Result]]&lt;0.5,1,0),0)</f>
        <v>1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44749</v>
      </c>
      <c r="B270" s="2">
        <v>2022</v>
      </c>
      <c r="C270" s="2">
        <f>COUNTIFS(Games[Team],Games[[#This Row],[Team]],Games[Season],Games[[#This Row],[Season]],Games[Date],"&lt;=" &amp; Games[[#This Row],[Date]])</f>
        <v>23</v>
      </c>
      <c r="D270" s="2" t="s">
        <v>79</v>
      </c>
      <c r="E270" s="2" t="s">
        <v>80</v>
      </c>
      <c r="F270" s="1" t="s">
        <v>71</v>
      </c>
      <c r="G270" s="1" t="s">
        <v>63</v>
      </c>
      <c r="H270" s="1" t="s">
        <v>81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0" s="2">
        <f>Games[[#This Row],[DaysOff]]-Games[[#This Row],[OppDaysOff]]</f>
        <v>-1</v>
      </c>
      <c r="L270" s="2">
        <f>Games[[#This Row],[OppDaysOff]]-Games[[#This Row],[DaysOff]]</f>
        <v>1</v>
      </c>
      <c r="M270" s="1">
        <f>MAX(-16, MIN(16, Games[[#This Row],[RestDiff]]*8))</f>
        <v>-8</v>
      </c>
      <c r="N270" s="1">
        <f>MAX(-16, MIN(16, Games[[#This Row],[OppRestDiff]]*8))</f>
        <v>8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1557.697450593442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1481.7073947584395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0.46550181256782053</v>
      </c>
      <c r="R270" s="1">
        <v>106</v>
      </c>
      <c r="S270" s="1">
        <v>69</v>
      </c>
      <c r="T270" s="1">
        <v>0</v>
      </c>
      <c r="U270" s="1">
        <f>Games[[#This Row],[PointsFor]]-Games[[#This Row],[PointsAgainst]]</f>
        <v>37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0.73807804076121575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72.55</v>
      </c>
      <c r="Z270" s="4">
        <f>Games[[#This Row],[K]]*Games[[#This Row],[POMult]]</f>
        <v>72.55</v>
      </c>
      <c r="AA270" s="4">
        <f>(Games[[#This Row],[Keff]]*Games[[#This Row],[MOVMult]])*(Games[[#This Row],[Result]]-Games[[#This Row],[ExpectedWin%]])</f>
        <v>28.621074754099915</v>
      </c>
      <c r="AB270" s="4">
        <f>Games[[#This Row],[PreGmRate]]+Games[[#This Row],[RatingChange]]</f>
        <v>1586.3185253475419</v>
      </c>
      <c r="AC270" s="2">
        <f>IF(Games[[#This Row],[Type]]="R",IF(Games[[#This Row],[Result]]&gt;0.5,1,0),0)</f>
        <v>1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44749</v>
      </c>
      <c r="B271" s="2">
        <v>2022</v>
      </c>
      <c r="C271" s="2">
        <f>COUNTIFS(Games[Team],Games[[#This Row],[Team]],Games[Season],Games[[#This Row],[Season]],Games[Date],"&lt;=" &amp; Games[[#This Row],[Date]])</f>
        <v>22</v>
      </c>
      <c r="D271" s="2" t="s">
        <v>79</v>
      </c>
      <c r="E271" s="2" t="s">
        <v>80</v>
      </c>
      <c r="F271" s="1" t="s">
        <v>63</v>
      </c>
      <c r="G271" s="1" t="s">
        <v>71</v>
      </c>
      <c r="H271" s="1" t="s">
        <v>82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1</v>
      </c>
      <c r="L271" s="2">
        <f>Games[[#This Row],[OppDaysOff]]-Games[[#This Row],[DaysOff]]</f>
        <v>-1</v>
      </c>
      <c r="M271" s="1">
        <f>MAX(-16, MIN(16, Games[[#This Row],[RestDiff]]*8))</f>
        <v>8</v>
      </c>
      <c r="N271" s="1">
        <f>MAX(-16, MIN(16, Games[[#This Row],[OppRestDiff]]*8))</f>
        <v>-8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1481.7073947584395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1557.697450593442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0.53449818743217947</v>
      </c>
      <c r="R271" s="1">
        <v>69</v>
      </c>
      <c r="S271" s="1">
        <v>106</v>
      </c>
      <c r="T271" s="1">
        <v>0</v>
      </c>
      <c r="U271" s="1">
        <f>Games[[#This Row],[PointsFor]]-Games[[#This Row],[PointsAgainst]]</f>
        <v>-37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0.73807804076121575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72.7</v>
      </c>
      <c r="Z271" s="4">
        <f>Games[[#This Row],[K]]*Games[[#This Row],[POMult]]</f>
        <v>72.7</v>
      </c>
      <c r="AA271" s="4">
        <f>(Games[[#This Row],[Keff]]*Games[[#This Row],[MOVMult]])*(Games[[#This Row],[Result]]-Games[[#This Row],[ExpectedWin%]])</f>
        <v>-28.680249960345471</v>
      </c>
      <c r="AB271" s="4">
        <f>Games[[#This Row],[PreGmRate]]+Games[[#This Row],[RatingChange]]</f>
        <v>1453.027144798094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1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44749</v>
      </c>
      <c r="B272" s="2">
        <v>2022</v>
      </c>
      <c r="C272" s="2">
        <f>COUNTIFS(Games[Team],Games[[#This Row],[Team]],Games[Season],Games[[#This Row],[Season]],Games[Date],"&lt;=" &amp; Games[[#This Row],[Date]])</f>
        <v>22</v>
      </c>
      <c r="D272" s="2" t="s">
        <v>79</v>
      </c>
      <c r="E272" s="2" t="s">
        <v>80</v>
      </c>
      <c r="F272" s="1" t="s">
        <v>60</v>
      </c>
      <c r="G272" s="1" t="s">
        <v>40</v>
      </c>
      <c r="H272" s="1" t="s">
        <v>81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2" s="2">
        <f>Games[[#This Row],[DaysOff]]-Games[[#This Row],[OppDaysOff]]</f>
        <v>-2</v>
      </c>
      <c r="L272" s="2">
        <f>Games[[#This Row],[OppDaysOff]]-Games[[#This Row],[DaysOff]]</f>
        <v>2</v>
      </c>
      <c r="M272" s="1">
        <f>MAX(-16, MIN(16, Games[[#This Row],[RestDiff]]*8))</f>
        <v>-16</v>
      </c>
      <c r="N272" s="1">
        <f>MAX(-16, MIN(16, Games[[#This Row],[OppRestDiff]]*8))</f>
        <v>16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1440.4903002976548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1467.1291891106578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0.30553117624995796</v>
      </c>
      <c r="R272" s="1">
        <v>81</v>
      </c>
      <c r="S272" s="1">
        <v>84</v>
      </c>
      <c r="T272" s="1">
        <v>0</v>
      </c>
      <c r="U272" s="1">
        <f>Games[[#This Row],[PointsFor]]-Games[[#This Row],[PointsAgainst]]</f>
        <v>-3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0.28388161217961733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72.7</v>
      </c>
      <c r="Z272" s="4">
        <f>Games[[#This Row],[K]]*Games[[#This Row],[POMult]]</f>
        <v>72.7</v>
      </c>
      <c r="AA272" s="4">
        <f>(Games[[#This Row],[Keff]]*Games[[#This Row],[MOVMult]])*(Games[[#This Row],[Result]]-Games[[#This Row],[ExpectedWin%]])</f>
        <v>-6.3056114457375276</v>
      </c>
      <c r="AB272" s="4">
        <f>Games[[#This Row],[PreGmRate]]+Games[[#This Row],[RatingChange]]</f>
        <v>1434.1846888519174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44749</v>
      </c>
      <c r="B273" s="2">
        <v>2022</v>
      </c>
      <c r="C273" s="2">
        <f>COUNTIFS(Games[Team],Games[[#This Row],[Team]],Games[Season],Games[[#This Row],[Season]],Games[Date],"&lt;=" &amp; Games[[#This Row],[Date]])</f>
        <v>24</v>
      </c>
      <c r="D273" s="2" t="s">
        <v>79</v>
      </c>
      <c r="E273" s="2" t="s">
        <v>80</v>
      </c>
      <c r="F273" s="1" t="s">
        <v>40</v>
      </c>
      <c r="G273" s="1" t="s">
        <v>60</v>
      </c>
      <c r="H273" s="1" t="s">
        <v>82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3" s="2">
        <f>Games[[#This Row],[DaysOff]]-Games[[#This Row],[OppDaysOff]]</f>
        <v>2</v>
      </c>
      <c r="L273" s="2">
        <f>Games[[#This Row],[OppDaysOff]]-Games[[#This Row],[DaysOff]]</f>
        <v>-2</v>
      </c>
      <c r="M273" s="1">
        <f>MAX(-16, MIN(16, Games[[#This Row],[RestDiff]]*8))</f>
        <v>16</v>
      </c>
      <c r="N273" s="1">
        <f>MAX(-16, MIN(16, Games[[#This Row],[OppRestDiff]]*8))</f>
        <v>-16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1467.1291891106578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1440.4903002976548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0.69446882375004204</v>
      </c>
      <c r="R273" s="1">
        <v>84</v>
      </c>
      <c r="S273" s="1">
        <v>81</v>
      </c>
      <c r="T273" s="1">
        <v>0</v>
      </c>
      <c r="U273" s="1">
        <f>Games[[#This Row],[PointsFor]]-Games[[#This Row],[PointsAgainst]]</f>
        <v>3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0.28388161217961733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72.400000000000006</v>
      </c>
      <c r="Z273" s="4">
        <f>Games[[#This Row],[K]]*Games[[#This Row],[POMult]]</f>
        <v>72.400000000000006</v>
      </c>
      <c r="AA273" s="4">
        <f>(Games[[#This Row],[Keff]]*Games[[#This Row],[MOVMult]])*(Games[[#This Row],[Result]]-Games[[#This Row],[ExpectedWin%]])</f>
        <v>6.2795910408720363</v>
      </c>
      <c r="AB273" s="4">
        <f>Games[[#This Row],[PreGmRate]]+Games[[#This Row],[RatingChange]]</f>
        <v>1473.4087801515298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44754</v>
      </c>
      <c r="B274" s="2">
        <v>2022</v>
      </c>
      <c r="C274" s="2">
        <f>COUNTIFS(Games[Team],Games[[#This Row],[Team]],Games[Season],Games[[#This Row],[Season]],Games[Date],"&lt;=" &amp; Games[[#This Row],[Date]])</f>
        <v>23</v>
      </c>
      <c r="D274" s="2" t="s">
        <v>79</v>
      </c>
      <c r="E274" s="2" t="s">
        <v>80</v>
      </c>
      <c r="F274" s="1" t="s">
        <v>77</v>
      </c>
      <c r="G274" s="1" t="s">
        <v>75</v>
      </c>
      <c r="H274" s="1" t="s">
        <v>81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5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4" s="2">
        <f>Games[[#This Row],[DaysOff]]-Games[[#This Row],[OppDaysOff]]</f>
        <v>1</v>
      </c>
      <c r="L274" s="2">
        <f>Games[[#This Row],[OppDaysOff]]-Games[[#This Row],[DaysOff]]</f>
        <v>-1</v>
      </c>
      <c r="M274" s="1">
        <f>MAX(-16, MIN(16, Games[[#This Row],[RestDiff]]*8))</f>
        <v>8</v>
      </c>
      <c r="N274" s="1">
        <f>MAX(-16, MIN(16, Games[[#This Row],[OppRestDiff]]*8))</f>
        <v>-8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1427.5646352871549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1645.3468309614868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0.16177303658968634</v>
      </c>
      <c r="R274" s="1">
        <v>75</v>
      </c>
      <c r="S274" s="1">
        <v>90</v>
      </c>
      <c r="T274" s="1">
        <v>0</v>
      </c>
      <c r="U274" s="1">
        <f>Games[[#This Row],[PointsFor]]-Games[[#This Row],[PointsAgainst]]</f>
        <v>-15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0.4256067225950147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72.55</v>
      </c>
      <c r="Z274" s="4">
        <f>Games[[#This Row],[K]]*Games[[#This Row],[POMult]]</f>
        <v>72.55</v>
      </c>
      <c r="AA274" s="4">
        <f>(Games[[#This Row],[Keff]]*Games[[#This Row],[MOVMult]])*(Games[[#This Row],[Result]]-Games[[#This Row],[ExpectedWin%]])</f>
        <v>-4.9951902478658941</v>
      </c>
      <c r="AB274" s="4">
        <f>Games[[#This Row],[PreGmRate]]+Games[[#This Row],[RatingChange]]</f>
        <v>1422.5694450392891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44754</v>
      </c>
      <c r="B275" s="2">
        <v>2022</v>
      </c>
      <c r="C275" s="2">
        <f>COUNTIFS(Games[Team],Games[[#This Row],[Team]],Games[Season],Games[[#This Row],[Season]],Games[Date],"&lt;=" &amp; Games[[#This Row],[Date]])</f>
        <v>23</v>
      </c>
      <c r="D275" s="2" t="s">
        <v>79</v>
      </c>
      <c r="E275" s="2" t="s">
        <v>80</v>
      </c>
      <c r="F275" s="1" t="s">
        <v>75</v>
      </c>
      <c r="G275" s="1" t="s">
        <v>77</v>
      </c>
      <c r="H275" s="1" t="s">
        <v>82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75" s="2">
        <f>Games[[#This Row],[DaysOff]]-Games[[#This Row],[OppDaysOff]]</f>
        <v>-1</v>
      </c>
      <c r="L275" s="2">
        <f>Games[[#This Row],[OppDaysOff]]-Games[[#This Row],[DaysOff]]</f>
        <v>1</v>
      </c>
      <c r="M275" s="1">
        <f>MAX(-16, MIN(16, Games[[#This Row],[RestDiff]]*8))</f>
        <v>-8</v>
      </c>
      <c r="N275" s="1">
        <f>MAX(-16, MIN(16, Games[[#This Row],[OppRestDiff]]*8))</f>
        <v>8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1645.3468309614868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1427.5646352871549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0.83822696341031366</v>
      </c>
      <c r="R275" s="1">
        <v>90</v>
      </c>
      <c r="S275" s="1">
        <v>75</v>
      </c>
      <c r="T275" s="1">
        <v>0</v>
      </c>
      <c r="U275" s="1">
        <f>Games[[#This Row],[PointsFor]]-Games[[#This Row],[PointsAgainst]]</f>
        <v>15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0.4256067225950147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72.55</v>
      </c>
      <c r="Z275" s="4">
        <f>Games[[#This Row],[K]]*Games[[#This Row],[POMult]]</f>
        <v>72.55</v>
      </c>
      <c r="AA275" s="4">
        <f>(Games[[#This Row],[Keff]]*Games[[#This Row],[MOVMult]])*(Games[[#This Row],[Result]]-Games[[#This Row],[ExpectedWin%]])</f>
        <v>4.9951902478658941</v>
      </c>
      <c r="AB275" s="4">
        <f>Games[[#This Row],[PreGmRate]]+Games[[#This Row],[RatingChange]]</f>
        <v>1650.3420212093527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44754</v>
      </c>
      <c r="B276" s="2">
        <v>2022</v>
      </c>
      <c r="C276" s="2">
        <f>COUNTIFS(Games[Team],Games[[#This Row],[Team]],Games[Season],Games[[#This Row],[Season]],Games[Date],"&lt;=" &amp; Games[[#This Row],[Date]])</f>
        <v>25</v>
      </c>
      <c r="D276" s="2" t="s">
        <v>79</v>
      </c>
      <c r="E276" s="2" t="s">
        <v>80</v>
      </c>
      <c r="F276" s="1" t="s">
        <v>65</v>
      </c>
      <c r="G276" s="1" t="s">
        <v>63</v>
      </c>
      <c r="H276" s="1" t="s">
        <v>81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6" s="2">
        <f>Games[[#This Row],[DaysOff]]-Games[[#This Row],[OppDaysOff]]</f>
        <v>1</v>
      </c>
      <c r="L276" s="2">
        <f>Games[[#This Row],[OppDaysOff]]-Games[[#This Row],[DaysOff]]</f>
        <v>-1</v>
      </c>
      <c r="M276" s="1">
        <f>MAX(-16, MIN(16, Games[[#This Row],[RestDiff]]*8))</f>
        <v>8</v>
      </c>
      <c r="N276" s="1">
        <f>MAX(-16, MIN(16, Games[[#This Row],[OppRestDiff]]*8))</f>
        <v>-8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1545.9296705606105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1453.027144798094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0.53577637123435395</v>
      </c>
      <c r="R276" s="1">
        <v>94</v>
      </c>
      <c r="S276" s="1">
        <v>81</v>
      </c>
      <c r="T276" s="1">
        <v>0</v>
      </c>
      <c r="U276" s="1">
        <f>Games[[#This Row],[PointsFor]]-Games[[#This Row],[PointsAgainst]]</f>
        <v>13</v>
      </c>
      <c r="V276" s="1">
        <f>IF(Games[[#This Row],[MOV]]&gt;0,1,IF(Games[[#This Row],[MOV]]=0,0.5,0))</f>
        <v>1</v>
      </c>
      <c r="W276" s="4">
        <f>((ABS(Games[[#This Row],[MOV]])+5)^0.6)/(12+0.01*(ABS(Games[[#This Row],[PreGmRate]]-Games[[#This Row],[OppPreGmRate]])))*IF(Games[[#This Row],[OT]]=1,0.9,1)</f>
        <v>0.43812468108751185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72.25</v>
      </c>
      <c r="Z276" s="4">
        <f>Games[[#This Row],[K]]*Games[[#This Row],[POMult]]</f>
        <v>72.25</v>
      </c>
      <c r="AA276" s="4">
        <f>(Games[[#This Row],[Keff]]*Games[[#This Row],[MOVMult]])*(Games[[#This Row],[Result]]-Games[[#This Row],[ExpectedWin%]])</f>
        <v>14.694770667375563</v>
      </c>
      <c r="AB276" s="4">
        <f>Games[[#This Row],[PreGmRate]]+Games[[#This Row],[RatingChange]]</f>
        <v>1560.6244412279859</v>
      </c>
      <c r="AC276" s="2">
        <f>IF(Games[[#This Row],[Type]]="R",IF(Games[[#This Row],[Result]]&gt;0.5,1,0),0)</f>
        <v>1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44754</v>
      </c>
      <c r="B277" s="2">
        <v>2022</v>
      </c>
      <c r="C277" s="2">
        <f>COUNTIFS(Games[Team],Games[[#This Row],[Team]],Games[Season],Games[[#This Row],[Season]],Games[Date],"&lt;=" &amp; Games[[#This Row],[Date]])</f>
        <v>23</v>
      </c>
      <c r="D277" s="2" t="s">
        <v>79</v>
      </c>
      <c r="E277" s="2" t="s">
        <v>80</v>
      </c>
      <c r="F277" s="1" t="s">
        <v>63</v>
      </c>
      <c r="G277" s="1" t="s">
        <v>65</v>
      </c>
      <c r="H277" s="1" t="s">
        <v>82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77" s="2">
        <f>Games[[#This Row],[DaysOff]]-Games[[#This Row],[OppDaysOff]]</f>
        <v>-1</v>
      </c>
      <c r="L277" s="2">
        <f>Games[[#This Row],[OppDaysOff]]-Games[[#This Row],[DaysOff]]</f>
        <v>1</v>
      </c>
      <c r="M277" s="1">
        <f>MAX(-16, MIN(16, Games[[#This Row],[RestDiff]]*8))</f>
        <v>-8</v>
      </c>
      <c r="N277" s="1">
        <f>MAX(-16, MIN(16, Games[[#This Row],[OppRestDiff]]*8))</f>
        <v>8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1453.027144798094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1545.9296705606105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0.46422362876564599</v>
      </c>
      <c r="R277" s="1">
        <v>81</v>
      </c>
      <c r="S277" s="1">
        <v>94</v>
      </c>
      <c r="T277" s="1">
        <v>0</v>
      </c>
      <c r="U277" s="1">
        <f>Games[[#This Row],[PointsFor]]-Games[[#This Row],[PointsAgainst]]</f>
        <v>-13</v>
      </c>
      <c r="V277" s="1">
        <f>IF(Games[[#This Row],[MOV]]&gt;0,1,IF(Games[[#This Row],[MOV]]=0,0.5,0))</f>
        <v>0</v>
      </c>
      <c r="W277" s="4">
        <f>((ABS(Games[[#This Row],[MOV]])+5)^0.6)/(12+0.01*(ABS(Games[[#This Row],[PreGmRate]]-Games[[#This Row],[OppPreGmRate]])))*IF(Games[[#This Row],[OT]]=1,0.9,1)</f>
        <v>0.43812468108751185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72.55</v>
      </c>
      <c r="Z277" s="4">
        <f>Games[[#This Row],[K]]*Games[[#This Row],[POMult]]</f>
        <v>72.55</v>
      </c>
      <c r="AA277" s="4">
        <f>(Games[[#This Row],[Keff]]*Games[[#This Row],[MOVMult]])*(Games[[#This Row],[Result]]-Games[[#This Row],[ExpectedWin%]])</f>
        <v>-14.755787016167432</v>
      </c>
      <c r="AB277" s="4">
        <f>Games[[#This Row],[PreGmRate]]+Games[[#This Row],[RatingChange]]</f>
        <v>1438.2713577819266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1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44754</v>
      </c>
      <c r="B278" s="2">
        <v>2022</v>
      </c>
      <c r="C278" s="2">
        <f>COUNTIFS(Games[Team],Games[[#This Row],[Team]],Games[Season],Games[[#This Row],[Season]],Games[Date],"&lt;=" &amp; Games[[#This Row],[Date]])</f>
        <v>25</v>
      </c>
      <c r="D278" s="2" t="s">
        <v>79</v>
      </c>
      <c r="E278" s="2" t="s">
        <v>80</v>
      </c>
      <c r="F278" s="1" t="s">
        <v>40</v>
      </c>
      <c r="G278" s="1" t="s">
        <v>67</v>
      </c>
      <c r="H278" s="1" t="s">
        <v>81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78" s="2">
        <f>Games[[#This Row],[DaysOff]]-Games[[#This Row],[OppDaysOff]]</f>
        <v>-1</v>
      </c>
      <c r="L278" s="2">
        <f>Games[[#This Row],[OppDaysOff]]-Games[[#This Row],[DaysOff]]</f>
        <v>1</v>
      </c>
      <c r="M278" s="1">
        <f>MAX(-16, MIN(16, Games[[#This Row],[RestDiff]]*8))</f>
        <v>-8</v>
      </c>
      <c r="N278" s="1">
        <f>MAX(-16, MIN(16, Games[[#This Row],[OppRestDiff]]*8))</f>
        <v>8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1473.4087801515298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1494.3748228285281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0.33262496913426748</v>
      </c>
      <c r="R278" s="1">
        <v>107</v>
      </c>
      <c r="S278" s="1">
        <v>118</v>
      </c>
      <c r="T278" s="1">
        <v>1</v>
      </c>
      <c r="U278" s="1">
        <f>Games[[#This Row],[PointsFor]]-Games[[#This Row],[PointsAgainst]]</f>
        <v>-11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0.38905492149211834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72.25</v>
      </c>
      <c r="Z278" s="4">
        <f>Games[[#This Row],[K]]*Games[[#This Row],[POMult]]</f>
        <v>72.25</v>
      </c>
      <c r="AA278" s="4">
        <f>(Games[[#This Row],[Keff]]*Games[[#This Row],[MOVMult]])*(Games[[#This Row],[Result]]-Games[[#This Row],[ExpectedWin%]])</f>
        <v>-9.3498277955184648</v>
      </c>
      <c r="AB278" s="4">
        <f>Games[[#This Row],[PreGmRate]]+Games[[#This Row],[RatingChange]]</f>
        <v>1464.0589523560113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44754</v>
      </c>
      <c r="B279" s="2">
        <v>2022</v>
      </c>
      <c r="C279" s="2">
        <f>COUNTIFS(Games[Team],Games[[#This Row],[Team]],Games[Season],Games[[#This Row],[Season]],Games[Date],"&lt;=" &amp; Games[[#This Row],[Date]])</f>
        <v>24</v>
      </c>
      <c r="D279" s="2" t="s">
        <v>79</v>
      </c>
      <c r="E279" s="2" t="s">
        <v>80</v>
      </c>
      <c r="F279" s="1" t="s">
        <v>67</v>
      </c>
      <c r="G279" s="1" t="s">
        <v>40</v>
      </c>
      <c r="H279" s="1" t="s">
        <v>82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9" s="2">
        <f>Games[[#This Row],[DaysOff]]-Games[[#This Row],[OppDaysOff]]</f>
        <v>1</v>
      </c>
      <c r="L279" s="2">
        <f>Games[[#This Row],[OppDaysOff]]-Games[[#This Row],[DaysOff]]</f>
        <v>-1</v>
      </c>
      <c r="M279" s="1">
        <f>MAX(-16, MIN(16, Games[[#This Row],[RestDiff]]*8))</f>
        <v>8</v>
      </c>
      <c r="N279" s="1">
        <f>MAX(-16, MIN(16, Games[[#This Row],[OppRestDiff]]*8))</f>
        <v>-8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1494.3748228285281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1473.4087801515298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0.66737503086573247</v>
      </c>
      <c r="R279" s="1">
        <v>118</v>
      </c>
      <c r="S279" s="1">
        <v>107</v>
      </c>
      <c r="T279" s="1">
        <v>1</v>
      </c>
      <c r="U279" s="1">
        <f>Games[[#This Row],[PointsFor]]-Games[[#This Row],[PointsAgainst]]</f>
        <v>11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0.38905492149211834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72.400000000000006</v>
      </c>
      <c r="Z279" s="4">
        <f>Games[[#This Row],[K]]*Games[[#This Row],[POMult]]</f>
        <v>72.400000000000006</v>
      </c>
      <c r="AA279" s="4">
        <f>(Games[[#This Row],[Keff]]*Games[[#This Row],[MOVMult]])*(Games[[#This Row],[Result]]-Games[[#This Row],[ExpectedWin%]])</f>
        <v>9.3692392027063942</v>
      </c>
      <c r="AB279" s="4">
        <f>Games[[#This Row],[PreGmRate]]+Games[[#This Row],[RatingChange]]</f>
        <v>1503.7440620312345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44754</v>
      </c>
      <c r="B280" s="2">
        <v>2022</v>
      </c>
      <c r="C280" s="2">
        <f>COUNTIFS(Games[Team],Games[[#This Row],[Team]],Games[Season],Games[[#This Row],[Season]],Games[Date],"&lt;=" &amp; Games[[#This Row],[Date]])</f>
        <v>23</v>
      </c>
      <c r="D280" s="2" t="s">
        <v>79</v>
      </c>
      <c r="E280" s="2" t="s">
        <v>80</v>
      </c>
      <c r="F280" s="1" t="s">
        <v>86</v>
      </c>
      <c r="G280" s="1" t="s">
        <v>60</v>
      </c>
      <c r="H280" s="1" t="s">
        <v>81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5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0" s="2">
        <f>Games[[#This Row],[DaysOff]]-Games[[#This Row],[OppDaysOff]]</f>
        <v>1</v>
      </c>
      <c r="L280" s="2">
        <f>Games[[#This Row],[OppDaysOff]]-Games[[#This Row],[DaysOff]]</f>
        <v>-1</v>
      </c>
      <c r="M280" s="1">
        <f>MAX(-16, MIN(16, Games[[#This Row],[RestDiff]]*8))</f>
        <v>8</v>
      </c>
      <c r="N280" s="1">
        <f>MAX(-16, MIN(16, Games[[#This Row],[OppRestDiff]]*8))</f>
        <v>-8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1593.1228756265864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1434.1846888519174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0.62796167938102421</v>
      </c>
      <c r="R280" s="1">
        <v>107</v>
      </c>
      <c r="S280" s="1">
        <v>101</v>
      </c>
      <c r="T280" s="1">
        <v>0</v>
      </c>
      <c r="U280" s="1">
        <f>Games[[#This Row],[PointsFor]]-Games[[#This Row],[PointsAgainst]]</f>
        <v>6</v>
      </c>
      <c r="V280" s="1">
        <f>IF(Games[[#This Row],[MOV]]&gt;0,1,IF(Games[[#This Row],[MOV]]=0,0.5,0))</f>
        <v>1</v>
      </c>
      <c r="W280" s="4">
        <f>((ABS(Games[[#This Row],[MOV]])+5)^0.6)/(12+0.01*(ABS(Games[[#This Row],[PreGmRate]]-Games[[#This Row],[OppPreGmRate]])))*IF(Games[[#This Row],[OT]]=1,0.9,1)</f>
        <v>0.31019579655030088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72.55</v>
      </c>
      <c r="Z280" s="4">
        <f>Games[[#This Row],[K]]*Games[[#This Row],[POMult]]</f>
        <v>72.55</v>
      </c>
      <c r="AA280" s="4">
        <f>(Games[[#This Row],[Keff]]*Games[[#This Row],[MOVMult]])*(Games[[#This Row],[Result]]-Games[[#This Row],[ExpectedWin%]])</f>
        <v>8.3726126690044396</v>
      </c>
      <c r="AB280" s="4">
        <f>Games[[#This Row],[PreGmRate]]+Games[[#This Row],[RatingChange]]</f>
        <v>1601.4954882955908</v>
      </c>
      <c r="AC280" s="2">
        <f>IF(Games[[#This Row],[Type]]="R",IF(Games[[#This Row],[Result]]&gt;0.5,1,0),0)</f>
        <v>1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44754</v>
      </c>
      <c r="B281" s="2">
        <v>2022</v>
      </c>
      <c r="C281" s="2">
        <f>COUNTIFS(Games[Team],Games[[#This Row],[Team]],Games[Season],Games[[#This Row],[Season]],Games[Date],"&lt;=" &amp; Games[[#This Row],[Date]])</f>
        <v>23</v>
      </c>
      <c r="D281" s="2" t="s">
        <v>79</v>
      </c>
      <c r="E281" s="2" t="s">
        <v>80</v>
      </c>
      <c r="F281" s="1" t="s">
        <v>60</v>
      </c>
      <c r="G281" s="1" t="s">
        <v>86</v>
      </c>
      <c r="H281" s="1" t="s">
        <v>82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81" s="2">
        <f>Games[[#This Row],[DaysOff]]-Games[[#This Row],[OppDaysOff]]</f>
        <v>-1</v>
      </c>
      <c r="L281" s="2">
        <f>Games[[#This Row],[OppDaysOff]]-Games[[#This Row],[DaysOff]]</f>
        <v>1</v>
      </c>
      <c r="M281" s="1">
        <f>MAX(-16, MIN(16, Games[[#This Row],[RestDiff]]*8))</f>
        <v>-8</v>
      </c>
      <c r="N281" s="1">
        <f>MAX(-16, MIN(16, Games[[#This Row],[OppRestDiff]]*8))</f>
        <v>8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1434.1846888519174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1593.1228756265864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0.37203832061897579</v>
      </c>
      <c r="R281" s="1">
        <v>101</v>
      </c>
      <c r="S281" s="1">
        <v>107</v>
      </c>
      <c r="T281" s="1">
        <v>0</v>
      </c>
      <c r="U281" s="1">
        <f>Games[[#This Row],[PointsFor]]-Games[[#This Row],[PointsAgainst]]</f>
        <v>-6</v>
      </c>
      <c r="V281" s="1">
        <f>IF(Games[[#This Row],[MOV]]&gt;0,1,IF(Games[[#This Row],[MOV]]=0,0.5,0))</f>
        <v>0</v>
      </c>
      <c r="W281" s="4">
        <f>((ABS(Games[[#This Row],[MOV]])+5)^0.6)/(12+0.01*(ABS(Games[[#This Row],[PreGmRate]]-Games[[#This Row],[OppPreGmRate]])))*IF(Games[[#This Row],[OT]]=1,0.9,1)</f>
        <v>0.31019579655030088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72.55</v>
      </c>
      <c r="Z281" s="4">
        <f>Games[[#This Row],[K]]*Games[[#This Row],[POMult]]</f>
        <v>72.55</v>
      </c>
      <c r="AA281" s="4">
        <f>(Games[[#This Row],[Keff]]*Games[[#This Row],[MOVMult]])*(Games[[#This Row],[Result]]-Games[[#This Row],[ExpectedWin%]])</f>
        <v>-8.3726126690044396</v>
      </c>
      <c r="AB281" s="4">
        <f>Games[[#This Row],[PreGmRate]]+Games[[#This Row],[RatingChange]]</f>
        <v>1425.812076182913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1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44754</v>
      </c>
      <c r="B282" s="2">
        <v>2022</v>
      </c>
      <c r="C282" s="2">
        <f>COUNTIFS(Games[Team],Games[[#This Row],[Team]],Games[Season],Games[[#This Row],[Season]],Games[Date],"&lt;=" &amp; Games[[#This Row],[Date]])</f>
        <v>23</v>
      </c>
      <c r="D282" s="2" t="s">
        <v>79</v>
      </c>
      <c r="E282" s="2" t="s">
        <v>80</v>
      </c>
      <c r="F282" s="1" t="s">
        <v>85</v>
      </c>
      <c r="G282" s="1" t="s">
        <v>71</v>
      </c>
      <c r="H282" s="1" t="s">
        <v>81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6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2" s="2">
        <f>Games[[#This Row],[DaysOff]]-Games[[#This Row],[OppDaysOff]]</f>
        <v>2</v>
      </c>
      <c r="L282" s="2">
        <f>Games[[#This Row],[OppDaysOff]]-Games[[#This Row],[DaysOff]]</f>
        <v>-2</v>
      </c>
      <c r="M282" s="1">
        <f>MAX(-16, MIN(16, Games[[#This Row],[RestDiff]]*8))</f>
        <v>16</v>
      </c>
      <c r="N282" s="1">
        <f>MAX(-16, MIN(16, Games[[#This Row],[OppRestDiff]]*8))</f>
        <v>-16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1460.2024948058825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1586.3185253475419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0.26399275713172149</v>
      </c>
      <c r="R282" s="1">
        <v>74</v>
      </c>
      <c r="S282" s="1">
        <v>83</v>
      </c>
      <c r="T282" s="1">
        <v>0</v>
      </c>
      <c r="U282" s="1">
        <f>Games[[#This Row],[PointsFor]]-Games[[#This Row],[PointsAgainst]]</f>
        <v>-9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0.367362901402908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72.55</v>
      </c>
      <c r="Z282" s="4">
        <f>Games[[#This Row],[K]]*Games[[#This Row],[POMult]]</f>
        <v>72.55</v>
      </c>
      <c r="AA282" s="4">
        <f>(Games[[#This Row],[Keff]]*Games[[#This Row],[MOVMult]])*(Games[[#This Row],[Result]]-Games[[#This Row],[ExpectedWin%]])</f>
        <v>-7.0359820849319892</v>
      </c>
      <c r="AB282" s="4">
        <f>Games[[#This Row],[PreGmRate]]+Games[[#This Row],[RatingChange]]</f>
        <v>1453.1665127209505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44754</v>
      </c>
      <c r="B283" s="2">
        <v>2022</v>
      </c>
      <c r="C283" s="2">
        <f>COUNTIFS(Games[Team],Games[[#This Row],[Team]],Games[Season],Games[[#This Row],[Season]],Games[Date],"&lt;=" &amp; Games[[#This Row],[Date]])</f>
        <v>24</v>
      </c>
      <c r="D283" s="2" t="s">
        <v>79</v>
      </c>
      <c r="E283" s="2" t="s">
        <v>80</v>
      </c>
      <c r="F283" s="1" t="s">
        <v>71</v>
      </c>
      <c r="G283" s="1" t="s">
        <v>85</v>
      </c>
      <c r="H283" s="1" t="s">
        <v>82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83" s="2">
        <f>Games[[#This Row],[DaysOff]]-Games[[#This Row],[OppDaysOff]]</f>
        <v>-2</v>
      </c>
      <c r="L283" s="2">
        <f>Games[[#This Row],[OppDaysOff]]-Games[[#This Row],[DaysOff]]</f>
        <v>2</v>
      </c>
      <c r="M283" s="1">
        <f>MAX(-16, MIN(16, Games[[#This Row],[RestDiff]]*8))</f>
        <v>-16</v>
      </c>
      <c r="N283" s="1">
        <f>MAX(-16, MIN(16, Games[[#This Row],[OppRestDiff]]*8))</f>
        <v>16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1586.3185253475419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1460.2024948058825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0.73600724286827846</v>
      </c>
      <c r="R283" s="1">
        <v>83</v>
      </c>
      <c r="S283" s="1">
        <v>74</v>
      </c>
      <c r="T283" s="1">
        <v>0</v>
      </c>
      <c r="U283" s="1">
        <f>Games[[#This Row],[PointsFor]]-Games[[#This Row],[PointsAgainst]]</f>
        <v>9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0.367362901402908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72.400000000000006</v>
      </c>
      <c r="Z283" s="4">
        <f>Games[[#This Row],[K]]*Games[[#This Row],[POMult]]</f>
        <v>72.400000000000006</v>
      </c>
      <c r="AA283" s="4">
        <f>(Games[[#This Row],[Keff]]*Games[[#This Row],[MOVMult]])*(Games[[#This Row],[Result]]-Games[[#This Row],[ExpectedWin%]])</f>
        <v>7.0214349131506024</v>
      </c>
      <c r="AB283" s="4">
        <f>Games[[#This Row],[PreGmRate]]+Games[[#This Row],[RatingChange]]</f>
        <v>1593.3399602606926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44755</v>
      </c>
      <c r="B284" s="2">
        <v>2022</v>
      </c>
      <c r="C284" s="2">
        <f>COUNTIFS(Games[Team],Games[[#This Row],[Team]],Games[Season],Games[[#This Row],[Season]],Games[Date],"&lt;=" &amp; Games[[#This Row],[Date]])</f>
        <v>23</v>
      </c>
      <c r="D284" s="2" t="s">
        <v>79</v>
      </c>
      <c r="E284" s="2" t="s">
        <v>80</v>
      </c>
      <c r="F284" s="1" t="s">
        <v>74</v>
      </c>
      <c r="G284" s="1" t="s">
        <v>69</v>
      </c>
      <c r="H284" s="1" t="s">
        <v>81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7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84" s="2">
        <f>Games[[#This Row],[DaysOff]]-Games[[#This Row],[OppDaysOff]]</f>
        <v>2</v>
      </c>
      <c r="L284" s="2">
        <f>Games[[#This Row],[OppDaysOff]]-Games[[#This Row],[DaysOff]]</f>
        <v>-2</v>
      </c>
      <c r="M284" s="1">
        <f>MAX(-16, MIN(16, Games[[#This Row],[RestDiff]]*8))</f>
        <v>16</v>
      </c>
      <c r="N284" s="1">
        <f>MAX(-16, MIN(16, Games[[#This Row],[OppRestDiff]]*8))</f>
        <v>-16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1605.3431379727813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1281.6479784839005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0.82692701584877459</v>
      </c>
      <c r="R284" s="1">
        <v>89</v>
      </c>
      <c r="S284" s="1">
        <v>81</v>
      </c>
      <c r="T284" s="1">
        <v>0</v>
      </c>
      <c r="U284" s="1">
        <f>Games[[#This Row],[PointsFor]]-Games[[#This Row],[PointsAgainst]]</f>
        <v>8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0.30582143619850954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72.55</v>
      </c>
      <c r="Z284" s="4">
        <f>Games[[#This Row],[K]]*Games[[#This Row],[POMult]]</f>
        <v>72.55</v>
      </c>
      <c r="AA284" s="4">
        <f>(Games[[#This Row],[Keff]]*Games[[#This Row],[MOVMult]])*(Games[[#This Row],[Result]]-Games[[#This Row],[ExpectedWin%]])</f>
        <v>3.840030043500013</v>
      </c>
      <c r="AB284" s="4">
        <f>Games[[#This Row],[PreGmRate]]+Games[[#This Row],[RatingChange]]</f>
        <v>1609.1831680162813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44755</v>
      </c>
      <c r="B285" s="2">
        <v>2022</v>
      </c>
      <c r="C285" s="2">
        <f>COUNTIFS(Games[Team],Games[[#This Row],[Team]],Games[Season],Games[[#This Row],[Season]],Games[Date],"&lt;=" &amp; Games[[#This Row],[Date]])</f>
        <v>25</v>
      </c>
      <c r="D285" s="2" t="s">
        <v>79</v>
      </c>
      <c r="E285" s="2" t="s">
        <v>80</v>
      </c>
      <c r="F285" s="1" t="s">
        <v>69</v>
      </c>
      <c r="G285" s="1" t="s">
        <v>74</v>
      </c>
      <c r="H285" s="1" t="s">
        <v>82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85" s="2">
        <f>Games[[#This Row],[DaysOff]]-Games[[#This Row],[OppDaysOff]]</f>
        <v>-2</v>
      </c>
      <c r="L285" s="2">
        <f>Games[[#This Row],[OppDaysOff]]-Games[[#This Row],[DaysOff]]</f>
        <v>2</v>
      </c>
      <c r="M285" s="1">
        <f>MAX(-16, MIN(16, Games[[#This Row],[RestDiff]]*8))</f>
        <v>-16</v>
      </c>
      <c r="N285" s="1">
        <f>MAX(-16, MIN(16, Games[[#This Row],[OppRestDiff]]*8))</f>
        <v>16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1281.6479784839005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1605.3431379727813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0.17307298415122541</v>
      </c>
      <c r="R285" s="1">
        <v>81</v>
      </c>
      <c r="S285" s="1">
        <v>89</v>
      </c>
      <c r="T285" s="1">
        <v>0</v>
      </c>
      <c r="U285" s="1">
        <f>Games[[#This Row],[PointsFor]]-Games[[#This Row],[PointsAgainst]]</f>
        <v>-8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0.30582143619850954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72.25</v>
      </c>
      <c r="Z285" s="4">
        <f>Games[[#This Row],[K]]*Games[[#This Row],[POMult]]</f>
        <v>72.25</v>
      </c>
      <c r="AA285" s="4">
        <f>(Games[[#This Row],[Keff]]*Games[[#This Row],[MOVMult]])*(Games[[#This Row],[Result]]-Games[[#This Row],[ExpectedWin%]])</f>
        <v>-3.8241512149259256</v>
      </c>
      <c r="AB285" s="4">
        <f>Games[[#This Row],[PreGmRate]]+Games[[#This Row],[RatingChange]]</f>
        <v>1277.8238272689746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44756</v>
      </c>
      <c r="B286" s="2">
        <v>2022</v>
      </c>
      <c r="C286" s="2">
        <f>COUNTIFS(Games[Team],Games[[#This Row],[Team]],Games[Season],Games[[#This Row],[Season]],Games[Date],"&lt;=" &amp; Games[[#This Row],[Date]])</f>
        <v>24</v>
      </c>
      <c r="D286" s="2" t="s">
        <v>79</v>
      </c>
      <c r="E286" s="2" t="s">
        <v>80</v>
      </c>
      <c r="F286" s="1" t="s">
        <v>75</v>
      </c>
      <c r="G286" s="1" t="s">
        <v>63</v>
      </c>
      <c r="H286" s="1" t="s">
        <v>81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6" s="2">
        <f>Games[[#This Row],[DaysOff]]-Games[[#This Row],[OppDaysOff]]</f>
        <v>0</v>
      </c>
      <c r="L286" s="2">
        <f>Games[[#This Row],[OppDaysOff]]-Games[[#This Row],[DaysOff]]</f>
        <v>0</v>
      </c>
      <c r="M286" s="1">
        <f>MAX(-16, MIN(16, Games[[#This Row],[RestDiff]]*8))</f>
        <v>0</v>
      </c>
      <c r="N286" s="1">
        <f>MAX(-16, MIN(16, Games[[#This Row],[OppRestDiff]]*8))</f>
        <v>0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1650.3420212093527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1438.2713577819266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0.67639071257087413</v>
      </c>
      <c r="R286" s="1">
        <v>80</v>
      </c>
      <c r="S286" s="1">
        <v>68</v>
      </c>
      <c r="T286" s="1">
        <v>0</v>
      </c>
      <c r="U286" s="1">
        <f>Games[[#This Row],[PointsFor]]-Games[[#This Row],[PointsAgainst]]</f>
        <v>12</v>
      </c>
      <c r="V286" s="1">
        <f>IF(Games[[#This Row],[MOV]]&gt;0,1,IF(Games[[#This Row],[MOV]]=0,0.5,0))</f>
        <v>1</v>
      </c>
      <c r="W286" s="4">
        <f>((ABS(Games[[#This Row],[MOV]])+5)^0.6)/(12+0.01*(ABS(Games[[#This Row],[PreGmRate]]-Games[[#This Row],[OppPreGmRate]])))*IF(Games[[#This Row],[OT]]=1,0.9,1)</f>
        <v>0.38762602033193533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72.400000000000006</v>
      </c>
      <c r="Z286" s="4">
        <f>Games[[#This Row],[K]]*Games[[#This Row],[POMult]]</f>
        <v>72.400000000000006</v>
      </c>
      <c r="AA286" s="4">
        <f>(Games[[#This Row],[Keff]]*Games[[#This Row],[MOVMult]])*(Games[[#This Row],[Result]]-Games[[#This Row],[ExpectedWin%]])</f>
        <v>9.0818111285510348</v>
      </c>
      <c r="AB286" s="4">
        <f>Games[[#This Row],[PreGmRate]]+Games[[#This Row],[RatingChange]]</f>
        <v>1659.4238323379036</v>
      </c>
      <c r="AC286" s="2">
        <f>IF(Games[[#This Row],[Type]]="R",IF(Games[[#This Row],[Result]]&gt;0.5,1,0),0)</f>
        <v>1</v>
      </c>
      <c r="AD286" s="2">
        <f>IF(Games[[#This Row],[Type]]="R",IF(Games[[#This Row],[Result]]&lt;0.5,1,0),0)</f>
        <v>0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44756</v>
      </c>
      <c r="B287" s="2">
        <v>2022</v>
      </c>
      <c r="C287" s="2">
        <f>COUNTIFS(Games[Team],Games[[#This Row],[Team]],Games[Season],Games[[#This Row],[Season]],Games[Date],"&lt;=" &amp; Games[[#This Row],[Date]])</f>
        <v>24</v>
      </c>
      <c r="D287" s="2" t="s">
        <v>79</v>
      </c>
      <c r="E287" s="2" t="s">
        <v>80</v>
      </c>
      <c r="F287" s="1" t="s">
        <v>63</v>
      </c>
      <c r="G287" s="1" t="s">
        <v>75</v>
      </c>
      <c r="H287" s="1" t="s">
        <v>82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7" s="2">
        <f>Games[[#This Row],[DaysOff]]-Games[[#This Row],[OppDaysOff]]</f>
        <v>0</v>
      </c>
      <c r="L287" s="2">
        <f>Games[[#This Row],[OppDaysOff]]-Games[[#This Row],[DaysOff]]</f>
        <v>0</v>
      </c>
      <c r="M287" s="1">
        <f>MAX(-16, MIN(16, Games[[#This Row],[RestDiff]]*8))</f>
        <v>0</v>
      </c>
      <c r="N287" s="1">
        <f>MAX(-16, MIN(16, Games[[#This Row],[OppRestDiff]]*8))</f>
        <v>0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1438.2713577819266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1650.3420212093527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0.32360928742912581</v>
      </c>
      <c r="R287" s="1">
        <v>68</v>
      </c>
      <c r="S287" s="1">
        <v>80</v>
      </c>
      <c r="T287" s="1">
        <v>0</v>
      </c>
      <c r="U287" s="1">
        <f>Games[[#This Row],[PointsFor]]-Games[[#This Row],[PointsAgainst]]</f>
        <v>-12</v>
      </c>
      <c r="V287" s="1">
        <f>IF(Games[[#This Row],[MOV]]&gt;0,1,IF(Games[[#This Row],[MOV]]=0,0.5,0))</f>
        <v>0</v>
      </c>
      <c r="W287" s="4">
        <f>((ABS(Games[[#This Row],[MOV]])+5)^0.6)/(12+0.01*(ABS(Games[[#This Row],[PreGmRate]]-Games[[#This Row],[OppPreGmRate]])))*IF(Games[[#This Row],[OT]]=1,0.9,1)</f>
        <v>0.38762602033193533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72.400000000000006</v>
      </c>
      <c r="Z287" s="4">
        <f>Games[[#This Row],[K]]*Games[[#This Row],[POMult]]</f>
        <v>72.400000000000006</v>
      </c>
      <c r="AA287" s="4">
        <f>(Games[[#This Row],[Keff]]*Games[[#This Row],[MOVMult]])*(Games[[#This Row],[Result]]-Games[[#This Row],[ExpectedWin%]])</f>
        <v>-9.081811128551033</v>
      </c>
      <c r="AB287" s="4">
        <f>Games[[#This Row],[PreGmRate]]+Games[[#This Row],[RatingChange]]</f>
        <v>1429.1895466533756</v>
      </c>
      <c r="AC287" s="2">
        <f>IF(Games[[#This Row],[Type]]="R",IF(Games[[#This Row],[Result]]&gt;0.5,1,0),0)</f>
        <v>0</v>
      </c>
      <c r="AD287" s="2">
        <f>IF(Games[[#This Row],[Type]]="R",IF(Games[[#This Row],[Result]]&lt;0.5,1,0),0)</f>
        <v>1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44756</v>
      </c>
      <c r="B288" s="2">
        <v>2022</v>
      </c>
      <c r="C288" s="2">
        <f>COUNTIFS(Games[Team],Games[[#This Row],[Team]],Games[Season],Games[[#This Row],[Season]],Games[Date],"&lt;=" &amp; Games[[#This Row],[Date]])</f>
        <v>24</v>
      </c>
      <c r="D288" s="2" t="s">
        <v>79</v>
      </c>
      <c r="E288" s="2" t="s">
        <v>80</v>
      </c>
      <c r="F288" s="1" t="s">
        <v>85</v>
      </c>
      <c r="G288" s="1" t="s">
        <v>67</v>
      </c>
      <c r="H288" s="1" t="s">
        <v>81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0</v>
      </c>
      <c r="L288" s="2">
        <f>Games[[#This Row],[OppDaysOff]]-Games[[#This Row],[DaysOff]]</f>
        <v>0</v>
      </c>
      <c r="M288" s="1">
        <f>MAX(-16, MIN(16, Games[[#This Row],[RestDiff]]*8))</f>
        <v>0</v>
      </c>
      <c r="N288" s="1">
        <f>MAX(-16, MIN(16, Games[[#This Row],[OppRestDiff]]*8))</f>
        <v>0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1453.1665127209505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1503.7440620312345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0.31546529964725806</v>
      </c>
      <c r="R288" s="1">
        <v>92</v>
      </c>
      <c r="S288" s="1">
        <v>87</v>
      </c>
      <c r="T288" s="1">
        <v>0</v>
      </c>
      <c r="U288" s="1">
        <f>Games[[#This Row],[PointsFor]]-Games[[#This Row],[PointsAgainst]]</f>
        <v>5</v>
      </c>
      <c r="V288" s="1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0.31833865142794265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72.400000000000006</v>
      </c>
      <c r="Z288" s="4">
        <f>Games[[#This Row],[K]]*Games[[#This Row],[POMult]]</f>
        <v>72.400000000000006</v>
      </c>
      <c r="AA288" s="4">
        <f>(Games[[#This Row],[Keff]]*Games[[#This Row],[MOVMult]])*(Games[[#This Row],[Result]]-Games[[#This Row],[ExpectedWin%]])</f>
        <v>15.776962983692806</v>
      </c>
      <c r="AB288" s="4">
        <f>Games[[#This Row],[PreGmRate]]+Games[[#This Row],[RatingChange]]</f>
        <v>1468.9434757046433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44756</v>
      </c>
      <c r="B289" s="2">
        <v>2022</v>
      </c>
      <c r="C289" s="2">
        <f>COUNTIFS(Games[Team],Games[[#This Row],[Team]],Games[Season],Games[[#This Row],[Season]],Games[Date],"&lt;=" &amp; Games[[#This Row],[Date]])</f>
        <v>25</v>
      </c>
      <c r="D289" s="2" t="s">
        <v>79</v>
      </c>
      <c r="E289" s="2" t="s">
        <v>80</v>
      </c>
      <c r="F289" s="1" t="s">
        <v>67</v>
      </c>
      <c r="G289" s="1" t="s">
        <v>85</v>
      </c>
      <c r="H289" s="1" t="s">
        <v>82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0</v>
      </c>
      <c r="L289" s="2">
        <f>Games[[#This Row],[OppDaysOff]]-Games[[#This Row],[DaysOff]]</f>
        <v>0</v>
      </c>
      <c r="M289" s="1">
        <f>MAX(-16, MIN(16, Games[[#This Row],[RestDiff]]*8))</f>
        <v>0</v>
      </c>
      <c r="N289" s="1">
        <f>MAX(-16, MIN(16, Games[[#This Row],[OppRestDiff]]*8))</f>
        <v>0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1503.7440620312345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1453.1665127209505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0.684534700352742</v>
      </c>
      <c r="R289" s="1">
        <v>87</v>
      </c>
      <c r="S289" s="1">
        <v>92</v>
      </c>
      <c r="T289" s="1">
        <v>0</v>
      </c>
      <c r="U289" s="1">
        <f>Games[[#This Row],[PointsFor]]-Games[[#This Row],[PointsAgainst]]</f>
        <v>-5</v>
      </c>
      <c r="V289" s="1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0.31833865142794265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72.25</v>
      </c>
      <c r="Z289" s="4">
        <f>Games[[#This Row],[K]]*Games[[#This Row],[POMult]]</f>
        <v>72.25</v>
      </c>
      <c r="AA289" s="4">
        <f>(Games[[#This Row],[Keff]]*Games[[#This Row],[MOVMult]])*(Games[[#This Row],[Result]]-Games[[#This Row],[ExpectedWin%]])</f>
        <v>-15.744275905687916</v>
      </c>
      <c r="AB289" s="4">
        <f>Games[[#This Row],[PreGmRate]]+Games[[#This Row],[RatingChange]]</f>
        <v>1487.9997861255465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44756</v>
      </c>
      <c r="B290" s="2">
        <v>2022</v>
      </c>
      <c r="C290" s="2">
        <f>COUNTIFS(Games[Team],Games[[#This Row],[Team]],Games[Season],Games[[#This Row],[Season]],Games[Date],"&lt;=" &amp; Games[[#This Row],[Date]])</f>
        <v>24</v>
      </c>
      <c r="D290" s="2" t="s">
        <v>79</v>
      </c>
      <c r="E290" s="2" t="s">
        <v>80</v>
      </c>
      <c r="F290" s="1" t="s">
        <v>86</v>
      </c>
      <c r="G290" s="1" t="s">
        <v>60</v>
      </c>
      <c r="H290" s="1" t="s">
        <v>81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0</v>
      </c>
      <c r="L290" s="2">
        <f>Games[[#This Row],[OppDaysOff]]-Games[[#This Row],[DaysOff]]</f>
        <v>0</v>
      </c>
      <c r="M290" s="1">
        <f>MAX(-16, MIN(16, Games[[#This Row],[RestDiff]]*8))</f>
        <v>0</v>
      </c>
      <c r="N290" s="1">
        <f>MAX(-16, MIN(16, Games[[#This Row],[OppRestDiff]]*8))</f>
        <v>0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1601.4954882955908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1425.812076182913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0.62896335044148322</v>
      </c>
      <c r="R290" s="1">
        <v>108</v>
      </c>
      <c r="S290" s="1">
        <v>74</v>
      </c>
      <c r="T290" s="1">
        <v>0</v>
      </c>
      <c r="U290" s="1">
        <f>Games[[#This Row],[PointsFor]]-Games[[#This Row],[PointsAgainst]]</f>
        <v>34</v>
      </c>
      <c r="V290" s="1">
        <f>IF(Games[[#This Row],[MOV]]&gt;0,1,IF(Games[[#This Row],[MOV]]=0,0.5,0))</f>
        <v>1</v>
      </c>
      <c r="W290" s="4">
        <f>((ABS(Games[[#This Row],[MOV]])+5)^0.6)/(12+0.01*(ABS(Games[[#This Row],[PreGmRate]]-Games[[#This Row],[OppPreGmRate]])))*IF(Games[[#This Row],[OT]]=1,0.9,1)</f>
        <v>0.65481747916087729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72.400000000000006</v>
      </c>
      <c r="Z290" s="4">
        <f>Games[[#This Row],[K]]*Games[[#This Row],[POMult]]</f>
        <v>72.400000000000006</v>
      </c>
      <c r="AA290" s="4">
        <f>(Games[[#This Row],[Keff]]*Games[[#This Row],[MOVMult]])*(Games[[#This Row],[Result]]-Games[[#This Row],[ExpectedWin%]])</f>
        <v>17.590396928310902</v>
      </c>
      <c r="AB290" s="4">
        <f>Games[[#This Row],[PreGmRate]]+Games[[#This Row],[RatingChange]]</f>
        <v>1619.0858852239016</v>
      </c>
      <c r="AC290" s="2">
        <f>IF(Games[[#This Row],[Type]]="R",IF(Games[[#This Row],[Result]]&gt;0.5,1,0),0)</f>
        <v>1</v>
      </c>
      <c r="AD290" s="2">
        <f>IF(Games[[#This Row],[Type]]="R",IF(Games[[#This Row],[Result]]&lt;0.5,1,0),0)</f>
        <v>0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44756</v>
      </c>
      <c r="B291" s="2">
        <v>2022</v>
      </c>
      <c r="C291" s="2">
        <f>COUNTIFS(Games[Team],Games[[#This Row],[Team]],Games[Season],Games[[#This Row],[Season]],Games[Date],"&lt;=" &amp; Games[[#This Row],[Date]])</f>
        <v>24</v>
      </c>
      <c r="D291" s="2" t="s">
        <v>79</v>
      </c>
      <c r="E291" s="2" t="s">
        <v>80</v>
      </c>
      <c r="F291" s="1" t="s">
        <v>60</v>
      </c>
      <c r="G291" s="1" t="s">
        <v>86</v>
      </c>
      <c r="H291" s="1" t="s">
        <v>82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1" s="2">
        <f>Games[[#This Row],[DaysOff]]-Games[[#This Row],[OppDaysOff]]</f>
        <v>0</v>
      </c>
      <c r="L291" s="2">
        <f>Games[[#This Row],[OppDaysOff]]-Games[[#This Row],[DaysOff]]</f>
        <v>0</v>
      </c>
      <c r="M291" s="1">
        <f>MAX(-16, MIN(16, Games[[#This Row],[RestDiff]]*8))</f>
        <v>0</v>
      </c>
      <c r="N291" s="1">
        <f>MAX(-16, MIN(16, Games[[#This Row],[OppRestDiff]]*8))</f>
        <v>0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1425.812076182913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1601.4954882955908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0.37103664955851684</v>
      </c>
      <c r="R291" s="1">
        <v>74</v>
      </c>
      <c r="S291" s="1">
        <v>108</v>
      </c>
      <c r="T291" s="1">
        <v>0</v>
      </c>
      <c r="U291" s="1">
        <f>Games[[#This Row],[PointsFor]]-Games[[#This Row],[PointsAgainst]]</f>
        <v>-34</v>
      </c>
      <c r="V291" s="1">
        <f>IF(Games[[#This Row],[MOV]]&gt;0,1,IF(Games[[#This Row],[MOV]]=0,0.5,0))</f>
        <v>0</v>
      </c>
      <c r="W291" s="4">
        <f>((ABS(Games[[#This Row],[MOV]])+5)^0.6)/(12+0.01*(ABS(Games[[#This Row],[PreGmRate]]-Games[[#This Row],[OppPreGmRate]])))*IF(Games[[#This Row],[OT]]=1,0.9,1)</f>
        <v>0.65481747916087729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72.400000000000006</v>
      </c>
      <c r="Z291" s="4">
        <f>Games[[#This Row],[K]]*Games[[#This Row],[POMult]]</f>
        <v>72.400000000000006</v>
      </c>
      <c r="AA291" s="4">
        <f>(Games[[#This Row],[Keff]]*Games[[#This Row],[MOVMult]])*(Games[[#This Row],[Result]]-Games[[#This Row],[ExpectedWin%]])</f>
        <v>-17.590396928310906</v>
      </c>
      <c r="AB291" s="4">
        <f>Games[[#This Row],[PreGmRate]]+Games[[#This Row],[RatingChange]]</f>
        <v>1408.2216792546021</v>
      </c>
      <c r="AC291" s="2">
        <f>IF(Games[[#This Row],[Type]]="R",IF(Games[[#This Row],[Result]]&gt;0.5,1,0),0)</f>
        <v>0</v>
      </c>
      <c r="AD291" s="2">
        <f>IF(Games[[#This Row],[Type]]="R",IF(Games[[#This Row],[Result]]&lt;0.5,1,0),0)</f>
        <v>1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44756</v>
      </c>
      <c r="B292" s="2">
        <v>2022</v>
      </c>
      <c r="C292" s="2">
        <f>COUNTIFS(Games[Team],Games[[#This Row],[Team]],Games[Season],Games[[#This Row],[Season]],Games[Date],"&lt;=" &amp; Games[[#This Row],[Date]])</f>
        <v>26</v>
      </c>
      <c r="D292" s="2" t="s">
        <v>79</v>
      </c>
      <c r="E292" s="2" t="s">
        <v>80</v>
      </c>
      <c r="F292" s="1" t="s">
        <v>65</v>
      </c>
      <c r="G292" s="1" t="s">
        <v>40</v>
      </c>
      <c r="H292" s="1" t="s">
        <v>81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0</v>
      </c>
      <c r="L292" s="2">
        <f>Games[[#This Row],[OppDaysOff]]-Games[[#This Row],[DaysOff]]</f>
        <v>0</v>
      </c>
      <c r="M292" s="1">
        <f>MAX(-16, MIN(16, Games[[#This Row],[RestDiff]]*8))</f>
        <v>0</v>
      </c>
      <c r="N292" s="1">
        <f>MAX(-16, MIN(16, Games[[#This Row],[OppRestDiff]]*8))</f>
        <v>0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1560.6244412279859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1464.0589523560113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0.51807531190862088</v>
      </c>
      <c r="R292" s="1">
        <v>75</v>
      </c>
      <c r="S292" s="1">
        <v>80</v>
      </c>
      <c r="T292" s="1">
        <v>0</v>
      </c>
      <c r="U292" s="1">
        <f>Games[[#This Row],[PointsFor]]-Games[[#This Row],[PointsAgainst]]</f>
        <v>-5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0.30704748350185895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72.099999999999994</v>
      </c>
      <c r="Z292" s="4">
        <f>Games[[#This Row],[K]]*Games[[#This Row],[POMult]]</f>
        <v>72.099999999999994</v>
      </c>
      <c r="AA292" s="4">
        <f>(Games[[#This Row],[Keff]]*Games[[#This Row],[MOVMult]])*(Games[[#This Row],[Result]]-Games[[#This Row],[ExpectedWin%]])</f>
        <v>-11.469215268669352</v>
      </c>
      <c r="AB292" s="4">
        <f>Games[[#This Row],[PreGmRate]]+Games[[#This Row],[RatingChange]]</f>
        <v>1549.1552259593166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44756</v>
      </c>
      <c r="B293" s="2">
        <v>2022</v>
      </c>
      <c r="C293" s="2">
        <f>COUNTIFS(Games[Team],Games[[#This Row],[Team]],Games[Season],Games[[#This Row],[Season]],Games[Date],"&lt;=" &amp; Games[[#This Row],[Date]])</f>
        <v>26</v>
      </c>
      <c r="D293" s="2" t="s">
        <v>79</v>
      </c>
      <c r="E293" s="2" t="s">
        <v>80</v>
      </c>
      <c r="F293" s="1" t="s">
        <v>40</v>
      </c>
      <c r="G293" s="1" t="s">
        <v>65</v>
      </c>
      <c r="H293" s="1" t="s">
        <v>82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0</v>
      </c>
      <c r="L293" s="2">
        <f>Games[[#This Row],[OppDaysOff]]-Games[[#This Row],[DaysOff]]</f>
        <v>0</v>
      </c>
      <c r="M293" s="1">
        <f>MAX(-16, MIN(16, Games[[#This Row],[RestDiff]]*8))</f>
        <v>0</v>
      </c>
      <c r="N293" s="1">
        <f>MAX(-16, MIN(16, Games[[#This Row],[OppRestDiff]]*8))</f>
        <v>0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1464.0589523560113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1560.6244412279859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0.48192468809137917</v>
      </c>
      <c r="R293" s="1">
        <v>80</v>
      </c>
      <c r="S293" s="1">
        <v>75</v>
      </c>
      <c r="T293" s="1">
        <v>0</v>
      </c>
      <c r="U293" s="1">
        <f>Games[[#This Row],[PointsFor]]-Games[[#This Row],[PointsAgainst]]</f>
        <v>5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0.30704748350185895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72.099999999999994</v>
      </c>
      <c r="Z293" s="4">
        <f>Games[[#This Row],[K]]*Games[[#This Row],[POMult]]</f>
        <v>72.099999999999994</v>
      </c>
      <c r="AA293" s="4">
        <f>(Games[[#This Row],[Keff]]*Games[[#This Row],[MOVMult]])*(Games[[#This Row],[Result]]-Games[[#This Row],[ExpectedWin%]])</f>
        <v>11.46921526866935</v>
      </c>
      <c r="AB293" s="4">
        <f>Games[[#This Row],[PreGmRate]]+Games[[#This Row],[RatingChange]]</f>
        <v>1475.5281676246807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44757</v>
      </c>
      <c r="B294" s="2">
        <v>2022</v>
      </c>
      <c r="C294" s="2">
        <f>COUNTIFS(Games[Team],Games[[#This Row],[Team]],Games[Season],Games[[#This Row],[Season]],Games[Date],"&lt;=" &amp; Games[[#This Row],[Date]])</f>
        <v>24</v>
      </c>
      <c r="D294" s="2" t="s">
        <v>79</v>
      </c>
      <c r="E294" s="2" t="s">
        <v>80</v>
      </c>
      <c r="F294" s="1" t="s">
        <v>74</v>
      </c>
      <c r="G294" s="1" t="s">
        <v>77</v>
      </c>
      <c r="H294" s="1" t="s">
        <v>81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4" s="2">
        <f>Games[[#This Row],[DaysOff]]-Games[[#This Row],[OppDaysOff]]</f>
        <v>-1</v>
      </c>
      <c r="L294" s="2">
        <f>Games[[#This Row],[OppDaysOff]]-Games[[#This Row],[DaysOff]]</f>
        <v>1</v>
      </c>
      <c r="M294" s="1">
        <f>MAX(-16, MIN(16, Games[[#This Row],[RestDiff]]*8))</f>
        <v>-8</v>
      </c>
      <c r="N294" s="1">
        <f>MAX(-16, MIN(16, Games[[#This Row],[OppRestDiff]]*8))</f>
        <v>8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1609.1831680162813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1422.5694450392891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0.6221276057685533</v>
      </c>
      <c r="R294" s="1">
        <v>93</v>
      </c>
      <c r="S294" s="1">
        <v>68</v>
      </c>
      <c r="T294" s="1">
        <v>0</v>
      </c>
      <c r="U294" s="1">
        <f>Games[[#This Row],[PointsFor]]-Games[[#This Row],[PointsAgainst]]</f>
        <v>25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0.55503102365111812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72.400000000000006</v>
      </c>
      <c r="Z294" s="4">
        <f>Games[[#This Row],[K]]*Games[[#This Row],[POMult]]</f>
        <v>72.400000000000006</v>
      </c>
      <c r="AA294" s="4">
        <f>(Games[[#This Row],[Keff]]*Games[[#This Row],[MOVMult]])*(Games[[#This Row],[Result]]-Games[[#This Row],[ExpectedWin%]])</f>
        <v>15.184517288855982</v>
      </c>
      <c r="AB294" s="4">
        <f>Games[[#This Row],[PreGmRate]]+Games[[#This Row],[RatingChange]]</f>
        <v>1624.3676853051372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44757</v>
      </c>
      <c r="B295" s="2">
        <v>2022</v>
      </c>
      <c r="C295" s="2">
        <f>COUNTIFS(Games[Team],Games[[#This Row],[Team]],Games[Season],Games[[#This Row],[Season]],Games[Date],"&lt;=" &amp; Games[[#This Row],[Date]])</f>
        <v>24</v>
      </c>
      <c r="D295" s="2" t="s">
        <v>79</v>
      </c>
      <c r="E295" s="2" t="s">
        <v>80</v>
      </c>
      <c r="F295" s="1" t="s">
        <v>77</v>
      </c>
      <c r="G295" s="1" t="s">
        <v>74</v>
      </c>
      <c r="H295" s="1" t="s">
        <v>82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1</v>
      </c>
      <c r="L295" s="2">
        <f>Games[[#This Row],[OppDaysOff]]-Games[[#This Row],[DaysOff]]</f>
        <v>-1</v>
      </c>
      <c r="M295" s="1">
        <f>MAX(-16, MIN(16, Games[[#This Row],[RestDiff]]*8))</f>
        <v>8</v>
      </c>
      <c r="N295" s="1">
        <f>MAX(-16, MIN(16, Games[[#This Row],[OppRestDiff]]*8))</f>
        <v>-8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1422.5694450392891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1609.1831680162813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0.37787239423144675</v>
      </c>
      <c r="R295" s="1">
        <v>68</v>
      </c>
      <c r="S295" s="1">
        <v>93</v>
      </c>
      <c r="T295" s="1">
        <v>0</v>
      </c>
      <c r="U295" s="1">
        <f>Games[[#This Row],[PointsFor]]-Games[[#This Row],[PointsAgainst]]</f>
        <v>-25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0.55503102365111812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72.400000000000006</v>
      </c>
      <c r="Z295" s="4">
        <f>Games[[#This Row],[K]]*Games[[#This Row],[POMult]]</f>
        <v>72.400000000000006</v>
      </c>
      <c r="AA295" s="4">
        <f>(Games[[#This Row],[Keff]]*Games[[#This Row],[MOVMult]])*(Games[[#This Row],[Result]]-Games[[#This Row],[ExpectedWin%]])</f>
        <v>-15.184517288855984</v>
      </c>
      <c r="AB295" s="4">
        <f>Games[[#This Row],[PreGmRate]]+Games[[#This Row],[RatingChange]]</f>
        <v>1407.3849277504332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44757</v>
      </c>
      <c r="B296" s="2">
        <v>2022</v>
      </c>
      <c r="C296" s="2">
        <f>COUNTIFS(Games[Team],Games[[#This Row],[Team]],Games[Season],Games[[#This Row],[Season]],Games[Date],"&lt;=" &amp; Games[[#This Row],[Date]])</f>
        <v>26</v>
      </c>
      <c r="D296" s="2" t="s">
        <v>79</v>
      </c>
      <c r="E296" s="2" t="s">
        <v>80</v>
      </c>
      <c r="F296" s="1" t="s">
        <v>67</v>
      </c>
      <c r="G296" s="1" t="s">
        <v>69</v>
      </c>
      <c r="H296" s="1" t="s">
        <v>81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6" s="2">
        <f>Games[[#This Row],[DaysOff]]-Games[[#This Row],[OppDaysOff]]</f>
        <v>-1</v>
      </c>
      <c r="L296" s="2">
        <f>Games[[#This Row],[OppDaysOff]]-Games[[#This Row],[DaysOff]]</f>
        <v>1</v>
      </c>
      <c r="M296" s="16">
        <f>MAX(-16, MIN(16, Games[[#This Row],[RestDiff]]*8))</f>
        <v>-8</v>
      </c>
      <c r="N296" s="16">
        <f>MAX(-16, MIN(16, Games[[#This Row],[OppRestDiff]]*8))</f>
        <v>8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1487.9997861255465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1277.8238272689746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0.65344657839777154</v>
      </c>
      <c r="R296" s="1">
        <v>87</v>
      </c>
      <c r="S296" s="1">
        <v>77</v>
      </c>
      <c r="T296" s="1">
        <v>0</v>
      </c>
      <c r="U296" s="16">
        <f>Games[[#This Row],[PointsFor]]-Games[[#This Row],[PointsAgainst]]</f>
        <v>10</v>
      </c>
      <c r="V296" s="16">
        <f>IF(Games[[#This Row],[MOV]]&gt;0,1,IF(Games[[#This Row],[MOV]]=0,0.5,0))</f>
        <v>1</v>
      </c>
      <c r="W296" s="4">
        <f>((ABS(Games[[#This Row],[MOV]])+5)^0.6)/(12+0.01*(ABS(Games[[#This Row],[PreGmRate]]-Games[[#This Row],[OppPreGmRate]])))*IF(Games[[#This Row],[OT]]=1,0.9,1)</f>
        <v>0.36006544857738865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72.099999999999994</v>
      </c>
      <c r="Z296" s="4">
        <f>Games[[#This Row],[K]]*Games[[#This Row],[POMult]]</f>
        <v>72.099999999999994</v>
      </c>
      <c r="AA296" s="4">
        <f>(Games[[#This Row],[Keff]]*Games[[#This Row],[MOVMult]])*(Games[[#This Row],[Result]]-Games[[#This Row],[ExpectedWin%]])</f>
        <v>8.9967759420974627</v>
      </c>
      <c r="AB296" s="4">
        <f>Games[[#This Row],[PreGmRate]]+Games[[#This Row],[RatingChange]]</f>
        <v>1496.9965620676439</v>
      </c>
      <c r="AC296" s="2">
        <f>IF(Games[[#This Row],[Type]]="R",IF(Games[[#This Row],[Result]]&gt;0.5,1,0),0)</f>
        <v>1</v>
      </c>
      <c r="AD296" s="2">
        <f>IF(Games[[#This Row],[Type]]="R",IF(Games[[#This Row],[Result]]&lt;0.5,1,0),0)</f>
        <v>0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44757</v>
      </c>
      <c r="B297" s="2">
        <v>2022</v>
      </c>
      <c r="C297" s="2">
        <f>COUNTIFS(Games[Team],Games[[#This Row],[Team]],Games[Season],Games[[#This Row],[Season]],Games[Date],"&lt;=" &amp; Games[[#This Row],[Date]])</f>
        <v>26</v>
      </c>
      <c r="D297" s="2" t="s">
        <v>79</v>
      </c>
      <c r="E297" s="2" t="s">
        <v>80</v>
      </c>
      <c r="F297" s="1" t="s">
        <v>69</v>
      </c>
      <c r="G297" s="1" t="s">
        <v>67</v>
      </c>
      <c r="H297" s="1" t="s">
        <v>82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7" s="2">
        <f>Games[[#This Row],[DaysOff]]-Games[[#This Row],[OppDaysOff]]</f>
        <v>1</v>
      </c>
      <c r="L297" s="2">
        <f>Games[[#This Row],[OppDaysOff]]-Games[[#This Row],[DaysOff]]</f>
        <v>-1</v>
      </c>
      <c r="M297" s="16">
        <f>MAX(-16, MIN(16, Games[[#This Row],[RestDiff]]*8))</f>
        <v>8</v>
      </c>
      <c r="N297" s="16">
        <f>MAX(-16, MIN(16, Games[[#This Row],[OppRestDiff]]*8))</f>
        <v>-8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1277.8238272689746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1487.9997861255465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0.34655342160222841</v>
      </c>
      <c r="R297" s="1">
        <v>77</v>
      </c>
      <c r="S297" s="1">
        <v>87</v>
      </c>
      <c r="T297" s="1">
        <v>0</v>
      </c>
      <c r="U297" s="16">
        <f>Games[[#This Row],[PointsFor]]-Games[[#This Row],[PointsAgainst]]</f>
        <v>-10</v>
      </c>
      <c r="V297" s="16">
        <f>IF(Games[[#This Row],[MOV]]&gt;0,1,IF(Games[[#This Row],[MOV]]=0,0.5,0))</f>
        <v>0</v>
      </c>
      <c r="W297" s="4">
        <f>((ABS(Games[[#This Row],[MOV]])+5)^0.6)/(12+0.01*(ABS(Games[[#This Row],[PreGmRate]]-Games[[#This Row],[OppPreGmRate]])))*IF(Games[[#This Row],[OT]]=1,0.9,1)</f>
        <v>0.36006544857738865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72.099999999999994</v>
      </c>
      <c r="Z297" s="4">
        <f>Games[[#This Row],[K]]*Games[[#This Row],[POMult]]</f>
        <v>72.099999999999994</v>
      </c>
      <c r="AA297" s="4">
        <f>(Games[[#This Row],[Keff]]*Games[[#This Row],[MOVMult]])*(Games[[#This Row],[Result]]-Games[[#This Row],[ExpectedWin%]])</f>
        <v>-8.9967759420974627</v>
      </c>
      <c r="AB297" s="4">
        <f>Games[[#This Row],[PreGmRate]]+Games[[#This Row],[RatingChange]]</f>
        <v>1268.8270513268772</v>
      </c>
      <c r="AC297" s="2">
        <f>IF(Games[[#This Row],[Type]]="R",IF(Games[[#This Row],[Result]]&gt;0.5,1,0),0)</f>
        <v>0</v>
      </c>
      <c r="AD297" s="2">
        <f>IF(Games[[#This Row],[Type]]="R",IF(Games[[#This Row],[Result]]&lt;0.5,1,0),0)</f>
        <v>1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44758</v>
      </c>
      <c r="B298" s="2">
        <v>2022</v>
      </c>
      <c r="C298" s="2">
        <f>COUNTIFS(Games[Team],Games[[#This Row],[Team]],Games[Season],Games[[#This Row],[Season]],Games[Date],"&lt;=" &amp; Games[[#This Row],[Date]])</f>
        <v>25</v>
      </c>
      <c r="D298" s="2" t="s">
        <v>79</v>
      </c>
      <c r="E298" s="2" t="s">
        <v>80</v>
      </c>
      <c r="F298" s="1" t="s">
        <v>75</v>
      </c>
      <c r="G298" s="1" t="s">
        <v>85</v>
      </c>
      <c r="H298" s="1" t="s">
        <v>81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8" s="2">
        <f>Games[[#This Row],[DaysOff]]-Games[[#This Row],[OppDaysOff]]</f>
        <v>0</v>
      </c>
      <c r="L298" s="2">
        <f>Games[[#This Row],[OppDaysOff]]-Games[[#This Row],[DaysOff]]</f>
        <v>0</v>
      </c>
      <c r="M298" s="16">
        <f>MAX(-16, MIN(16, Games[[#This Row],[RestDiff]]*8))</f>
        <v>0</v>
      </c>
      <c r="N298" s="16">
        <f>MAX(-16, MIN(16, Games[[#This Row],[OppRestDiff]]*8))</f>
        <v>0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1659.4238323379036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1468.9434757046433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0.64861348957085885</v>
      </c>
      <c r="R298" s="1">
        <v>89</v>
      </c>
      <c r="S298" s="1">
        <v>81</v>
      </c>
      <c r="T298" s="1">
        <v>0</v>
      </c>
      <c r="U298" s="16">
        <f>Games[[#This Row],[PointsFor]]-Games[[#This Row],[PointsAgainst]]</f>
        <v>8</v>
      </c>
      <c r="V298" s="16">
        <f>IF(Games[[#This Row],[MOV]]&gt;0,1,IF(Games[[#This Row],[MOV]]=0,0.5,0))</f>
        <v>1</v>
      </c>
      <c r="W298" s="4">
        <f>((ABS(Games[[#This Row],[MOV]])+5)^0.6)/(12+0.01*(ABS(Games[[#This Row],[PreGmRate]]-Games[[#This Row],[OppPreGmRate]])))*IF(Games[[#This Row],[OT]]=1,0.9,1)</f>
        <v>0.33512062200711018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72.25</v>
      </c>
      <c r="Z298" s="4">
        <f>Games[[#This Row],[K]]*Games[[#This Row],[POMult]]</f>
        <v>72.25</v>
      </c>
      <c r="AA298" s="4">
        <f>(Games[[#This Row],[Keff]]*Games[[#This Row],[MOVMult]])*(Games[[#This Row],[Result]]-Games[[#This Row],[ExpectedWin%]])</f>
        <v>8.5079335641593428</v>
      </c>
      <c r="AB298" s="4">
        <f>Games[[#This Row],[PreGmRate]]+Games[[#This Row],[RatingChange]]</f>
        <v>1667.931765902063</v>
      </c>
      <c r="AC298" s="2">
        <f>IF(Games[[#This Row],[Type]]="R",IF(Games[[#This Row],[Result]]&gt;0.5,1,0),0)</f>
        <v>1</v>
      </c>
      <c r="AD298" s="2">
        <f>IF(Games[[#This Row],[Type]]="R",IF(Games[[#This Row],[Result]]&lt;0.5,1,0),0)</f>
        <v>0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44758</v>
      </c>
      <c r="B299" s="2">
        <v>2022</v>
      </c>
      <c r="C299" s="2">
        <f>COUNTIFS(Games[Team],Games[[#This Row],[Team]],Games[Season],Games[[#This Row],[Season]],Games[Date],"&lt;=" &amp; Games[[#This Row],[Date]])</f>
        <v>25</v>
      </c>
      <c r="D299" s="2" t="s">
        <v>79</v>
      </c>
      <c r="E299" s="2" t="s">
        <v>80</v>
      </c>
      <c r="F299" s="1" t="s">
        <v>85</v>
      </c>
      <c r="G299" s="1" t="s">
        <v>75</v>
      </c>
      <c r="H299" s="1" t="s">
        <v>82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9" s="2">
        <f>Games[[#This Row],[DaysOff]]-Games[[#This Row],[OppDaysOff]]</f>
        <v>0</v>
      </c>
      <c r="L299" s="2">
        <f>Games[[#This Row],[OppDaysOff]]-Games[[#This Row],[DaysOff]]</f>
        <v>0</v>
      </c>
      <c r="M299" s="16">
        <f>MAX(-16, MIN(16, Games[[#This Row],[RestDiff]]*8))</f>
        <v>0</v>
      </c>
      <c r="N299" s="16">
        <f>MAX(-16, MIN(16, Games[[#This Row],[OppRestDiff]]*8))</f>
        <v>0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1468.9434757046433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1659.4238323379036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0.35138651042914115</v>
      </c>
      <c r="R299" s="1">
        <v>81</v>
      </c>
      <c r="S299" s="1">
        <v>89</v>
      </c>
      <c r="T299" s="1">
        <v>0</v>
      </c>
      <c r="U299" s="16">
        <f>Games[[#This Row],[PointsFor]]-Games[[#This Row],[PointsAgainst]]</f>
        <v>-8</v>
      </c>
      <c r="V299" s="16">
        <f>IF(Games[[#This Row],[MOV]]&gt;0,1,IF(Games[[#This Row],[MOV]]=0,0.5,0))</f>
        <v>0</v>
      </c>
      <c r="W299" s="4">
        <f>((ABS(Games[[#This Row],[MOV]])+5)^0.6)/(12+0.01*(ABS(Games[[#This Row],[PreGmRate]]-Games[[#This Row],[OppPreGmRate]])))*IF(Games[[#This Row],[OT]]=1,0.9,1)</f>
        <v>0.33512062200711018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72.25</v>
      </c>
      <c r="Z299" s="4">
        <f>Games[[#This Row],[K]]*Games[[#This Row],[POMult]]</f>
        <v>72.25</v>
      </c>
      <c r="AA299" s="4">
        <f>(Games[[#This Row],[Keff]]*Games[[#This Row],[MOVMult]])*(Games[[#This Row],[Result]]-Games[[#This Row],[ExpectedWin%]])</f>
        <v>-8.5079335641593428</v>
      </c>
      <c r="AB299" s="4">
        <f>Games[[#This Row],[PreGmRate]]+Games[[#This Row],[RatingChange]]</f>
        <v>1460.4355421404839</v>
      </c>
      <c r="AC299" s="2">
        <f>IF(Games[[#This Row],[Type]]="R",IF(Games[[#This Row],[Result]]&gt;0.5,1,0),0)</f>
        <v>0</v>
      </c>
      <c r="AD299" s="2">
        <f>IF(Games[[#This Row],[Type]]="R",IF(Games[[#This Row],[Result]]&lt;0.5,1,0),0)</f>
        <v>1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44759</v>
      </c>
      <c r="B300" s="2">
        <v>2022</v>
      </c>
      <c r="C300" s="2">
        <f>COUNTIFS(Games[Team],Games[[#This Row],[Team]],Games[Season],Games[[#This Row],[Season]],Games[Date],"&lt;=" &amp; Games[[#This Row],[Date]])</f>
        <v>25</v>
      </c>
      <c r="D300" s="2" t="s">
        <v>79</v>
      </c>
      <c r="E300" s="2" t="s">
        <v>80</v>
      </c>
      <c r="F300" s="1" t="s">
        <v>86</v>
      </c>
      <c r="G300" s="1" t="s">
        <v>74</v>
      </c>
      <c r="H300" s="1" t="s">
        <v>81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1</v>
      </c>
      <c r="L300" s="2">
        <f>Games[[#This Row],[OppDaysOff]]-Games[[#This Row],[DaysOff]]</f>
        <v>-1</v>
      </c>
      <c r="M300" s="16">
        <f>MAX(-16, MIN(16, Games[[#This Row],[RestDiff]]*8))</f>
        <v>8</v>
      </c>
      <c r="N300" s="16">
        <f>MAX(-16, MIN(16, Games[[#This Row],[OppRestDiff]]*8))</f>
        <v>-8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1619.0858852239016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1624.3676853051372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0.39607559312932605</v>
      </c>
      <c r="R300" s="1">
        <v>91</v>
      </c>
      <c r="S300" s="1">
        <v>83</v>
      </c>
      <c r="T300" s="1">
        <v>0</v>
      </c>
      <c r="U300" s="16">
        <f>Games[[#This Row],[PointsFor]]-Games[[#This Row],[PointsAgainst]]</f>
        <v>8</v>
      </c>
      <c r="V300" s="16">
        <f>IF(Games[[#This Row],[MOV]]&gt;0,1,IF(Games[[#This Row],[MOV]]=0,0.5,0))</f>
        <v>1</v>
      </c>
      <c r="W300" s="4">
        <f>((ABS(Games[[#This Row],[MOV]])+5)^0.6)/(12+0.01*(ABS(Games[[#This Row],[PreGmRate]]-Games[[#This Row],[OppPreGmRate]])))*IF(Games[[#This Row],[OT]]=1,0.9,1)</f>
        <v>0.38661385409802068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72.25</v>
      </c>
      <c r="Z300" s="4">
        <f>Games[[#This Row],[K]]*Games[[#This Row],[POMult]]</f>
        <v>72.25</v>
      </c>
      <c r="AA300" s="4">
        <f>(Games[[#This Row],[Keff]]*Games[[#This Row],[MOVMult]])*(Games[[#This Row],[Result]]-Games[[#This Row],[ExpectedWin%]])</f>
        <v>16.869330447368569</v>
      </c>
      <c r="AB300" s="4">
        <f>Games[[#This Row],[PreGmRate]]+Games[[#This Row],[RatingChange]]</f>
        <v>1635.9552156712703</v>
      </c>
      <c r="AC300" s="2">
        <f>IF(Games[[#This Row],[Type]]="R",IF(Games[[#This Row],[Result]]&gt;0.5,1,0),0)</f>
        <v>1</v>
      </c>
      <c r="AD300" s="2">
        <f>IF(Games[[#This Row],[Type]]="R",IF(Games[[#This Row],[Result]]&lt;0.5,1,0),0)</f>
        <v>0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44759</v>
      </c>
      <c r="B301" s="2">
        <v>2022</v>
      </c>
      <c r="C301" s="2">
        <f>COUNTIFS(Games[Team],Games[[#This Row],[Team]],Games[Season],Games[[#This Row],[Season]],Games[Date],"&lt;=" &amp; Games[[#This Row],[Date]])</f>
        <v>25</v>
      </c>
      <c r="D301" s="2" t="s">
        <v>79</v>
      </c>
      <c r="E301" s="2" t="s">
        <v>80</v>
      </c>
      <c r="F301" s="1" t="s">
        <v>74</v>
      </c>
      <c r="G301" s="1" t="s">
        <v>86</v>
      </c>
      <c r="H301" s="1" t="s">
        <v>82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1" s="2">
        <f>Games[[#This Row],[DaysOff]]-Games[[#This Row],[OppDaysOff]]</f>
        <v>-1</v>
      </c>
      <c r="L301" s="2">
        <f>Games[[#This Row],[OppDaysOff]]-Games[[#This Row],[DaysOff]]</f>
        <v>1</v>
      </c>
      <c r="M301" s="16">
        <f>MAX(-16, MIN(16, Games[[#This Row],[RestDiff]]*8))</f>
        <v>-8</v>
      </c>
      <c r="N301" s="16">
        <f>MAX(-16, MIN(16, Games[[#This Row],[OppRestDiff]]*8))</f>
        <v>8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1624.3676853051372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1619.0858852239016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0.60392440687067406</v>
      </c>
      <c r="R301" s="1">
        <v>83</v>
      </c>
      <c r="S301" s="1">
        <v>91</v>
      </c>
      <c r="T301" s="1">
        <v>0</v>
      </c>
      <c r="U301" s="16">
        <f>Games[[#This Row],[PointsFor]]-Games[[#This Row],[PointsAgainst]]</f>
        <v>-8</v>
      </c>
      <c r="V301" s="16">
        <f>IF(Games[[#This Row],[MOV]]&gt;0,1,IF(Games[[#This Row],[MOV]]=0,0.5,0))</f>
        <v>0</v>
      </c>
      <c r="W301" s="4">
        <f>((ABS(Games[[#This Row],[MOV]])+5)^0.6)/(12+0.01*(ABS(Games[[#This Row],[PreGmRate]]-Games[[#This Row],[OppPreGmRate]])))*IF(Games[[#This Row],[OT]]=1,0.9,1)</f>
        <v>0.38661385409802068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72.25</v>
      </c>
      <c r="Z301" s="4">
        <f>Games[[#This Row],[K]]*Games[[#This Row],[POMult]]</f>
        <v>72.25</v>
      </c>
      <c r="AA301" s="4">
        <f>(Games[[#This Row],[Keff]]*Games[[#This Row],[MOVMult]])*(Games[[#This Row],[Result]]-Games[[#This Row],[ExpectedWin%]])</f>
        <v>-16.869330447368569</v>
      </c>
      <c r="AB301" s="4">
        <f>Games[[#This Row],[PreGmRate]]+Games[[#This Row],[RatingChange]]</f>
        <v>1607.4983548577686</v>
      </c>
      <c r="AC301" s="2">
        <f>IF(Games[[#This Row],[Type]]="R",IF(Games[[#This Row],[Result]]&gt;0.5,1,0),0)</f>
        <v>0</v>
      </c>
      <c r="AD301" s="2">
        <f>IF(Games[[#This Row],[Type]]="R",IF(Games[[#This Row],[Result]]&lt;0.5,1,0),0)</f>
        <v>1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44759</v>
      </c>
      <c r="B302" s="2">
        <v>2022</v>
      </c>
      <c r="C302" s="2">
        <f>COUNTIFS(Games[Team],Games[[#This Row],[Team]],Games[Season],Games[[#This Row],[Season]],Games[Date],"&lt;=" &amp; Games[[#This Row],[Date]])</f>
        <v>25</v>
      </c>
      <c r="D302" s="2" t="s">
        <v>79</v>
      </c>
      <c r="E302" s="2" t="s">
        <v>80</v>
      </c>
      <c r="F302" s="1" t="s">
        <v>77</v>
      </c>
      <c r="G302" s="1" t="s">
        <v>40</v>
      </c>
      <c r="H302" s="1" t="s">
        <v>81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2" s="2">
        <f>Games[[#This Row],[DaysOff]]-Games[[#This Row],[OppDaysOff]]</f>
        <v>-1</v>
      </c>
      <c r="L302" s="2">
        <f>Games[[#This Row],[OppDaysOff]]-Games[[#This Row],[DaysOff]]</f>
        <v>1</v>
      </c>
      <c r="M302" s="16">
        <f>MAX(-16, MIN(16, Games[[#This Row],[RestDiff]]*8))</f>
        <v>-8</v>
      </c>
      <c r="N302" s="16">
        <f>MAX(-16, MIN(16, Games[[#This Row],[OppRestDiff]]*8))</f>
        <v>8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1407.3849277504332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1475.5281676246807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0.27529722081794905</v>
      </c>
      <c r="R302" s="1">
        <v>85</v>
      </c>
      <c r="S302" s="1">
        <v>75</v>
      </c>
      <c r="T302" s="1">
        <v>0</v>
      </c>
      <c r="U302" s="16">
        <f>Games[[#This Row],[PointsFor]]-Games[[#This Row],[PointsAgainst]]</f>
        <v>10</v>
      </c>
      <c r="V302" s="16">
        <f>IF(Games[[#This Row],[MOV]]&gt;0,1,IF(Games[[#This Row],[MOV]]=0,0.5,0))</f>
        <v>1</v>
      </c>
      <c r="W302" s="4">
        <f>((ABS(Games[[#This Row],[MOV]])+5)^0.6)/(12+0.01*(ABS(Games[[#This Row],[PreGmRate]]-Games[[#This Row],[OppPreGmRate]])))*IF(Games[[#This Row],[OT]]=1,0.9,1)</f>
        <v>0.40039297078860836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72.25</v>
      </c>
      <c r="Z302" s="4">
        <f>Games[[#This Row],[K]]*Games[[#This Row],[POMult]]</f>
        <v>72.25</v>
      </c>
      <c r="AA302" s="4">
        <f>(Games[[#This Row],[Keff]]*Games[[#This Row],[MOVMult]])*(Games[[#This Row],[Result]]-Games[[#This Row],[ExpectedWin%]])</f>
        <v>20.964486180747148</v>
      </c>
      <c r="AB302" s="4">
        <f>Games[[#This Row],[PreGmRate]]+Games[[#This Row],[RatingChange]]</f>
        <v>1428.3494139311804</v>
      </c>
      <c r="AC302" s="2">
        <f>IF(Games[[#This Row],[Type]]="R",IF(Games[[#This Row],[Result]]&gt;0.5,1,0),0)</f>
        <v>1</v>
      </c>
      <c r="AD302" s="2">
        <f>IF(Games[[#This Row],[Type]]="R",IF(Games[[#This Row],[Result]]&lt;0.5,1,0),0)</f>
        <v>0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44759</v>
      </c>
      <c r="B303" s="2">
        <v>2022</v>
      </c>
      <c r="C303" s="2">
        <f>COUNTIFS(Games[Team],Games[[#This Row],[Team]],Games[Season],Games[[#This Row],[Season]],Games[Date],"&lt;=" &amp; Games[[#This Row],[Date]])</f>
        <v>27</v>
      </c>
      <c r="D303" s="2" t="s">
        <v>79</v>
      </c>
      <c r="E303" s="2" t="s">
        <v>80</v>
      </c>
      <c r="F303" s="1" t="s">
        <v>40</v>
      </c>
      <c r="G303" s="1" t="s">
        <v>77</v>
      </c>
      <c r="H303" s="1" t="s">
        <v>82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1</v>
      </c>
      <c r="L303" s="2">
        <f>Games[[#This Row],[OppDaysOff]]-Games[[#This Row],[DaysOff]]</f>
        <v>-1</v>
      </c>
      <c r="M303" s="16">
        <f>MAX(-16, MIN(16, Games[[#This Row],[RestDiff]]*8))</f>
        <v>8</v>
      </c>
      <c r="N303" s="16">
        <f>MAX(-16, MIN(16, Games[[#This Row],[OppRestDiff]]*8))</f>
        <v>-8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1475.5281676246807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1407.3849277504332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0.72470277918205095</v>
      </c>
      <c r="R303" s="1">
        <v>75</v>
      </c>
      <c r="S303" s="1">
        <v>85</v>
      </c>
      <c r="T303" s="1">
        <v>0</v>
      </c>
      <c r="U303" s="16">
        <f>Games[[#This Row],[PointsFor]]-Games[[#This Row],[PointsAgainst]]</f>
        <v>-10</v>
      </c>
      <c r="V303" s="16">
        <f>IF(Games[[#This Row],[MOV]]&gt;0,1,IF(Games[[#This Row],[MOV]]=0,0.5,0))</f>
        <v>0</v>
      </c>
      <c r="W303" s="4">
        <f>((ABS(Games[[#This Row],[MOV]])+5)^0.6)/(12+0.01*(ABS(Games[[#This Row],[PreGmRate]]-Games[[#This Row],[OppPreGmRate]])))*IF(Games[[#This Row],[OT]]=1,0.9,1)</f>
        <v>0.40039297078860836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71.95</v>
      </c>
      <c r="Z303" s="4">
        <f>Games[[#This Row],[K]]*Games[[#This Row],[POMult]]</f>
        <v>71.95</v>
      </c>
      <c r="AA303" s="4">
        <f>(Games[[#This Row],[Keff]]*Games[[#This Row],[MOVMult]])*(Games[[#This Row],[Result]]-Games[[#This Row],[ExpectedWin%]])</f>
        <v>-20.877436411138508</v>
      </c>
      <c r="AB303" s="4">
        <f>Games[[#This Row],[PreGmRate]]+Games[[#This Row],[RatingChange]]</f>
        <v>1454.6507312135423</v>
      </c>
      <c r="AC303" s="2">
        <f>IF(Games[[#This Row],[Type]]="R",IF(Games[[#This Row],[Result]]&gt;0.5,1,0),0)</f>
        <v>0</v>
      </c>
      <c r="AD303" s="2">
        <f>IF(Games[[#This Row],[Type]]="R",IF(Games[[#This Row],[Result]]&lt;0.5,1,0),0)</f>
        <v>1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44759</v>
      </c>
      <c r="B304" s="2">
        <v>2022</v>
      </c>
      <c r="C304" s="2">
        <f>COUNTIFS(Games[Team],Games[[#This Row],[Team]],Games[Season],Games[[#This Row],[Season]],Games[Date],"&lt;=" &amp; Games[[#This Row],[Date]])</f>
        <v>27</v>
      </c>
      <c r="D304" s="2" t="s">
        <v>79</v>
      </c>
      <c r="E304" s="2" t="s">
        <v>80</v>
      </c>
      <c r="F304" s="1" t="s">
        <v>69</v>
      </c>
      <c r="G304" s="1" t="s">
        <v>71</v>
      </c>
      <c r="H304" s="1" t="s">
        <v>81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4" s="2">
        <f>Games[[#This Row],[DaysOff]]-Games[[#This Row],[OppDaysOff]]</f>
        <v>-3</v>
      </c>
      <c r="L304" s="2">
        <f>Games[[#This Row],[OppDaysOff]]-Games[[#This Row],[DaysOff]]</f>
        <v>3</v>
      </c>
      <c r="M304" s="16">
        <f>MAX(-16, MIN(16, Games[[#This Row],[RestDiff]]*8))</f>
        <v>-16</v>
      </c>
      <c r="N304" s="16">
        <f>MAX(-16, MIN(16, Games[[#This Row],[OppRestDiff]]*8))</f>
        <v>16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1268.8270513268772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1593.3399602606926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7.338652745980169E-2</v>
      </c>
      <c r="R304" s="1">
        <v>65</v>
      </c>
      <c r="S304" s="1">
        <v>81</v>
      </c>
      <c r="T304" s="1">
        <v>0</v>
      </c>
      <c r="U304" s="16">
        <f>Games[[#This Row],[PointsFor]]-Games[[#This Row],[PointsAgainst]]</f>
        <v>-16</v>
      </c>
      <c r="V304" s="16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0.40756836829319959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71.95</v>
      </c>
      <c r="Z304" s="4">
        <f>Games[[#This Row],[K]]*Games[[#This Row],[POMult]]</f>
        <v>71.95</v>
      </c>
      <c r="AA304" s="4">
        <f>(Games[[#This Row],[Keff]]*Games[[#This Row],[MOVMult]])*(Games[[#This Row],[Result]]-Games[[#This Row],[ExpectedWin%]])</f>
        <v>-2.1520264607450983</v>
      </c>
      <c r="AB304" s="4">
        <f>Games[[#This Row],[PreGmRate]]+Games[[#This Row],[RatingChange]]</f>
        <v>1266.6750248661322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44759</v>
      </c>
      <c r="B305" s="2">
        <v>2022</v>
      </c>
      <c r="C305" s="2">
        <f>COUNTIFS(Games[Team],Games[[#This Row],[Team]],Games[Season],Games[[#This Row],[Season]],Games[Date],"&lt;=" &amp; Games[[#This Row],[Date]])</f>
        <v>25</v>
      </c>
      <c r="D305" s="2" t="s">
        <v>79</v>
      </c>
      <c r="E305" s="2" t="s">
        <v>80</v>
      </c>
      <c r="F305" s="1" t="s">
        <v>71</v>
      </c>
      <c r="G305" s="1" t="s">
        <v>69</v>
      </c>
      <c r="H305" s="1" t="s">
        <v>82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5" s="2">
        <f>Games[[#This Row],[DaysOff]]-Games[[#This Row],[OppDaysOff]]</f>
        <v>3</v>
      </c>
      <c r="L305" s="2">
        <f>Games[[#This Row],[OppDaysOff]]-Games[[#This Row],[DaysOff]]</f>
        <v>-3</v>
      </c>
      <c r="M305" s="16">
        <f>MAX(-16, MIN(16, Games[[#This Row],[RestDiff]]*8))</f>
        <v>16</v>
      </c>
      <c r="N305" s="16">
        <f>MAX(-16, MIN(16, Games[[#This Row],[OppRestDiff]]*8))</f>
        <v>-16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1593.3399602606926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1268.8270513268772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0.92661347254019832</v>
      </c>
      <c r="R305" s="1">
        <v>81</v>
      </c>
      <c r="S305" s="1">
        <v>65</v>
      </c>
      <c r="T305" s="1">
        <v>0</v>
      </c>
      <c r="U305" s="16">
        <f>Games[[#This Row],[PointsFor]]-Games[[#This Row],[PointsAgainst]]</f>
        <v>16</v>
      </c>
      <c r="V305" s="16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0.40756836829319959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72.25</v>
      </c>
      <c r="Z305" s="4">
        <f>Games[[#This Row],[K]]*Games[[#This Row],[POMult]]</f>
        <v>72.25</v>
      </c>
      <c r="AA305" s="4">
        <f>(Games[[#This Row],[Keff]]*Games[[#This Row],[MOVMult]])*(Games[[#This Row],[Result]]-Games[[#This Row],[ExpectedWin%]])</f>
        <v>2.1609994689205463</v>
      </c>
      <c r="AB305" s="4">
        <f>Games[[#This Row],[PreGmRate]]+Games[[#This Row],[RatingChange]]</f>
        <v>1595.5009597296132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44759</v>
      </c>
      <c r="B306" s="2">
        <v>2022</v>
      </c>
      <c r="C306" s="2">
        <f>COUNTIFS(Games[Team],Games[[#This Row],[Team]],Games[Season],Games[[#This Row],[Season]],Games[Date],"&lt;=" &amp; Games[[#This Row],[Date]])</f>
        <v>27</v>
      </c>
      <c r="D306" s="2" t="s">
        <v>79</v>
      </c>
      <c r="E306" s="2" t="s">
        <v>80</v>
      </c>
      <c r="F306" s="1" t="s">
        <v>67</v>
      </c>
      <c r="G306" s="1" t="s">
        <v>65</v>
      </c>
      <c r="H306" s="1" t="s">
        <v>81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6" s="2">
        <f>Games[[#This Row],[DaysOff]]-Games[[#This Row],[OppDaysOff]]</f>
        <v>-1</v>
      </c>
      <c r="L306" s="2">
        <f>Games[[#This Row],[OppDaysOff]]-Games[[#This Row],[DaysOff]]</f>
        <v>1</v>
      </c>
      <c r="M306" s="16">
        <f>MAX(-16, MIN(16, Games[[#This Row],[RestDiff]]*8))</f>
        <v>-8</v>
      </c>
      <c r="N306" s="16">
        <f>MAX(-16, MIN(16, Games[[#This Row],[OppRestDiff]]*8))</f>
        <v>8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1496.9965620676439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1549.1552259593166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0.29402901663000403</v>
      </c>
      <c r="R306" s="1">
        <v>57</v>
      </c>
      <c r="S306" s="1">
        <v>70</v>
      </c>
      <c r="T306" s="1">
        <v>0</v>
      </c>
      <c r="U306" s="16">
        <f>Games[[#This Row],[PointsFor]]-Games[[#This Row],[PointsAgainst]]</f>
        <v>-13</v>
      </c>
      <c r="V306" s="16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0.45238077498615326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71.95</v>
      </c>
      <c r="Z306" s="4">
        <f>Games[[#This Row],[K]]*Games[[#This Row],[POMult]]</f>
        <v>71.95</v>
      </c>
      <c r="AA306" s="4">
        <f>(Games[[#This Row],[Keff]]*Games[[#This Row],[MOVMult]])*(Games[[#This Row],[Result]]-Games[[#This Row],[ExpectedWin%]])</f>
        <v>-9.5702907039072649</v>
      </c>
      <c r="AB306" s="4">
        <f>Games[[#This Row],[PreGmRate]]+Games[[#This Row],[RatingChange]]</f>
        <v>1487.4262713637368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44759</v>
      </c>
      <c r="B307" s="2">
        <v>2022</v>
      </c>
      <c r="C307" s="2">
        <f>COUNTIFS(Games[Team],Games[[#This Row],[Team]],Games[Season],Games[[#This Row],[Season]],Games[Date],"&lt;=" &amp; Games[[#This Row],[Date]])</f>
        <v>27</v>
      </c>
      <c r="D307" s="2" t="s">
        <v>79</v>
      </c>
      <c r="E307" s="2" t="s">
        <v>80</v>
      </c>
      <c r="F307" s="1" t="s">
        <v>65</v>
      </c>
      <c r="G307" s="1" t="s">
        <v>67</v>
      </c>
      <c r="H307" s="1" t="s">
        <v>82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1</v>
      </c>
      <c r="L307" s="2">
        <f>Games[[#This Row],[OppDaysOff]]-Games[[#This Row],[DaysOff]]</f>
        <v>-1</v>
      </c>
      <c r="M307" s="16">
        <f>MAX(-16, MIN(16, Games[[#This Row],[RestDiff]]*8))</f>
        <v>8</v>
      </c>
      <c r="N307" s="16">
        <f>MAX(-16, MIN(16, Games[[#This Row],[OppRestDiff]]*8))</f>
        <v>-8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1549.1552259593166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1496.9965620676439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0.70597098336999597</v>
      </c>
      <c r="R307" s="1">
        <v>70</v>
      </c>
      <c r="S307" s="1">
        <v>57</v>
      </c>
      <c r="T307" s="1">
        <v>0</v>
      </c>
      <c r="U307" s="16">
        <f>Games[[#This Row],[PointsFor]]-Games[[#This Row],[PointsAgainst]]</f>
        <v>13</v>
      </c>
      <c r="V307" s="16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0.45238077498615326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71.95</v>
      </c>
      <c r="Z307" s="4">
        <f>Games[[#This Row],[K]]*Games[[#This Row],[POMult]]</f>
        <v>71.95</v>
      </c>
      <c r="AA307" s="4">
        <f>(Games[[#This Row],[Keff]]*Games[[#This Row],[MOVMult]])*(Games[[#This Row],[Result]]-Games[[#This Row],[ExpectedWin%]])</f>
        <v>9.5702907039072649</v>
      </c>
      <c r="AB307" s="4">
        <f>Games[[#This Row],[PreGmRate]]+Games[[#This Row],[RatingChange]]</f>
        <v>1558.7255166632237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44761</v>
      </c>
      <c r="B308" s="2">
        <v>2022</v>
      </c>
      <c r="C308" s="2">
        <f>COUNTIFS(Games[Team],Games[[#This Row],[Team]],Games[Season],Games[[#This Row],[Season]],Games[Date],"&lt;=" &amp; Games[[#This Row],[Date]])</f>
        <v>25</v>
      </c>
      <c r="D308" s="2" t="s">
        <v>79</v>
      </c>
      <c r="E308" s="2" t="s">
        <v>80</v>
      </c>
      <c r="F308" s="1" t="s">
        <v>60</v>
      </c>
      <c r="G308" s="1" t="s">
        <v>74</v>
      </c>
      <c r="H308" s="1" t="s">
        <v>81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8" s="2">
        <f>Games[[#This Row],[DaysOff]]-Games[[#This Row],[OppDaysOff]]</f>
        <v>3</v>
      </c>
      <c r="L308" s="2">
        <f>Games[[#This Row],[OppDaysOff]]-Games[[#This Row],[DaysOff]]</f>
        <v>-3</v>
      </c>
      <c r="M308" s="16">
        <f>MAX(-16, MIN(16, Games[[#This Row],[RestDiff]]*8))</f>
        <v>16</v>
      </c>
      <c r="N308" s="16">
        <f>MAX(-16, MIN(16, Games[[#This Row],[OppRestDiff]]*8))</f>
        <v>-16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1408.2216792546021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1607.4983548577686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0.19054623018770747</v>
      </c>
      <c r="R308" s="1">
        <v>63</v>
      </c>
      <c r="S308" s="1">
        <v>82</v>
      </c>
      <c r="T308" s="1">
        <v>0</v>
      </c>
      <c r="U308" s="16">
        <f>Games[[#This Row],[PointsFor]]-Games[[#This Row],[PointsAgainst]]</f>
        <v>-19</v>
      </c>
      <c r="V308" s="16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0.48108647775290359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72.25</v>
      </c>
      <c r="Z308" s="4">
        <f>Games[[#This Row],[K]]*Games[[#This Row],[POMult]]</f>
        <v>72.25</v>
      </c>
      <c r="AA308" s="4">
        <f>(Games[[#This Row],[Keff]]*Games[[#This Row],[MOVMult]])*(Games[[#This Row],[Result]]-Games[[#This Row],[ExpectedWin%]])</f>
        <v>-6.6231007642495934</v>
      </c>
      <c r="AB308" s="4">
        <f>Games[[#This Row],[PreGmRate]]+Games[[#This Row],[RatingChange]]</f>
        <v>1401.5985784903526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44761</v>
      </c>
      <c r="B309" s="2">
        <v>2022</v>
      </c>
      <c r="C309" s="2">
        <f>COUNTIFS(Games[Team],Games[[#This Row],[Team]],Games[Season],Games[[#This Row],[Season]],Games[Date],"&lt;=" &amp; Games[[#This Row],[Date]])</f>
        <v>26</v>
      </c>
      <c r="D309" s="2" t="s">
        <v>79</v>
      </c>
      <c r="E309" s="2" t="s">
        <v>80</v>
      </c>
      <c r="F309" s="1" t="s">
        <v>74</v>
      </c>
      <c r="G309" s="1" t="s">
        <v>60</v>
      </c>
      <c r="H309" s="1" t="s">
        <v>82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9" s="2">
        <f>Games[[#This Row],[DaysOff]]-Games[[#This Row],[OppDaysOff]]</f>
        <v>-3</v>
      </c>
      <c r="L309" s="2">
        <f>Games[[#This Row],[OppDaysOff]]-Games[[#This Row],[DaysOff]]</f>
        <v>3</v>
      </c>
      <c r="M309" s="16">
        <f>MAX(-16, MIN(16, Games[[#This Row],[RestDiff]]*8))</f>
        <v>-16</v>
      </c>
      <c r="N309" s="16">
        <f>MAX(-16, MIN(16, Games[[#This Row],[OppRestDiff]]*8))</f>
        <v>16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1607.4983548577686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1408.2216792546021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0.80945376981229256</v>
      </c>
      <c r="R309" s="1">
        <v>82</v>
      </c>
      <c r="S309" s="1">
        <v>63</v>
      </c>
      <c r="T309" s="1">
        <v>0</v>
      </c>
      <c r="U309" s="16">
        <f>Games[[#This Row],[PointsFor]]-Games[[#This Row],[PointsAgainst]]</f>
        <v>19</v>
      </c>
      <c r="V309" s="16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0.48108647775290359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72.099999999999994</v>
      </c>
      <c r="Z309" s="4">
        <f>Games[[#This Row],[K]]*Games[[#This Row],[POMult]]</f>
        <v>72.099999999999994</v>
      </c>
      <c r="AA309" s="4">
        <f>(Games[[#This Row],[Keff]]*Games[[#This Row],[MOVMult]])*(Games[[#This Row],[Result]]-Games[[#This Row],[ExpectedWin%]])</f>
        <v>6.6093503820400761</v>
      </c>
      <c r="AB309" s="4">
        <f>Games[[#This Row],[PreGmRate]]+Games[[#This Row],[RatingChange]]</f>
        <v>1614.1077052398086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44761</v>
      </c>
      <c r="B310" s="2">
        <v>2022</v>
      </c>
      <c r="C310" s="2">
        <f>COUNTIFS(Games[Team],Games[[#This Row],[Team]],Games[Season],Games[[#This Row],[Season]],Games[Date],"&lt;=" &amp; Games[[#This Row],[Date]])</f>
        <v>28</v>
      </c>
      <c r="D310" s="2" t="s">
        <v>79</v>
      </c>
      <c r="E310" s="2" t="s">
        <v>80</v>
      </c>
      <c r="F310" s="1" t="s">
        <v>69</v>
      </c>
      <c r="G310" s="1" t="s">
        <v>63</v>
      </c>
      <c r="H310" s="1" t="s">
        <v>81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0" s="2">
        <f>Games[[#This Row],[DaysOff]]-Games[[#This Row],[OppDaysOff]]</f>
        <v>-3</v>
      </c>
      <c r="L310" s="2">
        <f>Games[[#This Row],[OppDaysOff]]-Games[[#This Row],[DaysOff]]</f>
        <v>3</v>
      </c>
      <c r="M310" s="16">
        <f>MAX(-16, MIN(16, Games[[#This Row],[RestDiff]]*8))</f>
        <v>-16</v>
      </c>
      <c r="N310" s="16">
        <f>MAX(-16, MIN(16, Games[[#This Row],[OppRestDiff]]*8))</f>
        <v>16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1266.6750248661322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1429.1895466533756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0.16752669199451045</v>
      </c>
      <c r="R310" s="1">
        <v>79</v>
      </c>
      <c r="S310" s="1">
        <v>86</v>
      </c>
      <c r="T310" s="1">
        <v>0</v>
      </c>
      <c r="U310" s="16">
        <f>Games[[#This Row],[PointsFor]]-Games[[#This Row],[PointsAgainst]]</f>
        <v>-7</v>
      </c>
      <c r="V310" s="16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0.32596247590962163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71.8</v>
      </c>
      <c r="Z310" s="4">
        <f>Games[[#This Row],[K]]*Games[[#This Row],[POMult]]</f>
        <v>71.8</v>
      </c>
      <c r="AA310" s="4">
        <f>(Games[[#This Row],[Keff]]*Games[[#This Row],[MOVMult]])*(Games[[#This Row],[Result]]-Games[[#This Row],[ExpectedWin%]])</f>
        <v>-3.9208124187898075</v>
      </c>
      <c r="AB310" s="4">
        <f>Games[[#This Row],[PreGmRate]]+Games[[#This Row],[RatingChange]]</f>
        <v>1262.7542124473423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44761</v>
      </c>
      <c r="B311" s="2">
        <v>2022</v>
      </c>
      <c r="C311" s="2">
        <f>COUNTIFS(Games[Team],Games[[#This Row],[Team]],Games[Season],Games[[#This Row],[Season]],Games[Date],"&lt;=" &amp; Games[[#This Row],[Date]])</f>
        <v>25</v>
      </c>
      <c r="D311" s="2" t="s">
        <v>79</v>
      </c>
      <c r="E311" s="2" t="s">
        <v>80</v>
      </c>
      <c r="F311" s="1" t="s">
        <v>63</v>
      </c>
      <c r="G311" s="1" t="s">
        <v>69</v>
      </c>
      <c r="H311" s="1" t="s">
        <v>82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1" s="2">
        <f>Games[[#This Row],[DaysOff]]-Games[[#This Row],[OppDaysOff]]</f>
        <v>3</v>
      </c>
      <c r="L311" s="2">
        <f>Games[[#This Row],[OppDaysOff]]-Games[[#This Row],[DaysOff]]</f>
        <v>-3</v>
      </c>
      <c r="M311" s="16">
        <f>MAX(-16, MIN(16, Games[[#This Row],[RestDiff]]*8))</f>
        <v>16</v>
      </c>
      <c r="N311" s="16">
        <f>MAX(-16, MIN(16, Games[[#This Row],[OppRestDiff]]*8))</f>
        <v>-16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1429.1895466533756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1266.6750248661322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0.83247330800548958</v>
      </c>
      <c r="R311" s="1">
        <v>86</v>
      </c>
      <c r="S311" s="1">
        <v>79</v>
      </c>
      <c r="T311" s="1">
        <v>0</v>
      </c>
      <c r="U311" s="16">
        <f>Games[[#This Row],[PointsFor]]-Games[[#This Row],[PointsAgainst]]</f>
        <v>7</v>
      </c>
      <c r="V311" s="16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0.32596247590962163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72.25</v>
      </c>
      <c r="Z311" s="4">
        <f>Games[[#This Row],[K]]*Games[[#This Row],[POMult]]</f>
        <v>72.25</v>
      </c>
      <c r="AA311" s="4">
        <f>(Games[[#This Row],[Keff]]*Games[[#This Row],[MOVMult]])*(Games[[#This Row],[Result]]-Games[[#This Row],[ExpectedWin%]])</f>
        <v>3.9453857556763725</v>
      </c>
      <c r="AB311" s="4">
        <f>Games[[#This Row],[PreGmRate]]+Games[[#This Row],[RatingChange]]</f>
        <v>1433.134932409052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44761</v>
      </c>
      <c r="B312" s="2">
        <v>2022</v>
      </c>
      <c r="C312" s="2">
        <f>COUNTIFS(Games[Team],Games[[#This Row],[Team]],Games[Season],Games[[#This Row],[Season]],Games[Date],"&lt;=" &amp; Games[[#This Row],[Date]])</f>
        <v>26</v>
      </c>
      <c r="D312" s="2" t="s">
        <v>79</v>
      </c>
      <c r="E312" s="2" t="s">
        <v>80</v>
      </c>
      <c r="F312" s="1" t="s">
        <v>77</v>
      </c>
      <c r="G312" s="1" t="s">
        <v>86</v>
      </c>
      <c r="H312" s="1" t="s">
        <v>81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2" s="2">
        <f>Games[[#This Row],[DaysOff]]-Games[[#This Row],[OppDaysOff]]</f>
        <v>0</v>
      </c>
      <c r="L312" s="2">
        <f>Games[[#This Row],[OppDaysOff]]-Games[[#This Row],[DaysOff]]</f>
        <v>0</v>
      </c>
      <c r="M312" s="16">
        <f>MAX(-16, MIN(16, Games[[#This Row],[RestDiff]]*8))</f>
        <v>0</v>
      </c>
      <c r="N312" s="16">
        <f>MAX(-16, MIN(16, Games[[#This Row],[OppRestDiff]]*8))</f>
        <v>0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1428.3494139311804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1635.9552156712703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0.15727856443777152</v>
      </c>
      <c r="R312" s="1">
        <v>92</v>
      </c>
      <c r="S312" s="1">
        <v>76</v>
      </c>
      <c r="T312" s="1">
        <v>0</v>
      </c>
      <c r="U312" s="16">
        <f>Games[[#This Row],[PointsFor]]-Games[[#This Row],[PointsAgainst]]</f>
        <v>16</v>
      </c>
      <c r="V312" s="16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0.44141849796865462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72.099999999999994</v>
      </c>
      <c r="Z312" s="4">
        <f>Games[[#This Row],[K]]*Games[[#This Row],[POMult]]</f>
        <v>72.099999999999994</v>
      </c>
      <c r="AA312" s="4">
        <f>(Games[[#This Row],[Keff]]*Games[[#This Row],[MOVMult]])*(Games[[#This Row],[Result]]-Games[[#This Row],[ExpectedWin%]])</f>
        <v>26.820683064043628</v>
      </c>
      <c r="AB312" s="4">
        <f>Games[[#This Row],[PreGmRate]]+Games[[#This Row],[RatingChange]]</f>
        <v>1455.170096995224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44761</v>
      </c>
      <c r="B313" s="2">
        <v>2022</v>
      </c>
      <c r="C313" s="2">
        <f>COUNTIFS(Games[Team],Games[[#This Row],[Team]],Games[Season],Games[[#This Row],[Season]],Games[Date],"&lt;=" &amp; Games[[#This Row],[Date]])</f>
        <v>26</v>
      </c>
      <c r="D313" s="2" t="s">
        <v>79</v>
      </c>
      <c r="E313" s="2" t="s">
        <v>80</v>
      </c>
      <c r="F313" s="1" t="s">
        <v>86</v>
      </c>
      <c r="G313" s="1" t="s">
        <v>77</v>
      </c>
      <c r="H313" s="1" t="s">
        <v>82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3" s="2">
        <f>Games[[#This Row],[DaysOff]]-Games[[#This Row],[OppDaysOff]]</f>
        <v>0</v>
      </c>
      <c r="L313" s="2">
        <f>Games[[#This Row],[OppDaysOff]]-Games[[#This Row],[DaysOff]]</f>
        <v>0</v>
      </c>
      <c r="M313" s="16">
        <f>MAX(-16, MIN(16, Games[[#This Row],[RestDiff]]*8))</f>
        <v>0</v>
      </c>
      <c r="N313" s="16">
        <f>MAX(-16, MIN(16, Games[[#This Row],[OppRestDiff]]*8))</f>
        <v>0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1635.9552156712703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1428.3494139311804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0.84272143556222845</v>
      </c>
      <c r="R313" s="1">
        <v>76</v>
      </c>
      <c r="S313" s="1">
        <v>92</v>
      </c>
      <c r="T313" s="1">
        <v>0</v>
      </c>
      <c r="U313" s="16">
        <f>Games[[#This Row],[PointsFor]]-Games[[#This Row],[PointsAgainst]]</f>
        <v>-16</v>
      </c>
      <c r="V313" s="16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0.44141849796865462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72.099999999999994</v>
      </c>
      <c r="Z313" s="4">
        <f>Games[[#This Row],[K]]*Games[[#This Row],[POMult]]</f>
        <v>72.099999999999994</v>
      </c>
      <c r="AA313" s="4">
        <f>(Games[[#This Row],[Keff]]*Games[[#This Row],[MOVMult]])*(Games[[#This Row],[Result]]-Games[[#This Row],[ExpectedWin%]])</f>
        <v>-26.820683064043628</v>
      </c>
      <c r="AB313" s="4">
        <f>Games[[#This Row],[PreGmRate]]+Games[[#This Row],[RatingChange]]</f>
        <v>1609.1345326072267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44762</v>
      </c>
      <c r="B314" s="2">
        <v>2022</v>
      </c>
      <c r="C314" s="2">
        <f>COUNTIFS(Games[Team],Games[[#This Row],[Team]],Games[Season],Games[[#This Row],[Season]],Games[Date],"&lt;=" &amp; Games[[#This Row],[Date]])</f>
        <v>26</v>
      </c>
      <c r="D314" s="2" t="s">
        <v>79</v>
      </c>
      <c r="E314" s="2" t="s">
        <v>80</v>
      </c>
      <c r="F314" s="1" t="s">
        <v>71</v>
      </c>
      <c r="G314" s="1" t="s">
        <v>75</v>
      </c>
      <c r="H314" s="1" t="s">
        <v>81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4" s="2">
        <f>Games[[#This Row],[DaysOff]]-Games[[#This Row],[OppDaysOff]]</f>
        <v>-1</v>
      </c>
      <c r="L314" s="2">
        <f>Games[[#This Row],[OppDaysOff]]-Games[[#This Row],[DaysOff]]</f>
        <v>1</v>
      </c>
      <c r="M314" s="16">
        <f>MAX(-16, MIN(16, Games[[#This Row],[RestDiff]]*8))</f>
        <v>-8</v>
      </c>
      <c r="N314" s="16">
        <f>MAX(-16, MIN(16, Games[[#This Row],[OppRestDiff]]*8))</f>
        <v>8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1595.5009597296132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1667.931765902063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0.27040050996467491</v>
      </c>
      <c r="R314" s="1">
        <v>74</v>
      </c>
      <c r="S314" s="1">
        <v>78</v>
      </c>
      <c r="T314" s="1">
        <v>0</v>
      </c>
      <c r="U314" s="16">
        <f>Games[[#This Row],[PointsFor]]-Games[[#This Row],[PointsAgainst]]</f>
        <v>-4</v>
      </c>
      <c r="V314" s="16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0.29370499367963732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72.099999999999994</v>
      </c>
      <c r="Z314" s="4">
        <f>Games[[#This Row],[K]]*Games[[#This Row],[POMult]]</f>
        <v>72.099999999999994</v>
      </c>
      <c r="AA314" s="4">
        <f>(Games[[#This Row],[Keff]]*Games[[#This Row],[MOVMult]])*(Games[[#This Row],[Result]]-Games[[#This Row],[ExpectedWin%]])</f>
        <v>-5.726036363057494</v>
      </c>
      <c r="AB314" s="4">
        <f>Games[[#This Row],[PreGmRate]]+Games[[#This Row],[RatingChange]]</f>
        <v>1589.7749233665556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44762</v>
      </c>
      <c r="B315" s="2">
        <v>2022</v>
      </c>
      <c r="C315" s="2">
        <f>COUNTIFS(Games[Team],Games[[#This Row],[Team]],Games[Season],Games[[#This Row],[Season]],Games[Date],"&lt;=" &amp; Games[[#This Row],[Date]])</f>
        <v>26</v>
      </c>
      <c r="D315" s="2" t="s">
        <v>79</v>
      </c>
      <c r="E315" s="2" t="s">
        <v>80</v>
      </c>
      <c r="F315" s="1" t="s">
        <v>75</v>
      </c>
      <c r="G315" s="1" t="s">
        <v>71</v>
      </c>
      <c r="H315" s="1" t="s">
        <v>82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5" s="2">
        <f>Games[[#This Row],[DaysOff]]-Games[[#This Row],[OppDaysOff]]</f>
        <v>1</v>
      </c>
      <c r="L315" s="2">
        <f>Games[[#This Row],[OppDaysOff]]-Games[[#This Row],[DaysOff]]</f>
        <v>-1</v>
      </c>
      <c r="M315" s="16">
        <f>MAX(-16, MIN(16, Games[[#This Row],[RestDiff]]*8))</f>
        <v>8</v>
      </c>
      <c r="N315" s="16">
        <f>MAX(-16, MIN(16, Games[[#This Row],[OppRestDiff]]*8))</f>
        <v>-8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1667.931765902063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1595.5009597296132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0.72959949003532509</v>
      </c>
      <c r="R315" s="1">
        <v>78</v>
      </c>
      <c r="S315" s="1">
        <v>74</v>
      </c>
      <c r="T315" s="1">
        <v>0</v>
      </c>
      <c r="U315" s="16">
        <f>Games[[#This Row],[PointsFor]]-Games[[#This Row],[PointsAgainst]]</f>
        <v>4</v>
      </c>
      <c r="V315" s="16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0.29370499367963732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72.099999999999994</v>
      </c>
      <c r="Z315" s="4">
        <f>Games[[#This Row],[K]]*Games[[#This Row],[POMult]]</f>
        <v>72.099999999999994</v>
      </c>
      <c r="AA315" s="4">
        <f>(Games[[#This Row],[Keff]]*Games[[#This Row],[MOVMult]])*(Games[[#This Row],[Result]]-Games[[#This Row],[ExpectedWin%]])</f>
        <v>5.726036363057494</v>
      </c>
      <c r="AB315" s="4">
        <f>Games[[#This Row],[PreGmRate]]+Games[[#This Row],[RatingChange]]</f>
        <v>1673.6578022651206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44763</v>
      </c>
      <c r="B316" s="2">
        <v>2022</v>
      </c>
      <c r="C316" s="2">
        <f>COUNTIFS(Games[Team],Games[[#This Row],[Team]],Games[Season],Games[[#This Row],[Season]],Games[Date],"&lt;=" &amp; Games[[#This Row],[Date]])</f>
        <v>27</v>
      </c>
      <c r="D316" s="2" t="s">
        <v>79</v>
      </c>
      <c r="E316" s="2" t="s">
        <v>80</v>
      </c>
      <c r="F316" s="1" t="s">
        <v>77</v>
      </c>
      <c r="G316" s="1" t="s">
        <v>63</v>
      </c>
      <c r="H316" s="1" t="s">
        <v>81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6" s="2">
        <f>Games[[#This Row],[DaysOff]]-Games[[#This Row],[OppDaysOff]]</f>
        <v>0</v>
      </c>
      <c r="L316" s="2">
        <f>Games[[#This Row],[OppDaysOff]]-Games[[#This Row],[DaysOff]]</f>
        <v>0</v>
      </c>
      <c r="M316" s="16">
        <f>MAX(-16, MIN(16, Games[[#This Row],[RestDiff]]*8))</f>
        <v>0</v>
      </c>
      <c r="N316" s="16">
        <f>MAX(-16, MIN(16, Games[[#This Row],[OppRestDiff]]*8))</f>
        <v>0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1455.170096995224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1433.134932409052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0.41175905700405369</v>
      </c>
      <c r="R316" s="1">
        <v>78</v>
      </c>
      <c r="S316" s="1">
        <v>85</v>
      </c>
      <c r="T316" s="1">
        <v>0</v>
      </c>
      <c r="U316" s="16">
        <f>Games[[#This Row],[PointsFor]]-Games[[#This Row],[PointsAgainst]]</f>
        <v>-7</v>
      </c>
      <c r="V316" s="16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0.36343357364432555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71.95</v>
      </c>
      <c r="Z316" s="4">
        <f>Games[[#This Row],[K]]*Games[[#This Row],[POMult]]</f>
        <v>71.95</v>
      </c>
      <c r="AA316" s="4">
        <f>(Games[[#This Row],[Keff]]*Games[[#This Row],[MOVMult]])*(Games[[#This Row],[Result]]-Games[[#This Row],[ExpectedWin%]])</f>
        <v>-10.767106367574486</v>
      </c>
      <c r="AB316" s="4">
        <f>Games[[#This Row],[PreGmRate]]+Games[[#This Row],[RatingChange]]</f>
        <v>1444.4029906276494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44763</v>
      </c>
      <c r="B317" s="2">
        <v>2022</v>
      </c>
      <c r="C317" s="2">
        <f>COUNTIFS(Games[Team],Games[[#This Row],[Team]],Games[Season],Games[[#This Row],[Season]],Games[Date],"&lt;=" &amp; Games[[#This Row],[Date]])</f>
        <v>26</v>
      </c>
      <c r="D317" s="2" t="s">
        <v>79</v>
      </c>
      <c r="E317" s="2" t="s">
        <v>80</v>
      </c>
      <c r="F317" s="1" t="s">
        <v>63</v>
      </c>
      <c r="G317" s="1" t="s">
        <v>77</v>
      </c>
      <c r="H317" s="1" t="s">
        <v>82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7" s="2">
        <f>Games[[#This Row],[DaysOff]]-Games[[#This Row],[OppDaysOff]]</f>
        <v>0</v>
      </c>
      <c r="L317" s="2">
        <f>Games[[#This Row],[OppDaysOff]]-Games[[#This Row],[DaysOff]]</f>
        <v>0</v>
      </c>
      <c r="M317" s="16">
        <f>MAX(-16, MIN(16, Games[[#This Row],[RestDiff]]*8))</f>
        <v>0</v>
      </c>
      <c r="N317" s="16">
        <f>MAX(-16, MIN(16, Games[[#This Row],[OppRestDiff]]*8))</f>
        <v>0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1433.134932409052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1455.170096995224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0.58824094299594631</v>
      </c>
      <c r="R317" s="1">
        <v>85</v>
      </c>
      <c r="S317" s="1">
        <v>78</v>
      </c>
      <c r="T317" s="1">
        <v>0</v>
      </c>
      <c r="U317" s="16">
        <f>Games[[#This Row],[PointsFor]]-Games[[#This Row],[PointsAgainst]]</f>
        <v>7</v>
      </c>
      <c r="V317" s="16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0.36343357364432555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72.099999999999994</v>
      </c>
      <c r="Z317" s="4">
        <f>Games[[#This Row],[K]]*Games[[#This Row],[POMult]]</f>
        <v>72.099999999999994</v>
      </c>
      <c r="AA317" s="4">
        <f>(Games[[#This Row],[Keff]]*Games[[#This Row],[MOVMult]])*(Games[[#This Row],[Result]]-Games[[#This Row],[ExpectedWin%]])</f>
        <v>10.789553427409595</v>
      </c>
      <c r="AB317" s="4">
        <f>Games[[#This Row],[PreGmRate]]+Games[[#This Row],[RatingChange]]</f>
        <v>1443.9244858364616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44763</v>
      </c>
      <c r="B318" s="2">
        <v>2022</v>
      </c>
      <c r="C318" s="2">
        <f>COUNTIFS(Games[Team],Games[[#This Row],[Team]],Games[Season],Games[[#This Row],[Season]],Games[Date],"&lt;=" &amp; Games[[#This Row],[Date]])</f>
        <v>29</v>
      </c>
      <c r="D318" s="2" t="s">
        <v>79</v>
      </c>
      <c r="E318" s="2" t="s">
        <v>80</v>
      </c>
      <c r="F318" s="1" t="s">
        <v>69</v>
      </c>
      <c r="G318" s="1" t="s">
        <v>86</v>
      </c>
      <c r="H318" s="1" t="s">
        <v>81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6">
        <f>MAX(-16, MIN(16, Games[[#This Row],[RestDiff]]*8))</f>
        <v>0</v>
      </c>
      <c r="N318" s="16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1262.7542124473423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1609.1345326072267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7.7452910578948861E-2</v>
      </c>
      <c r="R318" s="1">
        <v>77</v>
      </c>
      <c r="S318" s="1">
        <v>90</v>
      </c>
      <c r="T318" s="1">
        <v>0</v>
      </c>
      <c r="U318" s="16">
        <f>Games[[#This Row],[PointsFor]]-Games[[#This Row],[PointsAgainst]]</f>
        <v>-13</v>
      </c>
      <c r="V318" s="16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0.36630866248891092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71.650000000000006</v>
      </c>
      <c r="Z318" s="4">
        <f>Games[[#This Row],[K]]*Games[[#This Row],[POMult]]</f>
        <v>71.650000000000006</v>
      </c>
      <c r="AA318" s="4">
        <f>(Games[[#This Row],[Keff]]*Games[[#This Row],[MOVMult]])*(Games[[#This Row],[Result]]-Games[[#This Row],[ExpectedWin%]])</f>
        <v>-2.0328303045354374</v>
      </c>
      <c r="AB318" s="4">
        <f>Games[[#This Row],[PreGmRate]]+Games[[#This Row],[RatingChange]]</f>
        <v>1260.7213821428068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44763</v>
      </c>
      <c r="B319" s="2">
        <v>2022</v>
      </c>
      <c r="C319" s="2">
        <f>COUNTIFS(Games[Team],Games[[#This Row],[Team]],Games[Season],Games[[#This Row],[Season]],Games[Date],"&lt;=" &amp; Games[[#This Row],[Date]])</f>
        <v>27</v>
      </c>
      <c r="D319" s="2" t="s">
        <v>79</v>
      </c>
      <c r="E319" s="2" t="s">
        <v>80</v>
      </c>
      <c r="F319" s="1" t="s">
        <v>86</v>
      </c>
      <c r="G319" s="1" t="s">
        <v>69</v>
      </c>
      <c r="H319" s="1" t="s">
        <v>82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6">
        <f>MAX(-16, MIN(16, Games[[#This Row],[RestDiff]]*8))</f>
        <v>0</v>
      </c>
      <c r="N319" s="16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1609.1345326072267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1262.7542124473423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0.92254708942105124</v>
      </c>
      <c r="R319" s="1">
        <v>90</v>
      </c>
      <c r="S319" s="1">
        <v>77</v>
      </c>
      <c r="T319" s="1">
        <v>0</v>
      </c>
      <c r="U319" s="16">
        <f>Games[[#This Row],[PointsFor]]-Games[[#This Row],[PointsAgainst]]</f>
        <v>13</v>
      </c>
      <c r="V319" s="16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0.36630866248891092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71.95</v>
      </c>
      <c r="Z319" s="4">
        <f>Games[[#This Row],[K]]*Games[[#This Row],[POMult]]</f>
        <v>71.95</v>
      </c>
      <c r="AA319" s="4">
        <f>(Games[[#This Row],[Keff]]*Games[[#This Row],[MOVMult]])*(Games[[#This Row],[Result]]-Games[[#This Row],[ExpectedWin%]])</f>
        <v>2.0413418061594495</v>
      </c>
      <c r="AB319" s="4">
        <f>Games[[#This Row],[PreGmRate]]+Games[[#This Row],[RatingChange]]</f>
        <v>1611.1758744133861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44763</v>
      </c>
      <c r="B320" s="2">
        <v>2022</v>
      </c>
      <c r="C320" s="2">
        <f>COUNTIFS(Games[Team],Games[[#This Row],[Team]],Games[Season],Games[[#This Row],[Season]],Games[Date],"&lt;=" &amp; Games[[#This Row],[Date]])</f>
        <v>26</v>
      </c>
      <c r="D320" s="2" t="s">
        <v>79</v>
      </c>
      <c r="E320" s="2" t="s">
        <v>80</v>
      </c>
      <c r="F320" s="1" t="s">
        <v>60</v>
      </c>
      <c r="G320" s="1" t="s">
        <v>65</v>
      </c>
      <c r="H320" s="1" t="s">
        <v>81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0" s="2">
        <f>Games[[#This Row],[DaysOff]]-Games[[#This Row],[OppDaysOff]]</f>
        <v>-2</v>
      </c>
      <c r="L320" s="2">
        <f>Games[[#This Row],[OppDaysOff]]-Games[[#This Row],[DaysOff]]</f>
        <v>2</v>
      </c>
      <c r="M320" s="16">
        <f>MAX(-16, MIN(16, Games[[#This Row],[RestDiff]]*8))</f>
        <v>-16</v>
      </c>
      <c r="N320" s="16">
        <f>MAX(-16, MIN(16, Games[[#This Row],[OppRestDiff]]*8))</f>
        <v>16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1401.5985784903526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1558.7255166632237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0.17189657889456608</v>
      </c>
      <c r="R320" s="1">
        <v>69</v>
      </c>
      <c r="S320" s="1">
        <v>78</v>
      </c>
      <c r="T320" s="1">
        <v>0</v>
      </c>
      <c r="U320" s="16">
        <f>Games[[#This Row],[PointsFor]]-Games[[#This Row],[PointsAgainst]]</f>
        <v>-9</v>
      </c>
      <c r="V320" s="16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0.35896850830517968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72.099999999999994</v>
      </c>
      <c r="Z320" s="4">
        <f>Games[[#This Row],[K]]*Games[[#This Row],[POMult]]</f>
        <v>72.099999999999994</v>
      </c>
      <c r="AA320" s="4">
        <f>(Games[[#This Row],[Keff]]*Games[[#This Row],[MOVMult]])*(Games[[#This Row],[Result]]-Games[[#This Row],[ExpectedWin%]])</f>
        <v>-4.4489635584661675</v>
      </c>
      <c r="AB320" s="4">
        <f>Games[[#This Row],[PreGmRate]]+Games[[#This Row],[RatingChange]]</f>
        <v>1397.1496149318864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44763</v>
      </c>
      <c r="B321" s="2">
        <v>2022</v>
      </c>
      <c r="C321" s="2">
        <f>COUNTIFS(Games[Team],Games[[#This Row],[Team]],Games[Season],Games[[#This Row],[Season]],Games[Date],"&lt;=" &amp; Games[[#This Row],[Date]])</f>
        <v>28</v>
      </c>
      <c r="D321" s="2" t="s">
        <v>79</v>
      </c>
      <c r="E321" s="2" t="s">
        <v>80</v>
      </c>
      <c r="F321" s="1" t="s">
        <v>65</v>
      </c>
      <c r="G321" s="1" t="s">
        <v>60</v>
      </c>
      <c r="H321" s="1" t="s">
        <v>82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2</v>
      </c>
      <c r="L321" s="2">
        <f>Games[[#This Row],[OppDaysOff]]-Games[[#This Row],[DaysOff]]</f>
        <v>-2</v>
      </c>
      <c r="M321" s="16">
        <f>MAX(-16, MIN(16, Games[[#This Row],[RestDiff]]*8))</f>
        <v>16</v>
      </c>
      <c r="N321" s="16">
        <f>MAX(-16, MIN(16, Games[[#This Row],[OppRestDiff]]*8))</f>
        <v>-16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1558.7255166632237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1401.5985784903526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0.828103421105434</v>
      </c>
      <c r="R321" s="1">
        <v>78</v>
      </c>
      <c r="S321" s="1">
        <v>69</v>
      </c>
      <c r="T321" s="1">
        <v>0</v>
      </c>
      <c r="U321" s="16">
        <f>Games[[#This Row],[PointsFor]]-Games[[#This Row],[PointsAgainst]]</f>
        <v>9</v>
      </c>
      <c r="V321" s="16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0.35896850830517968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71.8</v>
      </c>
      <c r="Z321" s="4">
        <f>Games[[#This Row],[K]]*Games[[#This Row],[POMult]]</f>
        <v>71.8</v>
      </c>
      <c r="AA321" s="4">
        <f>(Games[[#This Row],[Keff]]*Games[[#This Row],[MOVMult]])*(Games[[#This Row],[Result]]-Games[[#This Row],[ExpectedWin%]])</f>
        <v>4.430451920913602</v>
      </c>
      <c r="AB321" s="4">
        <f>Games[[#This Row],[PreGmRate]]+Games[[#This Row],[RatingChange]]</f>
        <v>1563.1559685841373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44764</v>
      </c>
      <c r="B322" s="2">
        <v>2022</v>
      </c>
      <c r="C322" s="2">
        <f>COUNTIFS(Games[Team],Games[[#This Row],[Team]],Games[Season],Games[[#This Row],[Season]],Games[Date],"&lt;=" &amp; Games[[#This Row],[Date]])</f>
        <v>26</v>
      </c>
      <c r="D322" s="2" t="s">
        <v>79</v>
      </c>
      <c r="E322" s="2" t="s">
        <v>80</v>
      </c>
      <c r="F322" s="1" t="s">
        <v>85</v>
      </c>
      <c r="G322" s="1" t="s">
        <v>75</v>
      </c>
      <c r="H322" s="1" t="s">
        <v>81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4</v>
      </c>
      <c r="L322" s="2">
        <f>Games[[#This Row],[OppDaysOff]]-Games[[#This Row],[DaysOff]]</f>
        <v>-4</v>
      </c>
      <c r="M322" s="16">
        <f>MAX(-16, MIN(16, Games[[#This Row],[RestDiff]]*8))</f>
        <v>16</v>
      </c>
      <c r="N322" s="16">
        <f>MAX(-16, MIN(16, Games[[#This Row],[OppRestDiff]]*8))</f>
        <v>-16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1460.4355421404839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1673.6578022651206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0.17847086201161719</v>
      </c>
      <c r="R322" s="1">
        <v>83</v>
      </c>
      <c r="S322" s="1">
        <v>89</v>
      </c>
      <c r="T322" s="1">
        <v>0</v>
      </c>
      <c r="U322" s="16">
        <f>Games[[#This Row],[PointsFor]]-Games[[#This Row],[PointsAgainst]]</f>
        <v>-6</v>
      </c>
      <c r="V322" s="16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0.29828069172361699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72.099999999999994</v>
      </c>
      <c r="Z322" s="4">
        <f>Games[[#This Row],[K]]*Games[[#This Row],[POMult]]</f>
        <v>72.099999999999994</v>
      </c>
      <c r="AA322" s="4">
        <f>(Games[[#This Row],[Keff]]*Games[[#This Row],[MOVMult]])*(Games[[#This Row],[Result]]-Games[[#This Row],[ExpectedWin%]])</f>
        <v>-3.8382011176974795</v>
      </c>
      <c r="AB322" s="4">
        <f>Games[[#This Row],[PreGmRate]]+Games[[#This Row],[RatingChange]]</f>
        <v>1456.5973410227864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44764</v>
      </c>
      <c r="B323" s="2">
        <v>2022</v>
      </c>
      <c r="C323" s="2">
        <f>COUNTIFS(Games[Team],Games[[#This Row],[Team]],Games[Season],Games[[#This Row],[Season]],Games[Date],"&lt;=" &amp; Games[[#This Row],[Date]])</f>
        <v>27</v>
      </c>
      <c r="D323" s="2" t="s">
        <v>79</v>
      </c>
      <c r="E323" s="2" t="s">
        <v>80</v>
      </c>
      <c r="F323" s="1" t="s">
        <v>75</v>
      </c>
      <c r="G323" s="1" t="s">
        <v>85</v>
      </c>
      <c r="H323" s="1" t="s">
        <v>82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23" s="2">
        <f>Games[[#This Row],[DaysOff]]-Games[[#This Row],[OppDaysOff]]</f>
        <v>-4</v>
      </c>
      <c r="L323" s="2">
        <f>Games[[#This Row],[OppDaysOff]]-Games[[#This Row],[DaysOff]]</f>
        <v>4</v>
      </c>
      <c r="M323" s="16">
        <f>MAX(-16, MIN(16, Games[[#This Row],[RestDiff]]*8))</f>
        <v>-16</v>
      </c>
      <c r="N323" s="16">
        <f>MAX(-16, MIN(16, Games[[#This Row],[OppRestDiff]]*8))</f>
        <v>16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1673.6578022651206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1460.4355421404839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0.8215291379883829</v>
      </c>
      <c r="R323" s="1">
        <v>89</v>
      </c>
      <c r="S323" s="1">
        <v>83</v>
      </c>
      <c r="T323" s="1">
        <v>0</v>
      </c>
      <c r="U323" s="16">
        <f>Games[[#This Row],[PointsFor]]-Games[[#This Row],[PointsAgainst]]</f>
        <v>6</v>
      </c>
      <c r="V323" s="16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0.29828069172361699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71.95</v>
      </c>
      <c r="Z323" s="4">
        <f>Games[[#This Row],[K]]*Games[[#This Row],[POMult]]</f>
        <v>71.95</v>
      </c>
      <c r="AA323" s="4">
        <f>(Games[[#This Row],[Keff]]*Games[[#This Row],[MOVMult]])*(Games[[#This Row],[Result]]-Games[[#This Row],[ExpectedWin%]])</f>
        <v>3.8302159558714788</v>
      </c>
      <c r="AB323" s="4">
        <f>Games[[#This Row],[PreGmRate]]+Games[[#This Row],[RatingChange]]</f>
        <v>1677.488018220992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44764</v>
      </c>
      <c r="B324" s="2">
        <v>2022</v>
      </c>
      <c r="C324" s="2">
        <f>COUNTIFS(Games[Team],Games[[#This Row],[Team]],Games[Season],Games[[#This Row],[Season]],Games[Date],"&lt;=" &amp; Games[[#This Row],[Date]])</f>
        <v>27</v>
      </c>
      <c r="D324" s="2" t="s">
        <v>79</v>
      </c>
      <c r="E324" s="2" t="s">
        <v>80</v>
      </c>
      <c r="F324" s="1" t="s">
        <v>74</v>
      </c>
      <c r="G324" s="1" t="s">
        <v>67</v>
      </c>
      <c r="H324" s="1" t="s">
        <v>81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4" s="2">
        <f>Games[[#This Row],[DaysOff]]-Games[[#This Row],[OppDaysOff]]</f>
        <v>-2</v>
      </c>
      <c r="L324" s="2">
        <f>Games[[#This Row],[OppDaysOff]]-Games[[#This Row],[DaysOff]]</f>
        <v>2</v>
      </c>
      <c r="M324" s="16">
        <f>MAX(-16, MIN(16, Games[[#This Row],[RestDiff]]*8))</f>
        <v>-16</v>
      </c>
      <c r="N324" s="16">
        <f>MAX(-16, MIN(16, Games[[#This Row],[OppRestDiff]]*8))</f>
        <v>16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1614.1077052398086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1487.4262713637368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0.51536697783895447</v>
      </c>
      <c r="R324" s="1">
        <v>94</v>
      </c>
      <c r="S324" s="1">
        <v>84</v>
      </c>
      <c r="T324" s="1">
        <v>0</v>
      </c>
      <c r="U324" s="16">
        <f>Games[[#This Row],[PointsFor]]-Games[[#This Row],[PointsAgainst]]</f>
        <v>10</v>
      </c>
      <c r="V324" s="16">
        <f>IF(Games[[#This Row],[MOV]]&gt;0,1,IF(Games[[#This Row],[MOV]]=0,0.5,0))</f>
        <v>1</v>
      </c>
      <c r="W324" s="4">
        <f>((ABS(Games[[#This Row],[MOV]])+5)^0.6)/(12+0.01*(ABS(Games[[#This Row],[PreGmRate]]-Games[[#This Row],[OppPreGmRate]])))*IF(Games[[#This Row],[OT]]=1,0.9,1)</f>
        <v>0.38272612115725985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71.95</v>
      </c>
      <c r="Z324" s="4">
        <f>Games[[#This Row],[K]]*Games[[#This Row],[POMult]]</f>
        <v>71.95</v>
      </c>
      <c r="AA324" s="4">
        <f>(Games[[#This Row],[Keff]]*Games[[#This Row],[MOVMult]])*(Games[[#This Row],[Result]]-Games[[#This Row],[ExpectedWin%]])</f>
        <v>13.345409520624226</v>
      </c>
      <c r="AB324" s="4">
        <f>Games[[#This Row],[PreGmRate]]+Games[[#This Row],[RatingChange]]</f>
        <v>1627.4531147604328</v>
      </c>
      <c r="AC324" s="2">
        <f>IF(Games[[#This Row],[Type]]="R",IF(Games[[#This Row],[Result]]&gt;0.5,1,0),0)</f>
        <v>1</v>
      </c>
      <c r="AD324" s="2">
        <f>IF(Games[[#This Row],[Type]]="R",IF(Games[[#This Row],[Result]]&lt;0.5,1,0),0)</f>
        <v>0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44764</v>
      </c>
      <c r="B325" s="2">
        <v>2022</v>
      </c>
      <c r="C325" s="2">
        <f>COUNTIFS(Games[Team],Games[[#This Row],[Team]],Games[Season],Games[[#This Row],[Season]],Games[Date],"&lt;=" &amp; Games[[#This Row],[Date]])</f>
        <v>28</v>
      </c>
      <c r="D325" s="2" t="s">
        <v>79</v>
      </c>
      <c r="E325" s="2" t="s">
        <v>80</v>
      </c>
      <c r="F325" s="1" t="s">
        <v>67</v>
      </c>
      <c r="G325" s="1" t="s">
        <v>74</v>
      </c>
      <c r="H325" s="1" t="s">
        <v>82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5" s="2">
        <f>Games[[#This Row],[DaysOff]]-Games[[#This Row],[OppDaysOff]]</f>
        <v>2</v>
      </c>
      <c r="L325" s="2">
        <f>Games[[#This Row],[OppDaysOff]]-Games[[#This Row],[DaysOff]]</f>
        <v>-2</v>
      </c>
      <c r="M325" s="16">
        <f>MAX(-16, MIN(16, Games[[#This Row],[RestDiff]]*8))</f>
        <v>16</v>
      </c>
      <c r="N325" s="16">
        <f>MAX(-16, MIN(16, Games[[#This Row],[OppRestDiff]]*8))</f>
        <v>-16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1487.4262713637368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1614.1077052398086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0.48463302216104548</v>
      </c>
      <c r="R325" s="1">
        <v>84</v>
      </c>
      <c r="S325" s="1">
        <v>94</v>
      </c>
      <c r="T325" s="1">
        <v>0</v>
      </c>
      <c r="U325" s="16">
        <f>Games[[#This Row],[PointsFor]]-Games[[#This Row],[PointsAgainst]]</f>
        <v>-10</v>
      </c>
      <c r="V325" s="16">
        <f>IF(Games[[#This Row],[MOV]]&gt;0,1,IF(Games[[#This Row],[MOV]]=0,0.5,0))</f>
        <v>0</v>
      </c>
      <c r="W325" s="4">
        <f>((ABS(Games[[#This Row],[MOV]])+5)^0.6)/(12+0.01*(ABS(Games[[#This Row],[PreGmRate]]-Games[[#This Row],[OppPreGmRate]])))*IF(Games[[#This Row],[OT]]=1,0.9,1)</f>
        <v>0.38272612115725985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71.8</v>
      </c>
      <c r="Z325" s="4">
        <f>Games[[#This Row],[K]]*Games[[#This Row],[POMult]]</f>
        <v>71.8</v>
      </c>
      <c r="AA325" s="4">
        <f>(Games[[#This Row],[Keff]]*Games[[#This Row],[MOVMult]])*(Games[[#This Row],[Result]]-Games[[#This Row],[ExpectedWin%]])</f>
        <v>-13.317587263110761</v>
      </c>
      <c r="AB325" s="4">
        <f>Games[[#This Row],[PreGmRate]]+Games[[#This Row],[RatingChange]]</f>
        <v>1474.1086841006261</v>
      </c>
      <c r="AC325" s="2">
        <f>IF(Games[[#This Row],[Type]]="R",IF(Games[[#This Row],[Result]]&gt;0.5,1,0),0)</f>
        <v>0</v>
      </c>
      <c r="AD325" s="2">
        <f>IF(Games[[#This Row],[Type]]="R",IF(Games[[#This Row],[Result]]&lt;0.5,1,0),0)</f>
        <v>1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44764</v>
      </c>
      <c r="B326" s="2">
        <v>2022</v>
      </c>
      <c r="C326" s="2">
        <f>COUNTIFS(Games[Team],Games[[#This Row],[Team]],Games[Season],Games[[#This Row],[Season]],Games[Date],"&lt;=" &amp; Games[[#This Row],[Date]])</f>
        <v>27</v>
      </c>
      <c r="D326" s="2" t="s">
        <v>79</v>
      </c>
      <c r="E326" s="2" t="s">
        <v>80</v>
      </c>
      <c r="F326" s="1" t="s">
        <v>71</v>
      </c>
      <c r="G326" s="1" t="s">
        <v>40</v>
      </c>
      <c r="H326" s="1" t="s">
        <v>81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6" s="2">
        <f>Games[[#This Row],[DaysOff]]-Games[[#This Row],[OppDaysOff]]</f>
        <v>-3</v>
      </c>
      <c r="L326" s="2">
        <f>Games[[#This Row],[OppDaysOff]]-Games[[#This Row],[DaysOff]]</f>
        <v>3</v>
      </c>
      <c r="M326" s="16">
        <f>MAX(-16, MIN(16, Games[[#This Row],[RestDiff]]*8))</f>
        <v>-16</v>
      </c>
      <c r="N326" s="16">
        <f>MAX(-16, MIN(16, Games[[#This Row],[OppRestDiff]]*8))</f>
        <v>16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1589.7749233665556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1454.6507312135423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0.52749416295717921</v>
      </c>
      <c r="R326" s="1">
        <v>78</v>
      </c>
      <c r="S326" s="1">
        <v>94</v>
      </c>
      <c r="T326" s="1">
        <v>0</v>
      </c>
      <c r="U326" s="16">
        <f>Games[[#This Row],[PointsFor]]-Games[[#This Row],[PointsAgainst]]</f>
        <v>-16</v>
      </c>
      <c r="V326" s="16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0.465382353482862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71.95</v>
      </c>
      <c r="Z326" s="4">
        <f>Games[[#This Row],[K]]*Games[[#This Row],[POMult]]</f>
        <v>71.95</v>
      </c>
      <c r="AA326" s="4">
        <f>(Games[[#This Row],[Keff]]*Games[[#This Row],[MOVMult]])*(Games[[#This Row],[Result]]-Games[[#This Row],[ExpectedWin%]])</f>
        <v>-17.662751876644602</v>
      </c>
      <c r="AB326" s="4">
        <f>Games[[#This Row],[PreGmRate]]+Games[[#This Row],[RatingChange]]</f>
        <v>1572.1121714899111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44764</v>
      </c>
      <c r="B327" s="2">
        <v>2022</v>
      </c>
      <c r="C327" s="2">
        <f>COUNTIFS(Games[Team],Games[[#This Row],[Team]],Games[Season],Games[[#This Row],[Season]],Games[Date],"&lt;=" &amp; Games[[#This Row],[Date]])</f>
        <v>28</v>
      </c>
      <c r="D327" s="2" t="s">
        <v>79</v>
      </c>
      <c r="E327" s="2" t="s">
        <v>80</v>
      </c>
      <c r="F327" s="1" t="s">
        <v>40</v>
      </c>
      <c r="G327" s="1" t="s">
        <v>71</v>
      </c>
      <c r="H327" s="1" t="s">
        <v>82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7" s="2">
        <f>Games[[#This Row],[DaysOff]]-Games[[#This Row],[OppDaysOff]]</f>
        <v>3</v>
      </c>
      <c r="L327" s="2">
        <f>Games[[#This Row],[OppDaysOff]]-Games[[#This Row],[DaysOff]]</f>
        <v>-3</v>
      </c>
      <c r="M327" s="16">
        <f>MAX(-16, MIN(16, Games[[#This Row],[RestDiff]]*8))</f>
        <v>16</v>
      </c>
      <c r="N327" s="16">
        <f>MAX(-16, MIN(16, Games[[#This Row],[OppRestDiff]]*8))</f>
        <v>-16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1454.6507312135423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1589.7749233665556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0.47250583704282079</v>
      </c>
      <c r="R327" s="1">
        <v>94</v>
      </c>
      <c r="S327" s="1">
        <v>78</v>
      </c>
      <c r="T327" s="1">
        <v>0</v>
      </c>
      <c r="U327" s="16">
        <f>Games[[#This Row],[PointsFor]]-Games[[#This Row],[PointsAgainst]]</f>
        <v>16</v>
      </c>
      <c r="V327" s="16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0.465382353482862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71.8</v>
      </c>
      <c r="Z327" s="4">
        <f>Games[[#This Row],[K]]*Games[[#This Row],[POMult]]</f>
        <v>71.8</v>
      </c>
      <c r="AA327" s="4">
        <f>(Games[[#This Row],[Keff]]*Games[[#This Row],[MOVMult]])*(Games[[#This Row],[Result]]-Games[[#This Row],[ExpectedWin%]])</f>
        <v>17.625928905393778</v>
      </c>
      <c r="AB327" s="4">
        <f>Games[[#This Row],[PreGmRate]]+Games[[#This Row],[RatingChange]]</f>
        <v>1472.276660118936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44765</v>
      </c>
      <c r="B328" s="2">
        <v>2022</v>
      </c>
      <c r="C328" s="2">
        <f>COUNTIFS(Games[Team],Games[[#This Row],[Team]],Games[Season],Games[[#This Row],[Season]],Games[Date],"&lt;=" &amp; Games[[#This Row],[Date]])</f>
        <v>27</v>
      </c>
      <c r="D328" s="2" t="s">
        <v>79</v>
      </c>
      <c r="E328" s="2" t="s">
        <v>80</v>
      </c>
      <c r="F328" s="1" t="s">
        <v>63</v>
      </c>
      <c r="G328" s="1" t="s">
        <v>86</v>
      </c>
      <c r="H328" s="1" t="s">
        <v>81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0</v>
      </c>
      <c r="L328" s="2">
        <f>Games[[#This Row],[OppDaysOff]]-Games[[#This Row],[DaysOff]]</f>
        <v>0</v>
      </c>
      <c r="M328" s="16">
        <f>MAX(-16, MIN(16, Games[[#This Row],[RestDiff]]*8))</f>
        <v>0</v>
      </c>
      <c r="N328" s="16">
        <f>MAX(-16, MIN(16, Games[[#This Row],[OppRestDiff]]*8))</f>
        <v>0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1443.9244858364616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1611.1758744133861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0.19056868272519809</v>
      </c>
      <c r="R328" s="1">
        <v>66</v>
      </c>
      <c r="S328" s="1">
        <v>84</v>
      </c>
      <c r="T328" s="1">
        <v>0</v>
      </c>
      <c r="U328" s="16">
        <f>Games[[#This Row],[PointsFor]]-Games[[#This Row],[PointsAgainst]]</f>
        <v>-18</v>
      </c>
      <c r="V328" s="16">
        <f>IF(Games[[#This Row],[MOV]]&gt;0,1,IF(Games[[#This Row],[MOV]]=0,0.5,0))</f>
        <v>0</v>
      </c>
      <c r="W328" s="4">
        <f>((ABS(Games[[#This Row],[MOV]])+5)^0.6)/(12+0.01*(ABS(Games[[#This Row],[PreGmRate]]-Games[[#This Row],[OppPreGmRate]])))*IF(Games[[#This Row],[OT]]=1,0.9,1)</f>
        <v>0.47994152650638627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71.95</v>
      </c>
      <c r="Z328" s="4">
        <f>Games[[#This Row],[K]]*Games[[#This Row],[POMult]]</f>
        <v>71.95</v>
      </c>
      <c r="AA328" s="4">
        <f>(Games[[#This Row],[Keff]]*Games[[#This Row],[MOVMult]])*(Games[[#This Row],[Result]]-Games[[#This Row],[ExpectedWin%]])</f>
        <v>-6.5806782721593073</v>
      </c>
      <c r="AB328" s="4">
        <f>Games[[#This Row],[PreGmRate]]+Games[[#This Row],[RatingChange]]</f>
        <v>1437.3438075643023</v>
      </c>
      <c r="AC328" s="2">
        <f>IF(Games[[#This Row],[Type]]="R",IF(Games[[#This Row],[Result]]&gt;0.5,1,0),0)</f>
        <v>0</v>
      </c>
      <c r="AD328" s="2">
        <f>IF(Games[[#This Row],[Type]]="R",IF(Games[[#This Row],[Result]]&lt;0.5,1,0),0)</f>
        <v>1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44765</v>
      </c>
      <c r="B329" s="2">
        <v>2022</v>
      </c>
      <c r="C329" s="2">
        <f>COUNTIFS(Games[Team],Games[[#This Row],[Team]],Games[Season],Games[[#This Row],[Season]],Games[Date],"&lt;=" &amp; Games[[#This Row],[Date]])</f>
        <v>28</v>
      </c>
      <c r="D329" s="2" t="s">
        <v>79</v>
      </c>
      <c r="E329" s="2" t="s">
        <v>80</v>
      </c>
      <c r="F329" s="1" t="s">
        <v>86</v>
      </c>
      <c r="G329" s="1" t="s">
        <v>63</v>
      </c>
      <c r="H329" s="1" t="s">
        <v>82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9" s="2">
        <f>Games[[#This Row],[DaysOff]]-Games[[#This Row],[OppDaysOff]]</f>
        <v>0</v>
      </c>
      <c r="L329" s="2">
        <f>Games[[#This Row],[OppDaysOff]]-Games[[#This Row],[DaysOff]]</f>
        <v>0</v>
      </c>
      <c r="M329" s="16">
        <f>MAX(-16, MIN(16, Games[[#This Row],[RestDiff]]*8))</f>
        <v>0</v>
      </c>
      <c r="N329" s="16">
        <f>MAX(-16, MIN(16, Games[[#This Row],[OppRestDiff]]*8))</f>
        <v>0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1611.1758744133861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1443.9244858364616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0.80943131727480189</v>
      </c>
      <c r="R329" s="1">
        <v>84</v>
      </c>
      <c r="S329" s="1">
        <v>66</v>
      </c>
      <c r="T329" s="1">
        <v>0</v>
      </c>
      <c r="U329" s="16">
        <f>Games[[#This Row],[PointsFor]]-Games[[#This Row],[PointsAgainst]]</f>
        <v>18</v>
      </c>
      <c r="V329" s="16">
        <f>IF(Games[[#This Row],[MOV]]&gt;0,1,IF(Games[[#This Row],[MOV]]=0,0.5,0))</f>
        <v>1</v>
      </c>
      <c r="W329" s="4">
        <f>((ABS(Games[[#This Row],[MOV]])+5)^0.6)/(12+0.01*(ABS(Games[[#This Row],[PreGmRate]]-Games[[#This Row],[OppPreGmRate]])))*IF(Games[[#This Row],[OT]]=1,0.9,1)</f>
        <v>0.47994152650638627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71.8</v>
      </c>
      <c r="Z329" s="4">
        <f>Games[[#This Row],[K]]*Games[[#This Row],[POMult]]</f>
        <v>71.8</v>
      </c>
      <c r="AA329" s="4">
        <f>(Games[[#This Row],[Keff]]*Games[[#This Row],[MOVMult]])*(Games[[#This Row],[Result]]-Games[[#This Row],[ExpectedWin%]])</f>
        <v>6.5669589984855916</v>
      </c>
      <c r="AB329" s="4">
        <f>Games[[#This Row],[PreGmRate]]+Games[[#This Row],[RatingChange]]</f>
        <v>1617.7428334118717</v>
      </c>
      <c r="AC329" s="2">
        <f>IF(Games[[#This Row],[Type]]="R",IF(Games[[#This Row],[Result]]&gt;0.5,1,0),0)</f>
        <v>1</v>
      </c>
      <c r="AD329" s="2">
        <f>IF(Games[[#This Row],[Type]]="R",IF(Games[[#This Row],[Result]]&lt;0.5,1,0),0)</f>
        <v>0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44765</v>
      </c>
      <c r="B330" s="2">
        <v>2022</v>
      </c>
      <c r="C330" s="2">
        <f>COUNTIFS(Games[Team],Games[[#This Row],[Team]],Games[Season],Games[[#This Row],[Season]],Games[Date],"&lt;=" &amp; Games[[#This Row],[Date]])</f>
        <v>28</v>
      </c>
      <c r="D330" s="2" t="s">
        <v>79</v>
      </c>
      <c r="E330" s="2" t="s">
        <v>80</v>
      </c>
      <c r="F330" s="1" t="s">
        <v>75</v>
      </c>
      <c r="G330" s="1" t="s">
        <v>60</v>
      </c>
      <c r="H330" s="1" t="s">
        <v>81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-1</v>
      </c>
      <c r="L330" s="2">
        <f>Games[[#This Row],[OppDaysOff]]-Games[[#This Row],[DaysOff]]</f>
        <v>1</v>
      </c>
      <c r="M330" s="16">
        <f>MAX(-16, MIN(16, Games[[#This Row],[RestDiff]]*8))</f>
        <v>-8</v>
      </c>
      <c r="N330" s="16">
        <f>MAX(-16, MIN(16, Games[[#This Row],[OppRestDiff]]*8))</f>
        <v>8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1677.488018220992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1397.1496149318864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0.73848541535025891</v>
      </c>
      <c r="R330" s="1">
        <v>80</v>
      </c>
      <c r="S330" s="1">
        <v>83</v>
      </c>
      <c r="T330" s="1">
        <v>0</v>
      </c>
      <c r="U330" s="16">
        <f>Games[[#This Row],[PointsFor]]-Games[[#This Row],[PointsAgainst]]</f>
        <v>-3</v>
      </c>
      <c r="V330" s="16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0.2352301504471902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71.8</v>
      </c>
      <c r="Z330" s="4">
        <f>Games[[#This Row],[K]]*Games[[#This Row],[POMult]]</f>
        <v>71.8</v>
      </c>
      <c r="AA330" s="4">
        <f>(Games[[#This Row],[Keff]]*Games[[#This Row],[MOVMult]])*(Games[[#This Row],[Result]]-Games[[#This Row],[ExpectedWin%]])</f>
        <v>-12.472667738553413</v>
      </c>
      <c r="AB330" s="4">
        <f>Games[[#This Row],[PreGmRate]]+Games[[#This Row],[RatingChange]]</f>
        <v>1665.0153504824386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44765</v>
      </c>
      <c r="B331" s="2">
        <v>2022</v>
      </c>
      <c r="C331" s="2">
        <f>COUNTIFS(Games[Team],Games[[#This Row],[Team]],Games[Season],Games[[#This Row],[Season]],Games[Date],"&lt;=" &amp; Games[[#This Row],[Date]])</f>
        <v>27</v>
      </c>
      <c r="D331" s="2" t="s">
        <v>79</v>
      </c>
      <c r="E331" s="2" t="s">
        <v>80</v>
      </c>
      <c r="F331" s="1" t="s">
        <v>60</v>
      </c>
      <c r="G331" s="1" t="s">
        <v>75</v>
      </c>
      <c r="H331" s="1" t="s">
        <v>82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1" s="2">
        <f>Games[[#This Row],[DaysOff]]-Games[[#This Row],[OppDaysOff]]</f>
        <v>1</v>
      </c>
      <c r="L331" s="2">
        <f>Games[[#This Row],[OppDaysOff]]-Games[[#This Row],[DaysOff]]</f>
        <v>-1</v>
      </c>
      <c r="M331" s="16">
        <f>MAX(-16, MIN(16, Games[[#This Row],[RestDiff]]*8))</f>
        <v>8</v>
      </c>
      <c r="N331" s="16">
        <f>MAX(-16, MIN(16, Games[[#This Row],[OppRestDiff]]*8))</f>
        <v>-8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1397.1496149318864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1677.488018220992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0.2615145846497412</v>
      </c>
      <c r="R331" s="1">
        <v>83</v>
      </c>
      <c r="S331" s="1">
        <v>80</v>
      </c>
      <c r="T331" s="1">
        <v>0</v>
      </c>
      <c r="U331" s="16">
        <f>Games[[#This Row],[PointsFor]]-Games[[#This Row],[PointsAgainst]]</f>
        <v>3</v>
      </c>
      <c r="V331" s="16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0.2352301504471902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71.95</v>
      </c>
      <c r="Z331" s="4">
        <f>Games[[#This Row],[K]]*Games[[#This Row],[POMult]]</f>
        <v>71.95</v>
      </c>
      <c r="AA331" s="4">
        <f>(Games[[#This Row],[Keff]]*Games[[#This Row],[MOVMult]])*(Games[[#This Row],[Result]]-Games[[#This Row],[ExpectedWin%]])</f>
        <v>12.498724843856799</v>
      </c>
      <c r="AB331" s="4">
        <f>Games[[#This Row],[PreGmRate]]+Games[[#This Row],[RatingChange]]</f>
        <v>1409.6483397757431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44766</v>
      </c>
      <c r="B332" s="2">
        <v>2022</v>
      </c>
      <c r="C332" s="2">
        <f>COUNTIFS(Games[Team],Games[[#This Row],[Team]],Games[Season],Games[[#This Row],[Season]],Games[Date],"&lt;=" &amp; Games[[#This Row],[Date]])</f>
        <v>27</v>
      </c>
      <c r="D332" s="2" t="s">
        <v>79</v>
      </c>
      <c r="E332" s="2" t="s">
        <v>80</v>
      </c>
      <c r="F332" s="1" t="s">
        <v>85</v>
      </c>
      <c r="G332" s="1" t="s">
        <v>69</v>
      </c>
      <c r="H332" s="1" t="s">
        <v>81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2" s="2">
        <f>Games[[#This Row],[DaysOff]]-Games[[#This Row],[OppDaysOff]]</f>
        <v>-1</v>
      </c>
      <c r="L332" s="2">
        <f>Games[[#This Row],[OppDaysOff]]-Games[[#This Row],[DaysOff]]</f>
        <v>1</v>
      </c>
      <c r="M332" s="16">
        <f>MAX(-16, MIN(16, Games[[#This Row],[RestDiff]]*8))</f>
        <v>-8</v>
      </c>
      <c r="N332" s="16">
        <f>MAX(-16, MIN(16, Games[[#This Row],[OppRestDiff]]*8))</f>
        <v>8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1456.5973410227864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1260.7213821428068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0.63457777351781686</v>
      </c>
      <c r="R332" s="1">
        <v>96</v>
      </c>
      <c r="S332" s="1">
        <v>86</v>
      </c>
      <c r="T332" s="1">
        <v>0</v>
      </c>
      <c r="U332" s="16">
        <f>Games[[#This Row],[PointsFor]]-Games[[#This Row],[PointsAgainst]]</f>
        <v>10</v>
      </c>
      <c r="V332" s="16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0.36375412583661998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71.95</v>
      </c>
      <c r="Z332" s="4">
        <f>Games[[#This Row],[K]]*Games[[#This Row],[POMult]]</f>
        <v>71.95</v>
      </c>
      <c r="AA332" s="4">
        <f>(Games[[#This Row],[Keff]]*Games[[#This Row],[MOVMult]])*(Games[[#This Row],[Result]]-Games[[#This Row],[ExpectedWin%]])</f>
        <v>9.5638704718536829</v>
      </c>
      <c r="AB332" s="4">
        <f>Games[[#This Row],[PreGmRate]]+Games[[#This Row],[RatingChange]]</f>
        <v>1466.1612114946402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44766</v>
      </c>
      <c r="B333" s="2">
        <v>2022</v>
      </c>
      <c r="C333" s="2">
        <f>COUNTIFS(Games[Team],Games[[#This Row],[Team]],Games[Season],Games[[#This Row],[Season]],Games[Date],"&lt;=" &amp; Games[[#This Row],[Date]])</f>
        <v>30</v>
      </c>
      <c r="D333" s="2" t="s">
        <v>79</v>
      </c>
      <c r="E333" s="2" t="s">
        <v>80</v>
      </c>
      <c r="F333" s="1" t="s">
        <v>69</v>
      </c>
      <c r="G333" s="1" t="s">
        <v>85</v>
      </c>
      <c r="H333" s="1" t="s">
        <v>82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3" s="2">
        <f>Games[[#This Row],[DaysOff]]-Games[[#This Row],[OppDaysOff]]</f>
        <v>1</v>
      </c>
      <c r="L333" s="2">
        <f>Games[[#This Row],[OppDaysOff]]-Games[[#This Row],[DaysOff]]</f>
        <v>-1</v>
      </c>
      <c r="M333" s="16">
        <f>MAX(-16, MIN(16, Games[[#This Row],[RestDiff]]*8))</f>
        <v>8</v>
      </c>
      <c r="N333" s="16">
        <f>MAX(-16, MIN(16, Games[[#This Row],[OppRestDiff]]*8))</f>
        <v>-8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1260.7213821428068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1456.5973410227864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0.3654222264821832</v>
      </c>
      <c r="R333" s="1">
        <v>86</v>
      </c>
      <c r="S333" s="1">
        <v>96</v>
      </c>
      <c r="T333" s="1">
        <v>0</v>
      </c>
      <c r="U333" s="16">
        <f>Games[[#This Row],[PointsFor]]-Games[[#This Row],[PointsAgainst]]</f>
        <v>-10</v>
      </c>
      <c r="V333" s="16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0.36375412583661998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71.5</v>
      </c>
      <c r="Z333" s="4">
        <f>Games[[#This Row],[K]]*Games[[#This Row],[POMult]]</f>
        <v>71.5</v>
      </c>
      <c r="AA333" s="4">
        <f>(Games[[#This Row],[Keff]]*Games[[#This Row],[MOVMult]])*(Games[[#This Row],[Result]]-Games[[#This Row],[ExpectedWin%]])</f>
        <v>-9.5040547427038007</v>
      </c>
      <c r="AB333" s="4">
        <f>Games[[#This Row],[PreGmRate]]+Games[[#This Row],[RatingChange]]</f>
        <v>1251.2173274001029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44766</v>
      </c>
      <c r="B334" s="2">
        <v>2022</v>
      </c>
      <c r="C334" s="2">
        <f>COUNTIFS(Games[Team],Games[[#This Row],[Team]],Games[Season],Games[[#This Row],[Season]],Games[Date],"&lt;=" &amp; Games[[#This Row],[Date]])</f>
        <v>28</v>
      </c>
      <c r="D334" s="2" t="s">
        <v>79</v>
      </c>
      <c r="E334" s="2" t="s">
        <v>80</v>
      </c>
      <c r="F334" s="1" t="s">
        <v>74</v>
      </c>
      <c r="G334" s="1" t="s">
        <v>67</v>
      </c>
      <c r="H334" s="1" t="s">
        <v>81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0</v>
      </c>
      <c r="L334" s="2">
        <f>Games[[#This Row],[OppDaysOff]]-Games[[#This Row],[DaysOff]]</f>
        <v>0</v>
      </c>
      <c r="M334" s="16">
        <f>MAX(-16, MIN(16, Games[[#This Row],[RestDiff]]*8))</f>
        <v>0</v>
      </c>
      <c r="N334" s="16">
        <f>MAX(-16, MIN(16, Games[[#This Row],[OppRestDiff]]*8))</f>
        <v>0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1627.4531147604328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1474.1086841006261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0.59849030134897929</v>
      </c>
      <c r="R334" s="1">
        <v>86</v>
      </c>
      <c r="S334" s="1">
        <v>79</v>
      </c>
      <c r="T334" s="1">
        <v>0</v>
      </c>
      <c r="U334" s="16">
        <f>Games[[#This Row],[PointsFor]]-Games[[#This Row],[PointsAgainst]]</f>
        <v>7</v>
      </c>
      <c r="V334" s="16">
        <f>IF(Games[[#This Row],[MOV]]&gt;0,1,IF(Games[[#This Row],[MOV]]=0,0.5,0))</f>
        <v>1</v>
      </c>
      <c r="W334" s="4">
        <f>((ABS(Games[[#This Row],[MOV]])+5)^0.6)/(12+0.01*(ABS(Games[[#This Row],[PreGmRate]]-Games[[#This Row],[OppPreGmRate]])))*IF(Games[[#This Row],[OT]]=1,0.9,1)</f>
        <v>0.32817115652373469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71.8</v>
      </c>
      <c r="Z334" s="4">
        <f>Games[[#This Row],[K]]*Games[[#This Row],[POMult]]</f>
        <v>71.8</v>
      </c>
      <c r="AA334" s="4">
        <f>(Games[[#This Row],[Keff]]*Games[[#This Row],[MOVMult]])*(Games[[#This Row],[Result]]-Games[[#This Row],[ExpectedWin%]])</f>
        <v>9.4606481752173579</v>
      </c>
      <c r="AB334" s="4">
        <f>Games[[#This Row],[PreGmRate]]+Games[[#This Row],[RatingChange]]</f>
        <v>1636.9137629356501</v>
      </c>
      <c r="AC334" s="2">
        <f>IF(Games[[#This Row],[Type]]="R",IF(Games[[#This Row],[Result]]&gt;0.5,1,0),0)</f>
        <v>1</v>
      </c>
      <c r="AD334" s="2">
        <f>IF(Games[[#This Row],[Type]]="R",IF(Games[[#This Row],[Result]]&lt;0.5,1,0),0)</f>
        <v>0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44766</v>
      </c>
      <c r="B335" s="2">
        <v>2022</v>
      </c>
      <c r="C335" s="2">
        <f>COUNTIFS(Games[Team],Games[[#This Row],[Team]],Games[Season],Games[[#This Row],[Season]],Games[Date],"&lt;=" &amp; Games[[#This Row],[Date]])</f>
        <v>29</v>
      </c>
      <c r="D335" s="2" t="s">
        <v>79</v>
      </c>
      <c r="E335" s="2" t="s">
        <v>80</v>
      </c>
      <c r="F335" s="1" t="s">
        <v>67</v>
      </c>
      <c r="G335" s="1" t="s">
        <v>74</v>
      </c>
      <c r="H335" s="1" t="s">
        <v>82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5" s="2">
        <f>Games[[#This Row],[DaysOff]]-Games[[#This Row],[OppDaysOff]]</f>
        <v>0</v>
      </c>
      <c r="L335" s="2">
        <f>Games[[#This Row],[OppDaysOff]]-Games[[#This Row],[DaysOff]]</f>
        <v>0</v>
      </c>
      <c r="M335" s="16">
        <f>MAX(-16, MIN(16, Games[[#This Row],[RestDiff]]*8))</f>
        <v>0</v>
      </c>
      <c r="N335" s="16">
        <f>MAX(-16, MIN(16, Games[[#This Row],[OppRestDiff]]*8))</f>
        <v>0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1474.1086841006261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1627.4531147604328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0.40150969865102071</v>
      </c>
      <c r="R335" s="1">
        <v>79</v>
      </c>
      <c r="S335" s="1">
        <v>86</v>
      </c>
      <c r="T335" s="1">
        <v>0</v>
      </c>
      <c r="U335" s="16">
        <f>Games[[#This Row],[PointsFor]]-Games[[#This Row],[PointsAgainst]]</f>
        <v>-7</v>
      </c>
      <c r="V335" s="16">
        <f>IF(Games[[#This Row],[MOV]]&gt;0,1,IF(Games[[#This Row],[MOV]]=0,0.5,0))</f>
        <v>0</v>
      </c>
      <c r="W335" s="4">
        <f>((ABS(Games[[#This Row],[MOV]])+5)^0.6)/(12+0.01*(ABS(Games[[#This Row],[PreGmRate]]-Games[[#This Row],[OppPreGmRate]])))*IF(Games[[#This Row],[OT]]=1,0.9,1)</f>
        <v>0.32817115652373469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71.650000000000006</v>
      </c>
      <c r="Z335" s="4">
        <f>Games[[#This Row],[K]]*Games[[#This Row],[POMult]]</f>
        <v>71.650000000000006</v>
      </c>
      <c r="AA335" s="4">
        <f>(Games[[#This Row],[Keff]]*Games[[#This Row],[MOVMult]])*(Games[[#This Row],[Result]]-Games[[#This Row],[ExpectedWin%]])</f>
        <v>-9.4408835898930903</v>
      </c>
      <c r="AB335" s="4">
        <f>Games[[#This Row],[PreGmRate]]+Games[[#This Row],[RatingChange]]</f>
        <v>1464.6678005107331</v>
      </c>
      <c r="AC335" s="2">
        <f>IF(Games[[#This Row],[Type]]="R",IF(Games[[#This Row],[Result]]&gt;0.5,1,0),0)</f>
        <v>0</v>
      </c>
      <c r="AD335" s="2">
        <f>IF(Games[[#This Row],[Type]]="R",IF(Games[[#This Row],[Result]]&lt;0.5,1,0),0)</f>
        <v>1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44766</v>
      </c>
      <c r="B336" s="2">
        <v>2022</v>
      </c>
      <c r="C336" s="2">
        <f>COUNTIFS(Games[Team],Games[[#This Row],[Team]],Games[Season],Games[[#This Row],[Season]],Games[Date],"&lt;=" &amp; Games[[#This Row],[Date]])</f>
        <v>28</v>
      </c>
      <c r="D336" s="2" t="s">
        <v>79</v>
      </c>
      <c r="E336" s="2" t="s">
        <v>80</v>
      </c>
      <c r="F336" s="1" t="s">
        <v>77</v>
      </c>
      <c r="G336" s="1" t="s">
        <v>71</v>
      </c>
      <c r="H336" s="1" t="s">
        <v>81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1</v>
      </c>
      <c r="L336" s="2">
        <f>Games[[#This Row],[OppDaysOff]]-Games[[#This Row],[DaysOff]]</f>
        <v>-1</v>
      </c>
      <c r="M336" s="16">
        <f>MAX(-16, MIN(16, Games[[#This Row],[RestDiff]]*8))</f>
        <v>8</v>
      </c>
      <c r="N336" s="16">
        <f>MAX(-16, MIN(16, Games[[#This Row],[OppRestDiff]]*8))</f>
        <v>-8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1444.4029906276494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1572.1121714899111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0.24479047143176141</v>
      </c>
      <c r="R336" s="1">
        <v>72</v>
      </c>
      <c r="S336" s="1">
        <v>82</v>
      </c>
      <c r="T336" s="1">
        <v>0</v>
      </c>
      <c r="U336" s="16">
        <f>Games[[#This Row],[PointsFor]]-Games[[#This Row],[PointsAgainst]]</f>
        <v>-10</v>
      </c>
      <c r="V336" s="16">
        <f>IF(Games[[#This Row],[MOV]]&gt;0,1,IF(Games[[#This Row],[MOV]]=0,0.5,0))</f>
        <v>0</v>
      </c>
      <c r="W336" s="4">
        <f>((ABS(Games[[#This Row],[MOV]])+5)^0.6)/(12+0.01*(ABS(Games[[#This Row],[PreGmRate]]-Games[[#This Row],[OppPreGmRate]])))*IF(Games[[#This Row],[OT]]=1,0.9,1)</f>
        <v>0.38242986229031428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71.8</v>
      </c>
      <c r="Z336" s="4">
        <f>Games[[#This Row],[K]]*Games[[#This Row],[POMult]]</f>
        <v>71.8</v>
      </c>
      <c r="AA336" s="4">
        <f>(Games[[#This Row],[Keff]]*Games[[#This Row],[MOVMult]])*(Games[[#This Row],[Result]]-Games[[#This Row],[ExpectedWin%]])</f>
        <v>-6.7215703748774072</v>
      </c>
      <c r="AB336" s="4">
        <f>Games[[#This Row],[PreGmRate]]+Games[[#This Row],[RatingChange]]</f>
        <v>1437.6814202527719</v>
      </c>
      <c r="AC336" s="2">
        <f>IF(Games[[#This Row],[Type]]="R",IF(Games[[#This Row],[Result]]&gt;0.5,1,0),0)</f>
        <v>0</v>
      </c>
      <c r="AD336" s="2">
        <f>IF(Games[[#This Row],[Type]]="R",IF(Games[[#This Row],[Result]]&lt;0.5,1,0),0)</f>
        <v>1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44766</v>
      </c>
      <c r="B337" s="2">
        <v>2022</v>
      </c>
      <c r="C337" s="2">
        <f>COUNTIFS(Games[Team],Games[[#This Row],[Team]],Games[Season],Games[[#This Row],[Season]],Games[Date],"&lt;=" &amp; Games[[#This Row],[Date]])</f>
        <v>28</v>
      </c>
      <c r="D337" s="2" t="s">
        <v>79</v>
      </c>
      <c r="E337" s="2" t="s">
        <v>80</v>
      </c>
      <c r="F337" s="1" t="s">
        <v>71</v>
      </c>
      <c r="G337" s="1" t="s">
        <v>77</v>
      </c>
      <c r="H337" s="1" t="s">
        <v>82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7" s="2">
        <f>Games[[#This Row],[DaysOff]]-Games[[#This Row],[OppDaysOff]]</f>
        <v>-1</v>
      </c>
      <c r="L337" s="2">
        <f>Games[[#This Row],[OppDaysOff]]-Games[[#This Row],[DaysOff]]</f>
        <v>1</v>
      </c>
      <c r="M337" s="16">
        <f>MAX(-16, MIN(16, Games[[#This Row],[RestDiff]]*8))</f>
        <v>-8</v>
      </c>
      <c r="N337" s="16">
        <f>MAX(-16, MIN(16, Games[[#This Row],[OppRestDiff]]*8))</f>
        <v>8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1572.1121714899111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1444.4029906276494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0.75520952856823853</v>
      </c>
      <c r="R337" s="1">
        <v>82</v>
      </c>
      <c r="S337" s="1">
        <v>72</v>
      </c>
      <c r="T337" s="1">
        <v>0</v>
      </c>
      <c r="U337" s="16">
        <f>Games[[#This Row],[PointsFor]]-Games[[#This Row],[PointsAgainst]]</f>
        <v>10</v>
      </c>
      <c r="V337" s="16">
        <f>IF(Games[[#This Row],[MOV]]&gt;0,1,IF(Games[[#This Row],[MOV]]=0,0.5,0))</f>
        <v>1</v>
      </c>
      <c r="W337" s="4">
        <f>((ABS(Games[[#This Row],[MOV]])+5)^0.6)/(12+0.01*(ABS(Games[[#This Row],[PreGmRate]]-Games[[#This Row],[OppPreGmRate]])))*IF(Games[[#This Row],[OT]]=1,0.9,1)</f>
        <v>0.38242986229031428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71.8</v>
      </c>
      <c r="Z337" s="4">
        <f>Games[[#This Row],[K]]*Games[[#This Row],[POMult]]</f>
        <v>71.8</v>
      </c>
      <c r="AA337" s="4">
        <f>(Games[[#This Row],[Keff]]*Games[[#This Row],[MOVMult]])*(Games[[#This Row],[Result]]-Games[[#This Row],[ExpectedWin%]])</f>
        <v>6.721570374877408</v>
      </c>
      <c r="AB337" s="4">
        <f>Games[[#This Row],[PreGmRate]]+Games[[#This Row],[RatingChange]]</f>
        <v>1578.8337418647886</v>
      </c>
      <c r="AC337" s="2">
        <f>IF(Games[[#This Row],[Type]]="R",IF(Games[[#This Row],[Result]]&gt;0.5,1,0),0)</f>
        <v>1</v>
      </c>
      <c r="AD337" s="2">
        <f>IF(Games[[#This Row],[Type]]="R",IF(Games[[#This Row],[Result]]&lt;0.5,1,0),0)</f>
        <v>0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44770</v>
      </c>
      <c r="B338" s="2">
        <v>2022</v>
      </c>
      <c r="C338" s="2">
        <f>COUNTIFS(Games[Team],Games[[#This Row],[Team]],Games[Season],Games[[#This Row],[Season]],Games[Date],"&lt;=" &amp; Games[[#This Row],[Date]])</f>
        <v>30</v>
      </c>
      <c r="D338" s="2" t="s">
        <v>79</v>
      </c>
      <c r="E338" s="2" t="s">
        <v>80</v>
      </c>
      <c r="F338" s="1" t="s">
        <v>67</v>
      </c>
      <c r="G338" s="1" t="s">
        <v>77</v>
      </c>
      <c r="H338" s="1" t="s">
        <v>81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8" s="2">
        <f>Games[[#This Row],[DaysOff]]-Games[[#This Row],[OppDaysOff]]</f>
        <v>0</v>
      </c>
      <c r="L338" s="2">
        <f>Games[[#This Row],[OppDaysOff]]-Games[[#This Row],[DaysOff]]</f>
        <v>0</v>
      </c>
      <c r="M338" s="16">
        <f>MAX(-16, MIN(16, Games[[#This Row],[RestDiff]]*8))</f>
        <v>0</v>
      </c>
      <c r="N338" s="16">
        <f>MAX(-16, MIN(16, Games[[#This Row],[OppRestDiff]]*8))</f>
        <v>0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1464.6678005107331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1437.6814202527719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0.41867943959706339</v>
      </c>
      <c r="R338" s="1">
        <v>92</v>
      </c>
      <c r="S338" s="1">
        <v>85</v>
      </c>
      <c r="T338" s="1">
        <v>0</v>
      </c>
      <c r="U338" s="16">
        <f>Games[[#This Row],[PointsFor]]-Games[[#This Row],[PointsAgainst]]</f>
        <v>7</v>
      </c>
      <c r="V338" s="16">
        <f>IF(Games[[#This Row],[MOV]]&gt;0,1,IF(Games[[#This Row],[MOV]]=0,0.5,0))</f>
        <v>1</v>
      </c>
      <c r="W338" s="4">
        <f>((ABS(Games[[#This Row],[MOV]])+5)^0.6)/(12+0.01*(ABS(Games[[#This Row],[PreGmRate]]-Games[[#This Row],[OppPreGmRate]])))*IF(Games[[#This Row],[OT]]=1,0.9,1)</f>
        <v>0.3619670227237653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71.5</v>
      </c>
      <c r="Z338" s="4">
        <f>Games[[#This Row],[K]]*Games[[#This Row],[POMult]]</f>
        <v>71.5</v>
      </c>
      <c r="AA338" s="4">
        <f>(Games[[#This Row],[Keff]]*Games[[#This Row],[MOVMult]])*(Games[[#This Row],[Result]]-Games[[#This Row],[ExpectedWin%]])</f>
        <v>15.044949383547063</v>
      </c>
      <c r="AB338" s="4">
        <f>Games[[#This Row],[PreGmRate]]+Games[[#This Row],[RatingChange]]</f>
        <v>1479.71274989428</v>
      </c>
      <c r="AC338" s="2">
        <f>IF(Games[[#This Row],[Type]]="R",IF(Games[[#This Row],[Result]]&gt;0.5,1,0),0)</f>
        <v>1</v>
      </c>
      <c r="AD338" s="2">
        <f>IF(Games[[#This Row],[Type]]="R",IF(Games[[#This Row],[Result]]&lt;0.5,1,0),0)</f>
        <v>0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44770</v>
      </c>
      <c r="B339" s="2">
        <v>2022</v>
      </c>
      <c r="C339" s="2">
        <f>COUNTIFS(Games[Team],Games[[#This Row],[Team]],Games[Season],Games[[#This Row],[Season]],Games[Date],"&lt;=" &amp; Games[[#This Row],[Date]])</f>
        <v>29</v>
      </c>
      <c r="D339" s="2" t="s">
        <v>79</v>
      </c>
      <c r="E339" s="2" t="s">
        <v>80</v>
      </c>
      <c r="F339" s="1" t="s">
        <v>77</v>
      </c>
      <c r="G339" s="1" t="s">
        <v>67</v>
      </c>
      <c r="H339" s="1" t="s">
        <v>82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9" s="2">
        <f>Games[[#This Row],[DaysOff]]-Games[[#This Row],[OppDaysOff]]</f>
        <v>0</v>
      </c>
      <c r="L339" s="2">
        <f>Games[[#This Row],[OppDaysOff]]-Games[[#This Row],[DaysOff]]</f>
        <v>0</v>
      </c>
      <c r="M339" s="16">
        <f>MAX(-16, MIN(16, Games[[#This Row],[RestDiff]]*8))</f>
        <v>0</v>
      </c>
      <c r="N339" s="16">
        <f>MAX(-16, MIN(16, Games[[#This Row],[OppRestDiff]]*8))</f>
        <v>0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1437.6814202527719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1464.6678005107331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0.58132056040293656</v>
      </c>
      <c r="R339" s="1">
        <v>85</v>
      </c>
      <c r="S339" s="1">
        <v>92</v>
      </c>
      <c r="T339" s="1">
        <v>0</v>
      </c>
      <c r="U339" s="16">
        <f>Games[[#This Row],[PointsFor]]-Games[[#This Row],[PointsAgainst]]</f>
        <v>-7</v>
      </c>
      <c r="V339" s="16">
        <f>IF(Games[[#This Row],[MOV]]&gt;0,1,IF(Games[[#This Row],[MOV]]=0,0.5,0))</f>
        <v>0</v>
      </c>
      <c r="W339" s="4">
        <f>((ABS(Games[[#This Row],[MOV]])+5)^0.6)/(12+0.01*(ABS(Games[[#This Row],[PreGmRate]]-Games[[#This Row],[OppPreGmRate]])))*IF(Games[[#This Row],[OT]]=1,0.9,1)</f>
        <v>0.3619670227237653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71.650000000000006</v>
      </c>
      <c r="Z339" s="4">
        <f>Games[[#This Row],[K]]*Games[[#This Row],[POMult]]</f>
        <v>71.650000000000006</v>
      </c>
      <c r="AA339" s="4">
        <f>(Games[[#This Row],[Keff]]*Games[[#This Row],[MOVMult]])*(Games[[#This Row],[Result]]-Games[[#This Row],[ExpectedWin%]])</f>
        <v>-15.076512214421637</v>
      </c>
      <c r="AB339" s="4">
        <f>Games[[#This Row],[PreGmRate]]+Games[[#This Row],[RatingChange]]</f>
        <v>1422.6049080383502</v>
      </c>
      <c r="AC339" s="2">
        <f>IF(Games[[#This Row],[Type]]="R",IF(Games[[#This Row],[Result]]&gt;0.5,1,0),0)</f>
        <v>0</v>
      </c>
      <c r="AD339" s="2">
        <f>IF(Games[[#This Row],[Type]]="R",IF(Games[[#This Row],[Result]]&lt;0.5,1,0),0)</f>
        <v>1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44770</v>
      </c>
      <c r="B340" s="2">
        <v>2022</v>
      </c>
      <c r="C340" s="2">
        <f>COUNTIFS(Games[Team],Games[[#This Row],[Team]],Games[Season],Games[[#This Row],[Season]],Games[Date],"&lt;=" &amp; Games[[#This Row],[Date]])</f>
        <v>29</v>
      </c>
      <c r="D340" s="2" t="s">
        <v>79</v>
      </c>
      <c r="E340" s="2" t="s">
        <v>80</v>
      </c>
      <c r="F340" s="1" t="s">
        <v>71</v>
      </c>
      <c r="G340" s="1" t="s">
        <v>74</v>
      </c>
      <c r="H340" s="1" t="s">
        <v>81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0" s="2">
        <f>Games[[#This Row],[DaysOff]]-Games[[#This Row],[OppDaysOff]]</f>
        <v>0</v>
      </c>
      <c r="L340" s="2">
        <f>Games[[#This Row],[OppDaysOff]]-Games[[#This Row],[DaysOff]]</f>
        <v>0</v>
      </c>
      <c r="M340" s="16">
        <f>MAX(-16, MIN(16, Games[[#This Row],[RestDiff]]*8))</f>
        <v>0</v>
      </c>
      <c r="N340" s="16">
        <f>MAX(-16, MIN(16, Games[[#This Row],[OppRestDiff]]*8))</f>
        <v>0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1578.8337418647886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1636.9137629356501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0.30621421358409057</v>
      </c>
      <c r="R340" s="1">
        <v>83</v>
      </c>
      <c r="S340" s="1">
        <v>88</v>
      </c>
      <c r="T340" s="1">
        <v>0</v>
      </c>
      <c r="U340" s="16">
        <f>Games[[#This Row],[PointsFor]]-Games[[#This Row],[PointsAgainst]]</f>
        <v>-5</v>
      </c>
      <c r="V340" s="16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0.31644026125987884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71.650000000000006</v>
      </c>
      <c r="Z340" s="4">
        <f>Games[[#This Row],[K]]*Games[[#This Row],[POMult]]</f>
        <v>71.650000000000006</v>
      </c>
      <c r="AA340" s="4">
        <f>(Games[[#This Row],[Keff]]*Games[[#This Row],[MOVMult]])*(Games[[#This Row],[Result]]-Games[[#This Row],[ExpectedWin%]])</f>
        <v>-6.9427779368469196</v>
      </c>
      <c r="AB340" s="4">
        <f>Games[[#This Row],[PreGmRate]]+Games[[#This Row],[RatingChange]]</f>
        <v>1571.8909639279418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44770</v>
      </c>
      <c r="B341" s="2">
        <v>2022</v>
      </c>
      <c r="C341" s="2">
        <f>COUNTIFS(Games[Team],Games[[#This Row],[Team]],Games[Season],Games[[#This Row],[Season]],Games[Date],"&lt;=" &amp; Games[[#This Row],[Date]])</f>
        <v>29</v>
      </c>
      <c r="D341" s="2" t="s">
        <v>79</v>
      </c>
      <c r="E341" s="2" t="s">
        <v>80</v>
      </c>
      <c r="F341" s="1" t="s">
        <v>74</v>
      </c>
      <c r="G341" s="1" t="s">
        <v>71</v>
      </c>
      <c r="H341" s="1" t="s">
        <v>82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1" s="2">
        <f>Games[[#This Row],[DaysOff]]-Games[[#This Row],[OppDaysOff]]</f>
        <v>0</v>
      </c>
      <c r="L341" s="2">
        <f>Games[[#This Row],[OppDaysOff]]-Games[[#This Row],[DaysOff]]</f>
        <v>0</v>
      </c>
      <c r="M341" s="16">
        <f>MAX(-16, MIN(16, Games[[#This Row],[RestDiff]]*8))</f>
        <v>0</v>
      </c>
      <c r="N341" s="16">
        <f>MAX(-16, MIN(16, Games[[#This Row],[OppRestDiff]]*8))</f>
        <v>0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1636.9137629356501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1578.8337418647886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0.69378578641590949</v>
      </c>
      <c r="R341" s="1">
        <v>88</v>
      </c>
      <c r="S341" s="1">
        <v>83</v>
      </c>
      <c r="T341" s="1">
        <v>0</v>
      </c>
      <c r="U341" s="16">
        <f>Games[[#This Row],[PointsFor]]-Games[[#This Row],[PointsAgainst]]</f>
        <v>5</v>
      </c>
      <c r="V341" s="16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0.31644026125987884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71.650000000000006</v>
      </c>
      <c r="Z341" s="4">
        <f>Games[[#This Row],[K]]*Games[[#This Row],[POMult]]</f>
        <v>71.650000000000006</v>
      </c>
      <c r="AA341" s="4">
        <f>(Games[[#This Row],[Keff]]*Games[[#This Row],[MOVMult]])*(Games[[#This Row],[Result]]-Games[[#This Row],[ExpectedWin%]])</f>
        <v>6.9427779368469187</v>
      </c>
      <c r="AB341" s="4">
        <f>Games[[#This Row],[PreGmRate]]+Games[[#This Row],[RatingChange]]</f>
        <v>1643.8565408724969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44770</v>
      </c>
      <c r="B342" s="2">
        <v>2022</v>
      </c>
      <c r="C342" s="2">
        <f>COUNTIFS(Games[Team],Games[[#This Row],[Team]],Games[Season],Games[[#This Row],[Season]],Games[Date],"&lt;=" &amp; Games[[#This Row],[Date]])</f>
        <v>29</v>
      </c>
      <c r="D342" s="2" t="s">
        <v>79</v>
      </c>
      <c r="E342" s="2" t="s">
        <v>80</v>
      </c>
      <c r="F342" s="1" t="s">
        <v>65</v>
      </c>
      <c r="G342" s="1" t="s">
        <v>85</v>
      </c>
      <c r="H342" s="1" t="s">
        <v>81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6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2" s="2">
        <f>Games[[#This Row],[DaysOff]]-Games[[#This Row],[OppDaysOff]]</f>
        <v>3</v>
      </c>
      <c r="L342" s="2">
        <f>Games[[#This Row],[OppDaysOff]]-Games[[#This Row],[DaysOff]]</f>
        <v>-3</v>
      </c>
      <c r="M342" s="16">
        <f>MAX(-16, MIN(16, Games[[#This Row],[RestDiff]]*8))</f>
        <v>16</v>
      </c>
      <c r="N342" s="16">
        <f>MAX(-16, MIN(16, Games[[#This Row],[OppRestDiff]]*8))</f>
        <v>-16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1563.1559685841373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1466.1612114946402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0.56439307024306751</v>
      </c>
      <c r="R342" s="1">
        <v>87</v>
      </c>
      <c r="S342" s="1">
        <v>77</v>
      </c>
      <c r="T342" s="1">
        <v>0</v>
      </c>
      <c r="U342" s="16">
        <f>Games[[#This Row],[PointsFor]]-Games[[#This Row],[PointsAgainst]]</f>
        <v>10</v>
      </c>
      <c r="V342" s="16">
        <f>IF(Games[[#This Row],[MOV]]&gt;0,1,IF(Games[[#This Row],[MOV]]=0,0.5,0))</f>
        <v>1</v>
      </c>
      <c r="W342" s="4">
        <f>((ABS(Games[[#This Row],[MOV]])+5)^0.6)/(12+0.01*(ABS(Games[[#This Row],[PreGmRate]]-Games[[#This Row],[OppPreGmRate]])))*IF(Games[[#This Row],[OT]]=1,0.9,1)</f>
        <v>0.39148626964241756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71.650000000000006</v>
      </c>
      <c r="Z342" s="4">
        <f>Games[[#This Row],[K]]*Games[[#This Row],[POMult]]</f>
        <v>71.650000000000006</v>
      </c>
      <c r="AA342" s="4">
        <f>(Games[[#This Row],[Keff]]*Games[[#This Row],[MOVMult]])*(Games[[#This Row],[Result]]-Games[[#This Row],[ExpectedWin%]])</f>
        <v>12.218770555000502</v>
      </c>
      <c r="AB342" s="4">
        <f>Games[[#This Row],[PreGmRate]]+Games[[#This Row],[RatingChange]]</f>
        <v>1575.3747391391378</v>
      </c>
      <c r="AC342" s="2">
        <f>IF(Games[[#This Row],[Type]]="R",IF(Games[[#This Row],[Result]]&gt;0.5,1,0),0)</f>
        <v>1</v>
      </c>
      <c r="AD342" s="2">
        <f>IF(Games[[#This Row],[Type]]="R",IF(Games[[#This Row],[Result]]&lt;0.5,1,0),0)</f>
        <v>0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44770</v>
      </c>
      <c r="B343" s="2">
        <v>2022</v>
      </c>
      <c r="C343" s="2">
        <f>COUNTIFS(Games[Team],Games[[#This Row],[Team]],Games[Season],Games[[#This Row],[Season]],Games[Date],"&lt;=" &amp; Games[[#This Row],[Date]])</f>
        <v>28</v>
      </c>
      <c r="D343" s="2" t="s">
        <v>79</v>
      </c>
      <c r="E343" s="2" t="s">
        <v>80</v>
      </c>
      <c r="F343" s="1" t="s">
        <v>85</v>
      </c>
      <c r="G343" s="1" t="s">
        <v>65</v>
      </c>
      <c r="H343" s="1" t="s">
        <v>82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43" s="2">
        <f>Games[[#This Row],[DaysOff]]-Games[[#This Row],[OppDaysOff]]</f>
        <v>-3</v>
      </c>
      <c r="L343" s="2">
        <f>Games[[#This Row],[OppDaysOff]]-Games[[#This Row],[DaysOff]]</f>
        <v>3</v>
      </c>
      <c r="M343" s="16">
        <f>MAX(-16, MIN(16, Games[[#This Row],[RestDiff]]*8))</f>
        <v>-16</v>
      </c>
      <c r="N343" s="16">
        <f>MAX(-16, MIN(16, Games[[#This Row],[OppRestDiff]]*8))</f>
        <v>16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1466.1612114946402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1563.1559685841373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0.43560692975693244</v>
      </c>
      <c r="R343" s="1">
        <v>77</v>
      </c>
      <c r="S343" s="1">
        <v>87</v>
      </c>
      <c r="T343" s="1">
        <v>0</v>
      </c>
      <c r="U343" s="16">
        <f>Games[[#This Row],[PointsFor]]-Games[[#This Row],[PointsAgainst]]</f>
        <v>-10</v>
      </c>
      <c r="V343" s="16">
        <f>IF(Games[[#This Row],[MOV]]&gt;0,1,IF(Games[[#This Row],[MOV]]=0,0.5,0))</f>
        <v>0</v>
      </c>
      <c r="W343" s="4">
        <f>((ABS(Games[[#This Row],[MOV]])+5)^0.6)/(12+0.01*(ABS(Games[[#This Row],[PreGmRate]]-Games[[#This Row],[OppPreGmRate]])))*IF(Games[[#This Row],[OT]]=1,0.9,1)</f>
        <v>0.39148626964241756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71.8</v>
      </c>
      <c r="Z343" s="4">
        <f>Games[[#This Row],[K]]*Games[[#This Row],[POMult]]</f>
        <v>71.8</v>
      </c>
      <c r="AA343" s="4">
        <f>(Games[[#This Row],[Keff]]*Games[[#This Row],[MOVMult]])*(Games[[#This Row],[Result]]-Games[[#This Row],[ExpectedWin%]])</f>
        <v>-12.244350674794637</v>
      </c>
      <c r="AB343" s="4">
        <f>Games[[#This Row],[PreGmRate]]+Games[[#This Row],[RatingChange]]</f>
        <v>1453.9168608198456</v>
      </c>
      <c r="AC343" s="2">
        <f>IF(Games[[#This Row],[Type]]="R",IF(Games[[#This Row],[Result]]&gt;0.5,1,0),0)</f>
        <v>0</v>
      </c>
      <c r="AD343" s="2">
        <f>IF(Games[[#This Row],[Type]]="R",IF(Games[[#This Row],[Result]]&lt;0.5,1,0),0)</f>
        <v>1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44770</v>
      </c>
      <c r="B344" s="2">
        <v>2022</v>
      </c>
      <c r="C344" s="2">
        <f>COUNTIFS(Games[Team],Games[[#This Row],[Team]],Games[Season],Games[[#This Row],[Season]],Games[Date],"&lt;=" &amp; Games[[#This Row],[Date]])</f>
        <v>28</v>
      </c>
      <c r="D344" s="2" t="s">
        <v>79</v>
      </c>
      <c r="E344" s="2" t="s">
        <v>80</v>
      </c>
      <c r="F344" s="1" t="s">
        <v>63</v>
      </c>
      <c r="G344" s="1" t="s">
        <v>40</v>
      </c>
      <c r="H344" s="1" t="s">
        <v>81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44" s="2">
        <f>Games[[#This Row],[DaysOff]]-Games[[#This Row],[OppDaysOff]]</f>
        <v>-1</v>
      </c>
      <c r="L344" s="2">
        <f>Games[[#This Row],[OppDaysOff]]-Games[[#This Row],[DaysOff]]</f>
        <v>1</v>
      </c>
      <c r="M344" s="16">
        <f>MAX(-16, MIN(16, Games[[#This Row],[RestDiff]]*8))</f>
        <v>-8</v>
      </c>
      <c r="N344" s="16">
        <f>MAX(-16, MIN(16, Games[[#This Row],[OppRestDiff]]*8))</f>
        <v>8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1437.3438075643023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1472.276660118936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0.31502379233695693</v>
      </c>
      <c r="R344" s="1">
        <v>80</v>
      </c>
      <c r="S344" s="1">
        <v>90</v>
      </c>
      <c r="T344" s="1">
        <v>0</v>
      </c>
      <c r="U344" s="16">
        <f>Games[[#This Row],[PointsFor]]-Games[[#This Row],[PointsAgainst]]</f>
        <v>-10</v>
      </c>
      <c r="V344" s="16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0.41116052435432116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71.8</v>
      </c>
      <c r="Z344" s="4">
        <f>Games[[#This Row],[K]]*Games[[#This Row],[POMult]]</f>
        <v>71.8</v>
      </c>
      <c r="AA344" s="4">
        <f>(Games[[#This Row],[Keff]]*Games[[#This Row],[MOVMult]])*(Games[[#This Row],[Result]]-Games[[#This Row],[ExpectedWin%]])</f>
        <v>-9.2999199606489285</v>
      </c>
      <c r="AB344" s="4">
        <f>Games[[#This Row],[PreGmRate]]+Games[[#This Row],[RatingChange]]</f>
        <v>1428.0438876036535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44770</v>
      </c>
      <c r="B345" s="2">
        <v>2022</v>
      </c>
      <c r="C345" s="2">
        <f>COUNTIFS(Games[Team],Games[[#This Row],[Team]],Games[Season],Games[[#This Row],[Season]],Games[Date],"&lt;=" &amp; Games[[#This Row],[Date]])</f>
        <v>29</v>
      </c>
      <c r="D345" s="2" t="s">
        <v>79</v>
      </c>
      <c r="E345" s="2" t="s">
        <v>80</v>
      </c>
      <c r="F345" s="1" t="s">
        <v>40</v>
      </c>
      <c r="G345" s="1" t="s">
        <v>63</v>
      </c>
      <c r="H345" s="1" t="s">
        <v>82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5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5" s="2">
        <f>Games[[#This Row],[DaysOff]]-Games[[#This Row],[OppDaysOff]]</f>
        <v>1</v>
      </c>
      <c r="L345" s="2">
        <f>Games[[#This Row],[OppDaysOff]]-Games[[#This Row],[DaysOff]]</f>
        <v>-1</v>
      </c>
      <c r="M345" s="16">
        <f>MAX(-16, MIN(16, Games[[#This Row],[RestDiff]]*8))</f>
        <v>8</v>
      </c>
      <c r="N345" s="16">
        <f>MAX(-16, MIN(16, Games[[#This Row],[OppRestDiff]]*8))</f>
        <v>-8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1472.276660118936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1437.3438075643023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0.68497620766304312</v>
      </c>
      <c r="R345" s="1">
        <v>90</v>
      </c>
      <c r="S345" s="1">
        <v>80</v>
      </c>
      <c r="T345" s="1">
        <v>0</v>
      </c>
      <c r="U345" s="16">
        <f>Games[[#This Row],[PointsFor]]-Games[[#This Row],[PointsAgainst]]</f>
        <v>10</v>
      </c>
      <c r="V345" s="16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0.41116052435432116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71.650000000000006</v>
      </c>
      <c r="Z345" s="4">
        <f>Games[[#This Row],[K]]*Games[[#This Row],[POMult]]</f>
        <v>71.650000000000006</v>
      </c>
      <c r="AA345" s="4">
        <f>(Games[[#This Row],[Keff]]*Games[[#This Row],[MOVMult]])*(Games[[#This Row],[Result]]-Games[[#This Row],[ExpectedWin%]])</f>
        <v>9.2804911585027252</v>
      </c>
      <c r="AB345" s="4">
        <f>Games[[#This Row],[PreGmRate]]+Games[[#This Row],[RatingChange]]</f>
        <v>1481.5571512774386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44771</v>
      </c>
      <c r="B346" s="2">
        <v>2022</v>
      </c>
      <c r="C346" s="2">
        <f>COUNTIFS(Games[Team],Games[[#This Row],[Team]],Games[Season],Games[[#This Row],[Season]],Games[Date],"&lt;=" &amp; Games[[#This Row],[Date]])</f>
        <v>28</v>
      </c>
      <c r="D346" s="2" t="s">
        <v>79</v>
      </c>
      <c r="E346" s="2" t="s">
        <v>80</v>
      </c>
      <c r="F346" s="1" t="s">
        <v>60</v>
      </c>
      <c r="G346" s="1" t="s">
        <v>75</v>
      </c>
      <c r="H346" s="1" t="s">
        <v>81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5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46" s="2">
        <f>Games[[#This Row],[DaysOff]]-Games[[#This Row],[OppDaysOff]]</f>
        <v>0</v>
      </c>
      <c r="L346" s="2">
        <f>Games[[#This Row],[OppDaysOff]]-Games[[#This Row],[DaysOff]]</f>
        <v>0</v>
      </c>
      <c r="M346" s="16">
        <f>MAX(-16, MIN(16, Games[[#This Row],[RestDiff]]*8))</f>
        <v>0</v>
      </c>
      <c r="N346" s="16">
        <f>MAX(-16, MIN(16, Games[[#This Row],[OppRestDiff]]*8))</f>
        <v>0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1409.6483397757431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1665.0153504824386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0.12416639644267766</v>
      </c>
      <c r="R346" s="1">
        <v>81</v>
      </c>
      <c r="S346" s="1">
        <v>89</v>
      </c>
      <c r="T346" s="1">
        <v>0</v>
      </c>
      <c r="U346" s="16">
        <f>Games[[#This Row],[PointsFor]]-Games[[#This Row],[PointsAgainst]]</f>
        <v>-8</v>
      </c>
      <c r="V346" s="16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0.32017947265228802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71.8</v>
      </c>
      <c r="Z346" s="4">
        <f>Games[[#This Row],[K]]*Games[[#This Row],[POMult]]</f>
        <v>71.8</v>
      </c>
      <c r="AA346" s="4">
        <f>(Games[[#This Row],[Keff]]*Games[[#This Row],[MOVMult]])*(Games[[#This Row],[Result]]-Games[[#This Row],[ExpectedWin%]])</f>
        <v>-2.8544471497920747</v>
      </c>
      <c r="AB346" s="4">
        <f>Games[[#This Row],[PreGmRate]]+Games[[#This Row],[RatingChange]]</f>
        <v>1406.793892625951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44771</v>
      </c>
      <c r="B347" s="2">
        <v>2022</v>
      </c>
      <c r="C347" s="2">
        <f>COUNTIFS(Games[Team],Games[[#This Row],[Team]],Games[Season],Games[[#This Row],[Season]],Games[Date],"&lt;=" &amp; Games[[#This Row],[Date]])</f>
        <v>29</v>
      </c>
      <c r="D347" s="2" t="s">
        <v>79</v>
      </c>
      <c r="E347" s="2" t="s">
        <v>80</v>
      </c>
      <c r="F347" s="1" t="s">
        <v>75</v>
      </c>
      <c r="G347" s="1" t="s">
        <v>60</v>
      </c>
      <c r="H347" s="1" t="s">
        <v>82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5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47" s="2">
        <f>Games[[#This Row],[DaysOff]]-Games[[#This Row],[OppDaysOff]]</f>
        <v>0</v>
      </c>
      <c r="L347" s="2">
        <f>Games[[#This Row],[OppDaysOff]]-Games[[#This Row],[DaysOff]]</f>
        <v>0</v>
      </c>
      <c r="M347" s="16">
        <f>MAX(-16, MIN(16, Games[[#This Row],[RestDiff]]*8))</f>
        <v>0</v>
      </c>
      <c r="N347" s="16">
        <f>MAX(-16, MIN(16, Games[[#This Row],[OppRestDiff]]*8))</f>
        <v>0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1665.0153504824386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1409.6483397757431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0.87583360355732243</v>
      </c>
      <c r="R347" s="1">
        <v>89</v>
      </c>
      <c r="S347" s="1">
        <v>81</v>
      </c>
      <c r="T347" s="1">
        <v>0</v>
      </c>
      <c r="U347" s="16">
        <f>Games[[#This Row],[PointsFor]]-Games[[#This Row],[PointsAgainst]]</f>
        <v>8</v>
      </c>
      <c r="V347" s="16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0.32017947265228802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71.650000000000006</v>
      </c>
      <c r="Z347" s="4">
        <f>Games[[#This Row],[K]]*Games[[#This Row],[POMult]]</f>
        <v>71.650000000000006</v>
      </c>
      <c r="AA347" s="4">
        <f>(Games[[#This Row],[Keff]]*Games[[#This Row],[MOVMult]])*(Games[[#This Row],[Result]]-Games[[#This Row],[ExpectedWin%]])</f>
        <v>2.8484838200919507</v>
      </c>
      <c r="AB347" s="4">
        <f>Games[[#This Row],[PreGmRate]]+Games[[#This Row],[RatingChange]]</f>
        <v>1667.8638343025307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44771</v>
      </c>
      <c r="B348" s="2">
        <v>2022</v>
      </c>
      <c r="C348" s="2">
        <f>COUNTIFS(Games[Team],Games[[#This Row],[Team]],Games[Season],Games[[#This Row],[Season]],Games[Date],"&lt;=" &amp; Games[[#This Row],[Date]])</f>
        <v>29</v>
      </c>
      <c r="D348" s="2" t="s">
        <v>79</v>
      </c>
      <c r="E348" s="2" t="s">
        <v>80</v>
      </c>
      <c r="F348" s="1" t="s">
        <v>86</v>
      </c>
      <c r="G348" s="1" t="s">
        <v>69</v>
      </c>
      <c r="H348" s="1" t="s">
        <v>81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5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8" s="2">
        <f>Games[[#This Row],[DaysOff]]-Games[[#This Row],[OppDaysOff]]</f>
        <v>1</v>
      </c>
      <c r="L348" s="2">
        <f>Games[[#This Row],[OppDaysOff]]-Games[[#This Row],[DaysOff]]</f>
        <v>-1</v>
      </c>
      <c r="M348" s="16">
        <f>MAX(-16, MIN(16, Games[[#This Row],[RestDiff]]*8))</f>
        <v>8</v>
      </c>
      <c r="N348" s="16">
        <f>MAX(-16, MIN(16, Games[[#This Row],[OppRestDiff]]*8))</f>
        <v>-8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1617.7428334118717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1251.2173274001029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0.84792920131348704</v>
      </c>
      <c r="R348" s="1">
        <v>93</v>
      </c>
      <c r="S348" s="1">
        <v>72</v>
      </c>
      <c r="T348" s="1">
        <v>0</v>
      </c>
      <c r="U348" s="16">
        <f>Games[[#This Row],[PointsFor]]-Games[[#This Row],[PointsAgainst]]</f>
        <v>21</v>
      </c>
      <c r="V348" s="16">
        <f>IF(Games[[#This Row],[MOV]]&gt;0,1,IF(Games[[#This Row],[MOV]]=0,0.5,0))</f>
        <v>1</v>
      </c>
      <c r="W348" s="4">
        <f>((ABS(Games[[#This Row],[MOV]])+5)^0.6)/(12+0.01*(ABS(Games[[#This Row],[PreGmRate]]-Games[[#This Row],[OppPreGmRate]])))*IF(Games[[#This Row],[OT]]=1,0.9,1)</f>
        <v>0.45086501599519974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71.650000000000006</v>
      </c>
      <c r="Z348" s="4">
        <f>Games[[#This Row],[K]]*Games[[#This Row],[POMult]]</f>
        <v>71.650000000000006</v>
      </c>
      <c r="AA348" s="4">
        <f>(Games[[#This Row],[Keff]]*Games[[#This Row],[MOVMult]])*(Games[[#This Row],[Result]]-Games[[#This Row],[ExpectedWin%]])</f>
        <v>4.9125678308394489</v>
      </c>
      <c r="AB348" s="4">
        <f>Games[[#This Row],[PreGmRate]]+Games[[#This Row],[RatingChange]]</f>
        <v>1622.6554012427112</v>
      </c>
      <c r="AC348" s="2">
        <f>IF(Games[[#This Row],[Type]]="R",IF(Games[[#This Row],[Result]]&gt;0.5,1,0),0)</f>
        <v>1</v>
      </c>
      <c r="AD348" s="2">
        <f>IF(Games[[#This Row],[Type]]="R",IF(Games[[#This Row],[Result]]&lt;0.5,1,0),0)</f>
        <v>0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44771</v>
      </c>
      <c r="B349" s="2">
        <v>2022</v>
      </c>
      <c r="C349" s="2">
        <f>COUNTIFS(Games[Team],Games[[#This Row],[Team]],Games[Season],Games[[#This Row],[Season]],Games[Date],"&lt;=" &amp; Games[[#This Row],[Date]])</f>
        <v>31</v>
      </c>
      <c r="D349" s="2" t="s">
        <v>79</v>
      </c>
      <c r="E349" s="2" t="s">
        <v>80</v>
      </c>
      <c r="F349" s="1" t="s">
        <v>69</v>
      </c>
      <c r="G349" s="1" t="s">
        <v>86</v>
      </c>
      <c r="H349" s="1" t="s">
        <v>82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49" s="2">
        <f>Games[[#This Row],[DaysOff]]-Games[[#This Row],[OppDaysOff]]</f>
        <v>-1</v>
      </c>
      <c r="L349" s="2">
        <f>Games[[#This Row],[OppDaysOff]]-Games[[#This Row],[DaysOff]]</f>
        <v>1</v>
      </c>
      <c r="M349" s="16">
        <f>MAX(-16, MIN(16, Games[[#This Row],[RestDiff]]*8))</f>
        <v>-8</v>
      </c>
      <c r="N349" s="16">
        <f>MAX(-16, MIN(16, Games[[#This Row],[OppRestDiff]]*8))</f>
        <v>8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1251.2173274001029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1617.7428334118717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0.15207079868651291</v>
      </c>
      <c r="R349" s="1">
        <v>72</v>
      </c>
      <c r="S349" s="1">
        <v>93</v>
      </c>
      <c r="T349" s="1">
        <v>0</v>
      </c>
      <c r="U349" s="16">
        <f>Games[[#This Row],[PointsFor]]-Games[[#This Row],[PointsAgainst]]</f>
        <v>-21</v>
      </c>
      <c r="V349" s="16">
        <f>IF(Games[[#This Row],[MOV]]&gt;0,1,IF(Games[[#This Row],[MOV]]=0,0.5,0))</f>
        <v>0</v>
      </c>
      <c r="W349" s="4">
        <f>((ABS(Games[[#This Row],[MOV]])+5)^0.6)/(12+0.01*(ABS(Games[[#This Row],[PreGmRate]]-Games[[#This Row],[OppPreGmRate]])))*IF(Games[[#This Row],[OT]]=1,0.9,1)</f>
        <v>0.45086501599519974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71.349999999999994</v>
      </c>
      <c r="Z349" s="4">
        <f>Games[[#This Row],[K]]*Games[[#This Row],[POMult]]</f>
        <v>71.349999999999994</v>
      </c>
      <c r="AA349" s="4">
        <f>(Games[[#This Row],[Keff]]*Games[[#This Row],[MOVMult]])*(Games[[#This Row],[Result]]-Games[[#This Row],[ExpectedWin%]])</f>
        <v>-4.8919988099147877</v>
      </c>
      <c r="AB349" s="4">
        <f>Games[[#This Row],[PreGmRate]]+Games[[#This Row],[RatingChange]]</f>
        <v>1246.3253285901881</v>
      </c>
      <c r="AC349" s="2">
        <f>IF(Games[[#This Row],[Type]]="R",IF(Games[[#This Row],[Result]]&gt;0.5,1,0),0)</f>
        <v>0</v>
      </c>
      <c r="AD349" s="2">
        <f>IF(Games[[#This Row],[Type]]="R",IF(Games[[#This Row],[Result]]&lt;0.5,1,0),0)</f>
        <v>1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44772</v>
      </c>
      <c r="B350" s="2">
        <v>2022</v>
      </c>
      <c r="C350" s="2">
        <f>COUNTIFS(Games[Team],Games[[#This Row],[Team]],Games[Season],Games[[#This Row],[Season]],Games[Date],"&lt;=" &amp; Games[[#This Row],[Date]])</f>
        <v>29</v>
      </c>
      <c r="D350" s="2" t="s">
        <v>79</v>
      </c>
      <c r="E350" s="2" t="s">
        <v>80</v>
      </c>
      <c r="F350" s="1" t="s">
        <v>85</v>
      </c>
      <c r="G350" s="1" t="s">
        <v>77</v>
      </c>
      <c r="H350" s="1" t="s">
        <v>81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6">
        <f>MAX(-16, MIN(16, Games[[#This Row],[RestDiff]]*8))</f>
        <v>0</v>
      </c>
      <c r="N350" s="16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1453.9168608198456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1422.6049080383502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0.42475175632354323</v>
      </c>
      <c r="R350" s="1">
        <v>81</v>
      </c>
      <c r="S350" s="1">
        <v>68</v>
      </c>
      <c r="T350" s="1">
        <v>0</v>
      </c>
      <c r="U350" s="16">
        <f>Games[[#This Row],[PointsFor]]-Games[[#This Row],[PointsAgainst]]</f>
        <v>13</v>
      </c>
      <c r="V350" s="16">
        <f>IF(Games[[#This Row],[MOV]]&gt;0,1,IF(Games[[#This Row],[MOV]]=0,0.5,0))</f>
        <v>1</v>
      </c>
      <c r="W350" s="4">
        <f>((ABS(Games[[#This Row],[MOV]])+5)^0.6)/(12+0.01*(ABS(Games[[#This Row],[PreGmRate]]-Games[[#This Row],[OppPreGmRate]])))*IF(Games[[#This Row],[OT]]=1,0.9,1)</f>
        <v>0.46003980185309046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71.650000000000006</v>
      </c>
      <c r="Z350" s="4">
        <f>Games[[#This Row],[K]]*Games[[#This Row],[POMult]]</f>
        <v>71.650000000000006</v>
      </c>
      <c r="AA350" s="4">
        <f>(Games[[#This Row],[Keff]]*Games[[#This Row],[MOVMult]])*(Games[[#This Row],[Result]]-Games[[#This Row],[ExpectedWin%]])</f>
        <v>18.961247357869357</v>
      </c>
      <c r="AB350" s="4">
        <f>Games[[#This Row],[PreGmRate]]+Games[[#This Row],[RatingChange]]</f>
        <v>1472.8781081777149</v>
      </c>
      <c r="AC350" s="2">
        <f>IF(Games[[#This Row],[Type]]="R",IF(Games[[#This Row],[Result]]&gt;0.5,1,0),0)</f>
        <v>1</v>
      </c>
      <c r="AD350" s="2">
        <f>IF(Games[[#This Row],[Type]]="R",IF(Games[[#This Row],[Result]]&lt;0.5,1,0),0)</f>
        <v>0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44772</v>
      </c>
      <c r="B351" s="2">
        <v>2022</v>
      </c>
      <c r="C351" s="2">
        <f>COUNTIFS(Games[Team],Games[[#This Row],[Team]],Games[Season],Games[[#This Row],[Season]],Games[Date],"&lt;=" &amp; Games[[#This Row],[Date]])</f>
        <v>30</v>
      </c>
      <c r="D351" s="2" t="s">
        <v>79</v>
      </c>
      <c r="E351" s="2" t="s">
        <v>80</v>
      </c>
      <c r="F351" s="1" t="s">
        <v>77</v>
      </c>
      <c r="G351" s="1" t="s">
        <v>85</v>
      </c>
      <c r="H351" s="1" t="s">
        <v>82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6">
        <f>MAX(-16, MIN(16, Games[[#This Row],[RestDiff]]*8))</f>
        <v>0</v>
      </c>
      <c r="N351" s="16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1422.6049080383502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1453.9168608198456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0.57524824367645677</v>
      </c>
      <c r="R351" s="1">
        <v>68</v>
      </c>
      <c r="S351" s="1">
        <v>81</v>
      </c>
      <c r="T351" s="1">
        <v>0</v>
      </c>
      <c r="U351" s="16">
        <f>Games[[#This Row],[PointsFor]]-Games[[#This Row],[PointsAgainst]]</f>
        <v>-13</v>
      </c>
      <c r="V351" s="16">
        <f>IF(Games[[#This Row],[MOV]]&gt;0,1,IF(Games[[#This Row],[MOV]]=0,0.5,0))</f>
        <v>0</v>
      </c>
      <c r="W351" s="4">
        <f>((ABS(Games[[#This Row],[MOV]])+5)^0.6)/(12+0.01*(ABS(Games[[#This Row],[PreGmRate]]-Games[[#This Row],[OppPreGmRate]])))*IF(Games[[#This Row],[OT]]=1,0.9,1)</f>
        <v>0.46003980185309046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71.5</v>
      </c>
      <c r="Z351" s="4">
        <f>Games[[#This Row],[K]]*Games[[#This Row],[POMult]]</f>
        <v>71.5</v>
      </c>
      <c r="AA351" s="4">
        <f>(Games[[#This Row],[Keff]]*Games[[#This Row],[MOVMult]])*(Games[[#This Row],[Result]]-Games[[#This Row],[ExpectedWin%]])</f>
        <v>-18.921551794663763</v>
      </c>
      <c r="AB351" s="4">
        <f>Games[[#This Row],[PreGmRate]]+Games[[#This Row],[RatingChange]]</f>
        <v>1403.6833562436864</v>
      </c>
      <c r="AC351" s="2">
        <f>IF(Games[[#This Row],[Type]]="R",IF(Games[[#This Row],[Result]]&gt;0.5,1,0),0)</f>
        <v>0</v>
      </c>
      <c r="AD351" s="2">
        <f>IF(Games[[#This Row],[Type]]="R",IF(Games[[#This Row],[Result]]&lt;0.5,1,0),0)</f>
        <v>1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44772</v>
      </c>
      <c r="B352" s="2">
        <v>2022</v>
      </c>
      <c r="C352" s="2">
        <f>COUNTIFS(Games[Team],Games[[#This Row],[Team]],Games[Season],Games[[#This Row],[Season]],Games[Date],"&lt;=" &amp; Games[[#This Row],[Date]])</f>
        <v>30</v>
      </c>
      <c r="D352" s="2" t="s">
        <v>79</v>
      </c>
      <c r="E352" s="2" t="s">
        <v>80</v>
      </c>
      <c r="F352" s="1" t="s">
        <v>71</v>
      </c>
      <c r="G352" s="1" t="s">
        <v>65</v>
      </c>
      <c r="H352" s="1" t="s">
        <v>81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2" s="2">
        <f>Games[[#This Row],[DaysOff]]-Games[[#This Row],[OppDaysOff]]</f>
        <v>0</v>
      </c>
      <c r="L352" s="2">
        <f>Games[[#This Row],[OppDaysOff]]-Games[[#This Row],[DaysOff]]</f>
        <v>0</v>
      </c>
      <c r="M352" s="16">
        <f>MAX(-16, MIN(16, Games[[#This Row],[RestDiff]]*8))</f>
        <v>0</v>
      </c>
      <c r="N352" s="16">
        <f>MAX(-16, MIN(16, Games[[#This Row],[OppRestDiff]]*8))</f>
        <v>0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1571.8909639279418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1575.3747391391378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0.37669571200781821</v>
      </c>
      <c r="R352" s="1">
        <v>82</v>
      </c>
      <c r="S352" s="1">
        <v>77</v>
      </c>
      <c r="T352" s="1">
        <v>0</v>
      </c>
      <c r="U352" s="16">
        <f>Games[[#This Row],[PointsFor]]-Games[[#This Row],[PointsAgainst]]</f>
        <v>5</v>
      </c>
      <c r="V352" s="16">
        <f>IF(Games[[#This Row],[MOV]]&gt;0,1,IF(Games[[#This Row],[MOV]]=0,0.5,0))</f>
        <v>1</v>
      </c>
      <c r="W352" s="4">
        <f>((ABS(Games[[#This Row],[MOV]])+5)^0.6)/(12+0.01*(ABS(Games[[#This Row],[PreGmRate]]-Games[[#This Row],[OppPreGmRate]])))*IF(Games[[#This Row],[OT]]=1,0.9,1)</f>
        <v>0.33079562745549651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71.5</v>
      </c>
      <c r="Z352" s="4">
        <f>Games[[#This Row],[K]]*Games[[#This Row],[POMult]]</f>
        <v>71.5</v>
      </c>
      <c r="AA352" s="4">
        <f>(Games[[#This Row],[Keff]]*Games[[#This Row],[MOVMult]])*(Games[[#This Row],[Result]]-Games[[#This Row],[ExpectedWin%]])</f>
        <v>14.74232281250838</v>
      </c>
      <c r="AB352" s="4">
        <f>Games[[#This Row],[PreGmRate]]+Games[[#This Row],[RatingChange]]</f>
        <v>1586.6332867404501</v>
      </c>
      <c r="AC352" s="2">
        <f>IF(Games[[#This Row],[Type]]="R",IF(Games[[#This Row],[Result]]&gt;0.5,1,0),0)</f>
        <v>1</v>
      </c>
      <c r="AD352" s="2">
        <f>IF(Games[[#This Row],[Type]]="R",IF(Games[[#This Row],[Result]]&lt;0.5,1,0),0)</f>
        <v>0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44772</v>
      </c>
      <c r="B353" s="2">
        <v>2022</v>
      </c>
      <c r="C353" s="2">
        <f>COUNTIFS(Games[Team],Games[[#This Row],[Team]],Games[Season],Games[[#This Row],[Season]],Games[Date],"&lt;=" &amp; Games[[#This Row],[Date]])</f>
        <v>30</v>
      </c>
      <c r="D353" s="2" t="s">
        <v>79</v>
      </c>
      <c r="E353" s="2" t="s">
        <v>80</v>
      </c>
      <c r="F353" s="1" t="s">
        <v>65</v>
      </c>
      <c r="G353" s="1" t="s">
        <v>71</v>
      </c>
      <c r="H353" s="1" t="s">
        <v>82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3" s="2">
        <f>Games[[#This Row],[DaysOff]]-Games[[#This Row],[OppDaysOff]]</f>
        <v>0</v>
      </c>
      <c r="L353" s="2">
        <f>Games[[#This Row],[OppDaysOff]]-Games[[#This Row],[DaysOff]]</f>
        <v>0</v>
      </c>
      <c r="M353" s="16">
        <f>MAX(-16, MIN(16, Games[[#This Row],[RestDiff]]*8))</f>
        <v>0</v>
      </c>
      <c r="N353" s="16">
        <f>MAX(-16, MIN(16, Games[[#This Row],[OppRestDiff]]*8))</f>
        <v>0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1575.3747391391378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1571.8909639279418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0.62330428799218185</v>
      </c>
      <c r="R353" s="1">
        <v>77</v>
      </c>
      <c r="S353" s="1">
        <v>82</v>
      </c>
      <c r="T353" s="1">
        <v>0</v>
      </c>
      <c r="U353" s="16">
        <f>Games[[#This Row],[PointsFor]]-Games[[#This Row],[PointsAgainst]]</f>
        <v>-5</v>
      </c>
      <c r="V353" s="16">
        <f>IF(Games[[#This Row],[MOV]]&gt;0,1,IF(Games[[#This Row],[MOV]]=0,0.5,0))</f>
        <v>0</v>
      </c>
      <c r="W353" s="4">
        <f>((ABS(Games[[#This Row],[MOV]])+5)^0.6)/(12+0.01*(ABS(Games[[#This Row],[PreGmRate]]-Games[[#This Row],[OppPreGmRate]])))*IF(Games[[#This Row],[OT]]=1,0.9,1)</f>
        <v>0.33079562745549651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71.5</v>
      </c>
      <c r="Z353" s="4">
        <f>Games[[#This Row],[K]]*Games[[#This Row],[POMult]]</f>
        <v>71.5</v>
      </c>
      <c r="AA353" s="4">
        <f>(Games[[#This Row],[Keff]]*Games[[#This Row],[MOVMult]])*(Games[[#This Row],[Result]]-Games[[#This Row],[ExpectedWin%]])</f>
        <v>-14.742322812508382</v>
      </c>
      <c r="AB353" s="4">
        <f>Games[[#This Row],[PreGmRate]]+Games[[#This Row],[RatingChange]]</f>
        <v>1560.6324163266295</v>
      </c>
      <c r="AC353" s="2">
        <f>IF(Games[[#This Row],[Type]]="R",IF(Games[[#This Row],[Result]]&gt;0.5,1,0),0)</f>
        <v>0</v>
      </c>
      <c r="AD353" s="2">
        <f>IF(Games[[#This Row],[Type]]="R",IF(Games[[#This Row],[Result]]&lt;0.5,1,0),0)</f>
        <v>1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44773</v>
      </c>
      <c r="B354" s="2">
        <v>2022</v>
      </c>
      <c r="C354" s="2">
        <f>COUNTIFS(Games[Team],Games[[#This Row],[Team]],Games[Season],Games[[#This Row],[Season]],Games[Date],"&lt;=" &amp; Games[[#This Row],[Date]])</f>
        <v>30</v>
      </c>
      <c r="D354" s="2" t="s">
        <v>79</v>
      </c>
      <c r="E354" s="2" t="s">
        <v>80</v>
      </c>
      <c r="F354" s="1" t="s">
        <v>75</v>
      </c>
      <c r="G354" s="1" t="s">
        <v>74</v>
      </c>
      <c r="H354" s="1" t="s">
        <v>81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4" s="2">
        <f>Games[[#This Row],[DaysOff]]-Games[[#This Row],[OppDaysOff]]</f>
        <v>-1</v>
      </c>
      <c r="L354" s="2">
        <f>Games[[#This Row],[OppDaysOff]]-Games[[#This Row],[DaysOff]]</f>
        <v>1</v>
      </c>
      <c r="M354" s="16">
        <f>MAX(-16, MIN(16, Games[[#This Row],[RestDiff]]*8))</f>
        <v>-8</v>
      </c>
      <c r="N354" s="16">
        <f>MAX(-16, MIN(16, Games[[#This Row],[OppRestDiff]]*8))</f>
        <v>8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1667.8638343025307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1643.8565408724969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0.39234894537127202</v>
      </c>
      <c r="R354" s="1">
        <v>95</v>
      </c>
      <c r="S354" s="1">
        <v>92</v>
      </c>
      <c r="T354" s="1">
        <v>1</v>
      </c>
      <c r="U354" s="16">
        <f>Games[[#This Row],[PointsFor]]-Games[[#This Row],[PointsAgainst]]</f>
        <v>3</v>
      </c>
      <c r="V354" s="16">
        <f>IF(Games[[#This Row],[MOV]]&gt;0,1,IF(Games[[#This Row],[MOV]]=0,0.5,0))</f>
        <v>1</v>
      </c>
      <c r="W354" s="4">
        <f>((ABS(Games[[#This Row],[MOV]])+5)^0.6)/(12+0.01*(ABS(Games[[#This Row],[PreGmRate]]-Games[[#This Row],[OppPreGmRate]])))*IF(Games[[#This Row],[OT]]=1,0.9,1)</f>
        <v>0.25604275764433509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71.5</v>
      </c>
      <c r="Z354" s="4">
        <f>Games[[#This Row],[K]]*Games[[#This Row],[POMult]]</f>
        <v>71.5</v>
      </c>
      <c r="AA354" s="4">
        <f>(Games[[#This Row],[Keff]]*Games[[#This Row],[MOVMult]])*(Games[[#This Row],[Result]]-Games[[#This Row],[ExpectedWin%]])</f>
        <v>11.124302597452902</v>
      </c>
      <c r="AB354" s="4">
        <f>Games[[#This Row],[PreGmRate]]+Games[[#This Row],[RatingChange]]</f>
        <v>1678.9881368999836</v>
      </c>
      <c r="AC354" s="2">
        <f>IF(Games[[#This Row],[Type]]="R",IF(Games[[#This Row],[Result]]&gt;0.5,1,0),0)</f>
        <v>1</v>
      </c>
      <c r="AD354" s="2">
        <f>IF(Games[[#This Row],[Type]]="R",IF(Games[[#This Row],[Result]]&lt;0.5,1,0),0)</f>
        <v>0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44773</v>
      </c>
      <c r="B355" s="2">
        <v>2022</v>
      </c>
      <c r="C355" s="2">
        <f>COUNTIFS(Games[Team],Games[[#This Row],[Team]],Games[Season],Games[[#This Row],[Season]],Games[Date],"&lt;=" &amp; Games[[#This Row],[Date]])</f>
        <v>30</v>
      </c>
      <c r="D355" s="2" t="s">
        <v>79</v>
      </c>
      <c r="E355" s="2" t="s">
        <v>80</v>
      </c>
      <c r="F355" s="1" t="s">
        <v>74</v>
      </c>
      <c r="G355" s="1" t="s">
        <v>75</v>
      </c>
      <c r="H355" s="1" t="s">
        <v>82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1</v>
      </c>
      <c r="L355" s="2">
        <f>Games[[#This Row],[OppDaysOff]]-Games[[#This Row],[DaysOff]]</f>
        <v>-1</v>
      </c>
      <c r="M355" s="16">
        <f>MAX(-16, MIN(16, Games[[#This Row],[RestDiff]]*8))</f>
        <v>8</v>
      </c>
      <c r="N355" s="16">
        <f>MAX(-16, MIN(16, Games[[#This Row],[OppRestDiff]]*8))</f>
        <v>-8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1643.8565408724969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1667.8638343025307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0.60765105462872793</v>
      </c>
      <c r="R355" s="1">
        <v>92</v>
      </c>
      <c r="S355" s="1">
        <v>95</v>
      </c>
      <c r="T355" s="1">
        <v>1</v>
      </c>
      <c r="U355" s="16">
        <f>Games[[#This Row],[PointsFor]]-Games[[#This Row],[PointsAgainst]]</f>
        <v>-3</v>
      </c>
      <c r="V355" s="16">
        <f>IF(Games[[#This Row],[MOV]]&gt;0,1,IF(Games[[#This Row],[MOV]]=0,0.5,0))</f>
        <v>0</v>
      </c>
      <c r="W355" s="4">
        <f>((ABS(Games[[#This Row],[MOV]])+5)^0.6)/(12+0.01*(ABS(Games[[#This Row],[PreGmRate]]-Games[[#This Row],[OppPreGmRate]])))*IF(Games[[#This Row],[OT]]=1,0.9,1)</f>
        <v>0.25604275764433509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71.5</v>
      </c>
      <c r="Z355" s="4">
        <f>Games[[#This Row],[K]]*Games[[#This Row],[POMult]]</f>
        <v>71.5</v>
      </c>
      <c r="AA355" s="4">
        <f>(Games[[#This Row],[Keff]]*Games[[#This Row],[MOVMult]])*(Games[[#This Row],[Result]]-Games[[#This Row],[ExpectedWin%]])</f>
        <v>-11.124302597452902</v>
      </c>
      <c r="AB355" s="4">
        <f>Games[[#This Row],[PreGmRate]]+Games[[#This Row],[RatingChange]]</f>
        <v>1632.732238275044</v>
      </c>
      <c r="AC355" s="2">
        <f>IF(Games[[#This Row],[Type]]="R",IF(Games[[#This Row],[Result]]&gt;0.5,1,0),0)</f>
        <v>0</v>
      </c>
      <c r="AD355" s="2">
        <f>IF(Games[[#This Row],[Type]]="R",IF(Games[[#This Row],[Result]]&lt;0.5,1,0),0)</f>
        <v>1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44773</v>
      </c>
      <c r="B356" s="2">
        <v>2022</v>
      </c>
      <c r="C356" s="2">
        <f>COUNTIFS(Games[Team],Games[[#This Row],[Team]],Games[Season],Games[[#This Row],[Season]],Games[Date],"&lt;=" &amp; Games[[#This Row],[Date]])</f>
        <v>30</v>
      </c>
      <c r="D356" s="2" t="s">
        <v>79</v>
      </c>
      <c r="E356" s="2" t="s">
        <v>80</v>
      </c>
      <c r="F356" s="1" t="s">
        <v>86</v>
      </c>
      <c r="G356" s="1" t="s">
        <v>69</v>
      </c>
      <c r="H356" s="1" t="s">
        <v>81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6">
        <f>MAX(-16, MIN(16, Games[[#This Row],[RestDiff]]*8))</f>
        <v>0</v>
      </c>
      <c r="N356" s="16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1622.6554012427112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1246.3253285901881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0.84327324557327443</v>
      </c>
      <c r="R356" s="1">
        <v>94</v>
      </c>
      <c r="S356" s="1">
        <v>69</v>
      </c>
      <c r="T356" s="1">
        <v>0</v>
      </c>
      <c r="U356" s="16">
        <f>Games[[#This Row],[PointsFor]]-Games[[#This Row],[PointsAgainst]]</f>
        <v>25</v>
      </c>
      <c r="V356" s="16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0.48823127048357529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71.5</v>
      </c>
      <c r="Z356" s="4">
        <f>Games[[#This Row],[K]]*Games[[#This Row],[POMult]]</f>
        <v>71.5</v>
      </c>
      <c r="AA356" s="4">
        <f>(Games[[#This Row],[Keff]]*Games[[#This Row],[MOVMult]])*(Games[[#This Row],[Result]]-Games[[#This Row],[ExpectedWin%]])</f>
        <v>5.4711015239257188</v>
      </c>
      <c r="AB356" s="4">
        <f>Games[[#This Row],[PreGmRate]]+Games[[#This Row],[RatingChange]]</f>
        <v>1628.1265027666368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44773</v>
      </c>
      <c r="B357" s="2">
        <v>2022</v>
      </c>
      <c r="C357" s="2">
        <f>COUNTIFS(Games[Team],Games[[#This Row],[Team]],Games[Season],Games[[#This Row],[Season]],Games[Date],"&lt;=" &amp; Games[[#This Row],[Date]])</f>
        <v>32</v>
      </c>
      <c r="D357" s="2" t="s">
        <v>79</v>
      </c>
      <c r="E357" s="2" t="s">
        <v>80</v>
      </c>
      <c r="F357" s="1" t="s">
        <v>69</v>
      </c>
      <c r="G357" s="1" t="s">
        <v>86</v>
      </c>
      <c r="H357" s="1" t="s">
        <v>82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6">
        <f>MAX(-16, MIN(16, Games[[#This Row],[RestDiff]]*8))</f>
        <v>0</v>
      </c>
      <c r="N357" s="16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1246.3253285901881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1622.6554012427112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0.15672675442672557</v>
      </c>
      <c r="R357" s="1">
        <v>69</v>
      </c>
      <c r="S357" s="1">
        <v>94</v>
      </c>
      <c r="T357" s="1">
        <v>0</v>
      </c>
      <c r="U357" s="16">
        <f>Games[[#This Row],[PointsFor]]-Games[[#This Row],[PointsAgainst]]</f>
        <v>-25</v>
      </c>
      <c r="V357" s="16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0.48823127048357529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71.2</v>
      </c>
      <c r="Z357" s="4">
        <f>Games[[#This Row],[K]]*Games[[#This Row],[POMult]]</f>
        <v>71.2</v>
      </c>
      <c r="AA357" s="4">
        <f>(Games[[#This Row],[Keff]]*Games[[#This Row],[MOVMult]])*(Games[[#This Row],[Result]]-Games[[#This Row],[ExpectedWin%]])</f>
        <v>-5.4481458531959603</v>
      </c>
      <c r="AB357" s="4">
        <f>Games[[#This Row],[PreGmRate]]+Games[[#This Row],[RatingChange]]</f>
        <v>1240.8771827369922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44773</v>
      </c>
      <c r="B358" s="2">
        <v>2022</v>
      </c>
      <c r="C358" s="2">
        <f>COUNTIFS(Games[Team],Games[[#This Row],[Team]],Games[Season],Games[[#This Row],[Season]],Games[Date],"&lt;=" &amp; Games[[#This Row],[Date]])</f>
        <v>31</v>
      </c>
      <c r="D358" s="2" t="s">
        <v>79</v>
      </c>
      <c r="E358" s="2" t="s">
        <v>80</v>
      </c>
      <c r="F358" s="1" t="s">
        <v>67</v>
      </c>
      <c r="G358" s="1" t="s">
        <v>63</v>
      </c>
      <c r="H358" s="1" t="s">
        <v>81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8" s="2">
        <f>Games[[#This Row],[DaysOff]]-Games[[#This Row],[OppDaysOff]]</f>
        <v>0</v>
      </c>
      <c r="L358" s="2">
        <f>Games[[#This Row],[OppDaysOff]]-Games[[#This Row],[DaysOff]]</f>
        <v>0</v>
      </c>
      <c r="M358" s="16">
        <f>MAX(-16, MIN(16, Games[[#This Row],[RestDiff]]*8))</f>
        <v>0</v>
      </c>
      <c r="N358" s="16">
        <f>MAX(-16, MIN(16, Games[[#This Row],[OppRestDiff]]*8))</f>
        <v>0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1479.71274989428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1428.0438876036535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0.45360559305108716</v>
      </c>
      <c r="R358" s="1">
        <v>84</v>
      </c>
      <c r="S358" s="1">
        <v>77</v>
      </c>
      <c r="T358" s="1">
        <v>0</v>
      </c>
      <c r="U358" s="16">
        <f>Games[[#This Row],[PointsFor]]-Games[[#This Row],[PointsAgainst]]</f>
        <v>7</v>
      </c>
      <c r="V358" s="16">
        <f>IF(Games[[#This Row],[MOV]]&gt;0,1,IF(Games[[#This Row],[MOV]]=0,0.5,0))</f>
        <v>1</v>
      </c>
      <c r="W358" s="4">
        <f>((ABS(Games[[#This Row],[MOV]])+5)^0.6)/(12+0.01*(ABS(Games[[#This Row],[PreGmRate]]-Games[[#This Row],[OppPreGmRate]])))*IF(Games[[#This Row],[OT]]=1,0.9,1)</f>
        <v>0.35482915678816435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71.349999999999994</v>
      </c>
      <c r="Z358" s="4">
        <f>Games[[#This Row],[K]]*Games[[#This Row],[POMult]]</f>
        <v>71.349999999999994</v>
      </c>
      <c r="AA358" s="4">
        <f>(Games[[#This Row],[Keff]]*Games[[#This Row],[MOVMult]])*(Games[[#This Row],[Result]]-Games[[#This Row],[ExpectedWin%]])</f>
        <v>13.83310016843509</v>
      </c>
      <c r="AB358" s="4">
        <f>Games[[#This Row],[PreGmRate]]+Games[[#This Row],[RatingChange]]</f>
        <v>1493.5458500627151</v>
      </c>
      <c r="AC358" s="2">
        <f>IF(Games[[#This Row],[Type]]="R",IF(Games[[#This Row],[Result]]&gt;0.5,1,0),0)</f>
        <v>1</v>
      </c>
      <c r="AD358" s="2">
        <f>IF(Games[[#This Row],[Type]]="R",IF(Games[[#This Row],[Result]]&lt;0.5,1,0),0)</f>
        <v>0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44773</v>
      </c>
      <c r="B359" s="2">
        <v>2022</v>
      </c>
      <c r="C359" s="2">
        <f>COUNTIFS(Games[Team],Games[[#This Row],[Team]],Games[Season],Games[[#This Row],[Season]],Games[Date],"&lt;=" &amp; Games[[#This Row],[Date]])</f>
        <v>29</v>
      </c>
      <c r="D359" s="2" t="s">
        <v>79</v>
      </c>
      <c r="E359" s="2" t="s">
        <v>80</v>
      </c>
      <c r="F359" s="1" t="s">
        <v>63</v>
      </c>
      <c r="G359" s="1" t="s">
        <v>67</v>
      </c>
      <c r="H359" s="1" t="s">
        <v>82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9" s="2">
        <f>Games[[#This Row],[DaysOff]]-Games[[#This Row],[OppDaysOff]]</f>
        <v>0</v>
      </c>
      <c r="L359" s="2">
        <f>Games[[#This Row],[OppDaysOff]]-Games[[#This Row],[DaysOff]]</f>
        <v>0</v>
      </c>
      <c r="M359" s="16">
        <f>MAX(-16, MIN(16, Games[[#This Row],[RestDiff]]*8))</f>
        <v>0</v>
      </c>
      <c r="N359" s="16">
        <f>MAX(-16, MIN(16, Games[[#This Row],[OppRestDiff]]*8))</f>
        <v>0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1428.0438876036535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1479.71274989428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0.54639440694891284</v>
      </c>
      <c r="R359" s="1">
        <v>77</v>
      </c>
      <c r="S359" s="1">
        <v>84</v>
      </c>
      <c r="T359" s="1">
        <v>0</v>
      </c>
      <c r="U359" s="16">
        <f>Games[[#This Row],[PointsFor]]-Games[[#This Row],[PointsAgainst]]</f>
        <v>-7</v>
      </c>
      <c r="V359" s="16">
        <f>IF(Games[[#This Row],[MOV]]&gt;0,1,IF(Games[[#This Row],[MOV]]=0,0.5,0))</f>
        <v>0</v>
      </c>
      <c r="W359" s="4">
        <f>((ABS(Games[[#This Row],[MOV]])+5)^0.6)/(12+0.01*(ABS(Games[[#This Row],[PreGmRate]]-Games[[#This Row],[OppPreGmRate]])))*IF(Games[[#This Row],[OT]]=1,0.9,1)</f>
        <v>0.35482915678816435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71.650000000000006</v>
      </c>
      <c r="Z359" s="4">
        <f>Games[[#This Row],[K]]*Games[[#This Row],[POMult]]</f>
        <v>71.650000000000006</v>
      </c>
      <c r="AA359" s="4">
        <f>(Games[[#This Row],[Keff]]*Games[[#This Row],[MOVMult]])*(Games[[#This Row],[Result]]-Games[[#This Row],[ExpectedWin%]])</f>
        <v>-13.891263168442528</v>
      </c>
      <c r="AB359" s="4">
        <f>Games[[#This Row],[PreGmRate]]+Games[[#This Row],[RatingChange]]</f>
        <v>1414.152624435211</v>
      </c>
      <c r="AC359" s="2">
        <f>IF(Games[[#This Row],[Type]]="R",IF(Games[[#This Row],[Result]]&gt;0.5,1,0),0)</f>
        <v>0</v>
      </c>
      <c r="AD359" s="2">
        <f>IF(Games[[#This Row],[Type]]="R",IF(Games[[#This Row],[Result]]&lt;0.5,1,0),0)</f>
        <v>1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44773</v>
      </c>
      <c r="B360" s="2">
        <v>2022</v>
      </c>
      <c r="C360" s="2">
        <f>COUNTIFS(Games[Team],Games[[#This Row],[Team]],Games[Season],Games[[#This Row],[Season]],Games[Date],"&lt;=" &amp; Games[[#This Row],[Date]])</f>
        <v>30</v>
      </c>
      <c r="D360" s="2" t="s">
        <v>79</v>
      </c>
      <c r="E360" s="2" t="s">
        <v>80</v>
      </c>
      <c r="F360" s="1" t="s">
        <v>40</v>
      </c>
      <c r="G360" s="1" t="s">
        <v>60</v>
      </c>
      <c r="H360" s="1" t="s">
        <v>81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0" s="2">
        <f>Games[[#This Row],[DaysOff]]-Games[[#This Row],[OppDaysOff]]</f>
        <v>1</v>
      </c>
      <c r="L360" s="2">
        <f>Games[[#This Row],[OppDaysOff]]-Games[[#This Row],[DaysOff]]</f>
        <v>-1</v>
      </c>
      <c r="M360" s="16">
        <f>MAX(-16, MIN(16, Games[[#This Row],[RestDiff]]*8))</f>
        <v>8</v>
      </c>
      <c r="N360" s="16">
        <f>MAX(-16, MIN(16, Games[[#This Row],[OppRestDiff]]*8))</f>
        <v>-8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1481.5571512774386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1406.793892625951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0.5097318823788769</v>
      </c>
      <c r="R360" s="1">
        <v>69</v>
      </c>
      <c r="S360" s="1">
        <v>89</v>
      </c>
      <c r="T360" s="1">
        <v>0</v>
      </c>
      <c r="U360" s="16">
        <f>Games[[#This Row],[PointsFor]]-Games[[#This Row],[PointsAgainst]]</f>
        <v>-20</v>
      </c>
      <c r="V360" s="16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0.54117093981856912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71.5</v>
      </c>
      <c r="Z360" s="4">
        <f>Games[[#This Row],[K]]*Games[[#This Row],[POMult]]</f>
        <v>71.5</v>
      </c>
      <c r="AA360" s="4">
        <f>(Games[[#This Row],[Keff]]*Games[[#This Row],[MOVMult]])*(Games[[#This Row],[Result]]-Games[[#This Row],[ExpectedWin%]])</f>
        <v>-19.723423851736257</v>
      </c>
      <c r="AB360" s="4">
        <f>Games[[#This Row],[PreGmRate]]+Games[[#This Row],[RatingChange]]</f>
        <v>1461.8337274257024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44773</v>
      </c>
      <c r="B361" s="2">
        <v>2022</v>
      </c>
      <c r="C361" s="2">
        <f>COUNTIFS(Games[Team],Games[[#This Row],[Team]],Games[Season],Games[[#This Row],[Season]],Games[Date],"&lt;=" &amp; Games[[#This Row],[Date]])</f>
        <v>29</v>
      </c>
      <c r="D361" s="2" t="s">
        <v>79</v>
      </c>
      <c r="E361" s="2" t="s">
        <v>80</v>
      </c>
      <c r="F361" s="1" t="s">
        <v>60</v>
      </c>
      <c r="G361" s="1" t="s">
        <v>40</v>
      </c>
      <c r="H361" s="1" t="s">
        <v>82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1" s="2">
        <f>Games[[#This Row],[DaysOff]]-Games[[#This Row],[OppDaysOff]]</f>
        <v>-1</v>
      </c>
      <c r="L361" s="2">
        <f>Games[[#This Row],[OppDaysOff]]-Games[[#This Row],[DaysOff]]</f>
        <v>1</v>
      </c>
      <c r="M361" s="16">
        <f>MAX(-16, MIN(16, Games[[#This Row],[RestDiff]]*8))</f>
        <v>-8</v>
      </c>
      <c r="N361" s="16">
        <f>MAX(-16, MIN(16, Games[[#This Row],[OppRestDiff]]*8))</f>
        <v>8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1406.793892625951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1481.5571512774386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0.49026811762112316</v>
      </c>
      <c r="R361" s="1">
        <v>89</v>
      </c>
      <c r="S361" s="1">
        <v>69</v>
      </c>
      <c r="T361" s="1">
        <v>0</v>
      </c>
      <c r="U361" s="16">
        <f>Games[[#This Row],[PointsFor]]-Games[[#This Row],[PointsAgainst]]</f>
        <v>20</v>
      </c>
      <c r="V361" s="16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0.54117093981856912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71.650000000000006</v>
      </c>
      <c r="Z361" s="4">
        <f>Games[[#This Row],[K]]*Games[[#This Row],[POMult]]</f>
        <v>71.650000000000006</v>
      </c>
      <c r="AA361" s="4">
        <f>(Games[[#This Row],[Keff]]*Games[[#This Row],[MOVMult]])*(Games[[#This Row],[Result]]-Games[[#This Row],[ExpectedWin%]])</f>
        <v>19.764801664012623</v>
      </c>
      <c r="AB361" s="4">
        <f>Games[[#This Row],[PreGmRate]]+Games[[#This Row],[RatingChange]]</f>
        <v>1426.5586942899636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44773</v>
      </c>
      <c r="B362" s="2">
        <v>2022</v>
      </c>
      <c r="C362" s="2">
        <f>COUNTIFS(Games[Team],Games[[#This Row],[Team]],Games[Season],Games[[#This Row],[Season]],Games[Date],"&lt;=" &amp; Games[[#This Row],[Date]])</f>
        <v>31</v>
      </c>
      <c r="D362" s="2" t="s">
        <v>79</v>
      </c>
      <c r="E362" s="2" t="s">
        <v>80</v>
      </c>
      <c r="F362" s="1" t="s">
        <v>71</v>
      </c>
      <c r="G362" s="1" t="s">
        <v>65</v>
      </c>
      <c r="H362" s="1" t="s">
        <v>81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2" s="2">
        <f>Games[[#This Row],[DaysOff]]-Games[[#This Row],[OppDaysOff]]</f>
        <v>0</v>
      </c>
      <c r="L362" s="2">
        <f>Games[[#This Row],[OppDaysOff]]-Games[[#This Row],[DaysOff]]</f>
        <v>0</v>
      </c>
      <c r="M362" s="16">
        <f>MAX(-16, MIN(16, Games[[#This Row],[RestDiff]]*8))</f>
        <v>0</v>
      </c>
      <c r="N362" s="16">
        <f>MAX(-16, MIN(16, Games[[#This Row],[OppRestDiff]]*8))</f>
        <v>0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1586.6332867404501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1560.6324163266295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0.41729933339259778</v>
      </c>
      <c r="R362" s="1">
        <v>75</v>
      </c>
      <c r="S362" s="1">
        <v>78</v>
      </c>
      <c r="T362" s="1">
        <v>0</v>
      </c>
      <c r="U362" s="16">
        <f>Games[[#This Row],[PointsFor]]-Games[[#This Row],[PointsAgainst]]</f>
        <v>-3</v>
      </c>
      <c r="V362" s="16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0.28402934591792944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71.349999999999994</v>
      </c>
      <c r="Z362" s="4">
        <f>Games[[#This Row],[K]]*Games[[#This Row],[POMult]]</f>
        <v>71.349999999999994</v>
      </c>
      <c r="AA362" s="4">
        <f>(Games[[#This Row],[Keff]]*Games[[#This Row],[MOVMult]])*(Games[[#This Row],[Result]]-Games[[#This Row],[ExpectedWin%]])</f>
        <v>-8.4567770666500337</v>
      </c>
      <c r="AB362" s="4">
        <f>Games[[#This Row],[PreGmRate]]+Games[[#This Row],[RatingChange]]</f>
        <v>1578.1765096738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44773</v>
      </c>
      <c r="B363" s="2">
        <v>2022</v>
      </c>
      <c r="C363" s="2">
        <f>COUNTIFS(Games[Team],Games[[#This Row],[Team]],Games[Season],Games[[#This Row],[Season]],Games[Date],"&lt;=" &amp; Games[[#This Row],[Date]])</f>
        <v>31</v>
      </c>
      <c r="D363" s="2" t="s">
        <v>79</v>
      </c>
      <c r="E363" s="2" t="s">
        <v>80</v>
      </c>
      <c r="F363" s="1" t="s">
        <v>65</v>
      </c>
      <c r="G363" s="1" t="s">
        <v>71</v>
      </c>
      <c r="H363" s="1" t="s">
        <v>82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3" s="2">
        <f>Games[[#This Row],[DaysOff]]-Games[[#This Row],[OppDaysOff]]</f>
        <v>0</v>
      </c>
      <c r="L363" s="2">
        <f>Games[[#This Row],[OppDaysOff]]-Games[[#This Row],[DaysOff]]</f>
        <v>0</v>
      </c>
      <c r="M363" s="16">
        <f>MAX(-16, MIN(16, Games[[#This Row],[RestDiff]]*8))</f>
        <v>0</v>
      </c>
      <c r="N363" s="16">
        <f>MAX(-16, MIN(16, Games[[#This Row],[OppRestDiff]]*8))</f>
        <v>0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1560.6324163266295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1586.6332867404501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0.58270066660740216</v>
      </c>
      <c r="R363" s="1">
        <v>78</v>
      </c>
      <c r="S363" s="1">
        <v>75</v>
      </c>
      <c r="T363" s="1">
        <v>0</v>
      </c>
      <c r="U363" s="16">
        <f>Games[[#This Row],[PointsFor]]-Games[[#This Row],[PointsAgainst]]</f>
        <v>3</v>
      </c>
      <c r="V363" s="16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0.28402934591792944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71.349999999999994</v>
      </c>
      <c r="Z363" s="4">
        <f>Games[[#This Row],[K]]*Games[[#This Row],[POMult]]</f>
        <v>71.349999999999994</v>
      </c>
      <c r="AA363" s="4">
        <f>(Games[[#This Row],[Keff]]*Games[[#This Row],[MOVMult]])*(Games[[#This Row],[Result]]-Games[[#This Row],[ExpectedWin%]])</f>
        <v>8.4567770666500355</v>
      </c>
      <c r="AB363" s="4">
        <f>Games[[#This Row],[PreGmRate]]+Games[[#This Row],[RatingChange]]</f>
        <v>1569.0891933932796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44775</v>
      </c>
      <c r="B364" s="2">
        <v>2022</v>
      </c>
      <c r="C364" s="2">
        <f>COUNTIFS(Games[Team],Games[[#This Row],[Team]],Games[Season],Games[[#This Row],[Season]],Games[Date],"&lt;=" &amp; Games[[#This Row],[Date]])</f>
        <v>30</v>
      </c>
      <c r="D364" s="2" t="s">
        <v>79</v>
      </c>
      <c r="E364" s="2" t="s">
        <v>80</v>
      </c>
      <c r="F364" s="1" t="s">
        <v>85</v>
      </c>
      <c r="G364" s="1" t="s">
        <v>75</v>
      </c>
      <c r="H364" s="1" t="s">
        <v>81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1</v>
      </c>
      <c r="L364" s="2">
        <f>Games[[#This Row],[OppDaysOff]]-Games[[#This Row],[DaysOff]]</f>
        <v>-1</v>
      </c>
      <c r="M364" s="16">
        <f>MAX(-16, MIN(16, Games[[#This Row],[RestDiff]]*8))</f>
        <v>8</v>
      </c>
      <c r="N364" s="16">
        <f>MAX(-16, MIN(16, Games[[#This Row],[OppRestDiff]]*8))</f>
        <v>-8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1472.8781081777149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1678.9881368999836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0.17109250820147831</v>
      </c>
      <c r="R364" s="1">
        <v>84</v>
      </c>
      <c r="S364" s="1">
        <v>78</v>
      </c>
      <c r="T364" s="1">
        <v>0</v>
      </c>
      <c r="U364" s="16">
        <f>Games[[#This Row],[PointsFor]]-Games[[#This Row],[PointsAgainst]]</f>
        <v>6</v>
      </c>
      <c r="V364" s="16">
        <f>IF(Games[[#This Row],[MOV]]&gt;0,1,IF(Games[[#This Row],[MOV]]=0,0.5,0))</f>
        <v>1</v>
      </c>
      <c r="W364" s="4">
        <f>((ABS(Games[[#This Row],[MOV]])+5)^0.6)/(12+0.01*(ABS(Games[[#This Row],[PreGmRate]]-Games[[#This Row],[OppPreGmRate]])))*IF(Games[[#This Row],[OT]]=1,0.9,1)</f>
        <v>0.29978942237702433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71.5</v>
      </c>
      <c r="Z364" s="4">
        <f>Games[[#This Row],[K]]*Games[[#This Row],[POMult]]</f>
        <v>71.5</v>
      </c>
      <c r="AA364" s="4">
        <f>(Games[[#This Row],[Keff]]*Games[[#This Row],[MOVMult]])*(Games[[#This Row],[Result]]-Games[[#This Row],[ExpectedWin%]])</f>
        <v>17.767585419174083</v>
      </c>
      <c r="AB364" s="4">
        <f>Games[[#This Row],[PreGmRate]]+Games[[#This Row],[RatingChange]]</f>
        <v>1490.645693596889</v>
      </c>
      <c r="AC364" s="2">
        <f>IF(Games[[#This Row],[Type]]="R",IF(Games[[#This Row],[Result]]&gt;0.5,1,0),0)</f>
        <v>1</v>
      </c>
      <c r="AD364" s="2">
        <f>IF(Games[[#This Row],[Type]]="R",IF(Games[[#This Row],[Result]]&lt;0.5,1,0),0)</f>
        <v>0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44775</v>
      </c>
      <c r="B365" s="2">
        <v>2022</v>
      </c>
      <c r="C365" s="2">
        <f>COUNTIFS(Games[Team],Games[[#This Row],[Team]],Games[Season],Games[[#This Row],[Season]],Games[Date],"&lt;=" &amp; Games[[#This Row],[Date]])</f>
        <v>31</v>
      </c>
      <c r="D365" s="2" t="s">
        <v>79</v>
      </c>
      <c r="E365" s="2" t="s">
        <v>80</v>
      </c>
      <c r="F365" s="1" t="s">
        <v>75</v>
      </c>
      <c r="G365" s="1" t="s">
        <v>85</v>
      </c>
      <c r="H365" s="1" t="s">
        <v>82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5" s="2">
        <f>Games[[#This Row],[DaysOff]]-Games[[#This Row],[OppDaysOff]]</f>
        <v>-1</v>
      </c>
      <c r="L365" s="2">
        <f>Games[[#This Row],[OppDaysOff]]-Games[[#This Row],[DaysOff]]</f>
        <v>1</v>
      </c>
      <c r="M365" s="16">
        <f>MAX(-16, MIN(16, Games[[#This Row],[RestDiff]]*8))</f>
        <v>-8</v>
      </c>
      <c r="N365" s="16">
        <f>MAX(-16, MIN(16, Games[[#This Row],[OppRestDiff]]*8))</f>
        <v>8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1678.9881368999836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1472.8781081777149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0.82890749179852174</v>
      </c>
      <c r="R365" s="1">
        <v>78</v>
      </c>
      <c r="S365" s="1">
        <v>84</v>
      </c>
      <c r="T365" s="1">
        <v>0</v>
      </c>
      <c r="U365" s="16">
        <f>Games[[#This Row],[PointsFor]]-Games[[#This Row],[PointsAgainst]]</f>
        <v>-6</v>
      </c>
      <c r="V365" s="16">
        <f>IF(Games[[#This Row],[MOV]]&gt;0,1,IF(Games[[#This Row],[MOV]]=0,0.5,0))</f>
        <v>0</v>
      </c>
      <c r="W365" s="4">
        <f>((ABS(Games[[#This Row],[MOV]])+5)^0.6)/(12+0.01*(ABS(Games[[#This Row],[PreGmRate]]-Games[[#This Row],[OppPreGmRate]])))*IF(Games[[#This Row],[OT]]=1,0.9,1)</f>
        <v>0.29978942237702433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71.349999999999994</v>
      </c>
      <c r="Z365" s="4">
        <f>Games[[#This Row],[K]]*Games[[#This Row],[POMult]]</f>
        <v>71.349999999999994</v>
      </c>
      <c r="AA365" s="4">
        <f>(Games[[#This Row],[Keff]]*Games[[#This Row],[MOVMult]])*(Games[[#This Row],[Result]]-Games[[#This Row],[ExpectedWin%]])</f>
        <v>-17.730310764448539</v>
      </c>
      <c r="AB365" s="4">
        <f>Games[[#This Row],[PreGmRate]]+Games[[#This Row],[RatingChange]]</f>
        <v>1661.257826135535</v>
      </c>
      <c r="AC365" s="2">
        <f>IF(Games[[#This Row],[Type]]="R",IF(Games[[#This Row],[Result]]&gt;0.5,1,0),0)</f>
        <v>0</v>
      </c>
      <c r="AD365" s="2">
        <f>IF(Games[[#This Row],[Type]]="R",IF(Games[[#This Row],[Result]]&lt;0.5,1,0),0)</f>
        <v>1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44775</v>
      </c>
      <c r="B366" s="2">
        <v>2022</v>
      </c>
      <c r="C366" s="2">
        <f>COUNTIFS(Games[Team],Games[[#This Row],[Team]],Games[Season],Games[[#This Row],[Season]],Games[Date],"&lt;=" &amp; Games[[#This Row],[Date]])</f>
        <v>31</v>
      </c>
      <c r="D366" s="2" t="s">
        <v>79</v>
      </c>
      <c r="E366" s="2" t="s">
        <v>80</v>
      </c>
      <c r="F366" s="1" t="s">
        <v>40</v>
      </c>
      <c r="G366" s="1" t="s">
        <v>74</v>
      </c>
      <c r="H366" s="1" t="s">
        <v>81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6">
        <f>MAX(-16, MIN(16, Games[[#This Row],[RestDiff]]*8))</f>
        <v>0</v>
      </c>
      <c r="N366" s="16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1461.8337274257024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1632.732238275044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0.18735124982925661</v>
      </c>
      <c r="R366" s="1">
        <v>63</v>
      </c>
      <c r="S366" s="1">
        <v>87</v>
      </c>
      <c r="T366" s="1">
        <v>0</v>
      </c>
      <c r="U366" s="16">
        <f>Games[[#This Row],[PointsFor]]-Games[[#This Row],[PointsAgainst]]</f>
        <v>-24</v>
      </c>
      <c r="V366" s="16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0.55008967576348888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71.349999999999994</v>
      </c>
      <c r="Z366" s="4">
        <f>Games[[#This Row],[K]]*Games[[#This Row],[POMult]]</f>
        <v>71.349999999999994</v>
      </c>
      <c r="AA366" s="4">
        <f>(Games[[#This Row],[Keff]]*Games[[#This Row],[MOVMult]])*(Games[[#This Row],[Result]]-Games[[#This Row],[ExpectedWin%]])</f>
        <v>-7.3533301632400319</v>
      </c>
      <c r="AB366" s="4">
        <f>Games[[#This Row],[PreGmRate]]+Games[[#This Row],[RatingChange]]</f>
        <v>1454.4803972624622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44775</v>
      </c>
      <c r="B367" s="2">
        <v>2022</v>
      </c>
      <c r="C367" s="2">
        <f>COUNTIFS(Games[Team],Games[[#This Row],[Team]],Games[Season],Games[[#This Row],[Season]],Games[Date],"&lt;=" &amp; Games[[#This Row],[Date]])</f>
        <v>31</v>
      </c>
      <c r="D367" s="2" t="s">
        <v>79</v>
      </c>
      <c r="E367" s="2" t="s">
        <v>80</v>
      </c>
      <c r="F367" s="1" t="s">
        <v>74</v>
      </c>
      <c r="G367" s="1" t="s">
        <v>40</v>
      </c>
      <c r="H367" s="1" t="s">
        <v>82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6">
        <f>MAX(-16, MIN(16, Games[[#This Row],[RestDiff]]*8))</f>
        <v>0</v>
      </c>
      <c r="N367" s="16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1632.732238275044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1461.8337274257024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0.81264875017074345</v>
      </c>
      <c r="R367" s="1">
        <v>87</v>
      </c>
      <c r="S367" s="1">
        <v>63</v>
      </c>
      <c r="T367" s="1">
        <v>0</v>
      </c>
      <c r="U367" s="16">
        <f>Games[[#This Row],[PointsFor]]-Games[[#This Row],[PointsAgainst]]</f>
        <v>24</v>
      </c>
      <c r="V367" s="16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0.55008967576348888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71.349999999999994</v>
      </c>
      <c r="Z367" s="4">
        <f>Games[[#This Row],[K]]*Games[[#This Row],[POMult]]</f>
        <v>71.349999999999994</v>
      </c>
      <c r="AA367" s="4">
        <f>(Games[[#This Row],[Keff]]*Games[[#This Row],[MOVMult]])*(Games[[#This Row],[Result]]-Games[[#This Row],[ExpectedWin%]])</f>
        <v>7.3533301632400301</v>
      </c>
      <c r="AB367" s="4">
        <f>Games[[#This Row],[PreGmRate]]+Games[[#This Row],[RatingChange]]</f>
        <v>1640.0855684382841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44775</v>
      </c>
      <c r="B368" s="2">
        <v>2022</v>
      </c>
      <c r="C368" s="2">
        <f>COUNTIFS(Games[Team],Games[[#This Row],[Team]],Games[Season],Games[[#This Row],[Season]],Games[Date],"&lt;=" &amp; Games[[#This Row],[Date]])</f>
        <v>30</v>
      </c>
      <c r="D368" s="2" t="s">
        <v>79</v>
      </c>
      <c r="E368" s="2" t="s">
        <v>80</v>
      </c>
      <c r="F368" s="1" t="s">
        <v>63</v>
      </c>
      <c r="G368" s="1" t="s">
        <v>60</v>
      </c>
      <c r="H368" s="1" t="s">
        <v>81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0</v>
      </c>
      <c r="L368" s="2">
        <f>Games[[#This Row],[OppDaysOff]]-Games[[#This Row],[DaysOff]]</f>
        <v>0</v>
      </c>
      <c r="M368" s="16">
        <f>MAX(-16, MIN(16, Games[[#This Row],[RestDiff]]*8))</f>
        <v>0</v>
      </c>
      <c r="N368" s="16">
        <f>MAX(-16, MIN(16, Games[[#This Row],[OppRestDiff]]*8))</f>
        <v>0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1414.152624435211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1426.5586942899636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0.36471489391304668</v>
      </c>
      <c r="R368" s="1">
        <v>73</v>
      </c>
      <c r="S368" s="1">
        <v>102</v>
      </c>
      <c r="T368" s="1">
        <v>0</v>
      </c>
      <c r="U368" s="16">
        <f>Games[[#This Row],[PointsFor]]-Games[[#This Row],[PointsAgainst]]</f>
        <v>-29</v>
      </c>
      <c r="V368" s="16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0.68428851078955777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71.5</v>
      </c>
      <c r="Z368" s="4">
        <f>Games[[#This Row],[K]]*Games[[#This Row],[POMult]]</f>
        <v>71.5</v>
      </c>
      <c r="AA368" s="4">
        <f>(Games[[#This Row],[Keff]]*Games[[#This Row],[MOVMult]])*(Games[[#This Row],[Result]]-Games[[#This Row],[ExpectedWin%]])</f>
        <v>-17.844270130724915</v>
      </c>
      <c r="AB368" s="4">
        <f>Games[[#This Row],[PreGmRate]]+Games[[#This Row],[RatingChange]]</f>
        <v>1396.3083543044861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44775</v>
      </c>
      <c r="B369" s="2">
        <v>2022</v>
      </c>
      <c r="C369" s="2">
        <f>COUNTIFS(Games[Team],Games[[#This Row],[Team]],Games[Season],Games[[#This Row],[Season]],Games[Date],"&lt;=" &amp; Games[[#This Row],[Date]])</f>
        <v>30</v>
      </c>
      <c r="D369" s="2" t="s">
        <v>79</v>
      </c>
      <c r="E369" s="2" t="s">
        <v>80</v>
      </c>
      <c r="F369" s="1" t="s">
        <v>60</v>
      </c>
      <c r="G369" s="1" t="s">
        <v>63</v>
      </c>
      <c r="H369" s="1" t="s">
        <v>82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9" s="2">
        <f>Games[[#This Row],[DaysOff]]-Games[[#This Row],[OppDaysOff]]</f>
        <v>0</v>
      </c>
      <c r="L369" s="2">
        <f>Games[[#This Row],[OppDaysOff]]-Games[[#This Row],[DaysOff]]</f>
        <v>0</v>
      </c>
      <c r="M369" s="16">
        <f>MAX(-16, MIN(16, Games[[#This Row],[RestDiff]]*8))</f>
        <v>0</v>
      </c>
      <c r="N369" s="16">
        <f>MAX(-16, MIN(16, Games[[#This Row],[OppRestDiff]]*8))</f>
        <v>0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1426.5586942899636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1414.152624435211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0.63528510608695332</v>
      </c>
      <c r="R369" s="1">
        <v>102</v>
      </c>
      <c r="S369" s="1">
        <v>73</v>
      </c>
      <c r="T369" s="1">
        <v>0</v>
      </c>
      <c r="U369" s="16">
        <f>Games[[#This Row],[PointsFor]]-Games[[#This Row],[PointsAgainst]]</f>
        <v>29</v>
      </c>
      <c r="V369" s="16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0.68428851078955777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71.5</v>
      </c>
      <c r="Z369" s="4">
        <f>Games[[#This Row],[K]]*Games[[#This Row],[POMult]]</f>
        <v>71.5</v>
      </c>
      <c r="AA369" s="4">
        <f>(Games[[#This Row],[Keff]]*Games[[#This Row],[MOVMult]])*(Games[[#This Row],[Result]]-Games[[#This Row],[ExpectedWin%]])</f>
        <v>17.844270130724915</v>
      </c>
      <c r="AB369" s="4">
        <f>Games[[#This Row],[PreGmRate]]+Games[[#This Row],[RatingChange]]</f>
        <v>1444.4029644206885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44775</v>
      </c>
      <c r="B370" s="2">
        <v>2022</v>
      </c>
      <c r="C370" s="2">
        <f>COUNTIFS(Games[Team],Games[[#This Row],[Team]],Games[Season],Games[[#This Row],[Season]],Games[Date],"&lt;=" &amp; Games[[#This Row],[Date]])</f>
        <v>31</v>
      </c>
      <c r="D370" s="2" t="s">
        <v>79</v>
      </c>
      <c r="E370" s="2" t="s">
        <v>80</v>
      </c>
      <c r="F370" s="1" t="s">
        <v>86</v>
      </c>
      <c r="G370" s="1" t="s">
        <v>65</v>
      </c>
      <c r="H370" s="1" t="s">
        <v>81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6">
        <f>MAX(-16, MIN(16, Games[[#This Row],[RestDiff]]*8))</f>
        <v>0</v>
      </c>
      <c r="N370" s="16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1628.1265027666368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1569.0891933932796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0.46413748892764856</v>
      </c>
      <c r="R370" s="1">
        <v>73</v>
      </c>
      <c r="S370" s="1">
        <v>83</v>
      </c>
      <c r="T370" s="1">
        <v>0</v>
      </c>
      <c r="U370" s="16">
        <f>Games[[#This Row],[PointsFor]]-Games[[#This Row],[PointsAgainst]]</f>
        <v>-10</v>
      </c>
      <c r="V370" s="16">
        <f>IF(Games[[#This Row],[MOV]]&gt;0,1,IF(Games[[#This Row],[MOV]]=0,0.5,0))</f>
        <v>0</v>
      </c>
      <c r="W370" s="4">
        <f>((ABS(Games[[#This Row],[MOV]])+5)^0.6)/(12+0.01*(ABS(Games[[#This Row],[PreGmRate]]-Games[[#This Row],[OppPreGmRate]])))*IF(Games[[#This Row],[OT]]=1,0.9,1)</f>
        <v>0.40328879487412395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71.349999999999994</v>
      </c>
      <c r="Z370" s="4">
        <f>Games[[#This Row],[K]]*Games[[#This Row],[POMult]]</f>
        <v>71.349999999999994</v>
      </c>
      <c r="AA370" s="4">
        <f>(Games[[#This Row],[Keff]]*Games[[#This Row],[MOVMult]])*(Games[[#This Row],[Result]]-Games[[#This Row],[ExpectedWin%]])</f>
        <v>-13.355396355150809</v>
      </c>
      <c r="AB370" s="4">
        <f>Games[[#This Row],[PreGmRate]]+Games[[#This Row],[RatingChange]]</f>
        <v>1614.771106411486</v>
      </c>
      <c r="AC370" s="2">
        <f>IF(Games[[#This Row],[Type]]="R",IF(Games[[#This Row],[Result]]&gt;0.5,1,0),0)</f>
        <v>0</v>
      </c>
      <c r="AD370" s="2">
        <f>IF(Games[[#This Row],[Type]]="R",IF(Games[[#This Row],[Result]]&lt;0.5,1,0),0)</f>
        <v>1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44775</v>
      </c>
      <c r="B371" s="2">
        <v>2022</v>
      </c>
      <c r="C371" s="2">
        <f>COUNTIFS(Games[Team],Games[[#This Row],[Team]],Games[Season],Games[[#This Row],[Season]],Games[Date],"&lt;=" &amp; Games[[#This Row],[Date]])</f>
        <v>32</v>
      </c>
      <c r="D371" s="2" t="s">
        <v>79</v>
      </c>
      <c r="E371" s="2" t="s">
        <v>80</v>
      </c>
      <c r="F371" s="1" t="s">
        <v>65</v>
      </c>
      <c r="G371" s="1" t="s">
        <v>86</v>
      </c>
      <c r="H371" s="1" t="s">
        <v>82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6">
        <f>MAX(-16, MIN(16, Games[[#This Row],[RestDiff]]*8))</f>
        <v>0</v>
      </c>
      <c r="N371" s="16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1569.0891933932796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1628.1265027666368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0.5358625110723515</v>
      </c>
      <c r="R371" s="1">
        <v>83</v>
      </c>
      <c r="S371" s="1">
        <v>73</v>
      </c>
      <c r="T371" s="1">
        <v>0</v>
      </c>
      <c r="U371" s="16">
        <f>Games[[#This Row],[PointsFor]]-Games[[#This Row],[PointsAgainst]]</f>
        <v>10</v>
      </c>
      <c r="V371" s="16">
        <f>IF(Games[[#This Row],[MOV]]&gt;0,1,IF(Games[[#This Row],[MOV]]=0,0.5,0))</f>
        <v>1</v>
      </c>
      <c r="W371" s="4">
        <f>((ABS(Games[[#This Row],[MOV]])+5)^0.6)/(12+0.01*(ABS(Games[[#This Row],[PreGmRate]]-Games[[#This Row],[OppPreGmRate]])))*IF(Games[[#This Row],[OT]]=1,0.9,1)</f>
        <v>0.40328879487412395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71.2</v>
      </c>
      <c r="Z371" s="4">
        <f>Games[[#This Row],[K]]*Games[[#This Row],[POMult]]</f>
        <v>71.2</v>
      </c>
      <c r="AA371" s="4">
        <f>(Games[[#This Row],[Keff]]*Games[[#This Row],[MOVMult]])*(Games[[#This Row],[Result]]-Games[[#This Row],[ExpectedWin%]])</f>
        <v>13.327319137865979</v>
      </c>
      <c r="AB371" s="4">
        <f>Games[[#This Row],[PreGmRate]]+Games[[#This Row],[RatingChange]]</f>
        <v>1582.4165125311456</v>
      </c>
      <c r="AC371" s="2">
        <f>IF(Games[[#This Row],[Type]]="R",IF(Games[[#This Row],[Result]]&gt;0.5,1,0),0)</f>
        <v>1</v>
      </c>
      <c r="AD371" s="2">
        <f>IF(Games[[#This Row],[Type]]="R",IF(Games[[#This Row],[Result]]&lt;0.5,1,0),0)</f>
        <v>0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44776</v>
      </c>
      <c r="B372" s="2">
        <v>2022</v>
      </c>
      <c r="C372" s="2">
        <f>COUNTIFS(Games[Team],Games[[#This Row],[Team]],Games[Season],Games[[#This Row],[Season]],Games[Date],"&lt;=" &amp; Games[[#This Row],[Date]])</f>
        <v>33</v>
      </c>
      <c r="D372" s="2" t="s">
        <v>79</v>
      </c>
      <c r="E372" s="2" t="s">
        <v>80</v>
      </c>
      <c r="F372" s="1" t="s">
        <v>69</v>
      </c>
      <c r="G372" s="1" t="s">
        <v>77</v>
      </c>
      <c r="H372" s="1" t="s">
        <v>81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2" s="2">
        <f>Games[[#This Row],[DaysOff]]-Games[[#This Row],[OppDaysOff]]</f>
        <v>-1</v>
      </c>
      <c r="L372" s="2">
        <f>Games[[#This Row],[OppDaysOff]]-Games[[#This Row],[DaysOff]]</f>
        <v>1</v>
      </c>
      <c r="M372" s="16">
        <f>MAX(-16, MIN(16, Games[[#This Row],[RestDiff]]*8))</f>
        <v>-8</v>
      </c>
      <c r="N372" s="16">
        <f>MAX(-16, MIN(16, Games[[#This Row],[OppRestDiff]]*8))</f>
        <v>8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1240.8771827369922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1403.6833562436864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0.18051918254757141</v>
      </c>
      <c r="R372" s="1">
        <v>81</v>
      </c>
      <c r="S372" s="1">
        <v>91</v>
      </c>
      <c r="T372" s="1">
        <v>0</v>
      </c>
      <c r="U372" s="16">
        <f>Games[[#This Row],[PointsFor]]-Games[[#This Row],[PointsAgainst]]</f>
        <v>-10</v>
      </c>
      <c r="V372" s="16">
        <f>IF(Games[[#This Row],[MOV]]&gt;0,1,IF(Games[[#This Row],[MOV]]=0,0.5,0))</f>
        <v>0</v>
      </c>
      <c r="W372" s="4">
        <f>((ABS(Games[[#This Row],[MOV]])+5)^0.6)/(12+0.01*(ABS(Games[[#This Row],[PreGmRate]]-Games[[#This Row],[OppPreGmRate]])))*IF(Games[[#This Row],[OT]]=1,0.9,1)</f>
        <v>0.37258096497480137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71.05</v>
      </c>
      <c r="Z372" s="4">
        <f>Games[[#This Row],[K]]*Games[[#This Row],[POMult]]</f>
        <v>71.05</v>
      </c>
      <c r="AA372" s="4">
        <f>(Games[[#This Row],[Keff]]*Games[[#This Row],[MOVMult]])*(Games[[#This Row],[Result]]-Games[[#This Row],[ExpectedWin%]])</f>
        <v>-4.7786816978940916</v>
      </c>
      <c r="AB372" s="4">
        <f>Games[[#This Row],[PreGmRate]]+Games[[#This Row],[RatingChange]]</f>
        <v>1236.098501039098</v>
      </c>
      <c r="AC372" s="2">
        <f>IF(Games[[#This Row],[Type]]="R",IF(Games[[#This Row],[Result]]&gt;0.5,1,0),0)</f>
        <v>0</v>
      </c>
      <c r="AD372" s="2">
        <f>IF(Games[[#This Row],[Type]]="R",IF(Games[[#This Row],[Result]]&lt;0.5,1,0),0)</f>
        <v>1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44776</v>
      </c>
      <c r="B373" s="2">
        <v>2022</v>
      </c>
      <c r="C373" s="2">
        <f>COUNTIFS(Games[Team],Games[[#This Row],[Team]],Games[Season],Games[[#This Row],[Season]],Games[Date],"&lt;=" &amp; Games[[#This Row],[Date]])</f>
        <v>31</v>
      </c>
      <c r="D373" s="2" t="s">
        <v>79</v>
      </c>
      <c r="E373" s="2" t="s">
        <v>80</v>
      </c>
      <c r="F373" s="1" t="s">
        <v>77</v>
      </c>
      <c r="G373" s="1" t="s">
        <v>69</v>
      </c>
      <c r="H373" s="1" t="s">
        <v>82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3" s="2">
        <f>Games[[#This Row],[DaysOff]]-Games[[#This Row],[OppDaysOff]]</f>
        <v>1</v>
      </c>
      <c r="L373" s="2">
        <f>Games[[#This Row],[OppDaysOff]]-Games[[#This Row],[DaysOff]]</f>
        <v>-1</v>
      </c>
      <c r="M373" s="16">
        <f>MAX(-16, MIN(16, Games[[#This Row],[RestDiff]]*8))</f>
        <v>8</v>
      </c>
      <c r="N373" s="16">
        <f>MAX(-16, MIN(16, Games[[#This Row],[OppRestDiff]]*8))</f>
        <v>-8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1403.6833562436864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1240.8771827369922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0.81948081745242862</v>
      </c>
      <c r="R373" s="1">
        <v>91</v>
      </c>
      <c r="S373" s="1">
        <v>81</v>
      </c>
      <c r="T373" s="1">
        <v>0</v>
      </c>
      <c r="U373" s="16">
        <f>Games[[#This Row],[PointsFor]]-Games[[#This Row],[PointsAgainst]]</f>
        <v>10</v>
      </c>
      <c r="V373" s="16">
        <f>IF(Games[[#This Row],[MOV]]&gt;0,1,IF(Games[[#This Row],[MOV]]=0,0.5,0))</f>
        <v>1</v>
      </c>
      <c r="W373" s="4">
        <f>((ABS(Games[[#This Row],[MOV]])+5)^0.6)/(12+0.01*(ABS(Games[[#This Row],[PreGmRate]]-Games[[#This Row],[OppPreGmRate]])))*IF(Games[[#This Row],[OT]]=1,0.9,1)</f>
        <v>0.37258096497480137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71.349999999999994</v>
      </c>
      <c r="Z373" s="4">
        <f>Games[[#This Row],[K]]*Games[[#This Row],[POMult]]</f>
        <v>71.349999999999994</v>
      </c>
      <c r="AA373" s="4">
        <f>(Games[[#This Row],[Keff]]*Games[[#This Row],[MOVMult]])*(Games[[#This Row],[Result]]-Games[[#This Row],[ExpectedWin%]])</f>
        <v>4.7988591012631012</v>
      </c>
      <c r="AB373" s="4">
        <f>Games[[#This Row],[PreGmRate]]+Games[[#This Row],[RatingChange]]</f>
        <v>1408.4822153449495</v>
      </c>
      <c r="AC373" s="2">
        <f>IF(Games[[#This Row],[Type]]="R",IF(Games[[#This Row],[Result]]&gt;0.5,1,0),0)</f>
        <v>1</v>
      </c>
      <c r="AD373" s="2">
        <f>IF(Games[[#This Row],[Type]]="R",IF(Games[[#This Row],[Result]]&lt;0.5,1,0),0)</f>
        <v>0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44776</v>
      </c>
      <c r="B374" s="2">
        <v>2022</v>
      </c>
      <c r="C374" s="2">
        <f>COUNTIFS(Games[Team],Games[[#This Row],[Team]],Games[Season],Games[[#This Row],[Season]],Games[Date],"&lt;=" &amp; Games[[#This Row],[Date]])</f>
        <v>31</v>
      </c>
      <c r="D374" s="2" t="s">
        <v>79</v>
      </c>
      <c r="E374" s="2" t="s">
        <v>80</v>
      </c>
      <c r="F374" s="1" t="s">
        <v>63</v>
      </c>
      <c r="G374" s="1" t="s">
        <v>60</v>
      </c>
      <c r="H374" s="1" t="s">
        <v>81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4" s="2">
        <f>Games[[#This Row],[DaysOff]]-Games[[#This Row],[OppDaysOff]]</f>
        <v>0</v>
      </c>
      <c r="L374" s="2">
        <f>Games[[#This Row],[OppDaysOff]]-Games[[#This Row],[DaysOff]]</f>
        <v>0</v>
      </c>
      <c r="M374" s="16">
        <f>MAX(-16, MIN(16, Games[[#This Row],[RestDiff]]*8))</f>
        <v>0</v>
      </c>
      <c r="N374" s="16">
        <f>MAX(-16, MIN(16, Games[[#This Row],[OppRestDiff]]*8))</f>
        <v>0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1396.3083543044861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1444.4029644206885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0.31855992740056732</v>
      </c>
      <c r="R374" s="1">
        <v>61</v>
      </c>
      <c r="S374" s="1">
        <v>64</v>
      </c>
      <c r="T374" s="1">
        <v>0</v>
      </c>
      <c r="U374" s="16">
        <f>Games[[#This Row],[PointsFor]]-Games[[#This Row],[PointsAgainst]]</f>
        <v>-3</v>
      </c>
      <c r="V374" s="16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0.2790014655107188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71.349999999999994</v>
      </c>
      <c r="Z374" s="4">
        <f>Games[[#This Row],[K]]*Games[[#This Row],[POMult]]</f>
        <v>71.349999999999994</v>
      </c>
      <c r="AA374" s="4">
        <f>(Games[[#This Row],[Keff]]*Games[[#This Row],[MOVMult]])*(Games[[#This Row],[Result]]-Games[[#This Row],[ExpectedWin%]])</f>
        <v>-6.3414942887492103</v>
      </c>
      <c r="AB374" s="4">
        <f>Games[[#This Row],[PreGmRate]]+Games[[#This Row],[RatingChange]]</f>
        <v>1389.966860015737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44776</v>
      </c>
      <c r="B375" s="2">
        <v>2022</v>
      </c>
      <c r="C375" s="2">
        <f>COUNTIFS(Games[Team],Games[[#This Row],[Team]],Games[Season],Games[[#This Row],[Season]],Games[Date],"&lt;=" &amp; Games[[#This Row],[Date]])</f>
        <v>31</v>
      </c>
      <c r="D375" s="2" t="s">
        <v>79</v>
      </c>
      <c r="E375" s="2" t="s">
        <v>80</v>
      </c>
      <c r="F375" s="1" t="s">
        <v>60</v>
      </c>
      <c r="G375" s="1" t="s">
        <v>63</v>
      </c>
      <c r="H375" s="1" t="s">
        <v>82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5" s="2">
        <f>Games[[#This Row],[DaysOff]]-Games[[#This Row],[OppDaysOff]]</f>
        <v>0</v>
      </c>
      <c r="L375" s="2">
        <f>Games[[#This Row],[OppDaysOff]]-Games[[#This Row],[DaysOff]]</f>
        <v>0</v>
      </c>
      <c r="M375" s="16">
        <f>MAX(-16, MIN(16, Games[[#This Row],[RestDiff]]*8))</f>
        <v>0</v>
      </c>
      <c r="N375" s="16">
        <f>MAX(-16, MIN(16, Games[[#This Row],[OppRestDiff]]*8))</f>
        <v>0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1444.4029644206885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1396.3083543044861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0.68144007259943262</v>
      </c>
      <c r="R375" s="1">
        <v>64</v>
      </c>
      <c r="S375" s="1">
        <v>61</v>
      </c>
      <c r="T375" s="1">
        <v>0</v>
      </c>
      <c r="U375" s="16">
        <f>Games[[#This Row],[PointsFor]]-Games[[#This Row],[PointsAgainst]]</f>
        <v>3</v>
      </c>
      <c r="V375" s="16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0.2790014655107188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71.349999999999994</v>
      </c>
      <c r="Z375" s="4">
        <f>Games[[#This Row],[K]]*Games[[#This Row],[POMult]]</f>
        <v>71.349999999999994</v>
      </c>
      <c r="AA375" s="4">
        <f>(Games[[#This Row],[Keff]]*Games[[#This Row],[MOVMult]])*(Games[[#This Row],[Result]]-Games[[#This Row],[ExpectedWin%]])</f>
        <v>6.3414942887492112</v>
      </c>
      <c r="AB375" s="4">
        <f>Games[[#This Row],[PreGmRate]]+Games[[#This Row],[RatingChange]]</f>
        <v>1450.7444587094376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44776</v>
      </c>
      <c r="B376" s="2">
        <v>2022</v>
      </c>
      <c r="C376" s="2">
        <f>COUNTIFS(Games[Team],Games[[#This Row],[Team]],Games[Season],Games[[#This Row],[Season]],Games[Date],"&lt;=" &amp; Games[[#This Row],[Date]])</f>
        <v>32</v>
      </c>
      <c r="D376" s="2" t="s">
        <v>79</v>
      </c>
      <c r="E376" s="2" t="s">
        <v>80</v>
      </c>
      <c r="F376" s="1" t="s">
        <v>67</v>
      </c>
      <c r="G376" s="1" t="s">
        <v>71</v>
      </c>
      <c r="H376" s="1" t="s">
        <v>81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6" s="2">
        <f>Games[[#This Row],[DaysOff]]-Games[[#This Row],[OppDaysOff]]</f>
        <v>0</v>
      </c>
      <c r="L376" s="2">
        <f>Games[[#This Row],[OppDaysOff]]-Games[[#This Row],[DaysOff]]</f>
        <v>0</v>
      </c>
      <c r="M376" s="16">
        <f>MAX(-16, MIN(16, Games[[#This Row],[RestDiff]]*8))</f>
        <v>0</v>
      </c>
      <c r="N376" s="16">
        <f>MAX(-16, MIN(16, Games[[#This Row],[OppRestDiff]]*8))</f>
        <v>0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1493.5458500627151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1578.1765096738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0.27473778978724955</v>
      </c>
      <c r="R376" s="1">
        <v>77</v>
      </c>
      <c r="S376" s="1">
        <v>89</v>
      </c>
      <c r="T376" s="1">
        <v>0</v>
      </c>
      <c r="U376" s="16">
        <f>Games[[#This Row],[PointsFor]]-Games[[#This Row],[PointsAgainst]]</f>
        <v>-12</v>
      </c>
      <c r="V376" s="16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0.42607992234714204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71.2</v>
      </c>
      <c r="Z376" s="4">
        <f>Games[[#This Row],[K]]*Games[[#This Row],[POMult]]</f>
        <v>71.2</v>
      </c>
      <c r="AA376" s="4">
        <f>(Games[[#This Row],[Keff]]*Games[[#This Row],[MOVMult]])*(Games[[#This Row],[Result]]-Games[[#This Row],[ExpectedWin%]])</f>
        <v>-8.3346902370524241</v>
      </c>
      <c r="AB376" s="4">
        <f>Games[[#This Row],[PreGmRate]]+Games[[#This Row],[RatingChange]]</f>
        <v>1485.2111598256627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44776</v>
      </c>
      <c r="B377" s="2">
        <v>2022</v>
      </c>
      <c r="C377" s="2">
        <f>COUNTIFS(Games[Team],Games[[#This Row],[Team]],Games[Season],Games[[#This Row],[Season]],Games[Date],"&lt;=" &amp; Games[[#This Row],[Date]])</f>
        <v>32</v>
      </c>
      <c r="D377" s="2" t="s">
        <v>79</v>
      </c>
      <c r="E377" s="2" t="s">
        <v>80</v>
      </c>
      <c r="F377" s="1" t="s">
        <v>71</v>
      </c>
      <c r="G377" s="1" t="s">
        <v>67</v>
      </c>
      <c r="H377" s="1" t="s">
        <v>82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7" s="2">
        <f>Games[[#This Row],[DaysOff]]-Games[[#This Row],[OppDaysOff]]</f>
        <v>0</v>
      </c>
      <c r="L377" s="2">
        <f>Games[[#This Row],[OppDaysOff]]-Games[[#This Row],[DaysOff]]</f>
        <v>0</v>
      </c>
      <c r="M377" s="16">
        <f>MAX(-16, MIN(16, Games[[#This Row],[RestDiff]]*8))</f>
        <v>0</v>
      </c>
      <c r="N377" s="16">
        <f>MAX(-16, MIN(16, Games[[#This Row],[OppRestDiff]]*8))</f>
        <v>0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1578.1765096738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1493.5458500627151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0.7252622102127505</v>
      </c>
      <c r="R377" s="1">
        <v>89</v>
      </c>
      <c r="S377" s="1">
        <v>77</v>
      </c>
      <c r="T377" s="1">
        <v>0</v>
      </c>
      <c r="U377" s="16">
        <f>Games[[#This Row],[PointsFor]]-Games[[#This Row],[PointsAgainst]]</f>
        <v>12</v>
      </c>
      <c r="V377" s="16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0.42607992234714204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71.2</v>
      </c>
      <c r="Z377" s="4">
        <f>Games[[#This Row],[K]]*Games[[#This Row],[POMult]]</f>
        <v>71.2</v>
      </c>
      <c r="AA377" s="4">
        <f>(Games[[#This Row],[Keff]]*Games[[#This Row],[MOVMult]])*(Games[[#This Row],[Result]]-Games[[#This Row],[ExpectedWin%]])</f>
        <v>8.3346902370524223</v>
      </c>
      <c r="AB377" s="4">
        <f>Games[[#This Row],[PreGmRate]]+Games[[#This Row],[RatingChange]]</f>
        <v>1586.5111999108524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44777</v>
      </c>
      <c r="B378" s="2">
        <v>2022</v>
      </c>
      <c r="C378" s="2">
        <f>COUNTIFS(Games[Team],Games[[#This Row],[Team]],Games[Season],Games[[#This Row],[Season]],Games[Date],"&lt;=" &amp; Games[[#This Row],[Date]])</f>
        <v>32</v>
      </c>
      <c r="D378" s="2" t="s">
        <v>79</v>
      </c>
      <c r="E378" s="2" t="s">
        <v>80</v>
      </c>
      <c r="F378" s="1" t="s">
        <v>40</v>
      </c>
      <c r="G378" s="1" t="s">
        <v>74</v>
      </c>
      <c r="H378" s="1" t="s">
        <v>81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0</v>
      </c>
      <c r="L378" s="2">
        <f>Games[[#This Row],[OppDaysOff]]-Games[[#This Row],[DaysOff]]</f>
        <v>0</v>
      </c>
      <c r="M378" s="16">
        <f>MAX(-16, MIN(16, Games[[#This Row],[RestDiff]]*8))</f>
        <v>0</v>
      </c>
      <c r="N378" s="16">
        <f>MAX(-16, MIN(16, Games[[#This Row],[OppRestDiff]]*8))</f>
        <v>0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1454.4803972624622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1640.0855684382841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0.17480161520566523</v>
      </c>
      <c r="R378" s="1">
        <v>64</v>
      </c>
      <c r="S378" s="1">
        <v>77</v>
      </c>
      <c r="T378" s="1">
        <v>0</v>
      </c>
      <c r="U378" s="16">
        <f>Games[[#This Row],[PointsFor]]-Games[[#This Row],[PointsAgainst]]</f>
        <v>-13</v>
      </c>
      <c r="V378" s="16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0.40881235041599229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71.2</v>
      </c>
      <c r="Z378" s="4">
        <f>Games[[#This Row],[K]]*Games[[#This Row],[POMult]]</f>
        <v>71.2</v>
      </c>
      <c r="AA378" s="4">
        <f>(Games[[#This Row],[Keff]]*Games[[#This Row],[MOVMult]])*(Games[[#This Row],[Result]]-Games[[#This Row],[ExpectedWin%]])</f>
        <v>-5.0880274128142782</v>
      </c>
      <c r="AB378" s="4">
        <f>Games[[#This Row],[PreGmRate]]+Games[[#This Row],[RatingChange]]</f>
        <v>1449.392369849648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44777</v>
      </c>
      <c r="B379" s="2">
        <v>2022</v>
      </c>
      <c r="C379" s="2">
        <f>COUNTIFS(Games[Team],Games[[#This Row],[Team]],Games[Season],Games[[#This Row],[Season]],Games[Date],"&lt;=" &amp; Games[[#This Row],[Date]])</f>
        <v>32</v>
      </c>
      <c r="D379" s="2" t="s">
        <v>79</v>
      </c>
      <c r="E379" s="2" t="s">
        <v>80</v>
      </c>
      <c r="F379" s="1" t="s">
        <v>74</v>
      </c>
      <c r="G379" s="1" t="s">
        <v>40</v>
      </c>
      <c r="H379" s="1" t="s">
        <v>82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0</v>
      </c>
      <c r="L379" s="2">
        <f>Games[[#This Row],[OppDaysOff]]-Games[[#This Row],[DaysOff]]</f>
        <v>0</v>
      </c>
      <c r="M379" s="16">
        <f>MAX(-16, MIN(16, Games[[#This Row],[RestDiff]]*8))</f>
        <v>0</v>
      </c>
      <c r="N379" s="16">
        <f>MAX(-16, MIN(16, Games[[#This Row],[OppRestDiff]]*8))</f>
        <v>0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1640.0855684382841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1454.4803972624622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0.82519838479433483</v>
      </c>
      <c r="R379" s="1">
        <v>77</v>
      </c>
      <c r="S379" s="1">
        <v>64</v>
      </c>
      <c r="T379" s="1">
        <v>0</v>
      </c>
      <c r="U379" s="16">
        <f>Games[[#This Row],[PointsFor]]-Games[[#This Row],[PointsAgainst]]</f>
        <v>13</v>
      </c>
      <c r="V379" s="16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0.40881235041599229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71.2</v>
      </c>
      <c r="Z379" s="4">
        <f>Games[[#This Row],[K]]*Games[[#This Row],[POMult]]</f>
        <v>71.2</v>
      </c>
      <c r="AA379" s="4">
        <f>(Games[[#This Row],[Keff]]*Games[[#This Row],[MOVMult]])*(Games[[#This Row],[Result]]-Games[[#This Row],[ExpectedWin%]])</f>
        <v>5.0880274128142764</v>
      </c>
      <c r="AB379" s="4">
        <f>Games[[#This Row],[PreGmRate]]+Games[[#This Row],[RatingChange]]</f>
        <v>1645.1735958510983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44777</v>
      </c>
      <c r="B380" s="2">
        <v>2022</v>
      </c>
      <c r="C380" s="2">
        <f>COUNTIFS(Games[Team],Games[[#This Row],[Team]],Games[Season],Games[[#This Row],[Season]],Games[Date],"&lt;=" &amp; Games[[#This Row],[Date]])</f>
        <v>32</v>
      </c>
      <c r="D380" s="2" t="s">
        <v>79</v>
      </c>
      <c r="E380" s="2" t="s">
        <v>80</v>
      </c>
      <c r="F380" s="1" t="s">
        <v>86</v>
      </c>
      <c r="G380" s="1" t="s">
        <v>85</v>
      </c>
      <c r="H380" s="1" t="s">
        <v>81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6">
        <f>MAX(-16, MIN(16, Games[[#This Row],[RestDiff]]*8))</f>
        <v>0</v>
      </c>
      <c r="N380" s="16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1614.771106411486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1490.645693596889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0.55748973865185836</v>
      </c>
      <c r="R380" s="1">
        <v>80</v>
      </c>
      <c r="S380" s="1">
        <v>82</v>
      </c>
      <c r="T380" s="1">
        <v>0</v>
      </c>
      <c r="U380" s="16">
        <f>Games[[#This Row],[PointsFor]]-Games[[#This Row],[PointsAgainst]]</f>
        <v>-2</v>
      </c>
      <c r="V380" s="16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0.24273349175317682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71.2</v>
      </c>
      <c r="Z380" s="4">
        <f>Games[[#This Row],[K]]*Games[[#This Row],[POMult]]</f>
        <v>71.2</v>
      </c>
      <c r="AA380" s="4">
        <f>(Games[[#This Row],[Keff]]*Games[[#This Row],[MOVMult]])*(Games[[#This Row],[Result]]-Games[[#This Row],[ExpectedWin%]])</f>
        <v>-9.6348858786226472</v>
      </c>
      <c r="AB380" s="4">
        <f>Games[[#This Row],[PreGmRate]]+Games[[#This Row],[RatingChange]]</f>
        <v>1605.1362205328633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44777</v>
      </c>
      <c r="B381" s="2">
        <v>2022</v>
      </c>
      <c r="C381" s="2">
        <f>COUNTIFS(Games[Team],Games[[#This Row],[Team]],Games[Season],Games[[#This Row],[Season]],Games[Date],"&lt;=" &amp; Games[[#This Row],[Date]])</f>
        <v>31</v>
      </c>
      <c r="D381" s="2" t="s">
        <v>79</v>
      </c>
      <c r="E381" s="2" t="s">
        <v>80</v>
      </c>
      <c r="F381" s="1" t="s">
        <v>85</v>
      </c>
      <c r="G381" s="1" t="s">
        <v>86</v>
      </c>
      <c r="H381" s="1" t="s">
        <v>82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6">
        <f>MAX(-16, MIN(16, Games[[#This Row],[RestDiff]]*8))</f>
        <v>0</v>
      </c>
      <c r="N381" s="16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1490.645693596889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1614.771106411486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0.44251026134814159</v>
      </c>
      <c r="R381" s="1">
        <v>82</v>
      </c>
      <c r="S381" s="1">
        <v>80</v>
      </c>
      <c r="T381" s="1">
        <v>0</v>
      </c>
      <c r="U381" s="16">
        <f>Games[[#This Row],[PointsFor]]-Games[[#This Row],[PointsAgainst]]</f>
        <v>2</v>
      </c>
      <c r="V381" s="16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0.24273349175317682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71.349999999999994</v>
      </c>
      <c r="Z381" s="4">
        <f>Games[[#This Row],[K]]*Games[[#This Row],[POMult]]</f>
        <v>71.349999999999994</v>
      </c>
      <c r="AA381" s="4">
        <f>(Games[[#This Row],[Keff]]*Games[[#This Row],[MOVMult]])*(Games[[#This Row],[Result]]-Games[[#This Row],[ExpectedWin%]])</f>
        <v>9.6551840932545794</v>
      </c>
      <c r="AB381" s="4">
        <f>Games[[#This Row],[PreGmRate]]+Games[[#This Row],[RatingChange]]</f>
        <v>1500.3008776901436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44778</v>
      </c>
      <c r="B382" s="2">
        <v>2022</v>
      </c>
      <c r="C382" s="2">
        <f>COUNTIFS(Games[Team],Games[[#This Row],[Team]],Games[Season],Games[[#This Row],[Season]],Games[Date],"&lt;=" &amp; Games[[#This Row],[Date]])</f>
        <v>32</v>
      </c>
      <c r="D382" s="2" t="s">
        <v>79</v>
      </c>
      <c r="E382" s="2" t="s">
        <v>80</v>
      </c>
      <c r="F382" s="1" t="s">
        <v>63</v>
      </c>
      <c r="G382" s="1" t="s">
        <v>77</v>
      </c>
      <c r="H382" s="1" t="s">
        <v>81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2" s="2">
        <f>Games[[#This Row],[DaysOff]]-Games[[#This Row],[OppDaysOff]]</f>
        <v>0</v>
      </c>
      <c r="L382" s="2">
        <f>Games[[#This Row],[OppDaysOff]]-Games[[#This Row],[DaysOff]]</f>
        <v>0</v>
      </c>
      <c r="M382" s="16">
        <f>MAX(-16, MIN(16, Games[[#This Row],[RestDiff]]*8))</f>
        <v>0</v>
      </c>
      <c r="N382" s="16">
        <f>MAX(-16, MIN(16, Games[[#This Row],[OppRestDiff]]*8))</f>
        <v>0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1389.966860015737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1408.4822153449495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0.35660598531148274</v>
      </c>
      <c r="R382" s="1">
        <v>86</v>
      </c>
      <c r="S382" s="1">
        <v>88</v>
      </c>
      <c r="T382" s="1">
        <v>0</v>
      </c>
      <c r="U382" s="16">
        <f>Games[[#This Row],[PointsFor]]-Games[[#This Row],[PointsAgainst]]</f>
        <v>-2</v>
      </c>
      <c r="V382" s="16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0.2637714687516326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-6.6972488971997848</v>
      </c>
      <c r="AB382" s="4">
        <f>Games[[#This Row],[PreGmRate]]+Games[[#This Row],[RatingChange]]</f>
        <v>1383.2696111185371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44778</v>
      </c>
      <c r="B383" s="2">
        <v>2022</v>
      </c>
      <c r="C383" s="2">
        <f>COUNTIFS(Games[Team],Games[[#This Row],[Team]],Games[Season],Games[[#This Row],[Season]],Games[Date],"&lt;=" &amp; Games[[#This Row],[Date]])</f>
        <v>32</v>
      </c>
      <c r="D383" s="2" t="s">
        <v>79</v>
      </c>
      <c r="E383" s="2" t="s">
        <v>80</v>
      </c>
      <c r="F383" s="1" t="s">
        <v>77</v>
      </c>
      <c r="G383" s="1" t="s">
        <v>63</v>
      </c>
      <c r="H383" s="1" t="s">
        <v>82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3" s="2">
        <f>Games[[#This Row],[DaysOff]]-Games[[#This Row],[OppDaysOff]]</f>
        <v>0</v>
      </c>
      <c r="L383" s="2">
        <f>Games[[#This Row],[OppDaysOff]]-Games[[#This Row],[DaysOff]]</f>
        <v>0</v>
      </c>
      <c r="M383" s="16">
        <f>MAX(-16, MIN(16, Games[[#This Row],[RestDiff]]*8))</f>
        <v>0</v>
      </c>
      <c r="N383" s="16">
        <f>MAX(-16, MIN(16, Games[[#This Row],[OppRestDiff]]*8))</f>
        <v>0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1408.4822153449495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1389.966860015737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0.64339401468851731</v>
      </c>
      <c r="R383" s="1">
        <v>88</v>
      </c>
      <c r="S383" s="1">
        <v>86</v>
      </c>
      <c r="T383" s="1">
        <v>0</v>
      </c>
      <c r="U383" s="16">
        <f>Games[[#This Row],[PointsFor]]-Games[[#This Row],[PointsAgainst]]</f>
        <v>2</v>
      </c>
      <c r="V383" s="16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0.2637714687516326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6.6972488971997839</v>
      </c>
      <c r="AB383" s="4">
        <f>Games[[#This Row],[PreGmRate]]+Games[[#This Row],[RatingChange]]</f>
        <v>1415.1794642421494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44778</v>
      </c>
      <c r="B384" s="2">
        <v>2022</v>
      </c>
      <c r="C384" s="2">
        <f>COUNTIFS(Games[Team],Games[[#This Row],[Team]],Games[Season],Games[[#This Row],[Season]],Games[Date],"&lt;=" &amp; Games[[#This Row],[Date]])</f>
        <v>33</v>
      </c>
      <c r="D384" s="2" t="s">
        <v>79</v>
      </c>
      <c r="E384" s="2" t="s">
        <v>80</v>
      </c>
      <c r="F384" s="1" t="s">
        <v>65</v>
      </c>
      <c r="G384" s="1" t="s">
        <v>75</v>
      </c>
      <c r="H384" s="1" t="s">
        <v>81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4" s="2">
        <f>Games[[#This Row],[DaysOff]]-Games[[#This Row],[OppDaysOff]]</f>
        <v>0</v>
      </c>
      <c r="L384" s="2">
        <f>Games[[#This Row],[OppDaysOff]]-Games[[#This Row],[DaysOff]]</f>
        <v>0</v>
      </c>
      <c r="M384" s="16">
        <f>MAX(-16, MIN(16, Games[[#This Row],[RestDiff]]*8))</f>
        <v>0</v>
      </c>
      <c r="N384" s="16">
        <f>MAX(-16, MIN(16, Games[[#This Row],[OppRestDiff]]*8))</f>
        <v>0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1582.4165125311456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1661.257826135535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0.28142786126801728</v>
      </c>
      <c r="R384" s="1">
        <v>83</v>
      </c>
      <c r="S384" s="1">
        <v>93</v>
      </c>
      <c r="T384" s="1">
        <v>0</v>
      </c>
      <c r="U384" s="16">
        <f>Games[[#This Row],[PointsFor]]-Games[[#This Row],[PointsAgainst]]</f>
        <v>-10</v>
      </c>
      <c r="V384" s="16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0.39704350633437185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71.05</v>
      </c>
      <c r="Z384" s="4">
        <f>Games[[#This Row],[K]]*Games[[#This Row],[POMult]]</f>
        <v>71.05</v>
      </c>
      <c r="AA384" s="4">
        <f>(Games[[#This Row],[Keff]]*Games[[#This Row],[MOVMult]])*(Games[[#This Row],[Result]]-Games[[#This Row],[ExpectedWin%]])</f>
        <v>-7.9390633973215108</v>
      </c>
      <c r="AB384" s="4">
        <f>Games[[#This Row],[PreGmRate]]+Games[[#This Row],[RatingChange]]</f>
        <v>1574.4774491338242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44778</v>
      </c>
      <c r="B385" s="2">
        <v>2022</v>
      </c>
      <c r="C385" s="2">
        <f>COUNTIFS(Games[Team],Games[[#This Row],[Team]],Games[Season],Games[[#This Row],[Season]],Games[Date],"&lt;=" &amp; Games[[#This Row],[Date]])</f>
        <v>32</v>
      </c>
      <c r="D385" s="2" t="s">
        <v>79</v>
      </c>
      <c r="E385" s="2" t="s">
        <v>80</v>
      </c>
      <c r="F385" s="1" t="s">
        <v>75</v>
      </c>
      <c r="G385" s="1" t="s">
        <v>65</v>
      </c>
      <c r="H385" s="1" t="s">
        <v>82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5" s="2">
        <f>Games[[#This Row],[DaysOff]]-Games[[#This Row],[OppDaysOff]]</f>
        <v>0</v>
      </c>
      <c r="L385" s="2">
        <f>Games[[#This Row],[OppDaysOff]]-Games[[#This Row],[DaysOff]]</f>
        <v>0</v>
      </c>
      <c r="M385" s="16">
        <f>MAX(-16, MIN(16, Games[[#This Row],[RestDiff]]*8))</f>
        <v>0</v>
      </c>
      <c r="N385" s="16">
        <f>MAX(-16, MIN(16, Games[[#This Row],[OppRestDiff]]*8))</f>
        <v>0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1661.257826135535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1582.4165125311456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0.71857213873198278</v>
      </c>
      <c r="R385" s="1">
        <v>93</v>
      </c>
      <c r="S385" s="1">
        <v>83</v>
      </c>
      <c r="T385" s="1">
        <v>0</v>
      </c>
      <c r="U385" s="16">
        <f>Games[[#This Row],[PointsFor]]-Games[[#This Row],[PointsAgainst]]</f>
        <v>10</v>
      </c>
      <c r="V385" s="16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0.39704350633437185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71.2</v>
      </c>
      <c r="Z385" s="4">
        <f>Games[[#This Row],[K]]*Games[[#This Row],[POMult]]</f>
        <v>71.2</v>
      </c>
      <c r="AA385" s="4">
        <f>(Games[[#This Row],[Keff]]*Games[[#This Row],[MOVMult]])*(Games[[#This Row],[Result]]-Games[[#This Row],[ExpectedWin%]])</f>
        <v>7.9558242630442146</v>
      </c>
      <c r="AB385" s="4">
        <f>Games[[#This Row],[PreGmRate]]+Games[[#This Row],[RatingChange]]</f>
        <v>1669.2136503985791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44779</v>
      </c>
      <c r="B386" s="2">
        <v>2022</v>
      </c>
      <c r="C386" s="2">
        <f>COUNTIFS(Games[Team],Games[[#This Row],[Team]],Games[Season],Games[[#This Row],[Season]],Games[Date],"&lt;=" &amp; Games[[#This Row],[Date]])</f>
        <v>34</v>
      </c>
      <c r="D386" s="2" t="s">
        <v>79</v>
      </c>
      <c r="E386" s="2" t="s">
        <v>80</v>
      </c>
      <c r="F386" s="1" t="s">
        <v>69</v>
      </c>
      <c r="G386" s="1" t="s">
        <v>85</v>
      </c>
      <c r="H386" s="1" t="s">
        <v>81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1</v>
      </c>
      <c r="L386" s="2">
        <f>Games[[#This Row],[OppDaysOff]]-Games[[#This Row],[DaysOff]]</f>
        <v>-1</v>
      </c>
      <c r="M386" s="16">
        <f>MAX(-16, MIN(16, Games[[#This Row],[RestDiff]]*8))</f>
        <v>8</v>
      </c>
      <c r="N386" s="16">
        <f>MAX(-16, MIN(16, Games[[#This Row],[OppRestDiff]]*8))</f>
        <v>-8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1236.098501039098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1500.3008776901436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0.12872149063632285</v>
      </c>
      <c r="R386" s="1">
        <v>91</v>
      </c>
      <c r="S386" s="1">
        <v>95</v>
      </c>
      <c r="T386" s="1">
        <v>1</v>
      </c>
      <c r="U386" s="16">
        <f>Games[[#This Row],[PointsFor]]-Games[[#This Row],[PointsAgainst]]</f>
        <v>-4</v>
      </c>
      <c r="V386" s="16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0.22971370560502058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70.900000000000006</v>
      </c>
      <c r="Z386" s="4">
        <f>Games[[#This Row],[K]]*Games[[#This Row],[POMult]]</f>
        <v>70.900000000000006</v>
      </c>
      <c r="AA386" s="4">
        <f>(Games[[#This Row],[Keff]]*Games[[#This Row],[MOVMult]])*(Games[[#This Row],[Result]]-Games[[#This Row],[ExpectedWin%]])</f>
        <v>-2.0964485238995825</v>
      </c>
      <c r="AB386" s="4">
        <f>Games[[#This Row],[PreGmRate]]+Games[[#This Row],[RatingChange]]</f>
        <v>1234.0020525151983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44779</v>
      </c>
      <c r="B387" s="2">
        <v>2022</v>
      </c>
      <c r="C387" s="2">
        <f>COUNTIFS(Games[Team],Games[[#This Row],[Team]],Games[Season],Games[[#This Row],[Season]],Games[Date],"&lt;=" &amp; Games[[#This Row],[Date]])</f>
        <v>32</v>
      </c>
      <c r="D387" s="2" t="s">
        <v>79</v>
      </c>
      <c r="E387" s="2" t="s">
        <v>80</v>
      </c>
      <c r="F387" s="1" t="s">
        <v>85</v>
      </c>
      <c r="G387" s="1" t="s">
        <v>69</v>
      </c>
      <c r="H387" s="1" t="s">
        <v>82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7" s="2">
        <f>Games[[#This Row],[DaysOff]]-Games[[#This Row],[OppDaysOff]]</f>
        <v>-1</v>
      </c>
      <c r="L387" s="2">
        <f>Games[[#This Row],[OppDaysOff]]-Games[[#This Row],[DaysOff]]</f>
        <v>1</v>
      </c>
      <c r="M387" s="16">
        <f>MAX(-16, MIN(16, Games[[#This Row],[RestDiff]]*8))</f>
        <v>-8</v>
      </c>
      <c r="N387" s="16">
        <f>MAX(-16, MIN(16, Games[[#This Row],[OppRestDiff]]*8))</f>
        <v>8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1500.3008776901436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1236.098501039098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0.87127850936367712</v>
      </c>
      <c r="R387" s="1">
        <v>95</v>
      </c>
      <c r="S387" s="1">
        <v>91</v>
      </c>
      <c r="T387" s="1">
        <v>1</v>
      </c>
      <c r="U387" s="16">
        <f>Games[[#This Row],[PointsFor]]-Games[[#This Row],[PointsAgainst]]</f>
        <v>4</v>
      </c>
      <c r="V387" s="16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0.22971370560502058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71.2</v>
      </c>
      <c r="Z387" s="4">
        <f>Games[[#This Row],[K]]*Games[[#This Row],[POMult]]</f>
        <v>71.2</v>
      </c>
      <c r="AA387" s="4">
        <f>(Games[[#This Row],[Keff]]*Games[[#This Row],[MOVMult]])*(Games[[#This Row],[Result]]-Games[[#This Row],[ExpectedWin%]])</f>
        <v>2.1053192510811041</v>
      </c>
      <c r="AB387" s="4">
        <f>Games[[#This Row],[PreGmRate]]+Games[[#This Row],[RatingChange]]</f>
        <v>1502.4061969412246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44779</v>
      </c>
      <c r="B388" s="2">
        <v>2022</v>
      </c>
      <c r="C388" s="2">
        <f>COUNTIFS(Games[Team],Games[[#This Row],[Team]],Games[Season],Games[[#This Row],[Season]],Games[Date],"&lt;=" &amp; Games[[#This Row],[Date]])</f>
        <v>32</v>
      </c>
      <c r="D388" s="2" t="s">
        <v>79</v>
      </c>
      <c r="E388" s="2" t="s">
        <v>80</v>
      </c>
      <c r="F388" s="1" t="s">
        <v>60</v>
      </c>
      <c r="G388" s="1" t="s">
        <v>40</v>
      </c>
      <c r="H388" s="1" t="s">
        <v>81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8" s="2">
        <f>Games[[#This Row],[DaysOff]]-Games[[#This Row],[OppDaysOff]]</f>
        <v>1</v>
      </c>
      <c r="L388" s="2">
        <f>Games[[#This Row],[OppDaysOff]]-Games[[#This Row],[DaysOff]]</f>
        <v>-1</v>
      </c>
      <c r="M388" s="16">
        <f>MAX(-16, MIN(16, Games[[#This Row],[RestDiff]]*8))</f>
        <v>8</v>
      </c>
      <c r="N388" s="16">
        <f>MAX(-16, MIN(16, Games[[#This Row],[OppRestDiff]]*8))</f>
        <v>-8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1450.7444587094376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1449.392369849648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0.40524536560266666</v>
      </c>
      <c r="R388" s="1">
        <v>62</v>
      </c>
      <c r="S388" s="1">
        <v>76</v>
      </c>
      <c r="T388" s="1">
        <v>0</v>
      </c>
      <c r="U388" s="16">
        <f>Games[[#This Row],[PointsFor]]-Games[[#This Row],[PointsAgainst]]</f>
        <v>-14</v>
      </c>
      <c r="V388" s="16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0.48705931397370078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71.2</v>
      </c>
      <c r="Z388" s="4">
        <f>Games[[#This Row],[K]]*Games[[#This Row],[POMult]]</f>
        <v>71.2</v>
      </c>
      <c r="AA388" s="4">
        <f>(Games[[#This Row],[Keff]]*Games[[#This Row],[MOVMult]])*(Games[[#This Row],[Result]]-Games[[#This Row],[ExpectedWin%]])</f>
        <v>-14.053351319015697</v>
      </c>
      <c r="AB388" s="4">
        <f>Games[[#This Row],[PreGmRate]]+Games[[#This Row],[RatingChange]]</f>
        <v>1436.6911073904218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44779</v>
      </c>
      <c r="B389" s="2">
        <v>2022</v>
      </c>
      <c r="C389" s="2">
        <f>COUNTIFS(Games[Team],Games[[#This Row],[Team]],Games[Season],Games[[#This Row],[Season]],Games[Date],"&lt;=" &amp; Games[[#This Row],[Date]])</f>
        <v>33</v>
      </c>
      <c r="D389" s="2" t="s">
        <v>79</v>
      </c>
      <c r="E389" s="2" t="s">
        <v>80</v>
      </c>
      <c r="F389" s="1" t="s">
        <v>40</v>
      </c>
      <c r="G389" s="1" t="s">
        <v>60</v>
      </c>
      <c r="H389" s="1" t="s">
        <v>82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9" s="2">
        <f>Games[[#This Row],[DaysOff]]-Games[[#This Row],[OppDaysOff]]</f>
        <v>-1</v>
      </c>
      <c r="L389" s="2">
        <f>Games[[#This Row],[OppDaysOff]]-Games[[#This Row],[DaysOff]]</f>
        <v>1</v>
      </c>
      <c r="M389" s="16">
        <f>MAX(-16, MIN(16, Games[[#This Row],[RestDiff]]*8))</f>
        <v>-8</v>
      </c>
      <c r="N389" s="16">
        <f>MAX(-16, MIN(16, Games[[#This Row],[OppRestDiff]]*8))</f>
        <v>8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1449.392369849648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1450.7444587094376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0.59475463439733334</v>
      </c>
      <c r="R389" s="1">
        <v>76</v>
      </c>
      <c r="S389" s="1">
        <v>62</v>
      </c>
      <c r="T389" s="1">
        <v>0</v>
      </c>
      <c r="U389" s="16">
        <f>Games[[#This Row],[PointsFor]]-Games[[#This Row],[PointsAgainst]]</f>
        <v>14</v>
      </c>
      <c r="V389" s="16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0.48705931397370078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71.05</v>
      </c>
      <c r="Z389" s="4">
        <f>Games[[#This Row],[K]]*Games[[#This Row],[POMult]]</f>
        <v>71.05</v>
      </c>
      <c r="AA389" s="4">
        <f>(Games[[#This Row],[Keff]]*Games[[#This Row],[MOVMult]])*(Games[[#This Row],[Result]]-Games[[#This Row],[ExpectedWin%]])</f>
        <v>14.023744539551476</v>
      </c>
      <c r="AB389" s="4">
        <f>Games[[#This Row],[PreGmRate]]+Games[[#This Row],[RatingChange]]</f>
        <v>1463.4161143891995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44780</v>
      </c>
      <c r="B390" s="2">
        <v>2022</v>
      </c>
      <c r="C390" s="2">
        <f>COUNTIFS(Games[Team],Games[[#This Row],[Team]],Games[Season],Games[[#This Row],[Season]],Games[Date],"&lt;=" &amp; Games[[#This Row],[Date]])</f>
        <v>33</v>
      </c>
      <c r="D390" s="2" t="s">
        <v>79</v>
      </c>
      <c r="E390" s="2" t="s">
        <v>80</v>
      </c>
      <c r="F390" s="1" t="s">
        <v>74</v>
      </c>
      <c r="G390" s="1" t="s">
        <v>75</v>
      </c>
      <c r="H390" s="1" t="s">
        <v>81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0" s="2">
        <f>Games[[#This Row],[DaysOff]]-Games[[#This Row],[OppDaysOff]]</f>
        <v>1</v>
      </c>
      <c r="L390" s="2">
        <f>Games[[#This Row],[OppDaysOff]]-Games[[#This Row],[DaysOff]]</f>
        <v>-1</v>
      </c>
      <c r="M390" s="16">
        <f>MAX(-16, MIN(16, Games[[#This Row],[RestDiff]]*8))</f>
        <v>8</v>
      </c>
      <c r="N390" s="16">
        <f>MAX(-16, MIN(16, Games[[#This Row],[OppRestDiff]]*8))</f>
        <v>-8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1645.1735958510983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1669.2136503985791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0.3705576713654895</v>
      </c>
      <c r="R390" s="1">
        <v>91</v>
      </c>
      <c r="S390" s="1">
        <v>94</v>
      </c>
      <c r="T390" s="1">
        <v>0</v>
      </c>
      <c r="U390" s="16">
        <f>Games[[#This Row],[PointsFor]]-Games[[#This Row],[PointsAgainst]]</f>
        <v>-3</v>
      </c>
      <c r="V390" s="16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0.28448433858415217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71.05</v>
      </c>
      <c r="Z390" s="4">
        <f>Games[[#This Row],[K]]*Games[[#This Row],[POMult]]</f>
        <v>71.05</v>
      </c>
      <c r="AA390" s="4">
        <f>(Games[[#This Row],[Keff]]*Games[[#This Row],[MOVMult]])*(Games[[#This Row],[Result]]-Games[[#This Row],[ExpectedWin%]])</f>
        <v>-7.489938529946623</v>
      </c>
      <c r="AB390" s="4">
        <f>Games[[#This Row],[PreGmRate]]+Games[[#This Row],[RatingChange]]</f>
        <v>1637.6836573211517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44780</v>
      </c>
      <c r="B391" s="2">
        <v>2022</v>
      </c>
      <c r="C391" s="2">
        <f>COUNTIFS(Games[Team],Games[[#This Row],[Team]],Games[Season],Games[[#This Row],[Season]],Games[Date],"&lt;=" &amp; Games[[#This Row],[Date]])</f>
        <v>33</v>
      </c>
      <c r="D391" s="2" t="s">
        <v>79</v>
      </c>
      <c r="E391" s="2" t="s">
        <v>80</v>
      </c>
      <c r="F391" s="1" t="s">
        <v>75</v>
      </c>
      <c r="G391" s="1" t="s">
        <v>74</v>
      </c>
      <c r="H391" s="1" t="s">
        <v>82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1" s="2">
        <f>Games[[#This Row],[DaysOff]]-Games[[#This Row],[OppDaysOff]]</f>
        <v>-1</v>
      </c>
      <c r="L391" s="2">
        <f>Games[[#This Row],[OppDaysOff]]-Games[[#This Row],[DaysOff]]</f>
        <v>1</v>
      </c>
      <c r="M391" s="16">
        <f>MAX(-16, MIN(16, Games[[#This Row],[RestDiff]]*8))</f>
        <v>-8</v>
      </c>
      <c r="N391" s="16">
        <f>MAX(-16, MIN(16, Games[[#This Row],[OppRestDiff]]*8))</f>
        <v>8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1669.2136503985791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1645.1735958510983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0.62944232863451055</v>
      </c>
      <c r="R391" s="1">
        <v>94</v>
      </c>
      <c r="S391" s="1">
        <v>91</v>
      </c>
      <c r="T391" s="1">
        <v>0</v>
      </c>
      <c r="U391" s="16">
        <f>Games[[#This Row],[PointsFor]]-Games[[#This Row],[PointsAgainst]]</f>
        <v>3</v>
      </c>
      <c r="V391" s="16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0.28448433858415217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71.05</v>
      </c>
      <c r="Z391" s="4">
        <f>Games[[#This Row],[K]]*Games[[#This Row],[POMult]]</f>
        <v>71.05</v>
      </c>
      <c r="AA391" s="4">
        <f>(Games[[#This Row],[Keff]]*Games[[#This Row],[MOVMult]])*(Games[[#This Row],[Result]]-Games[[#This Row],[ExpectedWin%]])</f>
        <v>7.4899385299466212</v>
      </c>
      <c r="AB391" s="4">
        <f>Games[[#This Row],[PreGmRate]]+Games[[#This Row],[RatingChange]]</f>
        <v>1676.7035889285257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44780</v>
      </c>
      <c r="B392" s="2">
        <v>2022</v>
      </c>
      <c r="C392" s="2">
        <f>COUNTIFS(Games[Team],Games[[#This Row],[Team]],Games[Season],Games[[#This Row],[Season]],Games[Date],"&lt;=" &amp; Games[[#This Row],[Date]])</f>
        <v>33</v>
      </c>
      <c r="D392" s="2" t="s">
        <v>79</v>
      </c>
      <c r="E392" s="2" t="s">
        <v>80</v>
      </c>
      <c r="F392" s="1" t="s">
        <v>77</v>
      </c>
      <c r="G392" s="1" t="s">
        <v>67</v>
      </c>
      <c r="H392" s="1" t="s">
        <v>81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2" s="2">
        <f>Games[[#This Row],[DaysOff]]-Games[[#This Row],[OppDaysOff]]</f>
        <v>-2</v>
      </c>
      <c r="L392" s="2">
        <f>Games[[#This Row],[OppDaysOff]]-Games[[#This Row],[DaysOff]]</f>
        <v>2</v>
      </c>
      <c r="M392" s="16">
        <f>MAX(-16, MIN(16, Games[[#This Row],[RestDiff]]*8))</f>
        <v>-16</v>
      </c>
      <c r="N392" s="16">
        <f>MAX(-16, MIN(16, Games[[#This Row],[OppRestDiff]]*8))</f>
        <v>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1415.1794642421494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1485.2111598256627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0.25523490881146194</v>
      </c>
      <c r="R392" s="1">
        <v>71</v>
      </c>
      <c r="S392" s="1">
        <v>81</v>
      </c>
      <c r="T392" s="1">
        <v>0</v>
      </c>
      <c r="U392" s="16">
        <f>Games[[#This Row],[PointsFor]]-Games[[#This Row],[PointsAgainst]]</f>
        <v>-10</v>
      </c>
      <c r="V392" s="16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0.39979761211034465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71.05</v>
      </c>
      <c r="Z392" s="4">
        <f>Games[[#This Row],[K]]*Games[[#This Row],[POMult]]</f>
        <v>71.05</v>
      </c>
      <c r="AA392" s="4">
        <f>(Games[[#This Row],[Keff]]*Games[[#This Row],[MOVMult]])*(Games[[#This Row],[Result]]-Games[[#This Row],[ExpectedWin%]])</f>
        <v>-7.2501059173252074</v>
      </c>
      <c r="AB392" s="4">
        <f>Games[[#This Row],[PreGmRate]]+Games[[#This Row],[RatingChange]]</f>
        <v>1407.9293583248241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44780</v>
      </c>
      <c r="B393" s="2">
        <v>2022</v>
      </c>
      <c r="C393" s="2">
        <f>COUNTIFS(Games[Team],Games[[#This Row],[Team]],Games[Season],Games[[#This Row],[Season]],Games[Date],"&lt;=" &amp; Games[[#This Row],[Date]])</f>
        <v>33</v>
      </c>
      <c r="D393" s="2" t="s">
        <v>79</v>
      </c>
      <c r="E393" s="2" t="s">
        <v>80</v>
      </c>
      <c r="F393" s="1" t="s">
        <v>67</v>
      </c>
      <c r="G393" s="1" t="s">
        <v>77</v>
      </c>
      <c r="H393" s="1" t="s">
        <v>82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3" s="2">
        <f>Games[[#This Row],[DaysOff]]-Games[[#This Row],[OppDaysOff]]</f>
        <v>2</v>
      </c>
      <c r="L393" s="2">
        <f>Games[[#This Row],[OppDaysOff]]-Games[[#This Row],[DaysOff]]</f>
        <v>-2</v>
      </c>
      <c r="M393" s="16">
        <f>MAX(-16, MIN(16, Games[[#This Row],[RestDiff]]*8))</f>
        <v>16</v>
      </c>
      <c r="N393" s="16">
        <f>MAX(-16, MIN(16, Games[[#This Row],[OppRestDiff]]*8))</f>
        <v>-16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1485.2111598256627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1415.1794642421494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0.74476509118853806</v>
      </c>
      <c r="R393" s="1">
        <v>81</v>
      </c>
      <c r="S393" s="1">
        <v>71</v>
      </c>
      <c r="T393" s="1">
        <v>0</v>
      </c>
      <c r="U393" s="16">
        <f>Games[[#This Row],[PointsFor]]-Games[[#This Row],[PointsAgainst]]</f>
        <v>10</v>
      </c>
      <c r="V393" s="16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0.39979761211034465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71.05</v>
      </c>
      <c r="Z393" s="4">
        <f>Games[[#This Row],[K]]*Games[[#This Row],[POMult]]</f>
        <v>71.05</v>
      </c>
      <c r="AA393" s="4">
        <f>(Games[[#This Row],[Keff]]*Games[[#This Row],[MOVMult]])*(Games[[#This Row],[Result]]-Games[[#This Row],[ExpectedWin%]])</f>
        <v>7.2501059173252074</v>
      </c>
      <c r="AB393" s="4">
        <f>Games[[#This Row],[PreGmRate]]+Games[[#This Row],[RatingChange]]</f>
        <v>1492.461265742988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44780</v>
      </c>
      <c r="B394" s="2">
        <v>2022</v>
      </c>
      <c r="C394" s="2">
        <f>COUNTIFS(Games[Team],Games[[#This Row],[Team]],Games[Season],Games[[#This Row],[Season]],Games[Date],"&lt;=" &amp; Games[[#This Row],[Date]])</f>
        <v>33</v>
      </c>
      <c r="D394" s="2" t="s">
        <v>79</v>
      </c>
      <c r="E394" s="2" t="s">
        <v>80</v>
      </c>
      <c r="F394" s="1" t="s">
        <v>86</v>
      </c>
      <c r="G394" s="1" t="s">
        <v>71</v>
      </c>
      <c r="H394" s="1" t="s">
        <v>81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4" s="2">
        <f>Games[[#This Row],[DaysOff]]-Games[[#This Row],[OppDaysOff]]</f>
        <v>-1</v>
      </c>
      <c r="L394" s="2">
        <f>Games[[#This Row],[OppDaysOff]]-Games[[#This Row],[DaysOff]]</f>
        <v>1</v>
      </c>
      <c r="M394" s="16">
        <f>MAX(-16, MIN(16, Games[[#This Row],[RestDiff]]*8))</f>
        <v>-8</v>
      </c>
      <c r="N394" s="16">
        <f>MAX(-16, MIN(16, Games[[#This Row],[OppRestDiff]]*8))</f>
        <v>8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1605.1362205328633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1586.5111999108524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0.38498742670218167</v>
      </c>
      <c r="R394" s="1">
        <v>89</v>
      </c>
      <c r="S394" s="1">
        <v>81</v>
      </c>
      <c r="T394" s="1">
        <v>0</v>
      </c>
      <c r="U394" s="16">
        <f>Games[[#This Row],[PointsFor]]-Games[[#This Row],[PointsAgainst]]</f>
        <v>8</v>
      </c>
      <c r="V394" s="16">
        <f>IF(Games[[#This Row],[MOV]]&gt;0,1,IF(Games[[#This Row],[MOV]]=0,0.5,0))</f>
        <v>1</v>
      </c>
      <c r="W394" s="4">
        <f>((ABS(Games[[#This Row],[MOV]])+5)^0.6)/(12+0.01*(ABS(Games[[#This Row],[PreGmRate]]-Games[[#This Row],[OppPreGmRate]])))*IF(Games[[#This Row],[OT]]=1,0.9,1)</f>
        <v>0.38238066190842007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71.05</v>
      </c>
      <c r="Z394" s="4">
        <f>Games[[#This Row],[K]]*Games[[#This Row],[POMult]]</f>
        <v>71.05</v>
      </c>
      <c r="AA394" s="4">
        <f>(Games[[#This Row],[Keff]]*Games[[#This Row],[MOVMult]])*(Games[[#This Row],[Result]]-Games[[#This Row],[ExpectedWin%]])</f>
        <v>16.708751400776034</v>
      </c>
      <c r="AB394" s="4">
        <f>Games[[#This Row],[PreGmRate]]+Games[[#This Row],[RatingChange]]</f>
        <v>1621.8449719336393</v>
      </c>
      <c r="AC394" s="2">
        <f>IF(Games[[#This Row],[Type]]="R",IF(Games[[#This Row],[Result]]&gt;0.5,1,0),0)</f>
        <v>1</v>
      </c>
      <c r="AD394" s="2">
        <f>IF(Games[[#This Row],[Type]]="R",IF(Games[[#This Row],[Result]]&lt;0.5,1,0),0)</f>
        <v>0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44780</v>
      </c>
      <c r="B395" s="2">
        <v>2022</v>
      </c>
      <c r="C395" s="2">
        <f>COUNTIFS(Games[Team],Games[[#This Row],[Team]],Games[Season],Games[[#This Row],[Season]],Games[Date],"&lt;=" &amp; Games[[#This Row],[Date]])</f>
        <v>33</v>
      </c>
      <c r="D395" s="2" t="s">
        <v>79</v>
      </c>
      <c r="E395" s="2" t="s">
        <v>80</v>
      </c>
      <c r="F395" s="1" t="s">
        <v>71</v>
      </c>
      <c r="G395" s="1" t="s">
        <v>86</v>
      </c>
      <c r="H395" s="1" t="s">
        <v>82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1</v>
      </c>
      <c r="L395" s="2">
        <f>Games[[#This Row],[OppDaysOff]]-Games[[#This Row],[DaysOff]]</f>
        <v>-1</v>
      </c>
      <c r="M395" s="16">
        <f>MAX(-16, MIN(16, Games[[#This Row],[RestDiff]]*8))</f>
        <v>8</v>
      </c>
      <c r="N395" s="16">
        <f>MAX(-16, MIN(16, Games[[#This Row],[OppRestDiff]]*8))</f>
        <v>-8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1586.5111999108524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1605.1362205328633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0.61501257329781833</v>
      </c>
      <c r="R395" s="1">
        <v>81</v>
      </c>
      <c r="S395" s="1">
        <v>89</v>
      </c>
      <c r="T395" s="1">
        <v>0</v>
      </c>
      <c r="U395" s="16">
        <f>Games[[#This Row],[PointsFor]]-Games[[#This Row],[PointsAgainst]]</f>
        <v>-8</v>
      </c>
      <c r="V395" s="16">
        <f>IF(Games[[#This Row],[MOV]]&gt;0,1,IF(Games[[#This Row],[MOV]]=0,0.5,0))</f>
        <v>0</v>
      </c>
      <c r="W395" s="4">
        <f>((ABS(Games[[#This Row],[MOV]])+5)^0.6)/(12+0.01*(ABS(Games[[#This Row],[PreGmRate]]-Games[[#This Row],[OppPreGmRate]])))*IF(Games[[#This Row],[OT]]=1,0.9,1)</f>
        <v>0.38238066190842007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71.05</v>
      </c>
      <c r="Z395" s="4">
        <f>Games[[#This Row],[K]]*Games[[#This Row],[POMult]]</f>
        <v>71.05</v>
      </c>
      <c r="AA395" s="4">
        <f>(Games[[#This Row],[Keff]]*Games[[#This Row],[MOVMult]])*(Games[[#This Row],[Result]]-Games[[#This Row],[ExpectedWin%]])</f>
        <v>-16.708751400776034</v>
      </c>
      <c r="AB395" s="4">
        <f>Games[[#This Row],[PreGmRate]]+Games[[#This Row],[RatingChange]]</f>
        <v>1569.8024485100764</v>
      </c>
      <c r="AC395" s="2">
        <f>IF(Games[[#This Row],[Type]]="R",IF(Games[[#This Row],[Result]]&gt;0.5,1,0),0)</f>
        <v>0</v>
      </c>
      <c r="AD395" s="2">
        <f>IF(Games[[#This Row],[Type]]="R",IF(Games[[#This Row],[Result]]&lt;0.5,1,0),0)</f>
        <v>1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44780</v>
      </c>
      <c r="B396" s="2">
        <v>2022</v>
      </c>
      <c r="C396" s="2">
        <f>COUNTIFS(Games[Team],Games[[#This Row],[Team]],Games[Season],Games[[#This Row],[Season]],Games[Date],"&lt;=" &amp; Games[[#This Row],[Date]])</f>
        <v>33</v>
      </c>
      <c r="D396" s="2" t="s">
        <v>79</v>
      </c>
      <c r="E396" s="2" t="s">
        <v>80</v>
      </c>
      <c r="F396" s="1" t="s">
        <v>63</v>
      </c>
      <c r="G396" s="1" t="s">
        <v>65</v>
      </c>
      <c r="H396" s="1" t="s">
        <v>81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6" s="2">
        <f>Games[[#This Row],[DaysOff]]-Games[[#This Row],[OppDaysOff]]</f>
        <v>0</v>
      </c>
      <c r="L396" s="2">
        <f>Games[[#This Row],[OppDaysOff]]-Games[[#This Row],[DaysOff]]</f>
        <v>0</v>
      </c>
      <c r="M396" s="16">
        <f>MAX(-16, MIN(16, Games[[#This Row],[RestDiff]]*8))</f>
        <v>0</v>
      </c>
      <c r="N396" s="16">
        <f>MAX(-16, MIN(16, Games[[#This Row],[OppRestDiff]]*8))</f>
        <v>0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1383.2696111185371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1574.4774491338242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0.17019813977650189</v>
      </c>
      <c r="R396" s="1">
        <v>79</v>
      </c>
      <c r="S396" s="1">
        <v>76</v>
      </c>
      <c r="T396" s="1">
        <v>0</v>
      </c>
      <c r="U396" s="16">
        <f>Games[[#This Row],[PointsFor]]-Games[[#This Row],[PointsAgainst]]</f>
        <v>3</v>
      </c>
      <c r="V396" s="16">
        <f>IF(Games[[#This Row],[MOV]]&gt;0,1,IF(Games[[#This Row],[MOV]]=0,0.5,0))</f>
        <v>1</v>
      </c>
      <c r="W396" s="4">
        <f>((ABS(Games[[#This Row],[MOV]])+5)^0.6)/(12+0.01*(ABS(Games[[#This Row],[PreGmRate]]-Games[[#This Row],[OppPreGmRate]])))*IF(Games[[#This Row],[OT]]=1,0.9,1)</f>
        <v>0.25030064940923896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71.05</v>
      </c>
      <c r="Z396" s="4">
        <f>Games[[#This Row],[K]]*Games[[#This Row],[POMult]]</f>
        <v>71.05</v>
      </c>
      <c r="AA396" s="4">
        <f>(Games[[#This Row],[Keff]]*Games[[#This Row],[MOVMult]])*(Games[[#This Row],[Result]]-Games[[#This Row],[ExpectedWin%]])</f>
        <v>14.757081056365209</v>
      </c>
      <c r="AB396" s="4">
        <f>Games[[#This Row],[PreGmRate]]+Games[[#This Row],[RatingChange]]</f>
        <v>1398.0266921749023</v>
      </c>
      <c r="AC396" s="2">
        <f>IF(Games[[#This Row],[Type]]="R",IF(Games[[#This Row],[Result]]&gt;0.5,1,0),0)</f>
        <v>1</v>
      </c>
      <c r="AD396" s="2">
        <f>IF(Games[[#This Row],[Type]]="R",IF(Games[[#This Row],[Result]]&lt;0.5,1,0),0)</f>
        <v>0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44780</v>
      </c>
      <c r="B397" s="2">
        <v>2022</v>
      </c>
      <c r="C397" s="2">
        <f>COUNTIFS(Games[Team],Games[[#This Row],[Team]],Games[Season],Games[[#This Row],[Season]],Games[Date],"&lt;=" &amp; Games[[#This Row],[Date]])</f>
        <v>34</v>
      </c>
      <c r="D397" s="2" t="s">
        <v>79</v>
      </c>
      <c r="E397" s="2" t="s">
        <v>80</v>
      </c>
      <c r="F397" s="1" t="s">
        <v>65</v>
      </c>
      <c r="G397" s="1" t="s">
        <v>63</v>
      </c>
      <c r="H397" s="1" t="s">
        <v>82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0</v>
      </c>
      <c r="L397" s="2">
        <f>Games[[#This Row],[OppDaysOff]]-Games[[#This Row],[DaysOff]]</f>
        <v>0</v>
      </c>
      <c r="M397" s="16">
        <f>MAX(-16, MIN(16, Games[[#This Row],[RestDiff]]*8))</f>
        <v>0</v>
      </c>
      <c r="N397" s="16">
        <f>MAX(-16, MIN(16, Games[[#This Row],[OppRestDiff]]*8))</f>
        <v>0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1574.4774491338242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1383.2696111185371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0.829801860223498</v>
      </c>
      <c r="R397" s="1">
        <v>76</v>
      </c>
      <c r="S397" s="1">
        <v>79</v>
      </c>
      <c r="T397" s="1">
        <v>0</v>
      </c>
      <c r="U397" s="16">
        <f>Games[[#This Row],[PointsFor]]-Games[[#This Row],[PointsAgainst]]</f>
        <v>-3</v>
      </c>
      <c r="V397" s="16">
        <f>IF(Games[[#This Row],[MOV]]&gt;0,1,IF(Games[[#This Row],[MOV]]=0,0.5,0))</f>
        <v>0</v>
      </c>
      <c r="W397" s="4">
        <f>((ABS(Games[[#This Row],[MOV]])+5)^0.6)/(12+0.01*(ABS(Games[[#This Row],[PreGmRate]]-Games[[#This Row],[OppPreGmRate]])))*IF(Games[[#This Row],[OT]]=1,0.9,1)</f>
        <v>0.25030064940923896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70.900000000000006</v>
      </c>
      <c r="Z397" s="4">
        <f>Games[[#This Row],[K]]*Games[[#This Row],[POMult]]</f>
        <v>70.900000000000006</v>
      </c>
      <c r="AA397" s="4">
        <f>(Games[[#This Row],[Keff]]*Games[[#This Row],[MOVMult]])*(Games[[#This Row],[Result]]-Games[[#This Row],[ExpectedWin%]])</f>
        <v>-14.72592606469097</v>
      </c>
      <c r="AB397" s="4">
        <f>Games[[#This Row],[PreGmRate]]+Games[[#This Row],[RatingChange]]</f>
        <v>1559.7515230691331</v>
      </c>
      <c r="AC397" s="2">
        <f>IF(Games[[#This Row],[Type]]="R",IF(Games[[#This Row],[Result]]&gt;0.5,1,0),0)</f>
        <v>0</v>
      </c>
      <c r="AD397" s="2">
        <f>IF(Games[[#This Row],[Type]]="R",IF(Games[[#This Row],[Result]]&lt;0.5,1,0),0)</f>
        <v>1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44781</v>
      </c>
      <c r="B398" s="2">
        <v>2022</v>
      </c>
      <c r="C398" s="2">
        <f>COUNTIFS(Games[Team],Games[[#This Row],[Team]],Games[Season],Games[[#This Row],[Season]],Games[Date],"&lt;=" &amp; Games[[#This Row],[Date]])</f>
        <v>33</v>
      </c>
      <c r="D398" s="2" t="s">
        <v>79</v>
      </c>
      <c r="E398" s="2" t="s">
        <v>80</v>
      </c>
      <c r="F398" s="1" t="s">
        <v>60</v>
      </c>
      <c r="G398" s="1" t="s">
        <v>85</v>
      </c>
      <c r="H398" s="1" t="s">
        <v>81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6">
        <f>MAX(-16, MIN(16, Games[[#This Row],[RestDiff]]*8))</f>
        <v>0</v>
      </c>
      <c r="N398" s="16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1436.6911073904218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1502.4061969412246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0.29695728721060732</v>
      </c>
      <c r="R398" s="1">
        <v>77</v>
      </c>
      <c r="S398" s="1">
        <v>86</v>
      </c>
      <c r="T398" s="1">
        <v>0</v>
      </c>
      <c r="U398" s="16">
        <f>Games[[#This Row],[PointsFor]]-Games[[#This Row],[PointsAgainst]]</f>
        <v>-9</v>
      </c>
      <c r="V398" s="16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0.38489375420939681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71.05</v>
      </c>
      <c r="Z398" s="4">
        <f>Games[[#This Row],[K]]*Games[[#This Row],[POMult]]</f>
        <v>71.05</v>
      </c>
      <c r="AA398" s="4">
        <f>(Games[[#This Row],[Keff]]*Games[[#This Row],[MOVMult]])*(Games[[#This Row],[Result]]-Games[[#This Row],[ExpectedWin%]])</f>
        <v>-8.1208022133730573</v>
      </c>
      <c r="AB398" s="4">
        <f>Games[[#This Row],[PreGmRate]]+Games[[#This Row],[RatingChange]]</f>
        <v>1428.5703051770488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44781</v>
      </c>
      <c r="B399" s="2">
        <v>2022</v>
      </c>
      <c r="C399" s="2">
        <f>COUNTIFS(Games[Team],Games[[#This Row],[Team]],Games[Season],Games[[#This Row],[Season]],Games[Date],"&lt;=" &amp; Games[[#This Row],[Date]])</f>
        <v>33</v>
      </c>
      <c r="D399" s="2" t="s">
        <v>79</v>
      </c>
      <c r="E399" s="2" t="s">
        <v>80</v>
      </c>
      <c r="F399" s="1" t="s">
        <v>85</v>
      </c>
      <c r="G399" s="1" t="s">
        <v>60</v>
      </c>
      <c r="H399" s="1" t="s">
        <v>82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6">
        <f>MAX(-16, MIN(16, Games[[#This Row],[RestDiff]]*8))</f>
        <v>0</v>
      </c>
      <c r="N399" s="16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1502.4061969412246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1436.6911073904218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0.70304271278939268</v>
      </c>
      <c r="R399" s="1">
        <v>86</v>
      </c>
      <c r="S399" s="1">
        <v>77</v>
      </c>
      <c r="T399" s="1">
        <v>0</v>
      </c>
      <c r="U399" s="16">
        <f>Games[[#This Row],[PointsFor]]-Games[[#This Row],[PointsAgainst]]</f>
        <v>9</v>
      </c>
      <c r="V399" s="16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0.38489375420939681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71.05</v>
      </c>
      <c r="Z399" s="4">
        <f>Games[[#This Row],[K]]*Games[[#This Row],[POMult]]</f>
        <v>71.05</v>
      </c>
      <c r="AA399" s="4">
        <f>(Games[[#This Row],[Keff]]*Games[[#This Row],[MOVMult]])*(Games[[#This Row],[Result]]-Games[[#This Row],[ExpectedWin%]])</f>
        <v>8.1208022133730573</v>
      </c>
      <c r="AB399" s="4">
        <f>Games[[#This Row],[PreGmRate]]+Games[[#This Row],[RatingChange]]</f>
        <v>1510.5269991545977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44782</v>
      </c>
      <c r="B400" s="2">
        <v>2022</v>
      </c>
      <c r="C400" s="2">
        <f>COUNTIFS(Games[Team],Games[[#This Row],[Team]],Games[Season],Games[[#This Row],[Season]],Games[Date],"&lt;=" &amp; Games[[#This Row],[Date]])</f>
        <v>34</v>
      </c>
      <c r="D400" s="2" t="s">
        <v>79</v>
      </c>
      <c r="E400" s="2" t="s">
        <v>80</v>
      </c>
      <c r="F400" s="1" t="s">
        <v>71</v>
      </c>
      <c r="G400" s="1" t="s">
        <v>75</v>
      </c>
      <c r="H400" s="1" t="s">
        <v>81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6">
        <f>MAX(-16, MIN(16, Games[[#This Row],[RestDiff]]*8))</f>
        <v>0</v>
      </c>
      <c r="N400" s="16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1569.8024485100764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1676.7035889285257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0.24994318960281359</v>
      </c>
      <c r="R400" s="1">
        <v>111</v>
      </c>
      <c r="S400" s="1">
        <v>100</v>
      </c>
      <c r="T400" s="1">
        <v>0</v>
      </c>
      <c r="U400" s="16">
        <f>Games[[#This Row],[PointsFor]]-Games[[#This Row],[PointsAgainst]]</f>
        <v>11</v>
      </c>
      <c r="V400" s="16">
        <f>IF(Games[[#This Row],[MOV]]&gt;0,1,IF(Games[[#This Row],[MOV]]=0,0.5,0))</f>
        <v>1</v>
      </c>
      <c r="W400" s="4">
        <f>((ABS(Games[[#This Row],[MOV]])+5)^0.6)/(12+0.01*(ABS(Games[[#This Row],[PreGmRate]]-Games[[#This Row],[OppPreGmRate]])))*IF(Games[[#This Row],[OT]]=1,0.9,1)</f>
        <v>0.40385852302505709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70.900000000000006</v>
      </c>
      <c r="Z400" s="4">
        <f>Games[[#This Row],[K]]*Games[[#This Row],[POMult]]</f>
        <v>70.900000000000006</v>
      </c>
      <c r="AA400" s="4">
        <f>(Games[[#This Row],[Keff]]*Games[[#This Row],[MOVMult]])*(Games[[#This Row],[Result]]-Games[[#This Row],[ExpectedWin%]])</f>
        <v>21.476803646301214</v>
      </c>
      <c r="AB400" s="4">
        <f>Games[[#This Row],[PreGmRate]]+Games[[#This Row],[RatingChange]]</f>
        <v>1591.2792521563777</v>
      </c>
      <c r="AC400" s="2">
        <f>IF(Games[[#This Row],[Type]]="R",IF(Games[[#This Row],[Result]]&gt;0.5,1,0),0)</f>
        <v>1</v>
      </c>
      <c r="AD400" s="2">
        <f>IF(Games[[#This Row],[Type]]="R",IF(Games[[#This Row],[Result]]&lt;0.5,1,0),0)</f>
        <v>0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44782</v>
      </c>
      <c r="B401" s="2">
        <v>2022</v>
      </c>
      <c r="C401" s="2">
        <f>COUNTIFS(Games[Team],Games[[#This Row],[Team]],Games[Season],Games[[#This Row],[Season]],Games[Date],"&lt;=" &amp; Games[[#This Row],[Date]])</f>
        <v>34</v>
      </c>
      <c r="D401" s="2" t="s">
        <v>79</v>
      </c>
      <c r="E401" s="2" t="s">
        <v>80</v>
      </c>
      <c r="F401" s="1" t="s">
        <v>75</v>
      </c>
      <c r="G401" s="1" t="s">
        <v>71</v>
      </c>
      <c r="H401" s="1" t="s">
        <v>82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6">
        <f>MAX(-16, MIN(16, Games[[#This Row],[RestDiff]]*8))</f>
        <v>0</v>
      </c>
      <c r="N401" s="16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1676.7035889285257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1569.8024485100764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0.75005681039718641</v>
      </c>
      <c r="R401" s="1">
        <v>100</v>
      </c>
      <c r="S401" s="1">
        <v>111</v>
      </c>
      <c r="T401" s="1">
        <v>0</v>
      </c>
      <c r="U401" s="16">
        <f>Games[[#This Row],[PointsFor]]-Games[[#This Row],[PointsAgainst]]</f>
        <v>-11</v>
      </c>
      <c r="V401" s="16">
        <f>IF(Games[[#This Row],[MOV]]&gt;0,1,IF(Games[[#This Row],[MOV]]=0,0.5,0))</f>
        <v>0</v>
      </c>
      <c r="W401" s="4">
        <f>((ABS(Games[[#This Row],[MOV]])+5)^0.6)/(12+0.01*(ABS(Games[[#This Row],[PreGmRate]]-Games[[#This Row],[OppPreGmRate]])))*IF(Games[[#This Row],[OT]]=1,0.9,1)</f>
        <v>0.40385852302505709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70.900000000000006</v>
      </c>
      <c r="Z401" s="4">
        <f>Games[[#This Row],[K]]*Games[[#This Row],[POMult]]</f>
        <v>70.900000000000006</v>
      </c>
      <c r="AA401" s="4">
        <f>(Games[[#This Row],[Keff]]*Games[[#This Row],[MOVMult]])*(Games[[#This Row],[Result]]-Games[[#This Row],[ExpectedWin%]])</f>
        <v>-21.476803646301214</v>
      </c>
      <c r="AB401" s="4">
        <f>Games[[#This Row],[PreGmRate]]+Games[[#This Row],[RatingChange]]</f>
        <v>1655.2267852822245</v>
      </c>
      <c r="AC401" s="2">
        <f>IF(Games[[#This Row],[Type]]="R",IF(Games[[#This Row],[Result]]&gt;0.5,1,0),0)</f>
        <v>0</v>
      </c>
      <c r="AD401" s="2">
        <f>IF(Games[[#This Row],[Type]]="R",IF(Games[[#This Row],[Result]]&lt;0.5,1,0),0)</f>
        <v>1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44782</v>
      </c>
      <c r="B402" s="2">
        <v>2022</v>
      </c>
      <c r="C402" s="2">
        <f>COUNTIFS(Games[Team],Games[[#This Row],[Team]],Games[Season],Games[[#This Row],[Season]],Games[Date],"&lt;=" &amp; Games[[#This Row],[Date]])</f>
        <v>34</v>
      </c>
      <c r="D402" s="2" t="s">
        <v>79</v>
      </c>
      <c r="E402" s="2" t="s">
        <v>80</v>
      </c>
      <c r="F402" s="1" t="s">
        <v>74</v>
      </c>
      <c r="G402" s="1" t="s">
        <v>63</v>
      </c>
      <c r="H402" s="1" t="s">
        <v>81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6">
        <f>MAX(-16, MIN(16, Games[[#This Row],[RestDiff]]*8))</f>
        <v>0</v>
      </c>
      <c r="N402" s="16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1637.6836573211517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1398.0266921749023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0.71013370801522246</v>
      </c>
      <c r="R402" s="1">
        <v>97</v>
      </c>
      <c r="S402" s="1">
        <v>71</v>
      </c>
      <c r="T402" s="1">
        <v>0</v>
      </c>
      <c r="U402" s="16">
        <f>Games[[#This Row],[PointsFor]]-Games[[#This Row],[PointsAgainst]]</f>
        <v>26</v>
      </c>
      <c r="V402" s="16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0.54520269454638304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70.900000000000006</v>
      </c>
      <c r="Z402" s="4">
        <f>Games[[#This Row],[K]]*Games[[#This Row],[POMult]]</f>
        <v>70.900000000000006</v>
      </c>
      <c r="AA402" s="4">
        <f>(Games[[#This Row],[Keff]]*Games[[#This Row],[MOVMult]])*(Games[[#This Row],[Result]]-Games[[#This Row],[ExpectedWin%]])</f>
        <v>11.204744136482297</v>
      </c>
      <c r="AB402" s="4">
        <f>Games[[#This Row],[PreGmRate]]+Games[[#This Row],[RatingChange]]</f>
        <v>1648.888401457634</v>
      </c>
      <c r="AC402" s="2">
        <f>IF(Games[[#This Row],[Type]]="R",IF(Games[[#This Row],[Result]]&gt;0.5,1,0),0)</f>
        <v>1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44782</v>
      </c>
      <c r="B403" s="2">
        <v>2022</v>
      </c>
      <c r="C403" s="2">
        <f>COUNTIFS(Games[Team],Games[[#This Row],[Team]],Games[Season],Games[[#This Row],[Season]],Games[Date],"&lt;=" &amp; Games[[#This Row],[Date]])</f>
        <v>34</v>
      </c>
      <c r="D403" s="2" t="s">
        <v>79</v>
      </c>
      <c r="E403" s="2" t="s">
        <v>80</v>
      </c>
      <c r="F403" s="1" t="s">
        <v>63</v>
      </c>
      <c r="G403" s="1" t="s">
        <v>74</v>
      </c>
      <c r="H403" s="1" t="s">
        <v>82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6">
        <f>MAX(-16, MIN(16, Games[[#This Row],[RestDiff]]*8))</f>
        <v>0</v>
      </c>
      <c r="N403" s="16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1398.0266921749023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1637.6836573211517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0.28986629198477759</v>
      </c>
      <c r="R403" s="1">
        <v>71</v>
      </c>
      <c r="S403" s="1">
        <v>97</v>
      </c>
      <c r="T403" s="1">
        <v>0</v>
      </c>
      <c r="U403" s="16">
        <f>Games[[#This Row],[PointsFor]]-Games[[#This Row],[PointsAgainst]]</f>
        <v>-26</v>
      </c>
      <c r="V403" s="16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0.54520269454638304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70.900000000000006</v>
      </c>
      <c r="Z403" s="4">
        <f>Games[[#This Row],[K]]*Games[[#This Row],[POMult]]</f>
        <v>70.900000000000006</v>
      </c>
      <c r="AA403" s="4">
        <f>(Games[[#This Row],[Keff]]*Games[[#This Row],[MOVMult]])*(Games[[#This Row],[Result]]-Games[[#This Row],[ExpectedWin%]])</f>
        <v>-11.204744136482299</v>
      </c>
      <c r="AB403" s="4">
        <f>Games[[#This Row],[PreGmRate]]+Games[[#This Row],[RatingChange]]</f>
        <v>1386.82194803842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1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44782</v>
      </c>
      <c r="B404" s="2">
        <v>2022</v>
      </c>
      <c r="C404" s="2">
        <f>COUNTIFS(Games[Team],Games[[#This Row],[Team]],Games[Season],Games[[#This Row],[Season]],Games[Date],"&lt;=" &amp; Games[[#This Row],[Date]])</f>
        <v>34</v>
      </c>
      <c r="D404" s="2" t="s">
        <v>79</v>
      </c>
      <c r="E404" s="2" t="s">
        <v>80</v>
      </c>
      <c r="F404" s="1" t="s">
        <v>77</v>
      </c>
      <c r="G404" s="1" t="s">
        <v>86</v>
      </c>
      <c r="H404" s="1" t="s">
        <v>81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0</v>
      </c>
      <c r="L404" s="2">
        <f>Games[[#This Row],[OppDaysOff]]-Games[[#This Row],[DaysOff]]</f>
        <v>0</v>
      </c>
      <c r="M404" s="16">
        <f>MAX(-16, MIN(16, Games[[#This Row],[RestDiff]]*8))</f>
        <v>0</v>
      </c>
      <c r="N404" s="16">
        <f>MAX(-16, MIN(16, Games[[#This Row],[OppRestDiff]]*8))</f>
        <v>0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1407.9293583248241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1621.8449719336393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0.15252405589102863</v>
      </c>
      <c r="R404" s="1">
        <v>90</v>
      </c>
      <c r="S404" s="1">
        <v>97</v>
      </c>
      <c r="T404" s="1">
        <v>0</v>
      </c>
      <c r="U404" s="16">
        <f>Games[[#This Row],[PointsFor]]-Games[[#This Row],[PointsAgainst]]</f>
        <v>-7</v>
      </c>
      <c r="V404" s="16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0.31411252744497953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70.900000000000006</v>
      </c>
      <c r="Z404" s="4">
        <f>Games[[#This Row],[K]]*Games[[#This Row],[POMult]]</f>
        <v>70.900000000000006</v>
      </c>
      <c r="AA404" s="4">
        <f>(Games[[#This Row],[Keff]]*Games[[#This Row],[MOVMult]])*(Games[[#This Row],[Result]]-Games[[#This Row],[ExpectedWin%]])</f>
        <v>-3.3967989134692043</v>
      </c>
      <c r="AB404" s="4">
        <f>Games[[#This Row],[PreGmRate]]+Games[[#This Row],[RatingChange]]</f>
        <v>1404.5325594113549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44782</v>
      </c>
      <c r="B405" s="2">
        <v>2022</v>
      </c>
      <c r="C405" s="2">
        <f>COUNTIFS(Games[Team],Games[[#This Row],[Team]],Games[Season],Games[[#This Row],[Season]],Games[Date],"&lt;=" &amp; Games[[#This Row],[Date]])</f>
        <v>34</v>
      </c>
      <c r="D405" s="2" t="s">
        <v>79</v>
      </c>
      <c r="E405" s="2" t="s">
        <v>80</v>
      </c>
      <c r="F405" s="1" t="s">
        <v>86</v>
      </c>
      <c r="G405" s="1" t="s">
        <v>77</v>
      </c>
      <c r="H405" s="1" t="s">
        <v>82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0</v>
      </c>
      <c r="L405" s="2">
        <f>Games[[#This Row],[OppDaysOff]]-Games[[#This Row],[DaysOff]]</f>
        <v>0</v>
      </c>
      <c r="M405" s="16">
        <f>MAX(-16, MIN(16, Games[[#This Row],[RestDiff]]*8))</f>
        <v>0</v>
      </c>
      <c r="N405" s="16">
        <f>MAX(-16, MIN(16, Games[[#This Row],[OppRestDiff]]*8))</f>
        <v>0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1621.8449719336393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1407.9293583248241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0.84747594410897131</v>
      </c>
      <c r="R405" s="1">
        <v>97</v>
      </c>
      <c r="S405" s="1">
        <v>90</v>
      </c>
      <c r="T405" s="1">
        <v>0</v>
      </c>
      <c r="U405" s="16">
        <f>Games[[#This Row],[PointsFor]]-Games[[#This Row],[PointsAgainst]]</f>
        <v>7</v>
      </c>
      <c r="V405" s="16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0.31411252744497953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70.900000000000006</v>
      </c>
      <c r="Z405" s="4">
        <f>Games[[#This Row],[K]]*Games[[#This Row],[POMult]]</f>
        <v>70.900000000000006</v>
      </c>
      <c r="AA405" s="4">
        <f>(Games[[#This Row],[Keff]]*Games[[#This Row],[MOVMult]])*(Games[[#This Row],[Result]]-Games[[#This Row],[ExpectedWin%]])</f>
        <v>3.3967989134692056</v>
      </c>
      <c r="AB405" s="4">
        <f>Games[[#This Row],[PreGmRate]]+Games[[#This Row],[RatingChange]]</f>
        <v>1625.2417708471085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44783</v>
      </c>
      <c r="B406" s="2">
        <v>2022</v>
      </c>
      <c r="C406" s="2">
        <f>COUNTIFS(Games[Team],Games[[#This Row],[Team]],Games[Season],Games[[#This Row],[Season]],Games[Date],"&lt;=" &amp; Games[[#This Row],[Date]])</f>
        <v>34</v>
      </c>
      <c r="D406" s="2" t="s">
        <v>79</v>
      </c>
      <c r="E406" s="2" t="s">
        <v>80</v>
      </c>
      <c r="F406" s="1" t="s">
        <v>60</v>
      </c>
      <c r="G406" s="1" t="s">
        <v>85</v>
      </c>
      <c r="H406" s="1" t="s">
        <v>81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6">
        <f>MAX(-16, MIN(16, Games[[#This Row],[RestDiff]]*8))</f>
        <v>0</v>
      </c>
      <c r="N406" s="16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1428.5703051770488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1510.5269991545977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0.27781547954052799</v>
      </c>
      <c r="R406" s="1">
        <v>91</v>
      </c>
      <c r="S406" s="1">
        <v>73</v>
      </c>
      <c r="T406" s="1">
        <v>0</v>
      </c>
      <c r="U406" s="16">
        <f>Games[[#This Row],[PointsFor]]-Games[[#This Row],[PointsAgainst]]</f>
        <v>18</v>
      </c>
      <c r="V406" s="16">
        <f>IF(Games[[#This Row],[MOV]]&gt;0,1,IF(Games[[#This Row],[MOV]]=0,0.5,0))</f>
        <v>1</v>
      </c>
      <c r="W406" s="4">
        <f>((ABS(Games[[#This Row],[MOV]])+5)^0.6)/(12+0.01*(ABS(Games[[#This Row],[PreGmRate]]-Games[[#This Row],[OppPreGmRate]])))*IF(Games[[#This Row],[OT]]=1,0.9,1)</f>
        <v>0.51187432589129067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70.900000000000006</v>
      </c>
      <c r="Z406" s="4">
        <f>Games[[#This Row],[K]]*Games[[#This Row],[POMult]]</f>
        <v>70.900000000000006</v>
      </c>
      <c r="AA406" s="4">
        <f>(Games[[#This Row],[Keff]]*Games[[#This Row],[MOVMult]])*(Games[[#This Row],[Result]]-Games[[#This Row],[ExpectedWin%]])</f>
        <v>26.209440963673597</v>
      </c>
      <c r="AB406" s="4">
        <f>Games[[#This Row],[PreGmRate]]+Games[[#This Row],[RatingChange]]</f>
        <v>1454.7797461407224</v>
      </c>
      <c r="AC406" s="2">
        <f>IF(Games[[#This Row],[Type]]="R",IF(Games[[#This Row],[Result]]&gt;0.5,1,0),0)</f>
        <v>1</v>
      </c>
      <c r="AD406" s="2">
        <f>IF(Games[[#This Row],[Type]]="R",IF(Games[[#This Row],[Result]]&lt;0.5,1,0),0)</f>
        <v>0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44783</v>
      </c>
      <c r="B407" s="2">
        <v>2022</v>
      </c>
      <c r="C407" s="2">
        <f>COUNTIFS(Games[Team],Games[[#This Row],[Team]],Games[Season],Games[[#This Row],[Season]],Games[Date],"&lt;=" &amp; Games[[#This Row],[Date]])</f>
        <v>34</v>
      </c>
      <c r="D407" s="2" t="s">
        <v>79</v>
      </c>
      <c r="E407" s="2" t="s">
        <v>80</v>
      </c>
      <c r="F407" s="1" t="s">
        <v>85</v>
      </c>
      <c r="G407" s="1" t="s">
        <v>60</v>
      </c>
      <c r="H407" s="1" t="s">
        <v>82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6">
        <f>MAX(-16, MIN(16, Games[[#This Row],[RestDiff]]*8))</f>
        <v>0</v>
      </c>
      <c r="N407" s="16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1510.5269991545977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1428.5703051770488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0.72218452045947201</v>
      </c>
      <c r="R407" s="1">
        <v>73</v>
      </c>
      <c r="S407" s="1">
        <v>91</v>
      </c>
      <c r="T407" s="1">
        <v>0</v>
      </c>
      <c r="U407" s="16">
        <f>Games[[#This Row],[PointsFor]]-Games[[#This Row],[PointsAgainst]]</f>
        <v>-18</v>
      </c>
      <c r="V407" s="16">
        <f>IF(Games[[#This Row],[MOV]]&gt;0,1,IF(Games[[#This Row],[MOV]]=0,0.5,0))</f>
        <v>0</v>
      </c>
      <c r="W407" s="4">
        <f>((ABS(Games[[#This Row],[MOV]])+5)^0.6)/(12+0.01*(ABS(Games[[#This Row],[PreGmRate]]-Games[[#This Row],[OppPreGmRate]])))*IF(Games[[#This Row],[OT]]=1,0.9,1)</f>
        <v>0.51187432589129067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70.900000000000006</v>
      </c>
      <c r="Z407" s="4">
        <f>Games[[#This Row],[K]]*Games[[#This Row],[POMult]]</f>
        <v>70.900000000000006</v>
      </c>
      <c r="AA407" s="4">
        <f>(Games[[#This Row],[Keff]]*Games[[#This Row],[MOVMult]])*(Games[[#This Row],[Result]]-Games[[#This Row],[ExpectedWin%]])</f>
        <v>-26.209440963673597</v>
      </c>
      <c r="AB407" s="4">
        <f>Games[[#This Row],[PreGmRate]]+Games[[#This Row],[RatingChange]]</f>
        <v>1484.317558190924</v>
      </c>
      <c r="AC407" s="2">
        <f>IF(Games[[#This Row],[Type]]="R",IF(Games[[#This Row],[Result]]&gt;0.5,1,0),0)</f>
        <v>0</v>
      </c>
      <c r="AD407" s="2">
        <f>IF(Games[[#This Row],[Type]]="R",IF(Games[[#This Row],[Result]]&lt;0.5,1,0),0)</f>
        <v>1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44783</v>
      </c>
      <c r="B408" s="2">
        <v>2022</v>
      </c>
      <c r="C408" s="2">
        <f>COUNTIFS(Games[Team],Games[[#This Row],[Team]],Games[Season],Games[[#This Row],[Season]],Games[Date],"&lt;=" &amp; Games[[#This Row],[Date]])</f>
        <v>34</v>
      </c>
      <c r="D408" s="2" t="s">
        <v>79</v>
      </c>
      <c r="E408" s="2" t="s">
        <v>80</v>
      </c>
      <c r="F408" s="1" t="s">
        <v>67</v>
      </c>
      <c r="G408" s="1" t="s">
        <v>40</v>
      </c>
      <c r="H408" s="1" t="s">
        <v>81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8" s="2">
        <f>Games[[#This Row],[DaysOff]]-Games[[#This Row],[OppDaysOff]]</f>
        <v>-1</v>
      </c>
      <c r="L408" s="2">
        <f>Games[[#This Row],[OppDaysOff]]-Games[[#This Row],[DaysOff]]</f>
        <v>1</v>
      </c>
      <c r="M408" s="16">
        <f>MAX(-16, MIN(16, Games[[#This Row],[RestDiff]]*8))</f>
        <v>-8</v>
      </c>
      <c r="N408" s="16">
        <f>MAX(-16, MIN(16, Games[[#This Row],[OppRestDiff]]*8))</f>
        <v>8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1492.461265742988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1463.4161143891995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0.39928409403051235</v>
      </c>
      <c r="R408" s="1">
        <v>86</v>
      </c>
      <c r="S408" s="1">
        <v>77</v>
      </c>
      <c r="T408" s="1">
        <v>0</v>
      </c>
      <c r="U408" s="16">
        <f>Games[[#This Row],[PointsFor]]-Games[[#This Row],[PointsAgainst]]</f>
        <v>9</v>
      </c>
      <c r="V408" s="16">
        <f>IF(Games[[#This Row],[MOV]]&gt;0,1,IF(Games[[#This Row],[MOV]]=0,0.5,0))</f>
        <v>1</v>
      </c>
      <c r="W408" s="4">
        <f>((ABS(Games[[#This Row],[MOV]])+5)^0.6)/(12+0.01*(ABS(Games[[#This Row],[PreGmRate]]-Games[[#This Row],[OppPreGmRate]])))*IF(Games[[#This Row],[OT]]=1,0.9,1)</f>
        <v>0.39637749031439579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70.900000000000006</v>
      </c>
      <c r="Z408" s="4">
        <f>Games[[#This Row],[K]]*Games[[#This Row],[POMult]]</f>
        <v>70.900000000000006</v>
      </c>
      <c r="AA408" s="4">
        <f>(Games[[#This Row],[Keff]]*Games[[#This Row],[MOVMult]])*(Games[[#This Row],[Result]]-Games[[#This Row],[ExpectedWin%]])</f>
        <v>16.882017660888799</v>
      </c>
      <c r="AB408" s="4">
        <f>Games[[#This Row],[PreGmRate]]+Games[[#This Row],[RatingChange]]</f>
        <v>1509.3432834038767</v>
      </c>
      <c r="AC408" s="2">
        <f>IF(Games[[#This Row],[Type]]="R",IF(Games[[#This Row],[Result]]&gt;0.5,1,0),0)</f>
        <v>1</v>
      </c>
      <c r="AD408" s="2">
        <f>IF(Games[[#This Row],[Type]]="R",IF(Games[[#This Row],[Result]]&lt;0.5,1,0),0)</f>
        <v>0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44783</v>
      </c>
      <c r="B409" s="2">
        <v>2022</v>
      </c>
      <c r="C409" s="2">
        <f>COUNTIFS(Games[Team],Games[[#This Row],[Team]],Games[Season],Games[[#This Row],[Season]],Games[Date],"&lt;=" &amp; Games[[#This Row],[Date]])</f>
        <v>34</v>
      </c>
      <c r="D409" s="2" t="s">
        <v>79</v>
      </c>
      <c r="E409" s="2" t="s">
        <v>80</v>
      </c>
      <c r="F409" s="1" t="s">
        <v>40</v>
      </c>
      <c r="G409" s="1" t="s">
        <v>67</v>
      </c>
      <c r="H409" s="1" t="s">
        <v>82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9" s="2">
        <f>Games[[#This Row],[DaysOff]]-Games[[#This Row],[OppDaysOff]]</f>
        <v>1</v>
      </c>
      <c r="L409" s="2">
        <f>Games[[#This Row],[OppDaysOff]]-Games[[#This Row],[DaysOff]]</f>
        <v>-1</v>
      </c>
      <c r="M409" s="16">
        <f>MAX(-16, MIN(16, Games[[#This Row],[RestDiff]]*8))</f>
        <v>8</v>
      </c>
      <c r="N409" s="16">
        <f>MAX(-16, MIN(16, Games[[#This Row],[OppRestDiff]]*8))</f>
        <v>-8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1463.4161143891995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1492.461265742988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0.60071590596948776</v>
      </c>
      <c r="R409" s="1">
        <v>77</v>
      </c>
      <c r="S409" s="1">
        <v>86</v>
      </c>
      <c r="T409" s="1">
        <v>0</v>
      </c>
      <c r="U409" s="16">
        <f>Games[[#This Row],[PointsFor]]-Games[[#This Row],[PointsAgainst]]</f>
        <v>-9</v>
      </c>
      <c r="V409" s="16">
        <f>IF(Games[[#This Row],[MOV]]&gt;0,1,IF(Games[[#This Row],[MOV]]=0,0.5,0))</f>
        <v>0</v>
      </c>
      <c r="W409" s="4">
        <f>((ABS(Games[[#This Row],[MOV]])+5)^0.6)/(12+0.01*(ABS(Games[[#This Row],[PreGmRate]]-Games[[#This Row],[OppPreGmRate]])))*IF(Games[[#This Row],[OT]]=1,0.9,1)</f>
        <v>0.39637749031439579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70.900000000000006</v>
      </c>
      <c r="Z409" s="4">
        <f>Games[[#This Row],[K]]*Games[[#This Row],[POMult]]</f>
        <v>70.900000000000006</v>
      </c>
      <c r="AA409" s="4">
        <f>(Games[[#This Row],[Keff]]*Games[[#This Row],[MOVMult]])*(Games[[#This Row],[Result]]-Games[[#This Row],[ExpectedWin%]])</f>
        <v>-16.882017660888803</v>
      </c>
      <c r="AB409" s="4">
        <f>Games[[#This Row],[PreGmRate]]+Games[[#This Row],[RatingChange]]</f>
        <v>1446.5340967283107</v>
      </c>
      <c r="AC409" s="2">
        <f>IF(Games[[#This Row],[Type]]="R",IF(Games[[#This Row],[Result]]&gt;0.5,1,0),0)</f>
        <v>0</v>
      </c>
      <c r="AD409" s="2">
        <f>IF(Games[[#This Row],[Type]]="R",IF(Games[[#This Row],[Result]]&lt;0.5,1,0),0)</f>
        <v>1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44784</v>
      </c>
      <c r="B410" s="2">
        <v>2022</v>
      </c>
      <c r="C410" s="2">
        <f>COUNTIFS(Games[Team],Games[[#This Row],[Team]],Games[Season],Games[[#This Row],[Season]],Games[Date],"&lt;=" &amp; Games[[#This Row],[Date]])</f>
        <v>35</v>
      </c>
      <c r="D410" s="2" t="s">
        <v>79</v>
      </c>
      <c r="E410" s="2" t="s">
        <v>80</v>
      </c>
      <c r="F410" s="1" t="s">
        <v>74</v>
      </c>
      <c r="G410" s="1" t="s">
        <v>63</v>
      </c>
      <c r="H410" s="1" t="s">
        <v>81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6">
        <f>MAX(-16, MIN(16, Games[[#This Row],[RestDiff]]*8))</f>
        <v>0</v>
      </c>
      <c r="N410" s="16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1648.888401457634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1386.82194803842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0.73595178791259119</v>
      </c>
      <c r="R410" s="1">
        <v>93</v>
      </c>
      <c r="S410" s="1">
        <v>69</v>
      </c>
      <c r="T410" s="1">
        <v>0</v>
      </c>
      <c r="U410" s="16">
        <f>Games[[#This Row],[PointsFor]]-Games[[#This Row],[PointsAgainst]]</f>
        <v>24</v>
      </c>
      <c r="V410" s="16">
        <f>IF(Games[[#This Row],[MOV]]&gt;0,1,IF(Games[[#This Row],[MOV]]=0,0.5,0))</f>
        <v>1</v>
      </c>
      <c r="W410" s="4">
        <f>((ABS(Games[[#This Row],[MOV]])+5)^0.6)/(12+0.01*(ABS(Games[[#This Row],[PreGmRate]]-Games[[#This Row],[OppPreGmRate]])))*IF(Games[[#This Row],[OT]]=1,0.9,1)</f>
        <v>0.51578853722699991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0" s="9">
        <f>MAX(kmin, kmax - 0.15 * MIN(Games[[#This Row],[GamesPlayed]], 82))</f>
        <v>70.75</v>
      </c>
      <c r="Z410" s="4">
        <f>Games[[#This Row],[K]]*Games[[#This Row],[POMult]]</f>
        <v>70.75</v>
      </c>
      <c r="AA410" s="4">
        <f>(Games[[#This Row],[Keff]]*Games[[#This Row],[MOVMult]])*(Games[[#This Row],[Result]]-Games[[#This Row],[ExpectedWin%]])</f>
        <v>9.6356576557003226</v>
      </c>
      <c r="AB410" s="4">
        <f>Games[[#This Row],[PreGmRate]]+Games[[#This Row],[RatingChange]]</f>
        <v>1658.5240591133343</v>
      </c>
      <c r="AC410" s="2">
        <f>IF(Games[[#This Row],[Type]]="R",IF(Games[[#This Row],[Result]]&gt;0.5,1,0),0)</f>
        <v>1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44784</v>
      </c>
      <c r="B411" s="2">
        <v>2022</v>
      </c>
      <c r="C411" s="2">
        <f>COUNTIFS(Games[Team],Games[[#This Row],[Team]],Games[Season],Games[[#This Row],[Season]],Games[Date],"&lt;=" &amp; Games[[#This Row],[Date]])</f>
        <v>35</v>
      </c>
      <c r="D411" s="2" t="s">
        <v>79</v>
      </c>
      <c r="E411" s="2" t="s">
        <v>80</v>
      </c>
      <c r="F411" s="1" t="s">
        <v>63</v>
      </c>
      <c r="G411" s="1" t="s">
        <v>74</v>
      </c>
      <c r="H411" s="1" t="s">
        <v>82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6">
        <f>MAX(-16, MIN(16, Games[[#This Row],[RestDiff]]*8))</f>
        <v>0</v>
      </c>
      <c r="N411" s="16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1386.82194803842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1648.888401457634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0.26404821208740881</v>
      </c>
      <c r="R411" s="1">
        <v>69</v>
      </c>
      <c r="S411" s="1">
        <v>93</v>
      </c>
      <c r="T411" s="1">
        <v>0</v>
      </c>
      <c r="U411" s="16">
        <f>Games[[#This Row],[PointsFor]]-Games[[#This Row],[PointsAgainst]]</f>
        <v>-24</v>
      </c>
      <c r="V411" s="16">
        <f>IF(Games[[#This Row],[MOV]]&gt;0,1,IF(Games[[#This Row],[MOV]]=0,0.5,0))</f>
        <v>0</v>
      </c>
      <c r="W411" s="4">
        <f>((ABS(Games[[#This Row],[MOV]])+5)^0.6)/(12+0.01*(ABS(Games[[#This Row],[PreGmRate]]-Games[[#This Row],[OppPreGmRate]])))*IF(Games[[#This Row],[OT]]=1,0.9,1)</f>
        <v>0.51578853722699991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1" s="9">
        <f>MAX(kmin, kmax - 0.15 * MIN(Games[[#This Row],[GamesPlayed]], 82))</f>
        <v>70.75</v>
      </c>
      <c r="Z411" s="4">
        <f>Games[[#This Row],[K]]*Games[[#This Row],[POMult]]</f>
        <v>70.75</v>
      </c>
      <c r="AA411" s="4">
        <f>(Games[[#This Row],[Keff]]*Games[[#This Row],[MOVMult]])*(Games[[#This Row],[Result]]-Games[[#This Row],[ExpectedWin%]])</f>
        <v>-9.6356576557003226</v>
      </c>
      <c r="AB411" s="4">
        <f>Games[[#This Row],[PreGmRate]]+Games[[#This Row],[RatingChange]]</f>
        <v>1377.1862903827198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1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44784</v>
      </c>
      <c r="B412" s="2">
        <v>2022</v>
      </c>
      <c r="C412" s="2">
        <f>COUNTIFS(Games[Team],Games[[#This Row],[Team]],Games[Season],Games[[#This Row],[Season]],Games[Date],"&lt;=" &amp; Games[[#This Row],[Date]])</f>
        <v>35</v>
      </c>
      <c r="D412" s="2" t="s">
        <v>79</v>
      </c>
      <c r="E412" s="2" t="s">
        <v>80</v>
      </c>
      <c r="F412" s="1" t="s">
        <v>75</v>
      </c>
      <c r="G412" s="1" t="s">
        <v>86</v>
      </c>
      <c r="H412" s="1" t="s">
        <v>81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2" s="2">
        <f>Games[[#This Row],[DaysOff]]-Games[[#This Row],[OppDaysOff]]</f>
        <v>0</v>
      </c>
      <c r="L412" s="2">
        <f>Games[[#This Row],[OppDaysOff]]-Games[[#This Row],[DaysOff]]</f>
        <v>0</v>
      </c>
      <c r="M412" s="16">
        <f>MAX(-16, MIN(16, Games[[#This Row],[RestDiff]]*8))</f>
        <v>0</v>
      </c>
      <c r="N412" s="16">
        <f>MAX(-16, MIN(16, Games[[#This Row],[OppRestDiff]]*8))</f>
        <v>0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1655.2267852822245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1625.2417708471085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0.42288647104083521</v>
      </c>
      <c r="R412" s="1">
        <v>78</v>
      </c>
      <c r="S412" s="1">
        <v>89</v>
      </c>
      <c r="T412" s="1">
        <v>0</v>
      </c>
      <c r="U412" s="16">
        <f>Games[[#This Row],[PointsFor]]-Games[[#This Row],[PointsAgainst]]</f>
        <v>-11</v>
      </c>
      <c r="V412" s="16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0.42911349172132562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2" s="9">
        <f>MAX(kmin, kmax - 0.15 * MIN(Games[[#This Row],[GamesPlayed]], 82))</f>
        <v>70.75</v>
      </c>
      <c r="Z412" s="4">
        <f>Games[[#This Row],[K]]*Games[[#This Row],[POMult]]</f>
        <v>70.75</v>
      </c>
      <c r="AA412" s="4">
        <f>(Games[[#This Row],[Keff]]*Games[[#This Row],[MOVMult]])*(Games[[#This Row],[Result]]-Games[[#This Row],[ExpectedWin%]])</f>
        <v>-12.838740030945475</v>
      </c>
      <c r="AB412" s="4">
        <f>Games[[#This Row],[PreGmRate]]+Games[[#This Row],[RatingChange]]</f>
        <v>1642.388045251279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1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44784</v>
      </c>
      <c r="B413" s="2">
        <v>2022</v>
      </c>
      <c r="C413" s="2">
        <f>COUNTIFS(Games[Team],Games[[#This Row],[Team]],Games[Season],Games[[#This Row],[Season]],Games[Date],"&lt;=" &amp; Games[[#This Row],[Date]])</f>
        <v>35</v>
      </c>
      <c r="D413" s="2" t="s">
        <v>79</v>
      </c>
      <c r="E413" s="2" t="s">
        <v>80</v>
      </c>
      <c r="F413" s="1" t="s">
        <v>86</v>
      </c>
      <c r="G413" s="1" t="s">
        <v>75</v>
      </c>
      <c r="H413" s="1" t="s">
        <v>82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3" s="2">
        <f>Games[[#This Row],[DaysOff]]-Games[[#This Row],[OppDaysOff]]</f>
        <v>0</v>
      </c>
      <c r="L413" s="2">
        <f>Games[[#This Row],[OppDaysOff]]-Games[[#This Row],[DaysOff]]</f>
        <v>0</v>
      </c>
      <c r="M413" s="16">
        <f>MAX(-16, MIN(16, Games[[#This Row],[RestDiff]]*8))</f>
        <v>0</v>
      </c>
      <c r="N413" s="16">
        <f>MAX(-16, MIN(16, Games[[#This Row],[OppRestDiff]]*8))</f>
        <v>0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1625.2417708471085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1655.2267852822245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0.57711352895916479</v>
      </c>
      <c r="R413" s="1">
        <v>89</v>
      </c>
      <c r="S413" s="1">
        <v>78</v>
      </c>
      <c r="T413" s="1">
        <v>0</v>
      </c>
      <c r="U413" s="16">
        <f>Games[[#This Row],[PointsFor]]-Games[[#This Row],[PointsAgainst]]</f>
        <v>11</v>
      </c>
      <c r="V413" s="16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0.42911349172132562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3" s="9">
        <f>MAX(kmin, kmax - 0.15 * MIN(Games[[#This Row],[GamesPlayed]], 82))</f>
        <v>70.75</v>
      </c>
      <c r="Z413" s="4">
        <f>Games[[#This Row],[K]]*Games[[#This Row],[POMult]]</f>
        <v>70.75</v>
      </c>
      <c r="AA413" s="4">
        <f>(Games[[#This Row],[Keff]]*Games[[#This Row],[MOVMult]])*(Games[[#This Row],[Result]]-Games[[#This Row],[ExpectedWin%]])</f>
        <v>12.838740030945475</v>
      </c>
      <c r="AB413" s="4">
        <f>Games[[#This Row],[PreGmRate]]+Games[[#This Row],[RatingChange]]</f>
        <v>1638.0805108780539</v>
      </c>
      <c r="AC413" s="2">
        <f>IF(Games[[#This Row],[Type]]="R",IF(Games[[#This Row],[Result]]&gt;0.5,1,0),0)</f>
        <v>1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44785</v>
      </c>
      <c r="B414" s="2">
        <v>2022</v>
      </c>
      <c r="C414" s="2">
        <f>COUNTIFS(Games[Team],Games[[#This Row],[Team]],Games[Season],Games[[#This Row],[Season]],Games[Date],"&lt;=" &amp; Games[[#This Row],[Date]])</f>
        <v>35</v>
      </c>
      <c r="D414" s="2" t="s">
        <v>79</v>
      </c>
      <c r="E414" s="2" t="s">
        <v>80</v>
      </c>
      <c r="F414" s="1" t="s">
        <v>60</v>
      </c>
      <c r="G414" s="1" t="s">
        <v>77</v>
      </c>
      <c r="H414" s="1" t="s">
        <v>81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4" s="2">
        <f>Games[[#This Row],[DaysOff]]-Games[[#This Row],[OppDaysOff]]</f>
        <v>-1</v>
      </c>
      <c r="L414" s="2">
        <f>Games[[#This Row],[OppDaysOff]]-Games[[#This Row],[DaysOff]]</f>
        <v>1</v>
      </c>
      <c r="M414" s="16">
        <f>MAX(-16, MIN(16, Games[[#This Row],[RestDiff]]*8))</f>
        <v>-8</v>
      </c>
      <c r="N414" s="16">
        <f>MAX(-16, MIN(16, Games[[#This Row],[OppRestDiff]]*8))</f>
        <v>8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1454.7797461407224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1404.5325594113549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0.42888538144326682</v>
      </c>
      <c r="R414" s="1">
        <v>80</v>
      </c>
      <c r="S414" s="1">
        <v>70</v>
      </c>
      <c r="T414" s="1">
        <v>0</v>
      </c>
      <c r="U414" s="16">
        <f>Games[[#This Row],[PointsFor]]-Games[[#This Row],[PointsAgainst]]</f>
        <v>10</v>
      </c>
      <c r="V414" s="16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0.40612420054871207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4" s="9">
        <f>MAX(kmin, kmax - 0.15 * MIN(Games[[#This Row],[GamesPlayed]], 82))</f>
        <v>70.75</v>
      </c>
      <c r="Z414" s="4">
        <f>Games[[#This Row],[K]]*Games[[#This Row],[POMult]]</f>
        <v>70.75</v>
      </c>
      <c r="AA414" s="4">
        <f>(Games[[#This Row],[Keff]]*Games[[#This Row],[MOVMult]])*(Games[[#This Row],[Result]]-Games[[#This Row],[ExpectedWin%]])</f>
        <v>16.41000035272479</v>
      </c>
      <c r="AB414" s="4">
        <f>Games[[#This Row],[PreGmRate]]+Games[[#This Row],[RatingChange]]</f>
        <v>1471.1897464934473</v>
      </c>
      <c r="AC414" s="2">
        <f>IF(Games[[#This Row],[Type]]="R",IF(Games[[#This Row],[Result]]&gt;0.5,1,0),0)</f>
        <v>1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44785</v>
      </c>
      <c r="B415" s="2">
        <v>2022</v>
      </c>
      <c r="C415" s="2">
        <f>COUNTIFS(Games[Team],Games[[#This Row],[Team]],Games[Season],Games[[#This Row],[Season]],Games[Date],"&lt;=" &amp; Games[[#This Row],[Date]])</f>
        <v>35</v>
      </c>
      <c r="D415" s="2" t="s">
        <v>79</v>
      </c>
      <c r="E415" s="2" t="s">
        <v>80</v>
      </c>
      <c r="F415" s="1" t="s">
        <v>77</v>
      </c>
      <c r="G415" s="1" t="s">
        <v>60</v>
      </c>
      <c r="H415" s="1" t="s">
        <v>82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5" s="2">
        <f>Games[[#This Row],[DaysOff]]-Games[[#This Row],[OppDaysOff]]</f>
        <v>1</v>
      </c>
      <c r="L415" s="2">
        <f>Games[[#This Row],[OppDaysOff]]-Games[[#This Row],[DaysOff]]</f>
        <v>-1</v>
      </c>
      <c r="M415" s="16">
        <f>MAX(-16, MIN(16, Games[[#This Row],[RestDiff]]*8))</f>
        <v>8</v>
      </c>
      <c r="N415" s="16">
        <f>MAX(-16, MIN(16, Games[[#This Row],[OppRestDiff]]*8))</f>
        <v>-8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1404.5325594113549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1454.7797461407224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0.57111461855673318</v>
      </c>
      <c r="R415" s="1">
        <v>70</v>
      </c>
      <c r="S415" s="1">
        <v>80</v>
      </c>
      <c r="T415" s="1">
        <v>0</v>
      </c>
      <c r="U415" s="16">
        <f>Games[[#This Row],[PointsFor]]-Games[[#This Row],[PointsAgainst]]</f>
        <v>-10</v>
      </c>
      <c r="V415" s="16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0.40612420054871207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5" s="9">
        <f>MAX(kmin, kmax - 0.15 * MIN(Games[[#This Row],[GamesPlayed]], 82))</f>
        <v>70.75</v>
      </c>
      <c r="Z415" s="4">
        <f>Games[[#This Row],[K]]*Games[[#This Row],[POMult]]</f>
        <v>70.75</v>
      </c>
      <c r="AA415" s="4">
        <f>(Games[[#This Row],[Keff]]*Games[[#This Row],[MOVMult]])*(Games[[#This Row],[Result]]-Games[[#This Row],[ExpectedWin%]])</f>
        <v>-16.41000035272479</v>
      </c>
      <c r="AB415" s="4">
        <f>Games[[#This Row],[PreGmRate]]+Games[[#This Row],[RatingChange]]</f>
        <v>1388.12255905863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1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44785</v>
      </c>
      <c r="B416" s="2">
        <v>2022</v>
      </c>
      <c r="C416" s="2">
        <f>COUNTIFS(Games[Team],Games[[#This Row],[Team]],Games[Season],Games[[#This Row],[Season]],Games[Date],"&lt;=" &amp; Games[[#This Row],[Date]])</f>
        <v>35</v>
      </c>
      <c r="D416" s="2" t="s">
        <v>79</v>
      </c>
      <c r="E416" s="2" t="s">
        <v>80</v>
      </c>
      <c r="F416" s="1" t="s">
        <v>65</v>
      </c>
      <c r="G416" s="1" t="s">
        <v>69</v>
      </c>
      <c r="H416" s="1" t="s">
        <v>81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6" s="2">
        <f>Games[[#This Row],[DaysOff]]-Games[[#This Row],[OppDaysOff]]</f>
        <v>-1</v>
      </c>
      <c r="L416" s="2">
        <f>Games[[#This Row],[OppDaysOff]]-Games[[#This Row],[DaysOff]]</f>
        <v>1</v>
      </c>
      <c r="M416" s="16">
        <f>MAX(-16, MIN(16, Games[[#This Row],[RestDiff]]*8))</f>
        <v>-8</v>
      </c>
      <c r="N416" s="16">
        <f>MAX(-16, MIN(16, Games[[#This Row],[OppRestDiff]]*8))</f>
        <v>8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1559.7515230691331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1234.0020525151983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0.78575392177104919</v>
      </c>
      <c r="R416" s="1">
        <v>82</v>
      </c>
      <c r="S416" s="1">
        <v>70</v>
      </c>
      <c r="T416" s="1">
        <v>0</v>
      </c>
      <c r="U416" s="16">
        <f>Games[[#This Row],[PointsFor]]-Games[[#This Row],[PointsAgainst]]</f>
        <v>12</v>
      </c>
      <c r="V416" s="16">
        <f>IF(Games[[#This Row],[MOV]]&gt;0,1,IF(Games[[#This Row],[MOV]]=0,0.5,0))</f>
        <v>1</v>
      </c>
      <c r="W416" s="4">
        <f>((ABS(Games[[#This Row],[MOV]])+5)^0.6)/(12+0.01*(ABS(Games[[#This Row],[PreGmRate]]-Games[[#This Row],[OppPreGmRate]])))*IF(Games[[#This Row],[OT]]=1,0.9,1)</f>
        <v>0.35874522145049637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6" s="9">
        <f>MAX(kmin, kmax - 0.15 * MIN(Games[[#This Row],[GamesPlayed]], 82))</f>
        <v>70.75</v>
      </c>
      <c r="Z416" s="4">
        <f>Games[[#This Row],[K]]*Games[[#This Row],[POMult]]</f>
        <v>70.75</v>
      </c>
      <c r="AA416" s="4">
        <f>(Games[[#This Row],[Keff]]*Games[[#This Row],[MOVMult]])*(Games[[#This Row],[Result]]-Games[[#This Row],[ExpectedWin%]])</f>
        <v>5.4378277921245317</v>
      </c>
      <c r="AB416" s="4">
        <f>Games[[#This Row],[PreGmRate]]+Games[[#This Row],[RatingChange]]</f>
        <v>1565.1893508612577</v>
      </c>
      <c r="AC416" s="2">
        <f>IF(Games[[#This Row],[Type]]="R",IF(Games[[#This Row],[Result]]&gt;0.5,1,0),0)</f>
        <v>1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44785</v>
      </c>
      <c r="B417" s="2">
        <v>2022</v>
      </c>
      <c r="C417" s="2">
        <f>COUNTIFS(Games[Team],Games[[#This Row],[Team]],Games[Season],Games[[#This Row],[Season]],Games[Date],"&lt;=" &amp; Games[[#This Row],[Date]])</f>
        <v>35</v>
      </c>
      <c r="D417" s="2" t="s">
        <v>79</v>
      </c>
      <c r="E417" s="2" t="s">
        <v>80</v>
      </c>
      <c r="F417" s="1" t="s">
        <v>69</v>
      </c>
      <c r="G417" s="1" t="s">
        <v>65</v>
      </c>
      <c r="H417" s="1" t="s">
        <v>82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7" s="2">
        <f>Games[[#This Row],[DaysOff]]-Games[[#This Row],[OppDaysOff]]</f>
        <v>1</v>
      </c>
      <c r="L417" s="2">
        <f>Games[[#This Row],[OppDaysOff]]-Games[[#This Row],[DaysOff]]</f>
        <v>-1</v>
      </c>
      <c r="M417" s="16">
        <f>MAX(-16, MIN(16, Games[[#This Row],[RestDiff]]*8))</f>
        <v>8</v>
      </c>
      <c r="N417" s="16">
        <f>MAX(-16, MIN(16, Games[[#This Row],[OppRestDiff]]*8))</f>
        <v>-8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1234.0020525151983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1559.7515230691331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0.21424607822895084</v>
      </c>
      <c r="R417" s="1">
        <v>70</v>
      </c>
      <c r="S417" s="1">
        <v>82</v>
      </c>
      <c r="T417" s="1">
        <v>0</v>
      </c>
      <c r="U417" s="16">
        <f>Games[[#This Row],[PointsFor]]-Games[[#This Row],[PointsAgainst]]</f>
        <v>-12</v>
      </c>
      <c r="V417" s="16">
        <f>IF(Games[[#This Row],[MOV]]&gt;0,1,IF(Games[[#This Row],[MOV]]=0,0.5,0))</f>
        <v>0</v>
      </c>
      <c r="W417" s="4">
        <f>((ABS(Games[[#This Row],[MOV]])+5)^0.6)/(12+0.01*(ABS(Games[[#This Row],[PreGmRate]]-Games[[#This Row],[OppPreGmRate]])))*IF(Games[[#This Row],[OT]]=1,0.9,1)</f>
        <v>0.35874522145049637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7" s="9">
        <f>MAX(kmin, kmax - 0.15 * MIN(Games[[#This Row],[GamesPlayed]], 82))</f>
        <v>70.75</v>
      </c>
      <c r="Z417" s="4">
        <f>Games[[#This Row],[K]]*Games[[#This Row],[POMult]]</f>
        <v>70.75</v>
      </c>
      <c r="AA417" s="4">
        <f>(Games[[#This Row],[Keff]]*Games[[#This Row],[MOVMult]])*(Games[[#This Row],[Result]]-Games[[#This Row],[ExpectedWin%]])</f>
        <v>-5.4378277921245326</v>
      </c>
      <c r="AB417" s="4">
        <f>Games[[#This Row],[PreGmRate]]+Games[[#This Row],[RatingChange]]</f>
        <v>1228.5642247230737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1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44785</v>
      </c>
      <c r="B418" s="2">
        <v>2022</v>
      </c>
      <c r="C418" s="2">
        <f>COUNTIFS(Games[Team],Games[[#This Row],[Team]],Games[Season],Games[[#This Row],[Season]],Games[Date],"&lt;=" &amp; Games[[#This Row],[Date]])</f>
        <v>35</v>
      </c>
      <c r="D418" s="2" t="s">
        <v>79</v>
      </c>
      <c r="E418" s="2" t="s">
        <v>80</v>
      </c>
      <c r="F418" s="1" t="s">
        <v>71</v>
      </c>
      <c r="G418" s="1" t="s">
        <v>67</v>
      </c>
      <c r="H418" s="1" t="s">
        <v>81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1</v>
      </c>
      <c r="L418" s="2">
        <f>Games[[#This Row],[OppDaysOff]]-Games[[#This Row],[DaysOff]]</f>
        <v>-1</v>
      </c>
      <c r="M418" s="16">
        <f>MAX(-16, MIN(16, Games[[#This Row],[RestDiff]]*8))</f>
        <v>8</v>
      </c>
      <c r="N418" s="16">
        <f>MAX(-16, MIN(16, Games[[#This Row],[OppRestDiff]]*8))</f>
        <v>-8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1591.2792521563777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1509.3432834038767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0.52004472244160715</v>
      </c>
      <c r="R418" s="1">
        <v>96</v>
      </c>
      <c r="S418" s="1">
        <v>69</v>
      </c>
      <c r="T418" s="1">
        <v>0</v>
      </c>
      <c r="U418" s="16">
        <f>Games[[#This Row],[PointsFor]]-Games[[#This Row],[PointsAgainst]]</f>
        <v>27</v>
      </c>
      <c r="V418" s="16">
        <f>IF(Games[[#This Row],[MOV]]&gt;0,1,IF(Games[[#This Row],[MOV]]=0,0.5,0))</f>
        <v>1</v>
      </c>
      <c r="W418" s="4">
        <f>((ABS(Games[[#This Row],[MOV]])+5)^0.6)/(12+0.01*(ABS(Games[[#This Row],[PreGmRate]]-Games[[#This Row],[OppPreGmRate]])))*IF(Games[[#This Row],[OT]]=1,0.9,1)</f>
        <v>0.6240561303373906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8" s="9">
        <f>MAX(kmin, kmax - 0.15 * MIN(Games[[#This Row],[GamesPlayed]], 82))</f>
        <v>70.75</v>
      </c>
      <c r="Z418" s="4">
        <f>Games[[#This Row],[K]]*Games[[#This Row],[POMult]]</f>
        <v>70.75</v>
      </c>
      <c r="AA418" s="4">
        <f>(Games[[#This Row],[Keff]]*Games[[#This Row],[MOVMult]])*(Games[[#This Row],[Result]]-Games[[#This Row],[ExpectedWin%]])</f>
        <v>21.190971602302998</v>
      </c>
      <c r="AB418" s="4">
        <f>Games[[#This Row],[PreGmRate]]+Games[[#This Row],[RatingChange]]</f>
        <v>1612.4702237586807</v>
      </c>
      <c r="AC418" s="2">
        <f>IF(Games[[#This Row],[Type]]="R",IF(Games[[#This Row],[Result]]&gt;0.5,1,0),0)</f>
        <v>1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44785</v>
      </c>
      <c r="B419" s="2">
        <v>2022</v>
      </c>
      <c r="C419" s="2">
        <f>COUNTIFS(Games[Team],Games[[#This Row],[Team]],Games[Season],Games[[#This Row],[Season]],Games[Date],"&lt;=" &amp; Games[[#This Row],[Date]])</f>
        <v>35</v>
      </c>
      <c r="D419" s="2" t="s">
        <v>79</v>
      </c>
      <c r="E419" s="2" t="s">
        <v>80</v>
      </c>
      <c r="F419" s="1" t="s">
        <v>67</v>
      </c>
      <c r="G419" s="1" t="s">
        <v>71</v>
      </c>
      <c r="H419" s="1" t="s">
        <v>82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9" s="2">
        <f>Games[[#This Row],[DaysOff]]-Games[[#This Row],[OppDaysOff]]</f>
        <v>-1</v>
      </c>
      <c r="L419" s="2">
        <f>Games[[#This Row],[OppDaysOff]]-Games[[#This Row],[DaysOff]]</f>
        <v>1</v>
      </c>
      <c r="M419" s="16">
        <f>MAX(-16, MIN(16, Games[[#This Row],[RestDiff]]*8))</f>
        <v>-8</v>
      </c>
      <c r="N419" s="16">
        <f>MAX(-16, MIN(16, Games[[#This Row],[OppRestDiff]]*8))</f>
        <v>8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1509.3432834038767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1591.2792521563777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0.4799552775583929</v>
      </c>
      <c r="R419" s="1">
        <v>69</v>
      </c>
      <c r="S419" s="1">
        <v>96</v>
      </c>
      <c r="T419" s="1">
        <v>0</v>
      </c>
      <c r="U419" s="16">
        <f>Games[[#This Row],[PointsFor]]-Games[[#This Row],[PointsAgainst]]</f>
        <v>-27</v>
      </c>
      <c r="V419" s="16">
        <f>IF(Games[[#This Row],[MOV]]&gt;0,1,IF(Games[[#This Row],[MOV]]=0,0.5,0))</f>
        <v>0</v>
      </c>
      <c r="W419" s="4">
        <f>((ABS(Games[[#This Row],[MOV]])+5)^0.6)/(12+0.01*(ABS(Games[[#This Row],[PreGmRate]]-Games[[#This Row],[OppPreGmRate]])))*IF(Games[[#This Row],[OT]]=1,0.9,1)</f>
        <v>0.6240561303373906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9" s="9">
        <f>MAX(kmin, kmax - 0.15 * MIN(Games[[#This Row],[GamesPlayed]], 82))</f>
        <v>70.75</v>
      </c>
      <c r="Z419" s="4">
        <f>Games[[#This Row],[K]]*Games[[#This Row],[POMult]]</f>
        <v>70.75</v>
      </c>
      <c r="AA419" s="4">
        <f>(Games[[#This Row],[Keff]]*Games[[#This Row],[MOVMult]])*(Games[[#This Row],[Result]]-Games[[#This Row],[ExpectedWin%]])</f>
        <v>-21.190971602303001</v>
      </c>
      <c r="AB419" s="4">
        <f>Games[[#This Row],[PreGmRate]]+Games[[#This Row],[RatingChange]]</f>
        <v>1488.1523118015737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1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44785</v>
      </c>
      <c r="B420" s="2">
        <v>2022</v>
      </c>
      <c r="C420" s="2">
        <f>COUNTIFS(Games[Team],Games[[#This Row],[Team]],Games[Season],Games[[#This Row],[Season]],Games[Date],"&lt;=" &amp; Games[[#This Row],[Date]])</f>
        <v>35</v>
      </c>
      <c r="D420" s="2" t="s">
        <v>79</v>
      </c>
      <c r="E420" s="2" t="s">
        <v>80</v>
      </c>
      <c r="F420" s="1" t="s">
        <v>85</v>
      </c>
      <c r="G420" s="1" t="s">
        <v>40</v>
      </c>
      <c r="H420" s="1" t="s">
        <v>81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6">
        <f>MAX(-16, MIN(16, Games[[#This Row],[RestDiff]]*8))</f>
        <v>0</v>
      </c>
      <c r="N420" s="16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1484.317558190924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1446.5340967283107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0.43387859745858454</v>
      </c>
      <c r="R420" s="1">
        <v>74</v>
      </c>
      <c r="S420" s="1">
        <v>86</v>
      </c>
      <c r="T420" s="1">
        <v>0</v>
      </c>
      <c r="U420" s="16">
        <f>Games[[#This Row],[PointsFor]]-Games[[#This Row],[PointsAgainst]]</f>
        <v>-12</v>
      </c>
      <c r="V420" s="16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0.44220604712642742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0" s="9">
        <f>MAX(kmin, kmax - 0.15 * MIN(Games[[#This Row],[GamesPlayed]], 82))</f>
        <v>70.75</v>
      </c>
      <c r="Z420" s="4">
        <f>Games[[#This Row],[K]]*Games[[#This Row],[POMult]]</f>
        <v>70.75</v>
      </c>
      <c r="AA420" s="4">
        <f>(Games[[#This Row],[Keff]]*Games[[#This Row],[MOVMult]])*(Games[[#This Row],[Result]]-Games[[#This Row],[ExpectedWin%]])</f>
        <v>-13.574359570680523</v>
      </c>
      <c r="AB420" s="4">
        <f>Games[[#This Row],[PreGmRate]]+Games[[#This Row],[RatingChange]]</f>
        <v>1470.7431986202434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1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44785</v>
      </c>
      <c r="B421" s="2">
        <v>2022</v>
      </c>
      <c r="C421" s="2">
        <f>COUNTIFS(Games[Team],Games[[#This Row],[Team]],Games[Season],Games[[#This Row],[Season]],Games[Date],"&lt;=" &amp; Games[[#This Row],[Date]])</f>
        <v>35</v>
      </c>
      <c r="D421" s="2" t="s">
        <v>79</v>
      </c>
      <c r="E421" s="2" t="s">
        <v>80</v>
      </c>
      <c r="F421" s="1" t="s">
        <v>40</v>
      </c>
      <c r="G421" s="1" t="s">
        <v>85</v>
      </c>
      <c r="H421" s="1" t="s">
        <v>82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6">
        <f>MAX(-16, MIN(16, Games[[#This Row],[RestDiff]]*8))</f>
        <v>0</v>
      </c>
      <c r="N421" s="16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1446.5340967283107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1484.317558190924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0.56612140254141552</v>
      </c>
      <c r="R421" s="1">
        <v>86</v>
      </c>
      <c r="S421" s="1">
        <v>74</v>
      </c>
      <c r="T421" s="1">
        <v>0</v>
      </c>
      <c r="U421" s="16">
        <f>Games[[#This Row],[PointsFor]]-Games[[#This Row],[PointsAgainst]]</f>
        <v>12</v>
      </c>
      <c r="V421" s="16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0.44220604712642742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1" s="9">
        <f>MAX(kmin, kmax - 0.15 * MIN(Games[[#This Row],[GamesPlayed]], 82))</f>
        <v>70.75</v>
      </c>
      <c r="Z421" s="4">
        <f>Games[[#This Row],[K]]*Games[[#This Row],[POMult]]</f>
        <v>70.75</v>
      </c>
      <c r="AA421" s="4">
        <f>(Games[[#This Row],[Keff]]*Games[[#This Row],[MOVMult]])*(Games[[#This Row],[Result]]-Games[[#This Row],[ExpectedWin%]])</f>
        <v>13.574359570680521</v>
      </c>
      <c r="AB421" s="4">
        <f>Games[[#This Row],[PreGmRate]]+Games[[#This Row],[RatingChange]]</f>
        <v>1460.1084562989913</v>
      </c>
      <c r="AC421" s="2">
        <f>IF(Games[[#This Row],[Type]]="R",IF(Games[[#This Row],[Result]]&gt;0.5,1,0),0)</f>
        <v>1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44787</v>
      </c>
      <c r="B422" s="2">
        <v>2022</v>
      </c>
      <c r="C422" s="2">
        <f>COUNTIFS(Games[Team],Games[[#This Row],[Team]],Games[Season],Games[[#This Row],[Season]],Games[Date],"&lt;=" &amp; Games[[#This Row],[Date]])</f>
        <v>36</v>
      </c>
      <c r="D422" s="2" t="s">
        <v>79</v>
      </c>
      <c r="E422" s="2" t="s">
        <v>80</v>
      </c>
      <c r="F422" s="1" t="s">
        <v>67</v>
      </c>
      <c r="G422" s="1" t="s">
        <v>74</v>
      </c>
      <c r="H422" s="1" t="s">
        <v>81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2" s="2">
        <f>Games[[#This Row],[DaysOff]]-Games[[#This Row],[OppDaysOff]]</f>
        <v>-1</v>
      </c>
      <c r="L422" s="2">
        <f>Games[[#This Row],[OppDaysOff]]-Games[[#This Row],[DaysOff]]</f>
        <v>1</v>
      </c>
      <c r="M422" s="16">
        <f>MAX(-16, MIN(16, Games[[#This Row],[RestDiff]]*8))</f>
        <v>-8</v>
      </c>
      <c r="N422" s="16">
        <f>MAX(-16, MIN(16, Games[[#This Row],[OppRestDiff]]*8))</f>
        <v>8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1488.1523118015737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1658.5240591133343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0.17416600432528312</v>
      </c>
      <c r="R422" s="1">
        <v>83</v>
      </c>
      <c r="S422" s="1">
        <v>90</v>
      </c>
      <c r="T422" s="1">
        <v>0</v>
      </c>
      <c r="U422" s="16">
        <f>Games[[#This Row],[PointsFor]]-Games[[#This Row],[PointsAgainst]]</f>
        <v>-7</v>
      </c>
      <c r="V422" s="16">
        <f>IF(Games[[#This Row],[MOV]]&gt;0,1,IF(Games[[#This Row],[MOV]]=0,0.5,0))</f>
        <v>0</v>
      </c>
      <c r="W422" s="4">
        <f>((ABS(Games[[#This Row],[MOV]])+5)^0.6)/(12+0.01*(ABS(Games[[#This Row],[PreGmRate]]-Games[[#This Row],[OppPreGmRate]])))*IF(Games[[#This Row],[OT]]=1,0.9,1)</f>
        <v>0.3240935226925285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2" s="9">
        <f>MAX(kmin, kmax - 0.15 * MIN(Games[[#This Row],[GamesPlayed]], 82))</f>
        <v>70.599999999999994</v>
      </c>
      <c r="Z422" s="4">
        <f>Games[[#This Row],[K]]*Games[[#This Row],[POMult]]</f>
        <v>70.599999999999994</v>
      </c>
      <c r="AA422" s="4">
        <f>(Games[[#This Row],[Keff]]*Games[[#This Row],[MOVMult]])*(Games[[#This Row],[Result]]-Games[[#This Row],[ExpectedWin%]])</f>
        <v>-3.9850928155794585</v>
      </c>
      <c r="AB422" s="4">
        <f>Games[[#This Row],[PreGmRate]]+Games[[#This Row],[RatingChange]]</f>
        <v>1484.1672189859942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1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44787</v>
      </c>
      <c r="B423" s="2">
        <v>2022</v>
      </c>
      <c r="C423" s="2">
        <f>COUNTIFS(Games[Team],Games[[#This Row],[Team]],Games[Season],Games[[#This Row],[Season]],Games[Date],"&lt;=" &amp; Games[[#This Row],[Date]])</f>
        <v>36</v>
      </c>
      <c r="D423" s="2" t="s">
        <v>79</v>
      </c>
      <c r="E423" s="2" t="s">
        <v>80</v>
      </c>
      <c r="F423" s="1" t="s">
        <v>74</v>
      </c>
      <c r="G423" s="1" t="s">
        <v>67</v>
      </c>
      <c r="H423" s="1" t="s">
        <v>82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1</v>
      </c>
      <c r="L423" s="2">
        <f>Games[[#This Row],[OppDaysOff]]-Games[[#This Row],[DaysOff]]</f>
        <v>-1</v>
      </c>
      <c r="M423" s="16">
        <f>MAX(-16, MIN(16, Games[[#This Row],[RestDiff]]*8))</f>
        <v>8</v>
      </c>
      <c r="N423" s="16">
        <f>MAX(-16, MIN(16, Games[[#This Row],[OppRestDiff]]*8))</f>
        <v>-8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1658.5240591133343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1488.1523118015737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0.82583399567471694</v>
      </c>
      <c r="R423" s="1">
        <v>90</v>
      </c>
      <c r="S423" s="1">
        <v>83</v>
      </c>
      <c r="T423" s="1">
        <v>0</v>
      </c>
      <c r="U423" s="16">
        <f>Games[[#This Row],[PointsFor]]-Games[[#This Row],[PointsAgainst]]</f>
        <v>7</v>
      </c>
      <c r="V423" s="16">
        <f>IF(Games[[#This Row],[MOV]]&gt;0,1,IF(Games[[#This Row],[MOV]]=0,0.5,0))</f>
        <v>1</v>
      </c>
      <c r="W423" s="4">
        <f>((ABS(Games[[#This Row],[MOV]])+5)^0.6)/(12+0.01*(ABS(Games[[#This Row],[PreGmRate]]-Games[[#This Row],[OppPreGmRate]])))*IF(Games[[#This Row],[OT]]=1,0.9,1)</f>
        <v>0.3240935226925285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3" s="9">
        <f>MAX(kmin, kmax - 0.15 * MIN(Games[[#This Row],[GamesPlayed]], 82))</f>
        <v>70.599999999999994</v>
      </c>
      <c r="Z423" s="4">
        <f>Games[[#This Row],[K]]*Games[[#This Row],[POMult]]</f>
        <v>70.599999999999994</v>
      </c>
      <c r="AA423" s="4">
        <f>(Games[[#This Row],[Keff]]*Games[[#This Row],[MOVMult]])*(Games[[#This Row],[Result]]-Games[[#This Row],[ExpectedWin%]])</f>
        <v>3.9850928155794576</v>
      </c>
      <c r="AB423" s="4">
        <f>Games[[#This Row],[PreGmRate]]+Games[[#This Row],[RatingChange]]</f>
        <v>1662.5091519289138</v>
      </c>
      <c r="AC423" s="2">
        <f>IF(Games[[#This Row],[Type]]="R",IF(Games[[#This Row],[Result]]&gt;0.5,1,0),0)</f>
        <v>1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44787</v>
      </c>
      <c r="B424" s="2">
        <v>2022</v>
      </c>
      <c r="C424" s="2">
        <f>COUNTIFS(Games[Team],Games[[#This Row],[Team]],Games[Season],Games[[#This Row],[Season]],Games[Date],"&lt;=" &amp; Games[[#This Row],[Date]])</f>
        <v>36</v>
      </c>
      <c r="D424" s="2" t="s">
        <v>79</v>
      </c>
      <c r="E424" s="2" t="s">
        <v>80</v>
      </c>
      <c r="F424" s="1" t="s">
        <v>85</v>
      </c>
      <c r="G424" s="1" t="s">
        <v>63</v>
      </c>
      <c r="H424" s="1" t="s">
        <v>81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4" s="2">
        <f>Games[[#This Row],[DaysOff]]-Games[[#This Row],[OppDaysOff]]</f>
        <v>-1</v>
      </c>
      <c r="L424" s="2">
        <f>Games[[#This Row],[OppDaysOff]]-Games[[#This Row],[DaysOff]]</f>
        <v>1</v>
      </c>
      <c r="M424" s="16">
        <f>MAX(-16, MIN(16, Games[[#This Row],[RestDiff]]*8))</f>
        <v>-8</v>
      </c>
      <c r="N424" s="16">
        <f>MAX(-16, MIN(16, Games[[#This Row],[OppRestDiff]]*8))</f>
        <v>8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1470.7431986202434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1377.1862903827198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0.49072870839076282</v>
      </c>
      <c r="R424" s="1">
        <v>116</v>
      </c>
      <c r="S424" s="1">
        <v>88</v>
      </c>
      <c r="T424" s="1">
        <v>0</v>
      </c>
      <c r="U424" s="16">
        <f>Games[[#This Row],[PointsFor]]-Games[[#This Row],[PointsAgainst]]</f>
        <v>28</v>
      </c>
      <c r="V424" s="16">
        <f>IF(Games[[#This Row],[MOV]]&gt;0,1,IF(Games[[#This Row],[MOV]]=0,0.5,0))</f>
        <v>1</v>
      </c>
      <c r="W424" s="4">
        <f>((ABS(Games[[#This Row],[MOV]])+5)^0.6)/(12+0.01*(ABS(Games[[#This Row],[PreGmRate]]-Games[[#This Row],[OppPreGmRate]])))*IF(Games[[#This Row],[OT]]=1,0.9,1)</f>
        <v>0.62997428786925014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4" s="9">
        <f>MAX(kmin, kmax - 0.15 * MIN(Games[[#This Row],[GamesPlayed]], 82))</f>
        <v>70.599999999999994</v>
      </c>
      <c r="Z424" s="4">
        <f>Games[[#This Row],[K]]*Games[[#This Row],[POMult]]</f>
        <v>70.599999999999994</v>
      </c>
      <c r="AA424" s="4">
        <f>(Games[[#This Row],[Keff]]*Games[[#This Row],[MOVMult]])*(Games[[#This Row],[Result]]-Games[[#This Row],[ExpectedWin%]])</f>
        <v>22.650444040023039</v>
      </c>
      <c r="AB424" s="4">
        <f>Games[[#This Row],[PreGmRate]]+Games[[#This Row],[RatingChange]]</f>
        <v>1493.3936426602666</v>
      </c>
      <c r="AC424" s="2">
        <f>IF(Games[[#This Row],[Type]]="R",IF(Games[[#This Row],[Result]]&gt;0.5,1,0),0)</f>
        <v>1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44787</v>
      </c>
      <c r="B425" s="2">
        <v>2022</v>
      </c>
      <c r="C425" s="2">
        <f>COUNTIFS(Games[Team],Games[[#This Row],[Team]],Games[Season],Games[[#This Row],[Season]],Games[Date],"&lt;=" &amp; Games[[#This Row],[Date]])</f>
        <v>36</v>
      </c>
      <c r="D425" s="2" t="s">
        <v>79</v>
      </c>
      <c r="E425" s="2" t="s">
        <v>80</v>
      </c>
      <c r="F425" s="1" t="s">
        <v>63</v>
      </c>
      <c r="G425" s="1" t="s">
        <v>85</v>
      </c>
      <c r="H425" s="1" t="s">
        <v>82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1</v>
      </c>
      <c r="L425" s="2">
        <f>Games[[#This Row],[OppDaysOff]]-Games[[#This Row],[DaysOff]]</f>
        <v>-1</v>
      </c>
      <c r="M425" s="16">
        <f>MAX(-16, MIN(16, Games[[#This Row],[RestDiff]]*8))</f>
        <v>8</v>
      </c>
      <c r="N425" s="16">
        <f>MAX(-16, MIN(16, Games[[#This Row],[OppRestDiff]]*8))</f>
        <v>-8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1377.1862903827198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1470.7431986202434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0.50927129160923723</v>
      </c>
      <c r="R425" s="1">
        <v>88</v>
      </c>
      <c r="S425" s="1">
        <v>116</v>
      </c>
      <c r="T425" s="1">
        <v>0</v>
      </c>
      <c r="U425" s="16">
        <f>Games[[#This Row],[PointsFor]]-Games[[#This Row],[PointsAgainst]]</f>
        <v>-28</v>
      </c>
      <c r="V425" s="16">
        <f>IF(Games[[#This Row],[MOV]]&gt;0,1,IF(Games[[#This Row],[MOV]]=0,0.5,0))</f>
        <v>0</v>
      </c>
      <c r="W425" s="4">
        <f>((ABS(Games[[#This Row],[MOV]])+5)^0.6)/(12+0.01*(ABS(Games[[#This Row],[PreGmRate]]-Games[[#This Row],[OppPreGmRate]])))*IF(Games[[#This Row],[OT]]=1,0.9,1)</f>
        <v>0.62997428786925014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5" s="9">
        <f>MAX(kmin, kmax - 0.15 * MIN(Games[[#This Row],[GamesPlayed]], 82))</f>
        <v>70.599999999999994</v>
      </c>
      <c r="Z425" s="4">
        <f>Games[[#This Row],[K]]*Games[[#This Row],[POMult]]</f>
        <v>70.599999999999994</v>
      </c>
      <c r="AA425" s="4">
        <f>(Games[[#This Row],[Keff]]*Games[[#This Row],[MOVMult]])*(Games[[#This Row],[Result]]-Games[[#This Row],[ExpectedWin%]])</f>
        <v>-22.650444040023039</v>
      </c>
      <c r="AB425" s="4">
        <f>Games[[#This Row],[PreGmRate]]+Games[[#This Row],[RatingChange]]</f>
        <v>1354.5358463426967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1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44787</v>
      </c>
      <c r="B426" s="2">
        <v>2022</v>
      </c>
      <c r="C426" s="2">
        <f>COUNTIFS(Games[Team],Games[[#This Row],[Team]],Games[Season],Games[[#This Row],[Season]],Games[Date],"&lt;=" &amp; Games[[#This Row],[Date]])</f>
        <v>36</v>
      </c>
      <c r="D426" s="2" t="s">
        <v>79</v>
      </c>
      <c r="E426" s="2" t="s">
        <v>80</v>
      </c>
      <c r="F426" s="1" t="s">
        <v>71</v>
      </c>
      <c r="G426" s="1" t="s">
        <v>86</v>
      </c>
      <c r="H426" s="1" t="s">
        <v>81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6" s="2">
        <f>Games[[#This Row],[DaysOff]]-Games[[#This Row],[OppDaysOff]]</f>
        <v>-1</v>
      </c>
      <c r="L426" s="2">
        <f>Games[[#This Row],[OppDaysOff]]-Games[[#This Row],[DaysOff]]</f>
        <v>1</v>
      </c>
      <c r="M426" s="16">
        <f>MAX(-16, MIN(16, Games[[#This Row],[RestDiff]]*8))</f>
        <v>-8</v>
      </c>
      <c r="N426" s="16">
        <f>MAX(-16, MIN(16, Games[[#This Row],[OppRestDiff]]*8))</f>
        <v>8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1612.4702237586807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1638.0805108780539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0.32671710054494996</v>
      </c>
      <c r="R426" s="1">
        <v>100</v>
      </c>
      <c r="S426" s="1">
        <v>109</v>
      </c>
      <c r="T426" s="1">
        <v>0</v>
      </c>
      <c r="U426" s="16">
        <f>Games[[#This Row],[PointsFor]]-Games[[#This Row],[PointsAgainst]]</f>
        <v>-9</v>
      </c>
      <c r="V426" s="16">
        <f>IF(Games[[#This Row],[MOV]]&gt;0,1,IF(Games[[#This Row],[MOV]]=0,0.5,0))</f>
        <v>0</v>
      </c>
      <c r="W426" s="4">
        <f>((ABS(Games[[#This Row],[MOV]])+5)^0.6)/(12+0.01*(ABS(Games[[#This Row],[PreGmRate]]-Games[[#This Row],[OppPreGmRate]])))*IF(Games[[#This Row],[OT]]=1,0.9,1)</f>
        <v>0.39748836779243019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6" s="9">
        <f>MAX(kmin, kmax - 0.15 * MIN(Games[[#This Row],[GamesPlayed]], 82))</f>
        <v>70.599999999999994</v>
      </c>
      <c r="Z426" s="4">
        <f>Games[[#This Row],[K]]*Games[[#This Row],[POMult]]</f>
        <v>70.599999999999994</v>
      </c>
      <c r="AA426" s="4">
        <f>(Games[[#This Row],[Keff]]*Games[[#This Row],[MOVMult]])*(Games[[#This Row],[Result]]-Games[[#This Row],[ExpectedWin%]])</f>
        <v>-9.1685570399994152</v>
      </c>
      <c r="AB426" s="4">
        <f>Games[[#This Row],[PreGmRate]]+Games[[#This Row],[RatingChange]]</f>
        <v>1603.3016667186814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1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44787</v>
      </c>
      <c r="B427" s="2">
        <v>2022</v>
      </c>
      <c r="C427" s="2">
        <f>COUNTIFS(Games[Team],Games[[#This Row],[Team]],Games[Season],Games[[#This Row],[Season]],Games[Date],"&lt;=" &amp; Games[[#This Row],[Date]])</f>
        <v>36</v>
      </c>
      <c r="D427" s="2" t="s">
        <v>79</v>
      </c>
      <c r="E427" s="2" t="s">
        <v>80</v>
      </c>
      <c r="F427" s="1" t="s">
        <v>86</v>
      </c>
      <c r="G427" s="1" t="s">
        <v>71</v>
      </c>
      <c r="H427" s="1" t="s">
        <v>82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7" s="2">
        <f>Games[[#This Row],[DaysOff]]-Games[[#This Row],[OppDaysOff]]</f>
        <v>1</v>
      </c>
      <c r="L427" s="2">
        <f>Games[[#This Row],[OppDaysOff]]-Games[[#This Row],[DaysOff]]</f>
        <v>-1</v>
      </c>
      <c r="M427" s="16">
        <f>MAX(-16, MIN(16, Games[[#This Row],[RestDiff]]*8))</f>
        <v>8</v>
      </c>
      <c r="N427" s="16">
        <f>MAX(-16, MIN(16, Games[[#This Row],[OppRestDiff]]*8))</f>
        <v>-8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1638.0805108780539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1612.4702237586807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0.67328289945505004</v>
      </c>
      <c r="R427" s="1">
        <v>109</v>
      </c>
      <c r="S427" s="1">
        <v>100</v>
      </c>
      <c r="T427" s="1">
        <v>0</v>
      </c>
      <c r="U427" s="16">
        <f>Games[[#This Row],[PointsFor]]-Games[[#This Row],[PointsAgainst]]</f>
        <v>9</v>
      </c>
      <c r="V427" s="16">
        <f>IF(Games[[#This Row],[MOV]]&gt;0,1,IF(Games[[#This Row],[MOV]]=0,0.5,0))</f>
        <v>1</v>
      </c>
      <c r="W427" s="4">
        <f>((ABS(Games[[#This Row],[MOV]])+5)^0.6)/(12+0.01*(ABS(Games[[#This Row],[PreGmRate]]-Games[[#This Row],[OppPreGmRate]])))*IF(Games[[#This Row],[OT]]=1,0.9,1)</f>
        <v>0.39748836779243019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7" s="9">
        <f>MAX(kmin, kmax - 0.15 * MIN(Games[[#This Row],[GamesPlayed]], 82))</f>
        <v>70.599999999999994</v>
      </c>
      <c r="Z427" s="4">
        <f>Games[[#This Row],[K]]*Games[[#This Row],[POMult]]</f>
        <v>70.599999999999994</v>
      </c>
      <c r="AA427" s="4">
        <f>(Games[[#This Row],[Keff]]*Games[[#This Row],[MOVMult]])*(Games[[#This Row],[Result]]-Games[[#This Row],[ExpectedWin%]])</f>
        <v>9.1685570399994152</v>
      </c>
      <c r="AB427" s="4">
        <f>Games[[#This Row],[PreGmRate]]+Games[[#This Row],[RatingChange]]</f>
        <v>1647.2490679180532</v>
      </c>
      <c r="AC427" s="2">
        <f>IF(Games[[#This Row],[Type]]="R",IF(Games[[#This Row],[Result]]&gt;0.5,1,0),0)</f>
        <v>1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44787</v>
      </c>
      <c r="B428" s="2">
        <v>2022</v>
      </c>
      <c r="C428" s="2">
        <f>COUNTIFS(Games[Team],Games[[#This Row],[Team]],Games[Season],Games[[#This Row],[Season]],Games[Date],"&lt;=" &amp; Games[[#This Row],[Date]])</f>
        <v>36</v>
      </c>
      <c r="D428" s="2" t="s">
        <v>79</v>
      </c>
      <c r="E428" s="2" t="s">
        <v>80</v>
      </c>
      <c r="F428" s="1" t="s">
        <v>77</v>
      </c>
      <c r="G428" s="1" t="s">
        <v>60</v>
      </c>
      <c r="H428" s="1" t="s">
        <v>81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6">
        <f>MAX(-16, MIN(16, Games[[#This Row],[RestDiff]]*8))</f>
        <v>0</v>
      </c>
      <c r="N428" s="16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1388.12255905863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1471.1897464934473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0.27653474700620612</v>
      </c>
      <c r="R428" s="1">
        <v>83</v>
      </c>
      <c r="S428" s="1">
        <v>87</v>
      </c>
      <c r="T428" s="1">
        <v>0</v>
      </c>
      <c r="U428" s="16">
        <f>Games[[#This Row],[PointsFor]]-Games[[#This Row],[PointsAgainst]]</f>
        <v>-4</v>
      </c>
      <c r="V428" s="16">
        <f>IF(Games[[#This Row],[MOV]]&gt;0,1,IF(Games[[#This Row],[MOV]]=0,0.5,0))</f>
        <v>0</v>
      </c>
      <c r="W428" s="4">
        <f>((ABS(Games[[#This Row],[MOV]])+5)^0.6)/(12+0.01*(ABS(Games[[#This Row],[PreGmRate]]-Games[[#This Row],[OppPreGmRate]])))*IF(Games[[#This Row],[OT]]=1,0.9,1)</f>
        <v>0.29127023552976722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8" s="9">
        <f>MAX(kmin, kmax - 0.15 * MIN(Games[[#This Row],[GamesPlayed]], 82))</f>
        <v>70.599999999999994</v>
      </c>
      <c r="Z428" s="4">
        <f>Games[[#This Row],[K]]*Games[[#This Row],[POMult]]</f>
        <v>70.599999999999994</v>
      </c>
      <c r="AA428" s="4">
        <f>(Games[[#This Row],[Keff]]*Games[[#This Row],[MOVMult]])*(Games[[#This Row],[Result]]-Games[[#This Row],[ExpectedWin%]])</f>
        <v>-5.6865716670219539</v>
      </c>
      <c r="AB428" s="4">
        <f>Games[[#This Row],[PreGmRate]]+Games[[#This Row],[RatingChange]]</f>
        <v>1382.435987391608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1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44787</v>
      </c>
      <c r="B429" s="2">
        <v>2022</v>
      </c>
      <c r="C429" s="2">
        <f>COUNTIFS(Games[Team],Games[[#This Row],[Team]],Games[Season],Games[[#This Row],[Season]],Games[Date],"&lt;=" &amp; Games[[#This Row],[Date]])</f>
        <v>36</v>
      </c>
      <c r="D429" s="2" t="s">
        <v>79</v>
      </c>
      <c r="E429" s="2" t="s">
        <v>80</v>
      </c>
      <c r="F429" s="1" t="s">
        <v>60</v>
      </c>
      <c r="G429" s="1" t="s">
        <v>77</v>
      </c>
      <c r="H429" s="1" t="s">
        <v>82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6">
        <f>MAX(-16, MIN(16, Games[[#This Row],[RestDiff]]*8))</f>
        <v>0</v>
      </c>
      <c r="N429" s="16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1471.1897464934473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1388.12255905863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0.72346525299379383</v>
      </c>
      <c r="R429" s="1">
        <v>87</v>
      </c>
      <c r="S429" s="1">
        <v>83</v>
      </c>
      <c r="T429" s="1">
        <v>0</v>
      </c>
      <c r="U429" s="16">
        <f>Games[[#This Row],[PointsFor]]-Games[[#This Row],[PointsAgainst]]</f>
        <v>4</v>
      </c>
      <c r="V429" s="16">
        <f>IF(Games[[#This Row],[MOV]]&gt;0,1,IF(Games[[#This Row],[MOV]]=0,0.5,0))</f>
        <v>1</v>
      </c>
      <c r="W429" s="4">
        <f>((ABS(Games[[#This Row],[MOV]])+5)^0.6)/(12+0.01*(ABS(Games[[#This Row],[PreGmRate]]-Games[[#This Row],[OppPreGmRate]])))*IF(Games[[#This Row],[OT]]=1,0.9,1)</f>
        <v>0.29127023552976722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9" s="9">
        <f>MAX(kmin, kmax - 0.15 * MIN(Games[[#This Row],[GamesPlayed]], 82))</f>
        <v>70.599999999999994</v>
      </c>
      <c r="Z429" s="4">
        <f>Games[[#This Row],[K]]*Games[[#This Row],[POMult]]</f>
        <v>70.599999999999994</v>
      </c>
      <c r="AA429" s="4">
        <f>(Games[[#This Row],[Keff]]*Games[[#This Row],[MOVMult]])*(Games[[#This Row],[Result]]-Games[[#This Row],[ExpectedWin%]])</f>
        <v>5.6865716670219557</v>
      </c>
      <c r="AB429" s="4">
        <f>Games[[#This Row],[PreGmRate]]+Games[[#This Row],[RatingChange]]</f>
        <v>1476.8763181604693</v>
      </c>
      <c r="AC429" s="2">
        <f>IF(Games[[#This Row],[Type]]="R",IF(Games[[#This Row],[Result]]&gt;0.5,1,0),0)</f>
        <v>1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44787</v>
      </c>
      <c r="B430" s="2">
        <v>2022</v>
      </c>
      <c r="C430" s="2">
        <f>COUNTIFS(Games[Team],Games[[#This Row],[Team]],Games[Season],Games[[#This Row],[Season]],Games[Date],"&lt;=" &amp; Games[[#This Row],[Date]])</f>
        <v>36</v>
      </c>
      <c r="D430" s="2" t="s">
        <v>79</v>
      </c>
      <c r="E430" s="2" t="s">
        <v>80</v>
      </c>
      <c r="F430" s="1" t="s">
        <v>75</v>
      </c>
      <c r="G430" s="1" t="s">
        <v>40</v>
      </c>
      <c r="H430" s="1" t="s">
        <v>81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1</v>
      </c>
      <c r="L430" s="2">
        <f>Games[[#This Row],[OppDaysOff]]-Games[[#This Row],[DaysOff]]</f>
        <v>-1</v>
      </c>
      <c r="M430" s="16">
        <f>MAX(-16, MIN(16, Games[[#This Row],[RestDiff]]*8))</f>
        <v>8</v>
      </c>
      <c r="N430" s="16">
        <f>MAX(-16, MIN(16, Games[[#This Row],[OppRestDiff]]*8))</f>
        <v>-8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1642.388045251279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1460.1084562989913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0.6587764001804709</v>
      </c>
      <c r="R430" s="1">
        <v>82</v>
      </c>
      <c r="S430" s="1">
        <v>67</v>
      </c>
      <c r="T430" s="1">
        <v>0</v>
      </c>
      <c r="U430" s="16">
        <f>Games[[#This Row],[PointsFor]]-Games[[#This Row],[PointsAgainst]]</f>
        <v>15</v>
      </c>
      <c r="V430" s="16">
        <f>IF(Games[[#This Row],[MOV]]&gt;0,1,IF(Games[[#This Row],[MOV]]=0,0.5,0))</f>
        <v>1</v>
      </c>
      <c r="W430" s="4">
        <f>((ABS(Games[[#This Row],[MOV]])+5)^0.6)/(12+0.01*(ABS(Games[[#This Row],[PreGmRate]]-Games[[#This Row],[OppPreGmRate]])))*IF(Games[[#This Row],[OT]]=1,0.9,1)</f>
        <v>0.4365380480745451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0" s="9">
        <f>MAX(kmin, kmax - 0.15 * MIN(Games[[#This Row],[GamesPlayed]], 82))</f>
        <v>70.599999999999994</v>
      </c>
      <c r="Z430" s="4">
        <f>Games[[#This Row],[K]]*Games[[#This Row],[POMult]]</f>
        <v>70.599999999999994</v>
      </c>
      <c r="AA430" s="4">
        <f>(Games[[#This Row],[Keff]]*Games[[#This Row],[MOVMult]])*(Games[[#This Row],[Result]]-Games[[#This Row],[ExpectedWin%]])</f>
        <v>10.516370146086397</v>
      </c>
      <c r="AB430" s="4">
        <f>Games[[#This Row],[PreGmRate]]+Games[[#This Row],[RatingChange]]</f>
        <v>1652.9044153973655</v>
      </c>
      <c r="AC430" s="2">
        <f>IF(Games[[#This Row],[Type]]="R",IF(Games[[#This Row],[Result]]&gt;0.5,1,0),0)</f>
        <v>1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44787</v>
      </c>
      <c r="B431" s="2">
        <v>2022</v>
      </c>
      <c r="C431" s="2">
        <f>COUNTIFS(Games[Team],Games[[#This Row],[Team]],Games[Season],Games[[#This Row],[Season]],Games[Date],"&lt;=" &amp; Games[[#This Row],[Date]])</f>
        <v>36</v>
      </c>
      <c r="D431" s="2" t="s">
        <v>79</v>
      </c>
      <c r="E431" s="2" t="s">
        <v>80</v>
      </c>
      <c r="F431" s="1" t="s">
        <v>40</v>
      </c>
      <c r="G431" s="1" t="s">
        <v>75</v>
      </c>
      <c r="H431" s="1" t="s">
        <v>82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1" s="2">
        <f>Games[[#This Row],[DaysOff]]-Games[[#This Row],[OppDaysOff]]</f>
        <v>-1</v>
      </c>
      <c r="L431" s="2">
        <f>Games[[#This Row],[OppDaysOff]]-Games[[#This Row],[DaysOff]]</f>
        <v>1</v>
      </c>
      <c r="M431" s="16">
        <f>MAX(-16, MIN(16, Games[[#This Row],[RestDiff]]*8))</f>
        <v>-8</v>
      </c>
      <c r="N431" s="16">
        <f>MAX(-16, MIN(16, Games[[#This Row],[OppRestDiff]]*8))</f>
        <v>8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1460.1084562989913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1642.388045251279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0.34122359981952904</v>
      </c>
      <c r="R431" s="1">
        <v>67</v>
      </c>
      <c r="S431" s="1">
        <v>82</v>
      </c>
      <c r="T431" s="1">
        <v>0</v>
      </c>
      <c r="U431" s="16">
        <f>Games[[#This Row],[PointsFor]]-Games[[#This Row],[PointsAgainst]]</f>
        <v>-15</v>
      </c>
      <c r="V431" s="16">
        <f>IF(Games[[#This Row],[MOV]]&gt;0,1,IF(Games[[#This Row],[MOV]]=0,0.5,0))</f>
        <v>0</v>
      </c>
      <c r="W431" s="4">
        <f>((ABS(Games[[#This Row],[MOV]])+5)^0.6)/(12+0.01*(ABS(Games[[#This Row],[PreGmRate]]-Games[[#This Row],[OppPreGmRate]])))*IF(Games[[#This Row],[OT]]=1,0.9,1)</f>
        <v>0.4365380480745451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1" s="9">
        <f>MAX(kmin, kmax - 0.15 * MIN(Games[[#This Row],[GamesPlayed]], 82))</f>
        <v>70.599999999999994</v>
      </c>
      <c r="Z431" s="4">
        <f>Games[[#This Row],[K]]*Games[[#This Row],[POMult]]</f>
        <v>70.599999999999994</v>
      </c>
      <c r="AA431" s="4">
        <f>(Games[[#This Row],[Keff]]*Games[[#This Row],[MOVMult]])*(Games[[#This Row],[Result]]-Games[[#This Row],[ExpectedWin%]])</f>
        <v>-10.516370146086395</v>
      </c>
      <c r="AB431" s="4">
        <f>Games[[#This Row],[PreGmRate]]+Games[[#This Row],[RatingChange]]</f>
        <v>1449.5920861529048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1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44787</v>
      </c>
      <c r="B432" s="2">
        <v>2022</v>
      </c>
      <c r="C432" s="2">
        <f>COUNTIFS(Games[Team],Games[[#This Row],[Team]],Games[Season],Games[[#This Row],[Season]],Games[Date],"&lt;=" &amp; Games[[#This Row],[Date]])</f>
        <v>36</v>
      </c>
      <c r="D432" s="2" t="s">
        <v>79</v>
      </c>
      <c r="E432" s="2" t="s">
        <v>80</v>
      </c>
      <c r="F432" s="1" t="s">
        <v>69</v>
      </c>
      <c r="G432" s="1" t="s">
        <v>65</v>
      </c>
      <c r="H432" s="1" t="s">
        <v>81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2" s="2">
        <f>Games[[#This Row],[DaysOff]]-Games[[#This Row],[OppDaysOff]]</f>
        <v>0</v>
      </c>
      <c r="L432" s="2">
        <f>Games[[#This Row],[OppDaysOff]]-Games[[#This Row],[DaysOff]]</f>
        <v>0</v>
      </c>
      <c r="M432" s="16">
        <f>MAX(-16, MIN(16, Games[[#This Row],[RestDiff]]*8))</f>
        <v>0</v>
      </c>
      <c r="N432" s="16">
        <f>MAX(-16, MIN(16, Games[[#This Row],[OppRestDiff]]*8))</f>
        <v>0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1228.5642247230737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1565.1893508612577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8.1561855486282892E-2</v>
      </c>
      <c r="R432" s="1">
        <v>83</v>
      </c>
      <c r="S432" s="1">
        <v>95</v>
      </c>
      <c r="T432" s="1">
        <v>0</v>
      </c>
      <c r="U432" s="16">
        <f>Games[[#This Row],[PointsFor]]-Games[[#This Row],[PointsAgainst]]</f>
        <v>-12</v>
      </c>
      <c r="V432" s="16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0.35620615749493273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2" s="9">
        <f>MAX(kmin, kmax - 0.15 * MIN(Games[[#This Row],[GamesPlayed]], 82))</f>
        <v>70.599999999999994</v>
      </c>
      <c r="Z432" s="4">
        <f>Games[[#This Row],[K]]*Games[[#This Row],[POMult]]</f>
        <v>70.599999999999994</v>
      </c>
      <c r="AA432" s="4">
        <f>(Games[[#This Row],[Keff]]*Games[[#This Row],[MOVMult]])*(Games[[#This Row],[Result]]-Games[[#This Row],[ExpectedWin%]])</f>
        <v>-2.0511301609493633</v>
      </c>
      <c r="AB432" s="4">
        <f>Games[[#This Row],[PreGmRate]]+Games[[#This Row],[RatingChange]]</f>
        <v>1226.5130945621243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1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44787</v>
      </c>
      <c r="B433" s="2">
        <v>2022</v>
      </c>
      <c r="C433" s="2">
        <f>COUNTIFS(Games[Team],Games[[#This Row],[Team]],Games[Season],Games[[#This Row],[Season]],Games[Date],"&lt;=" &amp; Games[[#This Row],[Date]])</f>
        <v>36</v>
      </c>
      <c r="D433" s="2" t="s">
        <v>79</v>
      </c>
      <c r="E433" s="2" t="s">
        <v>80</v>
      </c>
      <c r="F433" s="1" t="s">
        <v>65</v>
      </c>
      <c r="G433" s="1" t="s">
        <v>69</v>
      </c>
      <c r="H433" s="1" t="s">
        <v>82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3" s="2">
        <f>Games[[#This Row],[DaysOff]]-Games[[#This Row],[OppDaysOff]]</f>
        <v>0</v>
      </c>
      <c r="L433" s="2">
        <f>Games[[#This Row],[OppDaysOff]]-Games[[#This Row],[DaysOff]]</f>
        <v>0</v>
      </c>
      <c r="M433" s="16">
        <f>MAX(-16, MIN(16, Games[[#This Row],[RestDiff]]*8))</f>
        <v>0</v>
      </c>
      <c r="N433" s="16">
        <f>MAX(-16, MIN(16, Games[[#This Row],[OppRestDiff]]*8))</f>
        <v>0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1565.1893508612577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1228.5642247230737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0.91843814451371708</v>
      </c>
      <c r="R433" s="1">
        <v>95</v>
      </c>
      <c r="S433" s="1">
        <v>83</v>
      </c>
      <c r="T433" s="1">
        <v>0</v>
      </c>
      <c r="U433" s="16">
        <f>Games[[#This Row],[PointsFor]]-Games[[#This Row],[PointsAgainst]]</f>
        <v>12</v>
      </c>
      <c r="V433" s="16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0.35620615749493273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3" s="9">
        <f>MAX(kmin, kmax - 0.15 * MIN(Games[[#This Row],[GamesPlayed]], 82))</f>
        <v>70.599999999999994</v>
      </c>
      <c r="Z433" s="4">
        <f>Games[[#This Row],[K]]*Games[[#This Row],[POMult]]</f>
        <v>70.599999999999994</v>
      </c>
      <c r="AA433" s="4">
        <f>(Games[[#This Row],[Keff]]*Games[[#This Row],[MOVMult]])*(Games[[#This Row],[Result]]-Games[[#This Row],[ExpectedWin%]])</f>
        <v>2.0511301609493637</v>
      </c>
      <c r="AB433" s="4">
        <f>Games[[#This Row],[PreGmRate]]+Games[[#This Row],[RatingChange]]</f>
        <v>1567.2404810222072</v>
      </c>
      <c r="AC433" s="2">
        <f>IF(Games[[#This Row],[Type]]="R",IF(Games[[#This Row],[Result]]&gt;0.5,1,0),0)</f>
        <v>1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44790</v>
      </c>
      <c r="B434" s="2">
        <v>2022</v>
      </c>
      <c r="C434" s="2">
        <f>COUNTIFS(Games[Team],Games[[#This Row],[Team]],Games[Season],Games[[#This Row],[Season]],Games[Date],"&lt;=" &amp; Games[[#This Row],[Date]])</f>
        <v>37</v>
      </c>
      <c r="D434" s="2" t="s">
        <v>83</v>
      </c>
      <c r="E434" s="2">
        <v>1</v>
      </c>
      <c r="F434" s="1" t="s">
        <v>60</v>
      </c>
      <c r="G434" s="1" t="s">
        <v>75</v>
      </c>
      <c r="H434" s="1" t="s">
        <v>81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6">
        <f>MAX(-16, MIN(16, Games[[#This Row],[RestDiff]]*8))</f>
        <v>0</v>
      </c>
      <c r="N434" s="16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1476.8763181604693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1652.9044153973655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0.18289699311135105</v>
      </c>
      <c r="R434" s="1">
        <v>98</v>
      </c>
      <c r="S434" s="1">
        <v>91</v>
      </c>
      <c r="T434" s="1">
        <v>0</v>
      </c>
      <c r="U434" s="16">
        <f>Games[[#This Row],[PointsFor]]-Games[[#This Row],[PointsAgainst]]</f>
        <v>7</v>
      </c>
      <c r="V434" s="16">
        <f>IF(Games[[#This Row],[MOV]]&gt;0,1,IF(Games[[#This Row],[MOV]]=0,0.5,0))</f>
        <v>1</v>
      </c>
      <c r="W434" s="4">
        <f>((ABS(Games[[#This Row],[MOV]])+5)^0.6)/(12+0.01*(ABS(Games[[#This Row],[PreGmRate]]-Games[[#This Row],[OppPreGmRate]])))*IF(Games[[#This Row],[OT]]=1,0.9,1)</f>
        <v>0.3227612923576248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34" s="9">
        <f>MAX(kmin, kmax - 0.15 * MIN(Games[[#This Row],[GamesPlayed]], 82))</f>
        <v>70.45</v>
      </c>
      <c r="Z434" s="4">
        <f>Games[[#This Row],[K]]*Games[[#This Row],[POMult]]</f>
        <v>77.495000000000005</v>
      </c>
      <c r="AA434" s="4">
        <f>(Games[[#This Row],[Keff]]*Games[[#This Row],[MOVMult]])*(Games[[#This Row],[Result]]-Games[[#This Row],[ExpectedWin%]])</f>
        <v>20.437696097070358</v>
      </c>
      <c r="AB434" s="4">
        <f>Games[[#This Row],[PreGmRate]]+Games[[#This Row],[RatingChange]]</f>
        <v>1497.3140142575396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1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44790</v>
      </c>
      <c r="B435" s="2">
        <v>2022</v>
      </c>
      <c r="C435" s="2">
        <f>COUNTIFS(Games[Team],Games[[#This Row],[Team]],Games[Season],Games[[#This Row],[Season]],Games[Date],"&lt;=" &amp; Games[[#This Row],[Date]])</f>
        <v>37</v>
      </c>
      <c r="D435" s="2" t="s">
        <v>83</v>
      </c>
      <c r="E435" s="2">
        <v>1</v>
      </c>
      <c r="F435" s="1" t="s">
        <v>75</v>
      </c>
      <c r="G435" s="1" t="s">
        <v>60</v>
      </c>
      <c r="H435" s="1" t="s">
        <v>82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6">
        <f>MAX(-16, MIN(16, Games[[#This Row],[RestDiff]]*8))</f>
        <v>0</v>
      </c>
      <c r="N435" s="16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1652.9044153973655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1476.8763181604693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0.81710300688864901</v>
      </c>
      <c r="R435" s="1">
        <v>91</v>
      </c>
      <c r="S435" s="1">
        <v>98</v>
      </c>
      <c r="T435" s="1">
        <v>0</v>
      </c>
      <c r="U435" s="16">
        <f>Games[[#This Row],[PointsFor]]-Games[[#This Row],[PointsAgainst]]</f>
        <v>-7</v>
      </c>
      <c r="V435" s="16">
        <f>IF(Games[[#This Row],[MOV]]&gt;0,1,IF(Games[[#This Row],[MOV]]=0,0.5,0))</f>
        <v>0</v>
      </c>
      <c r="W435" s="4">
        <f>((ABS(Games[[#This Row],[MOV]])+5)^0.6)/(12+0.01*(ABS(Games[[#This Row],[PreGmRate]]-Games[[#This Row],[OppPreGmRate]])))*IF(Games[[#This Row],[OT]]=1,0.9,1)</f>
        <v>0.3227612923576248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35" s="9">
        <f>MAX(kmin, kmax - 0.15 * MIN(Games[[#This Row],[GamesPlayed]], 82))</f>
        <v>70.45</v>
      </c>
      <c r="Z435" s="4">
        <f>Games[[#This Row],[K]]*Games[[#This Row],[POMult]]</f>
        <v>77.495000000000005</v>
      </c>
      <c r="AA435" s="4">
        <f>(Games[[#This Row],[Keff]]*Games[[#This Row],[MOVMult]])*(Games[[#This Row],[Result]]-Games[[#This Row],[ExpectedWin%]])</f>
        <v>-20.437696097070358</v>
      </c>
      <c r="AB435" s="4">
        <f>Games[[#This Row],[PreGmRate]]+Games[[#This Row],[RatingChange]]</f>
        <v>1632.4667193002952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1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44790</v>
      </c>
      <c r="B436" s="2">
        <v>2022</v>
      </c>
      <c r="C436" s="2">
        <f>COUNTIFS(Games[Team],Games[[#This Row],[Team]],Games[Season],Games[[#This Row],[Season]],Games[Date],"&lt;=" &amp; Games[[#This Row],[Date]])</f>
        <v>37</v>
      </c>
      <c r="D436" s="2" t="s">
        <v>83</v>
      </c>
      <c r="E436" s="2">
        <v>1</v>
      </c>
      <c r="F436" s="1" t="s">
        <v>40</v>
      </c>
      <c r="G436" s="1" t="s">
        <v>86</v>
      </c>
      <c r="H436" s="1" t="s">
        <v>81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6">
        <f>MAX(-16, MIN(16, Games[[#This Row],[RestDiff]]*8))</f>
        <v>0</v>
      </c>
      <c r="N436" s="16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1449.5920861529048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1647.2490679180532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0.16501905958484192</v>
      </c>
      <c r="R436" s="1">
        <v>63</v>
      </c>
      <c r="S436" s="1">
        <v>79</v>
      </c>
      <c r="T436" s="1">
        <v>0</v>
      </c>
      <c r="U436" s="16">
        <f>Games[[#This Row],[PointsFor]]-Games[[#This Row],[PointsAgainst]]</f>
        <v>-16</v>
      </c>
      <c r="V436" s="16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0.44456060882074144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36" s="9">
        <f>MAX(kmin, kmax - 0.15 * MIN(Games[[#This Row],[GamesPlayed]], 82))</f>
        <v>70.45</v>
      </c>
      <c r="Z436" s="4">
        <f>Games[[#This Row],[K]]*Games[[#This Row],[POMult]]</f>
        <v>77.495000000000005</v>
      </c>
      <c r="AA436" s="4">
        <f>(Games[[#This Row],[Keff]]*Games[[#This Row],[MOVMult]])*(Games[[#This Row],[Result]]-Games[[#This Row],[ExpectedWin%]])</f>
        <v>-5.6851086488269438</v>
      </c>
      <c r="AB436" s="4">
        <f>Games[[#This Row],[PreGmRate]]+Games[[#This Row],[RatingChange]]</f>
        <v>1443.9069775040778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1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44790</v>
      </c>
      <c r="B437" s="2">
        <v>2022</v>
      </c>
      <c r="C437" s="2">
        <f>COUNTIFS(Games[Team],Games[[#This Row],[Team]],Games[Season],Games[[#This Row],[Season]],Games[Date],"&lt;=" &amp; Games[[#This Row],[Date]])</f>
        <v>37</v>
      </c>
      <c r="D437" s="2" t="s">
        <v>83</v>
      </c>
      <c r="E437" s="2">
        <v>1</v>
      </c>
      <c r="F437" s="1" t="s">
        <v>86</v>
      </c>
      <c r="G437" s="1" t="s">
        <v>40</v>
      </c>
      <c r="H437" s="1" t="s">
        <v>82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6">
        <f>MAX(-16, MIN(16, Games[[#This Row],[RestDiff]]*8))</f>
        <v>0</v>
      </c>
      <c r="N437" s="16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1647.2490679180532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1449.5920861529048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0.83498094041515802</v>
      </c>
      <c r="R437" s="1">
        <v>79</v>
      </c>
      <c r="S437" s="1">
        <v>63</v>
      </c>
      <c r="T437" s="1">
        <v>0</v>
      </c>
      <c r="U437" s="16">
        <f>Games[[#This Row],[PointsFor]]-Games[[#This Row],[PointsAgainst]]</f>
        <v>16</v>
      </c>
      <c r="V437" s="16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0.44456060882074144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37" s="9">
        <f>MAX(kmin, kmax - 0.15 * MIN(Games[[#This Row],[GamesPlayed]], 82))</f>
        <v>70.45</v>
      </c>
      <c r="Z437" s="4">
        <f>Games[[#This Row],[K]]*Games[[#This Row],[POMult]]</f>
        <v>77.495000000000005</v>
      </c>
      <c r="AA437" s="4">
        <f>(Games[[#This Row],[Keff]]*Games[[#This Row],[MOVMult]])*(Games[[#This Row],[Result]]-Games[[#This Row],[ExpectedWin%]])</f>
        <v>5.6851086488269456</v>
      </c>
      <c r="AB437" s="4">
        <f>Games[[#This Row],[PreGmRate]]+Games[[#This Row],[RatingChange]]</f>
        <v>1652.9341765668803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1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44791</v>
      </c>
      <c r="B438" s="2">
        <v>2022</v>
      </c>
      <c r="C438" s="2">
        <f>COUNTIFS(Games[Team],Games[[#This Row],[Team]],Games[Season],Games[[#This Row],[Season]],Games[Date],"&lt;=" &amp; Games[[#This Row],[Date]])</f>
        <v>37</v>
      </c>
      <c r="D438" s="2" t="s">
        <v>83</v>
      </c>
      <c r="E438" s="2">
        <v>1</v>
      </c>
      <c r="F438" s="1" t="s">
        <v>85</v>
      </c>
      <c r="G438" s="1" t="s">
        <v>74</v>
      </c>
      <c r="H438" s="1" t="s">
        <v>81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6">
        <f>MAX(-16, MIN(16, Games[[#This Row],[RestDiff]]*8))</f>
        <v>0</v>
      </c>
      <c r="N438" s="16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1493.3936426602666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1662.5091519289138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0.1889189353277981</v>
      </c>
      <c r="R438" s="1">
        <v>68</v>
      </c>
      <c r="S438" s="1">
        <v>93</v>
      </c>
      <c r="T438" s="1">
        <v>0</v>
      </c>
      <c r="U438" s="16">
        <f>Games[[#This Row],[PointsFor]]-Games[[#This Row],[PointsAgainst]]</f>
        <v>-25</v>
      </c>
      <c r="V438" s="16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0.56212469208220373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38" s="9">
        <f>MAX(kmin, kmax - 0.15 * MIN(Games[[#This Row],[GamesPlayed]], 82))</f>
        <v>70.45</v>
      </c>
      <c r="Z438" s="4">
        <f>Games[[#This Row],[K]]*Games[[#This Row],[POMult]]</f>
        <v>77.495000000000005</v>
      </c>
      <c r="AA438" s="4">
        <f>(Games[[#This Row],[Keff]]*Games[[#This Row],[MOVMult]])*(Games[[#This Row],[Result]]-Games[[#This Row],[ExpectedWin%]])</f>
        <v>-8.2296588921050642</v>
      </c>
      <c r="AB438" s="4">
        <f>Games[[#This Row],[PreGmRate]]+Games[[#This Row],[RatingChange]]</f>
        <v>1485.1639837681614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1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44791</v>
      </c>
      <c r="B439" s="2">
        <v>2022</v>
      </c>
      <c r="C439" s="2">
        <f>COUNTIFS(Games[Team],Games[[#This Row],[Team]],Games[Season],Games[[#This Row],[Season]],Games[Date],"&lt;=" &amp; Games[[#This Row],[Date]])</f>
        <v>37</v>
      </c>
      <c r="D439" s="2" t="s">
        <v>83</v>
      </c>
      <c r="E439" s="2">
        <v>1</v>
      </c>
      <c r="F439" s="1" t="s">
        <v>74</v>
      </c>
      <c r="G439" s="1" t="s">
        <v>85</v>
      </c>
      <c r="H439" s="1" t="s">
        <v>82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6">
        <f>MAX(-16, MIN(16, Games[[#This Row],[RestDiff]]*8))</f>
        <v>0</v>
      </c>
      <c r="N439" s="16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1662.5091519289138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1493.3936426602666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0.81108106467220187</v>
      </c>
      <c r="R439" s="1">
        <v>93</v>
      </c>
      <c r="S439" s="1">
        <v>68</v>
      </c>
      <c r="T439" s="1">
        <v>0</v>
      </c>
      <c r="U439" s="16">
        <f>Games[[#This Row],[PointsFor]]-Games[[#This Row],[PointsAgainst]]</f>
        <v>25</v>
      </c>
      <c r="V439" s="16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0.56212469208220373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39" s="9">
        <f>MAX(kmin, kmax - 0.15 * MIN(Games[[#This Row],[GamesPlayed]], 82))</f>
        <v>70.45</v>
      </c>
      <c r="Z439" s="4">
        <f>Games[[#This Row],[K]]*Games[[#This Row],[POMult]]</f>
        <v>77.495000000000005</v>
      </c>
      <c r="AA439" s="4">
        <f>(Games[[#This Row],[Keff]]*Games[[#This Row],[MOVMult]])*(Games[[#This Row],[Result]]-Games[[#This Row],[ExpectedWin%]])</f>
        <v>8.2296588921050642</v>
      </c>
      <c r="AB439" s="4">
        <f>Games[[#This Row],[PreGmRate]]+Games[[#This Row],[RatingChange]]</f>
        <v>1670.7388108210189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1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44791</v>
      </c>
      <c r="B440" s="2">
        <v>2022</v>
      </c>
      <c r="C440" s="2">
        <f>COUNTIFS(Games[Team],Games[[#This Row],[Team]],Games[Season],Games[[#This Row],[Season]],Games[Date],"&lt;=" &amp; Games[[#This Row],[Date]])</f>
        <v>37</v>
      </c>
      <c r="D440" s="2" t="s">
        <v>83</v>
      </c>
      <c r="E440" s="2">
        <v>1</v>
      </c>
      <c r="F440" s="1" t="s">
        <v>65</v>
      </c>
      <c r="G440" s="1" t="s">
        <v>71</v>
      </c>
      <c r="H440" s="1" t="s">
        <v>81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6">
        <f>MAX(-16, MIN(16, Games[[#This Row],[RestDiff]]*8))</f>
        <v>0</v>
      </c>
      <c r="N440" s="16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1567.2404810222072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1603.3016667186814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0.33378224860257855</v>
      </c>
      <c r="R440" s="1">
        <v>83</v>
      </c>
      <c r="S440" s="1">
        <v>86</v>
      </c>
      <c r="T440" s="1">
        <v>0</v>
      </c>
      <c r="U440" s="16">
        <f>Games[[#This Row],[PointsFor]]-Games[[#This Row],[PointsAgainst]]</f>
        <v>-3</v>
      </c>
      <c r="V440" s="16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0.28171762801712807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0" s="9">
        <f>MAX(kmin, kmax - 0.15 * MIN(Games[[#This Row],[GamesPlayed]], 82))</f>
        <v>70.45</v>
      </c>
      <c r="Z440" s="4">
        <f>Games[[#This Row],[K]]*Games[[#This Row],[POMult]]</f>
        <v>77.495000000000005</v>
      </c>
      <c r="AA440" s="4">
        <f>(Games[[#This Row],[Keff]]*Games[[#This Row],[MOVMult]])*(Games[[#This Row],[Result]]-Games[[#This Row],[ExpectedWin%]])</f>
        <v>-7.2870364479502365</v>
      </c>
      <c r="AB440" s="4">
        <f>Games[[#This Row],[PreGmRate]]+Games[[#This Row],[RatingChange]]</f>
        <v>1559.953444574257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0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1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44791</v>
      </c>
      <c r="B441" s="2">
        <v>2022</v>
      </c>
      <c r="C441" s="2">
        <f>COUNTIFS(Games[Team],Games[[#This Row],[Team]],Games[Season],Games[[#This Row],[Season]],Games[Date],"&lt;=" &amp; Games[[#This Row],[Date]])</f>
        <v>37</v>
      </c>
      <c r="D441" s="2" t="s">
        <v>83</v>
      </c>
      <c r="E441" s="2">
        <v>1</v>
      </c>
      <c r="F441" s="1" t="s">
        <v>71</v>
      </c>
      <c r="G441" s="1" t="s">
        <v>65</v>
      </c>
      <c r="H441" s="1" t="s">
        <v>82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6">
        <f>MAX(-16, MIN(16, Games[[#This Row],[RestDiff]]*8))</f>
        <v>0</v>
      </c>
      <c r="N441" s="16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1603.3016667186814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1567.2404810222072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0.66621775139742145</v>
      </c>
      <c r="R441" s="1">
        <v>86</v>
      </c>
      <c r="S441" s="1">
        <v>83</v>
      </c>
      <c r="T441" s="1">
        <v>0</v>
      </c>
      <c r="U441" s="16">
        <f>Games[[#This Row],[PointsFor]]-Games[[#This Row],[PointsAgainst]]</f>
        <v>3</v>
      </c>
      <c r="V441" s="16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0.28171762801712807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1" s="9">
        <f>MAX(kmin, kmax - 0.15 * MIN(Games[[#This Row],[GamesPlayed]], 82))</f>
        <v>70.45</v>
      </c>
      <c r="Z441" s="4">
        <f>Games[[#This Row],[K]]*Games[[#This Row],[POMult]]</f>
        <v>77.495000000000005</v>
      </c>
      <c r="AA441" s="4">
        <f>(Games[[#This Row],[Keff]]*Games[[#This Row],[MOVMult]])*(Games[[#This Row],[Result]]-Games[[#This Row],[ExpectedWin%]])</f>
        <v>7.2870364479502365</v>
      </c>
      <c r="AB441" s="4">
        <f>Games[[#This Row],[PreGmRate]]+Games[[#This Row],[RatingChange]]</f>
        <v>1610.5887031666316</v>
      </c>
      <c r="AC441" s="2">
        <f>IF(Games[[#This Row],[Type]]="R",IF(Games[[#This Row],[Result]]&gt;0.5,1,0),0)</f>
        <v>0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1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44793</v>
      </c>
      <c r="B442" s="2">
        <v>2022</v>
      </c>
      <c r="C442" s="2">
        <f>COUNTIFS(Games[Team],Games[[#This Row],[Team]],Games[Season],Games[[#This Row],[Season]],Games[Date],"&lt;=" &amp; Games[[#This Row],[Date]])</f>
        <v>38</v>
      </c>
      <c r="D442" s="2" t="s">
        <v>83</v>
      </c>
      <c r="E442" s="2">
        <v>1</v>
      </c>
      <c r="F442" s="1" t="s">
        <v>60</v>
      </c>
      <c r="G442" s="1" t="s">
        <v>75</v>
      </c>
      <c r="H442" s="1" t="s">
        <v>81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2" s="2">
        <f>Games[[#This Row],[DaysOff]]-Games[[#This Row],[OppDaysOff]]</f>
        <v>0</v>
      </c>
      <c r="L442" s="2">
        <f>Games[[#This Row],[OppDaysOff]]-Games[[#This Row],[DaysOff]]</f>
        <v>0</v>
      </c>
      <c r="M442" s="16">
        <f>MAX(-16, MIN(16, Games[[#This Row],[RestDiff]]*8))</f>
        <v>0</v>
      </c>
      <c r="N442" s="16">
        <f>MAX(-16, MIN(16, Games[[#This Row],[OppRestDiff]]*8))</f>
        <v>0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1497.3140142575396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1632.4667193002952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0.22070815049055093</v>
      </c>
      <c r="R442" s="1">
        <v>62</v>
      </c>
      <c r="S442" s="1">
        <v>100</v>
      </c>
      <c r="T442" s="1">
        <v>0</v>
      </c>
      <c r="U442" s="16">
        <f>Games[[#This Row],[PointsFor]]-Games[[#This Row],[PointsAgainst]]</f>
        <v>-38</v>
      </c>
      <c r="V442" s="16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0.71540197269592676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2" s="9">
        <f>MAX(kmin, kmax - 0.15 * MIN(Games[[#This Row],[GamesPlayed]], 82))</f>
        <v>70.3</v>
      </c>
      <c r="Z442" s="4">
        <f>Games[[#This Row],[K]]*Games[[#This Row],[POMult]]</f>
        <v>77.33</v>
      </c>
      <c r="AA442" s="4">
        <f>(Games[[#This Row],[Keff]]*Games[[#This Row],[MOVMult]])*(Games[[#This Row],[Result]]-Games[[#This Row],[ExpectedWin%]])</f>
        <v>-12.210023926590573</v>
      </c>
      <c r="AB442" s="4">
        <f>Games[[#This Row],[PreGmRate]]+Games[[#This Row],[RatingChange]]</f>
        <v>1485.103990330949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0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1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44793</v>
      </c>
      <c r="B443" s="2">
        <v>2022</v>
      </c>
      <c r="C443" s="2">
        <f>COUNTIFS(Games[Team],Games[[#This Row],[Team]],Games[Season],Games[[#This Row],[Season]],Games[Date],"&lt;=" &amp; Games[[#This Row],[Date]])</f>
        <v>38</v>
      </c>
      <c r="D443" s="2" t="s">
        <v>83</v>
      </c>
      <c r="E443" s="2">
        <v>1</v>
      </c>
      <c r="F443" s="1" t="s">
        <v>75</v>
      </c>
      <c r="G443" s="1" t="s">
        <v>60</v>
      </c>
      <c r="H443" s="1" t="s">
        <v>82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3" s="2">
        <f>Games[[#This Row],[DaysOff]]-Games[[#This Row],[OppDaysOff]]</f>
        <v>0</v>
      </c>
      <c r="L443" s="2">
        <f>Games[[#This Row],[OppDaysOff]]-Games[[#This Row],[DaysOff]]</f>
        <v>0</v>
      </c>
      <c r="M443" s="16">
        <f>MAX(-16, MIN(16, Games[[#This Row],[RestDiff]]*8))</f>
        <v>0</v>
      </c>
      <c r="N443" s="16">
        <f>MAX(-16, MIN(16, Games[[#This Row],[OppRestDiff]]*8))</f>
        <v>0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1632.4667193002952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1497.3140142575396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0.77929184950944907</v>
      </c>
      <c r="R443" s="1">
        <v>100</v>
      </c>
      <c r="S443" s="1">
        <v>62</v>
      </c>
      <c r="T443" s="1">
        <v>0</v>
      </c>
      <c r="U443" s="16">
        <f>Games[[#This Row],[PointsFor]]-Games[[#This Row],[PointsAgainst]]</f>
        <v>38</v>
      </c>
      <c r="V443" s="16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0.71540197269592676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3" s="9">
        <f>MAX(kmin, kmax - 0.15 * MIN(Games[[#This Row],[GamesPlayed]], 82))</f>
        <v>70.3</v>
      </c>
      <c r="Z443" s="4">
        <f>Games[[#This Row],[K]]*Games[[#This Row],[POMult]]</f>
        <v>77.33</v>
      </c>
      <c r="AA443" s="4">
        <f>(Games[[#This Row],[Keff]]*Games[[#This Row],[MOVMult]])*(Games[[#This Row],[Result]]-Games[[#This Row],[ExpectedWin%]])</f>
        <v>12.210023926590573</v>
      </c>
      <c r="AB443" s="4">
        <f>Games[[#This Row],[PreGmRate]]+Games[[#This Row],[RatingChange]]</f>
        <v>1644.6767432268857</v>
      </c>
      <c r="AC443" s="2">
        <f>IF(Games[[#This Row],[Type]]="R",IF(Games[[#This Row],[Result]]&gt;0.5,1,0),0)</f>
        <v>0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1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44793</v>
      </c>
      <c r="B444" s="2">
        <v>2022</v>
      </c>
      <c r="C444" s="2">
        <f>COUNTIFS(Games[Team],Games[[#This Row],[Team]],Games[Season],Games[[#This Row],[Season]],Games[Date],"&lt;=" &amp; Games[[#This Row],[Date]])</f>
        <v>38</v>
      </c>
      <c r="D444" s="2" t="s">
        <v>83</v>
      </c>
      <c r="E444" s="2">
        <v>1</v>
      </c>
      <c r="F444" s="1" t="s">
        <v>40</v>
      </c>
      <c r="G444" s="1" t="s">
        <v>86</v>
      </c>
      <c r="H444" s="1" t="s">
        <v>81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6">
        <f>MAX(-16, MIN(16, Games[[#This Row],[RestDiff]]*8))</f>
        <v>0</v>
      </c>
      <c r="N444" s="16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1443.9069775040778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1652.9341765668803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0.15619711505362643</v>
      </c>
      <c r="R444" s="1">
        <v>80</v>
      </c>
      <c r="S444" s="1">
        <v>117</v>
      </c>
      <c r="T444" s="1">
        <v>0</v>
      </c>
      <c r="U444" s="16">
        <f>Games[[#This Row],[PointsFor]]-Games[[#This Row],[PointsAgainst]]</f>
        <v>-37</v>
      </c>
      <c r="V444" s="16">
        <f>IF(Games[[#This Row],[MOV]]&gt;0,1,IF(Games[[#This Row],[MOV]]=0,0.5,0))</f>
        <v>0</v>
      </c>
      <c r="W444" s="4">
        <f>((ABS(Games[[#This Row],[MOV]])+5)^0.6)/(12+0.01*(ABS(Games[[#This Row],[PreGmRate]]-Games[[#This Row],[OppPreGmRate]])))*IF(Games[[#This Row],[OT]]=1,0.9,1)</f>
        <v>0.66839039095051311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4" s="9">
        <f>MAX(kmin, kmax - 0.15 * MIN(Games[[#This Row],[GamesPlayed]], 82))</f>
        <v>70.3</v>
      </c>
      <c r="Z444" s="4">
        <f>Games[[#This Row],[K]]*Games[[#This Row],[POMult]]</f>
        <v>77.33</v>
      </c>
      <c r="AA444" s="4">
        <f>(Games[[#This Row],[Keff]]*Games[[#This Row],[MOVMult]])*(Games[[#This Row],[Result]]-Games[[#This Row],[ExpectedWin%]])</f>
        <v>-8.073302326057437</v>
      </c>
      <c r="AB444" s="4">
        <f>Games[[#This Row],[PreGmRate]]+Games[[#This Row],[RatingChange]]</f>
        <v>1435.8336751780203</v>
      </c>
      <c r="AC444" s="2">
        <f>IF(Games[[#This Row],[Type]]="R",IF(Games[[#This Row],[Result]]&gt;0.5,1,0),0)</f>
        <v>0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1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44793</v>
      </c>
      <c r="B445" s="2">
        <v>2022</v>
      </c>
      <c r="C445" s="2">
        <f>COUNTIFS(Games[Team],Games[[#This Row],[Team]],Games[Season],Games[[#This Row],[Season]],Games[Date],"&lt;=" &amp; Games[[#This Row],[Date]])</f>
        <v>38</v>
      </c>
      <c r="D445" s="2" t="s">
        <v>83</v>
      </c>
      <c r="E445" s="2">
        <v>1</v>
      </c>
      <c r="F445" s="1" t="s">
        <v>86</v>
      </c>
      <c r="G445" s="1" t="s">
        <v>40</v>
      </c>
      <c r="H445" s="1" t="s">
        <v>82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6">
        <f>MAX(-16, MIN(16, Games[[#This Row],[RestDiff]]*8))</f>
        <v>0</v>
      </c>
      <c r="N445" s="16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1652.9341765668803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1443.9069775040778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0.84380288494637357</v>
      </c>
      <c r="R445" s="1">
        <v>117</v>
      </c>
      <c r="S445" s="1">
        <v>80</v>
      </c>
      <c r="T445" s="1">
        <v>0</v>
      </c>
      <c r="U445" s="16">
        <f>Games[[#This Row],[PointsFor]]-Games[[#This Row],[PointsAgainst]]</f>
        <v>37</v>
      </c>
      <c r="V445" s="16">
        <f>IF(Games[[#This Row],[MOV]]&gt;0,1,IF(Games[[#This Row],[MOV]]=0,0.5,0))</f>
        <v>1</v>
      </c>
      <c r="W445" s="4">
        <f>((ABS(Games[[#This Row],[MOV]])+5)^0.6)/(12+0.01*(ABS(Games[[#This Row],[PreGmRate]]-Games[[#This Row],[OppPreGmRate]])))*IF(Games[[#This Row],[OT]]=1,0.9,1)</f>
        <v>0.66839039095051311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5" s="9">
        <f>MAX(kmin, kmax - 0.15 * MIN(Games[[#This Row],[GamesPlayed]], 82))</f>
        <v>70.3</v>
      </c>
      <c r="Z445" s="4">
        <f>Games[[#This Row],[K]]*Games[[#This Row],[POMult]]</f>
        <v>77.33</v>
      </c>
      <c r="AA445" s="4">
        <f>(Games[[#This Row],[Keff]]*Games[[#This Row],[MOVMult]])*(Games[[#This Row],[Result]]-Games[[#This Row],[ExpectedWin%]])</f>
        <v>8.073302326057437</v>
      </c>
      <c r="AB445" s="4">
        <f>Games[[#This Row],[PreGmRate]]+Games[[#This Row],[RatingChange]]</f>
        <v>1661.0074788929378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0</v>
      </c>
      <c r="AE445" s="2">
        <f>IF(AND(Games[[#This Row],[Type]]="P",Games[[#This Row],[Round]]=1),IF(Games[[#This Row],[Result]]&gt;0.5,1,0),0)</f>
        <v>1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44794</v>
      </c>
      <c r="B446" s="2">
        <v>2022</v>
      </c>
      <c r="C446" s="2">
        <f>COUNTIFS(Games[Team],Games[[#This Row],[Team]],Games[Season],Games[[#This Row],[Season]],Games[Date],"&lt;=" &amp; Games[[#This Row],[Date]])</f>
        <v>38</v>
      </c>
      <c r="D446" s="2" t="s">
        <v>83</v>
      </c>
      <c r="E446" s="2">
        <v>1</v>
      </c>
      <c r="F446" s="1" t="s">
        <v>85</v>
      </c>
      <c r="G446" s="1" t="s">
        <v>74</v>
      </c>
      <c r="H446" s="1" t="s">
        <v>81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6" s="2">
        <f>Games[[#This Row],[DaysOff]]-Games[[#This Row],[OppDaysOff]]</f>
        <v>0</v>
      </c>
      <c r="L446" s="2">
        <f>Games[[#This Row],[OppDaysOff]]-Games[[#This Row],[DaysOff]]</f>
        <v>0</v>
      </c>
      <c r="M446" s="16">
        <f>MAX(-16, MIN(16, Games[[#This Row],[RestDiff]]*8))</f>
        <v>0</v>
      </c>
      <c r="N446" s="16">
        <f>MAX(-16, MIN(16, Games[[#This Row],[OppRestDiff]]*8))</f>
        <v>0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1485.1639837681614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1670.7388108210189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0.17482681278183748</v>
      </c>
      <c r="R446" s="1">
        <v>89</v>
      </c>
      <c r="S446" s="1">
        <v>79</v>
      </c>
      <c r="T446" s="1">
        <v>0</v>
      </c>
      <c r="U446" s="16">
        <f>Games[[#This Row],[PointsFor]]-Games[[#This Row],[PointsAgainst]]</f>
        <v>10</v>
      </c>
      <c r="V446" s="16">
        <f>IF(Games[[#This Row],[MOV]]&gt;0,1,IF(Games[[#This Row],[MOV]]=0,0.5,0))</f>
        <v>1</v>
      </c>
      <c r="W446" s="4">
        <f>((ABS(Games[[#This Row],[MOV]])+5)^0.6)/(12+0.01*(ABS(Games[[#This Row],[PreGmRate]]-Games[[#This Row],[OppPreGmRate]])))*IF(Games[[#This Row],[OT]]=1,0.9,1)</f>
        <v>0.36645847577842189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6" s="9">
        <f>MAX(kmin, kmax - 0.15 * MIN(Games[[#This Row],[GamesPlayed]], 82))</f>
        <v>70.3</v>
      </c>
      <c r="Z446" s="4">
        <f>Games[[#This Row],[K]]*Games[[#This Row],[POMult]]</f>
        <v>77.33</v>
      </c>
      <c r="AA446" s="4">
        <f>(Games[[#This Row],[Keff]]*Games[[#This Row],[MOVMult]])*(Games[[#This Row],[Result]]-Games[[#This Row],[ExpectedWin%]])</f>
        <v>23.383950813757234</v>
      </c>
      <c r="AB446" s="4">
        <f>Games[[#This Row],[PreGmRate]]+Games[[#This Row],[RatingChange]]</f>
        <v>1508.5479345819188</v>
      </c>
      <c r="AC446" s="2">
        <f>IF(Games[[#This Row],[Type]]="R",IF(Games[[#This Row],[Result]]&gt;0.5,1,0),0)</f>
        <v>0</v>
      </c>
      <c r="AD446" s="2">
        <f>IF(Games[[#This Row],[Type]]="R",IF(Games[[#This Row],[Result]]&lt;0.5,1,0),0)</f>
        <v>0</v>
      </c>
      <c r="AE446" s="2">
        <f>IF(AND(Games[[#This Row],[Type]]="P",Games[[#This Row],[Round]]=1),IF(Games[[#This Row],[Result]]&gt;0.5,1,0),0)</f>
        <v>1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44794</v>
      </c>
      <c r="B447" s="2">
        <v>2022</v>
      </c>
      <c r="C447" s="2">
        <f>COUNTIFS(Games[Team],Games[[#This Row],[Team]],Games[Season],Games[[#This Row],[Season]],Games[Date],"&lt;=" &amp; Games[[#This Row],[Date]])</f>
        <v>38</v>
      </c>
      <c r="D447" s="2" t="s">
        <v>83</v>
      </c>
      <c r="E447" s="2">
        <v>1</v>
      </c>
      <c r="F447" s="1" t="s">
        <v>74</v>
      </c>
      <c r="G447" s="1" t="s">
        <v>85</v>
      </c>
      <c r="H447" s="1" t="s">
        <v>82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7" s="2">
        <f>Games[[#This Row],[DaysOff]]-Games[[#This Row],[OppDaysOff]]</f>
        <v>0</v>
      </c>
      <c r="L447" s="2">
        <f>Games[[#This Row],[OppDaysOff]]-Games[[#This Row],[DaysOff]]</f>
        <v>0</v>
      </c>
      <c r="M447" s="16">
        <f>MAX(-16, MIN(16, Games[[#This Row],[RestDiff]]*8))</f>
        <v>0</v>
      </c>
      <c r="N447" s="16">
        <f>MAX(-16, MIN(16, Games[[#This Row],[OppRestDiff]]*8))</f>
        <v>0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1670.7388108210189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1485.1639837681614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0.82517318721816257</v>
      </c>
      <c r="R447" s="1">
        <v>79</v>
      </c>
      <c r="S447" s="1">
        <v>89</v>
      </c>
      <c r="T447" s="1">
        <v>0</v>
      </c>
      <c r="U447" s="16">
        <f>Games[[#This Row],[PointsFor]]-Games[[#This Row],[PointsAgainst]]</f>
        <v>-10</v>
      </c>
      <c r="V447" s="16">
        <f>IF(Games[[#This Row],[MOV]]&gt;0,1,IF(Games[[#This Row],[MOV]]=0,0.5,0))</f>
        <v>0</v>
      </c>
      <c r="W447" s="4">
        <f>((ABS(Games[[#This Row],[MOV]])+5)^0.6)/(12+0.01*(ABS(Games[[#This Row],[PreGmRate]]-Games[[#This Row],[OppPreGmRate]])))*IF(Games[[#This Row],[OT]]=1,0.9,1)</f>
        <v>0.36645847577842189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7" s="9">
        <f>MAX(kmin, kmax - 0.15 * MIN(Games[[#This Row],[GamesPlayed]], 82))</f>
        <v>70.3</v>
      </c>
      <c r="Z447" s="4">
        <f>Games[[#This Row],[K]]*Games[[#This Row],[POMult]]</f>
        <v>77.33</v>
      </c>
      <c r="AA447" s="4">
        <f>(Games[[#This Row],[Keff]]*Games[[#This Row],[MOVMult]])*(Games[[#This Row],[Result]]-Games[[#This Row],[ExpectedWin%]])</f>
        <v>-23.383950813757238</v>
      </c>
      <c r="AB447" s="4">
        <f>Games[[#This Row],[PreGmRate]]+Games[[#This Row],[RatingChange]]</f>
        <v>1647.3548600072615</v>
      </c>
      <c r="AC447" s="2">
        <f>IF(Games[[#This Row],[Type]]="R",IF(Games[[#This Row],[Result]]&gt;0.5,1,0),0)</f>
        <v>0</v>
      </c>
      <c r="AD447" s="2">
        <f>IF(Games[[#This Row],[Type]]="R",IF(Games[[#This Row],[Result]]&lt;0.5,1,0),0)</f>
        <v>0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1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44794</v>
      </c>
      <c r="B448" s="2">
        <v>2022</v>
      </c>
      <c r="C448" s="2">
        <f>COUNTIFS(Games[Team],Games[[#This Row],[Team]],Games[Season],Games[[#This Row],[Season]],Games[Date],"&lt;=" &amp; Games[[#This Row],[Date]])</f>
        <v>38</v>
      </c>
      <c r="D448" s="2" t="s">
        <v>83</v>
      </c>
      <c r="E448" s="2">
        <v>1</v>
      </c>
      <c r="F448" s="1" t="s">
        <v>65</v>
      </c>
      <c r="G448" s="1" t="s">
        <v>71</v>
      </c>
      <c r="H448" s="1" t="s">
        <v>81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8" s="2">
        <f>Games[[#This Row],[DaysOff]]-Games[[#This Row],[OppDaysOff]]</f>
        <v>0</v>
      </c>
      <c r="L448" s="2">
        <f>Games[[#This Row],[OppDaysOff]]-Games[[#This Row],[DaysOff]]</f>
        <v>0</v>
      </c>
      <c r="M448" s="16">
        <f>MAX(-16, MIN(16, Games[[#This Row],[RestDiff]]*8))</f>
        <v>0</v>
      </c>
      <c r="N448" s="16">
        <f>MAX(-16, MIN(16, Games[[#This Row],[OppRestDiff]]*8))</f>
        <v>0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1559.953444574257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1610.5887031666316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0.31539356618288183</v>
      </c>
      <c r="R448" s="1">
        <v>84</v>
      </c>
      <c r="S448" s="1">
        <v>97</v>
      </c>
      <c r="T448" s="1">
        <v>0</v>
      </c>
      <c r="U448" s="16">
        <f>Games[[#This Row],[PointsFor]]-Games[[#This Row],[PointsAgainst]]</f>
        <v>-13</v>
      </c>
      <c r="V448" s="16">
        <f>IF(Games[[#This Row],[MOV]]&gt;0,1,IF(Games[[#This Row],[MOV]]=0,0.5,0))</f>
        <v>0</v>
      </c>
      <c r="W448" s="4">
        <f>((ABS(Games[[#This Row],[MOV]])+5)^0.6)/(12+0.01*(ABS(Games[[#This Row],[PreGmRate]]-Games[[#This Row],[OppPreGmRate]])))*IF(Games[[#This Row],[OT]]=1,0.9,1)</f>
        <v>0.45293182235602358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8" s="9">
        <f>MAX(kmin, kmax - 0.15 * MIN(Games[[#This Row],[GamesPlayed]], 82))</f>
        <v>70.3</v>
      </c>
      <c r="Z448" s="4">
        <f>Games[[#This Row],[K]]*Games[[#This Row],[POMult]]</f>
        <v>77.33</v>
      </c>
      <c r="AA448" s="4">
        <f>(Games[[#This Row],[Keff]]*Games[[#This Row],[MOVMult]])*(Games[[#This Row],[Result]]-Games[[#This Row],[ExpectedWin%]])</f>
        <v>-11.046728355462381</v>
      </c>
      <c r="AB448" s="4">
        <f>Games[[#This Row],[PreGmRate]]+Games[[#This Row],[RatingChange]]</f>
        <v>1548.9067162187946</v>
      </c>
      <c r="AC448" s="2">
        <f>IF(Games[[#This Row],[Type]]="R",IF(Games[[#This Row],[Result]]&gt;0.5,1,0),0)</f>
        <v>0</v>
      </c>
      <c r="AD448" s="2">
        <f>IF(Games[[#This Row],[Type]]="R",IF(Games[[#This Row],[Result]]&lt;0.5,1,0),0)</f>
        <v>0</v>
      </c>
      <c r="AE448" s="2">
        <f>IF(AND(Games[[#This Row],[Type]]="P",Games[[#This Row],[Round]]=1),IF(Games[[#This Row],[Result]]&gt;0.5,1,0),0)</f>
        <v>0</v>
      </c>
      <c r="AF448" s="2">
        <f>IF(AND(Games[[#This Row],[Type]]="P",Games[[#This Row],[Round]]=1),IF(Games[[#This Row],[Result]]&lt;0.5,1,0),0)</f>
        <v>1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44794</v>
      </c>
      <c r="B449" s="2">
        <v>2022</v>
      </c>
      <c r="C449" s="2">
        <f>COUNTIFS(Games[Team],Games[[#This Row],[Team]],Games[Season],Games[[#This Row],[Season]],Games[Date],"&lt;=" &amp; Games[[#This Row],[Date]])</f>
        <v>38</v>
      </c>
      <c r="D449" s="2" t="s">
        <v>83</v>
      </c>
      <c r="E449" s="2">
        <v>1</v>
      </c>
      <c r="F449" s="1" t="s">
        <v>71</v>
      </c>
      <c r="G449" s="1" t="s">
        <v>65</v>
      </c>
      <c r="H449" s="1" t="s">
        <v>82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9" s="2">
        <f>Games[[#This Row],[DaysOff]]-Games[[#This Row],[OppDaysOff]]</f>
        <v>0</v>
      </c>
      <c r="L449" s="2">
        <f>Games[[#This Row],[OppDaysOff]]-Games[[#This Row],[DaysOff]]</f>
        <v>0</v>
      </c>
      <c r="M449" s="16">
        <f>MAX(-16, MIN(16, Games[[#This Row],[RestDiff]]*8))</f>
        <v>0</v>
      </c>
      <c r="N449" s="16">
        <f>MAX(-16, MIN(16, Games[[#This Row],[OppRestDiff]]*8))</f>
        <v>0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1610.5887031666316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1559.953444574257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0.68460643381711817</v>
      </c>
      <c r="R449" s="1">
        <v>97</v>
      </c>
      <c r="S449" s="1">
        <v>84</v>
      </c>
      <c r="T449" s="1">
        <v>0</v>
      </c>
      <c r="U449" s="16">
        <f>Games[[#This Row],[PointsFor]]-Games[[#This Row],[PointsAgainst]]</f>
        <v>13</v>
      </c>
      <c r="V449" s="16">
        <f>IF(Games[[#This Row],[MOV]]&gt;0,1,IF(Games[[#This Row],[MOV]]=0,0.5,0))</f>
        <v>1</v>
      </c>
      <c r="W449" s="4">
        <f>((ABS(Games[[#This Row],[MOV]])+5)^0.6)/(12+0.01*(ABS(Games[[#This Row],[PreGmRate]]-Games[[#This Row],[OppPreGmRate]])))*IF(Games[[#This Row],[OT]]=1,0.9,1)</f>
        <v>0.45293182235602358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9" s="9">
        <f>MAX(kmin, kmax - 0.15 * MIN(Games[[#This Row],[GamesPlayed]], 82))</f>
        <v>70.3</v>
      </c>
      <c r="Z449" s="4">
        <f>Games[[#This Row],[K]]*Games[[#This Row],[POMult]]</f>
        <v>77.33</v>
      </c>
      <c r="AA449" s="4">
        <f>(Games[[#This Row],[Keff]]*Games[[#This Row],[MOVMult]])*(Games[[#This Row],[Result]]-Games[[#This Row],[ExpectedWin%]])</f>
        <v>11.046728355462381</v>
      </c>
      <c r="AB449" s="4">
        <f>Games[[#This Row],[PreGmRate]]+Games[[#This Row],[RatingChange]]</f>
        <v>1621.635431522094</v>
      </c>
      <c r="AC449" s="2">
        <f>IF(Games[[#This Row],[Type]]="R",IF(Games[[#This Row],[Result]]&gt;0.5,1,0),0)</f>
        <v>0</v>
      </c>
      <c r="AD449" s="2">
        <f>IF(Games[[#This Row],[Type]]="R",IF(Games[[#This Row],[Result]]&lt;0.5,1,0),0)</f>
        <v>0</v>
      </c>
      <c r="AE449" s="2">
        <f>IF(AND(Games[[#This Row],[Type]]="P",Games[[#This Row],[Round]]=1),IF(Games[[#This Row],[Result]]&gt;0.5,1,0),0)</f>
        <v>1</v>
      </c>
      <c r="AF449" s="2">
        <f>IF(AND(Games[[#This Row],[Type]]="P",Games[[#This Row],[Round]]=1),IF(Games[[#This Row],[Result]]&lt;0.5,1,0),0)</f>
        <v>0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44796</v>
      </c>
      <c r="B450" s="2">
        <v>2022</v>
      </c>
      <c r="C450" s="2">
        <f>COUNTIFS(Games[Team],Games[[#This Row],[Team]],Games[Season],Games[[#This Row],[Season]],Games[Date],"&lt;=" &amp; Games[[#This Row],[Date]])</f>
        <v>39</v>
      </c>
      <c r="D450" s="2" t="s">
        <v>83</v>
      </c>
      <c r="E450" s="2">
        <v>1</v>
      </c>
      <c r="F450" s="1" t="s">
        <v>75</v>
      </c>
      <c r="G450" s="1" t="s">
        <v>60</v>
      </c>
      <c r="H450" s="1" t="s">
        <v>81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0" s="2">
        <f>Games[[#This Row],[DaysOff]]-Games[[#This Row],[OppDaysOff]]</f>
        <v>0</v>
      </c>
      <c r="L450" s="2">
        <f>Games[[#This Row],[OppDaysOff]]-Games[[#This Row],[DaysOff]]</f>
        <v>0</v>
      </c>
      <c r="M450" s="16">
        <f>MAX(-16, MIN(16, Games[[#This Row],[RestDiff]]*8))</f>
        <v>0</v>
      </c>
      <c r="N450" s="16">
        <f>MAX(-16, MIN(16, Games[[#This Row],[OppRestDiff]]*8))</f>
        <v>0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1644.6767432268857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1485.103990330949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0.60707455815878031</v>
      </c>
      <c r="R450" s="1">
        <v>90</v>
      </c>
      <c r="S450" s="1">
        <v>72</v>
      </c>
      <c r="T450" s="1">
        <v>0</v>
      </c>
      <c r="U450" s="16">
        <f>Games[[#This Row],[PointsFor]]-Games[[#This Row],[PointsAgainst]]</f>
        <v>18</v>
      </c>
      <c r="V450" s="16">
        <f>IF(Games[[#This Row],[MOV]]&gt;0,1,IF(Games[[#This Row],[MOV]]=0,0.5,0))</f>
        <v>1</v>
      </c>
      <c r="W450" s="4">
        <f>((ABS(Games[[#This Row],[MOV]])+5)^0.6)/(12+0.01*(ABS(Games[[#This Row],[PreGmRate]]-Games[[#This Row],[OppPreGmRate]])))*IF(Games[[#This Row],[OT]]=1,0.9,1)</f>
        <v>0.48265215462273375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0" s="9">
        <f>MAX(kmin, kmax - 0.15 * MIN(Games[[#This Row],[GamesPlayed]], 82))</f>
        <v>70.150000000000006</v>
      </c>
      <c r="Z450" s="4">
        <f>Games[[#This Row],[K]]*Games[[#This Row],[POMult]]</f>
        <v>77.165000000000006</v>
      </c>
      <c r="AA450" s="4">
        <f>(Games[[#This Row],[Keff]]*Games[[#This Row],[MOVMult]])*(Games[[#This Row],[Result]]-Games[[#This Row],[ExpectedWin%]])</f>
        <v>14.634057596861359</v>
      </c>
      <c r="AB450" s="4">
        <f>Games[[#This Row],[PreGmRate]]+Games[[#This Row],[RatingChange]]</f>
        <v>1659.3108008237471</v>
      </c>
      <c r="AC450" s="2">
        <f>IF(Games[[#This Row],[Type]]="R",IF(Games[[#This Row],[Result]]&gt;0.5,1,0),0)</f>
        <v>0</v>
      </c>
      <c r="AD450" s="2">
        <f>IF(Games[[#This Row],[Type]]="R",IF(Games[[#This Row],[Result]]&lt;0.5,1,0),0)</f>
        <v>0</v>
      </c>
      <c r="AE450" s="2">
        <f>IF(AND(Games[[#This Row],[Type]]="P",Games[[#This Row],[Round]]=1),IF(Games[[#This Row],[Result]]&gt;0.5,1,0),0)</f>
        <v>1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44796</v>
      </c>
      <c r="B451" s="2">
        <v>2022</v>
      </c>
      <c r="C451" s="2">
        <f>COUNTIFS(Games[Team],Games[[#This Row],[Team]],Games[Season],Games[[#This Row],[Season]],Games[Date],"&lt;=" &amp; Games[[#This Row],[Date]])</f>
        <v>39</v>
      </c>
      <c r="D451" s="2" t="s">
        <v>83</v>
      </c>
      <c r="E451" s="2">
        <v>1</v>
      </c>
      <c r="F451" s="1" t="s">
        <v>60</v>
      </c>
      <c r="G451" s="1" t="s">
        <v>75</v>
      </c>
      <c r="H451" s="1" t="s">
        <v>82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1" s="2">
        <f>Games[[#This Row],[DaysOff]]-Games[[#This Row],[OppDaysOff]]</f>
        <v>0</v>
      </c>
      <c r="L451" s="2">
        <f>Games[[#This Row],[OppDaysOff]]-Games[[#This Row],[DaysOff]]</f>
        <v>0</v>
      </c>
      <c r="M451" s="16">
        <f>MAX(-16, MIN(16, Games[[#This Row],[RestDiff]]*8))</f>
        <v>0</v>
      </c>
      <c r="N451" s="16">
        <f>MAX(-16, MIN(16, Games[[#This Row],[OppRestDiff]]*8))</f>
        <v>0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1485.103990330949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1644.6767432268857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0.39292544184121975</v>
      </c>
      <c r="R451" s="1">
        <v>72</v>
      </c>
      <c r="S451" s="1">
        <v>90</v>
      </c>
      <c r="T451" s="1">
        <v>0</v>
      </c>
      <c r="U451" s="16">
        <f>Games[[#This Row],[PointsFor]]-Games[[#This Row],[PointsAgainst]]</f>
        <v>-18</v>
      </c>
      <c r="V451" s="16">
        <f>IF(Games[[#This Row],[MOV]]&gt;0,1,IF(Games[[#This Row],[MOV]]=0,0.5,0))</f>
        <v>0</v>
      </c>
      <c r="W451" s="4">
        <f>((ABS(Games[[#This Row],[MOV]])+5)^0.6)/(12+0.01*(ABS(Games[[#This Row],[PreGmRate]]-Games[[#This Row],[OppPreGmRate]])))*IF(Games[[#This Row],[OT]]=1,0.9,1)</f>
        <v>0.48265215462273375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1" s="9">
        <f>MAX(kmin, kmax - 0.15 * MIN(Games[[#This Row],[GamesPlayed]], 82))</f>
        <v>70.150000000000006</v>
      </c>
      <c r="Z451" s="4">
        <f>Games[[#This Row],[K]]*Games[[#This Row],[POMult]]</f>
        <v>77.165000000000006</v>
      </c>
      <c r="AA451" s="4">
        <f>(Games[[#This Row],[Keff]]*Games[[#This Row],[MOVMult]])*(Games[[#This Row],[Result]]-Games[[#This Row],[ExpectedWin%]])</f>
        <v>-14.634057596861361</v>
      </c>
      <c r="AB451" s="4">
        <f>Games[[#This Row],[PreGmRate]]+Games[[#This Row],[RatingChange]]</f>
        <v>1470.4699327340877</v>
      </c>
      <c r="AC451" s="2">
        <f>IF(Games[[#This Row],[Type]]="R",IF(Games[[#This Row],[Result]]&gt;0.5,1,0),0)</f>
        <v>0</v>
      </c>
      <c r="AD451" s="2">
        <f>IF(Games[[#This Row],[Type]]="R",IF(Games[[#This Row],[Result]]&lt;0.5,1,0),0)</f>
        <v>0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1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44797</v>
      </c>
      <c r="B452" s="2">
        <v>2022</v>
      </c>
      <c r="C452" s="2">
        <f>COUNTIFS(Games[Team],Games[[#This Row],[Team]],Games[Season],Games[[#This Row],[Season]],Games[Date],"&lt;=" &amp; Games[[#This Row],[Date]])</f>
        <v>39</v>
      </c>
      <c r="D452" s="2" t="s">
        <v>83</v>
      </c>
      <c r="E452" s="2">
        <v>1</v>
      </c>
      <c r="F452" s="1" t="s">
        <v>74</v>
      </c>
      <c r="G452" s="1" t="s">
        <v>85</v>
      </c>
      <c r="H452" s="1" t="s">
        <v>81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2" s="2">
        <f>Games[[#This Row],[DaysOff]]-Games[[#This Row],[OppDaysOff]]</f>
        <v>0</v>
      </c>
      <c r="L452" s="2">
        <f>Games[[#This Row],[OppDaysOff]]-Games[[#This Row],[DaysOff]]</f>
        <v>0</v>
      </c>
      <c r="M452" s="16">
        <f>MAX(-16, MIN(16, Games[[#This Row],[RestDiff]]*8))</f>
        <v>0</v>
      </c>
      <c r="N452" s="16">
        <f>MAX(-16, MIN(16, Games[[#This Row],[OppRestDiff]]*8))</f>
        <v>0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1647.3548600072615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1508.5479345819188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0.57822572040034093</v>
      </c>
      <c r="R452" s="1">
        <v>73</v>
      </c>
      <c r="S452" s="1">
        <v>58</v>
      </c>
      <c r="T452" s="1">
        <v>0</v>
      </c>
      <c r="U452" s="16">
        <f>Games[[#This Row],[PointsFor]]-Games[[#This Row],[PointsAgainst]]</f>
        <v>15</v>
      </c>
      <c r="V452" s="16">
        <f>IF(Games[[#This Row],[MOV]]&gt;0,1,IF(Games[[#This Row],[MOV]]=0,0.5,0))</f>
        <v>1</v>
      </c>
      <c r="W452" s="4">
        <f>((ABS(Games[[#This Row],[MOV]])+5)^0.6)/(12+0.01*(ABS(Games[[#This Row],[PreGmRate]]-Games[[#This Row],[OppPreGmRate]])))*IF(Games[[#This Row],[OT]]=1,0.9,1)</f>
        <v>0.45071296106629316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2" s="9">
        <f>MAX(kmin, kmax - 0.15 * MIN(Games[[#This Row],[GamesPlayed]], 82))</f>
        <v>70.150000000000006</v>
      </c>
      <c r="Z452" s="4">
        <f>Games[[#This Row],[K]]*Games[[#This Row],[POMult]]</f>
        <v>77.165000000000006</v>
      </c>
      <c r="AA452" s="4">
        <f>(Games[[#This Row],[Keff]]*Games[[#This Row],[MOVMult]])*(Games[[#This Row],[Result]]-Games[[#This Row],[ExpectedWin%]])</f>
        <v>14.668999710603199</v>
      </c>
      <c r="AB452" s="4">
        <f>Games[[#This Row],[PreGmRate]]+Games[[#This Row],[RatingChange]]</f>
        <v>1662.0238597178648</v>
      </c>
      <c r="AC452" s="2">
        <f>IF(Games[[#This Row],[Type]]="R",IF(Games[[#This Row],[Result]]&gt;0.5,1,0),0)</f>
        <v>0</v>
      </c>
      <c r="AD452" s="2">
        <f>IF(Games[[#This Row],[Type]]="R",IF(Games[[#This Row],[Result]]&lt;0.5,1,0),0)</f>
        <v>0</v>
      </c>
      <c r="AE452" s="2">
        <f>IF(AND(Games[[#This Row],[Type]]="P",Games[[#This Row],[Round]]=1),IF(Games[[#This Row],[Result]]&gt;0.5,1,0),0)</f>
        <v>1</v>
      </c>
      <c r="AF452" s="2">
        <f>IF(AND(Games[[#This Row],[Type]]="P",Games[[#This Row],[Round]]=1),IF(Games[[#This Row],[Result]]&lt;0.5,1,0),0)</f>
        <v>0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44797</v>
      </c>
      <c r="B453" s="2">
        <v>2022</v>
      </c>
      <c r="C453" s="2">
        <f>COUNTIFS(Games[Team],Games[[#This Row],[Team]],Games[Season],Games[[#This Row],[Season]],Games[Date],"&lt;=" &amp; Games[[#This Row],[Date]])</f>
        <v>39</v>
      </c>
      <c r="D453" s="2" t="s">
        <v>83</v>
      </c>
      <c r="E453" s="2">
        <v>1</v>
      </c>
      <c r="F453" s="1" t="s">
        <v>85</v>
      </c>
      <c r="G453" s="1" t="s">
        <v>74</v>
      </c>
      <c r="H453" s="1" t="s">
        <v>82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3" s="2">
        <f>Games[[#This Row],[DaysOff]]-Games[[#This Row],[OppDaysOff]]</f>
        <v>0</v>
      </c>
      <c r="L453" s="2">
        <f>Games[[#This Row],[OppDaysOff]]-Games[[#This Row],[DaysOff]]</f>
        <v>0</v>
      </c>
      <c r="M453" s="16">
        <f>MAX(-16, MIN(16, Games[[#This Row],[RestDiff]]*8))</f>
        <v>0</v>
      </c>
      <c r="N453" s="16">
        <f>MAX(-16, MIN(16, Games[[#This Row],[OppRestDiff]]*8))</f>
        <v>0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1508.5479345819188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1647.3548600072615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0.42177427959965913</v>
      </c>
      <c r="R453" s="1">
        <v>58</v>
      </c>
      <c r="S453" s="1">
        <v>73</v>
      </c>
      <c r="T453" s="1">
        <v>0</v>
      </c>
      <c r="U453" s="16">
        <f>Games[[#This Row],[PointsFor]]-Games[[#This Row],[PointsAgainst]]</f>
        <v>-15</v>
      </c>
      <c r="V453" s="16">
        <f>IF(Games[[#This Row],[MOV]]&gt;0,1,IF(Games[[#This Row],[MOV]]=0,0.5,0))</f>
        <v>0</v>
      </c>
      <c r="W453" s="4">
        <f>((ABS(Games[[#This Row],[MOV]])+5)^0.6)/(12+0.01*(ABS(Games[[#This Row],[PreGmRate]]-Games[[#This Row],[OppPreGmRate]])))*IF(Games[[#This Row],[OT]]=1,0.9,1)</f>
        <v>0.45071296106629316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3" s="9">
        <f>MAX(kmin, kmax - 0.15 * MIN(Games[[#This Row],[GamesPlayed]], 82))</f>
        <v>70.150000000000006</v>
      </c>
      <c r="Z453" s="4">
        <f>Games[[#This Row],[K]]*Games[[#This Row],[POMult]]</f>
        <v>77.165000000000006</v>
      </c>
      <c r="AA453" s="4">
        <f>(Games[[#This Row],[Keff]]*Games[[#This Row],[MOVMult]])*(Games[[#This Row],[Result]]-Games[[#This Row],[ExpectedWin%]])</f>
        <v>-14.668999710603201</v>
      </c>
      <c r="AB453" s="4">
        <f>Games[[#This Row],[PreGmRate]]+Games[[#This Row],[RatingChange]]</f>
        <v>1493.8789348713156</v>
      </c>
      <c r="AC453" s="2">
        <f>IF(Games[[#This Row],[Type]]="R",IF(Games[[#This Row],[Result]]&gt;0.5,1,0),0)</f>
        <v>0</v>
      </c>
      <c r="AD453" s="2">
        <f>IF(Games[[#This Row],[Type]]="R",IF(Games[[#This Row],[Result]]&lt;0.5,1,0),0)</f>
        <v>0</v>
      </c>
      <c r="AE453" s="2">
        <f>IF(AND(Games[[#This Row],[Type]]="P",Games[[#This Row],[Round]]=1),IF(Games[[#This Row],[Result]]&gt;0.5,1,0),0)</f>
        <v>0</v>
      </c>
      <c r="AF453" s="2">
        <f>IF(AND(Games[[#This Row],[Type]]="P",Games[[#This Row],[Round]]=1),IF(Games[[#This Row],[Result]]&lt;0.5,1,0),0)</f>
        <v>1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44801</v>
      </c>
      <c r="B454" s="2">
        <v>2022</v>
      </c>
      <c r="C454" s="2">
        <f>COUNTIFS(Games[Team],Games[[#This Row],[Team]],Games[Season],Games[[#This Row],[Season]],Games[Date],"&lt;=" &amp; Games[[#This Row],[Date]])</f>
        <v>40</v>
      </c>
      <c r="D454" s="2" t="s">
        <v>83</v>
      </c>
      <c r="E454" s="2">
        <v>2</v>
      </c>
      <c r="F454" s="1" t="s">
        <v>74</v>
      </c>
      <c r="G454" s="1" t="s">
        <v>75</v>
      </c>
      <c r="H454" s="1" t="s">
        <v>81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54" s="2">
        <f>Games[[#This Row],[DaysOff]]-Games[[#This Row],[OppDaysOff]]</f>
        <v>-1</v>
      </c>
      <c r="L454" s="2">
        <f>Games[[#This Row],[OppDaysOff]]-Games[[#This Row],[DaysOff]]</f>
        <v>1</v>
      </c>
      <c r="M454" s="16">
        <f>MAX(-16, MIN(16, Games[[#This Row],[RestDiff]]*8))</f>
        <v>-8</v>
      </c>
      <c r="N454" s="16">
        <f>MAX(-16, MIN(16, Games[[#This Row],[OppRestDiff]]*8))</f>
        <v>8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1662.0238597178648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1659.3108008237471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0.36354083049432157</v>
      </c>
      <c r="R454" s="1">
        <v>68</v>
      </c>
      <c r="S454" s="1">
        <v>63</v>
      </c>
      <c r="T454" s="1">
        <v>0</v>
      </c>
      <c r="U454" s="16">
        <f>Games[[#This Row],[PointsFor]]-Games[[#This Row],[PointsAgainst]]</f>
        <v>5</v>
      </c>
      <c r="V454" s="16">
        <f>IF(Games[[#This Row],[MOV]]&gt;0,1,IF(Games[[#This Row],[MOV]]=0,0.5,0))</f>
        <v>1</v>
      </c>
      <c r="W454" s="4">
        <f>((ABS(Games[[#This Row],[MOV]])+5)^0.6)/(12+0.01*(ABS(Games[[#This Row],[PreGmRate]]-Games[[#This Row],[OppPreGmRate]])))*IF(Games[[#This Row],[OT]]=1,0.9,1)</f>
        <v>0.33100760618626085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54" s="9">
        <f>MAX(kmin, kmax - 0.15 * MIN(Games[[#This Row],[GamesPlayed]], 82))</f>
        <v>70</v>
      </c>
      <c r="Z454" s="4">
        <f>Games[[#This Row],[K]]*Games[[#This Row],[POMult]]</f>
        <v>84</v>
      </c>
      <c r="AA454" s="4">
        <f>(Games[[#This Row],[Keff]]*Games[[#This Row],[MOVMult]])*(Games[[#This Row],[Result]]-Games[[#This Row],[ExpectedWin%]])</f>
        <v>17.696517395203102</v>
      </c>
      <c r="AB454" s="4">
        <f>Games[[#This Row],[PreGmRate]]+Games[[#This Row],[RatingChange]]</f>
        <v>1679.7203771130678</v>
      </c>
      <c r="AC454" s="2">
        <f>IF(Games[[#This Row],[Type]]="R",IF(Games[[#This Row],[Result]]&gt;0.5,1,0),0)</f>
        <v>0</v>
      </c>
      <c r="AD454" s="2">
        <f>IF(Games[[#This Row],[Type]]="R",IF(Games[[#This Row],[Result]]&lt;0.5,1,0),0)</f>
        <v>0</v>
      </c>
      <c r="AE454" s="2">
        <f>IF(AND(Games[[#This Row],[Type]]="P",Games[[#This Row],[Round]]=1),IF(Games[[#This Row],[Result]]&gt;0.5,1,0),0)</f>
        <v>0</v>
      </c>
      <c r="AF454" s="2">
        <f>IF(AND(Games[[#This Row],[Type]]="P",Games[[#This Row],[Round]]=1),IF(Games[[#This Row],[Result]]&lt;0.5,1,0),0)</f>
        <v>0</v>
      </c>
      <c r="AG454" s="2">
        <f>IF(AND(Games[[#This Row],[Type]]="P",Games[[#This Row],[Round]]=2),IF(Games[[#This Row],[Result]]&gt;0.5,1,0),0)</f>
        <v>1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44801</v>
      </c>
      <c r="B455" s="2">
        <v>2022</v>
      </c>
      <c r="C455" s="2">
        <f>COUNTIFS(Games[Team],Games[[#This Row],[Team]],Games[Season],Games[[#This Row],[Season]],Games[Date],"&lt;=" &amp; Games[[#This Row],[Date]])</f>
        <v>40</v>
      </c>
      <c r="D455" s="2" t="s">
        <v>83</v>
      </c>
      <c r="E455" s="2">
        <v>2</v>
      </c>
      <c r="F455" s="1" t="s">
        <v>75</v>
      </c>
      <c r="G455" s="1" t="s">
        <v>74</v>
      </c>
      <c r="H455" s="1" t="s">
        <v>82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55" s="2">
        <f>Games[[#This Row],[DaysOff]]-Games[[#This Row],[OppDaysOff]]</f>
        <v>1</v>
      </c>
      <c r="L455" s="2">
        <f>Games[[#This Row],[OppDaysOff]]-Games[[#This Row],[DaysOff]]</f>
        <v>-1</v>
      </c>
      <c r="M455" s="16">
        <f>MAX(-16, MIN(16, Games[[#This Row],[RestDiff]]*8))</f>
        <v>8</v>
      </c>
      <c r="N455" s="16">
        <f>MAX(-16, MIN(16, Games[[#This Row],[OppRestDiff]]*8))</f>
        <v>-8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1659.3108008237471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1662.0238597178648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0.63645916950567849</v>
      </c>
      <c r="R455" s="1">
        <v>63</v>
      </c>
      <c r="S455" s="1">
        <v>68</v>
      </c>
      <c r="T455" s="1">
        <v>0</v>
      </c>
      <c r="U455" s="16">
        <f>Games[[#This Row],[PointsFor]]-Games[[#This Row],[PointsAgainst]]</f>
        <v>-5</v>
      </c>
      <c r="V455" s="16">
        <f>IF(Games[[#This Row],[MOV]]&gt;0,1,IF(Games[[#This Row],[MOV]]=0,0.5,0))</f>
        <v>0</v>
      </c>
      <c r="W455" s="4">
        <f>((ABS(Games[[#This Row],[MOV]])+5)^0.6)/(12+0.01*(ABS(Games[[#This Row],[PreGmRate]]-Games[[#This Row],[OppPreGmRate]])))*IF(Games[[#This Row],[OT]]=1,0.9,1)</f>
        <v>0.33100760618626085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55" s="9">
        <f>MAX(kmin, kmax - 0.15 * MIN(Games[[#This Row],[GamesPlayed]], 82))</f>
        <v>70</v>
      </c>
      <c r="Z455" s="4">
        <f>Games[[#This Row],[K]]*Games[[#This Row],[POMult]]</f>
        <v>84</v>
      </c>
      <c r="AA455" s="4">
        <f>(Games[[#This Row],[Keff]]*Games[[#This Row],[MOVMult]])*(Games[[#This Row],[Result]]-Games[[#This Row],[ExpectedWin%]])</f>
        <v>-17.696517395203102</v>
      </c>
      <c r="AB455" s="4">
        <f>Games[[#This Row],[PreGmRate]]+Games[[#This Row],[RatingChange]]</f>
        <v>1641.614283428544</v>
      </c>
      <c r="AC455" s="2">
        <f>IF(Games[[#This Row],[Type]]="R",IF(Games[[#This Row],[Result]]&gt;0.5,1,0),0)</f>
        <v>0</v>
      </c>
      <c r="AD455" s="2">
        <f>IF(Games[[#This Row],[Type]]="R",IF(Games[[#This Row],[Result]]&lt;0.5,1,0),0)</f>
        <v>0</v>
      </c>
      <c r="AE455" s="2">
        <f>IF(AND(Games[[#This Row],[Type]]="P",Games[[#This Row],[Round]]=1),IF(Games[[#This Row],[Result]]&gt;0.5,1,0),0)</f>
        <v>0</v>
      </c>
      <c r="AF455" s="2">
        <f>IF(AND(Games[[#This Row],[Type]]="P",Games[[#This Row],[Round]]=1),IF(Games[[#This Row],[Result]]&lt;0.5,1,0),0)</f>
        <v>0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1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44801</v>
      </c>
      <c r="B456" s="2">
        <v>2022</v>
      </c>
      <c r="C456" s="2">
        <f>COUNTIFS(Games[Team],Games[[#This Row],[Team]],Games[Season],Games[[#This Row],[Season]],Games[Date],"&lt;=" &amp; Games[[#This Row],[Date]])</f>
        <v>39</v>
      </c>
      <c r="D456" s="2" t="s">
        <v>83</v>
      </c>
      <c r="E456" s="2">
        <v>2</v>
      </c>
      <c r="F456" s="1" t="s">
        <v>71</v>
      </c>
      <c r="G456" s="1" t="s">
        <v>86</v>
      </c>
      <c r="H456" s="1" t="s">
        <v>81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6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456" s="2">
        <f>Games[[#This Row],[DaysOff]]-Games[[#This Row],[OppDaysOff]]</f>
        <v>-1</v>
      </c>
      <c r="L456" s="2">
        <f>Games[[#This Row],[OppDaysOff]]-Games[[#This Row],[DaysOff]]</f>
        <v>1</v>
      </c>
      <c r="M456" s="16">
        <f>MAX(-16, MIN(16, Games[[#This Row],[RestDiff]]*8))</f>
        <v>-8</v>
      </c>
      <c r="N456" s="16">
        <f>MAX(-16, MIN(16, Games[[#This Row],[OppRestDiff]]*8))</f>
        <v>8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1621.635431522094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1661.0074788929378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0.30953587961309575</v>
      </c>
      <c r="R456" s="1">
        <v>76</v>
      </c>
      <c r="S456" s="1">
        <v>73</v>
      </c>
      <c r="T456" s="1">
        <v>0</v>
      </c>
      <c r="U456" s="16">
        <f>Games[[#This Row],[PointsFor]]-Games[[#This Row],[PointsAgainst]]</f>
        <v>3</v>
      </c>
      <c r="V456" s="16">
        <f>IF(Games[[#This Row],[MOV]]&gt;0,1,IF(Games[[#This Row],[MOV]]=0,0.5,0))</f>
        <v>1</v>
      </c>
      <c r="W456" s="4">
        <f>((ABS(Games[[#This Row],[MOV]])+5)^0.6)/(12+0.01*(ABS(Games[[#This Row],[PreGmRate]]-Games[[#This Row],[OppPreGmRate]])))*IF(Games[[#This Row],[OT]]=1,0.9,1)</f>
        <v>0.28096504682121132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56" s="9">
        <f>MAX(kmin, kmax - 0.15 * MIN(Games[[#This Row],[GamesPlayed]], 82))</f>
        <v>70.150000000000006</v>
      </c>
      <c r="Z456" s="4">
        <f>Games[[#This Row],[K]]*Games[[#This Row],[POMult]]</f>
        <v>84.18</v>
      </c>
      <c r="AA456" s="4">
        <f>(Games[[#This Row],[Keff]]*Games[[#This Row],[MOVMult]])*(Games[[#This Row],[Result]]-Games[[#This Row],[ExpectedWin%]])</f>
        <v>16.330607179785652</v>
      </c>
      <c r="AB456" s="4">
        <f>Games[[#This Row],[PreGmRate]]+Games[[#This Row],[RatingChange]]</f>
        <v>1637.9660387018796</v>
      </c>
      <c r="AC456" s="2">
        <f>IF(Games[[#This Row],[Type]]="R",IF(Games[[#This Row],[Result]]&gt;0.5,1,0),0)</f>
        <v>0</v>
      </c>
      <c r="AD456" s="2">
        <f>IF(Games[[#This Row],[Type]]="R",IF(Games[[#This Row],[Result]]&lt;0.5,1,0),0)</f>
        <v>0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0</v>
      </c>
      <c r="AG456" s="2">
        <f>IF(AND(Games[[#This Row],[Type]]="P",Games[[#This Row],[Round]]=2),IF(Games[[#This Row],[Result]]&gt;0.5,1,0),0)</f>
        <v>1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44801</v>
      </c>
      <c r="B457" s="2">
        <v>2022</v>
      </c>
      <c r="C457" s="2">
        <f>COUNTIFS(Games[Team],Games[[#This Row],[Team]],Games[Season],Games[[#This Row],[Season]],Games[Date],"&lt;=" &amp; Games[[#This Row],[Date]])</f>
        <v>39</v>
      </c>
      <c r="D457" s="2" t="s">
        <v>83</v>
      </c>
      <c r="E457" s="2">
        <v>2</v>
      </c>
      <c r="F457" s="1" t="s">
        <v>86</v>
      </c>
      <c r="G457" s="1" t="s">
        <v>71</v>
      </c>
      <c r="H457" s="1" t="s">
        <v>82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7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57" s="2">
        <f>Games[[#This Row],[DaysOff]]-Games[[#This Row],[OppDaysOff]]</f>
        <v>1</v>
      </c>
      <c r="L457" s="2">
        <f>Games[[#This Row],[OppDaysOff]]-Games[[#This Row],[DaysOff]]</f>
        <v>-1</v>
      </c>
      <c r="M457" s="16">
        <f>MAX(-16, MIN(16, Games[[#This Row],[RestDiff]]*8))</f>
        <v>8</v>
      </c>
      <c r="N457" s="16">
        <f>MAX(-16, MIN(16, Games[[#This Row],[OppRestDiff]]*8))</f>
        <v>-8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1661.0074788929378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1621.635431522094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0.69046412038690419</v>
      </c>
      <c r="R457" s="1">
        <v>73</v>
      </c>
      <c r="S457" s="1">
        <v>76</v>
      </c>
      <c r="T457" s="1">
        <v>0</v>
      </c>
      <c r="U457" s="16">
        <f>Games[[#This Row],[PointsFor]]-Games[[#This Row],[PointsAgainst]]</f>
        <v>-3</v>
      </c>
      <c r="V457" s="16">
        <f>IF(Games[[#This Row],[MOV]]&gt;0,1,IF(Games[[#This Row],[MOV]]=0,0.5,0))</f>
        <v>0</v>
      </c>
      <c r="W457" s="4">
        <f>((ABS(Games[[#This Row],[MOV]])+5)^0.6)/(12+0.01*(ABS(Games[[#This Row],[PreGmRate]]-Games[[#This Row],[OppPreGmRate]])))*IF(Games[[#This Row],[OT]]=1,0.9,1)</f>
        <v>0.28096504682121132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57" s="9">
        <f>MAX(kmin, kmax - 0.15 * MIN(Games[[#This Row],[GamesPlayed]], 82))</f>
        <v>70.150000000000006</v>
      </c>
      <c r="Z457" s="4">
        <f>Games[[#This Row],[K]]*Games[[#This Row],[POMult]]</f>
        <v>84.18</v>
      </c>
      <c r="AA457" s="4">
        <f>(Games[[#This Row],[Keff]]*Games[[#This Row],[MOVMult]])*(Games[[#This Row],[Result]]-Games[[#This Row],[ExpectedWin%]])</f>
        <v>-16.330607179785652</v>
      </c>
      <c r="AB457" s="4">
        <f>Games[[#This Row],[PreGmRate]]+Games[[#This Row],[RatingChange]]</f>
        <v>1644.6768717131522</v>
      </c>
      <c r="AC457" s="2">
        <f>IF(Games[[#This Row],[Type]]="R",IF(Games[[#This Row],[Result]]&gt;0.5,1,0),0)</f>
        <v>0</v>
      </c>
      <c r="AD457" s="2">
        <f>IF(Games[[#This Row],[Type]]="R",IF(Games[[#This Row],[Result]]&lt;0.5,1,0),0)</f>
        <v>0</v>
      </c>
      <c r="AE457" s="2">
        <f>IF(AND(Games[[#This Row],[Type]]="P",Games[[#This Row],[Round]]=1),IF(Games[[#This Row],[Result]]&gt;0.5,1,0),0)</f>
        <v>0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1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44804</v>
      </c>
      <c r="B458" s="2">
        <v>2022</v>
      </c>
      <c r="C458" s="2">
        <f>COUNTIFS(Games[Team],Games[[#This Row],[Team]],Games[Season],Games[[#This Row],[Season]],Games[Date],"&lt;=" &amp; Games[[#This Row],[Date]])</f>
        <v>41</v>
      </c>
      <c r="D458" s="2" t="s">
        <v>83</v>
      </c>
      <c r="E458" s="2">
        <v>2</v>
      </c>
      <c r="F458" s="1" t="s">
        <v>74</v>
      </c>
      <c r="G458" s="1" t="s">
        <v>75</v>
      </c>
      <c r="H458" s="1" t="s">
        <v>81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8" s="2">
        <f>Games[[#This Row],[DaysOff]]-Games[[#This Row],[OppDaysOff]]</f>
        <v>0</v>
      </c>
      <c r="L458" s="2">
        <f>Games[[#This Row],[OppDaysOff]]-Games[[#This Row],[DaysOff]]</f>
        <v>0</v>
      </c>
      <c r="M458" s="16">
        <f>MAX(-16, MIN(16, Games[[#This Row],[RestDiff]]*8))</f>
        <v>0</v>
      </c>
      <c r="N458" s="16">
        <f>MAX(-16, MIN(16, Games[[#This Row],[OppRestDiff]]*8))</f>
        <v>0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1679.7203771130678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1641.614283428544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0.4343348386037304</v>
      </c>
      <c r="R458" s="1">
        <v>77</v>
      </c>
      <c r="S458" s="1">
        <v>85</v>
      </c>
      <c r="T458" s="1">
        <v>0</v>
      </c>
      <c r="U458" s="16">
        <f>Games[[#This Row],[PointsFor]]-Games[[#This Row],[PointsAgainst]]</f>
        <v>-8</v>
      </c>
      <c r="V458" s="16">
        <f>IF(Games[[#This Row],[MOV]]&gt;0,1,IF(Games[[#This Row],[MOV]]=0,0.5,0))</f>
        <v>0</v>
      </c>
      <c r="W458" s="4">
        <f>((ABS(Games[[#This Row],[MOV]])+5)^0.6)/(12+0.01*(ABS(Games[[#This Row],[PreGmRate]]-Games[[#This Row],[OppPreGmRate]])))*IF(Games[[#This Row],[OT]]=1,0.9,1)</f>
        <v>0.37636406474414824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58" s="9">
        <f>MAX(kmin, kmax - 0.15 * MIN(Games[[#This Row],[GamesPlayed]], 82))</f>
        <v>69.849999999999994</v>
      </c>
      <c r="Z458" s="4">
        <f>Games[[#This Row],[K]]*Games[[#This Row],[POMult]]</f>
        <v>83.82</v>
      </c>
      <c r="AA458" s="4">
        <f>(Games[[#This Row],[Keff]]*Games[[#This Row],[MOVMult]])*(Games[[#This Row],[Result]]-Games[[#This Row],[ExpectedWin%]])</f>
        <v>-13.701889882062018</v>
      </c>
      <c r="AB458" s="4">
        <f>Games[[#This Row],[PreGmRate]]+Games[[#This Row],[RatingChange]]</f>
        <v>1666.0184872310058</v>
      </c>
      <c r="AC458" s="2">
        <f>IF(Games[[#This Row],[Type]]="R",IF(Games[[#This Row],[Result]]&gt;0.5,1,0),0)</f>
        <v>0</v>
      </c>
      <c r="AD458" s="2">
        <f>IF(Games[[#This Row],[Type]]="R",IF(Games[[#This Row],[Result]]&lt;0.5,1,0),0)</f>
        <v>0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0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1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44804</v>
      </c>
      <c r="B459" s="2">
        <v>2022</v>
      </c>
      <c r="C459" s="2">
        <f>COUNTIFS(Games[Team],Games[[#This Row],[Team]],Games[Season],Games[[#This Row],[Season]],Games[Date],"&lt;=" &amp; Games[[#This Row],[Date]])</f>
        <v>41</v>
      </c>
      <c r="D459" s="2" t="s">
        <v>83</v>
      </c>
      <c r="E459" s="2">
        <v>2</v>
      </c>
      <c r="F459" s="1" t="s">
        <v>75</v>
      </c>
      <c r="G459" s="1" t="s">
        <v>74</v>
      </c>
      <c r="H459" s="1" t="s">
        <v>82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9" s="2">
        <f>Games[[#This Row],[DaysOff]]-Games[[#This Row],[OppDaysOff]]</f>
        <v>0</v>
      </c>
      <c r="L459" s="2">
        <f>Games[[#This Row],[OppDaysOff]]-Games[[#This Row],[DaysOff]]</f>
        <v>0</v>
      </c>
      <c r="M459" s="16">
        <f>MAX(-16, MIN(16, Games[[#This Row],[RestDiff]]*8))</f>
        <v>0</v>
      </c>
      <c r="N459" s="16">
        <f>MAX(-16, MIN(16, Games[[#This Row],[OppRestDiff]]*8))</f>
        <v>0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1641.614283428544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1679.7203771130678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0.56566516139626966</v>
      </c>
      <c r="R459" s="1">
        <v>85</v>
      </c>
      <c r="S459" s="1">
        <v>77</v>
      </c>
      <c r="T459" s="1">
        <v>0</v>
      </c>
      <c r="U459" s="16">
        <f>Games[[#This Row],[PointsFor]]-Games[[#This Row],[PointsAgainst]]</f>
        <v>8</v>
      </c>
      <c r="V459" s="16">
        <f>IF(Games[[#This Row],[MOV]]&gt;0,1,IF(Games[[#This Row],[MOV]]=0,0.5,0))</f>
        <v>1</v>
      </c>
      <c r="W459" s="4">
        <f>((ABS(Games[[#This Row],[MOV]])+5)^0.6)/(12+0.01*(ABS(Games[[#This Row],[PreGmRate]]-Games[[#This Row],[OppPreGmRate]])))*IF(Games[[#This Row],[OT]]=1,0.9,1)</f>
        <v>0.37636406474414824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59" s="9">
        <f>MAX(kmin, kmax - 0.15 * MIN(Games[[#This Row],[GamesPlayed]], 82))</f>
        <v>69.849999999999994</v>
      </c>
      <c r="Z459" s="4">
        <f>Games[[#This Row],[K]]*Games[[#This Row],[POMult]]</f>
        <v>83.82</v>
      </c>
      <c r="AA459" s="4">
        <f>(Games[[#This Row],[Keff]]*Games[[#This Row],[MOVMult]])*(Games[[#This Row],[Result]]-Games[[#This Row],[ExpectedWin%]])</f>
        <v>13.701889882062016</v>
      </c>
      <c r="AB459" s="4">
        <f>Games[[#This Row],[PreGmRate]]+Games[[#This Row],[RatingChange]]</f>
        <v>1655.316173310606</v>
      </c>
      <c r="AC459" s="2">
        <f>IF(Games[[#This Row],[Type]]="R",IF(Games[[#This Row],[Result]]&gt;0.5,1,0),0)</f>
        <v>0</v>
      </c>
      <c r="AD459" s="2">
        <f>IF(Games[[#This Row],[Type]]="R",IF(Games[[#This Row],[Result]]&lt;0.5,1,0),0)</f>
        <v>0</v>
      </c>
      <c r="AE459" s="2">
        <f>IF(AND(Games[[#This Row],[Type]]="P",Games[[#This Row],[Round]]=1),IF(Games[[#This Row],[Result]]&gt;0.5,1,0),0)</f>
        <v>0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1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44804</v>
      </c>
      <c r="B460" s="2">
        <v>2022</v>
      </c>
      <c r="C460" s="2">
        <f>COUNTIFS(Games[Team],Games[[#This Row],[Team]],Games[Season],Games[[#This Row],[Season]],Games[Date],"&lt;=" &amp; Games[[#This Row],[Date]])</f>
        <v>40</v>
      </c>
      <c r="D460" s="2" t="s">
        <v>83</v>
      </c>
      <c r="E460" s="2">
        <v>2</v>
      </c>
      <c r="F460" s="1" t="s">
        <v>71</v>
      </c>
      <c r="G460" s="1" t="s">
        <v>86</v>
      </c>
      <c r="H460" s="1" t="s">
        <v>81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0" s="2">
        <f>Games[[#This Row],[DaysOff]]-Games[[#This Row],[OppDaysOff]]</f>
        <v>0</v>
      </c>
      <c r="L460" s="2">
        <f>Games[[#This Row],[OppDaysOff]]-Games[[#This Row],[DaysOff]]</f>
        <v>0</v>
      </c>
      <c r="M460" s="16">
        <f>MAX(-16, MIN(16, Games[[#This Row],[RestDiff]]*8))</f>
        <v>0</v>
      </c>
      <c r="N460" s="16">
        <f>MAX(-16, MIN(16, Games[[#This Row],[OppRestDiff]]*8))</f>
        <v>0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1637.9660387018796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1644.6768717131522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0.37234413037615927</v>
      </c>
      <c r="R460" s="1">
        <v>73</v>
      </c>
      <c r="S460" s="1">
        <v>78</v>
      </c>
      <c r="T460" s="1">
        <v>0</v>
      </c>
      <c r="U460" s="16">
        <f>Games[[#This Row],[PointsFor]]-Games[[#This Row],[PointsAgainst]]</f>
        <v>-5</v>
      </c>
      <c r="V460" s="16">
        <f>IF(Games[[#This Row],[MOV]]&gt;0,1,IF(Games[[#This Row],[MOV]]=0,0.5,0))</f>
        <v>0</v>
      </c>
      <c r="W460" s="4">
        <f>((ABS(Games[[#This Row],[MOV]])+5)^0.6)/(12+0.01*(ABS(Games[[#This Row],[PreGmRate]]-Games[[#This Row],[OppPreGmRate]])))*IF(Games[[#This Row],[OT]]=1,0.9,1)</f>
        <v>0.32991099413605607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0" s="9">
        <f>MAX(kmin, kmax - 0.15 * MIN(Games[[#This Row],[GamesPlayed]], 82))</f>
        <v>70</v>
      </c>
      <c r="Z460" s="4">
        <f>Games[[#This Row],[K]]*Games[[#This Row],[POMult]]</f>
        <v>84</v>
      </c>
      <c r="AA460" s="4">
        <f>(Games[[#This Row],[Keff]]*Games[[#This Row],[MOVMult]])*(Games[[#This Row],[Result]]-Games[[#This Row],[ExpectedWin%]])</f>
        <v>-10.318595465902414</v>
      </c>
      <c r="AB460" s="4">
        <f>Games[[#This Row],[PreGmRate]]+Games[[#This Row],[RatingChange]]</f>
        <v>1627.6474432359771</v>
      </c>
      <c r="AC460" s="2">
        <f>IF(Games[[#This Row],[Type]]="R",IF(Games[[#This Row],[Result]]&gt;0.5,1,0),0)</f>
        <v>0</v>
      </c>
      <c r="AD460" s="2">
        <f>IF(Games[[#This Row],[Type]]="R",IF(Games[[#This Row],[Result]]&lt;0.5,1,0),0)</f>
        <v>0</v>
      </c>
      <c r="AE460" s="2">
        <f>IF(AND(Games[[#This Row],[Type]]="P",Games[[#This Row],[Round]]=1),IF(Games[[#This Row],[Result]]&gt;0.5,1,0),0)</f>
        <v>0</v>
      </c>
      <c r="AF460" s="2">
        <f>IF(AND(Games[[#This Row],[Type]]="P",Games[[#This Row],[Round]]=1),IF(Games[[#This Row],[Result]]&lt;0.5,1,0),0)</f>
        <v>0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1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44804</v>
      </c>
      <c r="B461" s="2">
        <v>2022</v>
      </c>
      <c r="C461" s="2">
        <f>COUNTIFS(Games[Team],Games[[#This Row],[Team]],Games[Season],Games[[#This Row],[Season]],Games[Date],"&lt;=" &amp; Games[[#This Row],[Date]])</f>
        <v>40</v>
      </c>
      <c r="D461" s="2" t="s">
        <v>83</v>
      </c>
      <c r="E461" s="2">
        <v>2</v>
      </c>
      <c r="F461" s="1" t="s">
        <v>86</v>
      </c>
      <c r="G461" s="1" t="s">
        <v>71</v>
      </c>
      <c r="H461" s="1" t="s">
        <v>82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1" s="2">
        <f>Games[[#This Row],[DaysOff]]-Games[[#This Row],[OppDaysOff]]</f>
        <v>0</v>
      </c>
      <c r="L461" s="2">
        <f>Games[[#This Row],[OppDaysOff]]-Games[[#This Row],[DaysOff]]</f>
        <v>0</v>
      </c>
      <c r="M461" s="16">
        <f>MAX(-16, MIN(16, Games[[#This Row],[RestDiff]]*8))</f>
        <v>0</v>
      </c>
      <c r="N461" s="16">
        <f>MAX(-16, MIN(16, Games[[#This Row],[OppRestDiff]]*8))</f>
        <v>0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1644.6768717131522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1637.9660387018796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0.62765586962384068</v>
      </c>
      <c r="R461" s="1">
        <v>78</v>
      </c>
      <c r="S461" s="1">
        <v>73</v>
      </c>
      <c r="T461" s="1">
        <v>0</v>
      </c>
      <c r="U461" s="16">
        <f>Games[[#This Row],[PointsFor]]-Games[[#This Row],[PointsAgainst]]</f>
        <v>5</v>
      </c>
      <c r="V461" s="16">
        <f>IF(Games[[#This Row],[MOV]]&gt;0,1,IF(Games[[#This Row],[MOV]]=0,0.5,0))</f>
        <v>1</v>
      </c>
      <c r="W461" s="4">
        <f>((ABS(Games[[#This Row],[MOV]])+5)^0.6)/(12+0.01*(ABS(Games[[#This Row],[PreGmRate]]-Games[[#This Row],[OppPreGmRate]])))*IF(Games[[#This Row],[OT]]=1,0.9,1)</f>
        <v>0.32991099413605607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1" s="9">
        <f>MAX(kmin, kmax - 0.15 * MIN(Games[[#This Row],[GamesPlayed]], 82))</f>
        <v>70</v>
      </c>
      <c r="Z461" s="4">
        <f>Games[[#This Row],[K]]*Games[[#This Row],[POMult]]</f>
        <v>84</v>
      </c>
      <c r="AA461" s="4">
        <f>(Games[[#This Row],[Keff]]*Games[[#This Row],[MOVMult]])*(Games[[#This Row],[Result]]-Games[[#This Row],[ExpectedWin%]])</f>
        <v>10.318595465902415</v>
      </c>
      <c r="AB461" s="4">
        <f>Games[[#This Row],[PreGmRate]]+Games[[#This Row],[RatingChange]]</f>
        <v>1654.9954671790547</v>
      </c>
      <c r="AC461" s="2">
        <f>IF(Games[[#This Row],[Type]]="R",IF(Games[[#This Row],[Result]]&gt;0.5,1,0),0)</f>
        <v>0</v>
      </c>
      <c r="AD461" s="2">
        <f>IF(Games[[#This Row],[Type]]="R",IF(Games[[#This Row],[Result]]&lt;0.5,1,0),0)</f>
        <v>0</v>
      </c>
      <c r="AE461" s="2">
        <f>IF(AND(Games[[#This Row],[Type]]="P",Games[[#This Row],[Round]]=1),IF(Games[[#This Row],[Result]]&gt;0.5,1,0),0)</f>
        <v>0</v>
      </c>
      <c r="AF461" s="2">
        <f>IF(AND(Games[[#This Row],[Type]]="P",Games[[#This Row],[Round]]=1),IF(Games[[#This Row],[Result]]&lt;0.5,1,0),0)</f>
        <v>0</v>
      </c>
      <c r="AG461" s="2">
        <f>IF(AND(Games[[#This Row],[Type]]="P",Games[[#This Row],[Round]]=2),IF(Games[[#This Row],[Result]]&gt;0.5,1,0),0)</f>
        <v>1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44808</v>
      </c>
      <c r="B462" s="2">
        <v>2022</v>
      </c>
      <c r="C462" s="2">
        <f>COUNTIFS(Games[Team],Games[[#This Row],[Team]],Games[Season],Games[[#This Row],[Season]],Games[Date],"&lt;=" &amp; Games[[#This Row],[Date]])</f>
        <v>42</v>
      </c>
      <c r="D462" s="2" t="s">
        <v>83</v>
      </c>
      <c r="E462" s="2">
        <v>2</v>
      </c>
      <c r="F462" s="1" t="s">
        <v>75</v>
      </c>
      <c r="G462" s="1" t="s">
        <v>74</v>
      </c>
      <c r="H462" s="1" t="s">
        <v>81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2" s="2">
        <f>Games[[#This Row],[DaysOff]]-Games[[#This Row],[OppDaysOff]]</f>
        <v>0</v>
      </c>
      <c r="L462" s="2">
        <f>Games[[#This Row],[OppDaysOff]]-Games[[#This Row],[DaysOff]]</f>
        <v>0</v>
      </c>
      <c r="M462" s="16">
        <f>MAX(-16, MIN(16, Games[[#This Row],[RestDiff]]*8))</f>
        <v>0</v>
      </c>
      <c r="N462" s="16">
        <f>MAX(-16, MIN(16, Games[[#This Row],[OppRestDiff]]*8))</f>
        <v>0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1655.316173310606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1666.0184872310058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0.36699029719626342</v>
      </c>
      <c r="R462" s="1">
        <v>76</v>
      </c>
      <c r="S462" s="1">
        <v>72</v>
      </c>
      <c r="T462" s="1">
        <v>0</v>
      </c>
      <c r="U462" s="16">
        <f>Games[[#This Row],[PointsFor]]-Games[[#This Row],[PointsAgainst]]</f>
        <v>4</v>
      </c>
      <c r="V462" s="16">
        <f>IF(Games[[#This Row],[MOV]]&gt;0,1,IF(Games[[#This Row],[MOV]]=0,0.5,0))</f>
        <v>1</v>
      </c>
      <c r="W462" s="4">
        <f>((ABS(Games[[#This Row],[MOV]])+5)^0.6)/(12+0.01*(ABS(Games[[#This Row],[PreGmRate]]-Games[[#This Row],[OppPreGmRate]])))*IF(Games[[#This Row],[OT]]=1,0.9,1)</f>
        <v>0.30867974529139802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2" s="9">
        <f>MAX(kmin, kmax - 0.15 * MIN(Games[[#This Row],[GamesPlayed]], 82))</f>
        <v>69.7</v>
      </c>
      <c r="Z462" s="4">
        <f>Games[[#This Row],[K]]*Games[[#This Row],[POMult]]</f>
        <v>83.64</v>
      </c>
      <c r="AA462" s="4">
        <f>(Games[[#This Row],[Keff]]*Games[[#This Row],[MOVMult]])*(Games[[#This Row],[Result]]-Games[[#This Row],[ExpectedWin%]])</f>
        <v>16.343027983010803</v>
      </c>
      <c r="AB462" s="4">
        <f>Games[[#This Row],[PreGmRate]]+Games[[#This Row],[RatingChange]]</f>
        <v>1671.6592012936169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0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0</v>
      </c>
      <c r="AG462" s="2">
        <f>IF(AND(Games[[#This Row],[Type]]="P",Games[[#This Row],[Round]]=2),IF(Games[[#This Row],[Result]]&gt;0.5,1,0),0)</f>
        <v>1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44808</v>
      </c>
      <c r="B463" s="2">
        <v>2022</v>
      </c>
      <c r="C463" s="2">
        <f>COUNTIFS(Games[Team],Games[[#This Row],[Team]],Games[Season],Games[[#This Row],[Season]],Games[Date],"&lt;=" &amp; Games[[#This Row],[Date]])</f>
        <v>42</v>
      </c>
      <c r="D463" s="2" t="s">
        <v>83</v>
      </c>
      <c r="E463" s="2">
        <v>2</v>
      </c>
      <c r="F463" s="1" t="s">
        <v>74</v>
      </c>
      <c r="G463" s="1" t="s">
        <v>75</v>
      </c>
      <c r="H463" s="1" t="s">
        <v>82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3" s="2">
        <f>Games[[#This Row],[DaysOff]]-Games[[#This Row],[OppDaysOff]]</f>
        <v>0</v>
      </c>
      <c r="L463" s="2">
        <f>Games[[#This Row],[OppDaysOff]]-Games[[#This Row],[DaysOff]]</f>
        <v>0</v>
      </c>
      <c r="M463" s="16">
        <f>MAX(-16, MIN(16, Games[[#This Row],[RestDiff]]*8))</f>
        <v>0</v>
      </c>
      <c r="N463" s="16">
        <f>MAX(-16, MIN(16, Games[[#This Row],[OppRestDiff]]*8))</f>
        <v>0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1666.0184872310058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1655.316173310606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0.63300970280373658</v>
      </c>
      <c r="R463" s="1">
        <v>72</v>
      </c>
      <c r="S463" s="1">
        <v>76</v>
      </c>
      <c r="T463" s="1">
        <v>0</v>
      </c>
      <c r="U463" s="16">
        <f>Games[[#This Row],[PointsFor]]-Games[[#This Row],[PointsAgainst]]</f>
        <v>-4</v>
      </c>
      <c r="V463" s="16">
        <f>IF(Games[[#This Row],[MOV]]&gt;0,1,IF(Games[[#This Row],[MOV]]=0,0.5,0))</f>
        <v>0</v>
      </c>
      <c r="W463" s="4">
        <f>((ABS(Games[[#This Row],[MOV]])+5)^0.6)/(12+0.01*(ABS(Games[[#This Row],[PreGmRate]]-Games[[#This Row],[OppPreGmRate]])))*IF(Games[[#This Row],[OT]]=1,0.9,1)</f>
        <v>0.30867974529139802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3" s="9">
        <f>MAX(kmin, kmax - 0.15 * MIN(Games[[#This Row],[GamesPlayed]], 82))</f>
        <v>69.7</v>
      </c>
      <c r="Z463" s="4">
        <f>Games[[#This Row],[K]]*Games[[#This Row],[POMult]]</f>
        <v>83.64</v>
      </c>
      <c r="AA463" s="4">
        <f>(Games[[#This Row],[Keff]]*Games[[#This Row],[MOVMult]])*(Games[[#This Row],[Result]]-Games[[#This Row],[ExpectedWin%]])</f>
        <v>-16.343027983010803</v>
      </c>
      <c r="AB463" s="4">
        <f>Games[[#This Row],[PreGmRate]]+Games[[#This Row],[RatingChange]]</f>
        <v>1649.6754592479949</v>
      </c>
      <c r="AC463" s="2">
        <f>IF(Games[[#This Row],[Type]]="R",IF(Games[[#This Row],[Result]]&gt;0.5,1,0),0)</f>
        <v>0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0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1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44808</v>
      </c>
      <c r="B464" s="2">
        <v>2022</v>
      </c>
      <c r="C464" s="2">
        <f>COUNTIFS(Games[Team],Games[[#This Row],[Team]],Games[Season],Games[[#This Row],[Season]],Games[Date],"&lt;=" &amp; Games[[#This Row],[Date]])</f>
        <v>41</v>
      </c>
      <c r="D464" s="2" t="s">
        <v>83</v>
      </c>
      <c r="E464" s="2">
        <v>2</v>
      </c>
      <c r="F464" s="1" t="s">
        <v>86</v>
      </c>
      <c r="G464" s="1" t="s">
        <v>71</v>
      </c>
      <c r="H464" s="1" t="s">
        <v>81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4" s="2">
        <f>Games[[#This Row],[DaysOff]]-Games[[#This Row],[OppDaysOff]]</f>
        <v>0</v>
      </c>
      <c r="L464" s="2">
        <f>Games[[#This Row],[OppDaysOff]]-Games[[#This Row],[DaysOff]]</f>
        <v>0</v>
      </c>
      <c r="M464" s="16">
        <f>MAX(-16, MIN(16, Games[[#This Row],[RestDiff]]*8))</f>
        <v>0</v>
      </c>
      <c r="N464" s="16">
        <f>MAX(-16, MIN(16, Games[[#This Row],[OppRestDiff]]*8))</f>
        <v>0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1654.9954671790547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1627.6474432359771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0.41918620536799411</v>
      </c>
      <c r="R464" s="1">
        <v>110</v>
      </c>
      <c r="S464" s="1">
        <v>98</v>
      </c>
      <c r="T464" s="1">
        <v>1</v>
      </c>
      <c r="U464" s="16">
        <f>Games[[#This Row],[PointsFor]]-Games[[#This Row],[PointsAgainst]]</f>
        <v>12</v>
      </c>
      <c r="V464" s="16">
        <f>IF(Games[[#This Row],[MOV]]&gt;0,1,IF(Games[[#This Row],[MOV]]=0,0.5,0))</f>
        <v>1</v>
      </c>
      <c r="W464" s="4">
        <f>((ABS(Games[[#This Row],[MOV]])+5)^0.6)/(12+0.01*(ABS(Games[[#This Row],[PreGmRate]]-Games[[#This Row],[OppPreGmRate]])))*IF(Games[[#This Row],[OT]]=1,0.9,1)</f>
        <v>0.40136928476084049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4" s="9">
        <f>MAX(kmin, kmax - 0.15 * MIN(Games[[#This Row],[GamesPlayed]], 82))</f>
        <v>69.849999999999994</v>
      </c>
      <c r="Z464" s="4">
        <f>Games[[#This Row],[K]]*Games[[#This Row],[POMult]]</f>
        <v>83.82</v>
      </c>
      <c r="AA464" s="4">
        <f>(Games[[#This Row],[Keff]]*Games[[#This Row],[MOVMult]])*(Games[[#This Row],[Result]]-Games[[#This Row],[ExpectedWin%]])</f>
        <v>19.540186908657422</v>
      </c>
      <c r="AB464" s="4">
        <f>Games[[#This Row],[PreGmRate]]+Games[[#This Row],[RatingChange]]</f>
        <v>1674.5356540877121</v>
      </c>
      <c r="AC464" s="2">
        <f>IF(Games[[#This Row],[Type]]="R",IF(Games[[#This Row],[Result]]&gt;0.5,1,0),0)</f>
        <v>0</v>
      </c>
      <c r="AD464" s="2">
        <f>IF(Games[[#This Row],[Type]]="R",IF(Games[[#This Row],[Result]]&lt;0.5,1,0),0)</f>
        <v>0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0</v>
      </c>
      <c r="AG464" s="2">
        <f>IF(AND(Games[[#This Row],[Type]]="P",Games[[#This Row],[Round]]=2),IF(Games[[#This Row],[Result]]&gt;0.5,1,0),0)</f>
        <v>1</v>
      </c>
      <c r="AH464" s="2">
        <f>IF(AND(Games[[#This Row],[Type]]="P",Games[[#This Row],[Round]]=2),IF(Games[[#This Row],[Result]]&lt;0.5,1,0),0)</f>
        <v>0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44808</v>
      </c>
      <c r="B465" s="2">
        <v>2022</v>
      </c>
      <c r="C465" s="2">
        <f>COUNTIFS(Games[Team],Games[[#This Row],[Team]],Games[Season],Games[[#This Row],[Season]],Games[Date],"&lt;=" &amp; Games[[#This Row],[Date]])</f>
        <v>41</v>
      </c>
      <c r="D465" s="2" t="s">
        <v>83</v>
      </c>
      <c r="E465" s="2">
        <v>2</v>
      </c>
      <c r="F465" s="1" t="s">
        <v>71</v>
      </c>
      <c r="G465" s="1" t="s">
        <v>86</v>
      </c>
      <c r="H465" s="1" t="s">
        <v>82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5" s="2">
        <f>Games[[#This Row],[DaysOff]]-Games[[#This Row],[OppDaysOff]]</f>
        <v>0</v>
      </c>
      <c r="L465" s="2">
        <f>Games[[#This Row],[OppDaysOff]]-Games[[#This Row],[DaysOff]]</f>
        <v>0</v>
      </c>
      <c r="M465" s="16">
        <f>MAX(-16, MIN(16, Games[[#This Row],[RestDiff]]*8))</f>
        <v>0</v>
      </c>
      <c r="N465" s="16">
        <f>MAX(-16, MIN(16, Games[[#This Row],[OppRestDiff]]*8))</f>
        <v>0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1627.6474432359771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1654.9954671790547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0.58081379463200589</v>
      </c>
      <c r="R465" s="1">
        <v>98</v>
      </c>
      <c r="S465" s="1">
        <v>110</v>
      </c>
      <c r="T465" s="1">
        <v>1</v>
      </c>
      <c r="U465" s="16">
        <f>Games[[#This Row],[PointsFor]]-Games[[#This Row],[PointsAgainst]]</f>
        <v>-12</v>
      </c>
      <c r="V465" s="16">
        <f>IF(Games[[#This Row],[MOV]]&gt;0,1,IF(Games[[#This Row],[MOV]]=0,0.5,0))</f>
        <v>0</v>
      </c>
      <c r="W465" s="4">
        <f>((ABS(Games[[#This Row],[MOV]])+5)^0.6)/(12+0.01*(ABS(Games[[#This Row],[PreGmRate]]-Games[[#This Row],[OppPreGmRate]])))*IF(Games[[#This Row],[OT]]=1,0.9,1)</f>
        <v>0.40136928476084049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5" s="9">
        <f>MAX(kmin, kmax - 0.15 * MIN(Games[[#This Row],[GamesPlayed]], 82))</f>
        <v>69.849999999999994</v>
      </c>
      <c r="Z465" s="4">
        <f>Games[[#This Row],[K]]*Games[[#This Row],[POMult]]</f>
        <v>83.82</v>
      </c>
      <c r="AA465" s="4">
        <f>(Games[[#This Row],[Keff]]*Games[[#This Row],[MOVMult]])*(Games[[#This Row],[Result]]-Games[[#This Row],[ExpectedWin%]])</f>
        <v>-19.540186908657422</v>
      </c>
      <c r="AB465" s="4">
        <f>Games[[#This Row],[PreGmRate]]+Games[[#This Row],[RatingChange]]</f>
        <v>1608.1072563273196</v>
      </c>
      <c r="AC465" s="2">
        <f>IF(Games[[#This Row],[Type]]="R",IF(Games[[#This Row],[Result]]&gt;0.5,1,0),0)</f>
        <v>0</v>
      </c>
      <c r="AD465" s="2">
        <f>IF(Games[[#This Row],[Type]]="R",IF(Games[[#This Row],[Result]]&lt;0.5,1,0),0)</f>
        <v>0</v>
      </c>
      <c r="AE465" s="2">
        <f>IF(AND(Games[[#This Row],[Type]]="P",Games[[#This Row],[Round]]=1),IF(Games[[#This Row],[Result]]&gt;0.5,1,0),0)</f>
        <v>0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0</v>
      </c>
      <c r="AH465" s="2">
        <f>IF(AND(Games[[#This Row],[Type]]="P",Games[[#This Row],[Round]]=2),IF(Games[[#This Row],[Result]]&lt;0.5,1,0),0)</f>
        <v>1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44810</v>
      </c>
      <c r="B466" s="2">
        <v>2022</v>
      </c>
      <c r="C466" s="2">
        <f>COUNTIFS(Games[Team],Games[[#This Row],[Team]],Games[Season],Games[[#This Row],[Season]],Games[Date],"&lt;=" &amp; Games[[#This Row],[Date]])</f>
        <v>43</v>
      </c>
      <c r="D466" s="2" t="s">
        <v>83</v>
      </c>
      <c r="E466" s="2">
        <v>2</v>
      </c>
      <c r="F466" s="1" t="s">
        <v>75</v>
      </c>
      <c r="G466" s="1" t="s">
        <v>74</v>
      </c>
      <c r="H466" s="1" t="s">
        <v>81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6" s="2">
        <f>Games[[#This Row],[DaysOff]]-Games[[#This Row],[OppDaysOff]]</f>
        <v>0</v>
      </c>
      <c r="L466" s="2">
        <f>Games[[#This Row],[OppDaysOff]]-Games[[#This Row],[DaysOff]]</f>
        <v>0</v>
      </c>
      <c r="M466" s="16">
        <f>MAX(-16, MIN(16, Games[[#This Row],[RestDiff]]*8))</f>
        <v>0</v>
      </c>
      <c r="N466" s="16">
        <f>MAX(-16, MIN(16, Games[[#This Row],[OppRestDiff]]*8))</f>
        <v>0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1671.6592012936169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1649.6754592479949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0.41168736077904511</v>
      </c>
      <c r="R466" s="1">
        <v>80</v>
      </c>
      <c r="S466" s="1">
        <v>104</v>
      </c>
      <c r="T466" s="1">
        <v>0</v>
      </c>
      <c r="U466" s="16">
        <f>Games[[#This Row],[PointsFor]]-Games[[#This Row],[PointsAgainst]]</f>
        <v>-24</v>
      </c>
      <c r="V466" s="16">
        <f>IF(Games[[#This Row],[MOV]]&gt;0,1,IF(Games[[#This Row],[MOV]]=0,0.5,0))</f>
        <v>0</v>
      </c>
      <c r="W466" s="4">
        <f>((ABS(Games[[#This Row],[MOV]])+5)^0.6)/(12+0.01*(ABS(Games[[#This Row],[PreGmRate]]-Games[[#This Row],[OppPreGmRate]])))*IF(Games[[#This Row],[OT]]=1,0.9,1)</f>
        <v>0.61712532776856666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6" s="9">
        <f>MAX(kmin, kmax - 0.15 * MIN(Games[[#This Row],[GamesPlayed]], 82))</f>
        <v>69.55</v>
      </c>
      <c r="Z466" s="4">
        <f>Games[[#This Row],[K]]*Games[[#This Row],[POMult]]</f>
        <v>83.46</v>
      </c>
      <c r="AA466" s="4">
        <f>(Games[[#This Row],[Keff]]*Games[[#This Row],[MOVMult]])*(Games[[#This Row],[Result]]-Games[[#This Row],[ExpectedWin%]])</f>
        <v>-21.204072729923492</v>
      </c>
      <c r="AB466" s="4">
        <f>Games[[#This Row],[PreGmRate]]+Games[[#This Row],[RatingChange]]</f>
        <v>1650.4551285636935</v>
      </c>
      <c r="AC466" s="2">
        <f>IF(Games[[#This Row],[Type]]="R",IF(Games[[#This Row],[Result]]&gt;0.5,1,0),0)</f>
        <v>0</v>
      </c>
      <c r="AD466" s="2">
        <f>IF(Games[[#This Row],[Type]]="R",IF(Games[[#This Row],[Result]]&lt;0.5,1,0),0)</f>
        <v>0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0</v>
      </c>
      <c r="AH466" s="2">
        <f>IF(AND(Games[[#This Row],[Type]]="P",Games[[#This Row],[Round]]=2),IF(Games[[#This Row],[Result]]&lt;0.5,1,0),0)</f>
        <v>1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44810</v>
      </c>
      <c r="B467" s="2">
        <v>2022</v>
      </c>
      <c r="C467" s="2">
        <f>COUNTIFS(Games[Team],Games[[#This Row],[Team]],Games[Season],Games[[#This Row],[Season]],Games[Date],"&lt;=" &amp; Games[[#This Row],[Date]])</f>
        <v>43</v>
      </c>
      <c r="D467" s="2" t="s">
        <v>83</v>
      </c>
      <c r="E467" s="2">
        <v>2</v>
      </c>
      <c r="F467" s="1" t="s">
        <v>74</v>
      </c>
      <c r="G467" s="1" t="s">
        <v>75</v>
      </c>
      <c r="H467" s="1" t="s">
        <v>82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7" s="2">
        <f>Games[[#This Row],[DaysOff]]-Games[[#This Row],[OppDaysOff]]</f>
        <v>0</v>
      </c>
      <c r="L467" s="2">
        <f>Games[[#This Row],[OppDaysOff]]-Games[[#This Row],[DaysOff]]</f>
        <v>0</v>
      </c>
      <c r="M467" s="16">
        <f>MAX(-16, MIN(16, Games[[#This Row],[RestDiff]]*8))</f>
        <v>0</v>
      </c>
      <c r="N467" s="16">
        <f>MAX(-16, MIN(16, Games[[#This Row],[OppRestDiff]]*8))</f>
        <v>0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1649.6754592479949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1671.6592012936169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0.58831263922095489</v>
      </c>
      <c r="R467" s="1">
        <v>104</v>
      </c>
      <c r="S467" s="1">
        <v>80</v>
      </c>
      <c r="T467" s="1">
        <v>0</v>
      </c>
      <c r="U467" s="16">
        <f>Games[[#This Row],[PointsFor]]-Games[[#This Row],[PointsAgainst]]</f>
        <v>24</v>
      </c>
      <c r="V467" s="16">
        <f>IF(Games[[#This Row],[MOV]]&gt;0,1,IF(Games[[#This Row],[MOV]]=0,0.5,0))</f>
        <v>1</v>
      </c>
      <c r="W467" s="4">
        <f>((ABS(Games[[#This Row],[MOV]])+5)^0.6)/(12+0.01*(ABS(Games[[#This Row],[PreGmRate]]-Games[[#This Row],[OppPreGmRate]])))*IF(Games[[#This Row],[OT]]=1,0.9,1)</f>
        <v>0.61712532776856666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7" s="9">
        <f>MAX(kmin, kmax - 0.15 * MIN(Games[[#This Row],[GamesPlayed]], 82))</f>
        <v>69.55</v>
      </c>
      <c r="Z467" s="4">
        <f>Games[[#This Row],[K]]*Games[[#This Row],[POMult]]</f>
        <v>83.46</v>
      </c>
      <c r="AA467" s="4">
        <f>(Games[[#This Row],[Keff]]*Games[[#This Row],[MOVMult]])*(Games[[#This Row],[Result]]-Games[[#This Row],[ExpectedWin%]])</f>
        <v>21.204072729923492</v>
      </c>
      <c r="AB467" s="4">
        <f>Games[[#This Row],[PreGmRate]]+Games[[#This Row],[RatingChange]]</f>
        <v>1670.8795319779183</v>
      </c>
      <c r="AC467" s="2">
        <f>IF(Games[[#This Row],[Type]]="R",IF(Games[[#This Row],[Result]]&gt;0.5,1,0),0)</f>
        <v>0</v>
      </c>
      <c r="AD467" s="2">
        <f>IF(Games[[#This Row],[Type]]="R",IF(Games[[#This Row],[Result]]&lt;0.5,1,0),0)</f>
        <v>0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1</v>
      </c>
      <c r="AH467" s="2">
        <f>IF(AND(Games[[#This Row],[Type]]="P",Games[[#This Row],[Round]]=2),IF(Games[[#This Row],[Result]]&lt;0.5,1,0),0)</f>
        <v>0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44810</v>
      </c>
      <c r="B468" s="2">
        <v>2022</v>
      </c>
      <c r="C468" s="2">
        <f>COUNTIFS(Games[Team],Games[[#This Row],[Team]],Games[Season],Games[[#This Row],[Season]],Games[Date],"&lt;=" &amp; Games[[#This Row],[Date]])</f>
        <v>42</v>
      </c>
      <c r="D468" s="2" t="s">
        <v>83</v>
      </c>
      <c r="E468" s="2">
        <v>2</v>
      </c>
      <c r="F468" s="1" t="s">
        <v>86</v>
      </c>
      <c r="G468" s="1" t="s">
        <v>71</v>
      </c>
      <c r="H468" s="1" t="s">
        <v>81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8" s="2">
        <f>Games[[#This Row],[DaysOff]]-Games[[#This Row],[OppDaysOff]]</f>
        <v>0</v>
      </c>
      <c r="L468" s="2">
        <f>Games[[#This Row],[OppDaysOff]]-Games[[#This Row],[DaysOff]]</f>
        <v>0</v>
      </c>
      <c r="M468" s="16">
        <f>MAX(-16, MIN(16, Games[[#This Row],[RestDiff]]*8))</f>
        <v>0</v>
      </c>
      <c r="N468" s="16">
        <f>MAX(-16, MIN(16, Games[[#This Row],[OppRestDiff]]*8))</f>
        <v>0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1674.5356540877121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1608.1072563273196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0.47473397015830626</v>
      </c>
      <c r="R468" s="1">
        <v>97</v>
      </c>
      <c r="S468" s="1">
        <v>92</v>
      </c>
      <c r="T468" s="1">
        <v>0</v>
      </c>
      <c r="U468" s="16">
        <f>Games[[#This Row],[PointsFor]]-Games[[#This Row],[PointsAgainst]]</f>
        <v>5</v>
      </c>
      <c r="V468" s="16">
        <f>IF(Games[[#This Row],[MOV]]&gt;0,1,IF(Games[[#This Row],[MOV]]=0,0.5,0))</f>
        <v>1</v>
      </c>
      <c r="W468" s="4">
        <f>((ABS(Games[[#This Row],[MOV]])+5)^0.6)/(12+0.01*(ABS(Games[[#This Row],[PreGmRate]]-Games[[#This Row],[OppPreGmRate]])))*IF(Games[[#This Row],[OT]]=1,0.9,1)</f>
        <v>0.31435426689541035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8" s="9">
        <f>MAX(kmin, kmax - 0.15 * MIN(Games[[#This Row],[GamesPlayed]], 82))</f>
        <v>69.7</v>
      </c>
      <c r="Z468" s="4">
        <f>Games[[#This Row],[K]]*Games[[#This Row],[POMult]]</f>
        <v>83.64</v>
      </c>
      <c r="AA468" s="4">
        <f>(Games[[#This Row],[Keff]]*Games[[#This Row],[MOVMult]])*(Games[[#This Row],[Result]]-Games[[#This Row],[ExpectedWin%]])</f>
        <v>13.810604827434723</v>
      </c>
      <c r="AB468" s="4">
        <f>Games[[#This Row],[PreGmRate]]+Games[[#This Row],[RatingChange]]</f>
        <v>1688.3462589151468</v>
      </c>
      <c r="AC468" s="2">
        <f>IF(Games[[#This Row],[Type]]="R",IF(Games[[#This Row],[Result]]&gt;0.5,1,0),0)</f>
        <v>0</v>
      </c>
      <c r="AD468" s="2">
        <f>IF(Games[[#This Row],[Type]]="R",IF(Games[[#This Row],[Result]]&lt;0.5,1,0),0)</f>
        <v>0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1</v>
      </c>
      <c r="AH468" s="2">
        <f>IF(AND(Games[[#This Row],[Type]]="P",Games[[#This Row],[Round]]=2),IF(Games[[#This Row],[Result]]&lt;0.5,1,0),0)</f>
        <v>0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44810</v>
      </c>
      <c r="B469" s="2">
        <v>2022</v>
      </c>
      <c r="C469" s="2">
        <f>COUNTIFS(Games[Team],Games[[#This Row],[Team]],Games[Season],Games[[#This Row],[Season]],Games[Date],"&lt;=" &amp; Games[[#This Row],[Date]])</f>
        <v>42</v>
      </c>
      <c r="D469" s="2" t="s">
        <v>83</v>
      </c>
      <c r="E469" s="2">
        <v>2</v>
      </c>
      <c r="F469" s="1" t="s">
        <v>71</v>
      </c>
      <c r="G469" s="1" t="s">
        <v>86</v>
      </c>
      <c r="H469" s="1" t="s">
        <v>82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9" s="2">
        <f>Games[[#This Row],[DaysOff]]-Games[[#This Row],[OppDaysOff]]</f>
        <v>0</v>
      </c>
      <c r="L469" s="2">
        <f>Games[[#This Row],[OppDaysOff]]-Games[[#This Row],[DaysOff]]</f>
        <v>0</v>
      </c>
      <c r="M469" s="16">
        <f>MAX(-16, MIN(16, Games[[#This Row],[RestDiff]]*8))</f>
        <v>0</v>
      </c>
      <c r="N469" s="16">
        <f>MAX(-16, MIN(16, Games[[#This Row],[OppRestDiff]]*8))</f>
        <v>0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1608.1072563273196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1674.5356540877121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0.52526602984169368</v>
      </c>
      <c r="R469" s="1">
        <v>92</v>
      </c>
      <c r="S469" s="1">
        <v>97</v>
      </c>
      <c r="T469" s="1">
        <v>0</v>
      </c>
      <c r="U469" s="16">
        <f>Games[[#This Row],[PointsFor]]-Games[[#This Row],[PointsAgainst]]</f>
        <v>-5</v>
      </c>
      <c r="V469" s="16">
        <f>IF(Games[[#This Row],[MOV]]&gt;0,1,IF(Games[[#This Row],[MOV]]=0,0.5,0))</f>
        <v>0</v>
      </c>
      <c r="W469" s="4">
        <f>((ABS(Games[[#This Row],[MOV]])+5)^0.6)/(12+0.01*(ABS(Games[[#This Row],[PreGmRate]]-Games[[#This Row],[OppPreGmRate]])))*IF(Games[[#This Row],[OT]]=1,0.9,1)</f>
        <v>0.31435426689541035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9" s="9">
        <f>MAX(kmin, kmax - 0.15 * MIN(Games[[#This Row],[GamesPlayed]], 82))</f>
        <v>69.7</v>
      </c>
      <c r="Z469" s="4">
        <f>Games[[#This Row],[K]]*Games[[#This Row],[POMult]]</f>
        <v>83.64</v>
      </c>
      <c r="AA469" s="4">
        <f>(Games[[#This Row],[Keff]]*Games[[#This Row],[MOVMult]])*(Games[[#This Row],[Result]]-Games[[#This Row],[ExpectedWin%]])</f>
        <v>-13.81060482743472</v>
      </c>
      <c r="AB469" s="4">
        <f>Games[[#This Row],[PreGmRate]]+Games[[#This Row],[RatingChange]]</f>
        <v>1594.296651499885</v>
      </c>
      <c r="AC469" s="2">
        <f>IF(Games[[#This Row],[Type]]="R",IF(Games[[#This Row],[Result]]&gt;0.5,1,0),0)</f>
        <v>0</v>
      </c>
      <c r="AD469" s="2">
        <f>IF(Games[[#This Row],[Type]]="R",IF(Games[[#This Row],[Result]]&lt;0.5,1,0),0)</f>
        <v>0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0</v>
      </c>
      <c r="AH469" s="2">
        <f>IF(AND(Games[[#This Row],[Type]]="P",Games[[#This Row],[Round]]=2),IF(Games[[#This Row],[Result]]&lt;0.5,1,0),0)</f>
        <v>1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44812</v>
      </c>
      <c r="B470" s="2">
        <v>2022</v>
      </c>
      <c r="C470" s="2">
        <f>COUNTIFS(Games[Team],Games[[#This Row],[Team]],Games[Season],Games[[#This Row],[Season]],Games[Date],"&lt;=" &amp; Games[[#This Row],[Date]])</f>
        <v>44</v>
      </c>
      <c r="D470" s="2" t="s">
        <v>83</v>
      </c>
      <c r="E470" s="2">
        <v>2</v>
      </c>
      <c r="F470" s="1" t="s">
        <v>74</v>
      </c>
      <c r="G470" s="1" t="s">
        <v>75</v>
      </c>
      <c r="H470" s="1" t="s">
        <v>81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0" s="2">
        <f>Games[[#This Row],[DaysOff]]-Games[[#This Row],[OppDaysOff]]</f>
        <v>0</v>
      </c>
      <c r="L470" s="2">
        <f>Games[[#This Row],[OppDaysOff]]-Games[[#This Row],[DaysOff]]</f>
        <v>0</v>
      </c>
      <c r="M470" s="16">
        <f>MAX(-16, MIN(16, Games[[#This Row],[RestDiff]]*8))</f>
        <v>0</v>
      </c>
      <c r="N470" s="16">
        <f>MAX(-16, MIN(16, Games[[#This Row],[OppRestDiff]]*8))</f>
        <v>0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1670.8795319779183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1650.4551285636935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0.40951503579134957</v>
      </c>
      <c r="R470" s="1">
        <v>72</v>
      </c>
      <c r="S470" s="1">
        <v>63</v>
      </c>
      <c r="T470" s="1">
        <v>0</v>
      </c>
      <c r="U470" s="16">
        <f>Games[[#This Row],[PointsFor]]-Games[[#This Row],[PointsAgainst]]</f>
        <v>9</v>
      </c>
      <c r="V470" s="16">
        <f>IF(Games[[#This Row],[MOV]]&gt;0,1,IF(Games[[#This Row],[MOV]]=0,0.5,0))</f>
        <v>1</v>
      </c>
      <c r="W470" s="4">
        <f>((ABS(Games[[#This Row],[MOV]])+5)^0.6)/(12+0.01*(ABS(Games[[#This Row],[PreGmRate]]-Games[[#This Row],[OppPreGmRate]])))*IF(Games[[#This Row],[OT]]=1,0.9,1)</f>
        <v>0.39917739371140898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0" s="9">
        <f>MAX(kmin, kmax - 0.15 * MIN(Games[[#This Row],[GamesPlayed]], 82))</f>
        <v>69.400000000000006</v>
      </c>
      <c r="Z470" s="4">
        <f>Games[[#This Row],[K]]*Games[[#This Row],[POMult]]</f>
        <v>83.28</v>
      </c>
      <c r="AA470" s="4">
        <f>(Games[[#This Row],[Keff]]*Games[[#This Row],[MOVMult]])*(Games[[#This Row],[Result]]-Games[[#This Row],[ExpectedWin%]])</f>
        <v>19.62978297993325</v>
      </c>
      <c r="AB470" s="4">
        <f>Games[[#This Row],[PreGmRate]]+Games[[#This Row],[RatingChange]]</f>
        <v>1690.5093149578515</v>
      </c>
      <c r="AC470" s="2">
        <f>IF(Games[[#This Row],[Type]]="R",IF(Games[[#This Row],[Result]]&gt;0.5,1,0),0)</f>
        <v>0</v>
      </c>
      <c r="AD470" s="2">
        <f>IF(Games[[#This Row],[Type]]="R",IF(Games[[#This Row],[Result]]&lt;0.5,1,0),0)</f>
        <v>0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1</v>
      </c>
      <c r="AH470" s="2">
        <f>IF(AND(Games[[#This Row],[Type]]="P",Games[[#This Row],[Round]]=2),IF(Games[[#This Row],[Result]]&lt;0.5,1,0),0)</f>
        <v>0</v>
      </c>
      <c r="AI470" s="2">
        <f>IF(AND(Games[[#This Row],[Type]]="P",Games[[#This Row],[Round]]=3),IF(Games[[#This Row],[Result]]&gt;0.5,1,0),0)</f>
        <v>0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44812</v>
      </c>
      <c r="B471" s="2">
        <v>2022</v>
      </c>
      <c r="C471" s="2">
        <f>COUNTIFS(Games[Team],Games[[#This Row],[Team]],Games[Season],Games[[#This Row],[Season]],Games[Date],"&lt;=" &amp; Games[[#This Row],[Date]])</f>
        <v>44</v>
      </c>
      <c r="D471" s="2" t="s">
        <v>83</v>
      </c>
      <c r="E471" s="2">
        <v>2</v>
      </c>
      <c r="F471" s="1" t="s">
        <v>75</v>
      </c>
      <c r="G471" s="1" t="s">
        <v>74</v>
      </c>
      <c r="H471" s="1" t="s">
        <v>82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1" s="2">
        <f>Games[[#This Row],[DaysOff]]-Games[[#This Row],[OppDaysOff]]</f>
        <v>0</v>
      </c>
      <c r="L471" s="2">
        <f>Games[[#This Row],[OppDaysOff]]-Games[[#This Row],[DaysOff]]</f>
        <v>0</v>
      </c>
      <c r="M471" s="16">
        <f>MAX(-16, MIN(16, Games[[#This Row],[RestDiff]]*8))</f>
        <v>0</v>
      </c>
      <c r="N471" s="16">
        <f>MAX(-16, MIN(16, Games[[#This Row],[OppRestDiff]]*8))</f>
        <v>0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1650.4551285636935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1670.8795319779183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0.59048496420865038</v>
      </c>
      <c r="R471" s="1">
        <v>63</v>
      </c>
      <c r="S471" s="1">
        <v>72</v>
      </c>
      <c r="T471" s="1">
        <v>0</v>
      </c>
      <c r="U471" s="16">
        <f>Games[[#This Row],[PointsFor]]-Games[[#This Row],[PointsAgainst]]</f>
        <v>-9</v>
      </c>
      <c r="V471" s="16">
        <f>IF(Games[[#This Row],[MOV]]&gt;0,1,IF(Games[[#This Row],[MOV]]=0,0.5,0))</f>
        <v>0</v>
      </c>
      <c r="W471" s="4">
        <f>((ABS(Games[[#This Row],[MOV]])+5)^0.6)/(12+0.01*(ABS(Games[[#This Row],[PreGmRate]]-Games[[#This Row],[OppPreGmRate]])))*IF(Games[[#This Row],[OT]]=1,0.9,1)</f>
        <v>0.39917739371140898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1" s="9">
        <f>MAX(kmin, kmax - 0.15 * MIN(Games[[#This Row],[GamesPlayed]], 82))</f>
        <v>69.400000000000006</v>
      </c>
      <c r="Z471" s="4">
        <f>Games[[#This Row],[K]]*Games[[#This Row],[POMult]]</f>
        <v>83.28</v>
      </c>
      <c r="AA471" s="4">
        <f>(Games[[#This Row],[Keff]]*Games[[#This Row],[MOVMult]])*(Games[[#This Row],[Result]]-Games[[#This Row],[ExpectedWin%]])</f>
        <v>-19.629782979933246</v>
      </c>
      <c r="AB471" s="4">
        <f>Games[[#This Row],[PreGmRate]]+Games[[#This Row],[RatingChange]]</f>
        <v>1630.8253455837603</v>
      </c>
      <c r="AC471" s="2">
        <f>IF(Games[[#This Row],[Type]]="R",IF(Games[[#This Row],[Result]]&gt;0.5,1,0),0)</f>
        <v>0</v>
      </c>
      <c r="AD471" s="2">
        <f>IF(Games[[#This Row],[Type]]="R",IF(Games[[#This Row],[Result]]&lt;0.5,1,0),0)</f>
        <v>0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0</v>
      </c>
      <c r="AH471" s="2">
        <f>IF(AND(Games[[#This Row],[Type]]="P",Games[[#This Row],[Round]]=2),IF(Games[[#This Row],[Result]]&lt;0.5,1,0),0)</f>
        <v>1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0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44815</v>
      </c>
      <c r="B472" s="2">
        <v>2022</v>
      </c>
      <c r="C472" s="2">
        <f>COUNTIFS(Games[Team],Games[[#This Row],[Team]],Games[Season],Games[[#This Row],[Season]],Games[Date],"&lt;=" &amp; Games[[#This Row],[Date]])</f>
        <v>45</v>
      </c>
      <c r="D472" s="2" t="s">
        <v>83</v>
      </c>
      <c r="E472" s="2">
        <v>3</v>
      </c>
      <c r="F472" s="1" t="s">
        <v>74</v>
      </c>
      <c r="G472" s="1" t="s">
        <v>86</v>
      </c>
      <c r="H472" s="1" t="s">
        <v>81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72" s="2">
        <f>Games[[#This Row],[DaysOff]]-Games[[#This Row],[OppDaysOff]]</f>
        <v>-2</v>
      </c>
      <c r="L472" s="2">
        <f>Games[[#This Row],[OppDaysOff]]-Games[[#This Row],[DaysOff]]</f>
        <v>2</v>
      </c>
      <c r="M472" s="16">
        <f>MAX(-16, MIN(16, Games[[#This Row],[RestDiff]]*8))</f>
        <v>-16</v>
      </c>
      <c r="N472" s="16">
        <f>MAX(-16, MIN(16, Games[[#This Row],[OppRestDiff]]*8))</f>
        <v>16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1690.5093149578515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1688.3462589151468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0.34179661199875239</v>
      </c>
      <c r="R472" s="1">
        <v>64</v>
      </c>
      <c r="S472" s="1">
        <v>67</v>
      </c>
      <c r="T472" s="1">
        <v>0</v>
      </c>
      <c r="U472" s="16">
        <f>Games[[#This Row],[PointsFor]]-Games[[#This Row],[PointsAgainst]]</f>
        <v>-3</v>
      </c>
      <c r="V472" s="16">
        <f>IF(Games[[#This Row],[MOV]]&gt;0,1,IF(Games[[#This Row],[MOV]]=0,0.5,0))</f>
        <v>0</v>
      </c>
      <c r="W472" s="4">
        <f>((ABS(Games[[#This Row],[MOV]])+5)^0.6)/(12+0.01*(ABS(Games[[#This Row],[PreGmRate]]-Games[[#This Row],[OppPreGmRate]])))*IF(Games[[#This Row],[OT]]=1,0.9,1)</f>
        <v>0.28966139291014759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2" s="9">
        <f>MAX(kmin, kmax - 0.15 * MIN(Games[[#This Row],[GamesPlayed]], 82))</f>
        <v>69.25</v>
      </c>
      <c r="Z472" s="4">
        <f>Games[[#This Row],[K]]*Games[[#This Row],[POMult]]</f>
        <v>93.487500000000011</v>
      </c>
      <c r="AA472" s="4">
        <f>(Games[[#This Row],[Keff]]*Games[[#This Row],[MOVMult]])*(Games[[#This Row],[Result]]-Games[[#This Row],[ExpectedWin%]])</f>
        <v>-9.2557563686158133</v>
      </c>
      <c r="AB472" s="4">
        <f>Games[[#This Row],[PreGmRate]]+Games[[#This Row],[RatingChange]]</f>
        <v>1681.2535585892358</v>
      </c>
      <c r="AC472" s="2">
        <f>IF(Games[[#This Row],[Type]]="R",IF(Games[[#This Row],[Result]]&gt;0.5,1,0),0)</f>
        <v>0</v>
      </c>
      <c r="AD472" s="2">
        <f>IF(Games[[#This Row],[Type]]="R",IF(Games[[#This Row],[Result]]&lt;0.5,1,0),0)</f>
        <v>0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0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1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44815</v>
      </c>
      <c r="B473" s="2">
        <v>2022</v>
      </c>
      <c r="C473" s="2">
        <f>COUNTIFS(Games[Team],Games[[#This Row],[Team]],Games[Season],Games[[#This Row],[Season]],Games[Date],"&lt;=" &amp; Games[[#This Row],[Date]])</f>
        <v>43</v>
      </c>
      <c r="D473" s="2" t="s">
        <v>83</v>
      </c>
      <c r="E473" s="2">
        <v>3</v>
      </c>
      <c r="F473" s="1" t="s">
        <v>86</v>
      </c>
      <c r="G473" s="1" t="s">
        <v>74</v>
      </c>
      <c r="H473" s="1" t="s">
        <v>82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3" s="2">
        <f>Games[[#This Row],[DaysOff]]-Games[[#This Row],[OppDaysOff]]</f>
        <v>2</v>
      </c>
      <c r="L473" s="2">
        <f>Games[[#This Row],[OppDaysOff]]-Games[[#This Row],[DaysOff]]</f>
        <v>-2</v>
      </c>
      <c r="M473" s="16">
        <f>MAX(-16, MIN(16, Games[[#This Row],[RestDiff]]*8))</f>
        <v>16</v>
      </c>
      <c r="N473" s="16">
        <f>MAX(-16, MIN(16, Games[[#This Row],[OppRestDiff]]*8))</f>
        <v>-16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1688.3462589151468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1690.5093149578515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0.65820338800124756</v>
      </c>
      <c r="R473" s="1">
        <v>67</v>
      </c>
      <c r="S473" s="1">
        <v>64</v>
      </c>
      <c r="T473" s="1">
        <v>0</v>
      </c>
      <c r="U473" s="16">
        <f>Games[[#This Row],[PointsFor]]-Games[[#This Row],[PointsAgainst]]</f>
        <v>3</v>
      </c>
      <c r="V473" s="16">
        <f>IF(Games[[#This Row],[MOV]]&gt;0,1,IF(Games[[#This Row],[MOV]]=0,0.5,0))</f>
        <v>1</v>
      </c>
      <c r="W473" s="4">
        <f>((ABS(Games[[#This Row],[MOV]])+5)^0.6)/(12+0.01*(ABS(Games[[#This Row],[PreGmRate]]-Games[[#This Row],[OppPreGmRate]])))*IF(Games[[#This Row],[OT]]=1,0.9,1)</f>
        <v>0.28966139291014759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3" s="9">
        <f>MAX(kmin, kmax - 0.15 * MIN(Games[[#This Row],[GamesPlayed]], 82))</f>
        <v>69.55</v>
      </c>
      <c r="Z473" s="4">
        <f>Games[[#This Row],[K]]*Games[[#This Row],[POMult]]</f>
        <v>93.892499999999998</v>
      </c>
      <c r="AA473" s="4">
        <f>(Games[[#This Row],[Keff]]*Games[[#This Row],[MOVMult]])*(Games[[#This Row],[Result]]-Games[[#This Row],[ExpectedWin%]])</f>
        <v>9.2958535081188423</v>
      </c>
      <c r="AB473" s="4">
        <f>Games[[#This Row],[PreGmRate]]+Games[[#This Row],[RatingChange]]</f>
        <v>1697.6421124232656</v>
      </c>
      <c r="AC473" s="2">
        <f>IF(Games[[#This Row],[Type]]="R",IF(Games[[#This Row],[Result]]&gt;0.5,1,0),0)</f>
        <v>0</v>
      </c>
      <c r="AD473" s="2">
        <f>IF(Games[[#This Row],[Type]]="R",IF(Games[[#This Row],[Result]]&lt;0.5,1,0),0)</f>
        <v>0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0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1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44817</v>
      </c>
      <c r="B474" s="2">
        <v>2022</v>
      </c>
      <c r="C474" s="2">
        <f>COUNTIFS(Games[Team],Games[[#This Row],[Team]],Games[Season],Games[[#This Row],[Season]],Games[Date],"&lt;=" &amp; Games[[#This Row],[Date]])</f>
        <v>46</v>
      </c>
      <c r="D474" s="2" t="s">
        <v>83</v>
      </c>
      <c r="E474" s="2">
        <v>3</v>
      </c>
      <c r="F474" s="1" t="s">
        <v>74</v>
      </c>
      <c r="G474" s="1" t="s">
        <v>86</v>
      </c>
      <c r="H474" s="1" t="s">
        <v>81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4" s="2">
        <f>Games[[#This Row],[DaysOff]]-Games[[#This Row],[OppDaysOff]]</f>
        <v>0</v>
      </c>
      <c r="L474" s="2">
        <f>Games[[#This Row],[OppDaysOff]]-Games[[#This Row],[DaysOff]]</f>
        <v>0</v>
      </c>
      <c r="M474" s="16">
        <f>MAX(-16, MIN(16, Games[[#This Row],[RestDiff]]*8))</f>
        <v>0</v>
      </c>
      <c r="N474" s="16">
        <f>MAX(-16, MIN(16, Games[[#This Row],[OppRestDiff]]*8))</f>
        <v>0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1681.2535585892358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1697.6421124232656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0.35941986782990837</v>
      </c>
      <c r="R474" s="1">
        <v>71</v>
      </c>
      <c r="S474" s="1">
        <v>85</v>
      </c>
      <c r="T474" s="1">
        <v>0</v>
      </c>
      <c r="U474" s="16">
        <f>Games[[#This Row],[PointsFor]]-Games[[#This Row],[PointsAgainst]]</f>
        <v>-14</v>
      </c>
      <c r="V474" s="16">
        <f>IF(Games[[#This Row],[MOV]]&gt;0,1,IF(Games[[#This Row],[MOV]]=0,0.5,0))</f>
        <v>0</v>
      </c>
      <c r="W474" s="4">
        <f>((ABS(Games[[#This Row],[MOV]])+5)^0.6)/(12+0.01*(ABS(Games[[#This Row],[PreGmRate]]-Games[[#This Row],[OppPreGmRate]])))*IF(Games[[#This Row],[OT]]=1,0.9,1)</f>
        <v>0.48103849908535024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4" s="9">
        <f>MAX(kmin, kmax - 0.15 * MIN(Games[[#This Row],[GamesPlayed]], 82))</f>
        <v>69.099999999999994</v>
      </c>
      <c r="Z474" s="4">
        <f>Games[[#This Row],[K]]*Games[[#This Row],[POMult]]</f>
        <v>93.284999999999997</v>
      </c>
      <c r="AA474" s="4">
        <f>(Games[[#This Row],[Keff]]*Games[[#This Row],[MOVMult]])*(Games[[#This Row],[Result]]-Games[[#This Row],[ExpectedWin%]])</f>
        <v>-16.128490836121198</v>
      </c>
      <c r="AB474" s="4">
        <f>Games[[#This Row],[PreGmRate]]+Games[[#This Row],[RatingChange]]</f>
        <v>1665.1250677531145</v>
      </c>
      <c r="AC474" s="2">
        <f>IF(Games[[#This Row],[Type]]="R",IF(Games[[#This Row],[Result]]&gt;0.5,1,0),0)</f>
        <v>0</v>
      </c>
      <c r="AD474" s="2">
        <f>IF(Games[[#This Row],[Type]]="R",IF(Games[[#This Row],[Result]]&lt;0.5,1,0),0)</f>
        <v>0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0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1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44817</v>
      </c>
      <c r="B475" s="2">
        <v>2022</v>
      </c>
      <c r="C475" s="2">
        <f>COUNTIFS(Games[Team],Games[[#This Row],[Team]],Games[Season],Games[[#This Row],[Season]],Games[Date],"&lt;=" &amp; Games[[#This Row],[Date]])</f>
        <v>44</v>
      </c>
      <c r="D475" s="2" t="s">
        <v>83</v>
      </c>
      <c r="E475" s="2">
        <v>3</v>
      </c>
      <c r="F475" s="1" t="s">
        <v>86</v>
      </c>
      <c r="G475" s="1" t="s">
        <v>74</v>
      </c>
      <c r="H475" s="1" t="s">
        <v>82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5" s="2">
        <f>Games[[#This Row],[DaysOff]]-Games[[#This Row],[OppDaysOff]]</f>
        <v>0</v>
      </c>
      <c r="L475" s="2">
        <f>Games[[#This Row],[OppDaysOff]]-Games[[#This Row],[DaysOff]]</f>
        <v>0</v>
      </c>
      <c r="M475" s="16">
        <f>MAX(-16, MIN(16, Games[[#This Row],[RestDiff]]*8))</f>
        <v>0</v>
      </c>
      <c r="N475" s="16">
        <f>MAX(-16, MIN(16, Games[[#This Row],[OppRestDiff]]*8))</f>
        <v>0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1697.6421124232656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1681.2535585892358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0.64058013217009169</v>
      </c>
      <c r="R475" s="1">
        <v>85</v>
      </c>
      <c r="S475" s="1">
        <v>71</v>
      </c>
      <c r="T475" s="1">
        <v>0</v>
      </c>
      <c r="U475" s="16">
        <f>Games[[#This Row],[PointsFor]]-Games[[#This Row],[PointsAgainst]]</f>
        <v>14</v>
      </c>
      <c r="V475" s="16">
        <f>IF(Games[[#This Row],[MOV]]&gt;0,1,IF(Games[[#This Row],[MOV]]=0,0.5,0))</f>
        <v>1</v>
      </c>
      <c r="W475" s="4">
        <f>((ABS(Games[[#This Row],[MOV]])+5)^0.6)/(12+0.01*(ABS(Games[[#This Row],[PreGmRate]]-Games[[#This Row],[OppPreGmRate]])))*IF(Games[[#This Row],[OT]]=1,0.9,1)</f>
        <v>0.48103849908535024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5" s="9">
        <f>MAX(kmin, kmax - 0.15 * MIN(Games[[#This Row],[GamesPlayed]], 82))</f>
        <v>69.400000000000006</v>
      </c>
      <c r="Z475" s="4">
        <f>Games[[#This Row],[K]]*Games[[#This Row],[POMult]]</f>
        <v>93.690000000000012</v>
      </c>
      <c r="AA475" s="4">
        <f>(Games[[#This Row],[Keff]]*Games[[#This Row],[MOVMult]])*(Games[[#This Row],[Result]]-Games[[#This Row],[ExpectedWin%]])</f>
        <v>16.198513227594951</v>
      </c>
      <c r="AB475" s="4">
        <f>Games[[#This Row],[PreGmRate]]+Games[[#This Row],[RatingChange]]</f>
        <v>1713.8406256508606</v>
      </c>
      <c r="AC475" s="2">
        <f>IF(Games[[#This Row],[Type]]="R",IF(Games[[#This Row],[Result]]&gt;0.5,1,0),0)</f>
        <v>0</v>
      </c>
      <c r="AD475" s="2">
        <f>IF(Games[[#This Row],[Type]]="R",IF(Games[[#This Row],[Result]]&lt;0.5,1,0),0)</f>
        <v>0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0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1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44819</v>
      </c>
      <c r="B476" s="2">
        <v>2022</v>
      </c>
      <c r="C476" s="2">
        <f>COUNTIFS(Games[Team],Games[[#This Row],[Team]],Games[Season],Games[[#This Row],[Season]],Games[Date],"&lt;=" &amp; Games[[#This Row],[Date]])</f>
        <v>45</v>
      </c>
      <c r="D476" s="2" t="s">
        <v>83</v>
      </c>
      <c r="E476" s="2">
        <v>3</v>
      </c>
      <c r="F476" s="1" t="s">
        <v>86</v>
      </c>
      <c r="G476" s="1" t="s">
        <v>74</v>
      </c>
      <c r="H476" s="1" t="s">
        <v>81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6" s="2">
        <f>Games[[#This Row],[DaysOff]]-Games[[#This Row],[OppDaysOff]]</f>
        <v>0</v>
      </c>
      <c r="L476" s="2">
        <f>Games[[#This Row],[OppDaysOff]]-Games[[#This Row],[DaysOff]]</f>
        <v>0</v>
      </c>
      <c r="M476" s="16">
        <f>MAX(-16, MIN(16, Games[[#This Row],[RestDiff]]*8))</f>
        <v>0</v>
      </c>
      <c r="N476" s="16">
        <f>MAX(-16, MIN(16, Games[[#This Row],[OppRestDiff]]*8))</f>
        <v>0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1713.8406256508606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1665.1250677531145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0.44939546120878215</v>
      </c>
      <c r="R476" s="1">
        <v>76</v>
      </c>
      <c r="S476" s="1">
        <v>105</v>
      </c>
      <c r="T476" s="1">
        <v>0</v>
      </c>
      <c r="U476" s="16">
        <f>Games[[#This Row],[PointsFor]]-Games[[#This Row],[PointsAgainst]]</f>
        <v>-29</v>
      </c>
      <c r="V476" s="16">
        <f>IF(Games[[#This Row],[MOV]]&gt;0,1,IF(Games[[#This Row],[MOV]]=0,0.5,0))</f>
        <v>0</v>
      </c>
      <c r="W476" s="4">
        <f>((ABS(Games[[#This Row],[MOV]])+5)^0.6)/(12+0.01*(ABS(Games[[#This Row],[PreGmRate]]-Games[[#This Row],[OppPreGmRate]])))*IF(Games[[#This Row],[OT]]=1,0.9,1)</f>
        <v>0.66439113276513351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6" s="9">
        <f>MAX(kmin, kmax - 0.15 * MIN(Games[[#This Row],[GamesPlayed]], 82))</f>
        <v>69.25</v>
      </c>
      <c r="Z476" s="4">
        <f>Games[[#This Row],[K]]*Games[[#This Row],[POMult]]</f>
        <v>93.487500000000011</v>
      </c>
      <c r="AA476" s="4">
        <f>(Games[[#This Row],[Keff]]*Games[[#This Row],[MOVMult]])*(Games[[#This Row],[Result]]-Games[[#This Row],[ExpectedWin%]])</f>
        <v>-27.91297043674901</v>
      </c>
      <c r="AB476" s="4">
        <f>Games[[#This Row],[PreGmRate]]+Games[[#This Row],[RatingChange]]</f>
        <v>1685.9276552141116</v>
      </c>
      <c r="AC476" s="2">
        <f>IF(Games[[#This Row],[Type]]="R",IF(Games[[#This Row],[Result]]&gt;0.5,1,0),0)</f>
        <v>0</v>
      </c>
      <c r="AD476" s="2">
        <f>IF(Games[[#This Row],[Type]]="R",IF(Games[[#This Row],[Result]]&lt;0.5,1,0),0)</f>
        <v>0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1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44819</v>
      </c>
      <c r="B477" s="2">
        <v>2022</v>
      </c>
      <c r="C477" s="2">
        <f>COUNTIFS(Games[Team],Games[[#This Row],[Team]],Games[Season],Games[[#This Row],[Season]],Games[Date],"&lt;=" &amp; Games[[#This Row],[Date]])</f>
        <v>47</v>
      </c>
      <c r="D477" s="2" t="s">
        <v>83</v>
      </c>
      <c r="E477" s="2">
        <v>3</v>
      </c>
      <c r="F477" s="1" t="s">
        <v>74</v>
      </c>
      <c r="G477" s="1" t="s">
        <v>86</v>
      </c>
      <c r="H477" s="1" t="s">
        <v>82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7" s="2">
        <f>Games[[#This Row],[DaysOff]]-Games[[#This Row],[OppDaysOff]]</f>
        <v>0</v>
      </c>
      <c r="L477" s="2">
        <f>Games[[#This Row],[OppDaysOff]]-Games[[#This Row],[DaysOff]]</f>
        <v>0</v>
      </c>
      <c r="M477" s="16">
        <f>MAX(-16, MIN(16, Games[[#This Row],[RestDiff]]*8))</f>
        <v>0</v>
      </c>
      <c r="N477" s="16">
        <f>MAX(-16, MIN(16, Games[[#This Row],[OppRestDiff]]*8))</f>
        <v>0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1665.1250677531145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1713.8406256508606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0.55060453879121785</v>
      </c>
      <c r="R477" s="1">
        <v>105</v>
      </c>
      <c r="S477" s="1">
        <v>76</v>
      </c>
      <c r="T477" s="1">
        <v>0</v>
      </c>
      <c r="U477" s="16">
        <f>Games[[#This Row],[PointsFor]]-Games[[#This Row],[PointsAgainst]]</f>
        <v>29</v>
      </c>
      <c r="V477" s="16">
        <f>IF(Games[[#This Row],[MOV]]&gt;0,1,IF(Games[[#This Row],[MOV]]=0,0.5,0))</f>
        <v>1</v>
      </c>
      <c r="W477" s="4">
        <f>((ABS(Games[[#This Row],[MOV]])+5)^0.6)/(12+0.01*(ABS(Games[[#This Row],[PreGmRate]]-Games[[#This Row],[OppPreGmRate]])))*IF(Games[[#This Row],[OT]]=1,0.9,1)</f>
        <v>0.66439113276513351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7" s="9">
        <f>MAX(kmin, kmax - 0.15 * MIN(Games[[#This Row],[GamesPlayed]], 82))</f>
        <v>68.95</v>
      </c>
      <c r="Z477" s="4">
        <f>Games[[#This Row],[K]]*Games[[#This Row],[POMult]]</f>
        <v>93.08250000000001</v>
      </c>
      <c r="AA477" s="4">
        <f>(Games[[#This Row],[Keff]]*Games[[#This Row],[MOVMult]])*(Games[[#This Row],[Result]]-Games[[#This Row],[ExpectedWin%]])</f>
        <v>27.792047821138546</v>
      </c>
      <c r="AB477" s="4">
        <f>Games[[#This Row],[PreGmRate]]+Games[[#This Row],[RatingChange]]</f>
        <v>1692.9171155742531</v>
      </c>
      <c r="AC477" s="2">
        <f>IF(Games[[#This Row],[Type]]="R",IF(Games[[#This Row],[Result]]&gt;0.5,1,0),0)</f>
        <v>0</v>
      </c>
      <c r="AD477" s="2">
        <f>IF(Games[[#This Row],[Type]]="R",IF(Games[[#This Row],[Result]]&lt;0.5,1,0),0)</f>
        <v>0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1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  <row r="478" spans="1:38" x14ac:dyDescent="0.35">
      <c r="A478" s="10">
        <v>44822</v>
      </c>
      <c r="B478" s="2">
        <v>2022</v>
      </c>
      <c r="C478" s="2">
        <f>COUNTIFS(Games[Team],Games[[#This Row],[Team]],Games[Season],Games[[#This Row],[Season]],Games[Date],"&lt;=" &amp; Games[[#This Row],[Date]])</f>
        <v>46</v>
      </c>
      <c r="D478" s="2" t="s">
        <v>83</v>
      </c>
      <c r="E478" s="2">
        <v>3</v>
      </c>
      <c r="F478" s="1" t="s">
        <v>86</v>
      </c>
      <c r="G478" s="1" t="s">
        <v>74</v>
      </c>
      <c r="H478" s="1" t="s">
        <v>81</v>
      </c>
      <c r="I478" s="2" cm="1">
        <f t="array" ref="I4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8" s="2" cm="1">
        <f t="array" ref="J4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8" s="2">
        <f>Games[[#This Row],[DaysOff]]-Games[[#This Row],[OppDaysOff]]</f>
        <v>0</v>
      </c>
      <c r="L478" s="2">
        <f>Games[[#This Row],[OppDaysOff]]-Games[[#This Row],[DaysOff]]</f>
        <v>0</v>
      </c>
      <c r="M478" s="16">
        <f>MAX(-16, MIN(16, Games[[#This Row],[RestDiff]]*8))</f>
        <v>0</v>
      </c>
      <c r="N478" s="16">
        <f>MAX(-16, MIN(16, Games[[#This Row],[OppRestDiff]]*8))</f>
        <v>0</v>
      </c>
      <c r="O478" s="4" cm="1">
        <f t="array" ref="O4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1685.9276552141116</v>
      </c>
      <c r="P478" s="4" cm="1">
        <f t="array" ref="P4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1692.9171155742531</v>
      </c>
      <c r="Q478" s="4">
        <f>1/(1+10^(((Games[[#This Row],[OppPreGmRate]]+IF(Games[[#This Row],[HomeAway]]="A",HCA,0)+Games[[#This Row],[OppRestAdj]])-(Games[[#This Row],[PreGmRate]]+IF(Games[[#This Row],[HomeAway]]="H",HCA,0)+Games[[#This Row],[RestAdj]]))/400))</f>
        <v>0.37196936751875526</v>
      </c>
      <c r="R478" s="1">
        <v>78</v>
      </c>
      <c r="S478" s="1">
        <v>71</v>
      </c>
      <c r="T478" s="1">
        <v>0</v>
      </c>
      <c r="U478" s="16">
        <f>Games[[#This Row],[PointsFor]]-Games[[#This Row],[PointsAgainst]]</f>
        <v>7</v>
      </c>
      <c r="V478" s="16">
        <f>IF(Games[[#This Row],[MOV]]&gt;0,1,IF(Games[[#This Row],[MOV]]=0,0.5,0))</f>
        <v>1</v>
      </c>
      <c r="W478" s="4">
        <f>((ABS(Games[[#This Row],[MOV]])+5)^0.6)/(12+0.01*(ABS(Games[[#This Row],[PreGmRate]]-Games[[#This Row],[OppPreGmRate]])))*IF(Games[[#This Row],[OT]]=1,0.9,1)</f>
        <v>0.36796394796360932</v>
      </c>
      <c r="X478" s="7" cm="1">
        <f t="array" ref="X4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8" s="9">
        <f>MAX(kmin, kmax - 0.15 * MIN(Games[[#This Row],[GamesPlayed]], 82))</f>
        <v>69.099999999999994</v>
      </c>
      <c r="Z478" s="4">
        <f>Games[[#This Row],[K]]*Games[[#This Row],[POMult]]</f>
        <v>93.284999999999997</v>
      </c>
      <c r="AA478" s="4">
        <f>(Games[[#This Row],[Keff]]*Games[[#This Row],[MOVMult]])*(Games[[#This Row],[Result]]-Games[[#This Row],[ExpectedWin%]])</f>
        <v>21.557476080025385</v>
      </c>
      <c r="AB478" s="4">
        <f>Games[[#This Row],[PreGmRate]]+Games[[#This Row],[RatingChange]]</f>
        <v>1707.4851312941371</v>
      </c>
      <c r="AC478" s="2">
        <f>IF(Games[[#This Row],[Type]]="R",IF(Games[[#This Row],[Result]]&gt;0.5,1,0),0)</f>
        <v>0</v>
      </c>
      <c r="AD478" s="2">
        <f>IF(Games[[#This Row],[Type]]="R",IF(Games[[#This Row],[Result]]&lt;0.5,1,0),0)</f>
        <v>0</v>
      </c>
      <c r="AE478" s="2">
        <f>IF(AND(Games[[#This Row],[Type]]="P",Games[[#This Row],[Round]]=1),IF(Games[[#This Row],[Result]]&gt;0.5,1,0),0)</f>
        <v>0</v>
      </c>
      <c r="AF478" s="2">
        <f>IF(AND(Games[[#This Row],[Type]]="P",Games[[#This Row],[Round]]=1),IF(Games[[#This Row],[Result]]&lt;0.5,1,0),0)</f>
        <v>0</v>
      </c>
      <c r="AG478" s="2">
        <f>IF(AND(Games[[#This Row],[Type]]="P",Games[[#This Row],[Round]]=2),IF(Games[[#This Row],[Result]]&gt;0.5,1,0),0)</f>
        <v>0</v>
      </c>
      <c r="AH478" s="2">
        <f>IF(AND(Games[[#This Row],[Type]]="P",Games[[#This Row],[Round]]=2),IF(Games[[#This Row],[Result]]&lt;0.5,1,0),0)</f>
        <v>0</v>
      </c>
      <c r="AI478" s="2">
        <f>IF(AND(Games[[#This Row],[Type]]="P",Games[[#This Row],[Round]]=3),IF(Games[[#This Row],[Result]]&gt;0.5,1,0),0)</f>
        <v>1</v>
      </c>
      <c r="AJ478" s="2">
        <f>IF(AND(Games[[#This Row],[Type]]="P",Games[[#This Row],[Round]]=3),IF(Games[[#This Row],[Result]]&lt;0.5,1,0),0)</f>
        <v>0</v>
      </c>
      <c r="AK478" s="2">
        <f>IF(AND(Games[[#This Row],[Type]]="P",Games[[#This Row],[Round]]=4),IF(Games[[#This Row],[Result]]&gt;0.5,1,0),0)</f>
        <v>0</v>
      </c>
      <c r="AL478" s="2">
        <f>IF(AND(Games[[#This Row],[Type]]="P",Games[[#This Row],[Round]]=4),IF(Games[[#This Row],[Result]]&lt;0.5,1,0),0)</f>
        <v>0</v>
      </c>
    </row>
    <row r="479" spans="1:38" x14ac:dyDescent="0.35">
      <c r="A479" s="10">
        <v>44822</v>
      </c>
      <c r="B479" s="2">
        <v>2022</v>
      </c>
      <c r="C479" s="2">
        <f>COUNTIFS(Games[Team],Games[[#This Row],[Team]],Games[Season],Games[[#This Row],[Season]],Games[Date],"&lt;=" &amp; Games[[#This Row],[Date]])</f>
        <v>48</v>
      </c>
      <c r="D479" s="2" t="s">
        <v>83</v>
      </c>
      <c r="E479" s="2">
        <v>3</v>
      </c>
      <c r="F479" s="1" t="s">
        <v>74</v>
      </c>
      <c r="G479" s="1" t="s">
        <v>86</v>
      </c>
      <c r="H479" s="1" t="s">
        <v>82</v>
      </c>
      <c r="I479" s="2" cm="1">
        <f t="array" ref="I4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9" s="2" cm="1">
        <f t="array" ref="J4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9" s="2">
        <f>Games[[#This Row],[DaysOff]]-Games[[#This Row],[OppDaysOff]]</f>
        <v>0</v>
      </c>
      <c r="L479" s="2">
        <f>Games[[#This Row],[OppDaysOff]]-Games[[#This Row],[DaysOff]]</f>
        <v>0</v>
      </c>
      <c r="M479" s="16">
        <f>MAX(-16, MIN(16, Games[[#This Row],[RestDiff]]*8))</f>
        <v>0</v>
      </c>
      <c r="N479" s="16">
        <f>MAX(-16, MIN(16, Games[[#This Row],[OppRestDiff]]*8))</f>
        <v>0</v>
      </c>
      <c r="O479" s="4" cm="1">
        <f t="array" ref="O4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1692.9171155742531</v>
      </c>
      <c r="P479" s="4" cm="1">
        <f t="array" ref="P4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1685.9276552141116</v>
      </c>
      <c r="Q479" s="4">
        <f>1/(1+10^(((Games[[#This Row],[OppPreGmRate]]+IF(Games[[#This Row],[HomeAway]]="A",HCA,0)+Games[[#This Row],[OppRestAdj]])-(Games[[#This Row],[PreGmRate]]+IF(Games[[#This Row],[HomeAway]]="H",HCA,0)+Games[[#This Row],[RestAdj]]))/400))</f>
        <v>0.62803063248124469</v>
      </c>
      <c r="R479" s="1">
        <v>71</v>
      </c>
      <c r="S479" s="1">
        <v>78</v>
      </c>
      <c r="T479" s="1">
        <v>0</v>
      </c>
      <c r="U479" s="16">
        <f>Games[[#This Row],[PointsFor]]-Games[[#This Row],[PointsAgainst]]</f>
        <v>-7</v>
      </c>
      <c r="V479" s="16">
        <f>IF(Games[[#This Row],[MOV]]&gt;0,1,IF(Games[[#This Row],[MOV]]=0,0.5,0))</f>
        <v>0</v>
      </c>
      <c r="W479" s="4">
        <f>((ABS(Games[[#This Row],[MOV]])+5)^0.6)/(12+0.01*(ABS(Games[[#This Row],[PreGmRate]]-Games[[#This Row],[OppPreGmRate]])))*IF(Games[[#This Row],[OT]]=1,0.9,1)</f>
        <v>0.36796394796360932</v>
      </c>
      <c r="X479" s="7" cm="1">
        <f t="array" ref="X4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9" s="9">
        <f>MAX(kmin, kmax - 0.15 * MIN(Games[[#This Row],[GamesPlayed]], 82))</f>
        <v>68.8</v>
      </c>
      <c r="Z479" s="4">
        <f>Games[[#This Row],[K]]*Games[[#This Row],[POMult]]</f>
        <v>92.88</v>
      </c>
      <c r="AA479" s="4">
        <f>(Games[[#This Row],[Keff]]*Games[[#This Row],[MOVMult]])*(Games[[#This Row],[Result]]-Games[[#This Row],[ExpectedWin%]])</f>
        <v>-21.463883564482579</v>
      </c>
      <c r="AB479" s="4">
        <f>Games[[#This Row],[PreGmRate]]+Games[[#This Row],[RatingChange]]</f>
        <v>1671.4532320097705</v>
      </c>
      <c r="AC479" s="2">
        <f>IF(Games[[#This Row],[Type]]="R",IF(Games[[#This Row],[Result]]&gt;0.5,1,0),0)</f>
        <v>0</v>
      </c>
      <c r="AD479" s="2">
        <f>IF(Games[[#This Row],[Type]]="R",IF(Games[[#This Row],[Result]]&lt;0.5,1,0),0)</f>
        <v>0</v>
      </c>
      <c r="AE479" s="2">
        <f>IF(AND(Games[[#This Row],[Type]]="P",Games[[#This Row],[Round]]=1),IF(Games[[#This Row],[Result]]&gt;0.5,1,0),0)</f>
        <v>0</v>
      </c>
      <c r="AF479" s="2">
        <f>IF(AND(Games[[#This Row],[Type]]="P",Games[[#This Row],[Round]]=1),IF(Games[[#This Row],[Result]]&lt;0.5,1,0),0)</f>
        <v>0</v>
      </c>
      <c r="AG479" s="2">
        <f>IF(AND(Games[[#This Row],[Type]]="P",Games[[#This Row],[Round]]=2),IF(Games[[#This Row],[Result]]&gt;0.5,1,0),0)</f>
        <v>0</v>
      </c>
      <c r="AH479" s="2">
        <f>IF(AND(Games[[#This Row],[Type]]="P",Games[[#This Row],[Round]]=2),IF(Games[[#This Row],[Result]]&lt;0.5,1,0),0)</f>
        <v>0</v>
      </c>
      <c r="AI479" s="2">
        <f>IF(AND(Games[[#This Row],[Type]]="P",Games[[#This Row],[Round]]=3),IF(Games[[#This Row],[Result]]&gt;0.5,1,0),0)</f>
        <v>0</v>
      </c>
      <c r="AJ479" s="2">
        <f>IF(AND(Games[[#This Row],[Type]]="P",Games[[#This Row],[Round]]=3),IF(Games[[#This Row],[Result]]&lt;0.5,1,0),0)</f>
        <v>1</v>
      </c>
      <c r="AK479" s="2">
        <f>IF(AND(Games[[#This Row],[Type]]="P",Games[[#This Row],[Round]]=4),IF(Games[[#This Row],[Result]]&gt;0.5,1,0),0)</f>
        <v>0</v>
      </c>
      <c r="AL479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2026-07-28T21:55:17Z</dcterms:modified>
</cp:coreProperties>
</file>
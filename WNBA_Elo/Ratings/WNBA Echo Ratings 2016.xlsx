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A575AA04-3576-4D9E-AC79-27D2049FD4AA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J440" i="2" a="1"/>
  <c r="J441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E29" i="3"/>
  <c r="D29" i="3"/>
  <c r="C29" i="3"/>
  <c r="B29" i="3"/>
  <c r="E35" i="3"/>
  <c r="D35" i="3"/>
  <c r="C35" i="3"/>
  <c r="B35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1" i="3"/>
  <c r="D31" i="3"/>
  <c r="C31" i="3"/>
  <c r="B31" i="3"/>
  <c r="E27" i="3"/>
  <c r="D27" i="3"/>
  <c r="C27" i="3"/>
  <c r="B27" i="3"/>
  <c r="E28" i="3"/>
  <c r="D28" i="3"/>
  <c r="C28" i="3"/>
  <c r="B28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K420" i="2" l="1"/>
  <c r="M420" i="2" s="1"/>
  <c r="L420" i="2"/>
  <c r="N420" i="2" s="1"/>
  <c r="L439" i="2"/>
  <c r="N439" i="2" s="1"/>
  <c r="K439" i="2"/>
  <c r="M439" i="2" s="1"/>
  <c r="L440" i="2"/>
  <c r="N440" i="2" s="1"/>
  <c r="K440" i="2"/>
  <c r="M440" i="2" s="1"/>
  <c r="F26" i="3"/>
  <c r="L416" i="2"/>
  <c r="N416" i="2" s="1"/>
  <c r="K416" i="2"/>
  <c r="M416" i="2" s="1"/>
  <c r="F29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L441" i="2"/>
  <c r="N441" i="2" s="1"/>
  <c r="K441" i="2"/>
  <c r="M441" i="2" s="1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28" i="3"/>
  <c r="AE386" i="2"/>
  <c r="AD386" i="2"/>
  <c r="AE387" i="2"/>
  <c r="AD387" i="2"/>
  <c r="AE388" i="2"/>
  <c r="AD388" i="2"/>
  <c r="AE389" i="2"/>
  <c r="AD389" i="2"/>
  <c r="F35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1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3" i="3"/>
  <c r="B33" i="3"/>
  <c r="C34" i="3"/>
  <c r="B34" i="3"/>
  <c r="C30" i="3"/>
  <c r="B30" i="3"/>
  <c r="C32" i="3"/>
  <c r="B32" i="3"/>
  <c r="Q16" i="2" l="1"/>
  <c r="Q17" i="2"/>
  <c r="W16" i="2"/>
  <c r="W17" i="2"/>
  <c r="AA16" i="2" l="1"/>
  <c r="AB16" i="2" s="1"/>
  <c r="AA17" i="2"/>
  <c r="AB17" i="2" s="1"/>
  <c r="E33" i="3"/>
  <c r="D33" i="3"/>
  <c r="E34" i="3"/>
  <c r="D34" i="3"/>
  <c r="E30" i="3"/>
  <c r="D30" i="3"/>
  <c r="E32" i="3"/>
  <c r="D32" i="3"/>
  <c r="O19" i="2" l="1" a="1"/>
  <c r="O18" i="2" a="1"/>
  <c r="P19" i="2" a="1"/>
  <c r="P18" i="2" a="1"/>
  <c r="F30" i="3"/>
  <c r="F33" i="3"/>
  <c r="F34" i="3"/>
  <c r="F32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O29" i="2" a="1"/>
  <c r="P29" i="2" a="1"/>
  <c r="Q29" i="2" s="1"/>
  <c r="O28" i="2" a="1"/>
  <c r="P28" i="2" a="1"/>
  <c r="Q26" i="2" l="1"/>
  <c r="W28" i="2"/>
  <c r="Q27" i="2"/>
  <c r="W26" i="2"/>
  <c r="W27" i="2"/>
  <c r="W29" i="2"/>
  <c r="AA29" i="2" s="1"/>
  <c r="AB29" i="2" s="1"/>
  <c r="Q28" i="2"/>
  <c r="P31" i="2" l="1" a="1"/>
  <c r="O30" i="2" a="1"/>
  <c r="O31" i="2" a="1"/>
  <c r="P30" i="2" a="1"/>
  <c r="AA26" i="2"/>
  <c r="AB26" i="2" s="1"/>
  <c r="AA28" i="2"/>
  <c r="AB28" i="2" s="1"/>
  <c r="AA27" i="2"/>
  <c r="AB27" i="2" s="1"/>
  <c r="Q31" i="2" l="1"/>
  <c r="Q30" i="2"/>
  <c r="W31" i="2"/>
  <c r="AA31" i="2" s="1"/>
  <c r="AB31" i="2" s="1"/>
  <c r="W30" i="2"/>
  <c r="O33" i="2" a="1"/>
  <c r="P33" i="2" a="1"/>
  <c r="P32" i="2" a="1"/>
  <c r="O32" i="2" a="1"/>
  <c r="AA30" i="2" l="1"/>
  <c r="AB30" i="2" s="1"/>
  <c r="Q32" i="2"/>
  <c r="Q33" i="2"/>
  <c r="W33" i="2"/>
  <c r="W32" i="2"/>
  <c r="AA32" i="2" l="1"/>
  <c r="AB32" i="2" s="1"/>
  <c r="AA33" i="2"/>
  <c r="AB33" i="2" s="1"/>
  <c r="O34" i="2" a="1"/>
  <c r="O35" i="2" a="1"/>
  <c r="P34" i="2" a="1"/>
  <c r="P35" i="2" a="1"/>
  <c r="Q34" i="2" l="1"/>
  <c r="W34" i="2"/>
  <c r="W35" i="2"/>
  <c r="Q35" i="2"/>
  <c r="AA35" i="2" l="1"/>
  <c r="AB35" i="2" s="1"/>
  <c r="AA34" i="2"/>
  <c r="AB34" i="2" s="1"/>
  <c r="O37" i="2" l="1" a="1"/>
  <c r="P36" i="2" a="1"/>
  <c r="O36" i="2" a="1"/>
  <c r="W36" i="2" s="1"/>
  <c r="P37" i="2" a="1"/>
  <c r="P39" i="2" a="1"/>
  <c r="P38" i="2" a="1"/>
  <c r="O38" i="2" a="1"/>
  <c r="O39" i="2" a="1"/>
  <c r="Q37" i="2" l="1"/>
  <c r="W37" i="2"/>
  <c r="AA37" i="2" s="1"/>
  <c r="AB37" i="2" s="1"/>
  <c r="Q36" i="2"/>
  <c r="AA36" i="2" s="1"/>
  <c r="AB36" i="2" s="1"/>
  <c r="Q38" i="2"/>
  <c r="Q39" i="2"/>
  <c r="W38" i="2"/>
  <c r="W39" i="2"/>
  <c r="AA38" i="2" l="1"/>
  <c r="AB38" i="2" s="1"/>
  <c r="AA39" i="2"/>
  <c r="AB39" i="2" s="1"/>
  <c r="O41" i="2" l="1" a="1"/>
  <c r="P41" i="2" a="1"/>
  <c r="P40" i="2" a="1"/>
  <c r="O40" i="2" a="1"/>
  <c r="Q41" i="2" l="1"/>
  <c r="Q40" i="2"/>
  <c r="W41" i="2"/>
  <c r="W40" i="2"/>
  <c r="AA41" i="2" l="1"/>
  <c r="AB41" i="2" s="1"/>
  <c r="AA40" i="2"/>
  <c r="AB40" i="2" s="1"/>
  <c r="O43" i="2" l="1" a="1"/>
  <c r="O42" i="2" a="1"/>
  <c r="P43" i="2" a="1"/>
  <c r="P42" i="2" a="1"/>
  <c r="Q43" i="2" l="1"/>
  <c r="Q42" i="2"/>
  <c r="W43" i="2"/>
  <c r="W42" i="2"/>
  <c r="AA43" i="2" l="1"/>
  <c r="AB43" i="2" s="1"/>
  <c r="P45" i="2" a="1"/>
  <c r="O44" i="2" a="1"/>
  <c r="P44" i="2" a="1"/>
  <c r="O45" i="2" a="1"/>
  <c r="AA42" i="2"/>
  <c r="AB42" i="2" s="1"/>
  <c r="W44" i="2" l="1"/>
  <c r="W45" i="2"/>
  <c r="Q44" i="2"/>
  <c r="Q45" i="2"/>
  <c r="AA44" i="2" l="1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O54" i="2" a="1"/>
  <c r="O55" i="2" a="1"/>
  <c r="P54" i="2" a="1"/>
  <c r="P55" i="2" a="1"/>
  <c r="Q53" i="2" l="1"/>
  <c r="Q55" i="2"/>
  <c r="W52" i="2"/>
  <c r="Q54" i="2"/>
  <c r="Q52" i="2"/>
  <c r="W54" i="2"/>
  <c r="W55" i="2"/>
  <c r="W53" i="2"/>
  <c r="AA52" i="2" l="1"/>
  <c r="AB52" i="2" s="1"/>
  <c r="AA55" i="2"/>
  <c r="AB55" i="2" s="1"/>
  <c r="AA54" i="2"/>
  <c r="AB54" i="2" s="1"/>
  <c r="AA53" i="2"/>
  <c r="AB53" i="2" s="1"/>
  <c r="P57" i="2" l="1" a="1"/>
  <c r="O57" i="2" a="1"/>
  <c r="O56" i="2" a="1"/>
  <c r="P56" i="2" a="1"/>
  <c r="Q56" i="2" s="1"/>
  <c r="W57" i="2" l="1"/>
  <c r="Q57" i="2"/>
  <c r="AA57" i="2" s="1"/>
  <c r="AB57" i="2" s="1"/>
  <c r="W56" i="2"/>
  <c r="AA56" i="2" s="1"/>
  <c r="AB56" i="2" s="1"/>
  <c r="P63" i="2" l="1" a="1"/>
  <c r="O63" i="2" a="1"/>
  <c r="W63" i="2" s="1"/>
  <c r="O62" i="2" a="1"/>
  <c r="P61" i="2" a="1"/>
  <c r="O60" i="2" a="1"/>
  <c r="O59" i="2" a="1"/>
  <c r="O58" i="2" a="1"/>
  <c r="P60" i="2" a="1"/>
  <c r="O61" i="2" a="1"/>
  <c r="P62" i="2" a="1"/>
  <c r="Q62" i="2" s="1"/>
  <c r="P59" i="2" a="1"/>
  <c r="P58" i="2" a="1"/>
  <c r="W61" i="2" l="1"/>
  <c r="Q59" i="2"/>
  <c r="Q58" i="2"/>
  <c r="Q60" i="2"/>
  <c r="W60" i="2"/>
  <c r="AA60" i="2" s="1"/>
  <c r="AB60" i="2" s="1"/>
  <c r="W62" i="2"/>
  <c r="AA62" i="2" s="1"/>
  <c r="AB62" i="2" s="1"/>
  <c r="W59" i="2"/>
  <c r="Q61" i="2"/>
  <c r="AA61" i="2" s="1"/>
  <c r="AB61" i="2" s="1"/>
  <c r="Q63" i="2"/>
  <c r="AA63" i="2" s="1"/>
  <c r="AB63" i="2" s="1"/>
  <c r="W58" i="2"/>
  <c r="AA59" i="2" l="1"/>
  <c r="AB59" i="2" s="1"/>
  <c r="AA58" i="2"/>
  <c r="AB58" i="2" s="1"/>
  <c r="O67" i="2" a="1"/>
  <c r="P65" i="2" a="1"/>
  <c r="O66" i="2" a="1"/>
  <c r="P64" i="2" a="1"/>
  <c r="Q64" i="2" s="1"/>
  <c r="O64" i="2" a="1"/>
  <c r="O65" i="2" a="1"/>
  <c r="P66" i="2" a="1"/>
  <c r="P67" i="2" a="1"/>
  <c r="W65" i="2" l="1"/>
  <c r="Q66" i="2"/>
  <c r="Q67" i="2"/>
  <c r="W67" i="2"/>
  <c r="Q65" i="2"/>
  <c r="AA65" i="2" s="1"/>
  <c r="AB65" i="2" s="1"/>
  <c r="W64" i="2"/>
  <c r="AA64" i="2" s="1"/>
  <c r="AB64" i="2" s="1"/>
  <c r="W66" i="2"/>
  <c r="AA67" i="2" l="1"/>
  <c r="AB67" i="2" s="1"/>
  <c r="AA66" i="2"/>
  <c r="AB66" i="2" s="1"/>
  <c r="O70" i="2" a="1"/>
  <c r="P70" i="2" a="1"/>
  <c r="P69" i="2" a="1"/>
  <c r="O68" i="2" a="1"/>
  <c r="P71" i="2" a="1"/>
  <c r="Q71" i="2" s="1"/>
  <c r="P68" i="2" a="1"/>
  <c r="O69" i="2" a="1"/>
  <c r="W69" i="2" s="1"/>
  <c r="O71" i="2" a="1"/>
  <c r="Q70" i="2" l="1"/>
  <c r="Q68" i="2"/>
  <c r="W70" i="2"/>
  <c r="W68" i="2"/>
  <c r="W71" i="2"/>
  <c r="AA71" i="2" s="1"/>
  <c r="AB71" i="2" s="1"/>
  <c r="Q69" i="2"/>
  <c r="AA69" i="2" s="1"/>
  <c r="AB69" i="2" s="1"/>
  <c r="AA68" i="2" l="1"/>
  <c r="AB68" i="2" s="1"/>
  <c r="AA70" i="2"/>
  <c r="AB70" i="2" s="1"/>
  <c r="P73" i="2" a="1"/>
  <c r="P72" i="2" a="1"/>
  <c r="O72" i="2" a="1"/>
  <c r="O73" i="2" a="1"/>
  <c r="Q73" i="2" l="1"/>
  <c r="W72" i="2"/>
  <c r="Q72" i="2"/>
  <c r="AA72" i="2" s="1"/>
  <c r="AB72" i="2" s="1"/>
  <c r="W73" i="2"/>
  <c r="AA73" i="2" s="1"/>
  <c r="AB73" i="2" s="1"/>
  <c r="P75" i="2" l="1" a="1"/>
  <c r="P74" i="2" a="1"/>
  <c r="Q74" i="2" s="1"/>
  <c r="O75" i="2" a="1"/>
  <c r="O74" i="2" a="1"/>
  <c r="O76" i="2" a="1"/>
  <c r="P77" i="2" a="1"/>
  <c r="P76" i="2" a="1"/>
  <c r="O77" i="2" a="1"/>
  <c r="O78" i="2" a="1"/>
  <c r="P78" i="2" a="1"/>
  <c r="O79" i="2" a="1"/>
  <c r="P79" i="2" a="1"/>
  <c r="W75" i="2" l="1"/>
  <c r="Q75" i="2"/>
  <c r="AA75" i="2" s="1"/>
  <c r="AB75" i="2" s="1"/>
  <c r="Q77" i="2"/>
  <c r="Q76" i="2"/>
  <c r="W74" i="2"/>
  <c r="AA74" i="2" s="1"/>
  <c r="AB74" i="2" s="1"/>
  <c r="W76" i="2"/>
  <c r="AA76" i="2" s="1"/>
  <c r="AB76" i="2" s="1"/>
  <c r="W77" i="2"/>
  <c r="Q78" i="2"/>
  <c r="W79" i="2"/>
  <c r="W78" i="2"/>
  <c r="Q79" i="2"/>
  <c r="AA77" i="2" l="1"/>
  <c r="AB77" i="2" s="1"/>
  <c r="AA78" i="2"/>
  <c r="AB78" i="2" s="1"/>
  <c r="AA79" i="2"/>
  <c r="AB79" i="2" s="1"/>
  <c r="O80" i="2" a="1"/>
  <c r="P81" i="2" a="1"/>
  <c r="O81" i="2" a="1"/>
  <c r="P80" i="2" a="1"/>
  <c r="Q80" i="2" l="1"/>
  <c r="W81" i="2"/>
  <c r="W80" i="2"/>
  <c r="Q81" i="2"/>
  <c r="AA80" i="2" l="1"/>
  <c r="AB80" i="2" s="1"/>
  <c r="AA81" i="2"/>
  <c r="AB81" i="2" s="1"/>
  <c r="O82" i="2" l="1" a="1"/>
  <c r="P83" i="2" a="1"/>
  <c r="P82" i="2" a="1"/>
  <c r="O83" i="2" a="1"/>
  <c r="Q83" i="2" l="1"/>
  <c r="W82" i="2"/>
  <c r="Q82" i="2"/>
  <c r="W83" i="2"/>
  <c r="AA83" i="2" l="1"/>
  <c r="AB83" i="2" s="1"/>
  <c r="AA82" i="2"/>
  <c r="AB82" i="2" s="1"/>
  <c r="O85" i="2" a="1"/>
  <c r="P84" i="2" a="1"/>
  <c r="P85" i="2" a="1"/>
  <c r="O84" i="2" a="1"/>
  <c r="W85" i="2" l="1"/>
  <c r="W84" i="2"/>
  <c r="Q84" i="2"/>
  <c r="Q85" i="2"/>
  <c r="AA84" i="2" l="1"/>
  <c r="AB84" i="2" s="1"/>
  <c r="AA85" i="2"/>
  <c r="AB85" i="2" s="1"/>
  <c r="O90" i="2" a="1"/>
  <c r="O91" i="2" a="1"/>
  <c r="P90" i="2" a="1"/>
  <c r="P91" i="2" a="1"/>
  <c r="P89" i="2" a="1"/>
  <c r="P88" i="2" a="1"/>
  <c r="O88" i="2" a="1"/>
  <c r="O89" i="2" a="1"/>
  <c r="P86" i="2" l="1" a="1"/>
  <c r="P87" i="2" a="1"/>
  <c r="O87" i="2" a="1"/>
  <c r="O86" i="2" a="1"/>
  <c r="Q88" i="2"/>
  <c r="W90" i="2"/>
  <c r="W91" i="2"/>
  <c r="Q89" i="2"/>
  <c r="Q90" i="2"/>
  <c r="Q91" i="2"/>
  <c r="W88" i="2"/>
  <c r="W89" i="2"/>
  <c r="W86" i="2" l="1"/>
  <c r="W87" i="2"/>
  <c r="Q86" i="2"/>
  <c r="AA86" i="2" s="1"/>
  <c r="AB86" i="2" s="1"/>
  <c r="Q87" i="2"/>
  <c r="AA87" i="2" s="1"/>
  <c r="AB87" i="2" s="1"/>
  <c r="AA88" i="2"/>
  <c r="AB88" i="2" s="1"/>
  <c r="AA90" i="2"/>
  <c r="AB90" i="2" s="1"/>
  <c r="AA91" i="2"/>
  <c r="AB91" i="2" s="1"/>
  <c r="AA89" i="2"/>
  <c r="AB89" i="2" s="1"/>
  <c r="P92" i="2" l="1" a="1"/>
  <c r="P95" i="2" a="1"/>
  <c r="O92" i="2" a="1"/>
  <c r="O93" i="2" a="1"/>
  <c r="O94" i="2" a="1"/>
  <c r="P93" i="2" a="1"/>
  <c r="O95" i="2" a="1"/>
  <c r="P94" i="2" a="1"/>
  <c r="Q93" i="2" l="1"/>
  <c r="Q92" i="2"/>
  <c r="W95" i="2"/>
  <c r="Q94" i="2"/>
  <c r="Q95" i="2"/>
  <c r="AA95" i="2" s="1"/>
  <c r="AB95" i="2" s="1"/>
  <c r="W92" i="2"/>
  <c r="W93" i="2"/>
  <c r="W94" i="2"/>
  <c r="AA93" i="2" l="1"/>
  <c r="AB93" i="2" s="1"/>
  <c r="AA92" i="2"/>
  <c r="AB92" i="2" s="1"/>
  <c r="AA94" i="2"/>
  <c r="AB94" i="2" s="1"/>
  <c r="P97" i="2" a="1"/>
  <c r="O97" i="2" a="1"/>
  <c r="P96" i="2" a="1"/>
  <c r="O96" i="2" a="1"/>
  <c r="W97" i="2" l="1"/>
  <c r="Q96" i="2"/>
  <c r="Q97" i="2"/>
  <c r="W96" i="2"/>
  <c r="O98" i="2" a="1"/>
  <c r="O99" i="2" a="1"/>
  <c r="P99" i="2" a="1"/>
  <c r="P98" i="2" a="1"/>
  <c r="AA97" i="2" l="1"/>
  <c r="AB97" i="2" s="1"/>
  <c r="AA96" i="2"/>
  <c r="AB96" i="2" s="1"/>
  <c r="W99" i="2"/>
  <c r="Q98" i="2"/>
  <c r="W98" i="2"/>
  <c r="AA98" i="2" s="1"/>
  <c r="AB98" i="2" s="1"/>
  <c r="Q99" i="2"/>
  <c r="AA99" i="2" s="1"/>
  <c r="AB99" i="2" s="1"/>
  <c r="O104" i="2" l="1" a="1"/>
  <c r="P105" i="2" a="1"/>
  <c r="P104" i="2" a="1"/>
  <c r="O105" i="2" a="1"/>
  <c r="P101" i="2" a="1"/>
  <c r="O100" i="2" a="1"/>
  <c r="W100" i="2" s="1"/>
  <c r="O103" i="2" a="1"/>
  <c r="P103" i="2" a="1"/>
  <c r="O101" i="2" a="1"/>
  <c r="P102" i="2" a="1"/>
  <c r="P100" i="2" a="1"/>
  <c r="O102" i="2" a="1"/>
  <c r="W103" i="2" l="1"/>
  <c r="W101" i="2"/>
  <c r="W102" i="2"/>
  <c r="Q104" i="2"/>
  <c r="W105" i="2"/>
  <c r="Q105" i="2"/>
  <c r="Q101" i="2"/>
  <c r="Q103" i="2"/>
  <c r="Q102" i="2"/>
  <c r="Q100" i="2"/>
  <c r="AA100" i="2" s="1"/>
  <c r="AB100" i="2" s="1"/>
  <c r="W104" i="2"/>
  <c r="AA105" i="2" l="1"/>
  <c r="AB105" i="2" s="1"/>
  <c r="AA101" i="2"/>
  <c r="AB101" i="2" s="1"/>
  <c r="AA103" i="2"/>
  <c r="AB103" i="2" s="1"/>
  <c r="AA104" i="2"/>
  <c r="AB104" i="2" s="1"/>
  <c r="AA102" i="2"/>
  <c r="AB102" i="2" s="1"/>
  <c r="P106" i="2" a="1"/>
  <c r="O107" i="2" a="1"/>
  <c r="W107" i="2" s="1"/>
  <c r="P107" i="2" a="1"/>
  <c r="O106" i="2" a="1"/>
  <c r="P111" i="2" a="1"/>
  <c r="P108" i="2" a="1"/>
  <c r="O110" i="2" a="1"/>
  <c r="P109" i="2" a="1"/>
  <c r="P110" i="2" a="1"/>
  <c r="O111" i="2" a="1"/>
  <c r="O109" i="2" a="1"/>
  <c r="O108" i="2" a="1"/>
  <c r="Q106" i="2" l="1"/>
  <c r="W106" i="2"/>
  <c r="Q107" i="2"/>
  <c r="AA107" i="2" s="1"/>
  <c r="AB107" i="2" s="1"/>
  <c r="W111" i="2"/>
  <c r="W110" i="2"/>
  <c r="W109" i="2"/>
  <c r="W108" i="2"/>
  <c r="Q111" i="2"/>
  <c r="Q108" i="2"/>
  <c r="Q109" i="2"/>
  <c r="Q110" i="2"/>
  <c r="AA106" i="2" l="1"/>
  <c r="AB106" i="2" s="1"/>
  <c r="AA111" i="2"/>
  <c r="AB111" i="2" s="1"/>
  <c r="O116" i="2" a="1"/>
  <c r="O114" i="2" a="1"/>
  <c r="O115" i="2" a="1"/>
  <c r="O117" i="2" a="1"/>
  <c r="P114" i="2" a="1"/>
  <c r="P115" i="2" a="1"/>
  <c r="P117" i="2" a="1"/>
  <c r="P116" i="2" a="1"/>
  <c r="AA110" i="2"/>
  <c r="AB110" i="2" s="1"/>
  <c r="AA108" i="2"/>
  <c r="AB108" i="2" s="1"/>
  <c r="AA109" i="2"/>
  <c r="AB109" i="2" s="1"/>
  <c r="P112" i="2" l="1" a="1"/>
  <c r="O113" i="2" a="1"/>
  <c r="O112" i="2" a="1"/>
  <c r="P113" i="2" a="1"/>
  <c r="Q116" i="2"/>
  <c r="W114" i="2"/>
  <c r="Q117" i="2"/>
  <c r="Q115" i="2"/>
  <c r="W117" i="2"/>
  <c r="W116" i="2"/>
  <c r="W115" i="2"/>
  <c r="Q114" i="2"/>
  <c r="Q112" i="2" l="1"/>
  <c r="Q113" i="2"/>
  <c r="W112" i="2"/>
  <c r="W113" i="2"/>
  <c r="AA117" i="2"/>
  <c r="AB117" i="2" s="1"/>
  <c r="AA116" i="2"/>
  <c r="AB116" i="2" s="1"/>
  <c r="AA114" i="2"/>
  <c r="AB114" i="2" s="1"/>
  <c r="AA115" i="2"/>
  <c r="AB115" i="2" s="1"/>
  <c r="O121" i="2" a="1"/>
  <c r="P121" i="2" a="1"/>
  <c r="O120" i="2" a="1"/>
  <c r="P120" i="2" a="1"/>
  <c r="AA112" i="2" l="1"/>
  <c r="AB112" i="2" s="1"/>
  <c r="AA113" i="2"/>
  <c r="AB113" i="2" s="1"/>
  <c r="P118" i="2" a="1"/>
  <c r="O119" i="2" a="1"/>
  <c r="W119" i="2" s="1"/>
  <c r="P119" i="2" a="1"/>
  <c r="O118" i="2" a="1"/>
  <c r="Q120" i="2"/>
  <c r="Q121" i="2"/>
  <c r="W121" i="2"/>
  <c r="W120" i="2"/>
  <c r="Q118" i="2" l="1"/>
  <c r="Q119" i="2"/>
  <c r="AA119" i="2" s="1"/>
  <c r="AB119" i="2" s="1"/>
  <c r="W118" i="2"/>
  <c r="AA118" i="2" s="1"/>
  <c r="AB118" i="2" s="1"/>
  <c r="AA120" i="2"/>
  <c r="AB120" i="2" s="1"/>
  <c r="AA121" i="2"/>
  <c r="AB121" i="2" s="1"/>
  <c r="P122" i="2" l="1" a="1"/>
  <c r="P123" i="2" a="1"/>
  <c r="O123" i="2" a="1"/>
  <c r="O122" i="2" a="1"/>
  <c r="P125" i="2" a="1"/>
  <c r="O125" i="2" a="1"/>
  <c r="O124" i="2" a="1"/>
  <c r="P124" i="2" a="1"/>
  <c r="W123" i="2" l="1"/>
  <c r="W124" i="2"/>
  <c r="Q122" i="2"/>
  <c r="W125" i="2"/>
  <c r="Q123" i="2"/>
  <c r="W122" i="2"/>
  <c r="Q125" i="2"/>
  <c r="Q124" i="2"/>
  <c r="AA123" i="2" l="1"/>
  <c r="AB123" i="2" s="1"/>
  <c r="AA124" i="2"/>
  <c r="AB124" i="2" s="1"/>
  <c r="AA122" i="2"/>
  <c r="AB122" i="2" s="1"/>
  <c r="AA125" i="2"/>
  <c r="AB125" i="2" s="1"/>
  <c r="P127" i="2" a="1"/>
  <c r="O126" i="2" a="1"/>
  <c r="O127" i="2" a="1"/>
  <c r="P126" i="2" a="1"/>
  <c r="W127" i="2" l="1"/>
  <c r="Q126" i="2"/>
  <c r="Q127" i="2"/>
  <c r="W126" i="2"/>
  <c r="AA127" i="2" l="1"/>
  <c r="AB127" i="2" s="1"/>
  <c r="AA126" i="2"/>
  <c r="AB126" i="2" s="1"/>
  <c r="O131" i="2" a="1"/>
  <c r="P131" i="2" a="1"/>
  <c r="O130" i="2" a="1"/>
  <c r="P130" i="2" a="1"/>
  <c r="P129" i="2" l="1" a="1"/>
  <c r="O129" i="2" a="1"/>
  <c r="P128" i="2" a="1"/>
  <c r="O128" i="2" a="1"/>
  <c r="W130" i="2"/>
  <c r="Q131" i="2"/>
  <c r="W131" i="2"/>
  <c r="Q130" i="2"/>
  <c r="Q128" i="2" l="1"/>
  <c r="W128" i="2"/>
  <c r="AA128" i="2" s="1"/>
  <c r="AB128" i="2" s="1"/>
  <c r="Q129" i="2"/>
  <c r="W129" i="2"/>
  <c r="AA130" i="2"/>
  <c r="AB130" i="2" s="1"/>
  <c r="AA131" i="2"/>
  <c r="AB131" i="2" s="1"/>
  <c r="O133" i="2" a="1"/>
  <c r="P133" i="2" a="1"/>
  <c r="O132" i="2" a="1"/>
  <c r="P132" i="2" a="1"/>
  <c r="O135" i="2" a="1"/>
  <c r="O134" i="2" a="1"/>
  <c r="P134" i="2" a="1"/>
  <c r="P135" i="2" a="1"/>
  <c r="AA129" i="2" l="1"/>
  <c r="AB129" i="2" s="1"/>
  <c r="W134" i="2"/>
  <c r="Q135" i="2"/>
  <c r="Q133" i="2"/>
  <c r="W132" i="2"/>
  <c r="W133" i="2"/>
  <c r="Q132" i="2"/>
  <c r="W135" i="2"/>
  <c r="Q134" i="2"/>
  <c r="AA135" i="2" l="1"/>
  <c r="AB135" i="2" s="1"/>
  <c r="AA132" i="2"/>
  <c r="AB132" i="2" s="1"/>
  <c r="AA134" i="2"/>
  <c r="AB134" i="2" s="1"/>
  <c r="AA133" i="2"/>
  <c r="AB133" i="2" s="1"/>
  <c r="P137" i="2" a="1"/>
  <c r="O136" i="2" a="1"/>
  <c r="O137" i="2" a="1"/>
  <c r="P136" i="2" a="1"/>
  <c r="Q136" i="2" l="1"/>
  <c r="Q137" i="2"/>
  <c r="W136" i="2"/>
  <c r="W137" i="2"/>
  <c r="AA136" i="2" l="1"/>
  <c r="AB136" i="2" s="1"/>
  <c r="AA137" i="2"/>
  <c r="AB137" i="2" s="1"/>
  <c r="P141" i="2" a="1"/>
  <c r="P140" i="2" a="1"/>
  <c r="O140" i="2" a="1"/>
  <c r="O141" i="2" a="1"/>
  <c r="W141" i="2" s="1"/>
  <c r="O138" i="2" a="1"/>
  <c r="P139" i="2" a="1"/>
  <c r="P138" i="2" a="1"/>
  <c r="O139" i="2" a="1"/>
  <c r="Q138" i="2" l="1"/>
  <c r="W139" i="2"/>
  <c r="W138" i="2"/>
  <c r="Q140" i="2"/>
  <c r="Q141" i="2"/>
  <c r="AA141" i="2" s="1"/>
  <c r="AB141" i="2" s="1"/>
  <c r="Q139" i="2"/>
  <c r="W140" i="2"/>
  <c r="P142" i="2" l="1" a="1"/>
  <c r="P143" i="2" a="1"/>
  <c r="O143" i="2" a="1"/>
  <c r="W143" i="2" s="1"/>
  <c r="O142" i="2" a="1"/>
  <c r="AA139" i="2"/>
  <c r="AB139" i="2" s="1"/>
  <c r="AA138" i="2"/>
  <c r="AB138" i="2" s="1"/>
  <c r="AA140" i="2"/>
  <c r="AB140" i="2" s="1"/>
  <c r="O145" i="2" a="1"/>
  <c r="P144" i="2" a="1"/>
  <c r="P145" i="2" a="1"/>
  <c r="O144" i="2" a="1"/>
  <c r="W142" i="2" l="1"/>
  <c r="Q142" i="2"/>
  <c r="AA142" i="2" s="1"/>
  <c r="AB142" i="2" s="1"/>
  <c r="Q143" i="2"/>
  <c r="AA143" i="2" s="1"/>
  <c r="AB143" i="2" s="1"/>
  <c r="W145" i="2"/>
  <c r="Q144" i="2"/>
  <c r="Q145" i="2"/>
  <c r="W144" i="2"/>
  <c r="AA145" i="2" l="1"/>
  <c r="AB145" i="2" s="1"/>
  <c r="AA144" i="2"/>
  <c r="AB144" i="2" s="1"/>
  <c r="O147" i="2" a="1"/>
  <c r="P147" i="2" a="1"/>
  <c r="O146" i="2" a="1"/>
  <c r="P146" i="2" a="1"/>
  <c r="Q146" i="2" l="1"/>
  <c r="W147" i="2"/>
  <c r="W146" i="2"/>
  <c r="Q147" i="2"/>
  <c r="AA146" i="2" l="1"/>
  <c r="AB146" i="2" s="1"/>
  <c r="AA147" i="2"/>
  <c r="AB147" i="2" s="1"/>
  <c r="P153" i="2" l="1" a="1"/>
  <c r="O152" i="2" a="1"/>
  <c r="O153" i="2" a="1"/>
  <c r="P152" i="2" a="1"/>
  <c r="O148" i="2" a="1"/>
  <c r="P148" i="2" a="1"/>
  <c r="P149" i="2" a="1"/>
  <c r="O151" i="2" a="1"/>
  <c r="O149" i="2" a="1"/>
  <c r="P150" i="2" a="1"/>
  <c r="O150" i="2" a="1"/>
  <c r="W150" i="2" s="1"/>
  <c r="P151" i="2" a="1"/>
  <c r="Q153" i="2" l="1"/>
  <c r="W152" i="2"/>
  <c r="W148" i="2"/>
  <c r="Q149" i="2"/>
  <c r="W151" i="2"/>
  <c r="W153" i="2"/>
  <c r="Q152" i="2"/>
  <c r="Q148" i="2"/>
  <c r="W149" i="2"/>
  <c r="Q150" i="2"/>
  <c r="AA150" i="2" s="1"/>
  <c r="AB150" i="2" s="1"/>
  <c r="Q151" i="2"/>
  <c r="AA151" i="2" s="1"/>
  <c r="AB151" i="2" s="1"/>
  <c r="P156" i="2" a="1"/>
  <c r="O156" i="2" a="1"/>
  <c r="O157" i="2" a="1"/>
  <c r="P157" i="2" a="1"/>
  <c r="AA149" i="2" l="1"/>
  <c r="AB149" i="2" s="1"/>
  <c r="AA153" i="2"/>
  <c r="AB153" i="2" s="1"/>
  <c r="AA152" i="2"/>
  <c r="AB152" i="2" s="1"/>
  <c r="AA148" i="2"/>
  <c r="AB148" i="2" s="1"/>
  <c r="P154" i="2" a="1"/>
  <c r="O155" i="2" a="1"/>
  <c r="O154" i="2" a="1"/>
  <c r="P155" i="2" a="1"/>
  <c r="W156" i="2"/>
  <c r="Q157" i="2"/>
  <c r="Q156" i="2"/>
  <c r="W157" i="2"/>
  <c r="Q155" i="2" l="1"/>
  <c r="Q154" i="2"/>
  <c r="W154" i="2"/>
  <c r="AA154" i="2" s="1"/>
  <c r="AB154" i="2" s="1"/>
  <c r="W155" i="2"/>
  <c r="AA156" i="2"/>
  <c r="AB156" i="2" s="1"/>
  <c r="AA157" i="2"/>
  <c r="AB157" i="2" s="1"/>
  <c r="AA155" i="2" l="1"/>
  <c r="AB155" i="2" s="1"/>
  <c r="P158" i="2" a="1"/>
  <c r="P159" i="2" a="1"/>
  <c r="O158" i="2" a="1"/>
  <c r="O159" i="2" a="1"/>
  <c r="W159" i="2" l="1"/>
  <c r="W158" i="2"/>
  <c r="Q158" i="2"/>
  <c r="Q159" i="2"/>
  <c r="AA159" i="2" l="1"/>
  <c r="AB159" i="2" s="1"/>
  <c r="AA158" i="2"/>
  <c r="AB158" i="2" s="1"/>
  <c r="O160" i="2" l="1" a="1"/>
  <c r="P161" i="2" a="1"/>
  <c r="P160" i="2" a="1"/>
  <c r="O161" i="2" a="1"/>
  <c r="O162" i="2" a="1"/>
  <c r="W162" i="2" s="1"/>
  <c r="P163" i="2" a="1"/>
  <c r="P162" i="2" a="1"/>
  <c r="O163" i="2" a="1"/>
  <c r="W163" i="2" s="1"/>
  <c r="O165" i="2" a="1"/>
  <c r="O164" i="2" a="1"/>
  <c r="P164" i="2" a="1"/>
  <c r="P165" i="2" a="1"/>
  <c r="Q165" i="2" s="1"/>
  <c r="Q160" i="2" l="1"/>
  <c r="W161" i="2"/>
  <c r="W164" i="2"/>
  <c r="W160" i="2"/>
  <c r="AA160" i="2" s="1"/>
  <c r="AB160" i="2" s="1"/>
  <c r="Q161" i="2"/>
  <c r="AA161" i="2" s="1"/>
  <c r="AB161" i="2" s="1"/>
  <c r="Q163" i="2"/>
  <c r="AA163" i="2" s="1"/>
  <c r="AB163" i="2" s="1"/>
  <c r="Q162" i="2"/>
  <c r="AA162" i="2" s="1"/>
  <c r="AB162" i="2" s="1"/>
  <c r="W165" i="2"/>
  <c r="AA165" i="2" s="1"/>
  <c r="AB165" i="2" s="1"/>
  <c r="Q164" i="2"/>
  <c r="P166" i="2" a="1"/>
  <c r="O166" i="2" a="1"/>
  <c r="O167" i="2" a="1"/>
  <c r="P167" i="2" a="1"/>
  <c r="AA164" i="2" l="1"/>
  <c r="AB164" i="2" s="1"/>
  <c r="W166" i="2"/>
  <c r="Q167" i="2"/>
  <c r="Q166" i="2"/>
  <c r="W167" i="2"/>
  <c r="AA166" i="2" l="1"/>
  <c r="AB166" i="2" s="1"/>
  <c r="AA167" i="2"/>
  <c r="AB167" i="2" s="1"/>
  <c r="P171" i="2" a="1"/>
  <c r="O170" i="2" a="1"/>
  <c r="O171" i="2" a="1"/>
  <c r="P170" i="2" a="1"/>
  <c r="O169" i="2" l="1" a="1"/>
  <c r="O168" i="2" a="1"/>
  <c r="P168" i="2" a="1"/>
  <c r="P169" i="2" a="1"/>
  <c r="W171" i="2"/>
  <c r="Q170" i="2"/>
  <c r="Q171" i="2"/>
  <c r="W170" i="2"/>
  <c r="Q169" i="2" l="1"/>
  <c r="Q168" i="2"/>
  <c r="W169" i="2"/>
  <c r="AA169" i="2" s="1"/>
  <c r="AB169" i="2" s="1"/>
  <c r="W168" i="2"/>
  <c r="AA171" i="2"/>
  <c r="AB171" i="2" s="1"/>
  <c r="AA170" i="2"/>
  <c r="AB170" i="2" s="1"/>
  <c r="AA168" i="2" l="1"/>
  <c r="AB168" i="2" s="1"/>
  <c r="O173" i="2" a="1"/>
  <c r="P173" i="2" a="1"/>
  <c r="O174" i="2" a="1"/>
  <c r="P172" i="2" a="1"/>
  <c r="P174" i="2" a="1"/>
  <c r="Q174" i="2" s="1"/>
  <c r="O175" i="2" a="1"/>
  <c r="P175" i="2" a="1"/>
  <c r="O172" i="2" a="1"/>
  <c r="O177" i="2" a="1"/>
  <c r="P176" i="2" a="1"/>
  <c r="O176" i="2" a="1"/>
  <c r="P177" i="2" a="1"/>
  <c r="W175" i="2" l="1"/>
  <c r="W172" i="2"/>
  <c r="Q173" i="2"/>
  <c r="W173" i="2"/>
  <c r="AA173" i="2" s="1"/>
  <c r="AB173" i="2" s="1"/>
  <c r="W174" i="2"/>
  <c r="AA174" i="2" s="1"/>
  <c r="AB174" i="2" s="1"/>
  <c r="Q172" i="2"/>
  <c r="AA172" i="2" s="1"/>
  <c r="AB172" i="2" s="1"/>
  <c r="Q175" i="2"/>
  <c r="AA175" i="2" s="1"/>
  <c r="AB175" i="2" s="1"/>
  <c r="W177" i="2"/>
  <c r="W176" i="2"/>
  <c r="Q177" i="2"/>
  <c r="Q176" i="2"/>
  <c r="AA176" i="2" l="1"/>
  <c r="AB176" i="2" s="1"/>
  <c r="AA177" i="2"/>
  <c r="AB177" i="2" s="1"/>
  <c r="O178" i="2" l="1" a="1"/>
  <c r="P179" i="2" a="1"/>
  <c r="P178" i="2" a="1"/>
  <c r="O179" i="2" a="1"/>
  <c r="P180" i="2" a="1"/>
  <c r="O181" i="2" a="1"/>
  <c r="P181" i="2" a="1"/>
  <c r="O180" i="2" a="1"/>
  <c r="W178" i="2" l="1"/>
  <c r="Q179" i="2"/>
  <c r="Q178" i="2"/>
  <c r="AA178" i="2" s="1"/>
  <c r="AB178" i="2" s="1"/>
  <c r="W179" i="2"/>
  <c r="AA179" i="2" s="1"/>
  <c r="AB179" i="2" s="1"/>
  <c r="Q181" i="2"/>
  <c r="W180" i="2"/>
  <c r="W181" i="2"/>
  <c r="Q180" i="2"/>
  <c r="AA181" i="2" l="1"/>
  <c r="AB181" i="2" s="1"/>
  <c r="AA180" i="2"/>
  <c r="AB180" i="2" s="1"/>
  <c r="P182" i="2" l="1" a="1"/>
  <c r="P183" i="2" a="1"/>
  <c r="Q183" i="2" s="1"/>
  <c r="O182" i="2" a="1"/>
  <c r="P184" i="2" a="1"/>
  <c r="P185" i="2" a="1"/>
  <c r="Q185" i="2" s="1"/>
  <c r="O185" i="2" a="1"/>
  <c r="O184" i="2" a="1"/>
  <c r="W184" i="2" s="1"/>
  <c r="O183" i="2" a="1"/>
  <c r="O186" i="2" a="1"/>
  <c r="P187" i="2" a="1"/>
  <c r="O189" i="2" a="1"/>
  <c r="P188" i="2" a="1"/>
  <c r="O188" i="2" a="1"/>
  <c r="P189" i="2" a="1"/>
  <c r="P186" i="2" a="1"/>
  <c r="O187" i="2" a="1"/>
  <c r="W182" i="2" l="1"/>
  <c r="Q186" i="2"/>
  <c r="Q182" i="2"/>
  <c r="AA182" i="2" s="1"/>
  <c r="AB182" i="2" s="1"/>
  <c r="Q184" i="2"/>
  <c r="AA184" i="2" s="1"/>
  <c r="AB184" i="2" s="1"/>
  <c r="W185" i="2"/>
  <c r="AA185" i="2" s="1"/>
  <c r="AB185" i="2" s="1"/>
  <c r="W183" i="2"/>
  <c r="AA183" i="2" s="1"/>
  <c r="AB183" i="2" s="1"/>
  <c r="W188" i="2"/>
  <c r="Q189" i="2"/>
  <c r="W187" i="2"/>
  <c r="Q187" i="2"/>
  <c r="Q188" i="2"/>
  <c r="AA188" i="2" s="1"/>
  <c r="AB188" i="2" s="1"/>
  <c r="W186" i="2"/>
  <c r="W189" i="2"/>
  <c r="AA186" i="2" l="1"/>
  <c r="AB186" i="2" s="1"/>
  <c r="AA187" i="2"/>
  <c r="AB187" i="2" s="1"/>
  <c r="AA189" i="2"/>
  <c r="AB189" i="2" s="1"/>
  <c r="P190" i="2" l="1" a="1"/>
  <c r="P191" i="2" a="1"/>
  <c r="O190" i="2" a="1"/>
  <c r="O191" i="2" a="1"/>
  <c r="P193" i="2" a="1"/>
  <c r="O192" i="2" a="1"/>
  <c r="P192" i="2" a="1"/>
  <c r="O193" i="2" a="1"/>
  <c r="W192" i="2" l="1"/>
  <c r="Q190" i="2"/>
  <c r="W191" i="2"/>
  <c r="Q193" i="2"/>
  <c r="W190" i="2"/>
  <c r="Q192" i="2"/>
  <c r="AA192" i="2" s="1"/>
  <c r="AB192" i="2" s="1"/>
  <c r="W193" i="2"/>
  <c r="Q191" i="2"/>
  <c r="AA190" i="2" l="1"/>
  <c r="AB190" i="2" s="1"/>
  <c r="AA193" i="2"/>
  <c r="AB193" i="2" s="1"/>
  <c r="AA191" i="2"/>
  <c r="AB191" i="2" s="1"/>
  <c r="P194" i="2" a="1"/>
  <c r="O195" i="2" a="1"/>
  <c r="O194" i="2" a="1"/>
  <c r="O199" i="2" a="1"/>
  <c r="P199" i="2" a="1"/>
  <c r="P197" i="2" a="1"/>
  <c r="W194" i="2" l="1"/>
  <c r="W199" i="2"/>
  <c r="O197" i="2" a="1"/>
  <c r="O196" i="2" a="1"/>
  <c r="W196" i="2" s="1"/>
  <c r="P196" i="2" a="1"/>
  <c r="P195" i="2" a="1"/>
  <c r="P198" i="2" a="1"/>
  <c r="O198" i="2" a="1"/>
  <c r="Q194" i="2"/>
  <c r="AA194" i="2" s="1"/>
  <c r="AB194" i="2" s="1"/>
  <c r="Q199" i="2"/>
  <c r="W198" i="2" l="1"/>
  <c r="Q196" i="2"/>
  <c r="AA196" i="2" s="1"/>
  <c r="AB196" i="2" s="1"/>
  <c r="Q198" i="2"/>
  <c r="AA199" i="2"/>
  <c r="AB199" i="2" s="1"/>
  <c r="Q197" i="2"/>
  <c r="W197" i="2"/>
  <c r="AA197" i="2" s="1"/>
  <c r="AB197" i="2" s="1"/>
  <c r="W195" i="2"/>
  <c r="Q195" i="2"/>
  <c r="P201" i="2" a="1"/>
  <c r="O201" i="2" a="1"/>
  <c r="O202" i="2" a="1"/>
  <c r="P202" i="2" a="1"/>
  <c r="O203" i="2" a="1"/>
  <c r="AA198" i="2" l="1"/>
  <c r="AB198" i="2" s="1"/>
  <c r="W201" i="2"/>
  <c r="AA195" i="2"/>
  <c r="AB195" i="2" s="1"/>
  <c r="P200" i="2" a="1"/>
  <c r="O200" i="2" a="1"/>
  <c r="W200" i="2" s="1"/>
  <c r="P203" i="2" a="1"/>
  <c r="Q201" i="2"/>
  <c r="W202" i="2"/>
  <c r="Q202" i="2"/>
  <c r="AA201" i="2" l="1"/>
  <c r="AB201" i="2" s="1"/>
  <c r="Q200" i="2"/>
  <c r="AA200" i="2" s="1"/>
  <c r="AB200" i="2" s="1"/>
  <c r="W203" i="2"/>
  <c r="Q203" i="2"/>
  <c r="AA203" i="2" s="1"/>
  <c r="AB203" i="2" s="1"/>
  <c r="AA202" i="2"/>
  <c r="AB202" i="2" s="1"/>
  <c r="O205" i="2" l="1" a="1"/>
  <c r="P205" i="2" a="1"/>
  <c r="O204" i="2" a="1"/>
  <c r="P204" i="2" a="1"/>
  <c r="O207" i="2" a="1"/>
  <c r="P207" i="2" a="1"/>
  <c r="P206" i="2" a="1"/>
  <c r="O206" i="2" a="1"/>
  <c r="Q205" i="2" l="1"/>
  <c r="W207" i="2"/>
  <c r="W204" i="2"/>
  <c r="Q207" i="2"/>
  <c r="Q206" i="2"/>
  <c r="W205" i="2"/>
  <c r="AA205" i="2" s="1"/>
  <c r="AB205" i="2" s="1"/>
  <c r="Q204" i="2"/>
  <c r="W206" i="2"/>
  <c r="AA207" i="2" l="1"/>
  <c r="AB207" i="2" s="1"/>
  <c r="AA204" i="2"/>
  <c r="AB204" i="2" s="1"/>
  <c r="AA206" i="2"/>
  <c r="AB206" i="2" s="1"/>
  <c r="P213" i="2" a="1"/>
  <c r="O213" i="2" a="1"/>
  <c r="O212" i="2" a="1"/>
  <c r="P212" i="2" a="1"/>
  <c r="P208" i="2" l="1" a="1"/>
  <c r="P209" i="2" a="1"/>
  <c r="O209" i="2" a="1"/>
  <c r="O208" i="2" a="1"/>
  <c r="W208" i="2" s="1"/>
  <c r="O210" i="2" a="1"/>
  <c r="O211" i="2" a="1"/>
  <c r="P211" i="2" a="1"/>
  <c r="P210" i="2" a="1"/>
  <c r="Q212" i="2"/>
  <c r="W213" i="2"/>
  <c r="Q213" i="2"/>
  <c r="W212" i="2"/>
  <c r="Q210" i="2" l="1"/>
  <c r="Q209" i="2"/>
  <c r="Q211" i="2"/>
  <c r="Q208" i="2"/>
  <c r="AA208" i="2" s="1"/>
  <c r="AB208" i="2" s="1"/>
  <c r="W209" i="2"/>
  <c r="W210" i="2"/>
  <c r="AA210" i="2" s="1"/>
  <c r="AB210" i="2" s="1"/>
  <c r="W211" i="2"/>
  <c r="AA212" i="2"/>
  <c r="AB212" i="2" s="1"/>
  <c r="AA213" i="2"/>
  <c r="AB213" i="2" s="1"/>
  <c r="AA209" i="2" l="1"/>
  <c r="AB209" i="2" s="1"/>
  <c r="AA211" i="2"/>
  <c r="AB211" i="2" s="1"/>
  <c r="O214" i="2" a="1"/>
  <c r="P214" i="2" a="1"/>
  <c r="O215" i="2" a="1"/>
  <c r="P215" i="2" a="1"/>
  <c r="W215" i="2" l="1"/>
  <c r="Q214" i="2"/>
  <c r="W214" i="2"/>
  <c r="Q215" i="2"/>
  <c r="AA215" i="2" l="1"/>
  <c r="AB215" i="2" s="1"/>
  <c r="AA214" i="2"/>
  <c r="AB214" i="2" s="1"/>
  <c r="O216" i="2" l="1" a="1"/>
  <c r="P216" i="2" a="1"/>
  <c r="P217" i="2" a="1"/>
  <c r="O217" i="2" a="1"/>
  <c r="P218" i="2" a="1"/>
  <c r="O218" i="2" a="1"/>
  <c r="P219" i="2" a="1"/>
  <c r="O219" i="2" a="1"/>
  <c r="W216" i="2" l="1"/>
  <c r="W217" i="2"/>
  <c r="Q216" i="2"/>
  <c r="Q217" i="2"/>
  <c r="W219" i="2"/>
  <c r="W218" i="2"/>
  <c r="Q219" i="2"/>
  <c r="Q218" i="2"/>
  <c r="AA216" i="2" l="1"/>
  <c r="AB216" i="2" s="1"/>
  <c r="AA217" i="2"/>
  <c r="AB217" i="2" s="1"/>
  <c r="AA219" i="2"/>
  <c r="AB219" i="2" s="1"/>
  <c r="AA218" i="2"/>
  <c r="AB218" i="2" s="1"/>
  <c r="P220" i="2" l="1" a="1"/>
  <c r="O221" i="2" a="1"/>
  <c r="O220" i="2" a="1"/>
  <c r="P221" i="2" a="1"/>
  <c r="W221" i="2" l="1"/>
  <c r="W220" i="2"/>
  <c r="Q220" i="2"/>
  <c r="Q221" i="2"/>
  <c r="AA221" i="2" l="1"/>
  <c r="AB221" i="2" s="1"/>
  <c r="O223" i="2" a="1"/>
  <c r="O222" i="2" a="1"/>
  <c r="P223" i="2" a="1"/>
  <c r="P222" i="2" a="1"/>
  <c r="AA220" i="2"/>
  <c r="AB220" i="2" s="1"/>
  <c r="Q223" i="2" l="1"/>
  <c r="Q222" i="2"/>
  <c r="W223" i="2"/>
  <c r="W222" i="2"/>
  <c r="AA223" i="2" l="1"/>
  <c r="AB223" i="2" s="1"/>
  <c r="AA222" i="2"/>
  <c r="AB222" i="2" s="1"/>
  <c r="O226" i="2" a="1"/>
  <c r="O229" i="2" a="1"/>
  <c r="O224" i="2" a="1"/>
  <c r="O225" i="2" a="1"/>
  <c r="P224" i="2" a="1"/>
  <c r="P225" i="2" a="1"/>
  <c r="P228" i="2" a="1"/>
  <c r="O227" i="2" a="1"/>
  <c r="P227" i="2" a="1"/>
  <c r="P229" i="2" a="1"/>
  <c r="O228" i="2" a="1"/>
  <c r="P226" i="2" a="1"/>
  <c r="Q226" i="2" s="1"/>
  <c r="Q225" i="2" l="1"/>
  <c r="W227" i="2"/>
  <c r="Q229" i="2"/>
  <c r="W224" i="2"/>
  <c r="W228" i="2"/>
  <c r="W226" i="2"/>
  <c r="AA226" i="2" s="1"/>
  <c r="AB226" i="2" s="1"/>
  <c r="W229" i="2"/>
  <c r="W225" i="2"/>
  <c r="Q224" i="2"/>
  <c r="Q228" i="2"/>
  <c r="Q227" i="2"/>
  <c r="AA225" i="2" l="1"/>
  <c r="AB225" i="2" s="1"/>
  <c r="AA227" i="2"/>
  <c r="AB227" i="2" s="1"/>
  <c r="AA229" i="2"/>
  <c r="AB229" i="2" s="1"/>
  <c r="AA224" i="2"/>
  <c r="AB224" i="2" s="1"/>
  <c r="AA228" i="2"/>
  <c r="AB228" i="2" s="1"/>
  <c r="O230" i="2" l="1" a="1"/>
  <c r="O231" i="2" a="1"/>
  <c r="P230" i="2" a="1"/>
  <c r="P231" i="2" a="1"/>
  <c r="Q231" i="2" l="1"/>
  <c r="W230" i="2"/>
  <c r="Q230" i="2"/>
  <c r="AA230" i="2" s="1"/>
  <c r="AB230" i="2" s="1"/>
  <c r="W231" i="2"/>
  <c r="AA231" i="2" l="1"/>
  <c r="AB231" i="2" s="1"/>
  <c r="O240" i="2" a="1"/>
  <c r="P240" i="2" a="1"/>
  <c r="O238" i="2" a="1"/>
  <c r="P241" i="2" a="1"/>
  <c r="O241" i="2" a="1"/>
  <c r="O239" i="2" a="1"/>
  <c r="O232" i="2" a="1"/>
  <c r="P233" i="2" a="1"/>
  <c r="O233" i="2" a="1"/>
  <c r="W233" i="2" s="1"/>
  <c r="P232" i="2" a="1"/>
  <c r="P238" i="2" a="1"/>
  <c r="P239" i="2" a="1"/>
  <c r="O237" i="2" a="1"/>
  <c r="P236" i="2" a="1"/>
  <c r="O236" i="2" a="1"/>
  <c r="P235" i="2" a="1"/>
  <c r="O234" i="2" a="1"/>
  <c r="O235" i="2" a="1"/>
  <c r="P237" i="2" a="1"/>
  <c r="P234" i="2" a="1"/>
  <c r="Q235" i="2" l="1"/>
  <c r="Q240" i="2"/>
  <c r="W241" i="2"/>
  <c r="Q232" i="2"/>
  <c r="W234" i="2"/>
  <c r="W238" i="2"/>
  <c r="W239" i="2"/>
  <c r="W237" i="2"/>
  <c r="Q236" i="2"/>
  <c r="W240" i="2"/>
  <c r="Q241" i="2"/>
  <c r="AA241" i="2" s="1"/>
  <c r="AB241" i="2" s="1"/>
  <c r="W232" i="2"/>
  <c r="Q233" i="2"/>
  <c r="AA233" i="2" s="1"/>
  <c r="AB233" i="2" s="1"/>
  <c r="Q238" i="2"/>
  <c r="Q239" i="2"/>
  <c r="W236" i="2"/>
  <c r="W235" i="2"/>
  <c r="Q237" i="2"/>
  <c r="Q234" i="2"/>
  <c r="AA240" i="2" l="1"/>
  <c r="AB240" i="2" s="1"/>
  <c r="AA234" i="2"/>
  <c r="AB234" i="2" s="1"/>
  <c r="AA232" i="2"/>
  <c r="AB232" i="2" s="1"/>
  <c r="AA235" i="2"/>
  <c r="AB235" i="2" s="1"/>
  <c r="AA238" i="2"/>
  <c r="AB238" i="2" s="1"/>
  <c r="AA236" i="2"/>
  <c r="AB236" i="2" s="1"/>
  <c r="AA239" i="2"/>
  <c r="AB239" i="2" s="1"/>
  <c r="AA237" i="2"/>
  <c r="AB237" i="2" s="1"/>
  <c r="P243" i="2" a="1"/>
  <c r="O242" i="2" a="1"/>
  <c r="O243" i="2" a="1"/>
  <c r="P242" i="2" a="1"/>
  <c r="W242" i="2" l="1"/>
  <c r="Q243" i="2"/>
  <c r="W243" i="2"/>
  <c r="Q242" i="2"/>
  <c r="AA242" i="2" s="1"/>
  <c r="AB242" i="2" s="1"/>
  <c r="AA243" i="2" l="1"/>
  <c r="AB243" i="2" s="1"/>
  <c r="P250" i="2" a="1"/>
  <c r="O251" i="2" a="1"/>
  <c r="P251" i="2" a="1"/>
  <c r="O250" i="2" a="1"/>
  <c r="P244" i="2" l="1" a="1"/>
  <c r="O245" i="2" a="1"/>
  <c r="W245" i="2" s="1"/>
  <c r="P245" i="2" a="1"/>
  <c r="O244" i="2" a="1"/>
  <c r="O248" i="2" a="1"/>
  <c r="P249" i="2" a="1"/>
  <c r="O249" i="2" a="1"/>
  <c r="P248" i="2" a="1"/>
  <c r="P246" i="2" a="1"/>
  <c r="P247" i="2" a="1"/>
  <c r="O246" i="2" a="1"/>
  <c r="O247" i="2" a="1"/>
  <c r="Q251" i="2"/>
  <c r="W250" i="2"/>
  <c r="W251" i="2"/>
  <c r="Q250" i="2"/>
  <c r="Q244" i="2" l="1"/>
  <c r="Q245" i="2"/>
  <c r="AA245" i="2" s="1"/>
  <c r="AB245" i="2" s="1"/>
  <c r="W244" i="2"/>
  <c r="W247" i="2"/>
  <c r="W246" i="2"/>
  <c r="Q248" i="2"/>
  <c r="Q246" i="2"/>
  <c r="W249" i="2"/>
  <c r="Q247" i="2"/>
  <c r="W248" i="2"/>
  <c r="Q249" i="2"/>
  <c r="AA251" i="2"/>
  <c r="AB251" i="2" s="1"/>
  <c r="AA250" i="2"/>
  <c r="AB250" i="2" s="1"/>
  <c r="AA244" i="2" l="1"/>
  <c r="AB244" i="2" s="1"/>
  <c r="AA248" i="2"/>
  <c r="AB248" i="2" s="1"/>
  <c r="O253" i="2" a="1"/>
  <c r="P253" i="2" a="1"/>
  <c r="Q253" i="2" s="1"/>
  <c r="P252" i="2" a="1"/>
  <c r="O252" i="2" a="1"/>
  <c r="W252" i="2" s="1"/>
  <c r="AA247" i="2"/>
  <c r="AB247" i="2" s="1"/>
  <c r="AA246" i="2"/>
  <c r="AB246" i="2" s="1"/>
  <c r="AA249" i="2"/>
  <c r="AB249" i="2" s="1"/>
  <c r="P254" i="2" a="1"/>
  <c r="P255" i="2" a="1"/>
  <c r="O254" i="2" a="1"/>
  <c r="O255" i="2" a="1"/>
  <c r="W253" i="2" l="1"/>
  <c r="AA253" i="2" s="1"/>
  <c r="AB253" i="2" s="1"/>
  <c r="Q252" i="2"/>
  <c r="AA252" i="2" s="1"/>
  <c r="AB252" i="2" s="1"/>
  <c r="W254" i="2"/>
  <c r="Q255" i="2"/>
  <c r="Q254" i="2"/>
  <c r="W255" i="2"/>
  <c r="AA254" i="2" l="1"/>
  <c r="AB254" i="2" s="1"/>
  <c r="AA255" i="2"/>
  <c r="AB255" i="2" s="1"/>
  <c r="P257" i="2" l="1" a="1"/>
  <c r="O256" i="2" a="1"/>
  <c r="O257" i="2" a="1"/>
  <c r="P256" i="2" a="1"/>
  <c r="O258" i="2" a="1"/>
  <c r="P259" i="2" a="1"/>
  <c r="P258" i="2" a="1"/>
  <c r="O259" i="2" a="1"/>
  <c r="P260" i="2" a="1"/>
  <c r="O260" i="2" a="1"/>
  <c r="P261" i="2" a="1"/>
  <c r="O261" i="2" a="1"/>
  <c r="Q256" i="2" l="1"/>
  <c r="Q257" i="2"/>
  <c r="Q258" i="2"/>
  <c r="W261" i="2"/>
  <c r="W259" i="2"/>
  <c r="W260" i="2"/>
  <c r="W256" i="2"/>
  <c r="Q259" i="2"/>
  <c r="W257" i="2"/>
  <c r="Q260" i="2"/>
  <c r="Q261" i="2"/>
  <c r="W258" i="2"/>
  <c r="AA256" i="2" l="1"/>
  <c r="AB256" i="2" s="1"/>
  <c r="AA257" i="2"/>
  <c r="AB257" i="2" s="1"/>
  <c r="AA261" i="2"/>
  <c r="AB261" i="2" s="1"/>
  <c r="AA258" i="2"/>
  <c r="AB258" i="2" s="1"/>
  <c r="AA259" i="2"/>
  <c r="AB259" i="2" s="1"/>
  <c r="AA260" i="2"/>
  <c r="AB260" i="2" s="1"/>
  <c r="P263" i="2" l="1" a="1"/>
  <c r="Q263" i="2" s="1"/>
  <c r="O263" i="2" a="1"/>
  <c r="O262" i="2" a="1"/>
  <c r="P262" i="2" a="1"/>
  <c r="W262" i="2" l="1"/>
  <c r="Q262" i="2"/>
  <c r="AA262" i="2" s="1"/>
  <c r="AB262" i="2" s="1"/>
  <c r="W263" i="2"/>
  <c r="AA263" i="2" s="1"/>
  <c r="AB263" i="2" s="1"/>
  <c r="O271" i="2" a="1"/>
  <c r="O270" i="2" a="1"/>
  <c r="P270" i="2" a="1"/>
  <c r="P271" i="2" a="1"/>
  <c r="P269" i="2" l="1" a="1"/>
  <c r="O266" i="2" a="1"/>
  <c r="P267" i="2" a="1"/>
  <c r="O268" i="2" a="1"/>
  <c r="W268" i="2" s="1"/>
  <c r="O269" i="2" a="1"/>
  <c r="W269" i="2" s="1"/>
  <c r="P268" i="2" a="1"/>
  <c r="O267" i="2" a="1"/>
  <c r="W267" i="2" s="1"/>
  <c r="P265" i="2" a="1"/>
  <c r="O264" i="2" a="1"/>
  <c r="W264" i="2" s="1"/>
  <c r="P266" i="2" a="1"/>
  <c r="O265" i="2" a="1"/>
  <c r="W265" i="2" s="1"/>
  <c r="P264" i="2" a="1"/>
  <c r="Q270" i="2"/>
  <c r="W271" i="2"/>
  <c r="W270" i="2"/>
  <c r="Q271" i="2"/>
  <c r="Q269" i="2" l="1"/>
  <c r="AA269" i="2" s="1"/>
  <c r="AB269" i="2" s="1"/>
  <c r="W266" i="2"/>
  <c r="Q267" i="2"/>
  <c r="AA267" i="2" s="1"/>
  <c r="AB267" i="2" s="1"/>
  <c r="Q268" i="2"/>
  <c r="AA268" i="2" s="1"/>
  <c r="AB268" i="2" s="1"/>
  <c r="Q265" i="2"/>
  <c r="AA265" i="2" s="1"/>
  <c r="AB265" i="2" s="1"/>
  <c r="Q266" i="2"/>
  <c r="Q264" i="2"/>
  <c r="AA264" i="2" s="1"/>
  <c r="AB264" i="2" s="1"/>
  <c r="AA271" i="2"/>
  <c r="AB271" i="2" s="1"/>
  <c r="AA270" i="2"/>
  <c r="AB270" i="2" s="1"/>
  <c r="P272" i="2" a="1"/>
  <c r="O273" i="2" a="1"/>
  <c r="O272" i="2" a="1"/>
  <c r="P273" i="2" a="1"/>
  <c r="P275" i="2" a="1"/>
  <c r="P274" i="2" a="1"/>
  <c r="O275" i="2" a="1"/>
  <c r="W275" i="2" s="1"/>
  <c r="O274" i="2" a="1"/>
  <c r="AA266" i="2" l="1"/>
  <c r="AB266" i="2" s="1"/>
  <c r="W274" i="2"/>
  <c r="Q272" i="2"/>
  <c r="Q273" i="2"/>
  <c r="Q275" i="2"/>
  <c r="AA275" i="2" s="1"/>
  <c r="AB275" i="2" s="1"/>
  <c r="W272" i="2"/>
  <c r="Q274" i="2"/>
  <c r="W273" i="2"/>
  <c r="P277" i="2" a="1"/>
  <c r="P276" i="2" a="1"/>
  <c r="O276" i="2" a="1"/>
  <c r="O277" i="2" a="1"/>
  <c r="AA274" i="2" l="1"/>
  <c r="AB274" i="2" s="1"/>
  <c r="AA272" i="2"/>
  <c r="AB272" i="2" s="1"/>
  <c r="O279" i="2" s="1" a="1"/>
  <c r="W276" i="2"/>
  <c r="AA273" i="2"/>
  <c r="AB273" i="2" s="1"/>
  <c r="W277" i="2"/>
  <c r="Q277" i="2"/>
  <c r="AA277" i="2" s="1"/>
  <c r="AB277" i="2" s="1"/>
  <c r="Q276" i="2"/>
  <c r="P279" i="2" a="1"/>
  <c r="P278" i="2" a="1"/>
  <c r="O278" i="2" a="1"/>
  <c r="AA276" i="2" l="1"/>
  <c r="AB276" i="2" s="1"/>
  <c r="Q279" i="2"/>
  <c r="Q278" i="2"/>
  <c r="W278" i="2"/>
  <c r="W279" i="2"/>
  <c r="AA279" i="2" l="1"/>
  <c r="AB279" i="2" s="1"/>
  <c r="AA278" i="2"/>
  <c r="AB278" i="2" s="1"/>
  <c r="O280" i="2" l="1" a="1"/>
  <c r="P281" i="2" a="1"/>
  <c r="O281" i="2" a="1"/>
  <c r="P280" i="2" a="1"/>
  <c r="W281" i="2" l="1"/>
  <c r="Q280" i="2"/>
  <c r="W280" i="2"/>
  <c r="Q281" i="2"/>
  <c r="AA281" i="2" l="1"/>
  <c r="AB281" i="2" s="1"/>
  <c r="AA280" i="2"/>
  <c r="AB280" i="2" s="1"/>
  <c r="O283" i="2" l="1" a="1"/>
  <c r="P282" i="2" a="1"/>
  <c r="O282" i="2" a="1"/>
  <c r="P283" i="2" a="1"/>
  <c r="Q282" i="2" l="1"/>
  <c r="Q283" i="2"/>
  <c r="W283" i="2"/>
  <c r="W282" i="2"/>
  <c r="AA282" i="2" l="1"/>
  <c r="AB282" i="2" s="1"/>
  <c r="AA283" i="2"/>
  <c r="AB283" i="2" s="1"/>
  <c r="O285" i="2" a="1"/>
  <c r="P284" i="2" a="1"/>
  <c r="O284" i="2" a="1"/>
  <c r="P285" i="2" a="1"/>
  <c r="W285" i="2" l="1"/>
  <c r="Q284" i="2"/>
  <c r="W284" i="2"/>
  <c r="Q285" i="2"/>
  <c r="AA284" i="2" l="1"/>
  <c r="AB284" i="2" s="1"/>
  <c r="AA285" i="2"/>
  <c r="AB285" i="2" s="1"/>
  <c r="P292" i="2" l="1" a="1"/>
  <c r="O290" i="2" a="1"/>
  <c r="O291" i="2" a="1"/>
  <c r="W291" i="2" s="1"/>
  <c r="P290" i="2" a="1"/>
  <c r="P286" i="2" a="1"/>
  <c r="O292" i="2" a="1"/>
  <c r="O287" i="2" a="1"/>
  <c r="O286" i="2" a="1"/>
  <c r="P287" i="2" a="1"/>
  <c r="O289" i="2" a="1"/>
  <c r="O288" i="2" a="1"/>
  <c r="O293" i="2" a="1"/>
  <c r="P288" i="2" a="1"/>
  <c r="P289" i="2" a="1"/>
  <c r="P291" i="2" a="1"/>
  <c r="P293" i="2" a="1"/>
  <c r="W287" i="2" l="1"/>
  <c r="Q293" i="2"/>
  <c r="Q290" i="2"/>
  <c r="Q286" i="2"/>
  <c r="W292" i="2"/>
  <c r="W289" i="2"/>
  <c r="W288" i="2"/>
  <c r="Q291" i="2"/>
  <c r="AA291" i="2" s="1"/>
  <c r="AB291" i="2" s="1"/>
  <c r="Q292" i="2"/>
  <c r="W286" i="2"/>
  <c r="Q287" i="2"/>
  <c r="AA287" i="2" s="1"/>
  <c r="AB287" i="2" s="1"/>
  <c r="W293" i="2"/>
  <c r="Q288" i="2"/>
  <c r="Q289" i="2"/>
  <c r="W290" i="2"/>
  <c r="AA292" i="2" l="1"/>
  <c r="AB292" i="2" s="1"/>
  <c r="AA286" i="2"/>
  <c r="AB286" i="2" s="1"/>
  <c r="AA293" i="2"/>
  <c r="AB293" i="2" s="1"/>
  <c r="AA288" i="2"/>
  <c r="AB288" i="2" s="1"/>
  <c r="AA289" i="2"/>
  <c r="AB289" i="2" s="1"/>
  <c r="AA290" i="2"/>
  <c r="AB290" i="2" s="1"/>
  <c r="P296" i="2" a="1"/>
  <c r="P294" i="2" a="1"/>
  <c r="O297" i="2" a="1"/>
  <c r="P297" i="2" a="1"/>
  <c r="O295" i="2" a="1"/>
  <c r="P295" i="2" a="1"/>
  <c r="O294" i="2" a="1"/>
  <c r="O296" i="2" a="1"/>
  <c r="W296" i="2" s="1"/>
  <c r="O298" i="2" a="1"/>
  <c r="O299" i="2" a="1"/>
  <c r="P299" i="2" a="1"/>
  <c r="P298" i="2" a="1"/>
  <c r="Q297" i="2" l="1"/>
  <c r="W295" i="2"/>
  <c r="Q294" i="2"/>
  <c r="Q296" i="2"/>
  <c r="AA296" i="2" s="1"/>
  <c r="AB296" i="2" s="1"/>
  <c r="W297" i="2"/>
  <c r="AA297" i="2" s="1"/>
  <c r="AB297" i="2" s="1"/>
  <c r="Q295" i="2"/>
  <c r="W294" i="2"/>
  <c r="W299" i="2"/>
  <c r="Q298" i="2"/>
  <c r="Q299" i="2"/>
  <c r="W298" i="2"/>
  <c r="O301" i="2" a="1"/>
  <c r="P300" i="2" a="1"/>
  <c r="O300" i="2" a="1"/>
  <c r="P301" i="2" a="1"/>
  <c r="AA295" i="2" l="1"/>
  <c r="AB295" i="2" s="1"/>
  <c r="AA294" i="2"/>
  <c r="AB294" i="2" s="1"/>
  <c r="AA299" i="2"/>
  <c r="AB299" i="2" s="1"/>
  <c r="AA298" i="2"/>
  <c r="AB298" i="2" s="1"/>
  <c r="W300" i="2"/>
  <c r="W301" i="2"/>
  <c r="Q300" i="2"/>
  <c r="Q301" i="2"/>
  <c r="AA300" i="2" l="1"/>
  <c r="AB300" i="2" s="1"/>
  <c r="AA301" i="2"/>
  <c r="AB301" i="2" s="1"/>
  <c r="P303" i="2" a="1"/>
  <c r="O302" i="2" a="1"/>
  <c r="O303" i="2" a="1"/>
  <c r="P302" i="2" a="1"/>
  <c r="Q303" i="2" l="1"/>
  <c r="W302" i="2"/>
  <c r="W303" i="2"/>
  <c r="Q302" i="2"/>
  <c r="AA303" i="2" l="1"/>
  <c r="AB303" i="2" s="1"/>
  <c r="AA302" i="2"/>
  <c r="AB302" i="2" s="1"/>
  <c r="P304" i="2" l="1" a="1"/>
  <c r="O305" i="2" a="1"/>
  <c r="P305" i="2" a="1"/>
  <c r="O304" i="2" a="1"/>
  <c r="W305" i="2" l="1"/>
  <c r="W304" i="2"/>
  <c r="Q304" i="2"/>
  <c r="Q305" i="2"/>
  <c r="AA304" i="2" l="1"/>
  <c r="AB304" i="2" s="1"/>
  <c r="AA305" i="2"/>
  <c r="AB305" i="2" s="1"/>
  <c r="P306" i="2" a="1"/>
  <c r="O307" i="2" a="1"/>
  <c r="O306" i="2" a="1"/>
  <c r="P307" i="2" a="1"/>
  <c r="W306" i="2" l="1"/>
  <c r="Q307" i="2"/>
  <c r="W307" i="2"/>
  <c r="Q306" i="2"/>
  <c r="AA307" i="2" l="1"/>
  <c r="AB307" i="2" s="1"/>
  <c r="AA306" i="2"/>
  <c r="AB306" i="2" s="1"/>
  <c r="P311" i="2" a="1"/>
  <c r="P308" i="2" a="1"/>
  <c r="O311" i="2" a="1"/>
  <c r="O309" i="2" a="1"/>
  <c r="P310" i="2" a="1"/>
  <c r="P309" i="2" a="1"/>
  <c r="O310" i="2" a="1"/>
  <c r="O308" i="2" a="1"/>
  <c r="O313" i="2" a="1"/>
  <c r="P312" i="2" a="1"/>
  <c r="O312" i="2" a="1"/>
  <c r="P313" i="2" a="1"/>
  <c r="W312" i="2" l="1"/>
  <c r="W309" i="2"/>
  <c r="Q308" i="2"/>
  <c r="W311" i="2"/>
  <c r="Q310" i="2"/>
  <c r="W313" i="2"/>
  <c r="Q311" i="2"/>
  <c r="Q309" i="2"/>
  <c r="W310" i="2"/>
  <c r="W308" i="2"/>
  <c r="Q312" i="2"/>
  <c r="Q313" i="2"/>
  <c r="AA312" i="2" l="1"/>
  <c r="AB312" i="2" s="1"/>
  <c r="AA309" i="2"/>
  <c r="AB309" i="2" s="1"/>
  <c r="AA308" i="2"/>
  <c r="AB308" i="2" s="1"/>
  <c r="AA310" i="2"/>
  <c r="AB310" i="2" s="1"/>
  <c r="AA313" i="2"/>
  <c r="AB313" i="2" s="1"/>
  <c r="AA311" i="2"/>
  <c r="AB311" i="2" s="1"/>
  <c r="O314" i="2" l="1" a="1"/>
  <c r="O315" i="2" a="1"/>
  <c r="P314" i="2" a="1"/>
  <c r="P315" i="2" a="1"/>
  <c r="W314" i="2" l="1"/>
  <c r="W315" i="2"/>
  <c r="Q315" i="2"/>
  <c r="Q314" i="2"/>
  <c r="AA315" i="2" l="1"/>
  <c r="AB315" i="2" s="1"/>
  <c r="AA314" i="2"/>
  <c r="AB314" i="2" s="1"/>
  <c r="P317" i="2" l="1" a="1"/>
  <c r="P316" i="2" a="1"/>
  <c r="O317" i="2" a="1"/>
  <c r="O316" i="2" a="1"/>
  <c r="W316" i="2" s="1"/>
  <c r="P319" i="2" a="1"/>
  <c r="Q319" i="2" s="1"/>
  <c r="O319" i="2" a="1"/>
  <c r="O318" i="2" a="1"/>
  <c r="P318" i="2" a="1"/>
  <c r="Q317" i="2" l="1"/>
  <c r="Q316" i="2"/>
  <c r="AA316" i="2" s="1"/>
  <c r="AB316" i="2" s="1"/>
  <c r="W319" i="2"/>
  <c r="AA319" i="2" s="1"/>
  <c r="AB319" i="2" s="1"/>
  <c r="Q318" i="2"/>
  <c r="W318" i="2"/>
  <c r="W317" i="2"/>
  <c r="P320" i="2" a="1"/>
  <c r="O321" i="2" a="1"/>
  <c r="O320" i="2" a="1"/>
  <c r="P321" i="2" a="1"/>
  <c r="AA318" i="2" l="1"/>
  <c r="AB318" i="2" s="1"/>
  <c r="W321" i="2"/>
  <c r="AA317" i="2"/>
  <c r="AB317" i="2" s="1"/>
  <c r="Q320" i="2"/>
  <c r="W320" i="2"/>
  <c r="Q321" i="2"/>
  <c r="AA320" i="2" l="1"/>
  <c r="AB320" i="2" s="1"/>
  <c r="AA321" i="2"/>
  <c r="AB321" i="2" s="1"/>
  <c r="O323" i="2" a="1"/>
  <c r="O322" i="2" a="1"/>
  <c r="P322" i="2" a="1"/>
  <c r="P323" i="2" a="1"/>
  <c r="O325" i="2" a="1"/>
  <c r="O324" i="2" a="1"/>
  <c r="P324" i="2" a="1"/>
  <c r="P325" i="2" a="1"/>
  <c r="Q322" i="2" l="1"/>
  <c r="W325" i="2"/>
  <c r="Q323" i="2"/>
  <c r="Q324" i="2"/>
  <c r="W323" i="2"/>
  <c r="W322" i="2"/>
  <c r="AA322" i="2" s="1"/>
  <c r="AB322" i="2" s="1"/>
  <c r="W324" i="2"/>
  <c r="Q325" i="2"/>
  <c r="O326" i="2" a="1"/>
  <c r="O327" i="2" a="1"/>
  <c r="P327" i="2" a="1"/>
  <c r="P326" i="2" a="1"/>
  <c r="Q326" i="2" s="1"/>
  <c r="O328" i="2" a="1"/>
  <c r="P329" i="2" a="1"/>
  <c r="O329" i="2" a="1"/>
  <c r="P328" i="2" a="1"/>
  <c r="Q327" i="2" l="1"/>
  <c r="AA323" i="2"/>
  <c r="AB323" i="2" s="1"/>
  <c r="AA324" i="2"/>
  <c r="AB324" i="2" s="1"/>
  <c r="AA325" i="2"/>
  <c r="AB325" i="2" s="1"/>
  <c r="W327" i="2"/>
  <c r="W326" i="2"/>
  <c r="AA326" i="2" s="1"/>
  <c r="AB326" i="2" s="1"/>
  <c r="W328" i="2"/>
  <c r="W329" i="2"/>
  <c r="Q329" i="2"/>
  <c r="Q328" i="2"/>
  <c r="AA327" i="2" l="1"/>
  <c r="AB327" i="2" s="1"/>
  <c r="AA329" i="2"/>
  <c r="AB329" i="2" s="1"/>
  <c r="AA328" i="2"/>
  <c r="AB328" i="2" s="1"/>
  <c r="O332" i="2" a="1"/>
  <c r="O333" i="2" a="1"/>
  <c r="P332" i="2" a="1"/>
  <c r="P333" i="2" a="1"/>
  <c r="O330" i="2" l="1" a="1"/>
  <c r="O331" i="2" a="1"/>
  <c r="P330" i="2" a="1"/>
  <c r="P331" i="2" a="1"/>
  <c r="W332" i="2"/>
  <c r="W333" i="2"/>
  <c r="Q332" i="2"/>
  <c r="Q333" i="2"/>
  <c r="W330" i="2" l="1"/>
  <c r="W331" i="2"/>
  <c r="Q330" i="2"/>
  <c r="Q331" i="2"/>
  <c r="AA332" i="2"/>
  <c r="AB332" i="2" s="1"/>
  <c r="AA333" i="2"/>
  <c r="AB333" i="2" s="1"/>
  <c r="O334" i="2" l="1" a="1"/>
  <c r="P334" i="2" a="1"/>
  <c r="O335" i="2" a="1"/>
  <c r="P335" i="2" a="1"/>
  <c r="AA330" i="2"/>
  <c r="AB330" i="2" s="1"/>
  <c r="AA331" i="2"/>
  <c r="AB331" i="2" s="1"/>
  <c r="Q334" i="2" l="1"/>
  <c r="W335" i="2"/>
  <c r="W334" i="2"/>
  <c r="Q335" i="2"/>
  <c r="AA335" i="2" s="1"/>
  <c r="AB335" i="2" s="1"/>
  <c r="O344" i="2" a="1"/>
  <c r="O345" i="2" a="1"/>
  <c r="P344" i="2" a="1"/>
  <c r="P345" i="2" a="1"/>
  <c r="AA334" i="2" l="1"/>
  <c r="AB334" i="2" s="1"/>
  <c r="O340" i="2" a="1"/>
  <c r="O342" i="2" a="1"/>
  <c r="P343" i="2" a="1"/>
  <c r="P341" i="2" a="1"/>
  <c r="O341" i="2" a="1"/>
  <c r="W341" i="2" s="1"/>
  <c r="P342" i="2" a="1"/>
  <c r="O343" i="2" a="1"/>
  <c r="P339" i="2" a="1"/>
  <c r="P337" i="2" a="1"/>
  <c r="P338" i="2" a="1"/>
  <c r="O338" i="2" a="1"/>
  <c r="O339" i="2" a="1"/>
  <c r="O336" i="2" a="1"/>
  <c r="O337" i="2" a="1"/>
  <c r="P336" i="2" a="1"/>
  <c r="P340" i="2" a="1"/>
  <c r="Q340" i="2" s="1"/>
  <c r="Q344" i="2"/>
  <c r="Q345" i="2"/>
  <c r="W344" i="2"/>
  <c r="W345" i="2"/>
  <c r="W343" i="2" l="1"/>
  <c r="Q336" i="2"/>
  <c r="Q339" i="2"/>
  <c r="W338" i="2"/>
  <c r="W337" i="2"/>
  <c r="W342" i="2"/>
  <c r="W340" i="2"/>
  <c r="AA340" i="2" s="1"/>
  <c r="AB340" i="2" s="1"/>
  <c r="Q343" i="2"/>
  <c r="Q341" i="2"/>
  <c r="AA341" i="2" s="1"/>
  <c r="AB341" i="2" s="1"/>
  <c r="Q342" i="2"/>
  <c r="Q337" i="2"/>
  <c r="Q338" i="2"/>
  <c r="W339" i="2"/>
  <c r="W336" i="2"/>
  <c r="AA344" i="2"/>
  <c r="AB344" i="2" s="1"/>
  <c r="AA345" i="2"/>
  <c r="AB345" i="2" s="1"/>
  <c r="AA343" i="2" l="1"/>
  <c r="AB343" i="2" s="1"/>
  <c r="AA339" i="2"/>
  <c r="AB339" i="2" s="1"/>
  <c r="AA342" i="2"/>
  <c r="AB342" i="2" s="1"/>
  <c r="AA336" i="2"/>
  <c r="AB336" i="2" s="1"/>
  <c r="AA337" i="2"/>
  <c r="AB337" i="2" s="1"/>
  <c r="AA338" i="2"/>
  <c r="AB338" i="2" s="1"/>
  <c r="P349" i="2" a="1"/>
  <c r="O348" i="2" a="1"/>
  <c r="O349" i="2" a="1"/>
  <c r="P347" i="2" a="1"/>
  <c r="O346" i="2" a="1"/>
  <c r="P348" i="2" a="1"/>
  <c r="O347" i="2" a="1"/>
  <c r="W347" i="2" s="1"/>
  <c r="P346" i="2" a="1"/>
  <c r="P351" i="2" a="1"/>
  <c r="O350" i="2" a="1"/>
  <c r="P350" i="2" a="1"/>
  <c r="O351" i="2" a="1"/>
  <c r="W348" i="2" l="1"/>
  <c r="Q349" i="2"/>
  <c r="W346" i="2"/>
  <c r="Q351" i="2"/>
  <c r="Q350" i="2"/>
  <c r="W349" i="2"/>
  <c r="Q347" i="2"/>
  <c r="AA347" i="2" s="1"/>
  <c r="AB347" i="2" s="1"/>
  <c r="Q348" i="2"/>
  <c r="Q346" i="2"/>
  <c r="W350" i="2"/>
  <c r="W351" i="2"/>
  <c r="AA349" i="2" l="1"/>
  <c r="AB349" i="2" s="1"/>
  <c r="AA348" i="2"/>
  <c r="AB348" i="2" s="1"/>
  <c r="AA346" i="2"/>
  <c r="AB346" i="2" s="1"/>
  <c r="AA350" i="2"/>
  <c r="AB350" i="2" s="1"/>
  <c r="AA351" i="2"/>
  <c r="AB351" i="2" s="1"/>
  <c r="O353" i="2" a="1"/>
  <c r="P353" i="2" a="1"/>
  <c r="O352" i="2" a="1"/>
  <c r="P352" i="2" a="1"/>
  <c r="W353" i="2" l="1"/>
  <c r="Q352" i="2"/>
  <c r="Q353" i="2"/>
  <c r="AA353" i="2" s="1"/>
  <c r="AB353" i="2" s="1"/>
  <c r="W352" i="2"/>
  <c r="P354" i="2" a="1"/>
  <c r="O355" i="2" a="1"/>
  <c r="P355" i="2" a="1"/>
  <c r="O354" i="2" a="1"/>
  <c r="AA352" i="2" l="1"/>
  <c r="AB352" i="2" s="1"/>
  <c r="W354" i="2"/>
  <c r="W355" i="2"/>
  <c r="Q354" i="2"/>
  <c r="Q355" i="2"/>
  <c r="AA354" i="2" l="1"/>
  <c r="AB354" i="2" s="1"/>
  <c r="AA355" i="2"/>
  <c r="AB355" i="2" s="1"/>
  <c r="O356" i="2" l="1" a="1"/>
  <c r="P357" i="2" a="1"/>
  <c r="O357" i="2" a="1"/>
  <c r="P356" i="2" a="1"/>
  <c r="Q357" i="2" l="1"/>
  <c r="Q356" i="2"/>
  <c r="W357" i="2"/>
  <c r="AA357" i="2" s="1"/>
  <c r="AB357" i="2" s="1"/>
  <c r="P359" i="2" a="1"/>
  <c r="O359" i="2" a="1"/>
  <c r="P358" i="2" a="1"/>
  <c r="O358" i="2" a="1"/>
  <c r="W356" i="2"/>
  <c r="P360" i="2" a="1"/>
  <c r="P361" i="2" a="1"/>
  <c r="P363" i="2" a="1"/>
  <c r="O360" i="2" a="1"/>
  <c r="O362" i="2" a="1"/>
  <c r="P362" i="2" a="1"/>
  <c r="O363" i="2" a="1"/>
  <c r="O361" i="2" a="1"/>
  <c r="P364" i="2" a="1"/>
  <c r="P365" i="2" a="1"/>
  <c r="O365" i="2" a="1"/>
  <c r="O364" i="2" a="1"/>
  <c r="AA356" i="2" l="1"/>
  <c r="AB356" i="2" s="1"/>
  <c r="W359" i="2"/>
  <c r="Q358" i="2"/>
  <c r="Q359" i="2"/>
  <c r="W358" i="2"/>
  <c r="W361" i="2"/>
  <c r="W364" i="2"/>
  <c r="Q365" i="2"/>
  <c r="Q363" i="2"/>
  <c r="W360" i="2"/>
  <c r="W362" i="2"/>
  <c r="Q360" i="2"/>
  <c r="Q362" i="2"/>
  <c r="W363" i="2"/>
  <c r="Q364" i="2"/>
  <c r="W365" i="2"/>
  <c r="Q361" i="2"/>
  <c r="AA359" i="2" l="1"/>
  <c r="AB359" i="2" s="1"/>
  <c r="AA358" i="2"/>
  <c r="AB358" i="2" s="1"/>
  <c r="AA360" i="2"/>
  <c r="AB360" i="2" s="1"/>
  <c r="AA361" i="2"/>
  <c r="AB361" i="2" s="1"/>
  <c r="AA362" i="2"/>
  <c r="AB362" i="2" s="1"/>
  <c r="AA364" i="2"/>
  <c r="AB364" i="2" s="1"/>
  <c r="AA365" i="2"/>
  <c r="AB365" i="2" s="1"/>
  <c r="AA363" i="2"/>
  <c r="AB363" i="2" s="1"/>
  <c r="O366" i="2" a="1"/>
  <c r="O367" i="2" a="1"/>
  <c r="P369" i="2" a="1"/>
  <c r="O368" i="2" a="1"/>
  <c r="O369" i="2" a="1"/>
  <c r="P366" i="2" a="1"/>
  <c r="P368" i="2" a="1"/>
  <c r="P367" i="2" a="1"/>
  <c r="Q367" i="2" s="1"/>
  <c r="Q366" i="2" l="1"/>
  <c r="Q368" i="2"/>
  <c r="W369" i="2"/>
  <c r="W366" i="2"/>
  <c r="Q369" i="2"/>
  <c r="W368" i="2"/>
  <c r="W367" i="2"/>
  <c r="AA367" i="2" s="1"/>
  <c r="AB367" i="2" s="1"/>
  <c r="O370" i="2" a="1"/>
  <c r="P371" i="2" a="1"/>
  <c r="AA366" i="2" l="1"/>
  <c r="AB366" i="2" s="1"/>
  <c r="AA368" i="2"/>
  <c r="AB368" i="2" s="1"/>
  <c r="AA369" i="2"/>
  <c r="AB369" i="2" s="1"/>
  <c r="P370" i="2" l="1" a="1"/>
  <c r="O371" i="2" a="1"/>
  <c r="O377" i="2" a="1"/>
  <c r="O376" i="2" a="1"/>
  <c r="O374" i="2" a="1"/>
  <c r="P373" i="2" a="1"/>
  <c r="O375" i="2" a="1"/>
  <c r="P375" i="2" a="1"/>
  <c r="P374" i="2" a="1"/>
  <c r="O373" i="2" a="1"/>
  <c r="P372" i="2" a="1"/>
  <c r="O372" i="2" a="1"/>
  <c r="P377" i="2" a="1"/>
  <c r="P376" i="2" a="1"/>
  <c r="Q374" i="2" l="1"/>
  <c r="W375" i="2"/>
  <c r="W376" i="2"/>
  <c r="W373" i="2"/>
  <c r="W372" i="2"/>
  <c r="Q370" i="2"/>
  <c r="W370" i="2"/>
  <c r="Q371" i="2"/>
  <c r="W371" i="2"/>
  <c r="Q377" i="2"/>
  <c r="Q376" i="2"/>
  <c r="W377" i="2"/>
  <c r="Q373" i="2"/>
  <c r="W374" i="2"/>
  <c r="Q375" i="2"/>
  <c r="Q372" i="2"/>
  <c r="AA374" i="2" l="1"/>
  <c r="AB374" i="2" s="1"/>
  <c r="AA377" i="2"/>
  <c r="AB377" i="2" s="1"/>
  <c r="AA375" i="2"/>
  <c r="AB375" i="2" s="1"/>
  <c r="AA376" i="2"/>
  <c r="AB376" i="2" s="1"/>
  <c r="AA373" i="2"/>
  <c r="AB373" i="2" s="1"/>
  <c r="AA372" i="2"/>
  <c r="AB372" i="2" s="1"/>
  <c r="AA370" i="2"/>
  <c r="AB370" i="2" s="1"/>
  <c r="AA371" i="2"/>
  <c r="AB371" i="2" s="1"/>
  <c r="O383" i="2" a="1"/>
  <c r="P381" i="2" a="1"/>
  <c r="O381" i="2" a="1"/>
  <c r="O380" i="2" a="1"/>
  <c r="P380" i="2" a="1"/>
  <c r="P382" i="2" a="1"/>
  <c r="O382" i="2" a="1"/>
  <c r="P383" i="2" a="1"/>
  <c r="P385" i="2" a="1"/>
  <c r="P384" i="2" a="1"/>
  <c r="O384" i="2" a="1"/>
  <c r="O385" i="2" a="1"/>
  <c r="P379" i="2" l="1" a="1"/>
  <c r="O379" i="2" a="1"/>
  <c r="O378" i="2" a="1"/>
  <c r="P378" i="2" a="1"/>
  <c r="Q378" i="2" s="1"/>
  <c r="W380" i="2"/>
  <c r="W383" i="2"/>
  <c r="Q381" i="2"/>
  <c r="Q382" i="2"/>
  <c r="W381" i="2"/>
  <c r="Q380" i="2"/>
  <c r="W382" i="2"/>
  <c r="Q383" i="2"/>
  <c r="Q384" i="2"/>
  <c r="W385" i="2"/>
  <c r="Q385" i="2"/>
  <c r="W384" i="2"/>
  <c r="W379" i="2" l="1"/>
  <c r="Q379" i="2"/>
  <c r="AA379" i="2" s="1"/>
  <c r="AB379" i="2" s="1"/>
  <c r="W378" i="2"/>
  <c r="AA378" i="2" s="1"/>
  <c r="AB378" i="2" s="1"/>
  <c r="AA380" i="2"/>
  <c r="AB380" i="2" s="1"/>
  <c r="AA383" i="2"/>
  <c r="AB383" i="2" s="1"/>
  <c r="AA381" i="2"/>
  <c r="AB381" i="2" s="1"/>
  <c r="AA382" i="2"/>
  <c r="AB382" i="2" s="1"/>
  <c r="AA385" i="2"/>
  <c r="AB385" i="2" s="1"/>
  <c r="AA384" i="2"/>
  <c r="AB384" i="2" s="1"/>
  <c r="P386" i="2" a="1"/>
  <c r="P387" i="2" a="1"/>
  <c r="O387" i="2" a="1"/>
  <c r="O386" i="2" a="1"/>
  <c r="W386" i="2" l="1"/>
  <c r="Q387" i="2"/>
  <c r="Q386" i="2"/>
  <c r="W387" i="2"/>
  <c r="O390" i="2" l="1" a="1"/>
  <c r="P391" i="2" a="1"/>
  <c r="AA386" i="2"/>
  <c r="AB386" i="2" s="1"/>
  <c r="AA387" i="2"/>
  <c r="AB387" i="2" s="1"/>
  <c r="P388" i="2" l="1" a="1"/>
  <c r="O388" i="2" a="1"/>
  <c r="P389" i="2" a="1"/>
  <c r="O389" i="2" a="1"/>
  <c r="P390" i="2" a="1"/>
  <c r="O391" i="2" a="1"/>
  <c r="Q389" i="2" l="1"/>
  <c r="W388" i="2"/>
  <c r="Q388" i="2"/>
  <c r="AA388" i="2" s="1"/>
  <c r="AB388" i="2" s="1"/>
  <c r="W389" i="2"/>
  <c r="W390" i="2"/>
  <c r="Q390" i="2"/>
  <c r="Q391" i="2"/>
  <c r="W391" i="2"/>
  <c r="AA389" i="2" l="1"/>
  <c r="AB389" i="2" s="1"/>
  <c r="AA390" i="2"/>
  <c r="AB390" i="2" s="1"/>
  <c r="AA391" i="2"/>
  <c r="AB391" i="2" s="1"/>
  <c r="O398" i="2" l="1" a="1"/>
  <c r="P399" i="2" a="1"/>
  <c r="Q399" i="2" s="1"/>
  <c r="O399" i="2" a="1"/>
  <c r="P398" i="2" a="1"/>
  <c r="Q398" i="2" s="1"/>
  <c r="P393" i="2" a="1"/>
  <c r="O393" i="2" a="1"/>
  <c r="O392" i="2" a="1"/>
  <c r="P392" i="2" a="1"/>
  <c r="P396" i="2" a="1"/>
  <c r="O395" i="2" a="1"/>
  <c r="O394" i="2" a="1"/>
  <c r="W394" i="2" s="1"/>
  <c r="P394" i="2" a="1"/>
  <c r="P395" i="2" a="1"/>
  <c r="O397" i="2" a="1"/>
  <c r="P397" i="2" a="1"/>
  <c r="Q397" i="2" s="1"/>
  <c r="O396" i="2" a="1"/>
  <c r="W396" i="2" l="1"/>
  <c r="Q393" i="2"/>
  <c r="Q395" i="2"/>
  <c r="Q392" i="2"/>
  <c r="W398" i="2"/>
  <c r="AA398" i="2" s="1"/>
  <c r="AB398" i="2" s="1"/>
  <c r="W393" i="2"/>
  <c r="W392" i="2"/>
  <c r="AA392" i="2" s="1"/>
  <c r="AB392" i="2" s="1"/>
  <c r="Q396" i="2"/>
  <c r="AA396" i="2" s="1"/>
  <c r="AB396" i="2" s="1"/>
  <c r="W395" i="2"/>
  <c r="Q394" i="2"/>
  <c r="AA394" i="2" s="1"/>
  <c r="AB394" i="2" s="1"/>
  <c r="W397" i="2"/>
  <c r="AA397" i="2" s="1"/>
  <c r="AB397" i="2" s="1"/>
  <c r="W399" i="2"/>
  <c r="AA399" i="2" s="1"/>
  <c r="AB399" i="2" s="1"/>
  <c r="AA393" i="2" l="1"/>
  <c r="AB393" i="2" s="1"/>
  <c r="AA395" i="2"/>
  <c r="AB395" i="2" s="1"/>
  <c r="P400" i="2" a="1"/>
  <c r="P401" i="2" a="1"/>
  <c r="O401" i="2" a="1"/>
  <c r="O400" i="2" a="1"/>
  <c r="Q401" i="2" l="1"/>
  <c r="Q400" i="2"/>
  <c r="W401" i="2"/>
  <c r="AA401" i="2" s="1"/>
  <c r="AB401" i="2" s="1"/>
  <c r="W400" i="2"/>
  <c r="AA400" i="2" l="1"/>
  <c r="AB400" i="2" s="1"/>
  <c r="O403" i="2" a="1"/>
  <c r="P402" i="2" a="1"/>
  <c r="O407" i="2" a="1"/>
  <c r="O406" i="2" a="1"/>
  <c r="O404" i="2" a="1"/>
  <c r="P404" i="2" a="1"/>
  <c r="P405" i="2" a="1"/>
  <c r="O405" i="2" a="1"/>
  <c r="P406" i="2" a="1"/>
  <c r="P409" i="2" a="1"/>
  <c r="O408" i="2" a="1"/>
  <c r="P403" i="2" a="1"/>
  <c r="Q403" i="2" s="1"/>
  <c r="P407" i="2" a="1"/>
  <c r="O409" i="2" a="1"/>
  <c r="O402" i="2" a="1"/>
  <c r="P408" i="2" a="1"/>
  <c r="W405" i="2" l="1"/>
  <c r="Q408" i="2"/>
  <c r="W404" i="2"/>
  <c r="Q406" i="2"/>
  <c r="Q407" i="2"/>
  <c r="W402" i="2"/>
  <c r="W403" i="2"/>
  <c r="AA403" i="2" s="1"/>
  <c r="AB403" i="2" s="1"/>
  <c r="W409" i="2"/>
  <c r="Q405" i="2"/>
  <c r="AA405" i="2" s="1"/>
  <c r="AB405" i="2" s="1"/>
  <c r="W406" i="2"/>
  <c r="AA406" i="2" s="1"/>
  <c r="AB406" i="2" s="1"/>
  <c r="Q409" i="2"/>
  <c r="Q404" i="2"/>
  <c r="W408" i="2"/>
  <c r="Q402" i="2"/>
  <c r="W407" i="2"/>
  <c r="AA409" i="2" l="1"/>
  <c r="AB409" i="2" s="1"/>
  <c r="AA404" i="2"/>
  <c r="AB404" i="2" s="1"/>
  <c r="AA408" i="2"/>
  <c r="AB408" i="2" s="1"/>
  <c r="AA402" i="2"/>
  <c r="AB402" i="2" s="1"/>
  <c r="AA407" i="2"/>
  <c r="AB407" i="2" s="1"/>
  <c r="O411" i="2" a="1"/>
  <c r="P410" i="2" a="1"/>
  <c r="Q410" i="2" s="1"/>
  <c r="P413" i="2" a="1"/>
  <c r="O413" i="2" a="1"/>
  <c r="W413" i="2" s="1"/>
  <c r="P412" i="2" a="1"/>
  <c r="P411" i="2" a="1"/>
  <c r="Q411" i="2" s="1"/>
  <c r="O410" i="2" a="1"/>
  <c r="O412" i="2" a="1"/>
  <c r="W410" i="2" l="1"/>
  <c r="AA410" i="2" s="1"/>
  <c r="AB410" i="2" s="1"/>
  <c r="Q413" i="2"/>
  <c r="AA413" i="2" s="1"/>
  <c r="AB413" i="2" s="1"/>
  <c r="W412" i="2"/>
  <c r="P414" i="2" a="1"/>
  <c r="O415" i="2" a="1"/>
  <c r="W411" i="2"/>
  <c r="AA411" i="2" s="1"/>
  <c r="AB411" i="2" s="1"/>
  <c r="Q412" i="2"/>
  <c r="AA412" i="2" l="1"/>
  <c r="AB412" i="2" s="1"/>
  <c r="P415" i="2" l="1" a="1"/>
  <c r="O414" i="2" a="1"/>
  <c r="P416" i="2" a="1"/>
  <c r="P417" i="2" a="1"/>
  <c r="O417" i="2" a="1"/>
  <c r="O416" i="2" a="1"/>
  <c r="W415" i="2" l="1"/>
  <c r="Q415" i="2"/>
  <c r="W414" i="2"/>
  <c r="Q414" i="2"/>
  <c r="Q416" i="2"/>
  <c r="W417" i="2"/>
  <c r="Q417" i="2"/>
  <c r="W416" i="2"/>
  <c r="AA415" i="2" l="1"/>
  <c r="AB415" i="2" s="1"/>
  <c r="AA414" i="2"/>
  <c r="AB414" i="2" s="1"/>
  <c r="AA416" i="2"/>
  <c r="AB416" i="2" s="1"/>
  <c r="AA417" i="2"/>
  <c r="AB417" i="2" s="1"/>
  <c r="P418" i="2" a="1"/>
  <c r="O419" i="2" a="1"/>
  <c r="O418" i="2" a="1"/>
  <c r="P419" i="2" a="1"/>
  <c r="O420" i="2" a="1"/>
  <c r="P421" i="2" a="1"/>
  <c r="O421" i="2" a="1"/>
  <c r="W421" i="2" s="1"/>
  <c r="P420" i="2" a="1"/>
  <c r="W419" i="2" l="1"/>
  <c r="W418" i="2"/>
  <c r="Q420" i="2"/>
  <c r="Q418" i="2"/>
  <c r="AA418" i="2" s="1"/>
  <c r="AB418" i="2" s="1"/>
  <c r="W420" i="2"/>
  <c r="AA420" i="2" s="1"/>
  <c r="AB420" i="2" s="1"/>
  <c r="Q419" i="2"/>
  <c r="AA419" i="2" s="1"/>
  <c r="AB419" i="2" s="1"/>
  <c r="Q421" i="2"/>
  <c r="AA421" i="2" s="1"/>
  <c r="AB421" i="2" s="1"/>
  <c r="P425" i="2" l="1" a="1"/>
  <c r="O425" i="2" a="1"/>
  <c r="P424" i="2" a="1"/>
  <c r="O424" i="2" a="1"/>
  <c r="O422" i="2" a="1"/>
  <c r="P423" i="2" a="1"/>
  <c r="O423" i="2" a="1"/>
  <c r="P422" i="2" a="1"/>
  <c r="Q424" i="2" l="1"/>
  <c r="W423" i="2"/>
  <c r="Q422" i="2"/>
  <c r="W425" i="2"/>
  <c r="Q425" i="2"/>
  <c r="AA425" i="2" s="1"/>
  <c r="AB425" i="2" s="1"/>
  <c r="W424" i="2"/>
  <c r="AA424" i="2" s="1"/>
  <c r="AB424" i="2" s="1"/>
  <c r="W422" i="2"/>
  <c r="AA422" i="2" s="1"/>
  <c r="AB422" i="2" s="1"/>
  <c r="Q423" i="2"/>
  <c r="AA423" i="2" s="1"/>
  <c r="AB423" i="2" s="1"/>
  <c r="P429" i="2" a="1"/>
  <c r="O429" i="2" a="1"/>
  <c r="O428" i="2" a="1"/>
  <c r="P428" i="2" a="1"/>
  <c r="O426" i="2" l="1" a="1"/>
  <c r="P427" i="2" a="1"/>
  <c r="Q427" i="2" s="1"/>
  <c r="P426" i="2" a="1"/>
  <c r="O427" i="2" a="1"/>
  <c r="W428" i="2"/>
  <c r="W429" i="2"/>
  <c r="Q428" i="2"/>
  <c r="Q429" i="2"/>
  <c r="W426" i="2" l="1"/>
  <c r="Q426" i="2"/>
  <c r="AA426" i="2" s="1"/>
  <c r="AB426" i="2" s="1"/>
  <c r="W427" i="2"/>
  <c r="AA427" i="2" s="1"/>
  <c r="AB427" i="2" s="1"/>
  <c r="AA428" i="2"/>
  <c r="AB428" i="2" s="1"/>
  <c r="AA429" i="2"/>
  <c r="AB429" i="2" s="1"/>
  <c r="P430" i="2" a="1"/>
  <c r="O431" i="2" a="1"/>
  <c r="O430" i="2" a="1"/>
  <c r="P431" i="2" a="1"/>
  <c r="Q431" i="2" l="1"/>
  <c r="W430" i="2"/>
  <c r="Q430" i="2"/>
  <c r="W431" i="2"/>
  <c r="AA430" i="2" l="1"/>
  <c r="AB430" i="2" s="1"/>
  <c r="AA431" i="2"/>
  <c r="AB431" i="2" s="1"/>
  <c r="O432" i="2" a="1"/>
  <c r="P433" i="2" a="1"/>
  <c r="O433" i="2" a="1"/>
  <c r="P432" i="2" a="1"/>
  <c r="Q432" i="2" l="1"/>
  <c r="W433" i="2"/>
  <c r="W432" i="2"/>
  <c r="Q433" i="2"/>
  <c r="AA432" i="2" l="1"/>
  <c r="AB432" i="2" s="1"/>
  <c r="AA433" i="2"/>
  <c r="AB433" i="2" s="1"/>
  <c r="O434" i="2" a="1"/>
  <c r="O435" i="2" a="1"/>
  <c r="P435" i="2" a="1"/>
  <c r="P434" i="2" a="1"/>
  <c r="W434" i="2" l="1"/>
  <c r="W435" i="2"/>
  <c r="Q434" i="2"/>
  <c r="Q435" i="2"/>
  <c r="AA434" i="2" l="1"/>
  <c r="AB434" i="2" s="1"/>
  <c r="AA435" i="2"/>
  <c r="AB435" i="2" s="1"/>
  <c r="O437" i="2" l="1" a="1"/>
  <c r="O436" i="2" a="1"/>
  <c r="P437" i="2" a="1"/>
  <c r="P436" i="2" a="1"/>
  <c r="W436" i="2" l="1"/>
  <c r="W437" i="2"/>
  <c r="Q437" i="2"/>
  <c r="Q436" i="2"/>
  <c r="AA437" i="2" l="1"/>
  <c r="AB437" i="2" s="1"/>
  <c r="AA436" i="2"/>
  <c r="AB436" i="2" s="1"/>
  <c r="O438" i="2" l="1" a="1"/>
  <c r="P439" i="2" a="1"/>
  <c r="O439" i="2" a="1"/>
  <c r="P438" i="2" a="1"/>
  <c r="AX5" i="3" a="1"/>
  <c r="Q438" i="2" l="1"/>
  <c r="W439" i="2"/>
  <c r="W438" i="2"/>
  <c r="Q439" i="2"/>
  <c r="AA438" i="2" l="1"/>
  <c r="AB438" i="2" s="1"/>
  <c r="AA439" i="2"/>
  <c r="AB439" i="2" s="1"/>
  <c r="P440" i="2" a="1"/>
  <c r="O441" i="2" a="1"/>
  <c r="P441" i="2" a="1"/>
  <c r="O440" i="2" a="1"/>
  <c r="W441" i="2" l="1"/>
  <c r="W440" i="2"/>
  <c r="Q440" i="2"/>
  <c r="Q441" i="2"/>
  <c r="AA441" i="2" s="1"/>
  <c r="AB441" i="2" s="1"/>
  <c r="AA440" i="2" l="1"/>
  <c r="AB440" i="2" s="1"/>
  <c r="AX2" i="3" l="1" a="1"/>
  <c r="G26" i="3" l="1" a="1"/>
  <c r="AX9" i="3" a="1"/>
  <c r="AX4" i="3" l="1" a="1"/>
  <c r="G25" i="3" l="1" a="1"/>
  <c r="G36" i="3" a="1"/>
  <c r="AX6" i="3" l="1" a="1"/>
  <c r="G33" i="3" a="1"/>
  <c r="G27" i="3" l="1" a="1"/>
  <c r="G35" i="3" l="1" a="1"/>
  <c r="AX8" i="3" l="1" a="1"/>
  <c r="AX7" i="3" l="1" a="1"/>
  <c r="G30" i="3" a="1"/>
  <c r="G31" i="3" l="1" a="1"/>
  <c r="AX3" i="3" a="1"/>
  <c r="G32" i="3" a="1"/>
  <c r="G29" i="3" l="1" a="1"/>
  <c r="G28" i="3" a="1"/>
  <c r="G34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<sst xmlns="http://schemas.openxmlformats.org/spreadsheetml/2006/main" count="2280" uniqueCount="88">
  <si>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</si>
  <si>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</si>
  <si>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</si>
  <si>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</si>
  <si>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</si>
  <si>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</si>
  <si>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</si>
  <si>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</si>
  <si>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</si>
  <si>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</si>
  <si>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</si>
  <si>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</si>
  <si>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</si>
  <si>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</si>
  <si>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</si>
  <si>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</si>
  <si>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</si>
  <si>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</si>
  <si>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</si>
  <si>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</si>
  <si>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</si>
  <si>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</si>
  <si>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</si>
  <si>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</si>
  <si>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</si>
  <si>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</si>
  <si>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</si>
  <si>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</si>
  <si>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</si>
  <si>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</si>
  <si>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</si>
  <si>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</si>
  <si>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</si>
  <si>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</si>
  <si>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</si>
  <si>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</si>
  <si>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</si>
  <si>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</si>
  <si>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</si>
  <si>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</si>
  <si>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</si>
  <si>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</si>
  <si>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</si>
  <si>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</si>
  <si>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</si>
  <si>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</si>
  <si>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</si>
  <si>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</si>
  <si>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</si>
  <si>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</si>
  <si>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</si>
  <si>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</si>
  <si>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</si>
  <si>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</si>
  <si>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</si>
  <si>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</si>
  <si>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</si>
  <si>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</si>
  <si>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</si>
  <si>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</si>
  <si>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</si>
  <si>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</si>
  <si>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</si>
  <si>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</si>
  <si>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</si>
  <si>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</si>
  <si>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</si>
  <si>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</si>
  <si>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</si>
  <si>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</si>
  <si>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</si>
  <si>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</si>
  <si>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</si>
  <si>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</si>
  <si>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</si>
  <si>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</si>
  <si>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</si>
  <si>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</si>
  <si>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</si>
  <si>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</si>
  <si>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</si>
  <si>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</si>
  <si>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</si>
  <si>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</si>
  <si>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</si>
  <si>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P</t>
  </si>
  <si>
    <t>Dallas Wings</t>
  </si>
  <si>
    <t>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</si>
</sst>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5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15045370374" createdVersion="8" refreshedVersion="8" minRefreshableVersion="3" recordCount="440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6-05-14T00:00:00" maxDate="2016-10-21T00:00:00"/>
    </cacheField>
    <cacheField name="Season" numFmtId="1">
      <sharedItems containsSemiMixedTypes="0" containsString="0" containsNumber="1" containsInteger="1" minValue="2016" maxValue="2016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minValue="0.5" maxValue="3"/>
    </cacheField>
    <cacheField name="Team" numFmtId="0">
      <sharedItems containsBlank="1" count="58">
        <s v="CON"/>
        <s v="CHI"/>
        <s v="DAL"/>
        <s v="IND"/>
        <s v="PHX"/>
        <s v="MIN"/>
        <s v="ATL"/>
        <s v="SAS"/>
        <s v="NYL"/>
        <s v="WAS"/>
        <s v="SEA"/>
        <s v="LAS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37"/>
    </cacheField>
    <cacheField name="OppDaysOff" numFmtId="1">
      <sharedItems containsSemiMixedTypes="0" containsString="0" containsNumber="1" containsInteger="1" minValue="0" maxValue="37"/>
    </cacheField>
    <cacheField name="RestDiff" numFmtId="1">
      <sharedItems containsSemiMixedTypes="0" containsString="0" containsNumber="1" containsInteger="1" minValue="-9" maxValue="9"/>
    </cacheField>
    <cacheField name="OppRestDiff" numFmtId="1">
      <sharedItems containsSemiMixedTypes="0" containsString="0" containsNumber="1" containsInteger="1" minValue="-9" maxValue="9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92.9146427044327" maxValue="1727.7928783523193"/>
    </cacheField>
    <cacheField name="OppPreGmRate" numFmtId="165">
      <sharedItems containsSemiMixedTypes="0" containsString="0" containsNumber="1" minValue="1292.9146427044327" maxValue="1727.7928783523193"/>
    </cacheField>
    <cacheField name="ExpectedWin%" numFmtId="165">
      <sharedItems containsSemiMixedTypes="0" containsString="0" containsNumber="1" minValue="8.7232131928434833E-2" maxValue="0.91276786807156518"/>
    </cacheField>
    <cacheField name="PointsFor" numFmtId="0">
      <sharedItems containsSemiMixedTypes="0" containsString="0" containsNumber="1" containsInteger="1" minValue="51" maxValue="118"/>
    </cacheField>
    <cacheField name="PointsAgainst" numFmtId="0">
      <sharedItems containsSemiMixedTypes="0" containsString="0" containsNumber="1" containsInteger="1" minValue="51" maxValue="118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7" maxValue="37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8491372693898966" maxValue="0.73625858220838836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55" maxValue="75.849999999999994"/>
    </cacheField>
    <cacheField name="Keff" numFmtId="165">
      <sharedItems containsSemiMixedTypes="0" containsString="0" containsNumber="1" minValue="70.900000000000006" maxValue="94.905000000000001"/>
    </cacheField>
    <cacheField name="RatingChange" numFmtId="165">
      <sharedItems containsSemiMixedTypes="0" containsString="0" containsNumber="1" minValue="-32.097257634916389" maxValue="32.097257634916389"/>
    </cacheField>
    <cacheField name="PostGmRate" numFmtId="165">
      <sharedItems containsSemiMixedTypes="0" containsString="0" containsNumber="1" minValue="1292.9146427044327" maxValue="1727.7928783523193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d v="2016-05-14T00:00:00"/>
    <n v="2016"/>
    <x v="0"/>
    <s v="R"/>
    <s v="RS"/>
    <x v="0"/>
    <s v="CHI"/>
    <s v="A"/>
    <n v="0"/>
    <n v="0"/>
    <n v="0"/>
    <n v="0"/>
    <n v="0"/>
    <n v="0"/>
    <n v="1464.2351178183239"/>
    <n v="1525.6931061014375"/>
    <n v="0.30209878747250968"/>
    <n v="70"/>
    <n v="93"/>
    <n v="0"/>
    <n v="-23"/>
    <n v="0"/>
    <n v="0.58535863257667142"/>
    <n v="1"/>
    <n v="75.849999999999994"/>
    <n v="75.849999999999994"/>
    <n v="-13.413020698515686"/>
    <n v="1450.8220971198082"/>
    <n v="0"/>
    <n v="1"/>
    <n v="0"/>
    <n v="0"/>
    <n v="0"/>
    <n v="0"/>
    <n v="0"/>
    <n v="0"/>
    <n v="0"/>
    <n v="0"/>
  </r>
  <r>
    <d v="2016-05-14T00:00:00"/>
    <n v="2016"/>
    <x v="0"/>
    <s v="R"/>
    <s v="RS"/>
    <x v="1"/>
    <s v="CON"/>
    <s v="H"/>
    <n v="0"/>
    <n v="0"/>
    <n v="0"/>
    <n v="0"/>
    <n v="0"/>
    <n v="0"/>
    <n v="1525.6931061014375"/>
    <n v="1464.2351178183239"/>
    <n v="0.69790121252749027"/>
    <n v="93"/>
    <n v="70"/>
    <n v="0"/>
    <n v="23"/>
    <n v="1"/>
    <n v="0.58535863257667142"/>
    <n v="1"/>
    <n v="75.849999999999994"/>
    <n v="75.849999999999994"/>
    <n v="13.413020698515689"/>
    <n v="1539.1061267999532"/>
    <n v="1"/>
    <n v="0"/>
    <n v="0"/>
    <n v="0"/>
    <n v="0"/>
    <n v="0"/>
    <n v="0"/>
    <n v="0"/>
    <n v="0"/>
    <n v="0"/>
  </r>
  <r>
    <d v="2016-05-14T00:00:00"/>
    <n v="2016"/>
    <x v="0"/>
    <s v="R"/>
    <s v="RS"/>
    <x v="2"/>
    <s v="IND"/>
    <s v="A"/>
    <n v="0"/>
    <n v="0"/>
    <n v="0"/>
    <n v="0"/>
    <n v="0"/>
    <n v="0"/>
    <n v="1481.8988959311857"/>
    <n v="1544.7681360082086"/>
    <n v="0.3003887599737059"/>
    <n v="90"/>
    <n v="79"/>
    <n v="0"/>
    <n v="11"/>
    <n v="1"/>
    <n v="0.41793967859805248"/>
    <n v="1"/>
    <n v="75.849999999999994"/>
    <n v="75.849999999999994"/>
    <n v="22.178183262293221"/>
    <n v="1504.077079193479"/>
    <n v="1"/>
    <n v="0"/>
    <n v="0"/>
    <n v="0"/>
    <n v="0"/>
    <n v="0"/>
    <n v="0"/>
    <n v="0"/>
    <n v="0"/>
    <n v="0"/>
  </r>
  <r>
    <d v="2016-05-14T00:00:00"/>
    <n v="2016"/>
    <x v="0"/>
    <s v="R"/>
    <s v="RS"/>
    <x v="3"/>
    <s v="DAL"/>
    <s v="H"/>
    <n v="0"/>
    <n v="0"/>
    <n v="0"/>
    <n v="0"/>
    <n v="0"/>
    <n v="0"/>
    <n v="1544.7681360082086"/>
    <n v="1481.8988959311857"/>
    <n v="0.69961124002629405"/>
    <n v="79"/>
    <n v="90"/>
    <n v="0"/>
    <n v="-11"/>
    <n v="0"/>
    <n v="0.41793967859805248"/>
    <n v="1"/>
    <n v="75.849999999999994"/>
    <n v="75.849999999999994"/>
    <n v="-22.178183262293217"/>
    <n v="1522.5899527459153"/>
    <n v="0"/>
    <n v="1"/>
    <n v="0"/>
    <n v="0"/>
    <n v="0"/>
    <n v="0"/>
    <n v="0"/>
    <n v="0"/>
    <n v="0"/>
    <n v="0"/>
  </r>
  <r>
    <d v="2016-05-14T00:00:00"/>
    <n v="2016"/>
    <x v="0"/>
    <s v="R"/>
    <s v="RS"/>
    <x v="4"/>
    <s v="MIN"/>
    <s v="A"/>
    <n v="0"/>
    <n v="0"/>
    <n v="0"/>
    <n v="0"/>
    <n v="0"/>
    <n v="0"/>
    <n v="1545.2022158815225"/>
    <n v="1557.608579821067"/>
    <n v="0.36471450167444064"/>
    <n v="76"/>
    <n v="95"/>
    <n v="0"/>
    <n v="-19"/>
    <n v="0"/>
    <n v="0.55523717731102806"/>
    <n v="1"/>
    <n v="75.849999999999994"/>
    <n v="75.849999999999994"/>
    <n v="-15.359856375427594"/>
    <n v="1529.8423595060949"/>
    <n v="0"/>
    <n v="1"/>
    <n v="0"/>
    <n v="0"/>
    <n v="0"/>
    <n v="0"/>
    <n v="0"/>
    <n v="0"/>
    <n v="0"/>
    <n v="0"/>
  </r>
  <r>
    <d v="2016-05-14T00:00:00"/>
    <n v="2016"/>
    <x v="0"/>
    <s v="R"/>
    <s v="RS"/>
    <x v="5"/>
    <s v="PHX"/>
    <s v="H"/>
    <n v="0"/>
    <n v="0"/>
    <n v="0"/>
    <n v="0"/>
    <n v="0"/>
    <n v="0"/>
    <n v="1557.608579821067"/>
    <n v="1545.2022158815225"/>
    <n v="0.63528549832555936"/>
    <n v="95"/>
    <n v="76"/>
    <n v="0"/>
    <n v="19"/>
    <n v="1"/>
    <n v="0.55523717731102806"/>
    <n v="1"/>
    <n v="75.849999999999994"/>
    <n v="75.849999999999994"/>
    <n v="15.359856375427594"/>
    <n v="1572.9684361964946"/>
    <n v="1"/>
    <n v="0"/>
    <n v="0"/>
    <n v="0"/>
    <n v="0"/>
    <n v="0"/>
    <n v="0"/>
    <n v="0"/>
    <n v="0"/>
    <n v="0"/>
  </r>
  <r>
    <d v="2016-05-14T00:00:00"/>
    <n v="2016"/>
    <x v="0"/>
    <s v="R"/>
    <s v="RS"/>
    <x v="6"/>
    <s v="SAS"/>
    <s v="A"/>
    <n v="0"/>
    <n v="0"/>
    <n v="0"/>
    <n v="0"/>
    <n v="0"/>
    <n v="0"/>
    <n v="1495.5081901644821"/>
    <n v="1405.7825172704174"/>
    <n v="0.50823915979661982"/>
    <n v="73"/>
    <n v="63"/>
    <n v="1"/>
    <n v="10"/>
    <n v="1"/>
    <n v="0.35432346962081607"/>
    <n v="1"/>
    <n v="75.849999999999994"/>
    <n v="75.849999999999994"/>
    <n v="13.216286580394033"/>
    <n v="1508.7244767448763"/>
    <n v="1"/>
    <n v="0"/>
    <n v="0"/>
    <n v="0"/>
    <n v="0"/>
    <n v="0"/>
    <n v="0"/>
    <n v="0"/>
    <n v="0"/>
    <n v="0"/>
  </r>
  <r>
    <d v="2016-05-14T00:00:00"/>
    <n v="2016"/>
    <x v="0"/>
    <s v="R"/>
    <s v="RS"/>
    <x v="7"/>
    <s v="ATL"/>
    <s v="H"/>
    <n v="0"/>
    <n v="0"/>
    <n v="0"/>
    <n v="0"/>
    <n v="0"/>
    <n v="0"/>
    <n v="1405.7825172704174"/>
    <n v="1495.5081901644821"/>
    <n v="0.49176084020338018"/>
    <n v="63"/>
    <n v="73"/>
    <n v="1"/>
    <n v="-10"/>
    <n v="0"/>
    <n v="0.35432346962081607"/>
    <n v="1"/>
    <n v="75.849999999999994"/>
    <n v="75.849999999999994"/>
    <n v="-13.216286580394033"/>
    <n v="1392.5662306900233"/>
    <n v="0"/>
    <n v="1"/>
    <n v="0"/>
    <n v="0"/>
    <n v="0"/>
    <n v="0"/>
    <n v="0"/>
    <n v="0"/>
    <n v="0"/>
    <n v="0"/>
  </r>
  <r>
    <d v="2016-05-14T00:00:00"/>
    <n v="2016"/>
    <x v="0"/>
    <s v="R"/>
    <s v="RS"/>
    <x v="8"/>
    <s v="WAS"/>
    <s v="A"/>
    <n v="0"/>
    <n v="0"/>
    <n v="0"/>
    <n v="0"/>
    <n v="0"/>
    <n v="0"/>
    <n v="1532.2210347470896"/>
    <n v="1508.5296708229948"/>
    <n v="0.41407021127995958"/>
    <n v="87"/>
    <n v="76"/>
    <n v="0"/>
    <n v="11"/>
    <n v="1"/>
    <n v="0.43132049458665395"/>
    <n v="1"/>
    <n v="75.849999999999994"/>
    <n v="75.849999999999994"/>
    <n v="19.169079467107824"/>
    <n v="1551.3901142141974"/>
    <n v="1"/>
    <n v="0"/>
    <n v="0"/>
    <n v="0"/>
    <n v="0"/>
    <n v="0"/>
    <n v="0"/>
    <n v="0"/>
    <n v="0"/>
    <n v="0"/>
  </r>
  <r>
    <d v="2016-05-14T00:00:00"/>
    <n v="2016"/>
    <x v="0"/>
    <s v="R"/>
    <s v="RS"/>
    <x v="9"/>
    <s v="NYL"/>
    <s v="H"/>
    <n v="0"/>
    <n v="0"/>
    <n v="0"/>
    <n v="0"/>
    <n v="0"/>
    <n v="0"/>
    <n v="1508.5296708229948"/>
    <n v="1532.2210347470896"/>
    <n v="0.58592978872004031"/>
    <n v="76"/>
    <n v="87"/>
    <n v="0"/>
    <n v="-11"/>
    <n v="0"/>
    <n v="0.43132049458665395"/>
    <n v="1"/>
    <n v="75.849999999999994"/>
    <n v="75.849999999999994"/>
    <n v="-19.169079467107821"/>
    <n v="1489.360591355887"/>
    <n v="0"/>
    <n v="1"/>
    <n v="0"/>
    <n v="0"/>
    <n v="0"/>
    <n v="0"/>
    <n v="0"/>
    <n v="0"/>
    <n v="0"/>
    <n v="0"/>
  </r>
  <r>
    <d v="2016-05-15T00:00:00"/>
    <n v="2016"/>
    <x v="0"/>
    <s v="R"/>
    <s v="RS"/>
    <x v="10"/>
    <s v="LAS"/>
    <s v="A"/>
    <n v="1"/>
    <n v="1"/>
    <n v="0"/>
    <n v="0"/>
    <n v="0"/>
    <n v="0"/>
    <n v="1442.7439204453337"/>
    <n v="1496.6190145060878"/>
    <n v="0.31138058386428424"/>
    <n v="66"/>
    <n v="96"/>
    <n v="0"/>
    <n v="-30"/>
    <n v="0"/>
    <n v="0.67326579459826863"/>
    <n v="1"/>
    <n v="75.849999999999994"/>
    <n v="75.849999999999994"/>
    <n v="-15.901337828124692"/>
    <n v="1426.842582617209"/>
    <n v="0"/>
    <n v="1"/>
    <n v="0"/>
    <n v="0"/>
    <n v="0"/>
    <n v="0"/>
    <n v="0"/>
    <n v="0"/>
    <n v="0"/>
    <n v="0"/>
  </r>
  <r>
    <d v="2016-05-15T00:00:00"/>
    <n v="2016"/>
    <x v="0"/>
    <s v="R"/>
    <s v="RS"/>
    <x v="11"/>
    <s v="SEA"/>
    <s v="H"/>
    <n v="1"/>
    <n v="1"/>
    <n v="0"/>
    <n v="0"/>
    <n v="0"/>
    <n v="0"/>
    <n v="1496.6190145060878"/>
    <n v="1442.7439204453337"/>
    <n v="0.68861941613571576"/>
    <n v="96"/>
    <n v="66"/>
    <n v="0"/>
    <n v="30"/>
    <n v="1"/>
    <n v="0.67326579459826863"/>
    <n v="1"/>
    <n v="75.849999999999994"/>
    <n v="75.849999999999994"/>
    <n v="15.901337828124692"/>
    <n v="1512.5203523342125"/>
    <n v="1"/>
    <n v="0"/>
    <n v="0"/>
    <n v="0"/>
    <n v="0"/>
    <n v="0"/>
    <n v="0"/>
    <n v="0"/>
    <n v="0"/>
    <n v="0"/>
  </r>
  <r>
    <d v="2016-05-15T00:00:00"/>
    <n v="2016"/>
    <x v="1"/>
    <s v="R"/>
    <s v="RS"/>
    <x v="2"/>
    <s v="NYL"/>
    <s v="A"/>
    <n v="0"/>
    <n v="0"/>
    <n v="0"/>
    <n v="0"/>
    <n v="0"/>
    <n v="0"/>
    <n v="1504.077079193479"/>
    <n v="1551.3901142141974"/>
    <n v="0.31953738776645529"/>
    <n v="71"/>
    <n v="79"/>
    <n v="0"/>
    <n v="-8"/>
    <n v="0"/>
    <n v="0.37358596352347628"/>
    <n v="1"/>
    <n v="75.7"/>
    <n v="75.7"/>
    <n v="-9.0366634948112932"/>
    <n v="1495.0404156986676"/>
    <n v="0"/>
    <n v="1"/>
    <n v="0"/>
    <n v="0"/>
    <n v="0"/>
    <n v="0"/>
    <n v="0"/>
    <n v="0"/>
    <n v="0"/>
    <n v="0"/>
  </r>
  <r>
    <d v="2016-05-15T00:00:00"/>
    <n v="2016"/>
    <x v="1"/>
    <s v="R"/>
    <s v="RS"/>
    <x v="8"/>
    <s v="DAL"/>
    <s v="H"/>
    <n v="0"/>
    <n v="0"/>
    <n v="0"/>
    <n v="0"/>
    <n v="0"/>
    <n v="0"/>
    <n v="1551.3901142141974"/>
    <n v="1504.077079193479"/>
    <n v="0.68046261223354476"/>
    <n v="79"/>
    <n v="71"/>
    <n v="0"/>
    <n v="8"/>
    <n v="1"/>
    <n v="0.37358596352347628"/>
    <n v="1"/>
    <n v="75.7"/>
    <n v="75.7"/>
    <n v="9.0366634948112914"/>
    <n v="1560.4267777090088"/>
    <n v="1"/>
    <n v="0"/>
    <n v="0"/>
    <n v="0"/>
    <n v="0"/>
    <n v="0"/>
    <n v="0"/>
    <n v="0"/>
    <n v="0"/>
    <n v="0"/>
  </r>
  <r>
    <d v="2016-05-18T00:00:00"/>
    <n v="2016"/>
    <x v="1"/>
    <s v="R"/>
    <s v="RS"/>
    <x v="5"/>
    <s v="CHI"/>
    <s v="A"/>
    <n v="3"/>
    <n v="3"/>
    <n v="0"/>
    <n v="0"/>
    <n v="0"/>
    <n v="0"/>
    <n v="1572.9684361964946"/>
    <n v="1539.1061267999532"/>
    <n v="0.42834278873425818"/>
    <n v="97"/>
    <n v="80"/>
    <n v="0"/>
    <n v="17"/>
    <n v="1"/>
    <n v="0.51782964600878811"/>
    <n v="1"/>
    <n v="75.7"/>
    <n v="75.7"/>
    <n v="22.408793587051939"/>
    <n v="1595.3772297835465"/>
    <n v="1"/>
    <n v="0"/>
    <n v="0"/>
    <n v="0"/>
    <n v="0"/>
    <n v="0"/>
    <n v="0"/>
    <n v="0"/>
    <n v="0"/>
    <n v="0"/>
  </r>
  <r>
    <d v="2016-05-18T00:00:00"/>
    <n v="2016"/>
    <x v="1"/>
    <s v="R"/>
    <s v="RS"/>
    <x v="1"/>
    <s v="MIN"/>
    <s v="H"/>
    <n v="3"/>
    <n v="3"/>
    <n v="0"/>
    <n v="0"/>
    <n v="0"/>
    <n v="0"/>
    <n v="1539.1061267999532"/>
    <n v="1572.9684361964946"/>
    <n v="0.57165721126574176"/>
    <n v="80"/>
    <n v="97"/>
    <n v="0"/>
    <n v="-17"/>
    <n v="0"/>
    <n v="0.51782964600878811"/>
    <n v="1"/>
    <n v="75.7"/>
    <n v="75.7"/>
    <n v="-22.408793587051932"/>
    <n v="1516.6973332129014"/>
    <n v="0"/>
    <n v="1"/>
    <n v="0"/>
    <n v="0"/>
    <n v="0"/>
    <n v="0"/>
    <n v="0"/>
    <n v="0"/>
    <n v="0"/>
    <n v="0"/>
  </r>
  <r>
    <d v="2016-05-18T00:00:00"/>
    <n v="2016"/>
    <x v="1"/>
    <s v="R"/>
    <s v="RS"/>
    <x v="4"/>
    <s v="IND"/>
    <s v="A"/>
    <n v="3"/>
    <n v="3"/>
    <n v="0"/>
    <n v="0"/>
    <n v="0"/>
    <n v="0"/>
    <n v="1529.8423595060949"/>
    <n v="1522.5899527459153"/>
    <n v="0.39131342081307902"/>
    <n v="93"/>
    <n v="97"/>
    <n v="0"/>
    <n v="-4"/>
    <n v="0"/>
    <n v="0.30956184455873648"/>
    <n v="1"/>
    <n v="75.7"/>
    <n v="75.7"/>
    <n v="-9.1699728191046752"/>
    <n v="1520.6723866869902"/>
    <n v="0"/>
    <n v="1"/>
    <n v="0"/>
    <n v="0"/>
    <n v="0"/>
    <n v="0"/>
    <n v="0"/>
    <n v="0"/>
    <n v="0"/>
    <n v="0"/>
  </r>
  <r>
    <d v="2016-05-18T00:00:00"/>
    <n v="2016"/>
    <x v="1"/>
    <s v="R"/>
    <s v="RS"/>
    <x v="3"/>
    <s v="PHX"/>
    <s v="H"/>
    <n v="3"/>
    <n v="3"/>
    <n v="0"/>
    <n v="0"/>
    <n v="0"/>
    <n v="0"/>
    <n v="1522.5899527459153"/>
    <n v="1529.8423595060949"/>
    <n v="0.60868657918692093"/>
    <n v="97"/>
    <n v="93"/>
    <n v="0"/>
    <n v="4"/>
    <n v="1"/>
    <n v="0.30956184455873648"/>
    <n v="1"/>
    <n v="75.7"/>
    <n v="75.7"/>
    <n v="9.169972819104677"/>
    <n v="1531.75992556502"/>
    <n v="1"/>
    <n v="0"/>
    <n v="0"/>
    <n v="0"/>
    <n v="0"/>
    <n v="0"/>
    <n v="0"/>
    <n v="0"/>
    <n v="0"/>
    <n v="0"/>
  </r>
  <r>
    <d v="2016-05-18T00:00:00"/>
    <n v="2016"/>
    <x v="2"/>
    <s v="R"/>
    <s v="RS"/>
    <x v="2"/>
    <s v="WAS"/>
    <s v="A"/>
    <n v="2"/>
    <n v="3"/>
    <n v="-1"/>
    <n v="1"/>
    <n v="-8"/>
    <n v="8"/>
    <n v="1495.0404156986676"/>
    <n v="1489.360591355887"/>
    <n v="0.36750147040705111"/>
    <n v="87"/>
    <n v="77"/>
    <n v="0"/>
    <n v="10"/>
    <n v="1"/>
    <n v="0.42113638210336624"/>
    <n v="1"/>
    <n v="75.55"/>
    <n v="75.55"/>
    <n v="20.124113161226663"/>
    <n v="1515.1645288598943"/>
    <n v="1"/>
    <n v="0"/>
    <n v="0"/>
    <n v="0"/>
    <n v="0"/>
    <n v="0"/>
    <n v="0"/>
    <n v="0"/>
    <n v="0"/>
    <n v="0"/>
  </r>
  <r>
    <d v="2016-05-18T00:00:00"/>
    <n v="2016"/>
    <x v="1"/>
    <s v="R"/>
    <s v="RS"/>
    <x v="9"/>
    <s v="DAL"/>
    <s v="H"/>
    <n v="3"/>
    <n v="2"/>
    <n v="1"/>
    <n v="-1"/>
    <n v="8"/>
    <n v="-8"/>
    <n v="1489.360591355887"/>
    <n v="1495.0404156986676"/>
    <n v="0.63249852959294894"/>
    <n v="77"/>
    <n v="87"/>
    <n v="0"/>
    <n v="-10"/>
    <n v="0"/>
    <n v="0.42113638210336624"/>
    <n v="1"/>
    <n v="75.7"/>
    <n v="75.7"/>
    <n v="-20.16406838259244"/>
    <n v="1469.1965229732946"/>
    <n v="0"/>
    <n v="1"/>
    <n v="0"/>
    <n v="0"/>
    <n v="0"/>
    <n v="0"/>
    <n v="0"/>
    <n v="0"/>
    <n v="0"/>
    <n v="0"/>
  </r>
  <r>
    <d v="2016-05-19T00:00:00"/>
    <n v="2016"/>
    <x v="1"/>
    <s v="R"/>
    <s v="RS"/>
    <x v="0"/>
    <s v="SAS"/>
    <s v="A"/>
    <n v="4"/>
    <n v="4"/>
    <n v="0"/>
    <n v="0"/>
    <n v="0"/>
    <n v="0"/>
    <n v="1450.8220971198082"/>
    <n v="1392.5662306900233"/>
    <n v="0.46301886988919128"/>
    <n v="72"/>
    <n v="68"/>
    <n v="0"/>
    <n v="4"/>
    <n v="1"/>
    <n v="0.2970137408896476"/>
    <n v="1"/>
    <n v="75.7"/>
    <n v="75.7"/>
    <n v="12.073451610071094"/>
    <n v="1462.8955487298792"/>
    <n v="1"/>
    <n v="0"/>
    <n v="0"/>
    <n v="0"/>
    <n v="0"/>
    <n v="0"/>
    <n v="0"/>
    <n v="0"/>
    <n v="0"/>
    <n v="0"/>
  </r>
  <r>
    <d v="2016-05-19T00:00:00"/>
    <n v="2016"/>
    <x v="1"/>
    <s v="R"/>
    <s v="RS"/>
    <x v="7"/>
    <s v="CON"/>
    <s v="H"/>
    <n v="4"/>
    <n v="4"/>
    <n v="0"/>
    <n v="0"/>
    <n v="0"/>
    <n v="0"/>
    <n v="1392.5662306900233"/>
    <n v="1450.8220971198082"/>
    <n v="0.53698113011080872"/>
    <n v="68"/>
    <n v="72"/>
    <n v="0"/>
    <n v="-4"/>
    <n v="0"/>
    <n v="0.2970137408896476"/>
    <n v="1"/>
    <n v="75.7"/>
    <n v="75.7"/>
    <n v="-12.073451610071094"/>
    <n v="1380.4927790799522"/>
    <n v="0"/>
    <n v="1"/>
    <n v="0"/>
    <n v="0"/>
    <n v="0"/>
    <n v="0"/>
    <n v="0"/>
    <n v="0"/>
    <n v="0"/>
    <n v="0"/>
  </r>
  <r>
    <d v="2016-05-20T00:00:00"/>
    <n v="2016"/>
    <x v="1"/>
    <s v="R"/>
    <s v="RS"/>
    <x v="6"/>
    <s v="IND"/>
    <s v="A"/>
    <n v="5"/>
    <n v="1"/>
    <n v="4"/>
    <n v="-4"/>
    <n v="16"/>
    <n v="-16"/>
    <n v="1508.7244767448763"/>
    <n v="1531.75992556502"/>
    <n v="0.39366346760257442"/>
    <n v="85"/>
    <n v="94"/>
    <n v="0"/>
    <n v="-9"/>
    <n v="0"/>
    <n v="0.39832519412798534"/>
    <n v="1"/>
    <n v="75.7"/>
    <n v="75.7"/>
    <n v="-11.870220040549574"/>
    <n v="1496.8542567043266"/>
    <n v="0"/>
    <n v="1"/>
    <n v="0"/>
    <n v="0"/>
    <n v="0"/>
    <n v="0"/>
    <n v="0"/>
    <n v="0"/>
    <n v="0"/>
    <n v="0"/>
  </r>
  <r>
    <d v="2016-05-20T00:00:00"/>
    <n v="2016"/>
    <x v="2"/>
    <s v="R"/>
    <s v="RS"/>
    <x v="3"/>
    <s v="ATL"/>
    <s v="H"/>
    <n v="1"/>
    <n v="5"/>
    <n v="-4"/>
    <n v="4"/>
    <n v="-16"/>
    <n v="16"/>
    <n v="1531.75992556502"/>
    <n v="1508.7244767448763"/>
    <n v="0.60633653239742558"/>
    <n v="94"/>
    <n v="85"/>
    <n v="0"/>
    <n v="9"/>
    <n v="1"/>
    <n v="0.39832519412798534"/>
    <n v="1"/>
    <n v="75.55"/>
    <n v="75.55"/>
    <n v="11.846699128976489"/>
    <n v="1543.6066246939965"/>
    <n v="1"/>
    <n v="0"/>
    <n v="0"/>
    <n v="0"/>
    <n v="0"/>
    <n v="0"/>
    <n v="0"/>
    <n v="0"/>
    <n v="0"/>
    <n v="0"/>
  </r>
  <r>
    <d v="2016-05-20T00:00:00"/>
    <n v="2016"/>
    <x v="1"/>
    <s v="R"/>
    <s v="RS"/>
    <x v="10"/>
    <s v="PHX"/>
    <s v="A"/>
    <n v="4"/>
    <n v="1"/>
    <n v="3"/>
    <n v="-3"/>
    <n v="16"/>
    <n v="-16"/>
    <n v="1426.842582617209"/>
    <n v="1520.6723866869902"/>
    <n v="0.30164771910305344"/>
    <n v="81"/>
    <n v="80"/>
    <n v="0"/>
    <n v="1"/>
    <n v="1"/>
    <n v="0.22647152217135716"/>
    <n v="1"/>
    <n v="75.7"/>
    <n v="75.7"/>
    <n v="11.972477637839402"/>
    <n v="1438.8150602550484"/>
    <n v="1"/>
    <n v="0"/>
    <n v="0"/>
    <n v="0"/>
    <n v="0"/>
    <n v="0"/>
    <n v="0"/>
    <n v="0"/>
    <n v="0"/>
    <n v="0"/>
  </r>
  <r>
    <d v="2016-05-20T00:00:00"/>
    <n v="2016"/>
    <x v="2"/>
    <s v="R"/>
    <s v="RS"/>
    <x v="4"/>
    <s v="SEA"/>
    <s v="H"/>
    <n v="1"/>
    <n v="4"/>
    <n v="-3"/>
    <n v="3"/>
    <n v="-16"/>
    <n v="16"/>
    <n v="1520.6723866869902"/>
    <n v="1426.842582617209"/>
    <n v="0.69835228089694656"/>
    <n v="80"/>
    <n v="81"/>
    <n v="0"/>
    <n v="-1"/>
    <n v="0"/>
    <n v="0.22647152217135716"/>
    <n v="1"/>
    <n v="75.55"/>
    <n v="75.55"/>
    <n v="-11.948754102229415"/>
    <n v="1508.7236325847607"/>
    <n v="0"/>
    <n v="1"/>
    <n v="0"/>
    <n v="0"/>
    <n v="0"/>
    <n v="0"/>
    <n v="0"/>
    <n v="0"/>
    <n v="0"/>
    <n v="0"/>
  </r>
  <r>
    <d v="2016-05-20T00:00:00"/>
    <n v="2016"/>
    <x v="1"/>
    <s v="R"/>
    <s v="RS"/>
    <x v="11"/>
    <s v="WAS"/>
    <s v="A"/>
    <n v="4"/>
    <n v="1"/>
    <n v="3"/>
    <n v="-3"/>
    <n v="16"/>
    <n v="-16"/>
    <n v="1512.5203523342125"/>
    <n v="1469.1965229732946"/>
    <n v="0.48751658155133359"/>
    <n v="97"/>
    <n v="67"/>
    <n v="0"/>
    <n v="30"/>
    <n v="1"/>
    <n v="0.67897935485055083"/>
    <n v="1"/>
    <n v="75.7"/>
    <n v="75.7"/>
    <n v="26.341000524821947"/>
    <n v="1538.8613528590345"/>
    <n v="1"/>
    <n v="0"/>
    <n v="0"/>
    <n v="0"/>
    <n v="0"/>
    <n v="0"/>
    <n v="0"/>
    <n v="0"/>
    <n v="0"/>
    <n v="0"/>
  </r>
  <r>
    <d v="2016-05-20T00:00:00"/>
    <n v="2016"/>
    <x v="2"/>
    <s v="R"/>
    <s v="RS"/>
    <x v="9"/>
    <s v="LAS"/>
    <s v="H"/>
    <n v="1"/>
    <n v="4"/>
    <n v="-3"/>
    <n v="3"/>
    <n v="-16"/>
    <n v="16"/>
    <n v="1469.1965229732946"/>
    <n v="1512.5203523342125"/>
    <n v="0.51248341844866641"/>
    <n v="67"/>
    <n v="97"/>
    <n v="0"/>
    <n v="-30"/>
    <n v="0"/>
    <n v="0.67897935485055083"/>
    <n v="1"/>
    <n v="75.55"/>
    <n v="75.55"/>
    <n v="-26.288805675697464"/>
    <n v="1442.9077172975972"/>
    <n v="0"/>
    <n v="1"/>
    <n v="0"/>
    <n v="0"/>
    <n v="0"/>
    <n v="0"/>
    <n v="0"/>
    <n v="0"/>
    <n v="0"/>
    <n v="0"/>
  </r>
  <r>
    <d v="2016-05-21T00:00:00"/>
    <n v="2016"/>
    <x v="3"/>
    <s v="R"/>
    <s v="RS"/>
    <x v="9"/>
    <s v="CON"/>
    <s v="A"/>
    <n v="0"/>
    <n v="1"/>
    <n v="-1"/>
    <n v="1"/>
    <n v="-8"/>
    <n v="8"/>
    <n v="1442.9077172975972"/>
    <n v="1462.8955487298792"/>
    <n v="0.33387615409089566"/>
    <n v="84"/>
    <n v="76"/>
    <n v="1"/>
    <n v="8"/>
    <n v="1"/>
    <n v="0.34375816462930397"/>
    <n v="1"/>
    <n v="75.400000000000006"/>
    <n v="75.400000000000006"/>
    <n v="17.265507505688738"/>
    <n v="1460.1732248032858"/>
    <n v="1"/>
    <n v="0"/>
    <n v="0"/>
    <n v="0"/>
    <n v="0"/>
    <n v="0"/>
    <n v="0"/>
    <n v="0"/>
    <n v="0"/>
    <n v="0"/>
  </r>
  <r>
    <d v="2016-05-21T00:00:00"/>
    <n v="2016"/>
    <x v="2"/>
    <s v="R"/>
    <s v="RS"/>
    <x v="0"/>
    <s v="WAS"/>
    <s v="H"/>
    <n v="1"/>
    <n v="0"/>
    <n v="1"/>
    <n v="-1"/>
    <n v="8"/>
    <n v="-8"/>
    <n v="1462.8955487298792"/>
    <n v="1442.9077172975972"/>
    <n v="0.66612384590910434"/>
    <n v="76"/>
    <n v="84"/>
    <n v="1"/>
    <n v="-8"/>
    <n v="0"/>
    <n v="0.34375816462930397"/>
    <n v="1"/>
    <n v="75.55"/>
    <n v="75.55"/>
    <n v="-17.299855332291564"/>
    <n v="1445.5956933975876"/>
    <n v="0"/>
    <n v="1"/>
    <n v="0"/>
    <n v="0"/>
    <n v="0"/>
    <n v="0"/>
    <n v="0"/>
    <n v="0"/>
    <n v="0"/>
    <n v="0"/>
  </r>
  <r>
    <d v="2016-05-21T00:00:00"/>
    <n v="2016"/>
    <x v="2"/>
    <s v="R"/>
    <s v="RS"/>
    <x v="7"/>
    <s v="DAL"/>
    <s v="A"/>
    <n v="1"/>
    <n v="2"/>
    <n v="-1"/>
    <n v="1"/>
    <n v="-8"/>
    <n v="8"/>
    <n v="1380.4927790799522"/>
    <n v="1515.1645288598943"/>
    <n v="0.20572667347627979"/>
    <n v="77"/>
    <n v="82"/>
    <n v="0"/>
    <n v="-5"/>
    <n v="0"/>
    <n v="0.29828095980838459"/>
    <n v="1"/>
    <n v="75.55"/>
    <n v="75.55"/>
    <n v="-4.6360766139942955"/>
    <n v="1375.8567024659581"/>
    <n v="0"/>
    <n v="1"/>
    <n v="0"/>
    <n v="0"/>
    <n v="0"/>
    <n v="0"/>
    <n v="0"/>
    <n v="0"/>
    <n v="0"/>
    <n v="0"/>
  </r>
  <r>
    <d v="2016-05-21T00:00:00"/>
    <n v="2016"/>
    <x v="3"/>
    <s v="R"/>
    <s v="RS"/>
    <x v="2"/>
    <s v="SAS"/>
    <s v="H"/>
    <n v="2"/>
    <n v="1"/>
    <n v="1"/>
    <n v="-1"/>
    <n v="8"/>
    <n v="-8"/>
    <n v="1515.1645288598943"/>
    <n v="1380.4927790799522"/>
    <n v="0.79427332652372018"/>
    <n v="82"/>
    <n v="77"/>
    <n v="0"/>
    <n v="5"/>
    <n v="1"/>
    <n v="0.29828095980838459"/>
    <n v="1"/>
    <n v="75.400000000000006"/>
    <n v="75.400000000000006"/>
    <n v="4.6268719615508926"/>
    <n v="1519.7914008214452"/>
    <n v="1"/>
    <n v="0"/>
    <n v="0"/>
    <n v="0"/>
    <n v="0"/>
    <n v="0"/>
    <n v="0"/>
    <n v="0"/>
    <n v="0"/>
    <n v="0"/>
  </r>
  <r>
    <d v="2016-05-21T00:00:00"/>
    <n v="2016"/>
    <x v="2"/>
    <s v="R"/>
    <s v="RS"/>
    <x v="11"/>
    <s v="NYL"/>
    <s v="A"/>
    <n v="0"/>
    <n v="5"/>
    <n v="-5"/>
    <n v="5"/>
    <n v="-16"/>
    <n v="16"/>
    <n v="1538.8613528590345"/>
    <n v="1560.4267777090088"/>
    <n v="0.31176294210145322"/>
    <n v="79"/>
    <n v="72"/>
    <n v="1"/>
    <n v="7"/>
    <n v="1"/>
    <n v="0.3272159952752563"/>
    <n v="1"/>
    <n v="75.55"/>
    <n v="75.55"/>
    <n v="17.014024237056113"/>
    <n v="1555.8753770960907"/>
    <n v="1"/>
    <n v="0"/>
    <n v="0"/>
    <n v="0"/>
    <n v="0"/>
    <n v="0"/>
    <n v="0"/>
    <n v="0"/>
    <n v="0"/>
    <n v="0"/>
  </r>
  <r>
    <d v="2016-05-21T00:00:00"/>
    <n v="2016"/>
    <x v="2"/>
    <s v="R"/>
    <s v="RS"/>
    <x v="8"/>
    <s v="LAS"/>
    <s v="H"/>
    <n v="5"/>
    <n v="0"/>
    <n v="5"/>
    <n v="-5"/>
    <n v="16"/>
    <n v="-16"/>
    <n v="1560.4267777090088"/>
    <n v="1538.8613528590345"/>
    <n v="0.68823705789854683"/>
    <n v="72"/>
    <n v="79"/>
    <n v="1"/>
    <n v="-7"/>
    <n v="0"/>
    <n v="0.3272159952752563"/>
    <n v="1"/>
    <n v="75.55"/>
    <n v="75.55"/>
    <n v="-17.014024237056113"/>
    <n v="1543.4127534719526"/>
    <n v="0"/>
    <n v="1"/>
    <n v="0"/>
    <n v="0"/>
    <n v="0"/>
    <n v="0"/>
    <n v="0"/>
    <n v="0"/>
    <n v="0"/>
    <n v="0"/>
  </r>
  <r>
    <d v="2016-05-22T00:00:00"/>
    <n v="2016"/>
    <x v="2"/>
    <s v="R"/>
    <s v="RS"/>
    <x v="1"/>
    <s v="ATL"/>
    <s v="A"/>
    <n v="3"/>
    <n v="1"/>
    <n v="2"/>
    <n v="-2"/>
    <n v="16"/>
    <n v="-16"/>
    <n v="1516.6973332129014"/>
    <n v="1496.8542567043266"/>
    <n v="0.45385416041669124"/>
    <n v="81"/>
    <n v="87"/>
    <n v="0"/>
    <n v="-6"/>
    <n v="0"/>
    <n v="0.34556650886252488"/>
    <n v="1"/>
    <n v="75.55"/>
    <n v="75.55"/>
    <n v="-11.849020069855985"/>
    <n v="1504.8483131430455"/>
    <n v="0"/>
    <n v="1"/>
    <n v="0"/>
    <n v="0"/>
    <n v="0"/>
    <n v="0"/>
    <n v="0"/>
    <n v="0"/>
    <n v="0"/>
    <n v="0"/>
  </r>
  <r>
    <d v="2016-05-22T00:00:00"/>
    <n v="2016"/>
    <x v="2"/>
    <s v="R"/>
    <s v="RS"/>
    <x v="6"/>
    <s v="CHI"/>
    <s v="H"/>
    <n v="1"/>
    <n v="3"/>
    <n v="-2"/>
    <n v="2"/>
    <n v="-16"/>
    <n v="16"/>
    <n v="1496.8542567043266"/>
    <n v="1516.6973332129014"/>
    <n v="0.54614583958330865"/>
    <n v="87"/>
    <n v="81"/>
    <n v="0"/>
    <n v="6"/>
    <n v="1"/>
    <n v="0.34556650886252488"/>
    <n v="1"/>
    <n v="75.55"/>
    <n v="75.55"/>
    <n v="11.849020069855987"/>
    <n v="1508.7032767741825"/>
    <n v="1"/>
    <n v="0"/>
    <n v="0"/>
    <n v="0"/>
    <n v="0"/>
    <n v="0"/>
    <n v="0"/>
    <n v="0"/>
    <n v="0"/>
    <n v="0"/>
  </r>
  <r>
    <d v="2016-05-22T00:00:00"/>
    <n v="2016"/>
    <x v="2"/>
    <s v="R"/>
    <s v="RS"/>
    <x v="5"/>
    <s v="SEA"/>
    <s v="A"/>
    <n v="3"/>
    <n v="1"/>
    <n v="2"/>
    <n v="-2"/>
    <n v="16"/>
    <n v="-16"/>
    <n v="1595.3772297835465"/>
    <n v="1438.8150602550484"/>
    <n v="0.64609275821911849"/>
    <n v="78"/>
    <n v="71"/>
    <n v="0"/>
    <n v="7"/>
    <n v="1"/>
    <n v="0.32739274097474669"/>
    <n v="1"/>
    <n v="75.55"/>
    <n v="75.55"/>
    <n v="8.7537263093747395"/>
    <n v="1604.1309560929212"/>
    <n v="1"/>
    <n v="0"/>
    <n v="0"/>
    <n v="0"/>
    <n v="0"/>
    <n v="0"/>
    <n v="0"/>
    <n v="0"/>
    <n v="0"/>
    <n v="0"/>
  </r>
  <r>
    <d v="2016-05-22T00:00:00"/>
    <n v="2016"/>
    <x v="2"/>
    <s v="R"/>
    <s v="RS"/>
    <x v="10"/>
    <s v="MIN"/>
    <s v="H"/>
    <n v="1"/>
    <n v="3"/>
    <n v="-2"/>
    <n v="2"/>
    <n v="-16"/>
    <n v="16"/>
    <n v="1438.8150602550484"/>
    <n v="1595.3772297835465"/>
    <n v="0.35390724178088145"/>
    <n v="71"/>
    <n v="78"/>
    <n v="0"/>
    <n v="-7"/>
    <n v="0"/>
    <n v="0.32739274097474669"/>
    <n v="1"/>
    <n v="75.55"/>
    <n v="75.55"/>
    <n v="-8.7537263093747377"/>
    <n v="1430.0613339456736"/>
    <n v="0"/>
    <n v="1"/>
    <n v="0"/>
    <n v="0"/>
    <n v="0"/>
    <n v="0"/>
    <n v="0"/>
    <n v="0"/>
    <n v="0"/>
    <n v="0"/>
  </r>
  <r>
    <d v="2016-05-24T00:00:00"/>
    <n v="2016"/>
    <x v="3"/>
    <s v="R"/>
    <s v="RS"/>
    <x v="11"/>
    <s v="CHI"/>
    <s v="A"/>
    <n v="2"/>
    <n v="1"/>
    <n v="1"/>
    <n v="-1"/>
    <n v="8"/>
    <n v="-8"/>
    <n v="1555.8753770960907"/>
    <n v="1504.8483131430455"/>
    <n v="0.47559339408785889"/>
    <n v="93"/>
    <n v="80"/>
    <n v="0"/>
    <n v="13"/>
    <n v="1"/>
    <n v="0.45278997001634952"/>
    <n v="1"/>
    <n v="75.400000000000006"/>
    <n v="75.400000000000006"/>
    <n v="17.903432273096982"/>
    <n v="1573.7788093691877"/>
    <n v="1"/>
    <n v="0"/>
    <n v="0"/>
    <n v="0"/>
    <n v="0"/>
    <n v="0"/>
    <n v="0"/>
    <n v="0"/>
    <n v="0"/>
    <n v="0"/>
  </r>
  <r>
    <d v="2016-05-24T00:00:00"/>
    <n v="2016"/>
    <x v="3"/>
    <s v="R"/>
    <s v="RS"/>
    <x v="1"/>
    <s v="LAS"/>
    <s v="H"/>
    <n v="1"/>
    <n v="2"/>
    <n v="-1"/>
    <n v="1"/>
    <n v="-8"/>
    <n v="8"/>
    <n v="1504.8483131430455"/>
    <n v="1555.8753770960907"/>
    <n v="0.52440660591214117"/>
    <n v="80"/>
    <n v="93"/>
    <n v="0"/>
    <n v="-13"/>
    <n v="0"/>
    <n v="0.45278997001634952"/>
    <n v="1"/>
    <n v="75.400000000000006"/>
    <n v="75.400000000000006"/>
    <n v="-17.903432273096985"/>
    <n v="1486.9448808699485"/>
    <n v="0"/>
    <n v="1"/>
    <n v="0"/>
    <n v="0"/>
    <n v="0"/>
    <n v="0"/>
    <n v="0"/>
    <n v="0"/>
    <n v="0"/>
    <n v="0"/>
  </r>
  <r>
    <d v="2016-05-24T00:00:00"/>
    <n v="2016"/>
    <x v="3"/>
    <s v="R"/>
    <s v="RS"/>
    <x v="6"/>
    <s v="NYL"/>
    <s v="A"/>
    <n v="1"/>
    <n v="2"/>
    <n v="-1"/>
    <n v="1"/>
    <n v="-8"/>
    <n v="8"/>
    <n v="1508.7032767741825"/>
    <n v="1543.4127534719526"/>
    <n v="0.31530132494788959"/>
    <n v="85"/>
    <n v="79"/>
    <n v="1"/>
    <n v="6"/>
    <n v="1"/>
    <n v="0.30726517382285856"/>
    <n v="1"/>
    <n v="75.400000000000006"/>
    <n v="75.400000000000006"/>
    <n v="15.862957928425043"/>
    <n v="1524.5662347026075"/>
    <n v="1"/>
    <n v="0"/>
    <n v="0"/>
    <n v="0"/>
    <n v="0"/>
    <n v="0"/>
    <n v="0"/>
    <n v="0"/>
    <n v="0"/>
    <n v="0"/>
  </r>
  <r>
    <d v="2016-05-24T00:00:00"/>
    <n v="2016"/>
    <x v="3"/>
    <s v="R"/>
    <s v="RS"/>
    <x v="8"/>
    <s v="ATL"/>
    <s v="H"/>
    <n v="2"/>
    <n v="1"/>
    <n v="1"/>
    <n v="-1"/>
    <n v="8"/>
    <n v="-8"/>
    <n v="1543.4127534719526"/>
    <n v="1508.7032767741825"/>
    <n v="0.68469867505211046"/>
    <n v="79"/>
    <n v="85"/>
    <n v="1"/>
    <n v="-6"/>
    <n v="0"/>
    <n v="0.30726517382285856"/>
    <n v="1"/>
    <n v="75.400000000000006"/>
    <n v="75.400000000000006"/>
    <n v="-15.862957928425043"/>
    <n v="1527.5497955435276"/>
    <n v="0"/>
    <n v="1"/>
    <n v="0"/>
    <n v="0"/>
    <n v="0"/>
    <n v="0"/>
    <n v="0"/>
    <n v="0"/>
    <n v="0"/>
    <n v="0"/>
  </r>
  <r>
    <d v="2016-05-25T00:00:00"/>
    <n v="2016"/>
    <x v="3"/>
    <s v="R"/>
    <s v="RS"/>
    <x v="5"/>
    <s v="PHX"/>
    <s v="A"/>
    <n v="2"/>
    <n v="4"/>
    <n v="-2"/>
    <n v="2"/>
    <n v="-16"/>
    <n v="16"/>
    <n v="1604.1309560929212"/>
    <n v="1508.7236325847607"/>
    <n v="0.47039941038643834"/>
    <n v="85"/>
    <n v="78"/>
    <n v="0"/>
    <n v="7"/>
    <n v="1"/>
    <n v="0.34284861519990179"/>
    <n v="1"/>
    <n v="75.400000000000006"/>
    <n v="75.400000000000006"/>
    <n v="13.690591288357806"/>
    <n v="1617.8215473812791"/>
    <n v="1"/>
    <n v="0"/>
    <n v="0"/>
    <n v="0"/>
    <n v="0"/>
    <n v="0"/>
    <n v="0"/>
    <n v="0"/>
    <n v="0"/>
    <n v="0"/>
  </r>
  <r>
    <d v="2016-05-25T00:00:00"/>
    <n v="2016"/>
    <x v="3"/>
    <s v="R"/>
    <s v="RS"/>
    <x v="4"/>
    <s v="MIN"/>
    <s v="H"/>
    <n v="4"/>
    <n v="2"/>
    <n v="2"/>
    <n v="-2"/>
    <n v="16"/>
    <n v="-16"/>
    <n v="1508.7236325847607"/>
    <n v="1604.1309560929212"/>
    <n v="0.5296005896135616"/>
    <n v="78"/>
    <n v="85"/>
    <n v="0"/>
    <n v="-7"/>
    <n v="0"/>
    <n v="0.34284861519990179"/>
    <n v="1"/>
    <n v="75.400000000000006"/>
    <n v="75.400000000000006"/>
    <n v="-13.690591288357806"/>
    <n v="1495.0330412964029"/>
    <n v="0"/>
    <n v="1"/>
    <n v="0"/>
    <n v="0"/>
    <n v="0"/>
    <n v="0"/>
    <n v="0"/>
    <n v="0"/>
    <n v="0"/>
    <n v="0"/>
  </r>
  <r>
    <d v="2016-05-26T00:00:00"/>
    <n v="2016"/>
    <x v="4"/>
    <s v="R"/>
    <s v="RS"/>
    <x v="11"/>
    <s v="CON"/>
    <s v="A"/>
    <n v="1"/>
    <n v="4"/>
    <n v="-3"/>
    <n v="3"/>
    <n v="-16"/>
    <n v="16"/>
    <n v="1573.7788093691877"/>
    <n v="1445.5956933975876"/>
    <n v="0.51752573056880702"/>
    <n v="77"/>
    <n v="72"/>
    <n v="0"/>
    <n v="5"/>
    <n v="1"/>
    <n v="0.29973816544285131"/>
    <n v="1"/>
    <n v="75.25"/>
    <n v="75.25"/>
    <n v="10.882350417549603"/>
    <n v="1584.6611597867372"/>
    <n v="1"/>
    <n v="0"/>
    <n v="0"/>
    <n v="0"/>
    <n v="0"/>
    <n v="0"/>
    <n v="0"/>
    <n v="0"/>
    <n v="0"/>
    <n v="0"/>
  </r>
  <r>
    <d v="2016-05-26T00:00:00"/>
    <n v="2016"/>
    <x v="3"/>
    <s v="R"/>
    <s v="RS"/>
    <x v="0"/>
    <s v="LAS"/>
    <s v="H"/>
    <n v="4"/>
    <n v="1"/>
    <n v="3"/>
    <n v="-3"/>
    <n v="16"/>
    <n v="-16"/>
    <n v="1445.5956933975876"/>
    <n v="1573.7788093691877"/>
    <n v="0.48247426943119293"/>
    <n v="72"/>
    <n v="77"/>
    <n v="0"/>
    <n v="-5"/>
    <n v="0"/>
    <n v="0.29973816544285131"/>
    <n v="1"/>
    <n v="75.400000000000006"/>
    <n v="75.400000000000006"/>
    <n v="-10.904042810408505"/>
    <n v="1434.6916505871791"/>
    <n v="0"/>
    <n v="1"/>
    <n v="0"/>
    <n v="0"/>
    <n v="0"/>
    <n v="0"/>
    <n v="0"/>
    <n v="0"/>
    <n v="0"/>
    <n v="0"/>
  </r>
  <r>
    <d v="2016-05-26T00:00:00"/>
    <n v="2016"/>
    <x v="4"/>
    <s v="R"/>
    <s v="RS"/>
    <x v="9"/>
    <s v="SEA"/>
    <s v="A"/>
    <n v="4"/>
    <n v="3"/>
    <n v="1"/>
    <n v="-1"/>
    <n v="8"/>
    <n v="-8"/>
    <n v="1460.1732248032858"/>
    <n v="1430.0613339456736"/>
    <n v="0.44568974446796411"/>
    <n v="84"/>
    <n v="82"/>
    <n v="1"/>
    <n v="2"/>
    <n v="1"/>
    <n v="0.23515635335641746"/>
    <n v="1"/>
    <n v="75.25"/>
    <n v="75.25"/>
    <n v="9.8088057685030545"/>
    <n v="1469.982030571789"/>
    <n v="1"/>
    <n v="0"/>
    <n v="0"/>
    <n v="0"/>
    <n v="0"/>
    <n v="0"/>
    <n v="0"/>
    <n v="0"/>
    <n v="0"/>
    <n v="0"/>
  </r>
  <r>
    <d v="2016-05-26T00:00:00"/>
    <n v="2016"/>
    <x v="3"/>
    <s v="R"/>
    <s v="RS"/>
    <x v="10"/>
    <s v="WAS"/>
    <s v="H"/>
    <n v="3"/>
    <n v="4"/>
    <n v="-1"/>
    <n v="1"/>
    <n v="-8"/>
    <n v="8"/>
    <n v="1430.0613339456736"/>
    <n v="1460.1732248032858"/>
    <n v="0.55431025553203583"/>
    <n v="82"/>
    <n v="84"/>
    <n v="1"/>
    <n v="-2"/>
    <n v="0"/>
    <n v="0.23515635335641746"/>
    <n v="1"/>
    <n v="75.400000000000006"/>
    <n v="75.400000000000006"/>
    <n v="-9.8283582052509022"/>
    <n v="1420.2329757404227"/>
    <n v="0"/>
    <n v="1"/>
    <n v="0"/>
    <n v="0"/>
    <n v="0"/>
    <n v="0"/>
    <n v="0"/>
    <n v="0"/>
    <n v="0"/>
    <n v="0"/>
  </r>
  <r>
    <d v="2016-05-27T00:00:00"/>
    <n v="2016"/>
    <x v="4"/>
    <s v="R"/>
    <s v="RS"/>
    <x v="6"/>
    <s v="DAL"/>
    <s v="A"/>
    <n v="2"/>
    <n v="5"/>
    <n v="-3"/>
    <n v="3"/>
    <n v="-16"/>
    <n v="16"/>
    <n v="1524.5662347026075"/>
    <n v="1519.7914008214452"/>
    <n v="0.34518697193585984"/>
    <n v="102"/>
    <n v="93"/>
    <n v="0"/>
    <n v="9"/>
    <n v="1"/>
    <n v="0.40436255711558539"/>
    <n v="1"/>
    <n v="75.25"/>
    <n v="75.25"/>
    <n v="19.9248357521613"/>
    <n v="1544.4910704547688"/>
    <n v="1"/>
    <n v="0"/>
    <n v="0"/>
    <n v="0"/>
    <n v="0"/>
    <n v="0"/>
    <n v="0"/>
    <n v="0"/>
    <n v="0"/>
    <n v="0"/>
  </r>
  <r>
    <d v="2016-05-27T00:00:00"/>
    <n v="2016"/>
    <x v="4"/>
    <s v="R"/>
    <s v="RS"/>
    <x v="2"/>
    <s v="ATL"/>
    <s v="H"/>
    <n v="5"/>
    <n v="2"/>
    <n v="3"/>
    <n v="-3"/>
    <n v="16"/>
    <n v="-16"/>
    <n v="1519.7914008214452"/>
    <n v="1524.5662347026075"/>
    <n v="0.65481302806414021"/>
    <n v="93"/>
    <n v="102"/>
    <n v="0"/>
    <n v="-9"/>
    <n v="0"/>
    <n v="0.40436255711558539"/>
    <n v="1"/>
    <n v="75.25"/>
    <n v="75.25"/>
    <n v="-19.9248357521613"/>
    <n v="1499.866565069284"/>
    <n v="0"/>
    <n v="1"/>
    <n v="0"/>
    <n v="0"/>
    <n v="0"/>
    <n v="0"/>
    <n v="0"/>
    <n v="0"/>
    <n v="0"/>
    <n v="0"/>
  </r>
  <r>
    <d v="2016-05-27T00:00:00"/>
    <n v="2016"/>
    <x v="3"/>
    <s v="R"/>
    <s v="RS"/>
    <x v="3"/>
    <s v="MIN"/>
    <s v="A"/>
    <n v="6"/>
    <n v="1"/>
    <n v="5"/>
    <n v="-5"/>
    <n v="16"/>
    <n v="-16"/>
    <n v="1543.6066246939965"/>
    <n v="1617.8215473812791"/>
    <n v="0.32595193298900732"/>
    <n v="71"/>
    <n v="74"/>
    <n v="0"/>
    <n v="-3"/>
    <n v="0"/>
    <n v="0.2732821748658093"/>
    <n v="1"/>
    <n v="75.400000000000006"/>
    <n v="75.400000000000006"/>
    <n v="-6.7163947274308651"/>
    <n v="1536.8902299665656"/>
    <n v="0"/>
    <n v="1"/>
    <n v="0"/>
    <n v="0"/>
    <n v="0"/>
    <n v="0"/>
    <n v="0"/>
    <n v="0"/>
    <n v="0"/>
    <n v="0"/>
  </r>
  <r>
    <d v="2016-05-27T00:00:00"/>
    <n v="2016"/>
    <x v="4"/>
    <s v="R"/>
    <s v="RS"/>
    <x v="5"/>
    <s v="IND"/>
    <s v="H"/>
    <n v="1"/>
    <n v="6"/>
    <n v="-5"/>
    <n v="5"/>
    <n v="-16"/>
    <n v="16"/>
    <n v="1617.8215473812791"/>
    <n v="1543.6066246939965"/>
    <n v="0.67404806701099274"/>
    <n v="74"/>
    <n v="71"/>
    <n v="0"/>
    <n v="3"/>
    <n v="1"/>
    <n v="0.2732821748658093"/>
    <n v="1"/>
    <n v="75.25"/>
    <n v="75.25"/>
    <n v="6.7030331994585204"/>
    <n v="1624.5245805807376"/>
    <n v="1"/>
    <n v="0"/>
    <n v="0"/>
    <n v="0"/>
    <n v="0"/>
    <n v="0"/>
    <n v="0"/>
    <n v="0"/>
    <n v="0"/>
    <n v="0"/>
  </r>
  <r>
    <d v="2016-05-27T00:00:00"/>
    <n v="2016"/>
    <x v="4"/>
    <s v="R"/>
    <s v="RS"/>
    <x v="1"/>
    <s v="SAS"/>
    <s v="A"/>
    <n v="2"/>
    <n v="5"/>
    <n v="-3"/>
    <n v="3"/>
    <n v="-16"/>
    <n v="16"/>
    <n v="1486.9448808699485"/>
    <n v="1375.8567024659581"/>
    <n v="0.49293179139786131"/>
    <n v="78"/>
    <n v="79"/>
    <n v="0"/>
    <n v="-1"/>
    <n v="0"/>
    <n v="0.22349038759166062"/>
    <n v="1"/>
    <n v="75.25"/>
    <n v="75.25"/>
    <n v="-8.2899551629609114"/>
    <n v="1478.6549257069876"/>
    <n v="0"/>
    <n v="1"/>
    <n v="0"/>
    <n v="0"/>
    <n v="0"/>
    <n v="0"/>
    <n v="0"/>
    <n v="0"/>
    <n v="0"/>
    <n v="0"/>
  </r>
  <r>
    <d v="2016-05-27T00:00:00"/>
    <n v="2016"/>
    <x v="3"/>
    <s v="R"/>
    <s v="RS"/>
    <x v="7"/>
    <s v="CHI"/>
    <s v="H"/>
    <n v="5"/>
    <n v="2"/>
    <n v="3"/>
    <n v="-3"/>
    <n v="16"/>
    <n v="-16"/>
    <n v="1375.8567024659581"/>
    <n v="1486.9448808699485"/>
    <n v="0.50706820860213875"/>
    <n v="79"/>
    <n v="78"/>
    <n v="0"/>
    <n v="1"/>
    <n v="1"/>
    <n v="0.22349038759166062"/>
    <n v="1"/>
    <n v="75.400000000000006"/>
    <n v="75.400000000000006"/>
    <n v="8.306479990528274"/>
    <n v="1384.1631824564863"/>
    <n v="1"/>
    <n v="0"/>
    <n v="0"/>
    <n v="0"/>
    <n v="0"/>
    <n v="0"/>
    <n v="0"/>
    <n v="0"/>
    <n v="0"/>
    <n v="0"/>
  </r>
  <r>
    <d v="2016-05-28T00:00:00"/>
    <n v="2016"/>
    <x v="4"/>
    <s v="R"/>
    <s v="RS"/>
    <x v="0"/>
    <s v="SEA"/>
    <s v="A"/>
    <n v="1"/>
    <n v="1"/>
    <n v="0"/>
    <n v="0"/>
    <n v="0"/>
    <n v="0"/>
    <n v="1434.6916505871791"/>
    <n v="1420.2329757404227"/>
    <n v="0.40123736964510448"/>
    <n v="81"/>
    <n v="93"/>
    <n v="0"/>
    <n v="-12"/>
    <n v="0"/>
    <n v="0.45069901761862391"/>
    <n v="1"/>
    <n v="75.25"/>
    <n v="75.25"/>
    <n v="-13.608005946902427"/>
    <n v="1421.0836446402766"/>
    <n v="0"/>
    <n v="1"/>
    <n v="0"/>
    <n v="0"/>
    <n v="0"/>
    <n v="0"/>
    <n v="0"/>
    <n v="0"/>
    <n v="0"/>
    <n v="0"/>
  </r>
  <r>
    <d v="2016-05-28T00:00:00"/>
    <n v="2016"/>
    <x v="4"/>
    <s v="R"/>
    <s v="RS"/>
    <x v="10"/>
    <s v="CON"/>
    <s v="H"/>
    <n v="1"/>
    <n v="1"/>
    <n v="0"/>
    <n v="0"/>
    <n v="0"/>
    <n v="0"/>
    <n v="1420.2329757404227"/>
    <n v="1434.6916505871791"/>
    <n v="0.59876263035489552"/>
    <n v="93"/>
    <n v="81"/>
    <n v="0"/>
    <n v="12"/>
    <n v="1"/>
    <n v="0.45069901761862391"/>
    <n v="1"/>
    <n v="75.25"/>
    <n v="75.25"/>
    <n v="13.608005946902427"/>
    <n v="1433.8409816873252"/>
    <n v="1"/>
    <n v="0"/>
    <n v="0"/>
    <n v="0"/>
    <n v="0"/>
    <n v="0"/>
    <n v="0"/>
    <n v="0"/>
    <n v="0"/>
    <n v="0"/>
  </r>
  <r>
    <d v="2016-05-29T00:00:00"/>
    <n v="2016"/>
    <x v="4"/>
    <s v="R"/>
    <s v="RS"/>
    <x v="3"/>
    <s v="ATL"/>
    <s v="A"/>
    <n v="1"/>
    <n v="1"/>
    <n v="0"/>
    <n v="0"/>
    <n v="0"/>
    <n v="0"/>
    <n v="1536.8902299665656"/>
    <n v="1544.4910704547688"/>
    <n v="0.37114758116188162"/>
    <n v="76"/>
    <n v="85"/>
    <n v="0"/>
    <n v="-9"/>
    <n v="0"/>
    <n v="0.40341627485100318"/>
    <n v="1"/>
    <n v="75.25"/>
    <n v="75.25"/>
    <n v="-11.26695483957457"/>
    <n v="1525.6232751269911"/>
    <n v="0"/>
    <n v="1"/>
    <n v="0"/>
    <n v="0"/>
    <n v="0"/>
    <n v="0"/>
    <n v="0"/>
    <n v="0"/>
    <n v="0"/>
    <n v="0"/>
  </r>
  <r>
    <d v="2016-05-29T00:00:00"/>
    <n v="2016"/>
    <x v="5"/>
    <s v="R"/>
    <s v="RS"/>
    <x v="6"/>
    <s v="IND"/>
    <s v="H"/>
    <n v="1"/>
    <n v="1"/>
    <n v="0"/>
    <n v="0"/>
    <n v="0"/>
    <n v="0"/>
    <n v="1544.4910704547688"/>
    <n v="1536.8902299665656"/>
    <n v="0.62885241883811838"/>
    <n v="85"/>
    <n v="76"/>
    <n v="0"/>
    <n v="9"/>
    <n v="1"/>
    <n v="0.40341627485100318"/>
    <n v="1"/>
    <n v="75.099999999999994"/>
    <n v="75.099999999999994"/>
    <n v="11.244495793382727"/>
    <n v="1555.7355662481516"/>
    <n v="1"/>
    <n v="0"/>
    <n v="0"/>
    <n v="0"/>
    <n v="0"/>
    <n v="0"/>
    <n v="0"/>
    <n v="0"/>
    <n v="0"/>
    <n v="0"/>
  </r>
  <r>
    <d v="2016-05-29T00:00:00"/>
    <n v="2016"/>
    <x v="5"/>
    <s v="R"/>
    <s v="RS"/>
    <x v="1"/>
    <s v="DAL"/>
    <s v="A"/>
    <n v="1"/>
    <n v="1"/>
    <n v="0"/>
    <n v="0"/>
    <n v="0"/>
    <n v="0"/>
    <n v="1478.6549257069876"/>
    <n v="1499.866565069284"/>
    <n v="0.35305284155180022"/>
    <n v="92"/>
    <n v="87"/>
    <n v="0"/>
    <n v="5"/>
    <n v="1"/>
    <n v="0.32599359334749262"/>
    <n v="1"/>
    <n v="75.099999999999994"/>
    <n v="75.099999999999994"/>
    <n v="15.838637229524721"/>
    <n v="1494.4935629365123"/>
    <n v="1"/>
    <n v="0"/>
    <n v="0"/>
    <n v="0"/>
    <n v="0"/>
    <n v="0"/>
    <n v="0"/>
    <n v="0"/>
    <n v="0"/>
    <n v="0"/>
  </r>
  <r>
    <d v="2016-05-29T00:00:00"/>
    <n v="2016"/>
    <x v="5"/>
    <s v="R"/>
    <s v="RS"/>
    <x v="2"/>
    <s v="CHI"/>
    <s v="H"/>
    <n v="1"/>
    <n v="1"/>
    <n v="0"/>
    <n v="0"/>
    <n v="0"/>
    <n v="0"/>
    <n v="1499.866565069284"/>
    <n v="1478.6549257069876"/>
    <n v="0.64694715844819972"/>
    <n v="87"/>
    <n v="92"/>
    <n v="0"/>
    <n v="-5"/>
    <n v="0"/>
    <n v="0.32599359334749262"/>
    <n v="1"/>
    <n v="75.099999999999994"/>
    <n v="75.099999999999994"/>
    <n v="-15.838637229524718"/>
    <n v="1484.0279278397593"/>
    <n v="0"/>
    <n v="1"/>
    <n v="0"/>
    <n v="0"/>
    <n v="0"/>
    <n v="0"/>
    <n v="0"/>
    <n v="0"/>
    <n v="0"/>
    <n v="0"/>
  </r>
  <r>
    <d v="2016-05-29T00:00:00"/>
    <n v="2016"/>
    <x v="5"/>
    <s v="R"/>
    <s v="RS"/>
    <x v="9"/>
    <s v="PHX"/>
    <s v="A"/>
    <n v="2"/>
    <n v="3"/>
    <n v="-1"/>
    <n v="1"/>
    <n v="-8"/>
    <n v="8"/>
    <n v="1469.982030571789"/>
    <n v="1495.0330412964029"/>
    <n v="0.32742568824945917"/>
    <n v="77"/>
    <n v="93"/>
    <n v="0"/>
    <n v="-16"/>
    <n v="0"/>
    <n v="0.50719784996426531"/>
    <n v="1"/>
    <n v="75.099999999999994"/>
    <n v="75.099999999999994"/>
    <n v="-12.471827343249981"/>
    <n v="1457.510203228539"/>
    <n v="0"/>
    <n v="1"/>
    <n v="0"/>
    <n v="0"/>
    <n v="0"/>
    <n v="0"/>
    <n v="0"/>
    <n v="0"/>
    <n v="0"/>
    <n v="0"/>
  </r>
  <r>
    <d v="2016-05-29T00:00:00"/>
    <n v="2016"/>
    <x v="4"/>
    <s v="R"/>
    <s v="RS"/>
    <x v="4"/>
    <s v="WAS"/>
    <s v="H"/>
    <n v="3"/>
    <n v="2"/>
    <n v="1"/>
    <n v="-1"/>
    <n v="8"/>
    <n v="-8"/>
    <n v="1495.0330412964029"/>
    <n v="1469.982030571789"/>
    <n v="0.67257431175054083"/>
    <n v="93"/>
    <n v="77"/>
    <n v="0"/>
    <n v="16"/>
    <n v="1"/>
    <n v="0.50719784996426531"/>
    <n v="1"/>
    <n v="75.25"/>
    <n v="75.25"/>
    <n v="12.49673778401546"/>
    <n v="1507.5297790804184"/>
    <n v="1"/>
    <n v="0"/>
    <n v="0"/>
    <n v="0"/>
    <n v="0"/>
    <n v="0"/>
    <n v="0"/>
    <n v="0"/>
    <n v="0"/>
    <n v="0"/>
  </r>
  <r>
    <d v="2016-05-31T00:00:00"/>
    <n v="2016"/>
    <x v="5"/>
    <s v="R"/>
    <s v="RS"/>
    <x v="5"/>
    <s v="NYL"/>
    <s v="A"/>
    <n v="3"/>
    <n v="6"/>
    <n v="-3"/>
    <n v="3"/>
    <n v="-16"/>
    <n v="16"/>
    <n v="1624.5245805807376"/>
    <n v="1527.5497955435276"/>
    <n v="0.47264784819333383"/>
    <n v="79"/>
    <n v="69"/>
    <n v="0"/>
    <n v="10"/>
    <n v="1"/>
    <n v="0.39149229812064029"/>
    <n v="1"/>
    <n v="75.099999999999994"/>
    <n v="75.099999999999994"/>
    <n v="15.504718367807202"/>
    <n v="1640.0292989485449"/>
    <n v="1"/>
    <n v="0"/>
    <n v="0"/>
    <n v="0"/>
    <n v="0"/>
    <n v="0"/>
    <n v="0"/>
    <n v="0"/>
    <n v="0"/>
    <n v="0"/>
  </r>
  <r>
    <d v="2016-05-31T00:00:00"/>
    <n v="2016"/>
    <x v="4"/>
    <s v="R"/>
    <s v="RS"/>
    <x v="8"/>
    <s v="MIN"/>
    <s v="H"/>
    <n v="6"/>
    <n v="3"/>
    <n v="3"/>
    <n v="-3"/>
    <n v="16"/>
    <n v="-16"/>
    <n v="1527.5497955435276"/>
    <n v="1624.5245805807376"/>
    <n v="0.52735215180666628"/>
    <n v="69"/>
    <n v="79"/>
    <n v="0"/>
    <n v="-10"/>
    <n v="0"/>
    <n v="0.39149229812064029"/>
    <n v="1"/>
    <n v="75.25"/>
    <n v="75.25"/>
    <n v="-15.535686513681656"/>
    <n v="1512.0141090298459"/>
    <n v="0"/>
    <n v="1"/>
    <n v="0"/>
    <n v="0"/>
    <n v="0"/>
    <n v="0"/>
    <n v="0"/>
    <n v="0"/>
    <n v="0"/>
    <n v="0"/>
  </r>
  <r>
    <d v="2016-05-31T00:00:00"/>
    <n v="2016"/>
    <x v="5"/>
    <s v="R"/>
    <s v="RS"/>
    <x v="0"/>
    <s v="PHX"/>
    <s v="A"/>
    <n v="2"/>
    <n v="1"/>
    <n v="1"/>
    <n v="-1"/>
    <n v="8"/>
    <n v="-8"/>
    <n v="1421.0836446402766"/>
    <n v="1507.5297790804184"/>
    <n v="0.29130314307707467"/>
    <n v="90"/>
    <n v="99"/>
    <n v="0"/>
    <n v="-9"/>
    <n v="0"/>
    <n v="0.37869120170251419"/>
    <n v="1"/>
    <n v="75.099999999999994"/>
    <n v="75.099999999999994"/>
    <n v="-8.284576692099419"/>
    <n v="1412.7990679481773"/>
    <n v="0"/>
    <n v="1"/>
    <n v="0"/>
    <n v="0"/>
    <n v="0"/>
    <n v="0"/>
    <n v="0"/>
    <n v="0"/>
    <n v="0"/>
    <n v="0"/>
  </r>
  <r>
    <d v="2016-05-31T00:00:00"/>
    <n v="2016"/>
    <x v="5"/>
    <s v="R"/>
    <s v="RS"/>
    <x v="4"/>
    <s v="CON"/>
    <s v="H"/>
    <n v="1"/>
    <n v="2"/>
    <n v="-1"/>
    <n v="1"/>
    <n v="-8"/>
    <n v="8"/>
    <n v="1507.5297790804184"/>
    <n v="1421.0836446402766"/>
    <n v="0.70869685692292539"/>
    <n v="99"/>
    <n v="90"/>
    <n v="0"/>
    <n v="9"/>
    <n v="1"/>
    <n v="0.37869120170251419"/>
    <n v="1"/>
    <n v="75.099999999999994"/>
    <n v="75.099999999999994"/>
    <n v="8.284576692099419"/>
    <n v="1515.8143557725177"/>
    <n v="1"/>
    <n v="0"/>
    <n v="0"/>
    <n v="0"/>
    <n v="0"/>
    <n v="0"/>
    <n v="0"/>
    <n v="0"/>
    <n v="0"/>
    <n v="0"/>
  </r>
  <r>
    <d v="2016-06-01T00:00:00"/>
    <n v="2016"/>
    <x v="5"/>
    <s v="R"/>
    <s v="RS"/>
    <x v="10"/>
    <s v="IND"/>
    <s v="A"/>
    <n v="3"/>
    <n v="2"/>
    <n v="1"/>
    <n v="-1"/>
    <n v="8"/>
    <n v="-8"/>
    <n v="1433.8409816873252"/>
    <n v="1525.6232751269911"/>
    <n v="0.28500255634978544"/>
    <n v="75"/>
    <n v="85"/>
    <n v="0"/>
    <n v="-10"/>
    <n v="0"/>
    <n v="0.39306595374265829"/>
    <n v="1"/>
    <n v="75.099999999999994"/>
    <n v="75.099999999999994"/>
    <n v="-8.4130626024673809"/>
    <n v="1425.4279190848579"/>
    <n v="0"/>
    <n v="1"/>
    <n v="0"/>
    <n v="0"/>
    <n v="0"/>
    <n v="0"/>
    <n v="0"/>
    <n v="0"/>
    <n v="0"/>
    <n v="0"/>
  </r>
  <r>
    <d v="2016-06-01T00:00:00"/>
    <n v="2016"/>
    <x v="5"/>
    <s v="R"/>
    <s v="RS"/>
    <x v="3"/>
    <s v="SEA"/>
    <s v="H"/>
    <n v="2"/>
    <n v="3"/>
    <n v="-1"/>
    <n v="1"/>
    <n v="-8"/>
    <n v="8"/>
    <n v="1525.6232751269911"/>
    <n v="1433.8409816873252"/>
    <n v="0.71499744365021445"/>
    <n v="85"/>
    <n v="75"/>
    <n v="0"/>
    <n v="10"/>
    <n v="1"/>
    <n v="0.39306595374265829"/>
    <n v="1"/>
    <n v="75.099999999999994"/>
    <n v="75.099999999999994"/>
    <n v="8.4130626024673845"/>
    <n v="1534.0363377294584"/>
    <n v="1"/>
    <n v="0"/>
    <n v="0"/>
    <n v="0"/>
    <n v="0"/>
    <n v="0"/>
    <n v="0"/>
    <n v="0"/>
    <n v="0"/>
    <n v="0"/>
  </r>
  <r>
    <d v="2016-06-01T00:00:00"/>
    <n v="2016"/>
    <x v="6"/>
    <s v="R"/>
    <s v="RS"/>
    <x v="1"/>
    <s v="WAS"/>
    <s v="A"/>
    <n v="2"/>
    <n v="2"/>
    <n v="0"/>
    <n v="0"/>
    <n v="0"/>
    <n v="0"/>
    <n v="1494.4935629365123"/>
    <n v="1457.510203228539"/>
    <n v="0.43274764144348443"/>
    <n v="86"/>
    <n v="78"/>
    <n v="0"/>
    <n v="8"/>
    <n v="1"/>
    <n v="0.37670566733704058"/>
    <n v="1"/>
    <n v="74.95"/>
    <n v="74.95"/>
    <n v="16.015854011976757"/>
    <n v="1510.5094169484889"/>
    <n v="1"/>
    <n v="0"/>
    <n v="0"/>
    <n v="0"/>
    <n v="0"/>
    <n v="0"/>
    <n v="0"/>
    <n v="0"/>
    <n v="0"/>
    <n v="0"/>
  </r>
  <r>
    <d v="2016-06-01T00:00:00"/>
    <n v="2016"/>
    <x v="6"/>
    <s v="R"/>
    <s v="RS"/>
    <x v="9"/>
    <s v="CHI"/>
    <s v="H"/>
    <n v="2"/>
    <n v="2"/>
    <n v="0"/>
    <n v="0"/>
    <n v="0"/>
    <n v="0"/>
    <n v="1457.510203228539"/>
    <n v="1494.4935629365123"/>
    <n v="0.56725235855651557"/>
    <n v="78"/>
    <n v="86"/>
    <n v="0"/>
    <n v="-8"/>
    <n v="0"/>
    <n v="0.37670566733704058"/>
    <n v="1"/>
    <n v="74.95"/>
    <n v="74.95"/>
    <n v="-16.015854011976757"/>
    <n v="1441.4943492165623"/>
    <n v="0"/>
    <n v="1"/>
    <n v="0"/>
    <n v="0"/>
    <n v="0"/>
    <n v="0"/>
    <n v="0"/>
    <n v="0"/>
    <n v="0"/>
    <n v="0"/>
  </r>
  <r>
    <d v="2016-06-02T00:00:00"/>
    <n v="2016"/>
    <x v="4"/>
    <s v="R"/>
    <s v="RS"/>
    <x v="7"/>
    <s v="LAS"/>
    <s v="A"/>
    <n v="5"/>
    <n v="6"/>
    <n v="-1"/>
    <n v="1"/>
    <n v="-8"/>
    <n v="8"/>
    <n v="1384.1631824564863"/>
    <n v="1584.6611597867372"/>
    <n v="0.15061247192771118"/>
    <n v="61"/>
    <n v="68"/>
    <n v="0"/>
    <n v="-7"/>
    <n v="0"/>
    <n v="0.31712191961263664"/>
    <n v="1"/>
    <n v="75.25"/>
    <n v="75.25"/>
    <n v="-3.5941293452028389"/>
    <n v="1380.5690531112834"/>
    <n v="0"/>
    <n v="1"/>
    <n v="0"/>
    <n v="0"/>
    <n v="0"/>
    <n v="0"/>
    <n v="0"/>
    <n v="0"/>
    <n v="0"/>
    <n v="0"/>
  </r>
  <r>
    <d v="2016-06-02T00:00:00"/>
    <n v="2016"/>
    <x v="5"/>
    <s v="R"/>
    <s v="RS"/>
    <x v="11"/>
    <s v="SAS"/>
    <s v="H"/>
    <n v="6"/>
    <n v="5"/>
    <n v="1"/>
    <n v="-1"/>
    <n v="8"/>
    <n v="-8"/>
    <n v="1584.6611597867372"/>
    <n v="1384.1631824564863"/>
    <n v="0.8493875280722889"/>
    <n v="68"/>
    <n v="61"/>
    <n v="0"/>
    <n v="7"/>
    <n v="1"/>
    <n v="0.31712191961263664"/>
    <n v="1"/>
    <n v="75.099999999999994"/>
    <n v="75.099999999999994"/>
    <n v="3.5869649677705389"/>
    <n v="1588.2481247545077"/>
    <n v="1"/>
    <n v="0"/>
    <n v="0"/>
    <n v="0"/>
    <n v="0"/>
    <n v="0"/>
    <n v="0"/>
    <n v="0"/>
    <n v="0"/>
    <n v="0"/>
  </r>
  <r>
    <d v="2016-06-03T00:00:00"/>
    <n v="2016"/>
    <x v="7"/>
    <s v="R"/>
    <s v="RS"/>
    <x v="9"/>
    <s v="CHI"/>
    <s v="A"/>
    <n v="1"/>
    <n v="1"/>
    <n v="0"/>
    <n v="0"/>
    <n v="0"/>
    <n v="0"/>
    <n v="1441.4943492165623"/>
    <n v="1510.5094169484889"/>
    <n v="0.2930067370043718"/>
    <n v="72"/>
    <n v="98"/>
    <n v="0"/>
    <n v="-26"/>
    <n v="0"/>
    <n v="0.6185150015775942"/>
    <n v="1"/>
    <n v="74.8"/>
    <n v="74.8"/>
    <n v="-13.555933867557755"/>
    <n v="1427.9384153490046"/>
    <n v="0"/>
    <n v="1"/>
    <n v="0"/>
    <n v="0"/>
    <n v="0"/>
    <n v="0"/>
    <n v="0"/>
    <n v="0"/>
    <n v="0"/>
    <n v="0"/>
  </r>
  <r>
    <d v="2016-06-03T00:00:00"/>
    <n v="2016"/>
    <x v="7"/>
    <s v="R"/>
    <s v="RS"/>
    <x v="1"/>
    <s v="WAS"/>
    <s v="H"/>
    <n v="1"/>
    <n v="1"/>
    <n v="0"/>
    <n v="0"/>
    <n v="0"/>
    <n v="0"/>
    <n v="1510.5094169484889"/>
    <n v="1441.4943492165623"/>
    <n v="0.70699326299562815"/>
    <n v="98"/>
    <n v="72"/>
    <n v="0"/>
    <n v="26"/>
    <n v="1"/>
    <n v="0.6185150015775942"/>
    <n v="1"/>
    <n v="74.8"/>
    <n v="74.8"/>
    <n v="13.555933867557757"/>
    <n v="1524.0653508160467"/>
    <n v="1"/>
    <n v="0"/>
    <n v="0"/>
    <n v="0"/>
    <n v="0"/>
    <n v="0"/>
    <n v="0"/>
    <n v="0"/>
    <n v="0"/>
    <n v="0"/>
  </r>
  <r>
    <d v="2016-06-03T00:00:00"/>
    <n v="2016"/>
    <x v="6"/>
    <s v="R"/>
    <s v="RS"/>
    <x v="6"/>
    <s v="CON"/>
    <s v="A"/>
    <n v="4"/>
    <n v="2"/>
    <n v="2"/>
    <n v="-2"/>
    <n v="16"/>
    <n v="-16"/>
    <n v="1555.7355662481516"/>
    <n v="1412.7990679481773"/>
    <n v="0.62795940861905897"/>
    <n v="83"/>
    <n v="77"/>
    <n v="0"/>
    <n v="6"/>
    <n v="1"/>
    <n v="0.31389191807863909"/>
    <n v="1"/>
    <n v="74.95"/>
    <n v="74.95"/>
    <n v="8.7527010856340262"/>
    <n v="1564.4882673337856"/>
    <n v="1"/>
    <n v="0"/>
    <n v="0"/>
    <n v="0"/>
    <n v="0"/>
    <n v="0"/>
    <n v="0"/>
    <n v="0"/>
    <n v="0"/>
    <n v="0"/>
  </r>
  <r>
    <d v="2016-06-03T00:00:00"/>
    <n v="2016"/>
    <x v="6"/>
    <s v="R"/>
    <s v="RS"/>
    <x v="0"/>
    <s v="ATL"/>
    <s v="H"/>
    <n v="2"/>
    <n v="4"/>
    <n v="-2"/>
    <n v="2"/>
    <n v="-16"/>
    <n v="16"/>
    <n v="1412.7990679481773"/>
    <n v="1555.7355662481516"/>
    <n v="0.37204059138094103"/>
    <n v="77"/>
    <n v="83"/>
    <n v="0"/>
    <n v="-6"/>
    <n v="0"/>
    <n v="0.31389191807863909"/>
    <n v="1"/>
    <n v="74.95"/>
    <n v="74.95"/>
    <n v="-8.7527010856340262"/>
    <n v="1404.0463668625432"/>
    <n v="0"/>
    <n v="1"/>
    <n v="0"/>
    <n v="0"/>
    <n v="0"/>
    <n v="0"/>
    <n v="0"/>
    <n v="0"/>
    <n v="0"/>
    <n v="0"/>
  </r>
  <r>
    <d v="2016-06-03T00:00:00"/>
    <n v="2016"/>
    <x v="6"/>
    <s v="R"/>
    <s v="RS"/>
    <x v="3"/>
    <s v="NYL"/>
    <s v="A"/>
    <n v="1"/>
    <n v="2"/>
    <n v="-1"/>
    <n v="1"/>
    <n v="-8"/>
    <n v="8"/>
    <n v="1534.0363377294584"/>
    <n v="1512.0141090298459"/>
    <n v="0.38962800835607742"/>
    <n v="59"/>
    <n v="91"/>
    <n v="0"/>
    <n v="-32"/>
    <n v="0"/>
    <n v="0.7142363161400076"/>
    <n v="1"/>
    <n v="74.95"/>
    <n v="74.95"/>
    <n v="-20.857571177823303"/>
    <n v="1513.1787665516351"/>
    <n v="0"/>
    <n v="1"/>
    <n v="0"/>
    <n v="0"/>
    <n v="0"/>
    <n v="0"/>
    <n v="0"/>
    <n v="0"/>
    <n v="0"/>
    <n v="0"/>
  </r>
  <r>
    <d v="2016-06-03T00:00:00"/>
    <n v="2016"/>
    <x v="5"/>
    <s v="R"/>
    <s v="RS"/>
    <x v="8"/>
    <s v="IND"/>
    <s v="H"/>
    <n v="2"/>
    <n v="1"/>
    <n v="1"/>
    <n v="-1"/>
    <n v="8"/>
    <n v="-8"/>
    <n v="1512.0141090298459"/>
    <n v="1534.0363377294584"/>
    <n v="0.61037199164392264"/>
    <n v="91"/>
    <n v="59"/>
    <n v="0"/>
    <n v="32"/>
    <n v="1"/>
    <n v="0.7142363161400076"/>
    <n v="1"/>
    <n v="75.099999999999994"/>
    <n v="75.099999999999994"/>
    <n v="20.899314148826281"/>
    <n v="1532.9134231786722"/>
    <n v="1"/>
    <n v="0"/>
    <n v="0"/>
    <n v="0"/>
    <n v="0"/>
    <n v="0"/>
    <n v="0"/>
    <n v="0"/>
    <n v="0"/>
    <n v="0"/>
  </r>
  <r>
    <d v="2016-06-03T00:00:00"/>
    <n v="2016"/>
    <x v="6"/>
    <s v="R"/>
    <s v="RS"/>
    <x v="4"/>
    <s v="SEA"/>
    <s v="A"/>
    <n v="2"/>
    <n v="1"/>
    <n v="1"/>
    <n v="-1"/>
    <n v="8"/>
    <n v="-8"/>
    <n v="1515.8143557725177"/>
    <n v="1425.4279190848579"/>
    <n v="0.53217216186301908"/>
    <n v="81"/>
    <n v="95"/>
    <n v="0"/>
    <n v="-14"/>
    <n v="0"/>
    <n v="0.45345309560360259"/>
    <n v="1"/>
    <n v="74.95"/>
    <n v="74.95"/>
    <n v="-18.086567808604016"/>
    <n v="1497.7277879639137"/>
    <n v="0"/>
    <n v="1"/>
    <n v="0"/>
    <n v="0"/>
    <n v="0"/>
    <n v="0"/>
    <n v="0"/>
    <n v="0"/>
    <n v="0"/>
    <n v="0"/>
  </r>
  <r>
    <d v="2016-06-03T00:00:00"/>
    <n v="2016"/>
    <x v="6"/>
    <s v="R"/>
    <s v="RS"/>
    <x v="10"/>
    <s v="PHX"/>
    <s v="H"/>
    <n v="1"/>
    <n v="2"/>
    <n v="-1"/>
    <n v="1"/>
    <n v="-8"/>
    <n v="8"/>
    <n v="1425.4279190848579"/>
    <n v="1515.8143557725177"/>
    <n v="0.46782783813698092"/>
    <n v="95"/>
    <n v="81"/>
    <n v="0"/>
    <n v="14"/>
    <n v="1"/>
    <n v="0.45345309560360259"/>
    <n v="1"/>
    <n v="74.95"/>
    <n v="74.95"/>
    <n v="18.086567808604016"/>
    <n v="1443.5144868934619"/>
    <n v="1"/>
    <n v="0"/>
    <n v="0"/>
    <n v="0"/>
    <n v="0"/>
    <n v="0"/>
    <n v="0"/>
    <n v="0"/>
    <n v="0"/>
    <n v="0"/>
  </r>
  <r>
    <d v="2016-06-04T00:00:00"/>
    <n v="2016"/>
    <x v="6"/>
    <s v="R"/>
    <s v="RS"/>
    <x v="2"/>
    <s v="MIN"/>
    <s v="A"/>
    <n v="5"/>
    <n v="3"/>
    <n v="2"/>
    <n v="-2"/>
    <n v="16"/>
    <n v="-16"/>
    <n v="1484.0279278397593"/>
    <n v="1640.0292989485449"/>
    <n v="0.23194659075917065"/>
    <n v="63"/>
    <n v="80"/>
    <n v="0"/>
    <n v="-17"/>
    <n v="0"/>
    <n v="0.4711871953167357"/>
    <n v="1"/>
    <n v="74.95"/>
    <n v="74.95"/>
    <n v="-8.1913052540537681"/>
    <n v="1475.8366225857055"/>
    <n v="0"/>
    <n v="1"/>
    <n v="0"/>
    <n v="0"/>
    <n v="0"/>
    <n v="0"/>
    <n v="0"/>
    <n v="0"/>
    <n v="0"/>
    <n v="0"/>
  </r>
  <r>
    <d v="2016-06-04T00:00:00"/>
    <n v="2016"/>
    <x v="6"/>
    <s v="R"/>
    <s v="RS"/>
    <x v="5"/>
    <s v="DAL"/>
    <s v="H"/>
    <n v="3"/>
    <n v="5"/>
    <n v="-2"/>
    <n v="2"/>
    <n v="-16"/>
    <n v="16"/>
    <n v="1640.0292989485449"/>
    <n v="1484.0279278397593"/>
    <n v="0.76805340924082932"/>
    <n v="80"/>
    <n v="63"/>
    <n v="0"/>
    <n v="17"/>
    <n v="1"/>
    <n v="0.4711871953167357"/>
    <n v="1"/>
    <n v="74.95"/>
    <n v="74.95"/>
    <n v="8.1913052540537699"/>
    <n v="1648.2206042025987"/>
    <n v="1"/>
    <n v="0"/>
    <n v="0"/>
    <n v="0"/>
    <n v="0"/>
    <n v="0"/>
    <n v="0"/>
    <n v="0"/>
    <n v="0"/>
    <n v="0"/>
  </r>
  <r>
    <d v="2016-06-04T00:00:00"/>
    <n v="2016"/>
    <x v="6"/>
    <s v="R"/>
    <s v="RS"/>
    <x v="11"/>
    <s v="SAS"/>
    <s v="A"/>
    <n v="1"/>
    <n v="1"/>
    <n v="0"/>
    <n v="0"/>
    <n v="0"/>
    <n v="0"/>
    <n v="1588.2481247545077"/>
    <n v="1380.5690531112834"/>
    <n v="0.67083277117650442"/>
    <n v="74"/>
    <n v="61"/>
    <n v="0"/>
    <n v="13"/>
    <n v="1"/>
    <n v="0.4024017392797527"/>
    <n v="1"/>
    <n v="74.95"/>
    <n v="74.95"/>
    <n v="9.9276870311656999"/>
    <n v="1598.1758117856734"/>
    <n v="1"/>
    <n v="0"/>
    <n v="0"/>
    <n v="0"/>
    <n v="0"/>
    <n v="0"/>
    <n v="0"/>
    <n v="0"/>
    <n v="0"/>
    <n v="0"/>
  </r>
  <r>
    <d v="2016-06-04T00:00:00"/>
    <n v="2016"/>
    <x v="5"/>
    <s v="R"/>
    <s v="RS"/>
    <x v="7"/>
    <s v="LAS"/>
    <s v="H"/>
    <n v="1"/>
    <n v="1"/>
    <n v="0"/>
    <n v="0"/>
    <n v="0"/>
    <n v="0"/>
    <n v="1380.5690531112834"/>
    <n v="1588.2481247545077"/>
    <n v="0.32916722882349558"/>
    <n v="61"/>
    <n v="74"/>
    <n v="0"/>
    <n v="-13"/>
    <n v="0"/>
    <n v="0.4024017392797527"/>
    <n v="1"/>
    <n v="75.099999999999994"/>
    <n v="75.099999999999994"/>
    <n v="-9.947555650974568"/>
    <n v="1370.6214974603088"/>
    <n v="0"/>
    <n v="1"/>
    <n v="0"/>
    <n v="0"/>
    <n v="0"/>
    <n v="0"/>
    <n v="0"/>
    <n v="0"/>
    <n v="0"/>
    <n v="0"/>
  </r>
  <r>
    <d v="2016-06-05T00:00:00"/>
    <n v="2016"/>
    <x v="8"/>
    <s v="R"/>
    <s v="RS"/>
    <x v="9"/>
    <s v="ATL"/>
    <s v="A"/>
    <n v="1"/>
    <n v="1"/>
    <n v="0"/>
    <n v="0"/>
    <n v="0"/>
    <n v="0"/>
    <n v="1427.9384153490046"/>
    <n v="1564.4882673337856"/>
    <n v="0.21932795845718833"/>
    <n v="86"/>
    <n v="79"/>
    <n v="0"/>
    <n v="7"/>
    <n v="1"/>
    <n v="0.33229483084753741"/>
    <n v="1"/>
    <n v="74.650000000000006"/>
    <n v="74.650000000000006"/>
    <n v="19.365201649993118"/>
    <n v="1447.3036169989978"/>
    <n v="1"/>
    <n v="0"/>
    <n v="0"/>
    <n v="0"/>
    <n v="0"/>
    <n v="0"/>
    <n v="0"/>
    <n v="0"/>
    <n v="0"/>
    <n v="0"/>
  </r>
  <r>
    <d v="2016-06-05T00:00:00"/>
    <n v="2016"/>
    <x v="7"/>
    <s v="R"/>
    <s v="RS"/>
    <x v="6"/>
    <s v="WAS"/>
    <s v="H"/>
    <n v="1"/>
    <n v="1"/>
    <n v="0"/>
    <n v="0"/>
    <n v="0"/>
    <n v="0"/>
    <n v="1564.4882673337856"/>
    <n v="1427.9384153490046"/>
    <n v="0.78067204154281167"/>
    <n v="79"/>
    <n v="86"/>
    <n v="0"/>
    <n v="-7"/>
    <n v="0"/>
    <n v="0.33229483084753741"/>
    <n v="1"/>
    <n v="74.8"/>
    <n v="74.8"/>
    <n v="-19.404113642591899"/>
    <n v="1545.0841536911937"/>
    <n v="0"/>
    <n v="1"/>
    <n v="0"/>
    <n v="0"/>
    <n v="0"/>
    <n v="0"/>
    <n v="0"/>
    <n v="0"/>
    <n v="0"/>
    <n v="0"/>
  </r>
  <r>
    <d v="2016-06-05T00:00:00"/>
    <n v="2016"/>
    <x v="7"/>
    <s v="R"/>
    <s v="RS"/>
    <x v="3"/>
    <s v="CON"/>
    <s v="A"/>
    <n v="1"/>
    <n v="1"/>
    <n v="0"/>
    <n v="0"/>
    <n v="0"/>
    <n v="0"/>
    <n v="1513.1787665516351"/>
    <n v="1404.0463668625432"/>
    <n v="0.53610547707300105"/>
    <n v="88"/>
    <n v="77"/>
    <n v="0"/>
    <n v="11"/>
    <n v="1"/>
    <n v="0.40317019457658104"/>
    <n v="1"/>
    <n v="74.8"/>
    <n v="74.8"/>
    <n v="13.989727691347333"/>
    <n v="1527.1684942429824"/>
    <n v="1"/>
    <n v="0"/>
    <n v="0"/>
    <n v="0"/>
    <n v="0"/>
    <n v="0"/>
    <n v="0"/>
    <n v="0"/>
    <n v="0"/>
    <n v="0"/>
  </r>
  <r>
    <d v="2016-06-05T00:00:00"/>
    <n v="2016"/>
    <x v="7"/>
    <s v="R"/>
    <s v="RS"/>
    <x v="0"/>
    <s v="IND"/>
    <s v="H"/>
    <n v="1"/>
    <n v="1"/>
    <n v="0"/>
    <n v="0"/>
    <n v="0"/>
    <n v="0"/>
    <n v="1404.0463668625432"/>
    <n v="1513.1787665516351"/>
    <n v="0.46389452292699895"/>
    <n v="77"/>
    <n v="88"/>
    <n v="0"/>
    <n v="-11"/>
    <n v="0"/>
    <n v="0.40317019457658104"/>
    <n v="1"/>
    <n v="74.8"/>
    <n v="74.8"/>
    <n v="-13.989727691347333"/>
    <n v="1390.0566391711959"/>
    <n v="0"/>
    <n v="1"/>
    <n v="0"/>
    <n v="0"/>
    <n v="0"/>
    <n v="0"/>
    <n v="0"/>
    <n v="0"/>
    <n v="0"/>
    <n v="0"/>
  </r>
  <r>
    <d v="2016-06-05T00:00:00"/>
    <n v="2016"/>
    <x v="6"/>
    <s v="R"/>
    <s v="RS"/>
    <x v="8"/>
    <s v="SEA"/>
    <s v="A"/>
    <n v="1"/>
    <n v="1"/>
    <n v="0"/>
    <n v="0"/>
    <n v="0"/>
    <n v="0"/>
    <n v="1532.9134231786722"/>
    <n v="1443.5144868934619"/>
    <n v="0.507769068551297"/>
    <n v="86"/>
    <n v="78"/>
    <n v="0"/>
    <n v="8"/>
    <n v="1"/>
    <n v="0.36139214085758625"/>
    <n v="1"/>
    <n v="74.95"/>
    <n v="74.95"/>
    <n v="13.332734838937164"/>
    <n v="1546.2461580176093"/>
    <n v="1"/>
    <n v="0"/>
    <n v="0"/>
    <n v="0"/>
    <n v="0"/>
    <n v="0"/>
    <n v="0"/>
    <n v="0"/>
    <n v="0"/>
    <n v="0"/>
  </r>
  <r>
    <d v="2016-06-05T00:00:00"/>
    <n v="2016"/>
    <x v="7"/>
    <s v="R"/>
    <s v="RS"/>
    <x v="10"/>
    <s v="NYL"/>
    <s v="H"/>
    <n v="1"/>
    <n v="1"/>
    <n v="0"/>
    <n v="0"/>
    <n v="0"/>
    <n v="0"/>
    <n v="1443.5144868934619"/>
    <n v="1532.9134231786722"/>
    <n v="0.492230931448703"/>
    <n v="78"/>
    <n v="86"/>
    <n v="0"/>
    <n v="-8"/>
    <n v="0"/>
    <n v="0.36139214085758625"/>
    <n v="1"/>
    <n v="74.8"/>
    <n v="74.8"/>
    <n v="-13.306051580420277"/>
    <n v="1430.2084353130417"/>
    <n v="0"/>
    <n v="1"/>
    <n v="0"/>
    <n v="0"/>
    <n v="0"/>
    <n v="0"/>
    <n v="0"/>
    <n v="0"/>
    <n v="0"/>
    <n v="0"/>
  </r>
  <r>
    <d v="2016-06-07T00:00:00"/>
    <n v="2016"/>
    <x v="7"/>
    <s v="R"/>
    <s v="RS"/>
    <x v="8"/>
    <s v="LAS"/>
    <s v="A"/>
    <n v="1"/>
    <n v="2"/>
    <n v="-1"/>
    <n v="1"/>
    <n v="-8"/>
    <n v="8"/>
    <n v="1546.2461580176093"/>
    <n v="1598.1758117856734"/>
    <n v="0.29430273585257916"/>
    <n v="77"/>
    <n v="100"/>
    <n v="0"/>
    <n v="-23"/>
    <n v="0"/>
    <n v="0.58981374940026865"/>
    <n v="1"/>
    <n v="74.8"/>
    <n v="74.8"/>
    <n v="-12.984068246879099"/>
    <n v="1533.2620897707302"/>
    <n v="0"/>
    <n v="1"/>
    <n v="0"/>
    <n v="0"/>
    <n v="0"/>
    <n v="0"/>
    <n v="0"/>
    <n v="0"/>
    <n v="0"/>
    <n v="0"/>
  </r>
  <r>
    <d v="2016-06-07T00:00:00"/>
    <n v="2016"/>
    <x v="7"/>
    <s v="R"/>
    <s v="RS"/>
    <x v="11"/>
    <s v="NYL"/>
    <s v="H"/>
    <n v="2"/>
    <n v="1"/>
    <n v="1"/>
    <n v="-1"/>
    <n v="8"/>
    <n v="-8"/>
    <n v="1598.1758117856734"/>
    <n v="1546.2461580176093"/>
    <n v="0.70569726414742084"/>
    <n v="100"/>
    <n v="77"/>
    <n v="0"/>
    <n v="23"/>
    <n v="1"/>
    <n v="0.58981374940026865"/>
    <n v="1"/>
    <n v="74.8"/>
    <n v="74.8"/>
    <n v="12.984068246879099"/>
    <n v="1611.1598800325526"/>
    <n v="1"/>
    <n v="0"/>
    <n v="0"/>
    <n v="0"/>
    <n v="0"/>
    <n v="0"/>
    <n v="0"/>
    <n v="0"/>
    <n v="0"/>
    <n v="0"/>
  </r>
  <r>
    <d v="2016-06-07T00:00:00"/>
    <n v="2016"/>
    <x v="7"/>
    <s v="R"/>
    <s v="RS"/>
    <x v="4"/>
    <s v="MIN"/>
    <s v="A"/>
    <n v="3"/>
    <n v="2"/>
    <n v="1"/>
    <n v="-1"/>
    <n v="8"/>
    <n v="-8"/>
    <n v="1497.7277879639137"/>
    <n v="1648.2206042025987"/>
    <n v="0.22136219219039463"/>
    <n v="81"/>
    <n v="89"/>
    <n v="0"/>
    <n v="-8"/>
    <n v="0"/>
    <n v="0.34504340667388628"/>
    <n v="1"/>
    <n v="74.8"/>
    <n v="74.8"/>
    <n v="-5.7131914546825628"/>
    <n v="1492.0145965092311"/>
    <n v="0"/>
    <n v="1"/>
    <n v="0"/>
    <n v="0"/>
    <n v="0"/>
    <n v="0"/>
    <n v="0"/>
    <n v="0"/>
    <n v="0"/>
    <n v="0"/>
  </r>
  <r>
    <d v="2016-06-07T00:00:00"/>
    <n v="2016"/>
    <x v="7"/>
    <s v="R"/>
    <s v="RS"/>
    <x v="5"/>
    <s v="PHX"/>
    <s v="H"/>
    <n v="2"/>
    <n v="3"/>
    <n v="-1"/>
    <n v="1"/>
    <n v="-8"/>
    <n v="8"/>
    <n v="1648.2206042025987"/>
    <n v="1497.7277879639137"/>
    <n v="0.77863780780960545"/>
    <n v="89"/>
    <n v="81"/>
    <n v="0"/>
    <n v="8"/>
    <n v="1"/>
    <n v="0.34504340667388628"/>
    <n v="1"/>
    <n v="74.8"/>
    <n v="74.8"/>
    <n v="5.7131914546825611"/>
    <n v="1653.9337956572813"/>
    <n v="1"/>
    <n v="0"/>
    <n v="0"/>
    <n v="0"/>
    <n v="0"/>
    <n v="0"/>
    <n v="0"/>
    <n v="0"/>
    <n v="0"/>
    <n v="0"/>
  </r>
  <r>
    <d v="2016-06-08T00:00:00"/>
    <n v="2016"/>
    <x v="9"/>
    <s v="R"/>
    <s v="RS"/>
    <x v="9"/>
    <s v="DAL"/>
    <s v="A"/>
    <n v="2"/>
    <n v="3"/>
    <n v="-1"/>
    <n v="1"/>
    <n v="-8"/>
    <n v="8"/>
    <n v="1447.3036169989978"/>
    <n v="1475.8366225857055"/>
    <n v="0.32302700495766629"/>
    <n v="87"/>
    <n v="79"/>
    <n v="0"/>
    <n v="8"/>
    <n v="1"/>
    <n v="0.37929680349212125"/>
    <n v="1"/>
    <n v="74.5"/>
    <n v="74.5"/>
    <n v="19.12964013371834"/>
    <n v="1466.4332571327161"/>
    <n v="1"/>
    <n v="0"/>
    <n v="0"/>
    <n v="0"/>
    <n v="0"/>
    <n v="0"/>
    <n v="0"/>
    <n v="0"/>
    <n v="0"/>
    <n v="0"/>
  </r>
  <r>
    <d v="2016-06-08T00:00:00"/>
    <n v="2016"/>
    <x v="7"/>
    <s v="R"/>
    <s v="RS"/>
    <x v="2"/>
    <s v="WAS"/>
    <s v="H"/>
    <n v="3"/>
    <n v="2"/>
    <n v="1"/>
    <n v="-1"/>
    <n v="8"/>
    <n v="-8"/>
    <n v="1475.8366225857055"/>
    <n v="1447.3036169989978"/>
    <n v="0.67697299504233377"/>
    <n v="79"/>
    <n v="87"/>
    <n v="0"/>
    <n v="-8"/>
    <n v="0"/>
    <n v="0.37929680349212125"/>
    <n v="1"/>
    <n v="74.8"/>
    <n v="74.8"/>
    <n v="-19.206672241639353"/>
    <n v="1456.6299503440662"/>
    <n v="0"/>
    <n v="1"/>
    <n v="0"/>
    <n v="0"/>
    <n v="0"/>
    <n v="0"/>
    <n v="0"/>
    <n v="0"/>
    <n v="0"/>
    <n v="0"/>
  </r>
  <r>
    <d v="2016-06-09T00:00:00"/>
    <n v="2016"/>
    <x v="6"/>
    <s v="R"/>
    <s v="RS"/>
    <x v="7"/>
    <s v="PHX"/>
    <s v="A"/>
    <n v="4"/>
    <n v="1"/>
    <n v="3"/>
    <n v="-3"/>
    <n v="16"/>
    <n v="-16"/>
    <n v="1370.6214974603088"/>
    <n v="1492.0145965092311"/>
    <n v="0.26930906489523521"/>
    <n v="75"/>
    <n v="90"/>
    <n v="0"/>
    <n v="-15"/>
    <n v="0"/>
    <n v="0.45665262978051602"/>
    <n v="1"/>
    <n v="74.95"/>
    <n v="74.95"/>
    <n v="-9.2174029184751536"/>
    <n v="1361.4040945418337"/>
    <n v="0"/>
    <n v="1"/>
    <n v="0"/>
    <n v="0"/>
    <n v="0"/>
    <n v="0"/>
    <n v="0"/>
    <n v="0"/>
    <n v="0"/>
    <n v="0"/>
  </r>
  <r>
    <d v="2016-06-09T00:00:00"/>
    <n v="2016"/>
    <x v="8"/>
    <s v="R"/>
    <s v="RS"/>
    <x v="4"/>
    <s v="SAS"/>
    <s v="H"/>
    <n v="1"/>
    <n v="4"/>
    <n v="-3"/>
    <n v="3"/>
    <n v="-16"/>
    <n v="16"/>
    <n v="1492.0145965092311"/>
    <n v="1370.6214974603088"/>
    <n v="0.73069093510476479"/>
    <n v="90"/>
    <n v="75"/>
    <n v="0"/>
    <n v="15"/>
    <n v="1"/>
    <n v="0.45665262978051602"/>
    <n v="1"/>
    <n v="74.650000000000006"/>
    <n v="74.650000000000006"/>
    <n v="9.1805087106627123"/>
    <n v="1501.1951052198938"/>
    <n v="1"/>
    <n v="0"/>
    <n v="0"/>
    <n v="0"/>
    <n v="0"/>
    <n v="0"/>
    <n v="0"/>
    <n v="0"/>
    <n v="0"/>
    <n v="0"/>
  </r>
  <r>
    <d v="2016-06-10T00:00:00"/>
    <n v="2016"/>
    <x v="8"/>
    <s v="R"/>
    <s v="RS"/>
    <x v="5"/>
    <s v="ATL"/>
    <s v="A"/>
    <n v="2"/>
    <n v="4"/>
    <n v="-2"/>
    <n v="2"/>
    <n v="-16"/>
    <n v="16"/>
    <n v="1653.9337956572813"/>
    <n v="1545.0841536911937"/>
    <n v="0.48971126017870625"/>
    <n v="110"/>
    <n v="78"/>
    <n v="0"/>
    <n v="32"/>
    <n v="1"/>
    <n v="0.66685479132386671"/>
    <n v="1"/>
    <n v="74.650000000000006"/>
    <n v="74.650000000000006"/>
    <n v="25.402535861245628"/>
    <n v="1679.336331518527"/>
    <n v="1"/>
    <n v="0"/>
    <n v="0"/>
    <n v="0"/>
    <n v="0"/>
    <n v="0"/>
    <n v="0"/>
    <n v="0"/>
    <n v="0"/>
    <n v="0"/>
  </r>
  <r>
    <d v="2016-06-10T00:00:00"/>
    <n v="2016"/>
    <x v="8"/>
    <s v="R"/>
    <s v="RS"/>
    <x v="6"/>
    <s v="MIN"/>
    <s v="H"/>
    <n v="4"/>
    <n v="2"/>
    <n v="2"/>
    <n v="-2"/>
    <n v="16"/>
    <n v="-16"/>
    <n v="1545.0841536911937"/>
    <n v="1653.9337956572813"/>
    <n v="0.51028873982129375"/>
    <n v="78"/>
    <n v="110"/>
    <n v="0"/>
    <n v="-32"/>
    <n v="0"/>
    <n v="0.66685479132386671"/>
    <n v="1"/>
    <n v="74.650000000000006"/>
    <n v="74.650000000000006"/>
    <n v="-25.402535861245628"/>
    <n v="1519.681617829948"/>
    <n v="0"/>
    <n v="1"/>
    <n v="0"/>
    <n v="0"/>
    <n v="0"/>
    <n v="0"/>
    <n v="0"/>
    <n v="0"/>
    <n v="0"/>
    <n v="0"/>
  </r>
  <r>
    <d v="2016-06-10T00:00:00"/>
    <n v="2016"/>
    <x v="8"/>
    <s v="R"/>
    <s v="RS"/>
    <x v="10"/>
    <s v="CON"/>
    <s v="A"/>
    <n v="4"/>
    <n v="4"/>
    <n v="0"/>
    <n v="0"/>
    <n v="0"/>
    <n v="0"/>
    <n v="1430.2084353130417"/>
    <n v="1390.0566391711959"/>
    <n v="0.43723026945779975"/>
    <n v="76"/>
    <n v="77"/>
    <n v="0"/>
    <n v="-1"/>
    <n v="0"/>
    <n v="0.2362739836122752"/>
    <n v="1"/>
    <n v="74.650000000000006"/>
    <n v="74.650000000000006"/>
    <n v="-7.711803165917483"/>
    <n v="1422.4966321471243"/>
    <n v="0"/>
    <n v="1"/>
    <n v="0"/>
    <n v="0"/>
    <n v="0"/>
    <n v="0"/>
    <n v="0"/>
    <n v="0"/>
    <n v="0"/>
    <n v="0"/>
  </r>
  <r>
    <d v="2016-06-10T00:00:00"/>
    <n v="2016"/>
    <x v="8"/>
    <s v="R"/>
    <s v="RS"/>
    <x v="0"/>
    <s v="SEA"/>
    <s v="H"/>
    <n v="4"/>
    <n v="4"/>
    <n v="0"/>
    <n v="0"/>
    <n v="0"/>
    <n v="0"/>
    <n v="1390.0566391711959"/>
    <n v="1430.2084353130417"/>
    <n v="0.56276973054220014"/>
    <n v="77"/>
    <n v="76"/>
    <n v="0"/>
    <n v="1"/>
    <n v="1"/>
    <n v="0.2362739836122752"/>
    <n v="1"/>
    <n v="74.650000000000006"/>
    <n v="74.650000000000006"/>
    <n v="7.7118031659174848"/>
    <n v="1397.7684423371134"/>
    <n v="1"/>
    <n v="0"/>
    <n v="0"/>
    <n v="0"/>
    <n v="0"/>
    <n v="0"/>
    <n v="0"/>
    <n v="0"/>
    <n v="0"/>
    <n v="0"/>
  </r>
  <r>
    <d v="2016-06-10T00:00:00"/>
    <n v="2016"/>
    <x v="8"/>
    <s v="R"/>
    <s v="RS"/>
    <x v="1"/>
    <s v="IND"/>
    <s v="A"/>
    <n v="6"/>
    <n v="4"/>
    <n v="2"/>
    <n v="-2"/>
    <n v="16"/>
    <n v="-16"/>
    <n v="1524.0653508160467"/>
    <n v="1527.1684942429824"/>
    <n v="0.4213584775630142"/>
    <n v="73"/>
    <n v="64"/>
    <n v="0"/>
    <n v="9"/>
    <n v="1"/>
    <n v="0.40492441170841054"/>
    <n v="1"/>
    <n v="74.650000000000006"/>
    <n v="74.650000000000006"/>
    <n v="17.490948727392169"/>
    <n v="1541.5562995434389"/>
    <n v="1"/>
    <n v="0"/>
    <n v="0"/>
    <n v="0"/>
    <n v="0"/>
    <n v="0"/>
    <n v="0"/>
    <n v="0"/>
    <n v="0"/>
    <n v="0"/>
  </r>
  <r>
    <d v="2016-06-10T00:00:00"/>
    <n v="2016"/>
    <x v="8"/>
    <s v="R"/>
    <s v="RS"/>
    <x v="3"/>
    <s v="CHI"/>
    <s v="H"/>
    <n v="4"/>
    <n v="6"/>
    <n v="-2"/>
    <n v="2"/>
    <n v="-16"/>
    <n v="16"/>
    <n v="1527.1684942429824"/>
    <n v="1524.0653508160467"/>
    <n v="0.57864152243698574"/>
    <n v="64"/>
    <n v="73"/>
    <n v="0"/>
    <n v="-9"/>
    <n v="0"/>
    <n v="0.40492441170841054"/>
    <n v="1"/>
    <n v="74.650000000000006"/>
    <n v="74.650000000000006"/>
    <n v="-17.490948727392166"/>
    <n v="1509.6775455155903"/>
    <n v="0"/>
    <n v="1"/>
    <n v="0"/>
    <n v="0"/>
    <n v="0"/>
    <n v="0"/>
    <n v="0"/>
    <n v="0"/>
    <n v="0"/>
    <n v="0"/>
  </r>
  <r>
    <d v="2016-06-11T00:00:00"/>
    <n v="2016"/>
    <x v="8"/>
    <s v="R"/>
    <s v="RS"/>
    <x v="11"/>
    <s v="DAL"/>
    <s v="A"/>
    <n v="3"/>
    <n v="2"/>
    <n v="1"/>
    <n v="-1"/>
    <n v="8"/>
    <n v="-8"/>
    <n v="1611.1598800325526"/>
    <n v="1456.6299503440662"/>
    <n v="0.6220142052223534"/>
    <n v="97"/>
    <n v="73"/>
    <n v="0"/>
    <n v="24"/>
    <n v="1"/>
    <n v="0.55673713869961905"/>
    <n v="1"/>
    <n v="74.650000000000006"/>
    <n v="74.650000000000006"/>
    <n v="15.709251183571867"/>
    <n v="1626.8691312161245"/>
    <n v="1"/>
    <n v="0"/>
    <n v="0"/>
    <n v="0"/>
    <n v="0"/>
    <n v="0"/>
    <n v="0"/>
    <n v="0"/>
    <n v="0"/>
    <n v="0"/>
  </r>
  <r>
    <d v="2016-06-11T00:00:00"/>
    <n v="2016"/>
    <x v="8"/>
    <s v="R"/>
    <s v="RS"/>
    <x v="2"/>
    <s v="LAS"/>
    <s v="H"/>
    <n v="2"/>
    <n v="3"/>
    <n v="-1"/>
    <n v="1"/>
    <n v="-8"/>
    <n v="8"/>
    <n v="1456.6299503440662"/>
    <n v="1611.1598800325526"/>
    <n v="0.3779857947776466"/>
    <n v="73"/>
    <n v="97"/>
    <n v="0"/>
    <n v="-24"/>
    <n v="0"/>
    <n v="0.55673713869961905"/>
    <n v="1"/>
    <n v="74.650000000000006"/>
    <n v="74.650000000000006"/>
    <n v="-15.709251183571867"/>
    <n v="1440.9206991604942"/>
    <n v="0"/>
    <n v="1"/>
    <n v="0"/>
    <n v="0"/>
    <n v="0"/>
    <n v="0"/>
    <n v="0"/>
    <n v="0"/>
    <n v="0"/>
    <n v="0"/>
  </r>
  <r>
    <d v="2016-06-11T00:00:00"/>
    <n v="2016"/>
    <x v="8"/>
    <s v="R"/>
    <s v="RS"/>
    <x v="8"/>
    <s v="SAS"/>
    <s v="A"/>
    <n v="3"/>
    <n v="1"/>
    <n v="2"/>
    <n v="-2"/>
    <n v="16"/>
    <n v="-16"/>
    <n v="1533.2620897707302"/>
    <n v="1361.4040945418337"/>
    <n v="0.665957601980527"/>
    <n v="90"/>
    <n v="75"/>
    <n v="0"/>
    <n v="15"/>
    <n v="1"/>
    <n v="0.43985429669332149"/>
    <n v="1"/>
    <n v="74.650000000000006"/>
    <n v="74.650000000000006"/>
    <n v="10.968323309079128"/>
    <n v="1544.2304130798093"/>
    <n v="1"/>
    <n v="0"/>
    <n v="0"/>
    <n v="0"/>
    <n v="0"/>
    <n v="0"/>
    <n v="0"/>
    <n v="0"/>
    <n v="0"/>
    <n v="0"/>
  </r>
  <r>
    <d v="2016-06-11T00:00:00"/>
    <n v="2016"/>
    <x v="7"/>
    <s v="R"/>
    <s v="RS"/>
    <x v="7"/>
    <s v="NYL"/>
    <s v="H"/>
    <n v="1"/>
    <n v="3"/>
    <n v="-2"/>
    <n v="2"/>
    <n v="-16"/>
    <n v="16"/>
    <n v="1361.4040945418337"/>
    <n v="1533.2620897707302"/>
    <n v="0.33404239801947305"/>
    <n v="75"/>
    <n v="90"/>
    <n v="0"/>
    <n v="-15"/>
    <n v="0"/>
    <n v="0.43985429669332149"/>
    <n v="1"/>
    <n v="74.8"/>
    <n v="74.8"/>
    <n v="-10.99036280668612"/>
    <n v="1350.4137317351476"/>
    <n v="0"/>
    <n v="1"/>
    <n v="0"/>
    <n v="0"/>
    <n v="0"/>
    <n v="0"/>
    <n v="0"/>
    <n v="0"/>
    <n v="0"/>
    <n v="0"/>
  </r>
  <r>
    <d v="2016-06-11T00:00:00"/>
    <n v="2016"/>
    <x v="9"/>
    <s v="R"/>
    <s v="RS"/>
    <x v="5"/>
    <s v="WAS"/>
    <s v="A"/>
    <n v="0"/>
    <n v="2"/>
    <n v="-2"/>
    <n v="2"/>
    <n v="-16"/>
    <n v="16"/>
    <n v="1679.336331518527"/>
    <n v="1466.4332571327161"/>
    <n v="0.63594773420565398"/>
    <n v="83"/>
    <n v="76"/>
    <n v="0"/>
    <n v="7"/>
    <n v="1"/>
    <n v="0.31433763223825295"/>
    <n v="1"/>
    <n v="74.5"/>
    <n v="74.5"/>
    <n v="8.5254318794370558"/>
    <n v="1687.8617633979641"/>
    <n v="1"/>
    <n v="0"/>
    <n v="0"/>
    <n v="0"/>
    <n v="0"/>
    <n v="0"/>
    <n v="0"/>
    <n v="0"/>
    <n v="0"/>
    <n v="0"/>
  </r>
  <r>
    <d v="2016-06-11T00:00:00"/>
    <n v="2016"/>
    <x v="10"/>
    <s v="R"/>
    <s v="RS"/>
    <x v="9"/>
    <s v="MIN"/>
    <s v="H"/>
    <n v="2"/>
    <n v="0"/>
    <n v="2"/>
    <n v="-2"/>
    <n v="16"/>
    <n v="-16"/>
    <n v="1466.4332571327161"/>
    <n v="1679.336331518527"/>
    <n v="0.36405226579434596"/>
    <n v="76"/>
    <n v="83"/>
    <n v="0"/>
    <n v="-7"/>
    <n v="0"/>
    <n v="0.31433763223825295"/>
    <n v="1"/>
    <n v="74.349999999999994"/>
    <n v="74.349999999999994"/>
    <n v="-8.5082665803509396"/>
    <n v="1457.9249905523652"/>
    <n v="0"/>
    <n v="1"/>
    <n v="0"/>
    <n v="0"/>
    <n v="0"/>
    <n v="0"/>
    <n v="0"/>
    <n v="0"/>
    <n v="0"/>
    <n v="0"/>
  </r>
  <r>
    <d v="2016-06-12T00:00:00"/>
    <n v="2016"/>
    <x v="9"/>
    <s v="R"/>
    <s v="RS"/>
    <x v="0"/>
    <s v="ATL"/>
    <s v="A"/>
    <n v="1"/>
    <n v="1"/>
    <n v="0"/>
    <n v="0"/>
    <n v="0"/>
    <n v="0"/>
    <n v="1397.7684423371134"/>
    <n v="1519.681617829948"/>
    <n v="0.23409492907728457"/>
    <n v="87"/>
    <n v="93"/>
    <n v="0"/>
    <n v="-6"/>
    <n v="0"/>
    <n v="0.31888396388214602"/>
    <n v="1"/>
    <n v="74.5"/>
    <n v="74.5"/>
    <n v="-5.5613593587111394"/>
    <n v="1392.2070829784022"/>
    <n v="0"/>
    <n v="1"/>
    <n v="0"/>
    <n v="0"/>
    <n v="0"/>
    <n v="0"/>
    <n v="0"/>
    <n v="0"/>
    <n v="0"/>
    <n v="0"/>
  </r>
  <r>
    <d v="2016-06-12T00:00:00"/>
    <n v="2016"/>
    <x v="9"/>
    <s v="R"/>
    <s v="RS"/>
    <x v="6"/>
    <s v="CON"/>
    <s v="H"/>
    <n v="1"/>
    <n v="1"/>
    <n v="0"/>
    <n v="0"/>
    <n v="0"/>
    <n v="0"/>
    <n v="1519.681617829948"/>
    <n v="1397.7684423371134"/>
    <n v="0.76590507092271531"/>
    <n v="93"/>
    <n v="87"/>
    <n v="0"/>
    <n v="6"/>
    <n v="1"/>
    <n v="0.31888396388214602"/>
    <n v="1"/>
    <n v="74.5"/>
    <n v="74.5"/>
    <n v="5.5613593587111421"/>
    <n v="1525.2429771886591"/>
    <n v="1"/>
    <n v="0"/>
    <n v="0"/>
    <n v="0"/>
    <n v="0"/>
    <n v="0"/>
    <n v="0"/>
    <n v="0"/>
    <n v="0"/>
    <n v="0"/>
  </r>
  <r>
    <d v="2016-06-12T00:00:00"/>
    <n v="2016"/>
    <x v="9"/>
    <s v="R"/>
    <s v="RS"/>
    <x v="10"/>
    <s v="IND"/>
    <s v="A"/>
    <n v="1"/>
    <n v="1"/>
    <n v="0"/>
    <n v="0"/>
    <n v="0"/>
    <n v="0"/>
    <n v="1422.4966321471243"/>
    <n v="1509.6775455155903"/>
    <n v="0.27182230386482359"/>
    <n v="90"/>
    <n v="88"/>
    <n v="0"/>
    <n v="2"/>
    <n v="1"/>
    <n v="0.2497003969166203"/>
    <n v="1"/>
    <n v="74.5"/>
    <n v="74.5"/>
    <n v="13.546056351433386"/>
    <n v="1436.0426884985577"/>
    <n v="1"/>
    <n v="0"/>
    <n v="0"/>
    <n v="0"/>
    <n v="0"/>
    <n v="0"/>
    <n v="0"/>
    <n v="0"/>
    <n v="0"/>
    <n v="0"/>
  </r>
  <r>
    <d v="2016-06-12T00:00:00"/>
    <n v="2016"/>
    <x v="9"/>
    <s v="R"/>
    <s v="RS"/>
    <x v="3"/>
    <s v="SEA"/>
    <s v="H"/>
    <n v="1"/>
    <n v="1"/>
    <n v="0"/>
    <n v="0"/>
    <n v="0"/>
    <n v="0"/>
    <n v="1509.6775455155903"/>
    <n v="1422.4966321471243"/>
    <n v="0.72817769613517636"/>
    <n v="88"/>
    <n v="90"/>
    <n v="0"/>
    <n v="-2"/>
    <n v="0"/>
    <n v="0.2497003969166203"/>
    <n v="1"/>
    <n v="74.5"/>
    <n v="74.5"/>
    <n v="-13.546056351433384"/>
    <n v="1496.1314891641568"/>
    <n v="0"/>
    <n v="1"/>
    <n v="0"/>
    <n v="0"/>
    <n v="0"/>
    <n v="0"/>
    <n v="0"/>
    <n v="0"/>
    <n v="0"/>
    <n v="0"/>
  </r>
  <r>
    <d v="2016-06-12T00:00:00"/>
    <n v="2016"/>
    <x v="9"/>
    <s v="R"/>
    <s v="RS"/>
    <x v="1"/>
    <s v="PHX"/>
    <s v="A"/>
    <n v="1"/>
    <n v="2"/>
    <n v="-1"/>
    <n v="1"/>
    <n v="-8"/>
    <n v="8"/>
    <n v="1541.5562995434389"/>
    <n v="1501.1951052198938"/>
    <n v="0.41500601226627259"/>
    <n v="80"/>
    <n v="86"/>
    <n v="0"/>
    <n v="-6"/>
    <n v="0"/>
    <n v="0.33985013013816778"/>
    <n v="1"/>
    <n v="74.5"/>
    <n v="74.5"/>
    <n v="-10.507468622122703"/>
    <n v="1531.048830921316"/>
    <n v="0"/>
    <n v="1"/>
    <n v="0"/>
    <n v="0"/>
    <n v="0"/>
    <n v="0"/>
    <n v="0"/>
    <n v="0"/>
    <n v="0"/>
    <n v="0"/>
  </r>
  <r>
    <d v="2016-06-12T00:00:00"/>
    <n v="2016"/>
    <x v="9"/>
    <s v="R"/>
    <s v="RS"/>
    <x v="4"/>
    <s v="CHI"/>
    <s v="H"/>
    <n v="2"/>
    <n v="1"/>
    <n v="1"/>
    <n v="-1"/>
    <n v="8"/>
    <n v="-8"/>
    <n v="1501.1951052198938"/>
    <n v="1541.5562995434389"/>
    <n v="0.58499398773372746"/>
    <n v="86"/>
    <n v="80"/>
    <n v="0"/>
    <n v="6"/>
    <n v="1"/>
    <n v="0.33985013013816778"/>
    <n v="1"/>
    <n v="74.5"/>
    <n v="74.5"/>
    <n v="10.507468622122701"/>
    <n v="1511.7025738420166"/>
    <n v="1"/>
    <n v="0"/>
    <n v="0"/>
    <n v="0"/>
    <n v="0"/>
    <n v="0"/>
    <n v="0"/>
    <n v="0"/>
    <n v="0"/>
    <n v="0"/>
  </r>
  <r>
    <d v="2016-06-14T00:00:00"/>
    <n v="2016"/>
    <x v="11"/>
    <s v="R"/>
    <s v="RS"/>
    <x v="9"/>
    <s v="CON"/>
    <s v="A"/>
    <n v="2"/>
    <n v="1"/>
    <n v="1"/>
    <n v="-1"/>
    <n v="8"/>
    <n v="-8"/>
    <n v="1457.9249905523652"/>
    <n v="1392.2070829784022"/>
    <n v="0.49671585222936909"/>
    <n v="109"/>
    <n v="106"/>
    <n v="1"/>
    <n v="3"/>
    <n v="1"/>
    <n v="0.24760509503045891"/>
    <n v="1"/>
    <n v="74.2"/>
    <n v="74.2"/>
    <n v="9.2464863673164395"/>
    <n v="1467.1714769196817"/>
    <n v="1"/>
    <n v="0"/>
    <n v="0"/>
    <n v="0"/>
    <n v="0"/>
    <n v="0"/>
    <n v="0"/>
    <n v="0"/>
    <n v="0"/>
    <n v="0"/>
  </r>
  <r>
    <d v="2016-06-14T00:00:00"/>
    <n v="2016"/>
    <x v="10"/>
    <s v="R"/>
    <s v="RS"/>
    <x v="0"/>
    <s v="WAS"/>
    <s v="H"/>
    <n v="1"/>
    <n v="2"/>
    <n v="-1"/>
    <n v="1"/>
    <n v="-8"/>
    <n v="8"/>
    <n v="1392.2070829784022"/>
    <n v="1457.9249905523652"/>
    <n v="0.50328414777063091"/>
    <n v="106"/>
    <n v="109"/>
    <n v="1"/>
    <n v="-3"/>
    <n v="0"/>
    <n v="0.24760509503045891"/>
    <n v="1"/>
    <n v="74.349999999999994"/>
    <n v="74.349999999999994"/>
    <n v="-9.2651787252018476"/>
    <n v="1382.9419042532004"/>
    <n v="0"/>
    <n v="1"/>
    <n v="0"/>
    <n v="0"/>
    <n v="0"/>
    <n v="0"/>
    <n v="0"/>
    <n v="0"/>
    <n v="0"/>
    <n v="0"/>
  </r>
  <r>
    <d v="2016-06-14T00:00:00"/>
    <n v="2016"/>
    <x v="10"/>
    <s v="R"/>
    <s v="RS"/>
    <x v="1"/>
    <s v="LAS"/>
    <s v="A"/>
    <n v="1"/>
    <n v="2"/>
    <n v="-1"/>
    <n v="1"/>
    <n v="-8"/>
    <n v="8"/>
    <n v="1531.048830921316"/>
    <n v="1626.8691312161245"/>
    <n v="0.24467223895809448"/>
    <n v="85"/>
    <n v="98"/>
    <n v="0"/>
    <n v="-13"/>
    <n v="0"/>
    <n v="0.43713816387046028"/>
    <n v="1"/>
    <n v="74.349999999999994"/>
    <n v="74.349999999999994"/>
    <n v="-7.9521468739788537"/>
    <n v="1523.0966840473372"/>
    <n v="0"/>
    <n v="1"/>
    <n v="0"/>
    <n v="0"/>
    <n v="0"/>
    <n v="0"/>
    <n v="0"/>
    <n v="0"/>
    <n v="0"/>
    <n v="0"/>
  </r>
  <r>
    <d v="2016-06-14T00:00:00"/>
    <n v="2016"/>
    <x v="9"/>
    <s v="R"/>
    <s v="RS"/>
    <x v="11"/>
    <s v="CHI"/>
    <s v="H"/>
    <n v="2"/>
    <n v="1"/>
    <n v="1"/>
    <n v="-1"/>
    <n v="8"/>
    <n v="-8"/>
    <n v="1626.8691312161245"/>
    <n v="1531.048830921316"/>
    <n v="0.75532776104190547"/>
    <n v="98"/>
    <n v="85"/>
    <n v="0"/>
    <n v="13"/>
    <n v="1"/>
    <n v="0.43713816387046028"/>
    <n v="1"/>
    <n v="74.5"/>
    <n v="74.5"/>
    <n v="7.9681902099720876"/>
    <n v="1634.8373214260967"/>
    <n v="1"/>
    <n v="0"/>
    <n v="0"/>
    <n v="0"/>
    <n v="0"/>
    <n v="0"/>
    <n v="0"/>
    <n v="0"/>
    <n v="0"/>
    <n v="0"/>
  </r>
  <r>
    <d v="2016-06-14T00:00:00"/>
    <n v="2016"/>
    <x v="10"/>
    <s v="R"/>
    <s v="RS"/>
    <x v="3"/>
    <s v="MIN"/>
    <s v="A"/>
    <n v="1"/>
    <n v="2"/>
    <n v="-1"/>
    <n v="1"/>
    <n v="-8"/>
    <n v="8"/>
    <n v="1496.1314891641568"/>
    <n v="1687.8617633979641"/>
    <n v="0.15718361858246507"/>
    <n v="63"/>
    <n v="87"/>
    <n v="0"/>
    <n v="-24"/>
    <n v="0"/>
    <n v="0.5418557972757545"/>
    <n v="1"/>
    <n v="74.349999999999994"/>
    <n v="74.349999999999994"/>
    <n v="-6.3324530666990295"/>
    <n v="1489.7990360974579"/>
    <n v="0"/>
    <n v="1"/>
    <n v="0"/>
    <n v="0"/>
    <n v="0"/>
    <n v="0"/>
    <n v="0"/>
    <n v="0"/>
    <n v="0"/>
    <n v="0"/>
  </r>
  <r>
    <d v="2016-06-14T00:00:00"/>
    <n v="2016"/>
    <x v="10"/>
    <s v="R"/>
    <s v="RS"/>
    <x v="5"/>
    <s v="IND"/>
    <s v="H"/>
    <n v="2"/>
    <n v="1"/>
    <n v="1"/>
    <n v="-1"/>
    <n v="8"/>
    <n v="-8"/>
    <n v="1687.8617633979641"/>
    <n v="1496.1314891641568"/>
    <n v="0.8428163814175349"/>
    <n v="87"/>
    <n v="63"/>
    <n v="0"/>
    <n v="24"/>
    <n v="1"/>
    <n v="0.5418557972757545"/>
    <n v="1"/>
    <n v="74.349999999999994"/>
    <n v="74.349999999999994"/>
    <n v="6.3324530666990304"/>
    <n v="1694.194216464663"/>
    <n v="1"/>
    <n v="0"/>
    <n v="0"/>
    <n v="0"/>
    <n v="0"/>
    <n v="0"/>
    <n v="0"/>
    <n v="0"/>
    <n v="0"/>
    <n v="0"/>
  </r>
  <r>
    <d v="2016-06-14T00:00:00"/>
    <n v="2016"/>
    <x v="9"/>
    <s v="R"/>
    <s v="RS"/>
    <x v="2"/>
    <s v="NYL"/>
    <s v="A"/>
    <n v="2"/>
    <n v="2"/>
    <n v="0"/>
    <n v="0"/>
    <n v="0"/>
    <n v="0"/>
    <n v="1440.9206991604942"/>
    <n v="1544.2304130798093"/>
    <n v="0.25383896197247263"/>
    <n v="88"/>
    <n v="91"/>
    <n v="0"/>
    <n v="-3"/>
    <n v="0"/>
    <n v="0.26718148541322634"/>
    <n v="1"/>
    <n v="74.5"/>
    <n v="74.5"/>
    <n v="-5.0526697832089749"/>
    <n v="1435.8680293772852"/>
    <n v="0"/>
    <n v="1"/>
    <n v="0"/>
    <n v="0"/>
    <n v="0"/>
    <n v="0"/>
    <n v="0"/>
    <n v="0"/>
    <n v="0"/>
    <n v="0"/>
  </r>
  <r>
    <d v="2016-06-14T00:00:00"/>
    <n v="2016"/>
    <x v="9"/>
    <s v="R"/>
    <s v="RS"/>
    <x v="8"/>
    <s v="DAL"/>
    <s v="H"/>
    <n v="2"/>
    <n v="2"/>
    <n v="0"/>
    <n v="0"/>
    <n v="0"/>
    <n v="0"/>
    <n v="1544.2304130798093"/>
    <n v="1440.9206991604942"/>
    <n v="0.74616103802752731"/>
    <n v="91"/>
    <n v="88"/>
    <n v="0"/>
    <n v="3"/>
    <n v="1"/>
    <n v="0.26718148541322634"/>
    <n v="1"/>
    <n v="74.5"/>
    <n v="74.5"/>
    <n v="5.0526697832089766"/>
    <n v="1549.2830828630183"/>
    <n v="1"/>
    <n v="0"/>
    <n v="0"/>
    <n v="0"/>
    <n v="0"/>
    <n v="0"/>
    <n v="0"/>
    <n v="0"/>
    <n v="0"/>
    <n v="0"/>
  </r>
  <r>
    <d v="2016-06-14T00:00:00"/>
    <n v="2016"/>
    <x v="10"/>
    <s v="R"/>
    <s v="RS"/>
    <x v="10"/>
    <s v="SAS"/>
    <s v="A"/>
    <n v="1"/>
    <n v="2"/>
    <n v="-1"/>
    <n v="1"/>
    <n v="-8"/>
    <n v="8"/>
    <n v="1436.0426884985577"/>
    <n v="1350.4137317351476"/>
    <n v="0.47933019303343016"/>
    <n v="70"/>
    <n v="77"/>
    <n v="0"/>
    <n v="-7"/>
    <n v="0"/>
    <n v="0.3454562878722679"/>
    <n v="1"/>
    <n v="74.349999999999994"/>
    <n v="74.349999999999994"/>
    <n v="-12.311440227334201"/>
    <n v="1423.7312482712234"/>
    <n v="0"/>
    <n v="1"/>
    <n v="0"/>
    <n v="0"/>
    <n v="0"/>
    <n v="0"/>
    <n v="0"/>
    <n v="0"/>
    <n v="0"/>
    <n v="0"/>
  </r>
  <r>
    <d v="2016-06-14T00:00:00"/>
    <n v="2016"/>
    <x v="8"/>
    <s v="R"/>
    <s v="RS"/>
    <x v="7"/>
    <s v="SEA"/>
    <s v="H"/>
    <n v="2"/>
    <n v="1"/>
    <n v="1"/>
    <n v="-1"/>
    <n v="8"/>
    <n v="-8"/>
    <n v="1350.4137317351476"/>
    <n v="1436.0426884985577"/>
    <n v="0.52066980696656984"/>
    <n v="77"/>
    <n v="70"/>
    <n v="0"/>
    <n v="7"/>
    <n v="1"/>
    <n v="0.3454562878722679"/>
    <n v="1"/>
    <n v="74.650000000000006"/>
    <n v="74.650000000000006"/>
    <n v="12.361116516079331"/>
    <n v="1362.774848251227"/>
    <n v="1"/>
    <n v="0"/>
    <n v="0"/>
    <n v="0"/>
    <n v="0"/>
    <n v="0"/>
    <n v="0"/>
    <n v="0"/>
    <n v="0"/>
    <n v="0"/>
  </r>
  <r>
    <d v="2016-06-16T00:00:00"/>
    <n v="2016"/>
    <x v="10"/>
    <s v="R"/>
    <s v="RS"/>
    <x v="8"/>
    <s v="CON"/>
    <s v="A"/>
    <n v="1"/>
    <n v="1"/>
    <n v="0"/>
    <n v="0"/>
    <n v="0"/>
    <n v="0"/>
    <n v="1549.2830828630183"/>
    <n v="1382.9419042532004"/>
    <n v="0.61632862843040492"/>
    <n v="80"/>
    <n v="72"/>
    <n v="0"/>
    <n v="8"/>
    <n v="1"/>
    <n v="0.34104120500687535"/>
    <n v="1"/>
    <n v="74.349999999999994"/>
    <n v="74.349999999999994"/>
    <n v="9.7285299810287711"/>
    <n v="1559.011612844047"/>
    <n v="1"/>
    <n v="0"/>
    <n v="0"/>
    <n v="0"/>
    <n v="0"/>
    <n v="0"/>
    <n v="0"/>
    <n v="0"/>
    <n v="0"/>
    <n v="0"/>
  </r>
  <r>
    <d v="2016-06-16T00:00:00"/>
    <n v="2016"/>
    <x v="11"/>
    <s v="R"/>
    <s v="RS"/>
    <x v="0"/>
    <s v="NYL"/>
    <s v="H"/>
    <n v="1"/>
    <n v="1"/>
    <n v="0"/>
    <n v="0"/>
    <n v="0"/>
    <n v="0"/>
    <n v="1382.9419042532004"/>
    <n v="1549.2830828630183"/>
    <n v="0.38367137156959508"/>
    <n v="72"/>
    <n v="80"/>
    <n v="0"/>
    <n v="-8"/>
    <n v="0"/>
    <n v="0.34104120500687535"/>
    <n v="1"/>
    <n v="74.2"/>
    <n v="74.2"/>
    <n v="-9.7089028189957602"/>
    <n v="1373.2330014342047"/>
    <n v="0"/>
    <n v="1"/>
    <n v="0"/>
    <n v="0"/>
    <n v="0"/>
    <n v="0"/>
    <n v="0"/>
    <n v="0"/>
    <n v="0"/>
    <n v="0"/>
  </r>
  <r>
    <d v="2016-06-16T00:00:00"/>
    <n v="2016"/>
    <x v="11"/>
    <s v="R"/>
    <s v="RS"/>
    <x v="10"/>
    <s v="DAL"/>
    <s v="A"/>
    <n v="1"/>
    <n v="1"/>
    <n v="0"/>
    <n v="0"/>
    <n v="0"/>
    <n v="0"/>
    <n v="1423.7312482712234"/>
    <n v="1435.8680293772852"/>
    <n v="0.3650741358900737"/>
    <n v="79"/>
    <n v="88"/>
    <n v="0"/>
    <n v="-9"/>
    <n v="0"/>
    <n v="0.40190664962097583"/>
    <n v="1"/>
    <n v="74.2"/>
    <n v="74.2"/>
    <n v="-10.887048633158846"/>
    <n v="1412.8441996380645"/>
    <n v="0"/>
    <n v="1"/>
    <n v="0"/>
    <n v="0"/>
    <n v="0"/>
    <n v="0"/>
    <n v="0"/>
    <n v="0"/>
    <n v="0"/>
    <n v="0"/>
  </r>
  <r>
    <d v="2016-06-16T00:00:00"/>
    <n v="2016"/>
    <x v="10"/>
    <s v="R"/>
    <s v="RS"/>
    <x v="2"/>
    <s v="SEA"/>
    <s v="H"/>
    <n v="1"/>
    <n v="1"/>
    <n v="0"/>
    <n v="0"/>
    <n v="0"/>
    <n v="0"/>
    <n v="1435.8680293772852"/>
    <n v="1423.7312482712234"/>
    <n v="0.63492586410992635"/>
    <n v="88"/>
    <n v="79"/>
    <n v="0"/>
    <n v="9"/>
    <n v="1"/>
    <n v="0.40190664962097583"/>
    <n v="1"/>
    <n v="74.349999999999994"/>
    <n v="74.349999999999994"/>
    <n v="10.909057491581672"/>
    <n v="1446.7770868688669"/>
    <n v="1"/>
    <n v="0"/>
    <n v="0"/>
    <n v="0"/>
    <n v="0"/>
    <n v="0"/>
    <n v="0"/>
    <n v="0"/>
    <n v="0"/>
    <n v="0"/>
  </r>
  <r>
    <d v="2016-06-17T00:00:00"/>
    <n v="2016"/>
    <x v="11"/>
    <s v="R"/>
    <s v="RS"/>
    <x v="1"/>
    <s v="ATL"/>
    <s v="A"/>
    <n v="2"/>
    <n v="4"/>
    <n v="-2"/>
    <n v="2"/>
    <n v="-16"/>
    <n v="16"/>
    <n v="1523.0966840473372"/>
    <n v="1525.2429771886591"/>
    <n v="0.33623792757579163"/>
    <n v="97"/>
    <n v="101"/>
    <n v="1"/>
    <n v="-4"/>
    <n v="0"/>
    <n v="0.27978903700420876"/>
    <n v="1"/>
    <n v="74.2"/>
    <n v="74.2"/>
    <n v="-6.9804158982855453"/>
    <n v="1516.1162681490516"/>
    <n v="0"/>
    <n v="1"/>
    <n v="0"/>
    <n v="0"/>
    <n v="0"/>
    <n v="0"/>
    <n v="0"/>
    <n v="0"/>
    <n v="0"/>
    <n v="0"/>
  </r>
  <r>
    <d v="2016-06-17T00:00:00"/>
    <n v="2016"/>
    <x v="10"/>
    <s v="R"/>
    <s v="RS"/>
    <x v="6"/>
    <s v="CHI"/>
    <s v="H"/>
    <n v="4"/>
    <n v="2"/>
    <n v="2"/>
    <n v="-2"/>
    <n v="16"/>
    <n v="-16"/>
    <n v="1525.2429771886591"/>
    <n v="1523.0966840473372"/>
    <n v="0.66376207242420837"/>
    <n v="101"/>
    <n v="97"/>
    <n v="1"/>
    <n v="4"/>
    <n v="1"/>
    <n v="0.27978903700420876"/>
    <n v="1"/>
    <n v="74.349999999999994"/>
    <n v="74.349999999999994"/>
    <n v="6.9945272511796528"/>
    <n v="1532.2375044398389"/>
    <n v="1"/>
    <n v="0"/>
    <n v="0"/>
    <n v="0"/>
    <n v="0"/>
    <n v="0"/>
    <n v="0"/>
    <n v="0"/>
    <n v="0"/>
    <n v="0"/>
  </r>
  <r>
    <d v="2016-06-17T00:00:00"/>
    <n v="2016"/>
    <x v="10"/>
    <s v="R"/>
    <s v="RS"/>
    <x v="4"/>
    <s v="LAS"/>
    <s v="A"/>
    <n v="4"/>
    <n v="2"/>
    <n v="2"/>
    <n v="-2"/>
    <n v="16"/>
    <n v="-16"/>
    <n v="1511.7025738420166"/>
    <n v="1634.8373214260967"/>
    <n v="0.26734075270664787"/>
    <n v="71"/>
    <n v="77"/>
    <n v="0"/>
    <n v="-6"/>
    <n v="0"/>
    <n v="0.31858955717010445"/>
    <n v="1"/>
    <n v="74.349999999999994"/>
    <n v="74.349999999999994"/>
    <n v="-6.332536119563084"/>
    <n v="1505.3700377224536"/>
    <n v="0"/>
    <n v="1"/>
    <n v="0"/>
    <n v="0"/>
    <n v="0"/>
    <n v="0"/>
    <n v="0"/>
    <n v="0"/>
    <n v="0"/>
    <n v="0"/>
  </r>
  <r>
    <d v="2016-06-17T00:00:00"/>
    <n v="2016"/>
    <x v="10"/>
    <s v="R"/>
    <s v="RS"/>
    <x v="11"/>
    <s v="PHX"/>
    <s v="H"/>
    <n v="2"/>
    <n v="4"/>
    <n v="-2"/>
    <n v="2"/>
    <n v="-16"/>
    <n v="16"/>
    <n v="1634.8373214260967"/>
    <n v="1511.7025738420166"/>
    <n v="0.73265924729335219"/>
    <n v="77"/>
    <n v="71"/>
    <n v="0"/>
    <n v="6"/>
    <n v="1"/>
    <n v="0.31858955717010445"/>
    <n v="1"/>
    <n v="74.349999999999994"/>
    <n v="74.349999999999994"/>
    <n v="6.3325361195630832"/>
    <n v="1641.1698575456596"/>
    <n v="1"/>
    <n v="0"/>
    <n v="0"/>
    <n v="0"/>
    <n v="0"/>
    <n v="0"/>
    <n v="0"/>
    <n v="0"/>
    <n v="0"/>
    <n v="0"/>
  </r>
  <r>
    <d v="2016-06-17T00:00:00"/>
    <n v="2016"/>
    <x v="11"/>
    <s v="R"/>
    <s v="RS"/>
    <x v="3"/>
    <s v="SAS"/>
    <s v="A"/>
    <n v="2"/>
    <n v="2"/>
    <n v="0"/>
    <n v="0"/>
    <n v="0"/>
    <n v="0"/>
    <n v="1489.7990360974579"/>
    <n v="1362.774848251227"/>
    <n v="0.56160221999738957"/>
    <n v="84"/>
    <n v="75"/>
    <n v="0"/>
    <n v="9"/>
    <n v="1"/>
    <n v="0.3671114943031783"/>
    <n v="1"/>
    <n v="74.2"/>
    <n v="74.2"/>
    <n v="11.941812117403812"/>
    <n v="1501.7408482148617"/>
    <n v="1"/>
    <n v="0"/>
    <n v="0"/>
    <n v="0"/>
    <n v="0"/>
    <n v="0"/>
    <n v="0"/>
    <n v="0"/>
    <n v="0"/>
    <n v="0"/>
  </r>
  <r>
    <d v="2016-06-17T00:00:00"/>
    <n v="2016"/>
    <x v="9"/>
    <s v="R"/>
    <s v="RS"/>
    <x v="7"/>
    <s v="IND"/>
    <s v="H"/>
    <n v="2"/>
    <n v="2"/>
    <n v="0"/>
    <n v="0"/>
    <n v="0"/>
    <n v="0"/>
    <n v="1362.774848251227"/>
    <n v="1489.7990360974579"/>
    <n v="0.43839778000261048"/>
    <n v="75"/>
    <n v="84"/>
    <n v="0"/>
    <n v="-9"/>
    <n v="0"/>
    <n v="0.3671114943031783"/>
    <n v="1"/>
    <n v="74.5"/>
    <n v="74.5"/>
    <n v="-11.990094376638599"/>
    <n v="1350.7847538745884"/>
    <n v="0"/>
    <n v="1"/>
    <n v="0"/>
    <n v="0"/>
    <n v="0"/>
    <n v="0"/>
    <n v="0"/>
    <n v="0"/>
    <n v="0"/>
    <n v="0"/>
  </r>
  <r>
    <d v="2016-06-18T00:00:00"/>
    <n v="2016"/>
    <x v="11"/>
    <s v="R"/>
    <s v="RS"/>
    <x v="2"/>
    <s v="PHX"/>
    <s v="A"/>
    <n v="1"/>
    <n v="0"/>
    <n v="1"/>
    <n v="-1"/>
    <n v="8"/>
    <n v="-8"/>
    <n v="1446.7770868688669"/>
    <n v="1505.3700377224536"/>
    <n v="0.32547400808934129"/>
    <n v="117"/>
    <n v="111"/>
    <n v="1"/>
    <n v="6"/>
    <n v="1"/>
    <n v="0.30143440873474675"/>
    <n v="1"/>
    <n v="74.2"/>
    <n v="74.2"/>
    <n v="15.086740491247355"/>
    <n v="1461.8638273601143"/>
    <n v="1"/>
    <n v="0"/>
    <n v="0"/>
    <n v="0"/>
    <n v="0"/>
    <n v="0"/>
    <n v="0"/>
    <n v="0"/>
    <n v="0"/>
    <n v="0"/>
  </r>
  <r>
    <d v="2016-06-18T00:00:00"/>
    <n v="2016"/>
    <x v="11"/>
    <s v="R"/>
    <s v="RS"/>
    <x v="4"/>
    <s v="DAL"/>
    <s v="H"/>
    <n v="0"/>
    <n v="1"/>
    <n v="-1"/>
    <n v="1"/>
    <n v="-8"/>
    <n v="8"/>
    <n v="1505.3700377224536"/>
    <n v="1446.7770868688669"/>
    <n v="0.67452599191065865"/>
    <n v="111"/>
    <n v="117"/>
    <n v="1"/>
    <n v="-6"/>
    <n v="0"/>
    <n v="0.30143440873474675"/>
    <n v="1"/>
    <n v="74.2"/>
    <n v="74.2"/>
    <n v="-15.086740491247351"/>
    <n v="1490.2832972312062"/>
    <n v="0"/>
    <n v="1"/>
    <n v="0"/>
    <n v="0"/>
    <n v="0"/>
    <n v="0"/>
    <n v="0"/>
    <n v="0"/>
    <n v="0"/>
    <n v="0"/>
  </r>
  <r>
    <d v="2016-06-18T00:00:00"/>
    <n v="2016"/>
    <x v="11"/>
    <s v="R"/>
    <s v="RS"/>
    <x v="6"/>
    <s v="WAS"/>
    <s v="A"/>
    <n v="0"/>
    <n v="3"/>
    <n v="-3"/>
    <n v="3"/>
    <n v="-16"/>
    <n v="16"/>
    <n v="1532.2375044398389"/>
    <n v="1467.1714769196817"/>
    <n v="0.4272207540303104"/>
    <n v="65"/>
    <n v="95"/>
    <n v="0"/>
    <n v="-30"/>
    <n v="0"/>
    <n v="0.6673100005575332"/>
    <n v="1"/>
    <n v="74.2"/>
    <n v="74.2"/>
    <n v="-21.153580175473589"/>
    <n v="1511.0839242643654"/>
    <n v="0"/>
    <n v="1"/>
    <n v="0"/>
    <n v="0"/>
    <n v="0"/>
    <n v="0"/>
    <n v="0"/>
    <n v="0"/>
    <n v="0"/>
    <n v="0"/>
  </r>
  <r>
    <d v="2016-06-18T00:00:00"/>
    <n v="2016"/>
    <x v="12"/>
    <s v="R"/>
    <s v="RS"/>
    <x v="9"/>
    <s v="ATL"/>
    <s v="H"/>
    <n v="3"/>
    <n v="0"/>
    <n v="3"/>
    <n v="-3"/>
    <n v="16"/>
    <n v="-16"/>
    <n v="1467.1714769196817"/>
    <n v="1532.2375044398389"/>
    <n v="0.57277924596968965"/>
    <n v="95"/>
    <n v="65"/>
    <n v="0"/>
    <n v="30"/>
    <n v="1"/>
    <n v="0.6673100005575332"/>
    <n v="1"/>
    <n v="74.05"/>
    <n v="74.05"/>
    <n v="21.110816873232061"/>
    <n v="1488.2822937929138"/>
    <n v="1"/>
    <n v="0"/>
    <n v="0"/>
    <n v="0"/>
    <n v="0"/>
    <n v="0"/>
    <n v="0"/>
    <n v="0"/>
    <n v="0"/>
    <n v="0"/>
  </r>
  <r>
    <d v="2016-06-19T00:00:00"/>
    <n v="2016"/>
    <x v="10"/>
    <s v="R"/>
    <s v="RS"/>
    <x v="7"/>
    <s v="CON"/>
    <s v="A"/>
    <n v="1"/>
    <n v="2"/>
    <n v="-1"/>
    <n v="1"/>
    <n v="-8"/>
    <n v="8"/>
    <n v="1350.7847538745884"/>
    <n v="1373.2330014342047"/>
    <n v="0.33073364336680044"/>
    <n v="90"/>
    <n v="93"/>
    <n v="0"/>
    <n v="-3"/>
    <n v="0"/>
    <n v="0.28485477893530842"/>
    <n v="1"/>
    <n v="74.349999999999994"/>
    <n v="74.349999999999994"/>
    <n v="-7.0045922268149132"/>
    <n v="1343.7801616477734"/>
    <n v="0"/>
    <n v="1"/>
    <n v="0"/>
    <n v="0"/>
    <n v="0"/>
    <n v="0"/>
    <n v="0"/>
    <n v="0"/>
    <n v="0"/>
    <n v="0"/>
  </r>
  <r>
    <d v="2016-06-19T00:00:00"/>
    <n v="2016"/>
    <x v="12"/>
    <s v="R"/>
    <s v="RS"/>
    <x v="0"/>
    <s v="SAS"/>
    <s v="H"/>
    <n v="2"/>
    <n v="1"/>
    <n v="1"/>
    <n v="-1"/>
    <n v="8"/>
    <n v="-8"/>
    <n v="1373.2330014342047"/>
    <n v="1350.7847538745884"/>
    <n v="0.66926635663319956"/>
    <n v="93"/>
    <n v="90"/>
    <n v="0"/>
    <n v="3"/>
    <n v="1"/>
    <n v="0.28485477893530842"/>
    <n v="1"/>
    <n v="74.05"/>
    <n v="74.05"/>
    <n v="6.9763289091545975"/>
    <n v="1380.2093303433592"/>
    <n v="1"/>
    <n v="0"/>
    <n v="0"/>
    <n v="0"/>
    <n v="0"/>
    <n v="0"/>
    <n v="0"/>
    <n v="0"/>
    <n v="0"/>
    <n v="0"/>
  </r>
  <r>
    <d v="2016-06-19T00:00:00"/>
    <n v="2016"/>
    <x v="11"/>
    <s v="R"/>
    <s v="RS"/>
    <x v="8"/>
    <s v="IND"/>
    <s v="A"/>
    <n v="2"/>
    <n v="1"/>
    <n v="1"/>
    <n v="-1"/>
    <n v="8"/>
    <n v="-8"/>
    <n v="1559.011612844047"/>
    <n v="1501.7408482148617"/>
    <n v="0.48456429555048991"/>
    <n v="78"/>
    <n v="75"/>
    <n v="1"/>
    <n v="3"/>
    <n v="1"/>
    <n v="0.24926866320560406"/>
    <n v="1"/>
    <n v="74.2"/>
    <n v="74.2"/>
    <n v="9.533362101029363"/>
    <n v="1568.5449749450763"/>
    <n v="1"/>
    <n v="0"/>
    <n v="0"/>
    <n v="0"/>
    <n v="0"/>
    <n v="0"/>
    <n v="0"/>
    <n v="0"/>
    <n v="0"/>
    <n v="0"/>
  </r>
  <r>
    <d v="2016-06-19T00:00:00"/>
    <n v="2016"/>
    <x v="12"/>
    <s v="R"/>
    <s v="RS"/>
    <x v="3"/>
    <s v="NYL"/>
    <s v="H"/>
    <n v="1"/>
    <n v="2"/>
    <n v="-1"/>
    <n v="1"/>
    <n v="-8"/>
    <n v="8"/>
    <n v="1501.7408482148617"/>
    <n v="1559.011612844047"/>
    <n v="0.51543570444951015"/>
    <n v="75"/>
    <n v="78"/>
    <n v="1"/>
    <n v="-3"/>
    <n v="0"/>
    <n v="0.24926866320560406"/>
    <n v="1"/>
    <n v="74.05"/>
    <n v="74.05"/>
    <n v="-9.5140898056768766"/>
    <n v="1492.2267584091849"/>
    <n v="0"/>
    <n v="1"/>
    <n v="0"/>
    <n v="0"/>
    <n v="0"/>
    <n v="0"/>
    <n v="0"/>
    <n v="0"/>
    <n v="0"/>
    <n v="0"/>
  </r>
  <r>
    <d v="2016-06-19T00:00:00"/>
    <n v="2016"/>
    <x v="11"/>
    <s v="R"/>
    <s v="RS"/>
    <x v="5"/>
    <s v="SEA"/>
    <s v="A"/>
    <n v="4"/>
    <n v="2"/>
    <n v="2"/>
    <n v="-2"/>
    <n v="16"/>
    <n v="-16"/>
    <n v="1694.194216464663"/>
    <n v="1412.8441996380645"/>
    <n v="0.78922243606477893"/>
    <n v="96"/>
    <n v="84"/>
    <n v="0"/>
    <n v="12"/>
    <n v="1"/>
    <n v="0.36949763761059873"/>
    <n v="1"/>
    <n v="74.2"/>
    <n v="74.2"/>
    <n v="5.778830445605279"/>
    <n v="1699.9730469102683"/>
    <n v="1"/>
    <n v="0"/>
    <n v="0"/>
    <n v="0"/>
    <n v="0"/>
    <n v="0"/>
    <n v="0"/>
    <n v="0"/>
    <n v="0"/>
    <n v="0"/>
  </r>
  <r>
    <d v="2016-06-19T00:00:00"/>
    <n v="2016"/>
    <x v="12"/>
    <s v="R"/>
    <s v="RS"/>
    <x v="10"/>
    <s v="MIN"/>
    <s v="H"/>
    <n v="2"/>
    <n v="4"/>
    <n v="-2"/>
    <n v="2"/>
    <n v="-16"/>
    <n v="16"/>
    <n v="1412.8441996380645"/>
    <n v="1694.194216464663"/>
    <n v="0.2107775639352211"/>
    <n v="84"/>
    <n v="96"/>
    <n v="0"/>
    <n v="-12"/>
    <n v="0"/>
    <n v="0.36949763761059873"/>
    <n v="1"/>
    <n v="74.05"/>
    <n v="74.05"/>
    <n v="-5.7671481738149728"/>
    <n v="1407.0770514642495"/>
    <n v="0"/>
    <n v="1"/>
    <n v="0"/>
    <n v="0"/>
    <n v="0"/>
    <n v="0"/>
    <n v="0"/>
    <n v="0"/>
    <n v="0"/>
    <n v="0"/>
  </r>
  <r>
    <d v="2016-06-21T00:00:00"/>
    <n v="2016"/>
    <x v="11"/>
    <s v="R"/>
    <s v="RS"/>
    <x v="7"/>
    <s v="CHI"/>
    <s v="A"/>
    <n v="1"/>
    <n v="3"/>
    <n v="-2"/>
    <n v="2"/>
    <n v="-16"/>
    <n v="16"/>
    <n v="1343.7801616477734"/>
    <n v="1516.1162681490516"/>
    <n v="0.15978937650226838"/>
    <n v="75"/>
    <n v="81"/>
    <n v="0"/>
    <n v="-6"/>
    <n v="0"/>
    <n v="0.30716739967141382"/>
    <n v="1"/>
    <n v="74.2"/>
    <n v="74.2"/>
    <n v="-3.6418908758286173"/>
    <n v="1340.1382707719447"/>
    <n v="0"/>
    <n v="1"/>
    <n v="0"/>
    <n v="0"/>
    <n v="0"/>
    <n v="0"/>
    <n v="0"/>
    <n v="0"/>
    <n v="0"/>
    <n v="0"/>
  </r>
  <r>
    <d v="2016-06-21T00:00:00"/>
    <n v="2016"/>
    <x v="12"/>
    <s v="R"/>
    <s v="RS"/>
    <x v="1"/>
    <s v="SAS"/>
    <s v="H"/>
    <n v="3"/>
    <n v="1"/>
    <n v="2"/>
    <n v="-2"/>
    <n v="16"/>
    <n v="-16"/>
    <n v="1516.1162681490516"/>
    <n v="1343.7801616477734"/>
    <n v="0.84021062349773168"/>
    <n v="81"/>
    <n v="75"/>
    <n v="0"/>
    <n v="6"/>
    <n v="1"/>
    <n v="0.30716739967141382"/>
    <n v="1"/>
    <n v="74.05"/>
    <n v="74.05"/>
    <n v="3.6345285627373181"/>
    <n v="1519.750796711789"/>
    <n v="1"/>
    <n v="0"/>
    <n v="0"/>
    <n v="0"/>
    <n v="0"/>
    <n v="0"/>
    <n v="0"/>
    <n v="0"/>
    <n v="0"/>
    <n v="0"/>
  </r>
  <r>
    <d v="2016-06-21T00:00:00"/>
    <n v="2016"/>
    <x v="12"/>
    <s v="R"/>
    <s v="RS"/>
    <x v="4"/>
    <s v="DAL"/>
    <s v="A"/>
    <n v="2"/>
    <n v="2"/>
    <n v="0"/>
    <n v="0"/>
    <n v="0"/>
    <n v="0"/>
    <n v="1490.2832972312062"/>
    <n v="1461.8638273601143"/>
    <n v="0.42068860340168934"/>
    <n v="90"/>
    <n v="100"/>
    <n v="0"/>
    <n v="-10"/>
    <n v="0"/>
    <n v="0.41334059875493806"/>
    <n v="1"/>
    <n v="74.05"/>
    <n v="74.05"/>
    <n v="-12.876382646199009"/>
    <n v="1477.4069145850071"/>
    <n v="0"/>
    <n v="1"/>
    <n v="0"/>
    <n v="0"/>
    <n v="0"/>
    <n v="0"/>
    <n v="0"/>
    <n v="0"/>
    <n v="0"/>
    <n v="0"/>
  </r>
  <r>
    <d v="2016-06-21T00:00:00"/>
    <n v="2016"/>
    <x v="12"/>
    <s v="R"/>
    <s v="RS"/>
    <x v="2"/>
    <s v="PHX"/>
    <s v="H"/>
    <n v="2"/>
    <n v="2"/>
    <n v="0"/>
    <n v="0"/>
    <n v="0"/>
    <n v="0"/>
    <n v="1461.8638273601143"/>
    <n v="1490.2832972312062"/>
    <n v="0.57931139659831066"/>
    <n v="100"/>
    <n v="90"/>
    <n v="0"/>
    <n v="10"/>
    <n v="1"/>
    <n v="0.41334059875493806"/>
    <n v="1"/>
    <n v="74.05"/>
    <n v="74.05"/>
    <n v="12.876382646199009"/>
    <n v="1474.7402100063134"/>
    <n v="1"/>
    <n v="0"/>
    <n v="0"/>
    <n v="0"/>
    <n v="0"/>
    <n v="0"/>
    <n v="0"/>
    <n v="0"/>
    <n v="0"/>
    <n v="0"/>
  </r>
  <r>
    <d v="2016-06-21T00:00:00"/>
    <n v="2016"/>
    <x v="12"/>
    <s v="R"/>
    <s v="RS"/>
    <x v="5"/>
    <s v="LAS"/>
    <s v="A"/>
    <n v="1"/>
    <n v="3"/>
    <n v="-2"/>
    <n v="2"/>
    <n v="-16"/>
    <n v="16"/>
    <n v="1699.9730469102683"/>
    <n v="1641.1698575456596"/>
    <n v="0.41842280239368246"/>
    <n v="72"/>
    <n v="69"/>
    <n v="0"/>
    <n v="3"/>
    <n v="1"/>
    <n v="0.27662801322756159"/>
    <n v="1"/>
    <n v="74.05"/>
    <n v="74.05"/>
    <n v="11.91320433594497"/>
    <n v="1711.8862512462133"/>
    <n v="1"/>
    <n v="0"/>
    <n v="0"/>
    <n v="0"/>
    <n v="0"/>
    <n v="0"/>
    <n v="0"/>
    <n v="0"/>
    <n v="0"/>
    <n v="0"/>
  </r>
  <r>
    <d v="2016-06-21T00:00:00"/>
    <n v="2016"/>
    <x v="11"/>
    <s v="R"/>
    <s v="RS"/>
    <x v="11"/>
    <s v="MIN"/>
    <s v="H"/>
    <n v="3"/>
    <n v="1"/>
    <n v="2"/>
    <n v="-2"/>
    <n v="16"/>
    <n v="-16"/>
    <n v="1641.1698575456596"/>
    <n v="1699.9730469102683"/>
    <n v="0.58157719760631743"/>
    <n v="69"/>
    <n v="72"/>
    <n v="0"/>
    <n v="-3"/>
    <n v="0"/>
    <n v="0.27662801322756159"/>
    <n v="1"/>
    <n v="74.2"/>
    <n v="74.2"/>
    <n v="-11.937336417651812"/>
    <n v="1629.2325211280079"/>
    <n v="0"/>
    <n v="1"/>
    <n v="0"/>
    <n v="0"/>
    <n v="0"/>
    <n v="0"/>
    <n v="0"/>
    <n v="0"/>
    <n v="0"/>
    <n v="0"/>
  </r>
  <r>
    <d v="2016-06-22T00:00:00"/>
    <n v="2016"/>
    <x v="12"/>
    <s v="R"/>
    <s v="RS"/>
    <x v="8"/>
    <s v="ATL"/>
    <s v="A"/>
    <n v="2"/>
    <n v="3"/>
    <n v="-1"/>
    <n v="1"/>
    <n v="-8"/>
    <n v="8"/>
    <n v="1568.5449749450763"/>
    <n v="1511.0839242643654"/>
    <n v="0.43908561233832188"/>
    <n v="90"/>
    <n v="79"/>
    <n v="1"/>
    <n v="11"/>
    <n v="1"/>
    <n v="0.37776346839617353"/>
    <n v="1"/>
    <n v="74.05"/>
    <n v="74.05"/>
    <n v="15.69067402540078"/>
    <n v="1584.2356489704771"/>
    <n v="1"/>
    <n v="0"/>
    <n v="0"/>
    <n v="0"/>
    <n v="0"/>
    <n v="0"/>
    <n v="0"/>
    <n v="0"/>
    <n v="0"/>
    <n v="0"/>
  </r>
  <r>
    <d v="2016-06-22T00:00:00"/>
    <n v="2016"/>
    <x v="12"/>
    <s v="R"/>
    <s v="RS"/>
    <x v="6"/>
    <s v="NYL"/>
    <s v="H"/>
    <n v="3"/>
    <n v="2"/>
    <n v="1"/>
    <n v="-1"/>
    <n v="8"/>
    <n v="-8"/>
    <n v="1511.0839242643654"/>
    <n v="1568.5449749450763"/>
    <n v="0.560914387661678"/>
    <n v="79"/>
    <n v="90"/>
    <n v="1"/>
    <n v="-11"/>
    <n v="0"/>
    <n v="0.37776346839617353"/>
    <n v="1"/>
    <n v="74.05"/>
    <n v="74.05"/>
    <n v="-15.690674025400778"/>
    <n v="1495.3932502389646"/>
    <n v="0"/>
    <n v="1"/>
    <n v="0"/>
    <n v="0"/>
    <n v="0"/>
    <n v="0"/>
    <n v="0"/>
    <n v="0"/>
    <n v="0"/>
    <n v="0"/>
  </r>
  <r>
    <d v="2016-06-22T00:00:00"/>
    <n v="2016"/>
    <x v="13"/>
    <s v="R"/>
    <s v="RS"/>
    <x v="3"/>
    <s v="WAS"/>
    <s v="A"/>
    <n v="2"/>
    <n v="3"/>
    <n v="-1"/>
    <n v="1"/>
    <n v="-8"/>
    <n v="8"/>
    <n v="1492.2267584091849"/>
    <n v="1488.2822937929138"/>
    <n v="0.36518255046829134"/>
    <n v="62"/>
    <n v="76"/>
    <n v="0"/>
    <n v="-14"/>
    <n v="0"/>
    <n v="0.48601056065108272"/>
    <n v="1"/>
    <n v="73.900000000000006"/>
    <n v="73.900000000000006"/>
    <n v="-13.115962373279098"/>
    <n v="1479.1107960359059"/>
    <n v="0"/>
    <n v="1"/>
    <n v="0"/>
    <n v="0"/>
    <n v="0"/>
    <n v="0"/>
    <n v="0"/>
    <n v="0"/>
    <n v="0"/>
    <n v="0"/>
  </r>
  <r>
    <d v="2016-06-22T00:00:00"/>
    <n v="2016"/>
    <x v="13"/>
    <s v="R"/>
    <s v="RS"/>
    <x v="9"/>
    <s v="IND"/>
    <s v="H"/>
    <n v="3"/>
    <n v="2"/>
    <n v="1"/>
    <n v="-1"/>
    <n v="8"/>
    <n v="-8"/>
    <n v="1488.2822937929138"/>
    <n v="1492.2267584091849"/>
    <n v="0.6348174495317086"/>
    <n v="76"/>
    <n v="62"/>
    <n v="0"/>
    <n v="14"/>
    <n v="1"/>
    <n v="0.48601056065108272"/>
    <n v="1"/>
    <n v="73.900000000000006"/>
    <n v="73.900000000000006"/>
    <n v="13.115962373279102"/>
    <n v="1501.3982561661928"/>
    <n v="1"/>
    <n v="0"/>
    <n v="0"/>
    <n v="0"/>
    <n v="0"/>
    <n v="0"/>
    <n v="0"/>
    <n v="0"/>
    <n v="0"/>
    <n v="0"/>
  </r>
  <r>
    <d v="2016-06-23T00:00:00"/>
    <n v="2016"/>
    <x v="12"/>
    <s v="R"/>
    <s v="RS"/>
    <x v="7"/>
    <s v="DAL"/>
    <s v="A"/>
    <n v="1"/>
    <n v="1"/>
    <n v="0"/>
    <n v="0"/>
    <n v="0"/>
    <n v="0"/>
    <n v="1340.1382707719447"/>
    <n v="1474.7402100063134"/>
    <n v="0.2212539404493794"/>
    <n v="90"/>
    <n v="97"/>
    <n v="1"/>
    <n v="-7"/>
    <n v="0"/>
    <n v="0.29950184735639873"/>
    <n v="1"/>
    <n v="74.05"/>
    <n v="74.05"/>
    <n v="-4.9069946267558846"/>
    <n v="1335.2312761451888"/>
    <n v="0"/>
    <n v="1"/>
    <n v="0"/>
    <n v="0"/>
    <n v="0"/>
    <n v="0"/>
    <n v="0"/>
    <n v="0"/>
    <n v="0"/>
    <n v="0"/>
  </r>
  <r>
    <d v="2016-06-23T00:00:00"/>
    <n v="2016"/>
    <x v="13"/>
    <s v="R"/>
    <s v="RS"/>
    <x v="2"/>
    <s v="SAS"/>
    <s v="H"/>
    <n v="1"/>
    <n v="1"/>
    <n v="0"/>
    <n v="0"/>
    <n v="0"/>
    <n v="0"/>
    <n v="1474.7402100063134"/>
    <n v="1340.1382707719447"/>
    <n v="0.7787460595506206"/>
    <n v="97"/>
    <n v="90"/>
    <n v="1"/>
    <n v="7"/>
    <n v="1"/>
    <n v="0.29950184735639873"/>
    <n v="1"/>
    <n v="73.900000000000006"/>
    <n v="73.900000000000006"/>
    <n v="4.8970547321709637"/>
    <n v="1479.6372647384844"/>
    <n v="1"/>
    <n v="0"/>
    <n v="0"/>
    <n v="0"/>
    <n v="0"/>
    <n v="0"/>
    <n v="0"/>
    <n v="0"/>
    <n v="0"/>
    <n v="0"/>
  </r>
  <r>
    <d v="2016-06-24T00:00:00"/>
    <n v="2016"/>
    <x v="12"/>
    <s v="R"/>
    <s v="RS"/>
    <x v="11"/>
    <s v="MIN"/>
    <s v="A"/>
    <n v="2"/>
    <n v="2"/>
    <n v="0"/>
    <n v="0"/>
    <n v="0"/>
    <n v="0"/>
    <n v="1629.2325211280079"/>
    <n v="1711.8862512462133"/>
    <n v="0.27701116110461688"/>
    <n v="94"/>
    <n v="76"/>
    <n v="0"/>
    <n v="18"/>
    <n v="1"/>
    <n v="0.5115961565800865"/>
    <n v="1"/>
    <n v="74.05"/>
    <n v="74.05"/>
    <n v="27.389488946520583"/>
    <n v="1656.6220100745284"/>
    <n v="1"/>
    <n v="0"/>
    <n v="0"/>
    <n v="0"/>
    <n v="0"/>
    <n v="0"/>
    <n v="0"/>
    <n v="0"/>
    <n v="0"/>
    <n v="0"/>
  </r>
  <r>
    <d v="2016-06-24T00:00:00"/>
    <n v="2016"/>
    <x v="13"/>
    <s v="R"/>
    <s v="RS"/>
    <x v="5"/>
    <s v="LAS"/>
    <s v="H"/>
    <n v="2"/>
    <n v="2"/>
    <n v="0"/>
    <n v="0"/>
    <n v="0"/>
    <n v="0"/>
    <n v="1711.8862512462133"/>
    <n v="1629.2325211280079"/>
    <n v="0.72298883889538312"/>
    <n v="76"/>
    <n v="94"/>
    <n v="0"/>
    <n v="-18"/>
    <n v="0"/>
    <n v="0.5115961565800865"/>
    <n v="1"/>
    <n v="73.900000000000006"/>
    <n v="73.900000000000006"/>
    <n v="-27.334007199836208"/>
    <n v="1684.5522440463772"/>
    <n v="0"/>
    <n v="1"/>
    <n v="0"/>
    <n v="0"/>
    <n v="0"/>
    <n v="0"/>
    <n v="0"/>
    <n v="0"/>
    <n v="0"/>
    <n v="0"/>
  </r>
  <r>
    <d v="2016-06-24T00:00:00"/>
    <n v="2016"/>
    <x v="13"/>
    <s v="R"/>
    <s v="RS"/>
    <x v="1"/>
    <s v="NYL"/>
    <s v="A"/>
    <n v="2"/>
    <n v="1"/>
    <n v="1"/>
    <n v="-1"/>
    <n v="8"/>
    <n v="-8"/>
    <n v="1519.750796711789"/>
    <n v="1584.2356489704771"/>
    <n v="0.31807247578177283"/>
    <n v="79"/>
    <n v="80"/>
    <n v="0"/>
    <n v="-1"/>
    <n v="0"/>
    <n v="0.23172725607187192"/>
    <n v="1"/>
    <n v="73.900000000000006"/>
    <n v="73.900000000000006"/>
    <n v="-5.4468779851178999"/>
    <n v="1514.3039187266711"/>
    <n v="0"/>
    <n v="1"/>
    <n v="0"/>
    <n v="0"/>
    <n v="0"/>
    <n v="0"/>
    <n v="0"/>
    <n v="0"/>
    <n v="0"/>
    <n v="0"/>
  </r>
  <r>
    <d v="2016-06-24T00:00:00"/>
    <n v="2016"/>
    <x v="13"/>
    <s v="R"/>
    <s v="RS"/>
    <x v="8"/>
    <s v="CHI"/>
    <s v="H"/>
    <n v="1"/>
    <n v="2"/>
    <n v="-1"/>
    <n v="1"/>
    <n v="-8"/>
    <n v="8"/>
    <n v="1584.2356489704771"/>
    <n v="1519.750796711789"/>
    <n v="0.68192752421822711"/>
    <n v="80"/>
    <n v="79"/>
    <n v="0"/>
    <n v="1"/>
    <n v="1"/>
    <n v="0.23172725607187192"/>
    <n v="1"/>
    <n v="73.900000000000006"/>
    <n v="73.900000000000006"/>
    <n v="5.4468779851179008"/>
    <n v="1589.682526955595"/>
    <n v="1"/>
    <n v="0"/>
    <n v="0"/>
    <n v="0"/>
    <n v="0"/>
    <n v="0"/>
    <n v="0"/>
    <n v="0"/>
    <n v="0"/>
    <n v="0"/>
  </r>
  <r>
    <d v="2016-06-24T00:00:00"/>
    <n v="2016"/>
    <x v="13"/>
    <s v="R"/>
    <s v="RS"/>
    <x v="0"/>
    <s v="SEA"/>
    <s v="A"/>
    <n v="4"/>
    <n v="4"/>
    <n v="0"/>
    <n v="0"/>
    <n v="0"/>
    <n v="0"/>
    <n v="1380.2093303433592"/>
    <n v="1407.0770514642495"/>
    <n v="0.34565220957222575"/>
    <n v="81"/>
    <n v="98"/>
    <n v="0"/>
    <n v="-17"/>
    <n v="0"/>
    <n v="0.52078188373450518"/>
    <n v="1"/>
    <n v="73.900000000000006"/>
    <n v="73.900000000000006"/>
    <n v="-13.302695311651508"/>
    <n v="1366.9066350317078"/>
    <n v="0"/>
    <n v="1"/>
    <n v="0"/>
    <n v="0"/>
    <n v="0"/>
    <n v="0"/>
    <n v="0"/>
    <n v="0"/>
    <n v="0"/>
    <n v="0"/>
  </r>
  <r>
    <d v="2016-06-24T00:00:00"/>
    <n v="2016"/>
    <x v="13"/>
    <s v="R"/>
    <s v="RS"/>
    <x v="10"/>
    <s v="CON"/>
    <s v="H"/>
    <n v="4"/>
    <n v="4"/>
    <n v="0"/>
    <n v="0"/>
    <n v="0"/>
    <n v="0"/>
    <n v="1407.0770514642495"/>
    <n v="1380.2093303433592"/>
    <n v="0.65434779042777425"/>
    <n v="98"/>
    <n v="81"/>
    <n v="0"/>
    <n v="17"/>
    <n v="1"/>
    <n v="0.52078188373450518"/>
    <n v="1"/>
    <n v="73.900000000000006"/>
    <n v="73.900000000000006"/>
    <n v="13.302695311651508"/>
    <n v="1420.3797467759009"/>
    <n v="1"/>
    <n v="0"/>
    <n v="0"/>
    <n v="0"/>
    <n v="0"/>
    <n v="0"/>
    <n v="0"/>
    <n v="0"/>
    <n v="0"/>
    <n v="0"/>
  </r>
  <r>
    <d v="2016-06-24T00:00:00"/>
    <n v="2016"/>
    <x v="13"/>
    <s v="R"/>
    <s v="RS"/>
    <x v="4"/>
    <s v="WAS"/>
    <s v="A"/>
    <n v="2"/>
    <n v="1"/>
    <n v="1"/>
    <n v="-1"/>
    <n v="8"/>
    <n v="-8"/>
    <n v="1477.4069145850071"/>
    <n v="1501.3982561661928"/>
    <n v="0.37062307890136781"/>
    <n v="91"/>
    <n v="79"/>
    <n v="0"/>
    <n v="12"/>
    <n v="1"/>
    <n v="0.44718889186320565"/>
    <n v="1"/>
    <n v="73.900000000000006"/>
    <n v="73.900000000000006"/>
    <n v="20.799182188576609"/>
    <n v="1498.2060967735838"/>
    <n v="1"/>
    <n v="0"/>
    <n v="0"/>
    <n v="0"/>
    <n v="0"/>
    <n v="0"/>
    <n v="0"/>
    <n v="0"/>
    <n v="0"/>
    <n v="0"/>
  </r>
  <r>
    <d v="2016-06-24T00:00:00"/>
    <n v="2016"/>
    <x v="14"/>
    <s v="R"/>
    <s v="RS"/>
    <x v="9"/>
    <s v="PHX"/>
    <s v="H"/>
    <n v="1"/>
    <n v="2"/>
    <n v="-1"/>
    <n v="1"/>
    <n v="-8"/>
    <n v="8"/>
    <n v="1501.3982561661928"/>
    <n v="1477.4069145850071"/>
    <n v="0.62937692109863219"/>
    <n v="79"/>
    <n v="91"/>
    <n v="0"/>
    <n v="-12"/>
    <n v="0"/>
    <n v="0.44718889186320565"/>
    <n v="1"/>
    <n v="73.75"/>
    <n v="73.75"/>
    <n v="-20.756964633390048"/>
    <n v="1480.6412915328028"/>
    <n v="0"/>
    <n v="1"/>
    <n v="0"/>
    <n v="0"/>
    <n v="0"/>
    <n v="0"/>
    <n v="0"/>
    <n v="0"/>
    <n v="0"/>
    <n v="0"/>
  </r>
  <r>
    <d v="2016-06-25T00:00:00"/>
    <n v="2016"/>
    <x v="14"/>
    <s v="R"/>
    <s v="RS"/>
    <x v="3"/>
    <s v="DAL"/>
    <s v="A"/>
    <n v="2"/>
    <n v="1"/>
    <n v="1"/>
    <n v="-1"/>
    <n v="8"/>
    <n v="-8"/>
    <n v="1479.1107960359059"/>
    <n v="1479.6372647384844"/>
    <n v="0.40264168869549427"/>
    <n v="92"/>
    <n v="87"/>
    <n v="0"/>
    <n v="5"/>
    <n v="1"/>
    <n v="0.33161049000755127"/>
    <n v="1"/>
    <n v="73.75"/>
    <n v="73.75"/>
    <n v="14.609158321230575"/>
    <n v="1493.7199543571364"/>
    <n v="1"/>
    <n v="0"/>
    <n v="0"/>
    <n v="0"/>
    <n v="0"/>
    <n v="0"/>
    <n v="0"/>
    <n v="0"/>
    <n v="0"/>
    <n v="0"/>
  </r>
  <r>
    <d v="2016-06-25T00:00:00"/>
    <n v="2016"/>
    <x v="14"/>
    <s v="R"/>
    <s v="RS"/>
    <x v="2"/>
    <s v="IND"/>
    <s v="H"/>
    <n v="1"/>
    <n v="2"/>
    <n v="-1"/>
    <n v="1"/>
    <n v="-8"/>
    <n v="8"/>
    <n v="1479.6372647384844"/>
    <n v="1479.1107960359059"/>
    <n v="0.59735831130450567"/>
    <n v="87"/>
    <n v="92"/>
    <n v="0"/>
    <n v="-5"/>
    <n v="0"/>
    <n v="0.33161049000755127"/>
    <n v="1"/>
    <n v="73.75"/>
    <n v="73.75"/>
    <n v="-14.609158321230574"/>
    <n v="1465.0281064172539"/>
    <n v="0"/>
    <n v="1"/>
    <n v="0"/>
    <n v="0"/>
    <n v="0"/>
    <n v="0"/>
    <n v="0"/>
    <n v="0"/>
    <n v="0"/>
    <n v="0"/>
  </r>
  <r>
    <d v="2016-06-25T00:00:00"/>
    <n v="2016"/>
    <x v="13"/>
    <s v="R"/>
    <s v="RS"/>
    <x v="6"/>
    <s v="SAS"/>
    <s v="A"/>
    <n v="2"/>
    <n v="1"/>
    <n v="1"/>
    <n v="-1"/>
    <n v="8"/>
    <n v="-8"/>
    <n v="1495.3932502389646"/>
    <n v="1335.2312761451888"/>
    <n v="0.62960601078369005"/>
    <n v="69"/>
    <n v="73"/>
    <n v="0"/>
    <n v="-4"/>
    <n v="0"/>
    <n v="0.27476086598704552"/>
    <n v="1"/>
    <n v="73.900000000000006"/>
    <n v="73.900000000000006"/>
    <n v="-12.784041754489252"/>
    <n v="1482.6092084844754"/>
    <n v="0"/>
    <n v="1"/>
    <n v="0"/>
    <n v="0"/>
    <n v="0"/>
    <n v="0"/>
    <n v="0"/>
    <n v="0"/>
    <n v="0"/>
    <n v="0"/>
  </r>
  <r>
    <d v="2016-06-25T00:00:00"/>
    <n v="2016"/>
    <x v="13"/>
    <s v="R"/>
    <s v="RS"/>
    <x v="7"/>
    <s v="ATL"/>
    <s v="H"/>
    <n v="1"/>
    <n v="2"/>
    <n v="-1"/>
    <n v="1"/>
    <n v="-8"/>
    <n v="8"/>
    <n v="1335.2312761451888"/>
    <n v="1495.3932502389646"/>
    <n v="0.37039398921630989"/>
    <n v="73"/>
    <n v="69"/>
    <n v="0"/>
    <n v="4"/>
    <n v="1"/>
    <n v="0.27476086598704552"/>
    <n v="1"/>
    <n v="73.900000000000006"/>
    <n v="73.900000000000006"/>
    <n v="12.784041754489252"/>
    <n v="1348.0153178996779"/>
    <n v="1"/>
    <n v="0"/>
    <n v="0"/>
    <n v="0"/>
    <n v="0"/>
    <n v="0"/>
    <n v="0"/>
    <n v="0"/>
    <n v="0"/>
    <n v="0"/>
  </r>
  <r>
    <d v="2016-06-26T00:00:00"/>
    <n v="2016"/>
    <x v="14"/>
    <s v="R"/>
    <s v="RS"/>
    <x v="0"/>
    <s v="LAS"/>
    <s v="A"/>
    <n v="1"/>
    <n v="1"/>
    <n v="0"/>
    <n v="0"/>
    <n v="0"/>
    <n v="0"/>
    <n v="1366.9066350317078"/>
    <n v="1656.6220100745284"/>
    <n v="0.10421180050810472"/>
    <n v="73"/>
    <n v="80"/>
    <n v="0"/>
    <n v="-7"/>
    <n v="0"/>
    <n v="0.2981298403876767"/>
    <n v="1"/>
    <n v="73.75"/>
    <n v="73.75"/>
    <n v="-2.2913127495845331"/>
    <n v="1364.6153222821233"/>
    <n v="0"/>
    <n v="1"/>
    <n v="0"/>
    <n v="0"/>
    <n v="0"/>
    <n v="0"/>
    <n v="0"/>
    <n v="0"/>
    <n v="0"/>
    <n v="0"/>
  </r>
  <r>
    <d v="2016-06-26T00:00:00"/>
    <n v="2016"/>
    <x v="13"/>
    <s v="R"/>
    <s v="RS"/>
    <x v="11"/>
    <s v="CON"/>
    <s v="H"/>
    <n v="1"/>
    <n v="1"/>
    <n v="0"/>
    <n v="0"/>
    <n v="0"/>
    <n v="0"/>
    <n v="1656.6220100745284"/>
    <n v="1366.9066350317078"/>
    <n v="0.89578819949189536"/>
    <n v="80"/>
    <n v="73"/>
    <n v="0"/>
    <n v="7"/>
    <n v="1"/>
    <n v="0.2981298403876767"/>
    <n v="1"/>
    <n v="73.900000000000006"/>
    <n v="73.900000000000006"/>
    <n v="2.29597304670233"/>
    <n v="1658.9179831212307"/>
    <n v="1"/>
    <n v="0"/>
    <n v="0"/>
    <n v="0"/>
    <n v="0"/>
    <n v="0"/>
    <n v="0"/>
    <n v="0"/>
    <n v="0"/>
    <n v="0"/>
  </r>
  <r>
    <d v="2016-06-26T00:00:00"/>
    <n v="2016"/>
    <x v="14"/>
    <s v="R"/>
    <s v="RS"/>
    <x v="4"/>
    <s v="NYL"/>
    <s v="A"/>
    <n v="1"/>
    <n v="1"/>
    <n v="0"/>
    <n v="0"/>
    <n v="0"/>
    <n v="0"/>
    <n v="1498.2060967735838"/>
    <n v="1589.682526955595"/>
    <n v="0.2669556762860148"/>
    <n v="104"/>
    <n v="97"/>
    <n v="1"/>
    <n v="7"/>
    <n v="1"/>
    <n v="0.30950293551218166"/>
    <n v="1"/>
    <n v="73.75"/>
    <n v="73.75"/>
    <n v="16.732353541189003"/>
    <n v="1514.9384503147728"/>
    <n v="1"/>
    <n v="0"/>
    <n v="0"/>
    <n v="0"/>
    <n v="0"/>
    <n v="0"/>
    <n v="0"/>
    <n v="0"/>
    <n v="0"/>
    <n v="0"/>
  </r>
  <r>
    <d v="2016-06-26T00:00:00"/>
    <n v="2016"/>
    <x v="14"/>
    <s v="R"/>
    <s v="RS"/>
    <x v="8"/>
    <s v="PHX"/>
    <s v="H"/>
    <n v="1"/>
    <n v="1"/>
    <n v="0"/>
    <n v="0"/>
    <n v="0"/>
    <n v="0"/>
    <n v="1589.682526955595"/>
    <n v="1498.2060967735838"/>
    <n v="0.7330443237139852"/>
    <n v="97"/>
    <n v="104"/>
    <n v="1"/>
    <n v="-7"/>
    <n v="0"/>
    <n v="0.30950293551218166"/>
    <n v="1"/>
    <n v="73.75"/>
    <n v="73.75"/>
    <n v="-16.732353541189003"/>
    <n v="1572.950173414406"/>
    <n v="0"/>
    <n v="1"/>
    <n v="0"/>
    <n v="0"/>
    <n v="0"/>
    <n v="0"/>
    <n v="0"/>
    <n v="0"/>
    <n v="0"/>
    <n v="0"/>
  </r>
  <r>
    <d v="2016-06-26T00:00:00"/>
    <n v="2016"/>
    <x v="14"/>
    <s v="R"/>
    <s v="RS"/>
    <x v="5"/>
    <s v="WAS"/>
    <s v="A"/>
    <n v="1"/>
    <n v="1"/>
    <n v="0"/>
    <n v="0"/>
    <n v="0"/>
    <n v="0"/>
    <n v="1684.5522440463772"/>
    <n v="1480.6412915328028"/>
    <n v="0.66602541414481453"/>
    <n v="63"/>
    <n v="87"/>
    <n v="0"/>
    <n v="-24"/>
    <n v="0"/>
    <n v="0.5371545225055665"/>
    <n v="1"/>
    <n v="73.75"/>
    <n v="73.75"/>
    <n v="-26.384694044225341"/>
    <n v="1658.1675500021518"/>
    <n v="0"/>
    <n v="1"/>
    <n v="0"/>
    <n v="0"/>
    <n v="0"/>
    <n v="0"/>
    <n v="0"/>
    <n v="0"/>
    <n v="0"/>
    <n v="0"/>
  </r>
  <r>
    <d v="2016-06-26T00:00:00"/>
    <n v="2016"/>
    <x v="15"/>
    <s v="R"/>
    <s v="RS"/>
    <x v="9"/>
    <s v="MIN"/>
    <s v="H"/>
    <n v="1"/>
    <n v="1"/>
    <n v="0"/>
    <n v="0"/>
    <n v="0"/>
    <n v="0"/>
    <n v="1480.6412915328028"/>
    <n v="1684.5522440463772"/>
    <n v="0.33397458585518541"/>
    <n v="87"/>
    <n v="63"/>
    <n v="0"/>
    <n v="24"/>
    <n v="1"/>
    <n v="0.5371545225055665"/>
    <n v="1"/>
    <n v="73.599999999999994"/>
    <n v="73.599999999999994"/>
    <n v="26.331030259728607"/>
    <n v="1506.9723217925314"/>
    <n v="1"/>
    <n v="0"/>
    <n v="0"/>
    <n v="0"/>
    <n v="0"/>
    <n v="0"/>
    <n v="0"/>
    <n v="0"/>
    <n v="0"/>
    <n v="0"/>
  </r>
  <r>
    <d v="2016-06-28T00:00:00"/>
    <n v="2016"/>
    <x v="15"/>
    <s v="R"/>
    <s v="RS"/>
    <x v="2"/>
    <s v="LAS"/>
    <s v="A"/>
    <n v="2"/>
    <n v="1"/>
    <n v="1"/>
    <n v="-1"/>
    <n v="8"/>
    <n v="-8"/>
    <n v="1465.0281064172539"/>
    <n v="1658.9179831212307"/>
    <n v="0.18130078421208798"/>
    <n v="84"/>
    <n v="89"/>
    <n v="0"/>
    <n v="-5"/>
    <n v="0"/>
    <n v="0.28560876810072716"/>
    <n v="1"/>
    <n v="73.599999999999994"/>
    <n v="73.599999999999994"/>
    <n v="-3.8110884914999512"/>
    <n v="1461.2170179257539"/>
    <n v="0"/>
    <n v="1"/>
    <n v="0"/>
    <n v="0"/>
    <n v="0"/>
    <n v="0"/>
    <n v="0"/>
    <n v="0"/>
    <n v="0"/>
    <n v="0"/>
  </r>
  <r>
    <d v="2016-06-28T00:00:00"/>
    <n v="2016"/>
    <x v="14"/>
    <s v="R"/>
    <s v="RS"/>
    <x v="11"/>
    <s v="DAL"/>
    <s v="H"/>
    <n v="1"/>
    <n v="2"/>
    <n v="-1"/>
    <n v="1"/>
    <n v="-8"/>
    <n v="8"/>
    <n v="1658.9179831212307"/>
    <n v="1465.0281064172539"/>
    <n v="0.81869921578791205"/>
    <n v="89"/>
    <n v="84"/>
    <n v="0"/>
    <n v="5"/>
    <n v="1"/>
    <n v="0.28560876810072716"/>
    <n v="1"/>
    <n v="73.75"/>
    <n v="73.75"/>
    <n v="3.8188556555451272"/>
    <n v="1662.7368387767758"/>
    <n v="1"/>
    <n v="0"/>
    <n v="0"/>
    <n v="0"/>
    <n v="0"/>
    <n v="0"/>
    <n v="0"/>
    <n v="0"/>
    <n v="0"/>
    <n v="0"/>
  </r>
  <r>
    <d v="2016-06-28T00:00:00"/>
    <n v="2016"/>
    <x v="14"/>
    <s v="R"/>
    <s v="RS"/>
    <x v="6"/>
    <s v="SEA"/>
    <s v="A"/>
    <n v="2"/>
    <n v="3"/>
    <n v="-1"/>
    <n v="1"/>
    <n v="-8"/>
    <n v="8"/>
    <n v="1482.6092084844754"/>
    <n v="1420.3797467759009"/>
    <n v="0.44585695239415307"/>
    <n v="81"/>
    <n v="84"/>
    <n v="0"/>
    <n v="-3"/>
    <n v="0"/>
    <n v="0.27587711734052939"/>
    <n v="1"/>
    <n v="73.75"/>
    <n v="73.75"/>
    <n v="-9.0713776444890293"/>
    <n v="1473.5378308399863"/>
    <n v="0"/>
    <n v="1"/>
    <n v="0"/>
    <n v="0"/>
    <n v="0"/>
    <n v="0"/>
    <n v="0"/>
    <n v="0"/>
    <n v="0"/>
    <n v="0"/>
  </r>
  <r>
    <d v="2016-06-28T00:00:00"/>
    <n v="2016"/>
    <x v="14"/>
    <s v="R"/>
    <s v="RS"/>
    <x v="10"/>
    <s v="ATL"/>
    <s v="H"/>
    <n v="3"/>
    <n v="2"/>
    <n v="1"/>
    <n v="-1"/>
    <n v="8"/>
    <n v="-8"/>
    <n v="1420.3797467759009"/>
    <n v="1482.6092084844754"/>
    <n v="0.55414304760584698"/>
    <n v="84"/>
    <n v="81"/>
    <n v="0"/>
    <n v="3"/>
    <n v="1"/>
    <n v="0.27587711734052939"/>
    <n v="1"/>
    <n v="73.75"/>
    <n v="73.75"/>
    <n v="9.0713776444890275"/>
    <n v="1429.45112442039"/>
    <n v="1"/>
    <n v="0"/>
    <n v="0"/>
    <n v="0"/>
    <n v="0"/>
    <n v="0"/>
    <n v="0"/>
    <n v="0"/>
    <n v="0"/>
    <n v="0"/>
  </r>
  <r>
    <d v="2016-06-29T00:00:00"/>
    <n v="2016"/>
    <x v="15"/>
    <s v="R"/>
    <s v="RS"/>
    <x v="3"/>
    <s v="CHI"/>
    <s v="A"/>
    <n v="3"/>
    <n v="4"/>
    <n v="-1"/>
    <n v="1"/>
    <n v="-8"/>
    <n v="8"/>
    <n v="1493.7199543571364"/>
    <n v="1514.3039187266711"/>
    <n v="0.33311338820171366"/>
    <n v="95"/>
    <n v="83"/>
    <n v="0"/>
    <n v="12"/>
    <n v="1"/>
    <n v="0.4484372625479911"/>
    <n v="1"/>
    <n v="73.599999999999994"/>
    <n v="73.599999999999994"/>
    <n v="22.010580967580005"/>
    <n v="1515.7305353247164"/>
    <n v="1"/>
    <n v="0"/>
    <n v="0"/>
    <n v="0"/>
    <n v="0"/>
    <n v="0"/>
    <n v="0"/>
    <n v="0"/>
    <n v="0"/>
    <n v="0"/>
  </r>
  <r>
    <d v="2016-06-29T00:00:00"/>
    <n v="2016"/>
    <x v="14"/>
    <s v="R"/>
    <s v="RS"/>
    <x v="1"/>
    <s v="IND"/>
    <s v="H"/>
    <n v="4"/>
    <n v="3"/>
    <n v="1"/>
    <n v="-1"/>
    <n v="8"/>
    <n v="-8"/>
    <n v="1514.3039187266711"/>
    <n v="1493.7199543571364"/>
    <n v="0.66688661179828634"/>
    <n v="83"/>
    <n v="95"/>
    <n v="0"/>
    <n v="-12"/>
    <n v="0"/>
    <n v="0.4484372625479911"/>
    <n v="1"/>
    <n v="73.75"/>
    <n v="73.75"/>
    <n v="-22.055439488573718"/>
    <n v="1492.2484792380974"/>
    <n v="0"/>
    <n v="1"/>
    <n v="0"/>
    <n v="0"/>
    <n v="0"/>
    <n v="0"/>
    <n v="0"/>
    <n v="0"/>
    <n v="0"/>
    <n v="0"/>
  </r>
  <r>
    <d v="2016-06-29T00:00:00"/>
    <n v="2016"/>
    <x v="15"/>
    <s v="R"/>
    <s v="RS"/>
    <x v="8"/>
    <s v="MIN"/>
    <s v="A"/>
    <n v="2"/>
    <n v="2"/>
    <n v="0"/>
    <n v="0"/>
    <n v="0"/>
    <n v="0"/>
    <n v="1572.950173414406"/>
    <n v="1658.1675500021518"/>
    <n v="0.27406532878811574"/>
    <n v="95"/>
    <n v="92"/>
    <n v="1"/>
    <n v="3"/>
    <n v="1"/>
    <n v="0.24384840144215714"/>
    <n v="1"/>
    <n v="73.599999999999994"/>
    <n v="73.599999999999994"/>
    <n v="13.028525471707155"/>
    <n v="1585.9786988861131"/>
    <n v="1"/>
    <n v="0"/>
    <n v="0"/>
    <n v="0"/>
    <n v="0"/>
    <n v="0"/>
    <n v="0"/>
    <n v="0"/>
    <n v="0"/>
    <n v="0"/>
  </r>
  <r>
    <d v="2016-06-29T00:00:00"/>
    <n v="2016"/>
    <x v="15"/>
    <s v="R"/>
    <s v="RS"/>
    <x v="5"/>
    <s v="NYL"/>
    <s v="H"/>
    <n v="2"/>
    <n v="2"/>
    <n v="0"/>
    <n v="0"/>
    <n v="0"/>
    <n v="0"/>
    <n v="1658.1675500021518"/>
    <n v="1572.950173414406"/>
    <n v="0.72593467121188426"/>
    <n v="92"/>
    <n v="95"/>
    <n v="1"/>
    <n v="-3"/>
    <n v="0"/>
    <n v="0.24384840144215714"/>
    <n v="1"/>
    <n v="73.599999999999994"/>
    <n v="73.599999999999994"/>
    <n v="-13.028525471707155"/>
    <n v="1645.1390245304447"/>
    <n v="0"/>
    <n v="1"/>
    <n v="0"/>
    <n v="0"/>
    <n v="0"/>
    <n v="0"/>
    <n v="0"/>
    <n v="0"/>
    <n v="0"/>
    <n v="0"/>
  </r>
  <r>
    <d v="2016-06-29T00:00:00"/>
    <n v="2016"/>
    <x v="15"/>
    <s v="R"/>
    <s v="RS"/>
    <x v="0"/>
    <s v="PHX"/>
    <s v="A"/>
    <n v="2"/>
    <n v="2"/>
    <n v="0"/>
    <n v="0"/>
    <n v="0"/>
    <n v="0"/>
    <n v="1364.6153222821233"/>
    <n v="1514.9384503147728"/>
    <n v="0.20605478928831156"/>
    <n v="75"/>
    <n v="86"/>
    <n v="0"/>
    <n v="-11"/>
    <n v="0"/>
    <n v="0.39087175014038261"/>
    <n v="1"/>
    <n v="73.599999999999994"/>
    <n v="73.599999999999994"/>
    <n v="-5.9278173139852548"/>
    <n v="1358.687504968138"/>
    <n v="0"/>
    <n v="1"/>
    <n v="0"/>
    <n v="0"/>
    <n v="0"/>
    <n v="0"/>
    <n v="0"/>
    <n v="0"/>
    <n v="0"/>
    <n v="0"/>
  </r>
  <r>
    <d v="2016-06-29T00:00:00"/>
    <n v="2016"/>
    <x v="15"/>
    <s v="R"/>
    <s v="RS"/>
    <x v="4"/>
    <s v="CON"/>
    <s v="H"/>
    <n v="2"/>
    <n v="2"/>
    <n v="0"/>
    <n v="0"/>
    <n v="0"/>
    <n v="0"/>
    <n v="1514.9384503147728"/>
    <n v="1364.6153222821233"/>
    <n v="0.79394521071168844"/>
    <n v="86"/>
    <n v="75"/>
    <n v="0"/>
    <n v="11"/>
    <n v="1"/>
    <n v="0.39087175014038261"/>
    <n v="1"/>
    <n v="73.599999999999994"/>
    <n v="73.599999999999994"/>
    <n v="5.9278173139852548"/>
    <n v="1520.8662676287581"/>
    <n v="1"/>
    <n v="0"/>
    <n v="0"/>
    <n v="0"/>
    <n v="0"/>
    <n v="0"/>
    <n v="0"/>
    <n v="0"/>
    <n v="0"/>
    <n v="0"/>
  </r>
  <r>
    <d v="2016-06-29T00:00:00"/>
    <n v="2016"/>
    <x v="14"/>
    <s v="R"/>
    <s v="RS"/>
    <x v="7"/>
    <s v="WAS"/>
    <s v="A"/>
    <n v="3"/>
    <n v="2"/>
    <n v="1"/>
    <n v="-1"/>
    <n v="8"/>
    <n v="-8"/>
    <n v="1348.0153178996779"/>
    <n v="1506.9723217925314"/>
    <n v="0.21307821836672322"/>
    <n v="67"/>
    <n v="84"/>
    <n v="0"/>
    <n v="-17"/>
    <n v="0"/>
    <n v="0.47016239738867632"/>
    <n v="1"/>
    <n v="73.75"/>
    <n v="73.75"/>
    <n v="-7.3883757409222266"/>
    <n v="1340.6269421587558"/>
    <n v="0"/>
    <n v="1"/>
    <n v="0"/>
    <n v="0"/>
    <n v="0"/>
    <n v="0"/>
    <n v="0"/>
    <n v="0"/>
    <n v="0"/>
    <n v="0"/>
  </r>
  <r>
    <d v="2016-06-29T00:00:00"/>
    <n v="2016"/>
    <x v="16"/>
    <s v="R"/>
    <s v="RS"/>
    <x v="9"/>
    <s v="SAS"/>
    <s v="H"/>
    <n v="2"/>
    <n v="3"/>
    <n v="-1"/>
    <n v="1"/>
    <n v="-8"/>
    <n v="8"/>
    <n v="1506.9723217925314"/>
    <n v="1348.0153178996779"/>
    <n v="0.78692178163327675"/>
    <n v="84"/>
    <n v="67"/>
    <n v="0"/>
    <n v="17"/>
    <n v="1"/>
    <n v="0.47016239738867632"/>
    <n v="1"/>
    <n v="73.45"/>
    <n v="73.45"/>
    <n v="7.3583213311286464"/>
    <n v="1514.3306431236599"/>
    <n v="1"/>
    <n v="0"/>
    <n v="0"/>
    <n v="0"/>
    <n v="0"/>
    <n v="0"/>
    <n v="0"/>
    <n v="0"/>
    <n v="0"/>
    <n v="0"/>
  </r>
  <r>
    <d v="2016-06-30T00:00:00"/>
    <n v="2016"/>
    <x v="15"/>
    <s v="R"/>
    <s v="RS"/>
    <x v="6"/>
    <s v="LAS"/>
    <s v="A"/>
    <n v="1"/>
    <n v="1"/>
    <n v="0"/>
    <n v="0"/>
    <n v="0"/>
    <n v="0"/>
    <n v="1473.5378308399863"/>
    <n v="1662.7368387767758"/>
    <n v="0.17183753139781013"/>
    <n v="75"/>
    <n v="84"/>
    <n v="0"/>
    <n v="-9"/>
    <n v="0"/>
    <n v="0.35068109737583264"/>
    <n v="1"/>
    <n v="73.599999999999994"/>
    <n v="73.599999999999994"/>
    <n v="-4.4351488123570473"/>
    <n v="1469.1026820276293"/>
    <n v="0"/>
    <n v="1"/>
    <n v="0"/>
    <n v="0"/>
    <n v="0"/>
    <n v="0"/>
    <n v="0"/>
    <n v="0"/>
    <n v="0"/>
    <n v="0"/>
  </r>
  <r>
    <d v="2016-06-30T00:00:00"/>
    <n v="2016"/>
    <x v="15"/>
    <s v="R"/>
    <s v="RS"/>
    <x v="11"/>
    <s v="ATL"/>
    <s v="H"/>
    <n v="1"/>
    <n v="1"/>
    <n v="0"/>
    <n v="0"/>
    <n v="0"/>
    <n v="0"/>
    <n v="1662.7368387767758"/>
    <n v="1473.5378308399863"/>
    <n v="0.82816246860218989"/>
    <n v="84"/>
    <n v="75"/>
    <n v="0"/>
    <n v="9"/>
    <n v="1"/>
    <n v="0.35068109737583264"/>
    <n v="1"/>
    <n v="73.599999999999994"/>
    <n v="73.599999999999994"/>
    <n v="4.4351488123570473"/>
    <n v="1667.1719875891329"/>
    <n v="1"/>
    <n v="0"/>
    <n v="0"/>
    <n v="0"/>
    <n v="0"/>
    <n v="0"/>
    <n v="0"/>
    <n v="0"/>
    <n v="0"/>
    <n v="0"/>
  </r>
  <r>
    <d v="2016-06-30T00:00:00"/>
    <n v="2016"/>
    <x v="16"/>
    <s v="R"/>
    <s v="RS"/>
    <x v="2"/>
    <s v="SEA"/>
    <s v="A"/>
    <n v="1"/>
    <n v="1"/>
    <n v="0"/>
    <n v="0"/>
    <n v="0"/>
    <n v="0"/>
    <n v="1461.2170179257539"/>
    <n v="1429.45112442039"/>
    <n v="0.4253903586329435"/>
    <n v="83"/>
    <n v="78"/>
    <n v="0"/>
    <n v="5"/>
    <n v="1"/>
    <n v="0.32320035215503684"/>
    <n v="1"/>
    <n v="73.45"/>
    <n v="73.45"/>
    <n v="13.640696123529063"/>
    <n v="1474.857714049283"/>
    <n v="1"/>
    <n v="0"/>
    <n v="0"/>
    <n v="0"/>
    <n v="0"/>
    <n v="0"/>
    <n v="0"/>
    <n v="0"/>
    <n v="0"/>
    <n v="0"/>
  </r>
  <r>
    <d v="2016-06-30T00:00:00"/>
    <n v="2016"/>
    <x v="15"/>
    <s v="R"/>
    <s v="RS"/>
    <x v="10"/>
    <s v="DAL"/>
    <s v="H"/>
    <n v="1"/>
    <n v="1"/>
    <n v="0"/>
    <n v="0"/>
    <n v="0"/>
    <n v="0"/>
    <n v="1429.45112442039"/>
    <n v="1461.2170179257539"/>
    <n v="0.5746096413670565"/>
    <n v="78"/>
    <n v="83"/>
    <n v="0"/>
    <n v="-5"/>
    <n v="0"/>
    <n v="0.32320035215503684"/>
    <n v="1"/>
    <n v="73.599999999999994"/>
    <n v="73.599999999999994"/>
    <n v="-13.66855322929529"/>
    <n v="1415.7825711910948"/>
    <n v="0"/>
    <n v="1"/>
    <n v="0"/>
    <n v="0"/>
    <n v="0"/>
    <n v="0"/>
    <n v="0"/>
    <n v="0"/>
    <n v="0"/>
    <n v="0"/>
  </r>
  <r>
    <d v="2016-07-01T00:00:00"/>
    <n v="2016"/>
    <x v="17"/>
    <s v="R"/>
    <s v="RS"/>
    <x v="9"/>
    <s v="CHI"/>
    <s v="A"/>
    <n v="1"/>
    <n v="1"/>
    <n v="0"/>
    <n v="0"/>
    <n v="0"/>
    <n v="0"/>
    <n v="1514.3306431236599"/>
    <n v="1492.2484792380974"/>
    <n v="0.4118245893713689"/>
    <n v="84"/>
    <n v="86"/>
    <n v="1"/>
    <n v="-2"/>
    <n v="0"/>
    <n v="0.23670145512534538"/>
    <n v="1"/>
    <n v="73.3"/>
    <n v="73.3"/>
    <n v="-7.1452458517920432"/>
    <n v="1507.1853972718679"/>
    <n v="0"/>
    <n v="1"/>
    <n v="0"/>
    <n v="0"/>
    <n v="0"/>
    <n v="0"/>
    <n v="0"/>
    <n v="0"/>
    <n v="0"/>
    <n v="0"/>
  </r>
  <r>
    <d v="2016-07-01T00:00:00"/>
    <n v="2016"/>
    <x v="15"/>
    <s v="R"/>
    <s v="RS"/>
    <x v="1"/>
    <s v="WAS"/>
    <s v="H"/>
    <n v="1"/>
    <n v="1"/>
    <n v="0"/>
    <n v="0"/>
    <n v="0"/>
    <n v="0"/>
    <n v="1492.2484792380974"/>
    <n v="1514.3306431236599"/>
    <n v="0.5881754106286311"/>
    <n v="86"/>
    <n v="84"/>
    <n v="1"/>
    <n v="2"/>
    <n v="1"/>
    <n v="0.23670145512534538"/>
    <n v="1"/>
    <n v="73.599999999999994"/>
    <n v="73.599999999999994"/>
    <n v="7.1744896956602231"/>
    <n v="1499.4229689337576"/>
    <n v="1"/>
    <n v="0"/>
    <n v="0"/>
    <n v="0"/>
    <n v="0"/>
    <n v="0"/>
    <n v="0"/>
    <n v="0"/>
    <n v="0"/>
    <n v="0"/>
  </r>
  <r>
    <d v="2016-07-01T00:00:00"/>
    <n v="2016"/>
    <x v="15"/>
    <s v="R"/>
    <s v="RS"/>
    <x v="7"/>
    <s v="IND"/>
    <s v="A"/>
    <n v="1"/>
    <n v="1"/>
    <n v="0"/>
    <n v="0"/>
    <n v="0"/>
    <n v="0"/>
    <n v="1340.6269421587558"/>
    <n v="1515.7305353247164"/>
    <n v="0.18369366666286599"/>
    <n v="87"/>
    <n v="85"/>
    <n v="1"/>
    <n v="2"/>
    <n v="1"/>
    <n v="0.21036133416570293"/>
    <n v="1"/>
    <n v="73.599999999999994"/>
    <n v="73.599999999999994"/>
    <n v="12.63853969753724"/>
    <n v="1353.265481856293"/>
    <n v="1"/>
    <n v="0"/>
    <n v="0"/>
    <n v="0"/>
    <n v="0"/>
    <n v="0"/>
    <n v="0"/>
    <n v="0"/>
    <n v="0"/>
    <n v="0"/>
  </r>
  <r>
    <d v="2016-07-01T00:00:00"/>
    <n v="2016"/>
    <x v="16"/>
    <s v="R"/>
    <s v="RS"/>
    <x v="3"/>
    <s v="SAS"/>
    <s v="H"/>
    <n v="1"/>
    <n v="1"/>
    <n v="0"/>
    <n v="0"/>
    <n v="0"/>
    <n v="0"/>
    <n v="1515.7305353247164"/>
    <n v="1340.6269421587558"/>
    <n v="0.81630633333713398"/>
    <n v="85"/>
    <n v="87"/>
    <n v="1"/>
    <n v="-2"/>
    <n v="0"/>
    <n v="0.21036133416570293"/>
    <n v="1"/>
    <n v="73.45"/>
    <n v="73.45"/>
    <n v="-12.612781804131936"/>
    <n v="1503.1177535205845"/>
    <n v="0"/>
    <n v="1"/>
    <n v="0"/>
    <n v="0"/>
    <n v="0"/>
    <n v="0"/>
    <n v="0"/>
    <n v="0"/>
    <n v="0"/>
    <n v="0"/>
  </r>
  <r>
    <d v="2016-07-01T00:00:00"/>
    <n v="2016"/>
    <x v="16"/>
    <s v="R"/>
    <s v="RS"/>
    <x v="8"/>
    <s v="PHX"/>
    <s v="A"/>
    <n v="1"/>
    <n v="1"/>
    <n v="0"/>
    <n v="0"/>
    <n v="0"/>
    <n v="0"/>
    <n v="1585.9786988861131"/>
    <n v="1520.8662676287581"/>
    <n v="0.47284534850459692"/>
    <n v="99"/>
    <n v="88"/>
    <n v="0"/>
    <n v="11"/>
    <n v="1"/>
    <n v="0.41719862303826299"/>
    <n v="1"/>
    <n v="73.45"/>
    <n v="73.45"/>
    <n v="16.153725903072569"/>
    <n v="1602.1324247891857"/>
    <n v="1"/>
    <n v="0"/>
    <n v="0"/>
    <n v="0"/>
    <n v="0"/>
    <n v="0"/>
    <n v="0"/>
    <n v="0"/>
    <n v="0"/>
    <n v="0"/>
  </r>
  <r>
    <d v="2016-07-01T00:00:00"/>
    <n v="2016"/>
    <x v="16"/>
    <s v="R"/>
    <s v="RS"/>
    <x v="4"/>
    <s v="NYL"/>
    <s v="H"/>
    <n v="1"/>
    <n v="1"/>
    <n v="0"/>
    <n v="0"/>
    <n v="0"/>
    <n v="0"/>
    <n v="1520.8662676287581"/>
    <n v="1585.9786988861131"/>
    <n v="0.52715465149540308"/>
    <n v="88"/>
    <n v="99"/>
    <n v="0"/>
    <n v="-11"/>
    <n v="0"/>
    <n v="0.41719862303826299"/>
    <n v="1"/>
    <n v="73.45"/>
    <n v="73.45"/>
    <n v="-16.153725903072569"/>
    <n v="1504.7125417256855"/>
    <n v="0"/>
    <n v="1"/>
    <n v="0"/>
    <n v="0"/>
    <n v="0"/>
    <n v="0"/>
    <n v="0"/>
    <n v="0"/>
    <n v="0"/>
    <n v="0"/>
  </r>
  <r>
    <d v="2016-07-02T00:00:00"/>
    <n v="2016"/>
    <x v="16"/>
    <s v="R"/>
    <s v="RS"/>
    <x v="0"/>
    <s v="DAL"/>
    <s v="A"/>
    <n v="2"/>
    <n v="1"/>
    <n v="1"/>
    <n v="-1"/>
    <n v="8"/>
    <n v="-8"/>
    <n v="1358.687504968138"/>
    <n v="1474.857714049283"/>
    <n v="0.2572771704102586"/>
    <n v="86"/>
    <n v="83"/>
    <n v="0"/>
    <n v="3"/>
    <n v="1"/>
    <n v="0.2645708153214863"/>
    <n v="1"/>
    <n v="73.45"/>
    <n v="73.45"/>
    <n v="14.43312952758016"/>
    <n v="1373.1206344957181"/>
    <n v="1"/>
    <n v="0"/>
    <n v="0"/>
    <n v="0"/>
    <n v="0"/>
    <n v="0"/>
    <n v="0"/>
    <n v="0"/>
    <n v="0"/>
    <n v="0"/>
  </r>
  <r>
    <d v="2016-07-02T00:00:00"/>
    <n v="2016"/>
    <x v="17"/>
    <s v="R"/>
    <s v="RS"/>
    <x v="2"/>
    <s v="CON"/>
    <s v="H"/>
    <n v="1"/>
    <n v="2"/>
    <n v="-1"/>
    <n v="1"/>
    <n v="-8"/>
    <n v="8"/>
    <n v="1474.857714049283"/>
    <n v="1358.687504968138"/>
    <n v="0.74272282958974134"/>
    <n v="83"/>
    <n v="86"/>
    <n v="0"/>
    <n v="-3"/>
    <n v="0"/>
    <n v="0.2645708153214863"/>
    <n v="1"/>
    <n v="73.3"/>
    <n v="73.3"/>
    <n v="-14.403654109892793"/>
    <n v="1460.4540599393902"/>
    <n v="0"/>
    <n v="1"/>
    <n v="0"/>
    <n v="0"/>
    <n v="0"/>
    <n v="0"/>
    <n v="0"/>
    <n v="0"/>
    <n v="0"/>
    <n v="0"/>
  </r>
  <r>
    <d v="2016-07-02T00:00:00"/>
    <n v="2016"/>
    <x v="16"/>
    <s v="R"/>
    <s v="RS"/>
    <x v="7"/>
    <s v="MIN"/>
    <s v="A"/>
    <n v="0"/>
    <n v="2"/>
    <n v="-2"/>
    <n v="2"/>
    <n v="-16"/>
    <n v="16"/>
    <n v="1353.265481856293"/>
    <n v="1645.1390245304447"/>
    <n v="8.7232131928434833E-2"/>
    <n v="68"/>
    <n v="91"/>
    <n v="0"/>
    <n v="-23"/>
    <n v="0"/>
    <n v="0.49495168454475452"/>
    <n v="1"/>
    <n v="73.45"/>
    <n v="73.45"/>
    <n v="-3.1712544778318472"/>
    <n v="1350.0942273784613"/>
    <n v="0"/>
    <n v="1"/>
    <n v="0"/>
    <n v="0"/>
    <n v="0"/>
    <n v="0"/>
    <n v="0"/>
    <n v="0"/>
    <n v="0"/>
    <n v="0"/>
  </r>
  <r>
    <d v="2016-07-02T00:00:00"/>
    <n v="2016"/>
    <x v="16"/>
    <s v="R"/>
    <s v="RS"/>
    <x v="5"/>
    <s v="SAS"/>
    <s v="H"/>
    <n v="2"/>
    <n v="0"/>
    <n v="2"/>
    <n v="-2"/>
    <n v="16"/>
    <n v="-16"/>
    <n v="1645.1390245304447"/>
    <n v="1353.265481856293"/>
    <n v="0.91276786807156518"/>
    <n v="91"/>
    <n v="68"/>
    <n v="0"/>
    <n v="23"/>
    <n v="1"/>
    <n v="0.49495168454475452"/>
    <n v="1"/>
    <n v="73.45"/>
    <n v="73.45"/>
    <n v="3.1712544778318468"/>
    <n v="1648.3102790082764"/>
    <n v="1"/>
    <n v="0"/>
    <n v="0"/>
    <n v="0"/>
    <n v="0"/>
    <n v="0"/>
    <n v="0"/>
    <n v="0"/>
    <n v="0"/>
    <n v="0"/>
  </r>
  <r>
    <d v="2016-07-03T00:00:00"/>
    <n v="2016"/>
    <x v="17"/>
    <s v="R"/>
    <s v="RS"/>
    <x v="4"/>
    <s v="ATL"/>
    <s v="A"/>
    <n v="1"/>
    <n v="2"/>
    <n v="-1"/>
    <n v="1"/>
    <n v="-8"/>
    <n v="8"/>
    <n v="1504.7125417256855"/>
    <n v="1469.1026820276293"/>
    <n v="0.40838168650815987"/>
    <n v="95"/>
    <n v="87"/>
    <n v="0"/>
    <n v="8"/>
    <n v="1"/>
    <n v="0.3771244121647564"/>
    <n v="1"/>
    <n v="73.3"/>
    <n v="73.3"/>
    <n v="16.354234847821033"/>
    <n v="1521.0667765735066"/>
    <n v="1"/>
    <n v="0"/>
    <n v="0"/>
    <n v="0"/>
    <n v="0"/>
    <n v="0"/>
    <n v="0"/>
    <n v="0"/>
    <n v="0"/>
    <n v="0"/>
  </r>
  <r>
    <d v="2016-07-03T00:00:00"/>
    <n v="2016"/>
    <x v="16"/>
    <s v="R"/>
    <s v="RS"/>
    <x v="6"/>
    <s v="PHX"/>
    <s v="H"/>
    <n v="2"/>
    <n v="1"/>
    <n v="1"/>
    <n v="-1"/>
    <n v="8"/>
    <n v="-8"/>
    <n v="1469.1026820276293"/>
    <n v="1504.7125417256855"/>
    <n v="0.59161831349184013"/>
    <n v="87"/>
    <n v="95"/>
    <n v="0"/>
    <n v="-8"/>
    <n v="0"/>
    <n v="0.3771244121647564"/>
    <n v="1"/>
    <n v="73.45"/>
    <n v="73.45"/>
    <n v="-16.387701904126263"/>
    <n v="1452.714980123503"/>
    <n v="0"/>
    <n v="1"/>
    <n v="0"/>
    <n v="0"/>
    <n v="0"/>
    <n v="0"/>
    <n v="0"/>
    <n v="0"/>
    <n v="0"/>
    <n v="0"/>
  </r>
  <r>
    <d v="2016-07-03T00:00:00"/>
    <n v="2016"/>
    <x v="17"/>
    <s v="R"/>
    <s v="RS"/>
    <x v="8"/>
    <s v="LAS"/>
    <s v="A"/>
    <n v="1"/>
    <n v="2"/>
    <n v="-1"/>
    <n v="1"/>
    <n v="-8"/>
    <n v="8"/>
    <n v="1602.1324247891857"/>
    <n v="1667.1719875891329"/>
    <n v="0.27887595467679371"/>
    <n v="67"/>
    <n v="77"/>
    <n v="0"/>
    <n v="-10"/>
    <n v="0"/>
    <n v="0.40137530408528183"/>
    <n v="1"/>
    <n v="73.3"/>
    <n v="73.3"/>
    <n v="-8.2047564173975491"/>
    <n v="1593.9276683717883"/>
    <n v="0"/>
    <n v="1"/>
    <n v="0"/>
    <n v="0"/>
    <n v="0"/>
    <n v="0"/>
    <n v="0"/>
    <n v="0"/>
    <n v="0"/>
    <n v="0"/>
  </r>
  <r>
    <d v="2016-07-03T00:00:00"/>
    <n v="2016"/>
    <x v="16"/>
    <s v="R"/>
    <s v="RS"/>
    <x v="11"/>
    <s v="NYL"/>
    <s v="H"/>
    <n v="2"/>
    <n v="1"/>
    <n v="1"/>
    <n v="-1"/>
    <n v="8"/>
    <n v="-8"/>
    <n v="1667.1719875891329"/>
    <n v="1602.1324247891857"/>
    <n v="0.72112404532320629"/>
    <n v="77"/>
    <n v="67"/>
    <n v="0"/>
    <n v="10"/>
    <n v="1"/>
    <n v="0.40137530408528183"/>
    <n v="1"/>
    <n v="73.45"/>
    <n v="73.45"/>
    <n v="8.2215465055641221"/>
    <n v="1675.3935340946971"/>
    <n v="1"/>
    <n v="0"/>
    <n v="0"/>
    <n v="0"/>
    <n v="0"/>
    <n v="0"/>
    <n v="0"/>
    <n v="0"/>
    <n v="0"/>
    <n v="0"/>
  </r>
  <r>
    <d v="2016-07-05T00:00:00"/>
    <n v="2016"/>
    <x v="16"/>
    <s v="R"/>
    <s v="RS"/>
    <x v="10"/>
    <s v="ATL"/>
    <s v="A"/>
    <n v="4"/>
    <n v="1"/>
    <n v="3"/>
    <n v="-3"/>
    <n v="16"/>
    <n v="-16"/>
    <n v="1415.7825711910948"/>
    <n v="1452.714980123503"/>
    <n v="0.3747397688140312"/>
    <n v="64"/>
    <n v="77"/>
    <n v="0"/>
    <n v="-13"/>
    <n v="0"/>
    <n v="0.45794944225436229"/>
    <n v="1"/>
    <n v="73.45"/>
    <n v="73.45"/>
    <n v="-12.604891713334254"/>
    <n v="1403.1776794777606"/>
    <n v="0"/>
    <n v="1"/>
    <n v="0"/>
    <n v="0"/>
    <n v="0"/>
    <n v="0"/>
    <n v="0"/>
    <n v="0"/>
    <n v="0"/>
    <n v="0"/>
  </r>
  <r>
    <d v="2016-07-05T00:00:00"/>
    <n v="2016"/>
    <x v="17"/>
    <s v="R"/>
    <s v="RS"/>
    <x v="6"/>
    <s v="SEA"/>
    <s v="H"/>
    <n v="1"/>
    <n v="4"/>
    <n v="-3"/>
    <n v="3"/>
    <n v="-16"/>
    <n v="16"/>
    <n v="1452.714980123503"/>
    <n v="1415.7825711910948"/>
    <n v="0.62526023118596885"/>
    <n v="77"/>
    <n v="64"/>
    <n v="0"/>
    <n v="13"/>
    <n v="1"/>
    <n v="0.45794944225436229"/>
    <n v="1"/>
    <n v="73.3"/>
    <n v="73.3"/>
    <n v="12.579149933116414"/>
    <n v="1465.2941300566195"/>
    <n v="1"/>
    <n v="0"/>
    <n v="0"/>
    <n v="0"/>
    <n v="0"/>
    <n v="0"/>
    <n v="0"/>
    <n v="0"/>
    <n v="0"/>
    <n v="0"/>
  </r>
  <r>
    <d v="2016-07-05T00:00:00"/>
    <n v="2016"/>
    <x v="18"/>
    <s v="R"/>
    <s v="RS"/>
    <x v="4"/>
    <s v="DAL"/>
    <s v="A"/>
    <n v="1"/>
    <n v="2"/>
    <n v="-1"/>
    <n v="1"/>
    <n v="-8"/>
    <n v="8"/>
    <n v="1521.0667765735066"/>
    <n v="1460.4540599393902"/>
    <n v="0.44355872625892218"/>
    <n v="74"/>
    <n v="77"/>
    <n v="0"/>
    <n v="-3"/>
    <n v="0"/>
    <n v="0.27623093177118729"/>
    <n v="1"/>
    <n v="73.150000000000006"/>
    <n v="73.150000000000006"/>
    <n v="-8.9626774342687074"/>
    <n v="1512.1040991392379"/>
    <n v="0"/>
    <n v="1"/>
    <n v="0"/>
    <n v="0"/>
    <n v="0"/>
    <n v="0"/>
    <n v="0"/>
    <n v="0"/>
    <n v="0"/>
    <n v="0"/>
  </r>
  <r>
    <d v="2016-07-05T00:00:00"/>
    <n v="2016"/>
    <x v="18"/>
    <s v="R"/>
    <s v="RS"/>
    <x v="2"/>
    <s v="PHX"/>
    <s v="H"/>
    <n v="2"/>
    <n v="1"/>
    <n v="1"/>
    <n v="-1"/>
    <n v="8"/>
    <n v="-8"/>
    <n v="1460.4540599393902"/>
    <n v="1521.0667765735066"/>
    <n v="0.55644127374107777"/>
    <n v="77"/>
    <n v="74"/>
    <n v="0"/>
    <n v="3"/>
    <n v="1"/>
    <n v="0.27623093177118729"/>
    <n v="1"/>
    <n v="73.150000000000006"/>
    <n v="73.150000000000006"/>
    <n v="8.9626774342687074"/>
    <n v="1469.4167373736589"/>
    <n v="1"/>
    <n v="0"/>
    <n v="0"/>
    <n v="0"/>
    <n v="0"/>
    <n v="0"/>
    <n v="0"/>
    <n v="0"/>
    <n v="0"/>
    <n v="0"/>
  </r>
  <r>
    <d v="2016-07-05T00:00:00"/>
    <n v="2016"/>
    <x v="16"/>
    <s v="R"/>
    <s v="RS"/>
    <x v="1"/>
    <s v="MIN"/>
    <s v="A"/>
    <n v="3"/>
    <n v="2"/>
    <n v="1"/>
    <n v="-1"/>
    <n v="8"/>
    <n v="-8"/>
    <n v="1499.4229689337576"/>
    <n v="1648.3102790082764"/>
    <n v="0.22295925993857221"/>
    <n v="82"/>
    <n v="87"/>
    <n v="0"/>
    <n v="-5"/>
    <n v="0"/>
    <n v="0.29513745705822081"/>
    <n v="1"/>
    <n v="73.45"/>
    <n v="73.45"/>
    <n v="-4.8332765504799067"/>
    <n v="1494.5896923832777"/>
    <n v="0"/>
    <n v="1"/>
    <n v="0"/>
    <n v="0"/>
    <n v="0"/>
    <n v="0"/>
    <n v="0"/>
    <n v="0"/>
    <n v="0"/>
    <n v="0"/>
  </r>
  <r>
    <d v="2016-07-05T00:00:00"/>
    <n v="2016"/>
    <x v="17"/>
    <s v="R"/>
    <s v="RS"/>
    <x v="5"/>
    <s v="CHI"/>
    <s v="H"/>
    <n v="2"/>
    <n v="3"/>
    <n v="-1"/>
    <n v="1"/>
    <n v="-8"/>
    <n v="8"/>
    <n v="1648.3102790082764"/>
    <n v="1499.4229689337576"/>
    <n v="0.77704074006142776"/>
    <n v="87"/>
    <n v="82"/>
    <n v="0"/>
    <n v="5"/>
    <n v="1"/>
    <n v="0.29513745705822081"/>
    <n v="1"/>
    <n v="73.3"/>
    <n v="73.3"/>
    <n v="4.8234060061290291"/>
    <n v="1653.1336850144055"/>
    <n v="1"/>
    <n v="0"/>
    <n v="0"/>
    <n v="0"/>
    <n v="0"/>
    <n v="0"/>
    <n v="0"/>
    <n v="0"/>
    <n v="0"/>
    <n v="0"/>
  </r>
  <r>
    <d v="2016-07-06T00:00:00"/>
    <n v="2016"/>
    <x v="17"/>
    <s v="R"/>
    <s v="RS"/>
    <x v="3"/>
    <s v="LAS"/>
    <s v="A"/>
    <n v="4"/>
    <n v="2"/>
    <n v="2"/>
    <n v="-2"/>
    <n v="16"/>
    <n v="-16"/>
    <n v="1503.1177535205845"/>
    <n v="1675.3935340946971"/>
    <n v="0.21567764864575478"/>
    <n v="88"/>
    <n v="94"/>
    <n v="0"/>
    <n v="-6"/>
    <n v="0"/>
    <n v="0.3071809029033753"/>
    <n v="1"/>
    <n v="73.3"/>
    <n v="73.3"/>
    <n v="-4.8562756202909556"/>
    <n v="1498.2614779002936"/>
    <n v="0"/>
    <n v="1"/>
    <n v="0"/>
    <n v="0"/>
    <n v="0"/>
    <n v="0"/>
    <n v="0"/>
    <n v="0"/>
    <n v="0"/>
    <n v="0"/>
  </r>
  <r>
    <d v="2016-07-06T00:00:00"/>
    <n v="2016"/>
    <x v="17"/>
    <s v="R"/>
    <s v="RS"/>
    <x v="11"/>
    <s v="IND"/>
    <s v="H"/>
    <n v="2"/>
    <n v="4"/>
    <n v="-2"/>
    <n v="2"/>
    <n v="-16"/>
    <n v="16"/>
    <n v="1675.3935340946971"/>
    <n v="1503.1177535205845"/>
    <n v="0.78432235135424522"/>
    <n v="94"/>
    <n v="88"/>
    <n v="0"/>
    <n v="6"/>
    <n v="1"/>
    <n v="0.3071809029033753"/>
    <n v="1"/>
    <n v="73.3"/>
    <n v="73.3"/>
    <n v="4.8562756202909556"/>
    <n v="1680.249809714988"/>
    <n v="1"/>
    <n v="0"/>
    <n v="0"/>
    <n v="0"/>
    <n v="0"/>
    <n v="0"/>
    <n v="0"/>
    <n v="0"/>
    <n v="0"/>
    <n v="0"/>
  </r>
  <r>
    <d v="2016-07-06T00:00:00"/>
    <n v="2016"/>
    <x v="17"/>
    <s v="R"/>
    <s v="RS"/>
    <x v="10"/>
    <s v="NYL"/>
    <s v="A"/>
    <n v="0"/>
    <n v="2"/>
    <n v="-2"/>
    <n v="2"/>
    <n v="-16"/>
    <n v="16"/>
    <n v="1403.1776794777606"/>
    <n v="1593.9276683717883"/>
    <n v="0.14606605660457356"/>
    <n v="74"/>
    <n v="78"/>
    <n v="0"/>
    <n v="-4"/>
    <n v="0"/>
    <n v="0.26871780324934585"/>
    <n v="1"/>
    <n v="73.3"/>
    <n v="73.3"/>
    <n v="-2.8770653047435424"/>
    <n v="1400.300614173017"/>
    <n v="0"/>
    <n v="1"/>
    <n v="0"/>
    <n v="0"/>
    <n v="0"/>
    <n v="0"/>
    <n v="0"/>
    <n v="0"/>
    <n v="0"/>
    <n v="0"/>
  </r>
  <r>
    <d v="2016-07-06T00:00:00"/>
    <n v="2016"/>
    <x v="18"/>
    <s v="R"/>
    <s v="RS"/>
    <x v="8"/>
    <s v="SEA"/>
    <s v="H"/>
    <n v="2"/>
    <n v="0"/>
    <n v="2"/>
    <n v="-2"/>
    <n v="16"/>
    <n v="-16"/>
    <n v="1593.9276683717883"/>
    <n v="1403.1776794777606"/>
    <n v="0.85393394339542639"/>
    <n v="78"/>
    <n v="74"/>
    <n v="0"/>
    <n v="4"/>
    <n v="1"/>
    <n v="0.26871780324934585"/>
    <n v="1"/>
    <n v="73.150000000000006"/>
    <n v="73.150000000000006"/>
    <n v="2.8711777222645325"/>
    <n v="1596.7988460940528"/>
    <n v="1"/>
    <n v="0"/>
    <n v="0"/>
    <n v="0"/>
    <n v="0"/>
    <n v="0"/>
    <n v="0"/>
    <n v="0"/>
    <n v="0"/>
    <n v="0"/>
  </r>
  <r>
    <d v="2016-07-06T00:00:00"/>
    <n v="2016"/>
    <x v="18"/>
    <s v="R"/>
    <s v="RS"/>
    <x v="9"/>
    <s v="SAS"/>
    <s v="A"/>
    <n v="4"/>
    <n v="3"/>
    <n v="1"/>
    <n v="-1"/>
    <n v="8"/>
    <n v="-8"/>
    <n v="1507.1853972718679"/>
    <n v="1350.0942273784613"/>
    <n v="0.62547434281925263"/>
    <n v="70"/>
    <n v="77"/>
    <n v="0"/>
    <n v="-7"/>
    <n v="0"/>
    <n v="0.32726512178210421"/>
    <n v="1"/>
    <n v="73.150000000000006"/>
    <n v="73.150000000000006"/>
    <n v="-14.973507789671824"/>
    <n v="1492.2118894821961"/>
    <n v="0"/>
    <n v="1"/>
    <n v="0"/>
    <n v="0"/>
    <n v="0"/>
    <n v="0"/>
    <n v="0"/>
    <n v="0"/>
    <n v="0"/>
    <n v="0"/>
  </r>
  <r>
    <d v="2016-07-06T00:00:00"/>
    <n v="2016"/>
    <x v="17"/>
    <s v="R"/>
    <s v="RS"/>
    <x v="7"/>
    <s v="WAS"/>
    <s v="H"/>
    <n v="3"/>
    <n v="4"/>
    <n v="-1"/>
    <n v="1"/>
    <n v="-8"/>
    <n v="8"/>
    <n v="1350.0942273784613"/>
    <n v="1507.1853972718679"/>
    <n v="0.37452565718074743"/>
    <n v="77"/>
    <n v="70"/>
    <n v="0"/>
    <n v="7"/>
    <n v="1"/>
    <n v="0.32726512178210421"/>
    <n v="1"/>
    <n v="73.3"/>
    <n v="73.3"/>
    <n v="15.004212180217971"/>
    <n v="1365.0984395586793"/>
    <n v="1"/>
    <n v="0"/>
    <n v="0"/>
    <n v="0"/>
    <n v="0"/>
    <n v="0"/>
    <n v="0"/>
    <n v="0"/>
    <n v="0"/>
    <n v="0"/>
  </r>
  <r>
    <d v="2016-07-07T00:00:00"/>
    <n v="2016"/>
    <x v="18"/>
    <s v="R"/>
    <s v="RS"/>
    <x v="5"/>
    <s v="CON"/>
    <s v="A"/>
    <n v="1"/>
    <n v="4"/>
    <n v="-3"/>
    <n v="3"/>
    <n v="-16"/>
    <n v="16"/>
    <n v="1653.1336850144055"/>
    <n v="1373.1206344957181"/>
    <n v="0.71993415353825685"/>
    <n v="89"/>
    <n v="93"/>
    <n v="1"/>
    <n v="-4"/>
    <n v="0"/>
    <n v="0.22725972151280216"/>
    <n v="1"/>
    <n v="73.150000000000006"/>
    <n v="73.150000000000006"/>
    <n v="-11.968220377854223"/>
    <n v="1641.1654646365512"/>
    <n v="0"/>
    <n v="1"/>
    <n v="0"/>
    <n v="0"/>
    <n v="0"/>
    <n v="0"/>
    <n v="0"/>
    <n v="0"/>
    <n v="0"/>
    <n v="0"/>
  </r>
  <r>
    <d v="2016-07-07T00:00:00"/>
    <n v="2016"/>
    <x v="17"/>
    <s v="R"/>
    <s v="RS"/>
    <x v="0"/>
    <s v="MIN"/>
    <s v="H"/>
    <n v="4"/>
    <n v="1"/>
    <n v="3"/>
    <n v="-3"/>
    <n v="16"/>
    <n v="-16"/>
    <n v="1373.1206344957181"/>
    <n v="1653.1336850144055"/>
    <n v="0.2800658464617431"/>
    <n v="93"/>
    <n v="89"/>
    <n v="1"/>
    <n v="4"/>
    <n v="1"/>
    <n v="0.22725972151280216"/>
    <n v="1"/>
    <n v="73.3"/>
    <n v="73.3"/>
    <n v="11.99276218314032"/>
    <n v="1385.1133966788584"/>
    <n v="1"/>
    <n v="0"/>
    <n v="0"/>
    <n v="0"/>
    <n v="0"/>
    <n v="0"/>
    <n v="0"/>
    <n v="0"/>
    <n v="0"/>
    <n v="0"/>
  </r>
  <r>
    <d v="2016-07-08T00:00:00"/>
    <n v="2016"/>
    <x v="19"/>
    <s v="R"/>
    <s v="RS"/>
    <x v="2"/>
    <s v="ATL"/>
    <s v="A"/>
    <n v="2"/>
    <n v="2"/>
    <n v="0"/>
    <n v="0"/>
    <n v="0"/>
    <n v="0"/>
    <n v="1469.4167373736589"/>
    <n v="1465.2941300566195"/>
    <n v="0.38703060532300132"/>
    <n v="90"/>
    <n v="95"/>
    <n v="1"/>
    <n v="-5"/>
    <n v="0"/>
    <n v="0.29755811519599673"/>
    <n v="1"/>
    <n v="73"/>
    <n v="73"/>
    <n v="-8.4069791133446916"/>
    <n v="1461.0097582603141"/>
    <n v="0"/>
    <n v="1"/>
    <n v="0"/>
    <n v="0"/>
    <n v="0"/>
    <n v="0"/>
    <n v="0"/>
    <n v="0"/>
    <n v="0"/>
    <n v="0"/>
  </r>
  <r>
    <d v="2016-07-08T00:00:00"/>
    <n v="2016"/>
    <x v="18"/>
    <s v="R"/>
    <s v="RS"/>
    <x v="6"/>
    <s v="DAL"/>
    <s v="H"/>
    <n v="2"/>
    <n v="2"/>
    <n v="0"/>
    <n v="0"/>
    <n v="0"/>
    <n v="0"/>
    <n v="1465.2941300566195"/>
    <n v="1469.4167373736589"/>
    <n v="0.61296939467699874"/>
    <n v="95"/>
    <n v="90"/>
    <n v="1"/>
    <n v="5"/>
    <n v="1"/>
    <n v="0.29755811519599673"/>
    <n v="1"/>
    <n v="73.150000000000006"/>
    <n v="73.150000000000006"/>
    <n v="8.4242537279611529"/>
    <n v="1473.7183837845805"/>
    <n v="1"/>
    <n v="0"/>
    <n v="0"/>
    <n v="0"/>
    <n v="0"/>
    <n v="0"/>
    <n v="0"/>
    <n v="0"/>
    <n v="0"/>
    <n v="0"/>
  </r>
  <r>
    <d v="2016-07-08T00:00:00"/>
    <n v="2016"/>
    <x v="19"/>
    <s v="R"/>
    <s v="RS"/>
    <x v="8"/>
    <s v="CHI"/>
    <s v="A"/>
    <n v="1"/>
    <n v="2"/>
    <n v="-1"/>
    <n v="1"/>
    <n v="-8"/>
    <n v="8"/>
    <n v="1596.7988460940528"/>
    <n v="1494.5896923832777"/>
    <n v="0.50317918490694846"/>
    <n v="88"/>
    <n v="85"/>
    <n v="0"/>
    <n v="3"/>
    <n v="1"/>
    <n v="0.26740729346446485"/>
    <n v="1"/>
    <n v="73"/>
    <n v="73"/>
    <n v="9.6983061935614838"/>
    <n v="1606.4971522876142"/>
    <n v="1"/>
    <n v="0"/>
    <n v="0"/>
    <n v="0"/>
    <n v="0"/>
    <n v="0"/>
    <n v="0"/>
    <n v="0"/>
    <n v="0"/>
    <n v="0"/>
  </r>
  <r>
    <d v="2016-07-08T00:00:00"/>
    <n v="2016"/>
    <x v="17"/>
    <s v="R"/>
    <s v="RS"/>
    <x v="1"/>
    <s v="NYL"/>
    <s v="H"/>
    <n v="2"/>
    <n v="1"/>
    <n v="1"/>
    <n v="-1"/>
    <n v="8"/>
    <n v="-8"/>
    <n v="1494.5896923832777"/>
    <n v="1596.7988460940528"/>
    <n v="0.49682081509305154"/>
    <n v="85"/>
    <n v="88"/>
    <n v="0"/>
    <n v="-3"/>
    <n v="0"/>
    <n v="0.26740729346446485"/>
    <n v="1"/>
    <n v="73.3"/>
    <n v="73.3"/>
    <n v="-9.7381622464117381"/>
    <n v="1484.8515301368659"/>
    <n v="0"/>
    <n v="1"/>
    <n v="0"/>
    <n v="0"/>
    <n v="0"/>
    <n v="0"/>
    <n v="0"/>
    <n v="0"/>
    <n v="0"/>
    <n v="0"/>
  </r>
  <r>
    <d v="2016-07-08T00:00:00"/>
    <n v="2016"/>
    <x v="18"/>
    <s v="R"/>
    <s v="RS"/>
    <x v="3"/>
    <s v="PHX"/>
    <s v="A"/>
    <n v="1"/>
    <n v="2"/>
    <n v="-1"/>
    <n v="1"/>
    <n v="-8"/>
    <n v="8"/>
    <n v="1498.2614779002936"/>
    <n v="1512.1040991392379"/>
    <n v="0.34178925972347879"/>
    <n v="78"/>
    <n v="60"/>
    <n v="0"/>
    <n v="18"/>
    <n v="1"/>
    <n v="0.54059785599043708"/>
    <n v="1"/>
    <n v="73.150000000000006"/>
    <n v="73.150000000000006"/>
    <n v="26.028768091033211"/>
    <n v="1524.2902459913269"/>
    <n v="1"/>
    <n v="0"/>
    <n v="0"/>
    <n v="0"/>
    <n v="0"/>
    <n v="0"/>
    <n v="0"/>
    <n v="0"/>
    <n v="0"/>
    <n v="0"/>
  </r>
  <r>
    <d v="2016-07-08T00:00:00"/>
    <n v="2016"/>
    <x v="19"/>
    <s v="R"/>
    <s v="RS"/>
    <x v="4"/>
    <s v="IND"/>
    <s v="H"/>
    <n v="2"/>
    <n v="1"/>
    <n v="1"/>
    <n v="-1"/>
    <n v="8"/>
    <n v="-8"/>
    <n v="1512.1040991392379"/>
    <n v="1498.2614779002936"/>
    <n v="0.65821074027652116"/>
    <n v="60"/>
    <n v="78"/>
    <n v="0"/>
    <n v="-18"/>
    <n v="0"/>
    <n v="0.54059785599043708"/>
    <n v="1"/>
    <n v="73"/>
    <n v="73"/>
    <n v="-25.975393993785701"/>
    <n v="1486.1287051454522"/>
    <n v="0"/>
    <n v="1"/>
    <n v="0"/>
    <n v="0"/>
    <n v="0"/>
    <n v="0"/>
    <n v="0"/>
    <n v="0"/>
    <n v="0"/>
    <n v="0"/>
  </r>
  <r>
    <d v="2016-07-08T00:00:00"/>
    <n v="2016"/>
    <x v="18"/>
    <s v="R"/>
    <s v="RS"/>
    <x v="10"/>
    <s v="SAS"/>
    <s v="A"/>
    <n v="1"/>
    <n v="1"/>
    <n v="0"/>
    <n v="0"/>
    <n v="0"/>
    <n v="0"/>
    <n v="1400.300614173017"/>
    <n v="1365.0984395586793"/>
    <n v="0.43023244101707209"/>
    <n v="78"/>
    <n v="68"/>
    <n v="0"/>
    <n v="10"/>
    <n v="1"/>
    <n v="0.41107087538708009"/>
    <n v="1"/>
    <n v="73.150000000000006"/>
    <n v="73.150000000000006"/>
    <n v="17.132816221779596"/>
    <n v="1417.4334303947967"/>
    <n v="1"/>
    <n v="0"/>
    <n v="0"/>
    <n v="0"/>
    <n v="0"/>
    <n v="0"/>
    <n v="0"/>
    <n v="0"/>
    <n v="0"/>
    <n v="0"/>
  </r>
  <r>
    <d v="2016-07-08T00:00:00"/>
    <n v="2016"/>
    <x v="18"/>
    <s v="R"/>
    <s v="RS"/>
    <x v="7"/>
    <s v="SEA"/>
    <s v="H"/>
    <n v="1"/>
    <n v="1"/>
    <n v="0"/>
    <n v="0"/>
    <n v="0"/>
    <n v="0"/>
    <n v="1365.0984395586793"/>
    <n v="1400.300614173017"/>
    <n v="0.56976755898292786"/>
    <n v="68"/>
    <n v="78"/>
    <n v="0"/>
    <n v="-10"/>
    <n v="0"/>
    <n v="0.41107087538708009"/>
    <n v="1"/>
    <n v="73.150000000000006"/>
    <n v="73.150000000000006"/>
    <n v="-17.132816221779596"/>
    <n v="1347.9656233368996"/>
    <n v="0"/>
    <n v="1"/>
    <n v="0"/>
    <n v="0"/>
    <n v="0"/>
    <n v="0"/>
    <n v="0"/>
    <n v="0"/>
    <n v="0"/>
    <n v="0"/>
  </r>
  <r>
    <d v="2016-07-09T00:00:00"/>
    <n v="2016"/>
    <x v="20"/>
    <s v="R"/>
    <s v="RS"/>
    <x v="2"/>
    <s v="MIN"/>
    <s v="A"/>
    <n v="0"/>
    <n v="1"/>
    <n v="-1"/>
    <n v="1"/>
    <n v="-8"/>
    <n v="8"/>
    <n v="1461.0097582603141"/>
    <n v="1641.1654646365512"/>
    <n v="0.16621327615166476"/>
    <n v="56"/>
    <n v="93"/>
    <n v="0"/>
    <n v="-37"/>
    <n v="0"/>
    <n v="0.68237245702823568"/>
    <n v="1"/>
    <n v="72.849999999999994"/>
    <n v="72.849999999999994"/>
    <n v="-8.2626004953519114"/>
    <n v="1452.7471577649621"/>
    <n v="0"/>
    <n v="1"/>
    <n v="0"/>
    <n v="0"/>
    <n v="0"/>
    <n v="0"/>
    <n v="0"/>
    <n v="0"/>
    <n v="0"/>
    <n v="0"/>
  </r>
  <r>
    <d v="2016-07-09T00:00:00"/>
    <n v="2016"/>
    <x v="19"/>
    <s v="R"/>
    <s v="RS"/>
    <x v="5"/>
    <s v="DAL"/>
    <s v="H"/>
    <n v="1"/>
    <n v="0"/>
    <n v="1"/>
    <n v="-1"/>
    <n v="8"/>
    <n v="-8"/>
    <n v="1641.1654646365512"/>
    <n v="1461.0097582603141"/>
    <n v="0.83378672384833519"/>
    <n v="93"/>
    <n v="56"/>
    <n v="0"/>
    <n v="37"/>
    <n v="1"/>
    <n v="0.68237245702823568"/>
    <n v="1"/>
    <n v="73"/>
    <n v="73"/>
    <n v="8.2796133995976646"/>
    <n v="1649.4450780361487"/>
    <n v="1"/>
    <n v="0"/>
    <n v="0"/>
    <n v="0"/>
    <n v="0"/>
    <n v="0"/>
    <n v="0"/>
    <n v="0"/>
    <n v="0"/>
    <n v="0"/>
  </r>
  <r>
    <d v="2016-07-10T00:00:00"/>
    <n v="2016"/>
    <x v="20"/>
    <s v="R"/>
    <s v="RS"/>
    <x v="4"/>
    <s v="CHI"/>
    <s v="A"/>
    <n v="1"/>
    <n v="1"/>
    <n v="0"/>
    <n v="0"/>
    <n v="0"/>
    <n v="0"/>
    <n v="1486.1287051454522"/>
    <n v="1484.8515301368659"/>
    <n v="0.38315200088709639"/>
    <n v="95"/>
    <n v="100"/>
    <n v="0"/>
    <n v="-5"/>
    <n v="0"/>
    <n v="0.33140325882796512"/>
    <n v="1"/>
    <n v="72.849999999999994"/>
    <n v="72.849999999999994"/>
    <n v="-9.2503343123339903"/>
    <n v="1476.8783708331182"/>
    <n v="0"/>
    <n v="1"/>
    <n v="0"/>
    <n v="0"/>
    <n v="0"/>
    <n v="0"/>
    <n v="0"/>
    <n v="0"/>
    <n v="0"/>
    <n v="0"/>
  </r>
  <r>
    <d v="2016-07-10T00:00:00"/>
    <n v="2016"/>
    <x v="18"/>
    <s v="R"/>
    <s v="RS"/>
    <x v="1"/>
    <s v="PHX"/>
    <s v="H"/>
    <n v="1"/>
    <n v="1"/>
    <n v="0"/>
    <n v="0"/>
    <n v="0"/>
    <n v="0"/>
    <n v="1484.8515301368659"/>
    <n v="1486.1287051454522"/>
    <n v="0.61684799911290367"/>
    <n v="100"/>
    <n v="95"/>
    <n v="0"/>
    <n v="5"/>
    <n v="1"/>
    <n v="0.33140325882796512"/>
    <n v="1"/>
    <n v="73.150000000000006"/>
    <n v="73.150000000000006"/>
    <n v="9.2884276588501216"/>
    <n v="1494.1399577957161"/>
    <n v="1"/>
    <n v="0"/>
    <n v="0"/>
    <n v="0"/>
    <n v="0"/>
    <n v="0"/>
    <n v="0"/>
    <n v="0"/>
    <n v="0"/>
    <n v="0"/>
  </r>
  <r>
    <d v="2016-07-10T00:00:00"/>
    <n v="2016"/>
    <x v="19"/>
    <s v="R"/>
    <s v="RS"/>
    <x v="6"/>
    <s v="CON"/>
    <s v="A"/>
    <n v="1"/>
    <n v="2"/>
    <n v="-1"/>
    <n v="1"/>
    <n v="-8"/>
    <n v="8"/>
    <n v="1473.7183837845805"/>
    <n v="1385.1133966788584"/>
    <n v="0.48360713561074153"/>
    <n v="67"/>
    <n v="63"/>
    <n v="0"/>
    <n v="4"/>
    <n v="1"/>
    <n v="0.29001849723090811"/>
    <n v="1"/>
    <n v="73"/>
    <n v="73"/>
    <n v="10.932734223298391"/>
    <n v="1484.6511180078789"/>
    <n v="1"/>
    <n v="0"/>
    <n v="0"/>
    <n v="0"/>
    <n v="0"/>
    <n v="0"/>
    <n v="0"/>
    <n v="0"/>
    <n v="0"/>
    <n v="0"/>
  </r>
  <r>
    <d v="2016-07-10T00:00:00"/>
    <n v="2016"/>
    <x v="18"/>
    <s v="R"/>
    <s v="RS"/>
    <x v="0"/>
    <s v="ATL"/>
    <s v="H"/>
    <n v="2"/>
    <n v="1"/>
    <n v="1"/>
    <n v="-1"/>
    <n v="8"/>
    <n v="-8"/>
    <n v="1385.1133966788584"/>
    <n v="1473.7183837845805"/>
    <n v="0.51639286438925858"/>
    <n v="63"/>
    <n v="67"/>
    <n v="0"/>
    <n v="-4"/>
    <n v="0"/>
    <n v="0.29001849723090811"/>
    <n v="1"/>
    <n v="73.150000000000006"/>
    <n v="73.150000000000006"/>
    <n v="-10.955198745675036"/>
    <n v="1374.1581979331834"/>
    <n v="0"/>
    <n v="1"/>
    <n v="0"/>
    <n v="0"/>
    <n v="0"/>
    <n v="0"/>
    <n v="0"/>
    <n v="0"/>
    <n v="0"/>
    <n v="0"/>
  </r>
  <r>
    <d v="2016-07-10T00:00:00"/>
    <n v="2016"/>
    <x v="19"/>
    <s v="R"/>
    <s v="RS"/>
    <x v="9"/>
    <s v="LAS"/>
    <s v="A"/>
    <n v="3"/>
    <n v="3"/>
    <n v="0"/>
    <n v="0"/>
    <n v="0"/>
    <n v="0"/>
    <n v="1492.2118894821961"/>
    <n v="1680.249809714988"/>
    <n v="0.1727907802314208"/>
    <n v="82"/>
    <n v="93"/>
    <n v="0"/>
    <n v="-11"/>
    <n v="0"/>
    <n v="0.38025125727158682"/>
    <n v="1"/>
    <n v="73"/>
    <n v="73"/>
    <n v="-4.7963855342393433"/>
    <n v="1487.4155039479567"/>
    <n v="0"/>
    <n v="1"/>
    <n v="0"/>
    <n v="0"/>
    <n v="0"/>
    <n v="0"/>
    <n v="0"/>
    <n v="0"/>
    <n v="0"/>
    <n v="0"/>
  </r>
  <r>
    <d v="2016-07-10T00:00:00"/>
    <n v="2016"/>
    <x v="18"/>
    <s v="R"/>
    <s v="RS"/>
    <x v="11"/>
    <s v="WAS"/>
    <s v="H"/>
    <n v="3"/>
    <n v="3"/>
    <n v="0"/>
    <n v="0"/>
    <n v="0"/>
    <n v="0"/>
    <n v="1680.249809714988"/>
    <n v="1492.2118894821961"/>
    <n v="0.8272092197685792"/>
    <n v="93"/>
    <n v="82"/>
    <n v="0"/>
    <n v="11"/>
    <n v="1"/>
    <n v="0.38025125727158682"/>
    <n v="1"/>
    <n v="73.150000000000006"/>
    <n v="73.150000000000006"/>
    <n v="4.8062411209535343"/>
    <n v="1685.0560508359415"/>
    <n v="1"/>
    <n v="0"/>
    <n v="0"/>
    <n v="0"/>
    <n v="0"/>
    <n v="0"/>
    <n v="0"/>
    <n v="0"/>
    <n v="0"/>
    <n v="0"/>
  </r>
  <r>
    <d v="2016-07-10T00:00:00"/>
    <n v="2016"/>
    <x v="19"/>
    <s v="R"/>
    <s v="RS"/>
    <x v="7"/>
    <s v="NYL"/>
    <s v="A"/>
    <n v="1"/>
    <n v="1"/>
    <n v="0"/>
    <n v="0"/>
    <n v="0"/>
    <n v="0"/>
    <n v="1347.9656233368996"/>
    <n v="1606.4971522876142"/>
    <n v="0.12219890045265611"/>
    <n v="65"/>
    <n v="75"/>
    <n v="0"/>
    <n v="-10"/>
    <n v="0"/>
    <n v="0.34812798291993474"/>
    <n v="1"/>
    <n v="73"/>
    <n v="73"/>
    <n v="-3.1054825412620461"/>
    <n v="1344.8601407956376"/>
    <n v="0"/>
    <n v="1"/>
    <n v="0"/>
    <n v="0"/>
    <n v="0"/>
    <n v="0"/>
    <n v="0"/>
    <n v="0"/>
    <n v="0"/>
    <n v="0"/>
  </r>
  <r>
    <d v="2016-07-10T00:00:00"/>
    <n v="2016"/>
    <x v="20"/>
    <s v="R"/>
    <s v="RS"/>
    <x v="8"/>
    <s v="SAS"/>
    <s v="H"/>
    <n v="1"/>
    <n v="1"/>
    <n v="0"/>
    <n v="0"/>
    <n v="0"/>
    <n v="0"/>
    <n v="1606.4971522876142"/>
    <n v="1347.9656233368996"/>
    <n v="0.87780109954734398"/>
    <n v="75"/>
    <n v="65"/>
    <n v="0"/>
    <n v="10"/>
    <n v="1"/>
    <n v="0.34812798291993474"/>
    <n v="1"/>
    <n v="72.849999999999994"/>
    <n v="72.849999999999994"/>
    <n v="3.0991014127526015"/>
    <n v="1609.5962537003668"/>
    <n v="1"/>
    <n v="0"/>
    <n v="0"/>
    <n v="0"/>
    <n v="0"/>
    <n v="0"/>
    <n v="0"/>
    <n v="0"/>
    <n v="0"/>
    <n v="0"/>
  </r>
  <r>
    <d v="2016-07-10T00:00:00"/>
    <n v="2016"/>
    <x v="19"/>
    <s v="R"/>
    <s v="RS"/>
    <x v="3"/>
    <s v="SEA"/>
    <s v="A"/>
    <n v="1"/>
    <n v="1"/>
    <n v="0"/>
    <n v="0"/>
    <n v="0"/>
    <n v="0"/>
    <n v="1524.2902459913269"/>
    <n v="1417.4334303947967"/>
    <n v="0.53284622977697516"/>
    <n v="93"/>
    <n v="82"/>
    <n v="0"/>
    <n v="11"/>
    <n v="1"/>
    <n v="0.40387222074381246"/>
    <n v="1"/>
    <n v="73"/>
    <n v="73"/>
    <n v="13.772941434443695"/>
    <n v="1538.0631874257706"/>
    <n v="1"/>
    <n v="0"/>
    <n v="0"/>
    <n v="0"/>
    <n v="0"/>
    <n v="0"/>
    <n v="0"/>
    <n v="0"/>
    <n v="0"/>
    <n v="0"/>
  </r>
  <r>
    <d v="2016-07-10T00:00:00"/>
    <n v="2016"/>
    <x v="19"/>
    <s v="R"/>
    <s v="RS"/>
    <x v="10"/>
    <s v="IND"/>
    <s v="H"/>
    <n v="1"/>
    <n v="1"/>
    <n v="0"/>
    <n v="0"/>
    <n v="0"/>
    <n v="0"/>
    <n v="1417.4334303947967"/>
    <n v="1524.2902459913269"/>
    <n v="0.46715377022302484"/>
    <n v="82"/>
    <n v="93"/>
    <n v="0"/>
    <n v="-11"/>
    <n v="0"/>
    <n v="0.40387222074381246"/>
    <n v="1"/>
    <n v="73"/>
    <n v="73"/>
    <n v="-13.772941434443695"/>
    <n v="1403.660488960353"/>
    <n v="0"/>
    <n v="1"/>
    <n v="0"/>
    <n v="0"/>
    <n v="0"/>
    <n v="0"/>
    <n v="0"/>
    <n v="0"/>
    <n v="0"/>
    <n v="0"/>
  </r>
  <r>
    <d v="2016-07-12T00:00:00"/>
    <n v="2016"/>
    <x v="20"/>
    <s v="R"/>
    <s v="RS"/>
    <x v="5"/>
    <s v="SAS"/>
    <s v="A"/>
    <n v="2"/>
    <n v="1"/>
    <n v="1"/>
    <n v="-1"/>
    <n v="8"/>
    <n v="-8"/>
    <n v="1649.4450780361487"/>
    <n v="1344.8601407956376"/>
    <n v="0.7960670859876291"/>
    <n v="81"/>
    <n v="57"/>
    <n v="0"/>
    <n v="24"/>
    <n v="1"/>
    <n v="0.50121272563106667"/>
    <n v="1"/>
    <n v="72.849999999999994"/>
    <n v="72.849999999999994"/>
    <n v="7.4462732667442202"/>
    <n v="1656.8913513028929"/>
    <n v="1"/>
    <n v="0"/>
    <n v="0"/>
    <n v="0"/>
    <n v="0"/>
    <n v="0"/>
    <n v="0"/>
    <n v="0"/>
    <n v="0"/>
    <n v="0"/>
  </r>
  <r>
    <d v="2016-07-12T00:00:00"/>
    <n v="2016"/>
    <x v="20"/>
    <s v="R"/>
    <s v="RS"/>
    <x v="7"/>
    <s v="MIN"/>
    <s v="H"/>
    <n v="1"/>
    <n v="2"/>
    <n v="-1"/>
    <n v="1"/>
    <n v="-8"/>
    <n v="8"/>
    <n v="1344.8601407956376"/>
    <n v="1649.4450780361487"/>
    <n v="0.20393291401237099"/>
    <n v="57"/>
    <n v="81"/>
    <n v="0"/>
    <n v="-24"/>
    <n v="0"/>
    <n v="0.50121272563106667"/>
    <n v="1"/>
    <n v="72.849999999999994"/>
    <n v="72.849999999999994"/>
    <n v="-7.4462732667442237"/>
    <n v="1337.4138675288934"/>
    <n v="0"/>
    <n v="1"/>
    <n v="0"/>
    <n v="0"/>
    <n v="0"/>
    <n v="0"/>
    <n v="0"/>
    <n v="0"/>
    <n v="0"/>
    <n v="0"/>
  </r>
  <r>
    <d v="2016-07-13T00:00:00"/>
    <n v="2016"/>
    <x v="19"/>
    <s v="R"/>
    <s v="RS"/>
    <x v="11"/>
    <s v="CHI"/>
    <s v="A"/>
    <n v="2"/>
    <n v="2"/>
    <n v="0"/>
    <n v="0"/>
    <n v="0"/>
    <n v="0"/>
    <n v="1685.0560508359415"/>
    <n v="1494.1399577957161"/>
    <n v="0.64918495309999291"/>
    <n v="77"/>
    <n v="67"/>
    <n v="0"/>
    <n v="10"/>
    <n v="1"/>
    <n v="0.36505123618844804"/>
    <n v="1"/>
    <n v="73"/>
    <n v="73"/>
    <n v="9.3487790577379855"/>
    <n v="1694.4048298936796"/>
    <n v="1"/>
    <n v="0"/>
    <n v="0"/>
    <n v="0"/>
    <n v="0"/>
    <n v="0"/>
    <n v="0"/>
    <n v="0"/>
    <n v="0"/>
    <n v="0"/>
  </r>
  <r>
    <d v="2016-07-13T00:00:00"/>
    <n v="2016"/>
    <x v="19"/>
    <s v="R"/>
    <s v="RS"/>
    <x v="1"/>
    <s v="LAS"/>
    <s v="H"/>
    <n v="2"/>
    <n v="2"/>
    <n v="0"/>
    <n v="0"/>
    <n v="0"/>
    <n v="0"/>
    <n v="1494.1399577957161"/>
    <n v="1685.0560508359415"/>
    <n v="0.35081504690000709"/>
    <n v="67"/>
    <n v="77"/>
    <n v="0"/>
    <n v="-10"/>
    <n v="0"/>
    <n v="0.36505123618844804"/>
    <n v="1"/>
    <n v="73"/>
    <n v="73"/>
    <n v="-9.3487790577379855"/>
    <n v="1484.791178737978"/>
    <n v="0"/>
    <n v="1"/>
    <n v="0"/>
    <n v="0"/>
    <n v="0"/>
    <n v="0"/>
    <n v="0"/>
    <n v="0"/>
    <n v="0"/>
    <n v="0"/>
  </r>
  <r>
    <d v="2016-07-13T00:00:00"/>
    <n v="2016"/>
    <x v="19"/>
    <s v="R"/>
    <s v="RS"/>
    <x v="0"/>
    <s v="IND"/>
    <s v="A"/>
    <n v="2"/>
    <n v="2"/>
    <n v="0"/>
    <n v="0"/>
    <n v="0"/>
    <n v="0"/>
    <n v="1374.1581979331834"/>
    <n v="1538.0631874257706"/>
    <n v="0.19355783406110463"/>
    <n v="86"/>
    <n v="64"/>
    <n v="0"/>
    <n v="22"/>
    <n v="1"/>
    <n v="0.52970508294202134"/>
    <n v="1"/>
    <n v="73"/>
    <n v="73"/>
    <n v="31.183885550952233"/>
    <n v="1405.3420834841356"/>
    <n v="1"/>
    <n v="0"/>
    <n v="0"/>
    <n v="0"/>
    <n v="0"/>
    <n v="0"/>
    <n v="0"/>
    <n v="0"/>
    <n v="0"/>
    <n v="0"/>
  </r>
  <r>
    <d v="2016-07-13T00:00:00"/>
    <n v="2016"/>
    <x v="20"/>
    <s v="R"/>
    <s v="RS"/>
    <x v="3"/>
    <s v="CON"/>
    <s v="H"/>
    <n v="2"/>
    <n v="2"/>
    <n v="0"/>
    <n v="0"/>
    <n v="0"/>
    <n v="0"/>
    <n v="1538.0631874257706"/>
    <n v="1374.1581979331834"/>
    <n v="0.80644216593889528"/>
    <n v="64"/>
    <n v="86"/>
    <n v="0"/>
    <n v="-22"/>
    <n v="0"/>
    <n v="0.52970508294202134"/>
    <n v="1"/>
    <n v="72.849999999999994"/>
    <n v="72.849999999999994"/>
    <n v="-31.119809073792734"/>
    <n v="1506.9433783519778"/>
    <n v="0"/>
    <n v="1"/>
    <n v="0"/>
    <n v="0"/>
    <n v="0"/>
    <n v="0"/>
    <n v="0"/>
    <n v="0"/>
    <n v="0"/>
    <n v="0"/>
  </r>
  <r>
    <d v="2016-07-13T00:00:00"/>
    <n v="2016"/>
    <x v="20"/>
    <s v="R"/>
    <s v="RS"/>
    <x v="6"/>
    <s v="NYL"/>
    <s v="A"/>
    <n v="2"/>
    <n v="2"/>
    <n v="0"/>
    <n v="0"/>
    <n v="0"/>
    <n v="0"/>
    <n v="1484.6511180078789"/>
    <n v="1609.5962537003668"/>
    <n v="0.23098017115106925"/>
    <n v="62"/>
    <n v="86"/>
    <n v="0"/>
    <n v="-24"/>
    <n v="0"/>
    <n v="0.56916856179378461"/>
    <n v="1"/>
    <n v="72.849999999999994"/>
    <n v="72.849999999999994"/>
    <n v="-9.57734558486381"/>
    <n v="1475.073772423015"/>
    <n v="0"/>
    <n v="1"/>
    <n v="0"/>
    <n v="0"/>
    <n v="0"/>
    <n v="0"/>
    <n v="0"/>
    <n v="0"/>
    <n v="0"/>
    <n v="0"/>
  </r>
  <r>
    <d v="2016-07-13T00:00:00"/>
    <n v="2016"/>
    <x v="21"/>
    <s v="R"/>
    <s v="RS"/>
    <x v="8"/>
    <s v="ATL"/>
    <s v="H"/>
    <n v="2"/>
    <n v="2"/>
    <n v="0"/>
    <n v="0"/>
    <n v="0"/>
    <n v="0"/>
    <n v="1609.5962537003668"/>
    <n v="1484.6511180078789"/>
    <n v="0.76901982884893072"/>
    <n v="86"/>
    <n v="62"/>
    <n v="0"/>
    <n v="24"/>
    <n v="1"/>
    <n v="0.56916856179378461"/>
    <n v="1"/>
    <n v="72.7"/>
    <n v="72.7"/>
    <n v="9.5576255870912714"/>
    <n v="1619.153879287458"/>
    <n v="1"/>
    <n v="0"/>
    <n v="0"/>
    <n v="0"/>
    <n v="0"/>
    <n v="0"/>
    <n v="0"/>
    <n v="0"/>
    <n v="0"/>
    <n v="0"/>
  </r>
  <r>
    <d v="2016-07-13T00:00:00"/>
    <n v="2016"/>
    <x v="20"/>
    <s v="R"/>
    <s v="RS"/>
    <x v="9"/>
    <s v="PHX"/>
    <s v="A"/>
    <n v="2"/>
    <n v="2"/>
    <n v="0"/>
    <n v="0"/>
    <n v="0"/>
    <n v="0"/>
    <n v="1487.4155039479567"/>
    <n v="1476.8783708331182"/>
    <n v="0.3958263012590057"/>
    <n v="74"/>
    <n v="78"/>
    <n v="0"/>
    <n v="-4"/>
    <n v="0"/>
    <n v="0.30872186541113072"/>
    <n v="1"/>
    <n v="72.849999999999994"/>
    <n v="72.849999999999994"/>
    <n v="-8.9022870544376751"/>
    <n v="1478.513216893519"/>
    <n v="0"/>
    <n v="1"/>
    <n v="0"/>
    <n v="0"/>
    <n v="0"/>
    <n v="0"/>
    <n v="0"/>
    <n v="0"/>
    <n v="0"/>
    <n v="0"/>
  </r>
  <r>
    <d v="2016-07-13T00:00:00"/>
    <n v="2016"/>
    <x v="21"/>
    <s v="R"/>
    <s v="RS"/>
    <x v="4"/>
    <s v="WAS"/>
    <s v="H"/>
    <n v="2"/>
    <n v="2"/>
    <n v="0"/>
    <n v="0"/>
    <n v="0"/>
    <n v="0"/>
    <n v="1476.8783708331182"/>
    <n v="1487.4155039479567"/>
    <n v="0.60417369874099425"/>
    <n v="78"/>
    <n v="74"/>
    <n v="0"/>
    <n v="4"/>
    <n v="1"/>
    <n v="0.30872186541113072"/>
    <n v="1"/>
    <n v="72.7"/>
    <n v="72.7"/>
    <n v="8.8839570193221569"/>
    <n v="1485.7623278524404"/>
    <n v="1"/>
    <n v="0"/>
    <n v="0"/>
    <n v="0"/>
    <n v="0"/>
    <n v="0"/>
    <n v="0"/>
    <n v="0"/>
    <n v="0"/>
    <n v="0"/>
  </r>
  <r>
    <d v="2016-07-15T00:00:00"/>
    <n v="2016"/>
    <x v="21"/>
    <s v="R"/>
    <s v="RS"/>
    <x v="2"/>
    <s v="CHI"/>
    <s v="A"/>
    <n v="5"/>
    <n v="1"/>
    <n v="4"/>
    <n v="-4"/>
    <n v="16"/>
    <n v="-16"/>
    <n v="1452.7471577649621"/>
    <n v="1484.791178737978"/>
    <n v="0.3813560918667433"/>
    <n v="77"/>
    <n v="84"/>
    <n v="0"/>
    <n v="-7"/>
    <n v="0"/>
    <n v="0.36048111871346139"/>
    <n v="1"/>
    <n v="72.7"/>
    <n v="72.7"/>
    <n v="-9.9941904543878586"/>
    <n v="1442.7529673105744"/>
    <n v="0"/>
    <n v="1"/>
    <n v="0"/>
    <n v="0"/>
    <n v="0"/>
    <n v="0"/>
    <n v="0"/>
    <n v="0"/>
    <n v="0"/>
    <n v="0"/>
  </r>
  <r>
    <d v="2016-07-15T00:00:00"/>
    <n v="2016"/>
    <x v="20"/>
    <s v="R"/>
    <s v="RS"/>
    <x v="1"/>
    <s v="DAL"/>
    <s v="H"/>
    <n v="1"/>
    <n v="5"/>
    <n v="-4"/>
    <n v="4"/>
    <n v="-16"/>
    <n v="16"/>
    <n v="1484.791178737978"/>
    <n v="1452.7471577649621"/>
    <n v="0.61864390813325665"/>
    <n v="84"/>
    <n v="77"/>
    <n v="0"/>
    <n v="7"/>
    <n v="1"/>
    <n v="0.36048111871346139"/>
    <n v="1"/>
    <n v="72.849999999999994"/>
    <n v="72.849999999999994"/>
    <n v="10.014811204981507"/>
    <n v="1494.8059899429595"/>
    <n v="1"/>
    <n v="0"/>
    <n v="0"/>
    <n v="0"/>
    <n v="0"/>
    <n v="0"/>
    <n v="0"/>
    <n v="0"/>
    <n v="0"/>
    <n v="0"/>
  </r>
  <r>
    <d v="2016-07-15T00:00:00"/>
    <n v="2016"/>
    <x v="20"/>
    <s v="R"/>
    <s v="RS"/>
    <x v="11"/>
    <s v="CON"/>
    <s v="A"/>
    <n v="1"/>
    <n v="1"/>
    <n v="0"/>
    <n v="0"/>
    <n v="0"/>
    <n v="0"/>
    <n v="1694.4048298936796"/>
    <n v="1405.3420834841356"/>
    <n v="0.76502619900925639"/>
    <n v="98"/>
    <n v="92"/>
    <n v="1"/>
    <n v="6"/>
    <n v="1"/>
    <n v="0.2547798760616683"/>
    <n v="1"/>
    <n v="72.849999999999994"/>
    <n v="72.849999999999994"/>
    <n v="4.3612815108896115"/>
    <n v="1698.7661114045691"/>
    <n v="1"/>
    <n v="0"/>
    <n v="0"/>
    <n v="0"/>
    <n v="0"/>
    <n v="0"/>
    <n v="0"/>
    <n v="0"/>
    <n v="0"/>
    <n v="0"/>
  </r>
  <r>
    <d v="2016-07-15T00:00:00"/>
    <n v="2016"/>
    <x v="20"/>
    <s v="R"/>
    <s v="RS"/>
    <x v="0"/>
    <s v="LAS"/>
    <s v="H"/>
    <n v="1"/>
    <n v="1"/>
    <n v="0"/>
    <n v="0"/>
    <n v="0"/>
    <n v="0"/>
    <n v="1405.3420834841356"/>
    <n v="1694.4048298936796"/>
    <n v="0.23497380099074364"/>
    <n v="92"/>
    <n v="98"/>
    <n v="1"/>
    <n v="-6"/>
    <n v="0"/>
    <n v="0.2547798760616683"/>
    <n v="1"/>
    <n v="72.849999999999994"/>
    <n v="72.849999999999994"/>
    <n v="-4.3612815108896115"/>
    <n v="1400.9808019732461"/>
    <n v="0"/>
    <n v="1"/>
    <n v="0"/>
    <n v="0"/>
    <n v="0"/>
    <n v="0"/>
    <n v="0"/>
    <n v="0"/>
    <n v="0"/>
    <n v="0"/>
  </r>
  <r>
    <d v="2016-07-15T00:00:00"/>
    <n v="2016"/>
    <x v="21"/>
    <s v="R"/>
    <s v="RS"/>
    <x v="6"/>
    <s v="IND"/>
    <s v="A"/>
    <n v="1"/>
    <n v="1"/>
    <n v="0"/>
    <n v="0"/>
    <n v="0"/>
    <n v="0"/>
    <n v="1475.073772423015"/>
    <n v="1506.9433783519778"/>
    <n v="0.33916912492067947"/>
    <n v="72"/>
    <n v="78"/>
    <n v="0"/>
    <n v="-6"/>
    <n v="0"/>
    <n v="0.34219280293980919"/>
    <n v="1"/>
    <n v="72.7"/>
    <n v="72.7"/>
    <n v="-8.4376516774310453"/>
    <n v="1466.6361207455841"/>
    <n v="0"/>
    <n v="1"/>
    <n v="0"/>
    <n v="0"/>
    <n v="0"/>
    <n v="0"/>
    <n v="0"/>
    <n v="0"/>
    <n v="0"/>
    <n v="0"/>
  </r>
  <r>
    <d v="2016-07-15T00:00:00"/>
    <n v="2016"/>
    <x v="21"/>
    <s v="R"/>
    <s v="RS"/>
    <x v="3"/>
    <s v="ATL"/>
    <s v="H"/>
    <n v="1"/>
    <n v="1"/>
    <n v="0"/>
    <n v="0"/>
    <n v="0"/>
    <n v="0"/>
    <n v="1506.9433783519778"/>
    <n v="1475.073772423015"/>
    <n v="0.66083087507932059"/>
    <n v="78"/>
    <n v="72"/>
    <n v="0"/>
    <n v="6"/>
    <n v="1"/>
    <n v="0.34219280293980919"/>
    <n v="1"/>
    <n v="72.7"/>
    <n v="72.7"/>
    <n v="8.4376516774310435"/>
    <n v="1515.3810300294087"/>
    <n v="1"/>
    <n v="0"/>
    <n v="0"/>
    <n v="0"/>
    <n v="0"/>
    <n v="0"/>
    <n v="0"/>
    <n v="0"/>
    <n v="0"/>
    <n v="0"/>
  </r>
  <r>
    <d v="2016-07-15T00:00:00"/>
    <n v="2016"/>
    <x v="22"/>
    <s v="R"/>
    <s v="RS"/>
    <x v="8"/>
    <s v="MIN"/>
    <s v="A"/>
    <n v="1"/>
    <n v="2"/>
    <n v="-1"/>
    <n v="1"/>
    <n v="-8"/>
    <n v="8"/>
    <n v="1619.153879287458"/>
    <n v="1656.8913513028929"/>
    <n v="0.31155047838608663"/>
    <n v="70"/>
    <n v="88"/>
    <n v="0"/>
    <n v="-18"/>
    <n v="0"/>
    <n v="0.53016147073828146"/>
    <n v="1"/>
    <n v="72.55"/>
    <n v="72.55"/>
    <n v="-11.983232940694275"/>
    <n v="1607.1706463467638"/>
    <n v="0"/>
    <n v="1"/>
    <n v="0"/>
    <n v="0"/>
    <n v="0"/>
    <n v="0"/>
    <n v="0"/>
    <n v="0"/>
    <n v="0"/>
    <n v="0"/>
  </r>
  <r>
    <d v="2016-07-15T00:00:00"/>
    <n v="2016"/>
    <x v="21"/>
    <s v="R"/>
    <s v="RS"/>
    <x v="5"/>
    <s v="NYL"/>
    <s v="H"/>
    <n v="2"/>
    <n v="1"/>
    <n v="1"/>
    <n v="-1"/>
    <n v="8"/>
    <n v="-8"/>
    <n v="1656.8913513028929"/>
    <n v="1619.153879287458"/>
    <n v="0.68844952161391337"/>
    <n v="88"/>
    <n v="70"/>
    <n v="0"/>
    <n v="18"/>
    <n v="1"/>
    <n v="0.53016147073828146"/>
    <n v="1"/>
    <n v="72.7"/>
    <n v="72.7"/>
    <n v="12.008008749668836"/>
    <n v="1668.8993600525616"/>
    <n v="1"/>
    <n v="0"/>
    <n v="0"/>
    <n v="0"/>
    <n v="0"/>
    <n v="0"/>
    <n v="0"/>
    <n v="0"/>
    <n v="0"/>
    <n v="0"/>
  </r>
  <r>
    <d v="2016-07-15T00:00:00"/>
    <n v="2016"/>
    <x v="21"/>
    <s v="R"/>
    <s v="RS"/>
    <x v="9"/>
    <s v="SEA"/>
    <s v="A"/>
    <n v="1"/>
    <n v="4"/>
    <n v="-3"/>
    <n v="3"/>
    <n v="-16"/>
    <n v="16"/>
    <n v="1478.513216893519"/>
    <n v="1403.660488960353"/>
    <n v="0.44105962381558683"/>
    <n v="51"/>
    <n v="80"/>
    <n v="0"/>
    <n v="-29"/>
    <n v="0"/>
    <n v="0.65076971310887188"/>
    <n v="1"/>
    <n v="72.7"/>
    <n v="72.7"/>
    <n v="-20.866953400913165"/>
    <n v="1457.6462634926058"/>
    <n v="0"/>
    <n v="1"/>
    <n v="0"/>
    <n v="0"/>
    <n v="0"/>
    <n v="0"/>
    <n v="0"/>
    <n v="0"/>
    <n v="0"/>
    <n v="0"/>
  </r>
  <r>
    <d v="2016-07-15T00:00:00"/>
    <n v="2016"/>
    <x v="20"/>
    <s v="R"/>
    <s v="RS"/>
    <x v="10"/>
    <s v="WAS"/>
    <s v="H"/>
    <n v="4"/>
    <n v="1"/>
    <n v="3"/>
    <n v="-3"/>
    <n v="16"/>
    <n v="-16"/>
    <n v="1403.660488960353"/>
    <n v="1478.513216893519"/>
    <n v="0.55894037618441317"/>
    <n v="80"/>
    <n v="51"/>
    <n v="0"/>
    <n v="29"/>
    <n v="1"/>
    <n v="0.65076971310887188"/>
    <n v="1"/>
    <n v="72.849999999999994"/>
    <n v="72.849999999999994"/>
    <n v="20.910007637641318"/>
    <n v="1424.5704965979942"/>
    <n v="1"/>
    <n v="0"/>
    <n v="0"/>
    <n v="0"/>
    <n v="0"/>
    <n v="0"/>
    <n v="0"/>
    <n v="0"/>
    <n v="0"/>
    <n v="0"/>
  </r>
  <r>
    <d v="2016-07-16T00:00:00"/>
    <n v="2016"/>
    <x v="21"/>
    <s v="R"/>
    <s v="RS"/>
    <x v="7"/>
    <s v="PHX"/>
    <s v="A"/>
    <n v="3"/>
    <n v="2"/>
    <n v="1"/>
    <n v="-1"/>
    <n v="8"/>
    <n v="-8"/>
    <n v="1337.4138675288934"/>
    <n v="1485.7623278524404"/>
    <n v="0.22349711555456145"/>
    <n v="64"/>
    <n v="83"/>
    <n v="0"/>
    <n v="-19"/>
    <n v="0"/>
    <n v="0.49925750432954585"/>
    <n v="1"/>
    <n v="72.7"/>
    <n v="72.7"/>
    <n v="-8.1120559023324557"/>
    <n v="1329.3018116265609"/>
    <n v="0"/>
    <n v="1"/>
    <n v="0"/>
    <n v="0"/>
    <n v="0"/>
    <n v="0"/>
    <n v="0"/>
    <n v="0"/>
    <n v="0"/>
    <n v="0"/>
  </r>
  <r>
    <d v="2016-07-16T00:00:00"/>
    <n v="2016"/>
    <x v="22"/>
    <s v="R"/>
    <s v="RS"/>
    <x v="4"/>
    <s v="SAS"/>
    <s v="H"/>
    <n v="2"/>
    <n v="3"/>
    <n v="-1"/>
    <n v="1"/>
    <n v="-8"/>
    <n v="8"/>
    <n v="1485.7623278524404"/>
    <n v="1337.4138675288934"/>
    <n v="0.77650288444543847"/>
    <n v="83"/>
    <n v="64"/>
    <n v="0"/>
    <n v="19"/>
    <n v="1"/>
    <n v="0.49925750432954585"/>
    <n v="1"/>
    <n v="72.55"/>
    <n v="72.55"/>
    <n v="8.095318510511964"/>
    <n v="1493.8576463629524"/>
    <n v="1"/>
    <n v="0"/>
    <n v="0"/>
    <n v="0"/>
    <n v="0"/>
    <n v="0"/>
    <n v="0"/>
    <n v="0"/>
    <n v="0"/>
    <n v="0"/>
  </r>
  <r>
    <d v="2016-07-17T00:00:00"/>
    <n v="2016"/>
    <x v="21"/>
    <s v="R"/>
    <s v="RS"/>
    <x v="11"/>
    <s v="ATL"/>
    <s v="A"/>
    <n v="1"/>
    <n v="1"/>
    <n v="0"/>
    <n v="0"/>
    <n v="0"/>
    <n v="0"/>
    <n v="1698.7661114045691"/>
    <n v="1466.6361207455841"/>
    <n v="0.70113422189451946"/>
    <n v="74"/>
    <n v="91"/>
    <n v="0"/>
    <n v="-17"/>
    <n v="0"/>
    <n v="0.44614000619063721"/>
    <n v="1"/>
    <n v="72.7"/>
    <n v="72.7"/>
    <n v="-22.740852697214716"/>
    <n v="1676.0252587073544"/>
    <n v="0"/>
    <n v="1"/>
    <n v="0"/>
    <n v="0"/>
    <n v="0"/>
    <n v="0"/>
    <n v="0"/>
    <n v="0"/>
    <n v="0"/>
    <n v="0"/>
  </r>
  <r>
    <d v="2016-07-17T00:00:00"/>
    <n v="2016"/>
    <x v="22"/>
    <s v="R"/>
    <s v="RS"/>
    <x v="6"/>
    <s v="LAS"/>
    <s v="H"/>
    <n v="1"/>
    <n v="1"/>
    <n v="0"/>
    <n v="0"/>
    <n v="0"/>
    <n v="0"/>
    <n v="1466.6361207455841"/>
    <n v="1698.7661114045691"/>
    <n v="0.2988657781054806"/>
    <n v="91"/>
    <n v="74"/>
    <n v="0"/>
    <n v="17"/>
    <n v="1"/>
    <n v="0.44614000619063721"/>
    <n v="1"/>
    <n v="72.55"/>
    <n v="72.55"/>
    <n v="22.693932093300234"/>
    <n v="1489.3300528388843"/>
    <n v="1"/>
    <n v="0"/>
    <n v="0"/>
    <n v="0"/>
    <n v="0"/>
    <n v="0"/>
    <n v="0"/>
    <n v="0"/>
    <n v="0"/>
    <n v="0"/>
  </r>
  <r>
    <d v="2016-07-17T00:00:00"/>
    <n v="2016"/>
    <x v="22"/>
    <s v="R"/>
    <s v="RS"/>
    <x v="5"/>
    <s v="DAL"/>
    <s v="A"/>
    <n v="1"/>
    <n v="1"/>
    <n v="0"/>
    <n v="0"/>
    <n v="0"/>
    <n v="0"/>
    <n v="1668.8993600525616"/>
    <n v="1442.7529673105744"/>
    <n v="0.69386694921847447"/>
    <n v="98"/>
    <n v="97"/>
    <n v="1"/>
    <n v="1"/>
    <n v="1"/>
    <n v="0.18491372693898966"/>
    <n v="1"/>
    <n v="72.55"/>
    <n v="72.55"/>
    <n v="4.1069251537110381"/>
    <n v="1673.0062852062727"/>
    <n v="1"/>
    <n v="0"/>
    <n v="0"/>
    <n v="0"/>
    <n v="0"/>
    <n v="0"/>
    <n v="0"/>
    <n v="0"/>
    <n v="0"/>
    <n v="0"/>
  </r>
  <r>
    <d v="2016-07-17T00:00:00"/>
    <n v="2016"/>
    <x v="22"/>
    <s v="R"/>
    <s v="RS"/>
    <x v="2"/>
    <s v="MIN"/>
    <s v="H"/>
    <n v="1"/>
    <n v="1"/>
    <n v="0"/>
    <n v="0"/>
    <n v="0"/>
    <n v="0"/>
    <n v="1442.7529673105744"/>
    <n v="1668.8993600525616"/>
    <n v="0.30613305078152547"/>
    <n v="97"/>
    <n v="98"/>
    <n v="1"/>
    <n v="-1"/>
    <n v="0"/>
    <n v="0.18491372693898966"/>
    <n v="1"/>
    <n v="72.55"/>
    <n v="72.55"/>
    <n v="-4.1069251537110381"/>
    <n v="1438.6460421568634"/>
    <n v="0"/>
    <n v="1"/>
    <n v="0"/>
    <n v="0"/>
    <n v="0"/>
    <n v="0"/>
    <n v="0"/>
    <n v="0"/>
    <n v="0"/>
    <n v="0"/>
  </r>
  <r>
    <d v="2016-07-17T00:00:00"/>
    <n v="2016"/>
    <x v="21"/>
    <s v="R"/>
    <s v="RS"/>
    <x v="0"/>
    <s v="NYL"/>
    <s v="A"/>
    <n v="1"/>
    <n v="1"/>
    <n v="0"/>
    <n v="0"/>
    <n v="0"/>
    <n v="0"/>
    <n v="1400.9808019732461"/>
    <n v="1607.1706463467638"/>
    <n v="0.15836192229088425"/>
    <n v="76"/>
    <n v="83"/>
    <n v="0"/>
    <n v="-7"/>
    <n v="0"/>
    <n v="0.31583829790951956"/>
    <n v="1"/>
    <n v="72.7"/>
    <n v="72.7"/>
    <n v="-3.6362184512753619"/>
    <n v="1397.3445835219707"/>
    <n v="0"/>
    <n v="1"/>
    <n v="0"/>
    <n v="0"/>
    <n v="0"/>
    <n v="0"/>
    <n v="0"/>
    <n v="0"/>
    <n v="0"/>
    <n v="0"/>
  </r>
  <r>
    <d v="2016-07-17T00:00:00"/>
    <n v="2016"/>
    <x v="23"/>
    <s v="R"/>
    <s v="RS"/>
    <x v="8"/>
    <s v="CON"/>
    <s v="H"/>
    <n v="1"/>
    <n v="1"/>
    <n v="0"/>
    <n v="0"/>
    <n v="0"/>
    <n v="0"/>
    <n v="1607.1706463467638"/>
    <n v="1400.9808019732461"/>
    <n v="0.8416380777091157"/>
    <n v="83"/>
    <n v="76"/>
    <n v="0"/>
    <n v="7"/>
    <n v="1"/>
    <n v="0.31583829790951956"/>
    <n v="1"/>
    <n v="72.400000000000006"/>
    <n v="72.400000000000006"/>
    <n v="3.6212134232783537"/>
    <n v="1610.791859770042"/>
    <n v="1"/>
    <n v="0"/>
    <n v="0"/>
    <n v="0"/>
    <n v="0"/>
    <n v="0"/>
    <n v="0"/>
    <n v="0"/>
    <n v="0"/>
    <n v="0"/>
  </r>
  <r>
    <d v="2016-07-17T00:00:00"/>
    <n v="2016"/>
    <x v="21"/>
    <s v="R"/>
    <s v="RS"/>
    <x v="1"/>
    <s v="SEA"/>
    <s v="A"/>
    <n v="1"/>
    <n v="1"/>
    <n v="0"/>
    <n v="0"/>
    <n v="0"/>
    <n v="0"/>
    <n v="1494.8059899429595"/>
    <n v="1424.5704965979942"/>
    <n v="0.48020163963234097"/>
    <n v="91"/>
    <n v="88"/>
    <n v="0"/>
    <n v="3"/>
    <n v="1"/>
    <n v="0.27413832091990004"/>
    <n v="1"/>
    <n v="72.7"/>
    <n v="72.7"/>
    <n v="10.35950643523339"/>
    <n v="1505.165496378193"/>
    <n v="1"/>
    <n v="0"/>
    <n v="0"/>
    <n v="0"/>
    <n v="0"/>
    <n v="0"/>
    <n v="0"/>
    <n v="0"/>
    <n v="0"/>
    <n v="0"/>
  </r>
  <r>
    <d v="2016-07-17T00:00:00"/>
    <n v="2016"/>
    <x v="21"/>
    <s v="R"/>
    <s v="RS"/>
    <x v="10"/>
    <s v="CHI"/>
    <s v="H"/>
    <n v="1"/>
    <n v="1"/>
    <n v="0"/>
    <n v="0"/>
    <n v="0"/>
    <n v="0"/>
    <n v="1424.5704965979942"/>
    <n v="1494.8059899429595"/>
    <n v="0.51979836036765903"/>
    <n v="88"/>
    <n v="91"/>
    <n v="0"/>
    <n v="-3"/>
    <n v="0"/>
    <n v="0.27413832091990004"/>
    <n v="1"/>
    <n v="72.7"/>
    <n v="72.7"/>
    <n v="-10.35950643523339"/>
    <n v="1414.2109901627607"/>
    <n v="0"/>
    <n v="1"/>
    <n v="0"/>
    <n v="0"/>
    <n v="0"/>
    <n v="0"/>
    <n v="0"/>
    <n v="0"/>
    <n v="0"/>
    <n v="0"/>
  </r>
  <r>
    <d v="2016-07-19T00:00:00"/>
    <n v="2016"/>
    <x v="22"/>
    <s v="R"/>
    <s v="RS"/>
    <x v="11"/>
    <s v="IND"/>
    <s v="A"/>
    <n v="1"/>
    <n v="3"/>
    <n v="-2"/>
    <n v="2"/>
    <n v="-16"/>
    <n v="16"/>
    <n v="1676.0252587073544"/>
    <n v="1515.3810300294087"/>
    <n v="0.56389692176872497"/>
    <n v="82"/>
    <n v="92"/>
    <n v="0"/>
    <n v="-10"/>
    <n v="0"/>
    <n v="0.3731729635836516"/>
    <n v="1"/>
    <n v="72.55"/>
    <n v="72.55"/>
    <n v="-15.266775249552294"/>
    <n v="1660.7584834578022"/>
    <n v="0"/>
    <n v="1"/>
    <n v="0"/>
    <n v="0"/>
    <n v="0"/>
    <n v="0"/>
    <n v="0"/>
    <n v="0"/>
    <n v="0"/>
    <n v="0"/>
  </r>
  <r>
    <d v="2016-07-19T00:00:00"/>
    <n v="2016"/>
    <x v="22"/>
    <s v="R"/>
    <s v="RS"/>
    <x v="3"/>
    <s v="LAS"/>
    <s v="H"/>
    <n v="3"/>
    <n v="1"/>
    <n v="2"/>
    <n v="-2"/>
    <n v="16"/>
    <n v="-16"/>
    <n v="1515.3810300294087"/>
    <n v="1676.0252587073544"/>
    <n v="0.43610307823127509"/>
    <n v="92"/>
    <n v="82"/>
    <n v="0"/>
    <n v="10"/>
    <n v="1"/>
    <n v="0.3731729635836516"/>
    <n v="1"/>
    <n v="72.55"/>
    <n v="72.55"/>
    <n v="15.266775249552291"/>
    <n v="1530.647805278961"/>
    <n v="1"/>
    <n v="0"/>
    <n v="0"/>
    <n v="0"/>
    <n v="0"/>
    <n v="0"/>
    <n v="0"/>
    <n v="0"/>
    <n v="0"/>
    <n v="0"/>
  </r>
  <r>
    <d v="2016-07-19T00:00:00"/>
    <n v="2016"/>
    <x v="22"/>
    <s v="R"/>
    <s v="RS"/>
    <x v="1"/>
    <s v="PHX"/>
    <s v="A"/>
    <n v="1"/>
    <n v="2"/>
    <n v="-1"/>
    <n v="1"/>
    <n v="-8"/>
    <n v="8"/>
    <n v="1505.165496378193"/>
    <n v="1493.8576463629524"/>
    <n v="0.37506388523437884"/>
    <n v="79"/>
    <n v="77"/>
    <n v="0"/>
    <n v="2"/>
    <n v="1"/>
    <n v="0.26534095768268978"/>
    <n v="1"/>
    <n v="72.55"/>
    <n v="72.55"/>
    <n v="12.03032422808379"/>
    <n v="1517.1958206062768"/>
    <n v="1"/>
    <n v="0"/>
    <n v="0"/>
    <n v="0"/>
    <n v="0"/>
    <n v="0"/>
    <n v="0"/>
    <n v="0"/>
    <n v="0"/>
    <n v="0"/>
  </r>
  <r>
    <d v="2016-07-19T00:00:00"/>
    <n v="2016"/>
    <x v="23"/>
    <s v="R"/>
    <s v="RS"/>
    <x v="4"/>
    <s v="CHI"/>
    <s v="H"/>
    <n v="2"/>
    <n v="1"/>
    <n v="1"/>
    <n v="-1"/>
    <n v="8"/>
    <n v="-8"/>
    <n v="1493.8576463629524"/>
    <n v="1505.165496378193"/>
    <n v="0.62493611476562116"/>
    <n v="77"/>
    <n v="79"/>
    <n v="0"/>
    <n v="-2"/>
    <n v="0"/>
    <n v="0.26534095768268978"/>
    <n v="1"/>
    <n v="72.400000000000006"/>
    <n v="72.400000000000006"/>
    <n v="-12.00545105600643"/>
    <n v="1481.852195306946"/>
    <n v="0"/>
    <n v="1"/>
    <n v="0"/>
    <n v="0"/>
    <n v="0"/>
    <n v="0"/>
    <n v="0"/>
    <n v="0"/>
    <n v="0"/>
    <n v="0"/>
  </r>
  <r>
    <d v="2016-07-20T00:00:00"/>
    <n v="2016"/>
    <x v="22"/>
    <s v="R"/>
    <s v="RS"/>
    <x v="0"/>
    <s v="DAL"/>
    <s v="A"/>
    <n v="2"/>
    <n v="2"/>
    <n v="0"/>
    <n v="0"/>
    <n v="0"/>
    <n v="0"/>
    <n v="1397.3445835219707"/>
    <n v="1438.6460421568634"/>
    <n v="0.3271082801382858"/>
    <n v="89"/>
    <n v="78"/>
    <n v="0"/>
    <n v="11"/>
    <n v="1"/>
    <n v="0.42520143727987175"/>
    <n v="1"/>
    <n v="72.55"/>
    <n v="72.55"/>
    <n v="20.757608891693057"/>
    <n v="1418.1021924136637"/>
    <n v="1"/>
    <n v="0"/>
    <n v="0"/>
    <n v="0"/>
    <n v="0"/>
    <n v="0"/>
    <n v="0"/>
    <n v="0"/>
    <n v="0"/>
    <n v="0"/>
  </r>
  <r>
    <d v="2016-07-20T00:00:00"/>
    <n v="2016"/>
    <x v="23"/>
    <s v="R"/>
    <s v="RS"/>
    <x v="2"/>
    <s v="CON"/>
    <s v="H"/>
    <n v="2"/>
    <n v="2"/>
    <n v="0"/>
    <n v="0"/>
    <n v="0"/>
    <n v="0"/>
    <n v="1438.6460421568634"/>
    <n v="1397.3445835219707"/>
    <n v="0.67289171986171414"/>
    <n v="78"/>
    <n v="89"/>
    <n v="0"/>
    <n v="-11"/>
    <n v="0"/>
    <n v="0.42520143727987175"/>
    <n v="1"/>
    <n v="72.400000000000006"/>
    <n v="72.400000000000006"/>
    <n v="-20.714691712730222"/>
    <n v="1417.9313504441332"/>
    <n v="0"/>
    <n v="1"/>
    <n v="0"/>
    <n v="0"/>
    <n v="0"/>
    <n v="0"/>
    <n v="0"/>
    <n v="0"/>
    <n v="0"/>
    <n v="0"/>
  </r>
  <r>
    <d v="2016-07-20T00:00:00"/>
    <n v="2016"/>
    <x v="23"/>
    <s v="R"/>
    <s v="RS"/>
    <x v="6"/>
    <s v="MIN"/>
    <s v="A"/>
    <n v="2"/>
    <n v="2"/>
    <n v="0"/>
    <n v="0"/>
    <n v="0"/>
    <n v="0"/>
    <n v="1489.3300528388843"/>
    <n v="1673.0062852062727"/>
    <n v="0.1764090913554627"/>
    <n v="65"/>
    <n v="83"/>
    <n v="0"/>
    <n v="-18"/>
    <n v="0"/>
    <n v="0.47424441007334839"/>
    <n v="1"/>
    <n v="72.400000000000006"/>
    <n v="72.400000000000006"/>
    <n v="-6.0570582434087505"/>
    <n v="1483.2729945954754"/>
    <n v="0"/>
    <n v="1"/>
    <n v="0"/>
    <n v="0"/>
    <n v="0"/>
    <n v="0"/>
    <n v="0"/>
    <n v="0"/>
    <n v="0"/>
    <n v="0"/>
  </r>
  <r>
    <d v="2016-07-20T00:00:00"/>
    <n v="2016"/>
    <x v="23"/>
    <s v="R"/>
    <s v="RS"/>
    <x v="5"/>
    <s v="ATL"/>
    <s v="H"/>
    <n v="2"/>
    <n v="2"/>
    <n v="0"/>
    <n v="0"/>
    <n v="0"/>
    <n v="0"/>
    <n v="1673.0062852062727"/>
    <n v="1489.3300528388843"/>
    <n v="0.82359090864453743"/>
    <n v="83"/>
    <n v="65"/>
    <n v="0"/>
    <n v="18"/>
    <n v="1"/>
    <n v="0.47424441007334839"/>
    <n v="1"/>
    <n v="72.400000000000006"/>
    <n v="72.400000000000006"/>
    <n v="6.0570582434087461"/>
    <n v="1679.0633434496815"/>
    <n v="1"/>
    <n v="0"/>
    <n v="0"/>
    <n v="0"/>
    <n v="0"/>
    <n v="0"/>
    <n v="0"/>
    <n v="0"/>
    <n v="0"/>
    <n v="0"/>
  </r>
  <r>
    <d v="2016-07-20T00:00:00"/>
    <n v="2016"/>
    <x v="22"/>
    <s v="R"/>
    <s v="RS"/>
    <x v="7"/>
    <s v="SEA"/>
    <s v="A"/>
    <n v="3"/>
    <n v="2"/>
    <n v="1"/>
    <n v="-1"/>
    <n v="8"/>
    <n v="-8"/>
    <n v="1329.3018116265609"/>
    <n v="1414.2109901627607"/>
    <n v="0.29313302294819149"/>
    <n v="69"/>
    <n v="83"/>
    <n v="0"/>
    <n v="-14"/>
    <n v="0"/>
    <n v="0.45538605686319072"/>
    <n v="1"/>
    <n v="72.55"/>
    <n v="72.55"/>
    <n v="-9.6846045651882378"/>
    <n v="1319.6172070613727"/>
    <n v="0"/>
    <n v="1"/>
    <n v="0"/>
    <n v="0"/>
    <n v="0"/>
    <n v="0"/>
    <n v="0"/>
    <n v="0"/>
    <n v="0"/>
    <n v="0"/>
  </r>
  <r>
    <d v="2016-07-20T00:00:00"/>
    <n v="2016"/>
    <x v="22"/>
    <s v="R"/>
    <s v="RS"/>
    <x v="10"/>
    <s v="SAS"/>
    <s v="H"/>
    <n v="2"/>
    <n v="3"/>
    <n v="-1"/>
    <n v="1"/>
    <n v="-8"/>
    <n v="8"/>
    <n v="1414.2109901627607"/>
    <n v="1329.3018116265609"/>
    <n v="0.70686697705180856"/>
    <n v="83"/>
    <n v="69"/>
    <n v="0"/>
    <n v="14"/>
    <n v="1"/>
    <n v="0.45538605686319072"/>
    <n v="1"/>
    <n v="72.55"/>
    <n v="72.55"/>
    <n v="9.684604565188236"/>
    <n v="1423.8955947279489"/>
    <n v="1"/>
    <n v="0"/>
    <n v="0"/>
    <n v="0"/>
    <n v="0"/>
    <n v="0"/>
    <n v="0"/>
    <n v="0"/>
    <n v="0"/>
    <n v="0"/>
  </r>
  <r>
    <d v="2016-07-20T00:00:00"/>
    <n v="2016"/>
    <x v="24"/>
    <s v="R"/>
    <s v="RS"/>
    <x v="8"/>
    <s v="WAS"/>
    <s v="A"/>
    <n v="2"/>
    <n v="4"/>
    <n v="-2"/>
    <n v="2"/>
    <n v="-16"/>
    <n v="16"/>
    <n v="1610.791859770042"/>
    <n v="1457.6462634926058"/>
    <n v="0.5532540573873973"/>
    <n v="88"/>
    <n v="81"/>
    <n v="0"/>
    <n v="7"/>
    <n v="1"/>
    <n v="0.32821937876190233"/>
    <n v="1"/>
    <n v="72.25"/>
    <n v="72.25"/>
    <n v="10.59406632284422"/>
    <n v="1621.3859260928862"/>
    <n v="1"/>
    <n v="0"/>
    <n v="0"/>
    <n v="0"/>
    <n v="0"/>
    <n v="0"/>
    <n v="0"/>
    <n v="0"/>
    <n v="0"/>
    <n v="0"/>
  </r>
  <r>
    <d v="2016-07-20T00:00:00"/>
    <n v="2016"/>
    <x v="22"/>
    <s v="R"/>
    <s v="RS"/>
    <x v="9"/>
    <s v="NYL"/>
    <s v="H"/>
    <n v="4"/>
    <n v="2"/>
    <n v="2"/>
    <n v="-2"/>
    <n v="16"/>
    <n v="-16"/>
    <n v="1457.6462634926058"/>
    <n v="1610.791859770042"/>
    <n v="0.4467459426126027"/>
    <n v="81"/>
    <n v="88"/>
    <n v="0"/>
    <n v="-7"/>
    <n v="0"/>
    <n v="0.32821937876190233"/>
    <n v="1"/>
    <n v="72.55"/>
    <n v="72.55"/>
    <n v="-10.638055525568832"/>
    <n v="1447.0082079670369"/>
    <n v="0"/>
    <n v="1"/>
    <n v="0"/>
    <n v="0"/>
    <n v="0"/>
    <n v="0"/>
    <n v="0"/>
    <n v="0"/>
    <n v="0"/>
    <n v="0"/>
  </r>
  <r>
    <d v="2016-07-21T00:00:00"/>
    <n v="2016"/>
    <x v="23"/>
    <s v="R"/>
    <s v="RS"/>
    <x v="3"/>
    <s v="NYL"/>
    <s v="A"/>
    <n v="1"/>
    <n v="0"/>
    <n v="1"/>
    <n v="-1"/>
    <n v="8"/>
    <n v="-8"/>
    <n v="1530.647805278961"/>
    <n v="1621.3859260928862"/>
    <n v="0.28622898287581672"/>
    <n v="82"/>
    <n v="70"/>
    <n v="0"/>
    <n v="12"/>
    <n v="1"/>
    <n v="0.42406381501050933"/>
    <n v="1"/>
    <n v="72.400000000000006"/>
    <n v="72.400000000000006"/>
    <n v="21.914354944950365"/>
    <n v="1552.5621602239114"/>
    <n v="1"/>
    <n v="0"/>
    <n v="0"/>
    <n v="0"/>
    <n v="0"/>
    <n v="0"/>
    <n v="0"/>
    <n v="0"/>
    <n v="0"/>
    <n v="0"/>
  </r>
  <r>
    <d v="2016-07-21T00:00:00"/>
    <n v="2016"/>
    <x v="25"/>
    <s v="R"/>
    <s v="RS"/>
    <x v="8"/>
    <s v="IND"/>
    <s v="H"/>
    <n v="0"/>
    <n v="1"/>
    <n v="-1"/>
    <n v="1"/>
    <n v="-8"/>
    <n v="8"/>
    <n v="1621.3859260928862"/>
    <n v="1530.647805278961"/>
    <n v="0.71377101712418323"/>
    <n v="70"/>
    <n v="82"/>
    <n v="0"/>
    <n v="-12"/>
    <n v="0"/>
    <n v="0.42406381501050933"/>
    <n v="1"/>
    <n v="72.099999999999994"/>
    <n v="72.099999999999994"/>
    <n v="-21.823549606780674"/>
    <n v="1599.5623764861054"/>
    <n v="0"/>
    <n v="1"/>
    <n v="0"/>
    <n v="0"/>
    <n v="0"/>
    <n v="0"/>
    <n v="0"/>
    <n v="0"/>
    <n v="0"/>
    <n v="0"/>
  </r>
  <r>
    <d v="2016-07-22T00:00:00"/>
    <n v="2016"/>
    <x v="24"/>
    <s v="R"/>
    <s v="RS"/>
    <x v="2"/>
    <s v="ATL"/>
    <s v="A"/>
    <n v="1"/>
    <n v="1"/>
    <n v="0"/>
    <n v="0"/>
    <n v="0"/>
    <n v="0"/>
    <n v="1417.9313504441332"/>
    <n v="1483.2729945954754"/>
    <n v="0.2974062888706655"/>
    <n v="88"/>
    <n v="93"/>
    <n v="0"/>
    <n v="-5"/>
    <n v="0"/>
    <n v="0.31462425376863778"/>
    <n v="1"/>
    <n v="72.25"/>
    <n v="72.25"/>
    <n v="-6.7605214904718878"/>
    <n v="1411.1708289536614"/>
    <n v="0"/>
    <n v="1"/>
    <n v="0"/>
    <n v="0"/>
    <n v="0"/>
    <n v="0"/>
    <n v="0"/>
    <n v="0"/>
    <n v="0"/>
    <n v="0"/>
  </r>
  <r>
    <d v="2016-07-22T00:00:00"/>
    <n v="2016"/>
    <x v="24"/>
    <s v="R"/>
    <s v="RS"/>
    <x v="6"/>
    <s v="DAL"/>
    <s v="H"/>
    <n v="1"/>
    <n v="1"/>
    <n v="0"/>
    <n v="0"/>
    <n v="0"/>
    <n v="0"/>
    <n v="1483.2729945954754"/>
    <n v="1417.9313504441332"/>
    <n v="0.70259371112933455"/>
    <n v="93"/>
    <n v="88"/>
    <n v="0"/>
    <n v="5"/>
    <n v="1"/>
    <n v="0.31462425376863778"/>
    <n v="1"/>
    <n v="72.25"/>
    <n v="72.25"/>
    <n v="6.7605214904718869"/>
    <n v="1490.0335160859472"/>
    <n v="1"/>
    <n v="0"/>
    <n v="0"/>
    <n v="0"/>
    <n v="0"/>
    <n v="0"/>
    <n v="0"/>
    <n v="0"/>
    <n v="0"/>
    <n v="0"/>
  </r>
  <r>
    <d v="2016-07-22T00:00:00"/>
    <n v="2016"/>
    <x v="23"/>
    <s v="R"/>
    <s v="RS"/>
    <x v="0"/>
    <s v="CHI"/>
    <s v="A"/>
    <n v="1"/>
    <n v="2"/>
    <n v="-1"/>
    <n v="1"/>
    <n v="-8"/>
    <n v="8"/>
    <n v="1418.1021924136637"/>
    <n v="1517.1958206062768"/>
    <n v="0.24120672106257815"/>
    <n v="94"/>
    <n v="89"/>
    <n v="0"/>
    <n v="5"/>
    <n v="1"/>
    <n v="0.30644994472597858"/>
    <n v="1"/>
    <n v="72.400000000000006"/>
    <n v="72.400000000000006"/>
    <n v="16.835328267350349"/>
    <n v="1434.9375206810141"/>
    <n v="1"/>
    <n v="0"/>
    <n v="0"/>
    <n v="0"/>
    <n v="0"/>
    <n v="0"/>
    <n v="0"/>
    <n v="0"/>
    <n v="0"/>
    <n v="0"/>
  </r>
  <r>
    <d v="2016-07-22T00:00:00"/>
    <n v="2016"/>
    <x v="23"/>
    <s v="R"/>
    <s v="RS"/>
    <x v="1"/>
    <s v="CON"/>
    <s v="H"/>
    <n v="2"/>
    <n v="1"/>
    <n v="1"/>
    <n v="-1"/>
    <n v="8"/>
    <n v="-8"/>
    <n v="1517.1958206062768"/>
    <n v="1418.1021924136637"/>
    <n v="0.75879327893742188"/>
    <n v="89"/>
    <n v="94"/>
    <n v="0"/>
    <n v="-5"/>
    <n v="0"/>
    <n v="0.30644994472597858"/>
    <n v="1"/>
    <n v="72.400000000000006"/>
    <n v="72.400000000000006"/>
    <n v="-16.835328267350349"/>
    <n v="1500.3604923389264"/>
    <n v="0"/>
    <n v="1"/>
    <n v="0"/>
    <n v="0"/>
    <n v="0"/>
    <n v="0"/>
    <n v="0"/>
    <n v="0"/>
    <n v="0"/>
    <n v="0"/>
  </r>
  <r>
    <d v="2016-07-22T00:00:00"/>
    <n v="2016"/>
    <x v="23"/>
    <s v="R"/>
    <s v="RS"/>
    <x v="10"/>
    <s v="MIN"/>
    <s v="A"/>
    <n v="1"/>
    <n v="1"/>
    <n v="0"/>
    <n v="0"/>
    <n v="0"/>
    <n v="0"/>
    <n v="1423.8955947279489"/>
    <n v="1679.0633434496815"/>
    <n v="0.12429119025349229"/>
    <n v="72"/>
    <n v="79"/>
    <n v="0"/>
    <n v="-7"/>
    <n v="0"/>
    <n v="0.30520784107173982"/>
    <n v="1"/>
    <n v="72.400000000000006"/>
    <n v="72.400000000000006"/>
    <n v="-2.7464683589249805"/>
    <n v="1421.1491263690239"/>
    <n v="0"/>
    <n v="1"/>
    <n v="0"/>
    <n v="0"/>
    <n v="0"/>
    <n v="0"/>
    <n v="0"/>
    <n v="0"/>
    <n v="0"/>
    <n v="0"/>
  </r>
  <r>
    <d v="2016-07-22T00:00:00"/>
    <n v="2016"/>
    <x v="24"/>
    <s v="R"/>
    <s v="RS"/>
    <x v="5"/>
    <s v="SEA"/>
    <s v="H"/>
    <n v="1"/>
    <n v="1"/>
    <n v="0"/>
    <n v="0"/>
    <n v="0"/>
    <n v="0"/>
    <n v="1679.0633434496815"/>
    <n v="1423.8955947279489"/>
    <n v="0.87570880974650778"/>
    <n v="79"/>
    <n v="72"/>
    <n v="0"/>
    <n v="7"/>
    <n v="1"/>
    <n v="0.30520784107173982"/>
    <n v="1"/>
    <n v="72.25"/>
    <n v="72.25"/>
    <n v="2.7407781620487528"/>
    <n v="1681.8041216117304"/>
    <n v="1"/>
    <n v="0"/>
    <n v="0"/>
    <n v="0"/>
    <n v="0"/>
    <n v="0"/>
    <n v="0"/>
    <n v="0"/>
    <n v="0"/>
    <n v="0"/>
  </r>
  <r>
    <d v="2016-07-22T00:00:00"/>
    <n v="2016"/>
    <x v="23"/>
    <s v="R"/>
    <s v="RS"/>
    <x v="11"/>
    <s v="WAS"/>
    <s v="A"/>
    <n v="2"/>
    <n v="1"/>
    <n v="1"/>
    <n v="-1"/>
    <n v="8"/>
    <n v="-8"/>
    <n v="1660.7584834578022"/>
    <n v="1447.0082079670369"/>
    <n v="0.69825583295770854"/>
    <n v="95"/>
    <n v="75"/>
    <n v="0"/>
    <n v="20"/>
    <n v="1"/>
    <n v="0.48796795494248768"/>
    <n v="1"/>
    <n v="72.400000000000006"/>
    <n v="72.400000000000006"/>
    <n v="10.660283449379479"/>
    <n v="1671.4187669071816"/>
    <n v="1"/>
    <n v="0"/>
    <n v="0"/>
    <n v="0"/>
    <n v="0"/>
    <n v="0"/>
    <n v="0"/>
    <n v="0"/>
    <n v="0"/>
    <n v="0"/>
  </r>
  <r>
    <d v="2016-07-22T00:00:00"/>
    <n v="2016"/>
    <x v="23"/>
    <s v="R"/>
    <s v="RS"/>
    <x v="9"/>
    <s v="LAS"/>
    <s v="H"/>
    <n v="1"/>
    <n v="2"/>
    <n v="-1"/>
    <n v="1"/>
    <n v="-8"/>
    <n v="8"/>
    <n v="1447.0082079670369"/>
    <n v="1660.7584834578022"/>
    <n v="0.30174416704229146"/>
    <n v="75"/>
    <n v="95"/>
    <n v="0"/>
    <n v="-20"/>
    <n v="0"/>
    <n v="0.48796795494248768"/>
    <n v="1"/>
    <n v="72.400000000000006"/>
    <n v="72.400000000000006"/>
    <n v="-10.660283449379479"/>
    <n v="1436.3479245176575"/>
    <n v="0"/>
    <n v="1"/>
    <n v="0"/>
    <n v="0"/>
    <n v="0"/>
    <n v="0"/>
    <n v="0"/>
    <n v="0"/>
    <n v="0"/>
    <n v="0"/>
  </r>
  <r>
    <d v="2016-08-26T00:00:00"/>
    <n v="2016"/>
    <x v="25"/>
    <s v="R"/>
    <s v="RS"/>
    <x v="6"/>
    <s v="CHI"/>
    <s v="A"/>
    <n v="34"/>
    <n v="34"/>
    <n v="0"/>
    <n v="0"/>
    <n v="0"/>
    <n v="0"/>
    <n v="1490.0335160859472"/>
    <n v="1500.3604923389264"/>
    <n v="0.36749237087610553"/>
    <n v="82"/>
    <n v="90"/>
    <n v="0"/>
    <n v="-8"/>
    <n v="0"/>
    <n v="0.38500227719142321"/>
    <n v="1"/>
    <n v="72.099999999999994"/>
    <n v="72.099999999999994"/>
    <n v="-10.201097313883626"/>
    <n v="1479.8324187720636"/>
    <n v="0"/>
    <n v="1"/>
    <n v="0"/>
    <n v="0"/>
    <n v="0"/>
    <n v="0"/>
    <n v="0"/>
    <n v="0"/>
    <n v="0"/>
    <n v="0"/>
  </r>
  <r>
    <d v="2016-08-26T00:00:00"/>
    <n v="2016"/>
    <x v="24"/>
    <s v="R"/>
    <s v="RS"/>
    <x v="1"/>
    <s v="ATL"/>
    <s v="H"/>
    <n v="34"/>
    <n v="34"/>
    <n v="0"/>
    <n v="0"/>
    <n v="0"/>
    <n v="0"/>
    <n v="1500.3604923389264"/>
    <n v="1490.0335160859472"/>
    <n v="0.63250762912389447"/>
    <n v="90"/>
    <n v="82"/>
    <n v="0"/>
    <n v="8"/>
    <n v="1"/>
    <n v="0.38500227719142321"/>
    <n v="1"/>
    <n v="72.25"/>
    <n v="72.25"/>
    <n v="10.222320123829293"/>
    <n v="1510.5828124627558"/>
    <n v="1"/>
    <n v="0"/>
    <n v="0"/>
    <n v="0"/>
    <n v="0"/>
    <n v="0"/>
    <n v="0"/>
    <n v="0"/>
    <n v="0"/>
    <n v="0"/>
  </r>
  <r>
    <d v="2016-08-26T00:00:00"/>
    <n v="2016"/>
    <x v="25"/>
    <s v="R"/>
    <s v="RS"/>
    <x v="5"/>
    <s v="CON"/>
    <s v="A"/>
    <n v="34"/>
    <n v="34"/>
    <n v="0"/>
    <n v="0"/>
    <n v="0"/>
    <n v="0"/>
    <n v="1681.8041216117304"/>
    <n v="1434.9375206810141"/>
    <n v="0.71860157496665866"/>
    <n v="80"/>
    <n v="84"/>
    <n v="0"/>
    <n v="-4"/>
    <n v="0"/>
    <n v="0.25829560350916614"/>
    <n v="1"/>
    <n v="72.099999999999994"/>
    <n v="72.099999999999994"/>
    <n v="-13.382598341931692"/>
    <n v="1668.4215232697986"/>
    <n v="0"/>
    <n v="1"/>
    <n v="0"/>
    <n v="0"/>
    <n v="0"/>
    <n v="0"/>
    <n v="0"/>
    <n v="0"/>
    <n v="0"/>
    <n v="0"/>
  </r>
  <r>
    <d v="2016-08-26T00:00:00"/>
    <n v="2016"/>
    <x v="24"/>
    <s v="R"/>
    <s v="RS"/>
    <x v="0"/>
    <s v="MIN"/>
    <s v="H"/>
    <n v="34"/>
    <n v="34"/>
    <n v="0"/>
    <n v="0"/>
    <n v="0"/>
    <n v="0"/>
    <n v="1434.9375206810141"/>
    <n v="1681.8041216117304"/>
    <n v="0.28139842503334134"/>
    <n v="84"/>
    <n v="80"/>
    <n v="0"/>
    <n v="4"/>
    <n v="1"/>
    <n v="0.25829560350916614"/>
    <n v="1"/>
    <n v="72.25"/>
    <n v="72.25"/>
    <n v="13.410440086054992"/>
    <n v="1448.347960767069"/>
    <n v="1"/>
    <n v="0"/>
    <n v="0"/>
    <n v="0"/>
    <n v="0"/>
    <n v="0"/>
    <n v="0"/>
    <n v="0"/>
    <n v="0"/>
    <n v="0"/>
  </r>
  <r>
    <d v="2016-08-26T00:00:00"/>
    <n v="2016"/>
    <x v="25"/>
    <s v="R"/>
    <s v="RS"/>
    <x v="2"/>
    <s v="PHX"/>
    <s v="A"/>
    <n v="34"/>
    <n v="37"/>
    <n v="-3"/>
    <n v="3"/>
    <n v="-16"/>
    <n v="16"/>
    <n v="1411.1708289536614"/>
    <n v="1481.852195306946"/>
    <n v="0.25452465995333134"/>
    <n v="72"/>
    <n v="98"/>
    <n v="0"/>
    <n v="-26"/>
    <n v="0"/>
    <n v="0.61770391650016387"/>
    <n v="1"/>
    <n v="72.099999999999994"/>
    <n v="72.099999999999994"/>
    <n v="-11.335625397461158"/>
    <n v="1399.8352035562002"/>
    <n v="0"/>
    <n v="1"/>
    <n v="0"/>
    <n v="0"/>
    <n v="0"/>
    <n v="0"/>
    <n v="0"/>
    <n v="0"/>
    <n v="0"/>
    <n v="0"/>
  </r>
  <r>
    <d v="2016-08-26T00:00:00"/>
    <n v="2016"/>
    <x v="24"/>
    <s v="R"/>
    <s v="RS"/>
    <x v="4"/>
    <s v="DAL"/>
    <s v="H"/>
    <n v="37"/>
    <n v="34"/>
    <n v="3"/>
    <n v="-3"/>
    <n v="16"/>
    <n v="-16"/>
    <n v="1481.852195306946"/>
    <n v="1411.1708289536614"/>
    <n v="0.74547534004666871"/>
    <n v="98"/>
    <n v="72"/>
    <n v="0"/>
    <n v="26"/>
    <n v="1"/>
    <n v="0.61770391650016387"/>
    <n v="1"/>
    <n v="72.25"/>
    <n v="72.25"/>
    <n v="11.359208529356012"/>
    <n v="1493.211403836302"/>
    <n v="1"/>
    <n v="0"/>
    <n v="0"/>
    <n v="0"/>
    <n v="0"/>
    <n v="0"/>
    <n v="0"/>
    <n v="0"/>
    <n v="0"/>
    <n v="0"/>
  </r>
  <r>
    <d v="2016-08-26T00:00:00"/>
    <n v="2016"/>
    <x v="26"/>
    <s v="R"/>
    <s v="RS"/>
    <x v="8"/>
    <s v="SAS"/>
    <s v="A"/>
    <n v="35"/>
    <n v="36"/>
    <n v="-1"/>
    <n v="1"/>
    <n v="-8"/>
    <n v="8"/>
    <n v="1599.5623764861054"/>
    <n v="1319.6172070613727"/>
    <n v="0.73804801535419062"/>
    <n v="84"/>
    <n v="77"/>
    <n v="0"/>
    <n v="7"/>
    <n v="1"/>
    <n v="0.30009801454821505"/>
    <n v="1"/>
    <n v="71.95"/>
    <n v="71.95"/>
    <n v="5.656080912415419"/>
    <n v="1605.218457398521"/>
    <n v="1"/>
    <n v="0"/>
    <n v="0"/>
    <n v="0"/>
    <n v="0"/>
    <n v="0"/>
    <n v="0"/>
    <n v="0"/>
    <n v="0"/>
    <n v="0"/>
  </r>
  <r>
    <d v="2016-08-26T00:00:00"/>
    <n v="2016"/>
    <x v="23"/>
    <s v="R"/>
    <s v="RS"/>
    <x v="7"/>
    <s v="NYL"/>
    <s v="H"/>
    <n v="36"/>
    <n v="35"/>
    <n v="1"/>
    <n v="-1"/>
    <n v="8"/>
    <n v="-8"/>
    <n v="1319.6172070613727"/>
    <n v="1599.5623764861054"/>
    <n v="0.26195198464580943"/>
    <n v="77"/>
    <n v="84"/>
    <n v="0"/>
    <n v="-7"/>
    <n v="0"/>
    <n v="0.30009801454821505"/>
    <n v="1"/>
    <n v="72.400000000000006"/>
    <n v="72.400000000000006"/>
    <n v="-5.6914559841400481"/>
    <n v="1313.9257510772327"/>
    <n v="0"/>
    <n v="1"/>
    <n v="0"/>
    <n v="0"/>
    <n v="0"/>
    <n v="0"/>
    <n v="0"/>
    <n v="0"/>
    <n v="0"/>
    <n v="0"/>
  </r>
  <r>
    <d v="2016-08-26T00:00:00"/>
    <n v="2016"/>
    <x v="24"/>
    <s v="R"/>
    <s v="RS"/>
    <x v="11"/>
    <s v="SEA"/>
    <s v="A"/>
    <n v="34"/>
    <n v="34"/>
    <n v="0"/>
    <n v="0"/>
    <n v="0"/>
    <n v="0"/>
    <n v="1671.4187669071816"/>
    <n v="1421.1491263690239"/>
    <n v="0.72254581099409787"/>
    <n v="72"/>
    <n v="79"/>
    <n v="0"/>
    <n v="-7"/>
    <n v="0"/>
    <n v="0.30623864319450228"/>
    <n v="1"/>
    <n v="72.25"/>
    <n v="72.25"/>
    <n v="-15.98686217613985"/>
    <n v="1655.4319047310419"/>
    <n v="0"/>
    <n v="1"/>
    <n v="0"/>
    <n v="0"/>
    <n v="0"/>
    <n v="0"/>
    <n v="0"/>
    <n v="0"/>
    <n v="0"/>
    <n v="0"/>
  </r>
  <r>
    <d v="2016-08-26T00:00:00"/>
    <n v="2016"/>
    <x v="24"/>
    <s v="R"/>
    <s v="RS"/>
    <x v="10"/>
    <s v="LAS"/>
    <s v="H"/>
    <n v="34"/>
    <n v="34"/>
    <n v="0"/>
    <n v="0"/>
    <n v="0"/>
    <n v="0"/>
    <n v="1421.1491263690239"/>
    <n v="1671.4187669071816"/>
    <n v="0.27745418900590224"/>
    <n v="79"/>
    <n v="72"/>
    <n v="0"/>
    <n v="7"/>
    <n v="1"/>
    <n v="0.30623864319450228"/>
    <n v="1"/>
    <n v="72.25"/>
    <n v="72.25"/>
    <n v="15.986862176139848"/>
    <n v="1437.1359885451636"/>
    <n v="1"/>
    <n v="0"/>
    <n v="0"/>
    <n v="0"/>
    <n v="0"/>
    <n v="0"/>
    <n v="0"/>
    <n v="0"/>
    <n v="0"/>
    <n v="0"/>
  </r>
  <r>
    <d v="2016-08-27T00:00:00"/>
    <n v="2016"/>
    <x v="24"/>
    <s v="R"/>
    <s v="RS"/>
    <x v="9"/>
    <s v="IND"/>
    <s v="A"/>
    <n v="35"/>
    <n v="36"/>
    <n v="-1"/>
    <n v="1"/>
    <n v="-8"/>
    <n v="8"/>
    <n v="1436.3479245176575"/>
    <n v="1552.5621602239114"/>
    <n v="0.22363123620150016"/>
    <n v="92"/>
    <n v="69"/>
    <n v="0"/>
    <n v="23"/>
    <n v="1"/>
    <n v="0.56100694175983346"/>
    <n v="1"/>
    <n v="72.25"/>
    <n v="72.25"/>
    <n v="31.468362208129157"/>
    <n v="1467.8162867257865"/>
    <n v="1"/>
    <n v="0"/>
    <n v="0"/>
    <n v="0"/>
    <n v="0"/>
    <n v="0"/>
    <n v="0"/>
    <n v="0"/>
    <n v="0"/>
    <n v="0"/>
  </r>
  <r>
    <d v="2016-08-27T00:00:00"/>
    <n v="2016"/>
    <x v="24"/>
    <s v="R"/>
    <s v="RS"/>
    <x v="3"/>
    <s v="WAS"/>
    <s v="H"/>
    <n v="36"/>
    <n v="35"/>
    <n v="1"/>
    <n v="-1"/>
    <n v="8"/>
    <n v="-8"/>
    <n v="1552.5621602239114"/>
    <n v="1436.3479245176575"/>
    <n v="0.77636876379849984"/>
    <n v="69"/>
    <n v="92"/>
    <n v="0"/>
    <n v="-23"/>
    <n v="0"/>
    <n v="0.56100694175983346"/>
    <n v="1"/>
    <n v="72.25"/>
    <n v="72.25"/>
    <n v="-31.468362208129157"/>
    <n v="1521.0937980157823"/>
    <n v="0"/>
    <n v="1"/>
    <n v="0"/>
    <n v="0"/>
    <n v="0"/>
    <n v="0"/>
    <n v="0"/>
    <n v="0"/>
    <n v="0"/>
    <n v="0"/>
  </r>
  <r>
    <d v="2016-08-28T00:00:00"/>
    <n v="2016"/>
    <x v="25"/>
    <s v="R"/>
    <s v="RS"/>
    <x v="0"/>
    <s v="ATL"/>
    <s v="A"/>
    <n v="1"/>
    <n v="1"/>
    <n v="0"/>
    <n v="0"/>
    <n v="0"/>
    <n v="0"/>
    <n v="1448.347960767069"/>
    <n v="1479.8324187720636"/>
    <n v="0.3396662258832604"/>
    <n v="73"/>
    <n v="87"/>
    <n v="0"/>
    <n v="-14"/>
    <n v="0"/>
    <n v="0.47514178553973135"/>
    <n v="1"/>
    <n v="72.099999999999994"/>
    <n v="72.099999999999994"/>
    <n v="-11.636191389572781"/>
    <n v="1436.7117693774962"/>
    <n v="0"/>
    <n v="1"/>
    <n v="0"/>
    <n v="0"/>
    <n v="0"/>
    <n v="0"/>
    <n v="0"/>
    <n v="0"/>
    <n v="0"/>
    <n v="0"/>
  </r>
  <r>
    <d v="2016-08-28T00:00:00"/>
    <n v="2016"/>
    <x v="26"/>
    <s v="R"/>
    <s v="RS"/>
    <x v="6"/>
    <s v="CON"/>
    <s v="H"/>
    <n v="1"/>
    <n v="1"/>
    <n v="0"/>
    <n v="0"/>
    <n v="0"/>
    <n v="0"/>
    <n v="1479.8324187720636"/>
    <n v="1448.347960767069"/>
    <n v="0.66033377411673966"/>
    <n v="87"/>
    <n v="73"/>
    <n v="0"/>
    <n v="14"/>
    <n v="1"/>
    <n v="0.47514178553973135"/>
    <n v="1"/>
    <n v="71.95"/>
    <n v="71.95"/>
    <n v="11.611982947014726"/>
    <n v="1491.4444017190783"/>
    <n v="1"/>
    <n v="0"/>
    <n v="0"/>
    <n v="0"/>
    <n v="0"/>
    <n v="0"/>
    <n v="0"/>
    <n v="0"/>
    <n v="0"/>
    <n v="0"/>
  </r>
  <r>
    <d v="2016-08-28T00:00:00"/>
    <n v="2016"/>
    <x v="25"/>
    <s v="R"/>
    <s v="RS"/>
    <x v="1"/>
    <s v="DAL"/>
    <s v="A"/>
    <n v="1"/>
    <n v="1"/>
    <n v="0"/>
    <n v="0"/>
    <n v="0"/>
    <n v="0"/>
    <n v="1510.5828124627558"/>
    <n v="1399.8352035562002"/>
    <n v="0.53841703655226336"/>
    <n v="92"/>
    <n v="85"/>
    <n v="0"/>
    <n v="7"/>
    <n v="1"/>
    <n v="0.33883609931211889"/>
    <n v="1"/>
    <n v="72.099999999999994"/>
    <n v="72.099999999999994"/>
    <n v="11.276509997820634"/>
    <n v="1521.8593224605763"/>
    <n v="1"/>
    <n v="0"/>
    <n v="0"/>
    <n v="0"/>
    <n v="0"/>
    <n v="0"/>
    <n v="0"/>
    <n v="0"/>
    <n v="0"/>
    <n v="0"/>
  </r>
  <r>
    <d v="2016-08-28T00:00:00"/>
    <n v="2016"/>
    <x v="26"/>
    <s v="R"/>
    <s v="RS"/>
    <x v="2"/>
    <s v="CHI"/>
    <s v="H"/>
    <n v="1"/>
    <n v="1"/>
    <n v="0"/>
    <n v="0"/>
    <n v="0"/>
    <n v="0"/>
    <n v="1399.8352035562002"/>
    <n v="1510.5828124627558"/>
    <n v="0.46158296344773658"/>
    <n v="85"/>
    <n v="92"/>
    <n v="0"/>
    <n v="-7"/>
    <n v="0"/>
    <n v="0.33883609931211889"/>
    <n v="1"/>
    <n v="71.95"/>
    <n v="71.95"/>
    <n v="-11.253049852194099"/>
    <n v="1388.582153704006"/>
    <n v="0"/>
    <n v="1"/>
    <n v="0"/>
    <n v="0"/>
    <n v="0"/>
    <n v="0"/>
    <n v="0"/>
    <n v="0"/>
    <n v="0"/>
    <n v="0"/>
  </r>
  <r>
    <d v="2016-08-28T00:00:00"/>
    <n v="2016"/>
    <x v="25"/>
    <s v="R"/>
    <s v="RS"/>
    <x v="10"/>
    <s v="MIN"/>
    <s v="A"/>
    <n v="1"/>
    <n v="1"/>
    <n v="0"/>
    <n v="0"/>
    <n v="0"/>
    <n v="0"/>
    <n v="1437.1359885451636"/>
    <n v="1668.4215232697986"/>
    <n v="0.14004341415725147"/>
    <n v="80"/>
    <n v="92"/>
    <n v="0"/>
    <n v="-12"/>
    <n v="0"/>
    <n v="0.38242217811357576"/>
    <n v="1"/>
    <n v="72.099999999999994"/>
    <n v="72.099999999999994"/>
    <n v="-3.8613665087656406"/>
    <n v="1433.2746220363979"/>
    <n v="0"/>
    <n v="1"/>
    <n v="0"/>
    <n v="0"/>
    <n v="0"/>
    <n v="0"/>
    <n v="0"/>
    <n v="0"/>
    <n v="0"/>
    <n v="0"/>
  </r>
  <r>
    <d v="2016-08-28T00:00:00"/>
    <n v="2016"/>
    <x v="26"/>
    <s v="R"/>
    <s v="RS"/>
    <x v="5"/>
    <s v="SEA"/>
    <s v="H"/>
    <n v="1"/>
    <n v="1"/>
    <n v="0"/>
    <n v="0"/>
    <n v="0"/>
    <n v="0"/>
    <n v="1668.4215232697986"/>
    <n v="1437.1359885451636"/>
    <n v="0.85995658584274859"/>
    <n v="92"/>
    <n v="80"/>
    <n v="0"/>
    <n v="12"/>
    <n v="1"/>
    <n v="0.38242217811357576"/>
    <n v="1"/>
    <n v="71.95"/>
    <n v="71.95"/>
    <n v="3.8533331526447676"/>
    <n v="1672.2748564224435"/>
    <n v="1"/>
    <n v="0"/>
    <n v="0"/>
    <n v="0"/>
    <n v="0"/>
    <n v="0"/>
    <n v="0"/>
    <n v="0"/>
    <n v="0"/>
    <n v="0"/>
  </r>
  <r>
    <d v="2016-08-28T00:00:00"/>
    <n v="2016"/>
    <x v="25"/>
    <s v="R"/>
    <s v="RS"/>
    <x v="11"/>
    <s v="PHX"/>
    <s v="A"/>
    <n v="1"/>
    <n v="1"/>
    <n v="0"/>
    <n v="0"/>
    <n v="0"/>
    <n v="0"/>
    <n v="1655.4319047310419"/>
    <n v="1493.211403836302"/>
    <n v="0.61070423488209613"/>
    <n v="66"/>
    <n v="70"/>
    <n v="0"/>
    <n v="-4"/>
    <n v="0"/>
    <n v="0.27434565963380175"/>
    <n v="1"/>
    <n v="72.099999999999994"/>
    <n v="72.099999999999994"/>
    <n v="-12.079926449127697"/>
    <n v="1643.3519782819142"/>
    <n v="0"/>
    <n v="1"/>
    <n v="0"/>
    <n v="0"/>
    <n v="0"/>
    <n v="0"/>
    <n v="0"/>
    <n v="0"/>
    <n v="0"/>
    <n v="0"/>
  </r>
  <r>
    <d v="2016-08-28T00:00:00"/>
    <n v="2016"/>
    <x v="25"/>
    <s v="R"/>
    <s v="RS"/>
    <x v="4"/>
    <s v="LAS"/>
    <s v="H"/>
    <n v="1"/>
    <n v="1"/>
    <n v="0"/>
    <n v="0"/>
    <n v="0"/>
    <n v="0"/>
    <n v="1493.211403836302"/>
    <n v="1655.4319047310419"/>
    <n v="0.38929576511790392"/>
    <n v="70"/>
    <n v="66"/>
    <n v="0"/>
    <n v="4"/>
    <n v="1"/>
    <n v="0.27434565963380175"/>
    <n v="1"/>
    <n v="72.099999999999994"/>
    <n v="72.099999999999994"/>
    <n v="12.079926449127697"/>
    <n v="1505.2913302854297"/>
    <n v="1"/>
    <n v="0"/>
    <n v="0"/>
    <n v="0"/>
    <n v="0"/>
    <n v="0"/>
    <n v="0"/>
    <n v="0"/>
    <n v="0"/>
    <n v="0"/>
  </r>
  <r>
    <d v="2016-08-28T00:00:00"/>
    <n v="2016"/>
    <x v="24"/>
    <s v="R"/>
    <s v="RS"/>
    <x v="7"/>
    <s v="WAS"/>
    <s v="A"/>
    <n v="1"/>
    <n v="0"/>
    <n v="1"/>
    <n v="-1"/>
    <n v="8"/>
    <n v="-8"/>
    <n v="1313.9257510772327"/>
    <n v="1467.8162867257865"/>
    <n v="0.21800938972596354"/>
    <n v="85"/>
    <n v="74"/>
    <n v="0"/>
    <n v="11"/>
    <n v="1"/>
    <n v="0.38984183020108359"/>
    <n v="1"/>
    <n v="72.25"/>
    <n v="72.25"/>
    <n v="22.025604013746396"/>
    <n v="1335.9513550909792"/>
    <n v="1"/>
    <n v="0"/>
    <n v="0"/>
    <n v="0"/>
    <n v="0"/>
    <n v="0"/>
    <n v="0"/>
    <n v="0"/>
    <n v="0"/>
    <n v="0"/>
  </r>
  <r>
    <d v="2016-08-28T00:00:00"/>
    <n v="2016"/>
    <x v="25"/>
    <s v="R"/>
    <s v="RS"/>
    <x v="9"/>
    <s v="SAS"/>
    <s v="H"/>
    <n v="0"/>
    <n v="1"/>
    <n v="-1"/>
    <n v="1"/>
    <n v="-8"/>
    <n v="8"/>
    <n v="1467.8162867257865"/>
    <n v="1313.9257510772327"/>
    <n v="0.78199061027403649"/>
    <n v="74"/>
    <n v="85"/>
    <n v="0"/>
    <n v="-11"/>
    <n v="0"/>
    <n v="0.38984183020108359"/>
    <n v="1"/>
    <n v="72.099999999999994"/>
    <n v="72.099999999999994"/>
    <n v="-21.979876116139998"/>
    <n v="1445.8364106096465"/>
    <n v="0"/>
    <n v="1"/>
    <n v="0"/>
    <n v="0"/>
    <n v="0"/>
    <n v="0"/>
    <n v="0"/>
    <n v="0"/>
    <n v="0"/>
    <n v="0"/>
  </r>
  <r>
    <d v="2016-08-30T00:00:00"/>
    <n v="2016"/>
    <x v="25"/>
    <s v="R"/>
    <s v="RS"/>
    <x v="7"/>
    <s v="CON"/>
    <s v="A"/>
    <n v="1"/>
    <n v="1"/>
    <n v="0"/>
    <n v="0"/>
    <n v="0"/>
    <n v="0"/>
    <n v="1335.9513550909792"/>
    <n v="1436.7117693774962"/>
    <n v="0.25662849363910356"/>
    <n v="62"/>
    <n v="89"/>
    <n v="0"/>
    <n v="-27"/>
    <n v="0"/>
    <n v="0.6150248663884883"/>
    <n v="1"/>
    <n v="72.099999999999994"/>
    <n v="72.099999999999994"/>
    <n v="-11.379752451355731"/>
    <n v="1324.5716026396235"/>
    <n v="0"/>
    <n v="1"/>
    <n v="0"/>
    <n v="0"/>
    <n v="0"/>
    <n v="0"/>
    <n v="0"/>
    <n v="0"/>
    <n v="0"/>
    <n v="0"/>
  </r>
  <r>
    <d v="2016-08-30T00:00:00"/>
    <n v="2016"/>
    <x v="26"/>
    <s v="R"/>
    <s v="RS"/>
    <x v="0"/>
    <s v="SAS"/>
    <s v="H"/>
    <n v="1"/>
    <n v="1"/>
    <n v="0"/>
    <n v="0"/>
    <n v="0"/>
    <n v="0"/>
    <n v="1436.7117693774962"/>
    <n v="1335.9513550909792"/>
    <n v="0.74337150636089644"/>
    <n v="89"/>
    <n v="62"/>
    <n v="0"/>
    <n v="27"/>
    <n v="1"/>
    <n v="0.6150248663884883"/>
    <n v="1"/>
    <n v="71.95"/>
    <n v="71.95"/>
    <n v="11.356077515603952"/>
    <n v="1448.0678468931003"/>
    <n v="1"/>
    <n v="0"/>
    <n v="0"/>
    <n v="0"/>
    <n v="0"/>
    <n v="0"/>
    <n v="0"/>
    <n v="0"/>
    <n v="0"/>
    <n v="0"/>
  </r>
  <r>
    <d v="2016-08-30T00:00:00"/>
    <n v="2016"/>
    <x v="26"/>
    <s v="R"/>
    <s v="RS"/>
    <x v="4"/>
    <s v="IND"/>
    <s v="A"/>
    <n v="1"/>
    <n v="2"/>
    <n v="-1"/>
    <n v="1"/>
    <n v="-8"/>
    <n v="8"/>
    <n v="1505.2913302854297"/>
    <n v="1521.0937980157823"/>
    <n v="0.33925575306445321"/>
    <n v="79"/>
    <n v="65"/>
    <n v="0"/>
    <n v="14"/>
    <n v="1"/>
    <n v="0.48127038706644149"/>
    <n v="1"/>
    <n v="71.95"/>
    <n v="71.95"/>
    <n v="22.87985821019711"/>
    <n v="1528.1711884956269"/>
    <n v="1"/>
    <n v="0"/>
    <n v="0"/>
    <n v="0"/>
    <n v="0"/>
    <n v="0"/>
    <n v="0"/>
    <n v="0"/>
    <n v="0"/>
    <n v="0"/>
  </r>
  <r>
    <d v="2016-08-30T00:00:00"/>
    <n v="2016"/>
    <x v="25"/>
    <s v="R"/>
    <s v="RS"/>
    <x v="3"/>
    <s v="PHX"/>
    <s v="H"/>
    <n v="2"/>
    <n v="1"/>
    <n v="1"/>
    <n v="-1"/>
    <n v="8"/>
    <n v="-8"/>
    <n v="1521.0937980157823"/>
    <n v="1505.2913302854297"/>
    <n v="0.66074424693554679"/>
    <n v="65"/>
    <n v="79"/>
    <n v="0"/>
    <n v="-14"/>
    <n v="0"/>
    <n v="0.48127038706644149"/>
    <n v="1"/>
    <n v="72.099999999999994"/>
    <n v="72.099999999999994"/>
    <n v="-22.927557706118296"/>
    <n v="1498.1662403096641"/>
    <n v="0"/>
    <n v="1"/>
    <n v="0"/>
    <n v="0"/>
    <n v="0"/>
    <n v="0"/>
    <n v="0"/>
    <n v="0"/>
    <n v="0"/>
    <n v="0"/>
  </r>
  <r>
    <d v="2016-08-31T00:00:00"/>
    <n v="2016"/>
    <x v="27"/>
    <s v="R"/>
    <s v="RS"/>
    <x v="2"/>
    <s v="SEA"/>
    <s v="A"/>
    <n v="2"/>
    <n v="2"/>
    <n v="0"/>
    <n v="0"/>
    <n v="0"/>
    <n v="0"/>
    <n v="1388.582153704006"/>
    <n v="1433.2746220363979"/>
    <n v="0.32282630164800635"/>
    <n v="66"/>
    <n v="78"/>
    <n v="0"/>
    <n v="-12"/>
    <n v="0"/>
    <n v="0.43975146119842917"/>
    <n v="1"/>
    <n v="71.8"/>
    <n v="71.8"/>
    <n v="-10.192967658563088"/>
    <n v="1378.389186045443"/>
    <n v="0"/>
    <n v="1"/>
    <n v="0"/>
    <n v="0"/>
    <n v="0"/>
    <n v="0"/>
    <n v="0"/>
    <n v="0"/>
    <n v="0"/>
    <n v="0"/>
  </r>
  <r>
    <d v="2016-08-31T00:00:00"/>
    <n v="2016"/>
    <x v="26"/>
    <s v="R"/>
    <s v="RS"/>
    <x v="10"/>
    <s v="DAL"/>
    <s v="H"/>
    <n v="2"/>
    <n v="2"/>
    <n v="0"/>
    <n v="0"/>
    <n v="0"/>
    <n v="0"/>
    <n v="1433.2746220363979"/>
    <n v="1388.582153704006"/>
    <n v="0.67717369835199359"/>
    <n v="78"/>
    <n v="66"/>
    <n v="0"/>
    <n v="12"/>
    <n v="1"/>
    <n v="0.43975146119842917"/>
    <n v="1"/>
    <n v="71.95"/>
    <n v="71.95"/>
    <n v="10.214262159242539"/>
    <n v="1443.4888841956404"/>
    <n v="1"/>
    <n v="0"/>
    <n v="0"/>
    <n v="0"/>
    <n v="0"/>
    <n v="0"/>
    <n v="0"/>
    <n v="0"/>
    <n v="0"/>
    <n v="0"/>
  </r>
  <r>
    <d v="2016-09-01T00:00:00"/>
    <n v="2016"/>
    <x v="27"/>
    <s v="R"/>
    <s v="RS"/>
    <x v="8"/>
    <s v="IND"/>
    <s v="A"/>
    <n v="5"/>
    <n v="1"/>
    <n v="4"/>
    <n v="-4"/>
    <n v="16"/>
    <n v="-16"/>
    <n v="1605.218457398521"/>
    <n v="1498.1662403096641"/>
    <n v="0.57857004491522335"/>
    <n v="77"/>
    <n v="98"/>
    <n v="0"/>
    <n v="-21"/>
    <n v="0"/>
    <n v="0.54036980167324788"/>
    <n v="1"/>
    <n v="71.8"/>
    <n v="71.8"/>
    <n v="-22.447679834509355"/>
    <n v="1582.7707775640117"/>
    <n v="0"/>
    <n v="1"/>
    <n v="0"/>
    <n v="0"/>
    <n v="0"/>
    <n v="0"/>
    <n v="0"/>
    <n v="0"/>
    <n v="0"/>
    <n v="0"/>
  </r>
  <r>
    <d v="2016-09-01T00:00:00"/>
    <n v="2016"/>
    <x v="26"/>
    <s v="R"/>
    <s v="RS"/>
    <x v="3"/>
    <s v="NYL"/>
    <s v="H"/>
    <n v="1"/>
    <n v="5"/>
    <n v="-4"/>
    <n v="4"/>
    <n v="-16"/>
    <n v="16"/>
    <n v="1498.1662403096641"/>
    <n v="1605.218457398521"/>
    <n v="0.42142995508477665"/>
    <n v="98"/>
    <n v="77"/>
    <n v="0"/>
    <n v="21"/>
    <n v="1"/>
    <n v="0.54036980167324788"/>
    <n v="1"/>
    <n v="71.95"/>
    <n v="71.95"/>
    <n v="22.494576101573092"/>
    <n v="1520.6608164112372"/>
    <n v="1"/>
    <n v="0"/>
    <n v="0"/>
    <n v="0"/>
    <n v="0"/>
    <n v="0"/>
    <n v="0"/>
    <n v="0"/>
    <n v="0"/>
    <n v="0"/>
  </r>
  <r>
    <d v="2016-09-01T00:00:00"/>
    <n v="2016"/>
    <x v="26"/>
    <s v="R"/>
    <s v="RS"/>
    <x v="11"/>
    <s v="SAS"/>
    <s v="A"/>
    <n v="3"/>
    <n v="1"/>
    <n v="2"/>
    <n v="-2"/>
    <n v="16"/>
    <n v="-16"/>
    <n v="1643.3519782819142"/>
    <n v="1324.5716026396235"/>
    <n v="0.82284040789283008"/>
    <n v="70"/>
    <n v="61"/>
    <n v="0"/>
    <n v="9"/>
    <n v="1"/>
    <n v="0.32076121102807209"/>
    <n v="1"/>
    <n v="71.95"/>
    <n v="71.95"/>
    <n v="4.0886253260210506"/>
    <n v="1647.4406036079351"/>
    <n v="1"/>
    <n v="0"/>
    <n v="0"/>
    <n v="0"/>
    <n v="0"/>
    <n v="0"/>
    <n v="0"/>
    <n v="0"/>
    <n v="0"/>
    <n v="0"/>
  </r>
  <r>
    <d v="2016-09-01T00:00:00"/>
    <n v="2016"/>
    <x v="26"/>
    <s v="R"/>
    <s v="RS"/>
    <x v="7"/>
    <s v="LAS"/>
    <s v="H"/>
    <n v="1"/>
    <n v="3"/>
    <n v="-2"/>
    <n v="2"/>
    <n v="-16"/>
    <n v="16"/>
    <n v="1324.5716026396235"/>
    <n v="1643.3519782819142"/>
    <n v="0.17715959210716983"/>
    <n v="61"/>
    <n v="70"/>
    <n v="0"/>
    <n v="-9"/>
    <n v="0"/>
    <n v="0.32076121102807209"/>
    <n v="1"/>
    <n v="71.95"/>
    <n v="71.95"/>
    <n v="-4.0886253260210488"/>
    <n v="1320.4829773136025"/>
    <n v="0"/>
    <n v="1"/>
    <n v="0"/>
    <n v="0"/>
    <n v="0"/>
    <n v="0"/>
    <n v="0"/>
    <n v="0"/>
    <n v="0"/>
    <n v="0"/>
  </r>
  <r>
    <d v="2016-09-02T00:00:00"/>
    <n v="2016"/>
    <x v="27"/>
    <s v="R"/>
    <s v="RS"/>
    <x v="10"/>
    <s v="CHI"/>
    <s v="A"/>
    <n v="1"/>
    <n v="4"/>
    <n v="-3"/>
    <n v="3"/>
    <n v="-16"/>
    <n v="16"/>
    <n v="1443.4888841956404"/>
    <n v="1521.8593224605763"/>
    <n v="0.24621794339297942"/>
    <n v="88"/>
    <n v="92"/>
    <n v="0"/>
    <n v="-4"/>
    <n v="0"/>
    <n v="0.29234036606156544"/>
    <n v="1"/>
    <n v="71.8"/>
    <n v="71.8"/>
    <n v="-5.1681240578344303"/>
    <n v="1438.320760137806"/>
    <n v="0"/>
    <n v="1"/>
    <n v="0"/>
    <n v="0"/>
    <n v="0"/>
    <n v="0"/>
    <n v="0"/>
    <n v="0"/>
    <n v="0"/>
    <n v="0"/>
  </r>
  <r>
    <d v="2016-09-02T00:00:00"/>
    <n v="2016"/>
    <x v="26"/>
    <s v="R"/>
    <s v="RS"/>
    <x v="1"/>
    <s v="SEA"/>
    <s v="H"/>
    <n v="4"/>
    <n v="1"/>
    <n v="3"/>
    <n v="-3"/>
    <n v="16"/>
    <n v="-16"/>
    <n v="1521.8593224605763"/>
    <n v="1443.4888841956404"/>
    <n v="0.75378205660702058"/>
    <n v="92"/>
    <n v="88"/>
    <n v="0"/>
    <n v="4"/>
    <n v="1"/>
    <n v="0.29234036606156544"/>
    <n v="1"/>
    <n v="71.95"/>
    <n v="71.95"/>
    <n v="5.1789209743897953"/>
    <n v="1527.038243434966"/>
    <n v="1"/>
    <n v="0"/>
    <n v="0"/>
    <n v="0"/>
    <n v="0"/>
    <n v="0"/>
    <n v="0"/>
    <n v="0"/>
    <n v="0"/>
    <n v="0"/>
  </r>
  <r>
    <d v="2016-09-02T00:00:00"/>
    <n v="2016"/>
    <x v="27"/>
    <s v="R"/>
    <s v="RS"/>
    <x v="4"/>
    <s v="CON"/>
    <s v="A"/>
    <n v="2"/>
    <n v="2"/>
    <n v="0"/>
    <n v="0"/>
    <n v="0"/>
    <n v="0"/>
    <n v="1528.1711884956269"/>
    <n v="1448.0678468931003"/>
    <n v="0.49439249290379306"/>
    <n v="74"/>
    <n v="87"/>
    <n v="0"/>
    <n v="-13"/>
    <n v="0"/>
    <n v="0.44250529497705599"/>
    <n v="1"/>
    <n v="71.8"/>
    <n v="71.8"/>
    <n v="-15.707779046110753"/>
    <n v="1512.4634094495161"/>
    <n v="0"/>
    <n v="1"/>
    <n v="0"/>
    <n v="0"/>
    <n v="0"/>
    <n v="0"/>
    <n v="0"/>
    <n v="0"/>
    <n v="0"/>
    <n v="0"/>
  </r>
  <r>
    <d v="2016-09-02T00:00:00"/>
    <n v="2016"/>
    <x v="27"/>
    <s v="R"/>
    <s v="RS"/>
    <x v="0"/>
    <s v="PHX"/>
    <s v="H"/>
    <n v="2"/>
    <n v="2"/>
    <n v="0"/>
    <n v="0"/>
    <n v="0"/>
    <n v="0"/>
    <n v="1448.0678468931003"/>
    <n v="1528.1711884956269"/>
    <n v="0.50560750709620694"/>
    <n v="87"/>
    <n v="74"/>
    <n v="0"/>
    <n v="13"/>
    <n v="1"/>
    <n v="0.44250529497705599"/>
    <n v="1"/>
    <n v="71.8"/>
    <n v="71.8"/>
    <n v="15.707779046110753"/>
    <n v="1463.7756259392111"/>
    <n v="1"/>
    <n v="0"/>
    <n v="0"/>
    <n v="0"/>
    <n v="0"/>
    <n v="0"/>
    <n v="0"/>
    <n v="0"/>
    <n v="0"/>
    <n v="0"/>
  </r>
  <r>
    <d v="2016-09-02T00:00:00"/>
    <n v="2016"/>
    <x v="27"/>
    <s v="R"/>
    <s v="RS"/>
    <x v="11"/>
    <s v="DAL"/>
    <s v="A"/>
    <n v="0"/>
    <n v="1"/>
    <n v="-1"/>
    <n v="1"/>
    <n v="-8"/>
    <n v="8"/>
    <n v="1647.4406036079351"/>
    <n v="1378.389186045443"/>
    <n v="0.72574456254063313"/>
    <n v="87"/>
    <n v="79"/>
    <n v="0"/>
    <n v="8"/>
    <n v="1"/>
    <n v="0.31719695882175225"/>
    <n v="1"/>
    <n v="71.8"/>
    <n v="71.8"/>
    <n v="6.2460967324352232"/>
    <n v="1653.6867003403704"/>
    <n v="1"/>
    <n v="0"/>
    <n v="0"/>
    <n v="0"/>
    <n v="0"/>
    <n v="0"/>
    <n v="0"/>
    <n v="0"/>
    <n v="0"/>
    <n v="0"/>
  </r>
  <r>
    <d v="2016-09-02T00:00:00"/>
    <n v="2016"/>
    <x v="28"/>
    <s v="R"/>
    <s v="RS"/>
    <x v="2"/>
    <s v="LAS"/>
    <s v="H"/>
    <n v="1"/>
    <n v="0"/>
    <n v="1"/>
    <n v="-1"/>
    <n v="8"/>
    <n v="-8"/>
    <n v="1378.389186045443"/>
    <n v="1647.4406036079351"/>
    <n v="0.27425543745936687"/>
    <n v="79"/>
    <n v="87"/>
    <n v="0"/>
    <n v="-8"/>
    <n v="0"/>
    <n v="0.31719695882175225"/>
    <n v="1"/>
    <n v="71.650000000000006"/>
    <n v="71.650000000000006"/>
    <n v="-6.2330477838298579"/>
    <n v="1372.1561382616133"/>
    <n v="0"/>
    <n v="1"/>
    <n v="0"/>
    <n v="0"/>
    <n v="0"/>
    <n v="0"/>
    <n v="0"/>
    <n v="0"/>
    <n v="0"/>
    <n v="0"/>
  </r>
  <r>
    <d v="2016-09-02T00:00:00"/>
    <n v="2016"/>
    <x v="26"/>
    <s v="R"/>
    <s v="RS"/>
    <x v="9"/>
    <s v="MIN"/>
    <s v="A"/>
    <n v="4"/>
    <n v="4"/>
    <n v="0"/>
    <n v="0"/>
    <n v="0"/>
    <n v="0"/>
    <n v="1445.8364106096465"/>
    <n v="1672.2748564224435"/>
    <n v="0.14343756661523618"/>
    <n v="69"/>
    <n v="75"/>
    <n v="0"/>
    <n v="-6"/>
    <n v="0"/>
    <n v="0.29551707229048679"/>
    <n v="1"/>
    <n v="71.95"/>
    <n v="71.95"/>
    <n v="-3.0498345689805211"/>
    <n v="1442.786576040666"/>
    <n v="0"/>
    <n v="1"/>
    <n v="0"/>
    <n v="0"/>
    <n v="0"/>
    <n v="0"/>
    <n v="0"/>
    <n v="0"/>
    <n v="0"/>
    <n v="0"/>
  </r>
  <r>
    <d v="2016-09-02T00:00:00"/>
    <n v="2016"/>
    <x v="27"/>
    <s v="R"/>
    <s v="RS"/>
    <x v="5"/>
    <s v="WAS"/>
    <s v="H"/>
    <n v="4"/>
    <n v="4"/>
    <n v="0"/>
    <n v="0"/>
    <n v="0"/>
    <n v="0"/>
    <n v="1672.2748564224435"/>
    <n v="1445.8364106096465"/>
    <n v="0.8565624333847639"/>
    <n v="75"/>
    <n v="69"/>
    <n v="0"/>
    <n v="6"/>
    <n v="1"/>
    <n v="0.29551707229048679"/>
    <n v="1"/>
    <n v="71.8"/>
    <n v="71.8"/>
    <n v="3.0434763315191282"/>
    <n v="1675.3183327539625"/>
    <n v="1"/>
    <n v="0"/>
    <n v="0"/>
    <n v="0"/>
    <n v="0"/>
    <n v="0"/>
    <n v="0"/>
    <n v="0"/>
    <n v="0"/>
    <n v="0"/>
  </r>
  <r>
    <d v="2016-09-03T00:00:00"/>
    <n v="2016"/>
    <x v="28"/>
    <s v="R"/>
    <s v="RS"/>
    <x v="4"/>
    <s v="NYL"/>
    <s v="A"/>
    <n v="0"/>
    <n v="1"/>
    <n v="-1"/>
    <n v="1"/>
    <n v="-8"/>
    <n v="8"/>
    <n v="1512.4634094495161"/>
    <n v="1582.7707775640117"/>
    <n v="0.27281876702270363"/>
    <n v="70"/>
    <n v="92"/>
    <n v="0"/>
    <n v="-22"/>
    <n v="0"/>
    <n v="0.56873432660361467"/>
    <n v="1"/>
    <n v="71.650000000000006"/>
    <n v="71.650000000000006"/>
    <n v="-11.117314148607358"/>
    <n v="1501.3460953009087"/>
    <n v="0"/>
    <n v="1"/>
    <n v="0"/>
    <n v="0"/>
    <n v="0"/>
    <n v="0"/>
    <n v="0"/>
    <n v="0"/>
    <n v="0"/>
    <n v="0"/>
  </r>
  <r>
    <d v="2016-09-03T00:00:00"/>
    <n v="2016"/>
    <x v="28"/>
    <s v="R"/>
    <s v="RS"/>
    <x v="8"/>
    <s v="PHX"/>
    <s v="H"/>
    <n v="1"/>
    <n v="0"/>
    <n v="1"/>
    <n v="-1"/>
    <n v="8"/>
    <n v="-8"/>
    <n v="1582.7707775640117"/>
    <n v="1512.4634094495161"/>
    <n v="0.72718123297729642"/>
    <n v="92"/>
    <n v="70"/>
    <n v="0"/>
    <n v="22"/>
    <n v="1"/>
    <n v="0.56873432660361467"/>
    <n v="1"/>
    <n v="71.650000000000006"/>
    <n v="71.650000000000006"/>
    <n v="11.117314148607356"/>
    <n v="1593.8880917126191"/>
    <n v="1"/>
    <n v="0"/>
    <n v="0"/>
    <n v="0"/>
    <n v="0"/>
    <n v="0"/>
    <n v="0"/>
    <n v="0"/>
    <n v="0"/>
    <n v="0"/>
  </r>
  <r>
    <d v="2016-09-04T00:00:00"/>
    <n v="2016"/>
    <x v="28"/>
    <s v="R"/>
    <s v="RS"/>
    <x v="10"/>
    <s v="ATL"/>
    <s v="A"/>
    <n v="1"/>
    <n v="6"/>
    <n v="-5"/>
    <n v="5"/>
    <n v="-16"/>
    <n v="16"/>
    <n v="1438.320760137806"/>
    <n v="1491.4444017190783"/>
    <n v="0.27417269362918734"/>
    <n v="91"/>
    <n v="82"/>
    <n v="0"/>
    <n v="9"/>
    <n v="1"/>
    <n v="0.38876118557778871"/>
    <n v="1"/>
    <n v="71.650000000000006"/>
    <n v="71.650000000000006"/>
    <n v="20.217730139308095"/>
    <n v="1458.5384902771141"/>
    <n v="1"/>
    <n v="0"/>
    <n v="0"/>
    <n v="0"/>
    <n v="0"/>
    <n v="0"/>
    <n v="0"/>
    <n v="0"/>
    <n v="0"/>
    <n v="0"/>
  </r>
  <r>
    <d v="2016-09-04T00:00:00"/>
    <n v="2016"/>
    <x v="27"/>
    <s v="R"/>
    <s v="RS"/>
    <x v="6"/>
    <s v="SEA"/>
    <s v="H"/>
    <n v="6"/>
    <n v="1"/>
    <n v="5"/>
    <n v="-5"/>
    <n v="16"/>
    <n v="-16"/>
    <n v="1491.4444017190783"/>
    <n v="1438.320760137806"/>
    <n v="0.72582730637081261"/>
    <n v="82"/>
    <n v="91"/>
    <n v="0"/>
    <n v="-9"/>
    <n v="0"/>
    <n v="0.38876118557778871"/>
    <n v="1"/>
    <n v="71.8"/>
    <n v="71.8"/>
    <n v="-20.260056161930507"/>
    <n v="1471.1843455571477"/>
    <n v="0"/>
    <n v="1"/>
    <n v="0"/>
    <n v="0"/>
    <n v="0"/>
    <n v="0"/>
    <n v="0"/>
    <n v="0"/>
    <n v="0"/>
    <n v="0"/>
  </r>
  <r>
    <d v="2016-09-04T00:00:00"/>
    <n v="2016"/>
    <x v="27"/>
    <s v="R"/>
    <s v="RS"/>
    <x v="7"/>
    <s v="CHI"/>
    <s v="A"/>
    <n v="2"/>
    <n v="1"/>
    <n v="1"/>
    <n v="-1"/>
    <n v="8"/>
    <n v="-8"/>
    <n v="1320.4829773136025"/>
    <n v="1527.038243434966"/>
    <n v="0.17072933131230433"/>
    <n v="73"/>
    <n v="97"/>
    <n v="0"/>
    <n v="-24"/>
    <n v="0"/>
    <n v="0.53614467593390369"/>
    <n v="1"/>
    <n v="71.8"/>
    <n v="71.8"/>
    <n v="-6.5722576602352492"/>
    <n v="1313.9107196533673"/>
    <n v="0"/>
    <n v="1"/>
    <n v="0"/>
    <n v="0"/>
    <n v="0"/>
    <n v="0"/>
    <n v="0"/>
    <n v="0"/>
    <n v="0"/>
    <n v="0"/>
  </r>
  <r>
    <d v="2016-09-04T00:00:00"/>
    <n v="2016"/>
    <x v="27"/>
    <s v="R"/>
    <s v="RS"/>
    <x v="1"/>
    <s v="SAS"/>
    <s v="H"/>
    <n v="1"/>
    <n v="2"/>
    <n v="-1"/>
    <n v="1"/>
    <n v="-8"/>
    <n v="8"/>
    <n v="1527.038243434966"/>
    <n v="1320.4829773136025"/>
    <n v="0.82927066868769572"/>
    <n v="97"/>
    <n v="73"/>
    <n v="0"/>
    <n v="24"/>
    <n v="1"/>
    <n v="0.53614467593390369"/>
    <n v="1"/>
    <n v="71.8"/>
    <n v="71.8"/>
    <n v="6.5722576602352465"/>
    <n v="1533.6105010952012"/>
    <n v="1"/>
    <n v="0"/>
    <n v="0"/>
    <n v="0"/>
    <n v="0"/>
    <n v="0"/>
    <n v="0"/>
    <n v="0"/>
    <n v="0"/>
    <n v="0"/>
  </r>
  <r>
    <d v="2016-09-04T00:00:00"/>
    <n v="2016"/>
    <x v="27"/>
    <s v="R"/>
    <s v="RS"/>
    <x v="9"/>
    <s v="DAL"/>
    <s v="A"/>
    <n v="1"/>
    <n v="1"/>
    <n v="0"/>
    <n v="0"/>
    <n v="0"/>
    <n v="0"/>
    <n v="1442.786576040666"/>
    <n v="1372.1561382616133"/>
    <n v="0.48076914451242025"/>
    <n v="88"/>
    <n v="83"/>
    <n v="0"/>
    <n v="5"/>
    <n v="1"/>
    <n v="0.31331468121395917"/>
    <n v="1"/>
    <n v="71.8"/>
    <n v="71.8"/>
    <n v="11.680614267382341"/>
    <n v="1454.4671903080484"/>
    <n v="1"/>
    <n v="0"/>
    <n v="0"/>
    <n v="0"/>
    <n v="0"/>
    <n v="0"/>
    <n v="0"/>
    <n v="0"/>
    <n v="0"/>
    <n v="0"/>
  </r>
  <r>
    <d v="2016-09-04T00:00:00"/>
    <n v="2016"/>
    <x v="29"/>
    <s v="R"/>
    <s v="RS"/>
    <x v="2"/>
    <s v="WAS"/>
    <s v="H"/>
    <n v="1"/>
    <n v="1"/>
    <n v="0"/>
    <n v="0"/>
    <n v="0"/>
    <n v="0"/>
    <n v="1372.1561382616133"/>
    <n v="1442.786576040666"/>
    <n v="0.51923085548757963"/>
    <n v="83"/>
    <n v="88"/>
    <n v="0"/>
    <n v="-5"/>
    <n v="0"/>
    <n v="0.31331468121395917"/>
    <n v="1"/>
    <n v="71.5"/>
    <n v="71.5"/>
    <n v="-11.631809472393275"/>
    <n v="1360.5243287892199"/>
    <n v="0"/>
    <n v="1"/>
    <n v="0"/>
    <n v="0"/>
    <n v="0"/>
    <n v="0"/>
    <n v="0"/>
    <n v="0"/>
    <n v="0"/>
    <n v="0"/>
  </r>
  <r>
    <d v="2016-09-04T00:00:00"/>
    <n v="2016"/>
    <x v="27"/>
    <s v="R"/>
    <s v="RS"/>
    <x v="3"/>
    <s v="LAS"/>
    <s v="A"/>
    <n v="2"/>
    <n v="1"/>
    <n v="1"/>
    <n v="-1"/>
    <n v="8"/>
    <n v="-8"/>
    <n v="1520.6608164112372"/>
    <n v="1653.6867003403704"/>
    <n v="0.23917679426314342"/>
    <n v="81"/>
    <n v="88"/>
    <n v="0"/>
    <n v="-7"/>
    <n v="0"/>
    <n v="0.33317328068341912"/>
    <n v="1"/>
    <n v="71.8"/>
    <n v="71.8"/>
    <n v="-5.7215493755340168"/>
    <n v="1514.9392670357031"/>
    <n v="0"/>
    <n v="1"/>
    <n v="0"/>
    <n v="0"/>
    <n v="0"/>
    <n v="0"/>
    <n v="0"/>
    <n v="0"/>
    <n v="0"/>
    <n v="0"/>
  </r>
  <r>
    <d v="2016-09-04T00:00:00"/>
    <n v="2016"/>
    <x v="28"/>
    <s v="R"/>
    <s v="RS"/>
    <x v="11"/>
    <s v="IND"/>
    <s v="H"/>
    <n v="1"/>
    <n v="2"/>
    <n v="-1"/>
    <n v="1"/>
    <n v="-8"/>
    <n v="8"/>
    <n v="1653.6867003403704"/>
    <n v="1520.6608164112372"/>
    <n v="0.76082320573685658"/>
    <n v="88"/>
    <n v="81"/>
    <n v="0"/>
    <n v="7"/>
    <n v="1"/>
    <n v="0.33317328068341912"/>
    <n v="1"/>
    <n v="71.650000000000006"/>
    <n v="71.650000000000006"/>
    <n v="5.7095962779528184"/>
    <n v="1659.3962966183233"/>
    <n v="1"/>
    <n v="0"/>
    <n v="0"/>
    <n v="0"/>
    <n v="0"/>
    <n v="0"/>
    <n v="0"/>
    <n v="0"/>
    <n v="0"/>
    <n v="0"/>
  </r>
  <r>
    <d v="2016-09-04T00:00:00"/>
    <n v="2016"/>
    <x v="28"/>
    <s v="R"/>
    <s v="RS"/>
    <x v="0"/>
    <s v="MIN"/>
    <s v="A"/>
    <n v="1"/>
    <n v="1"/>
    <n v="0"/>
    <n v="0"/>
    <n v="0"/>
    <n v="0"/>
    <n v="1463.7756259392111"/>
    <n v="1675.3183327539625"/>
    <n v="0.15429808828063565"/>
    <n v="79"/>
    <n v="93"/>
    <n v="0"/>
    <n v="-14"/>
    <n v="0"/>
    <n v="0.41453207289867211"/>
    <n v="1"/>
    <n v="71.650000000000006"/>
    <n v="71.650000000000006"/>
    <n v="-4.5828419320749969"/>
    <n v="1459.192784007136"/>
    <n v="0"/>
    <n v="1"/>
    <n v="0"/>
    <n v="0"/>
    <n v="0"/>
    <n v="0"/>
    <n v="0"/>
    <n v="0"/>
    <n v="0"/>
    <n v="0"/>
  </r>
  <r>
    <d v="2016-09-04T00:00:00"/>
    <n v="2016"/>
    <x v="28"/>
    <s v="R"/>
    <s v="RS"/>
    <x v="5"/>
    <s v="CON"/>
    <s v="H"/>
    <n v="1"/>
    <n v="1"/>
    <n v="0"/>
    <n v="0"/>
    <n v="0"/>
    <n v="0"/>
    <n v="1675.3183327539625"/>
    <n v="1463.7756259392111"/>
    <n v="0.84570191171936449"/>
    <n v="93"/>
    <n v="79"/>
    <n v="0"/>
    <n v="14"/>
    <n v="1"/>
    <n v="0.41453207289867211"/>
    <n v="1"/>
    <n v="71.650000000000006"/>
    <n v="71.650000000000006"/>
    <n v="4.5828419320749925"/>
    <n v="1679.9011746860376"/>
    <n v="1"/>
    <n v="0"/>
    <n v="0"/>
    <n v="0"/>
    <n v="0"/>
    <n v="0"/>
    <n v="0"/>
    <n v="0"/>
    <n v="0"/>
    <n v="0"/>
  </r>
  <r>
    <d v="2016-09-06T00:00:00"/>
    <n v="2016"/>
    <x v="29"/>
    <s v="R"/>
    <s v="RS"/>
    <x v="4"/>
    <s v="ATL"/>
    <s v="A"/>
    <n v="2"/>
    <n v="1"/>
    <n v="1"/>
    <n v="-1"/>
    <n v="8"/>
    <n v="-8"/>
    <n v="1501.3460953009087"/>
    <n v="1471.1843455571477"/>
    <n v="0.44576065170953155"/>
    <n v="87"/>
    <n v="91"/>
    <n v="0"/>
    <n v="-4"/>
    <n v="0"/>
    <n v="0.30379686408108514"/>
    <n v="1"/>
    <n v="71.5"/>
    <n v="71.5"/>
    <n v="-9.6825792005868987"/>
    <n v="1491.6635161003219"/>
    <n v="0"/>
    <n v="1"/>
    <n v="0"/>
    <n v="0"/>
    <n v="0"/>
    <n v="0"/>
    <n v="0"/>
    <n v="0"/>
    <n v="0"/>
    <n v="0"/>
  </r>
  <r>
    <d v="2016-09-06T00:00:00"/>
    <n v="2016"/>
    <x v="28"/>
    <s v="R"/>
    <s v="RS"/>
    <x v="6"/>
    <s v="PHX"/>
    <s v="H"/>
    <n v="1"/>
    <n v="2"/>
    <n v="-1"/>
    <n v="1"/>
    <n v="-8"/>
    <n v="8"/>
    <n v="1471.1843455571477"/>
    <n v="1501.3460953009087"/>
    <n v="0.5542393482904685"/>
    <n v="91"/>
    <n v="87"/>
    <n v="0"/>
    <n v="4"/>
    <n v="1"/>
    <n v="0.30379686408108514"/>
    <n v="1"/>
    <n v="71.650000000000006"/>
    <n v="71.650000000000006"/>
    <n v="9.702892303804914"/>
    <n v="1480.8872378609526"/>
    <n v="1"/>
    <n v="0"/>
    <n v="0"/>
    <n v="0"/>
    <n v="0"/>
    <n v="0"/>
    <n v="0"/>
    <n v="0"/>
    <n v="0"/>
    <n v="0"/>
  </r>
  <r>
    <d v="2016-09-06T00:00:00"/>
    <n v="2016"/>
    <x v="29"/>
    <s v="R"/>
    <s v="RS"/>
    <x v="5"/>
    <s v="LAS"/>
    <s v="A"/>
    <n v="1"/>
    <n v="1"/>
    <n v="0"/>
    <n v="0"/>
    <n v="0"/>
    <n v="0"/>
    <n v="1679.9011746860376"/>
    <n v="1659.3962966183233"/>
    <n v="0.4096270599536857"/>
    <n v="77"/>
    <n v="74"/>
    <n v="0"/>
    <n v="3"/>
    <n v="1"/>
    <n v="0.28530834376487446"/>
    <n v="1"/>
    <n v="71.5"/>
    <n v="71.5"/>
    <n v="12.043340289567261"/>
    <n v="1691.944514975605"/>
    <n v="1"/>
    <n v="0"/>
    <n v="0"/>
    <n v="0"/>
    <n v="0"/>
    <n v="0"/>
    <n v="0"/>
    <n v="0"/>
    <n v="0"/>
    <n v="0"/>
  </r>
  <r>
    <d v="2016-09-06T00:00:00"/>
    <n v="2016"/>
    <x v="29"/>
    <s v="R"/>
    <s v="RS"/>
    <x v="11"/>
    <s v="MIN"/>
    <s v="H"/>
    <n v="1"/>
    <n v="1"/>
    <n v="0"/>
    <n v="0"/>
    <n v="0"/>
    <n v="0"/>
    <n v="1659.3962966183233"/>
    <n v="1679.9011746860376"/>
    <n v="0.59037294004631424"/>
    <n v="74"/>
    <n v="77"/>
    <n v="0"/>
    <n v="-3"/>
    <n v="0"/>
    <n v="0.28530834376487446"/>
    <n v="1"/>
    <n v="71.5"/>
    <n v="71.5"/>
    <n v="-12.043340289567261"/>
    <n v="1647.3529563287559"/>
    <n v="0"/>
    <n v="1"/>
    <n v="0"/>
    <n v="0"/>
    <n v="0"/>
    <n v="0"/>
    <n v="0"/>
    <n v="0"/>
    <n v="0"/>
    <n v="0"/>
  </r>
  <r>
    <d v="2016-09-06T00:00:00"/>
    <n v="2016"/>
    <x v="28"/>
    <s v="R"/>
    <s v="RS"/>
    <x v="3"/>
    <s v="SAS"/>
    <s v="A"/>
    <n v="1"/>
    <n v="1"/>
    <n v="0"/>
    <n v="0"/>
    <n v="0"/>
    <n v="0"/>
    <n v="1514.9392670357031"/>
    <n v="1313.9107196533673"/>
    <n v="0.6623245513717767"/>
    <n v="71"/>
    <n v="69"/>
    <n v="0"/>
    <n v="2"/>
    <n v="1"/>
    <n v="0.22940973299375053"/>
    <n v="1"/>
    <n v="71.650000000000006"/>
    <n v="71.650000000000006"/>
    <n v="5.5504413725229647"/>
    <n v="1520.4897084082261"/>
    <n v="1"/>
    <n v="0"/>
    <n v="0"/>
    <n v="0"/>
    <n v="0"/>
    <n v="0"/>
    <n v="0"/>
    <n v="0"/>
    <n v="0"/>
    <n v="0"/>
  </r>
  <r>
    <d v="2016-09-06T00:00:00"/>
    <n v="2016"/>
    <x v="28"/>
    <s v="R"/>
    <s v="RS"/>
    <x v="7"/>
    <s v="IND"/>
    <s v="H"/>
    <n v="1"/>
    <n v="1"/>
    <n v="0"/>
    <n v="0"/>
    <n v="0"/>
    <n v="0"/>
    <n v="1313.9107196533673"/>
    <n v="1514.9392670357031"/>
    <n v="0.33767544862822324"/>
    <n v="69"/>
    <n v="71"/>
    <n v="0"/>
    <n v="-2"/>
    <n v="0"/>
    <n v="0.22940973299375053"/>
    <n v="1"/>
    <n v="71.650000000000006"/>
    <n v="71.650000000000006"/>
    <n v="-5.5504413725229638"/>
    <n v="1308.3602782808443"/>
    <n v="0"/>
    <n v="1"/>
    <n v="0"/>
    <n v="0"/>
    <n v="0"/>
    <n v="0"/>
    <n v="0"/>
    <n v="0"/>
    <n v="0"/>
    <n v="0"/>
  </r>
  <r>
    <d v="2016-09-07T00:00:00"/>
    <n v="2016"/>
    <x v="29"/>
    <s v="R"/>
    <s v="RS"/>
    <x v="10"/>
    <s v="NYL"/>
    <s v="A"/>
    <n v="2"/>
    <n v="3"/>
    <n v="-1"/>
    <n v="1"/>
    <n v="-8"/>
    <n v="8"/>
    <n v="1458.5384902771141"/>
    <n v="1593.8880917126191"/>
    <n v="0.20508980171623367"/>
    <n v="102"/>
    <n v="78"/>
    <n v="0"/>
    <n v="24"/>
    <n v="1"/>
    <n v="0.5647338468720744"/>
    <n v="1"/>
    <n v="71.5"/>
    <n v="71.5"/>
    <n v="32.097257634916389"/>
    <n v="1490.6357479120304"/>
    <n v="1"/>
    <n v="0"/>
    <n v="0"/>
    <n v="0"/>
    <n v="0"/>
    <n v="0"/>
    <n v="0"/>
    <n v="0"/>
    <n v="0"/>
    <n v="0"/>
  </r>
  <r>
    <d v="2016-09-07T00:00:00"/>
    <n v="2016"/>
    <x v="29"/>
    <s v="R"/>
    <s v="RS"/>
    <x v="8"/>
    <s v="SEA"/>
    <s v="H"/>
    <n v="3"/>
    <n v="2"/>
    <n v="1"/>
    <n v="-1"/>
    <n v="8"/>
    <n v="-8"/>
    <n v="1593.8880917126191"/>
    <n v="1458.5384902771141"/>
    <n v="0.79491019828376641"/>
    <n v="78"/>
    <n v="102"/>
    <n v="0"/>
    <n v="-24"/>
    <n v="0"/>
    <n v="0.5647338468720744"/>
    <n v="1"/>
    <n v="71.5"/>
    <n v="71.5"/>
    <n v="-32.097257634916389"/>
    <n v="1561.7908340777028"/>
    <n v="0"/>
    <n v="1"/>
    <n v="0"/>
    <n v="0"/>
    <n v="0"/>
    <n v="0"/>
    <n v="0"/>
    <n v="0"/>
    <n v="0"/>
    <n v="0"/>
  </r>
  <r>
    <d v="2016-09-07T00:00:00"/>
    <n v="2016"/>
    <x v="28"/>
    <s v="R"/>
    <s v="RS"/>
    <x v="1"/>
    <s v="WAS"/>
    <s v="A"/>
    <n v="2"/>
    <n v="2"/>
    <n v="0"/>
    <n v="0"/>
    <n v="0"/>
    <n v="0"/>
    <n v="1533.6105010952012"/>
    <n v="1454.4671903080484"/>
    <n v="0.49301111759685318"/>
    <n v="81"/>
    <n v="118"/>
    <n v="0"/>
    <n v="-37"/>
    <n v="0"/>
    <n v="0.73625858220838836"/>
    <n v="1"/>
    <n v="71.650000000000006"/>
    <n v="71.650000000000006"/>
    <n v="-26.007779701488722"/>
    <n v="1507.6027213937125"/>
    <n v="0"/>
    <n v="1"/>
    <n v="0"/>
    <n v="0"/>
    <n v="0"/>
    <n v="0"/>
    <n v="0"/>
    <n v="0"/>
    <n v="0"/>
    <n v="0"/>
  </r>
  <r>
    <d v="2016-09-07T00:00:00"/>
    <n v="2016"/>
    <x v="28"/>
    <s v="R"/>
    <s v="RS"/>
    <x v="9"/>
    <s v="CHI"/>
    <s v="H"/>
    <n v="2"/>
    <n v="2"/>
    <n v="0"/>
    <n v="0"/>
    <n v="0"/>
    <n v="0"/>
    <n v="1454.4671903080484"/>
    <n v="1533.6105010952012"/>
    <n v="0.50698888240314688"/>
    <n v="118"/>
    <n v="81"/>
    <n v="0"/>
    <n v="37"/>
    <n v="1"/>
    <n v="0.73625858220838836"/>
    <n v="1"/>
    <n v="71.650000000000006"/>
    <n v="71.650000000000006"/>
    <n v="26.007779701488722"/>
    <n v="1480.4749700095372"/>
    <n v="1"/>
    <n v="0"/>
    <n v="0"/>
    <n v="0"/>
    <n v="0"/>
    <n v="0"/>
    <n v="0"/>
    <n v="0"/>
    <n v="0"/>
    <n v="0"/>
  </r>
  <r>
    <d v="2016-09-08T00:00:00"/>
    <n v="2016"/>
    <x v="29"/>
    <s v="R"/>
    <s v="RS"/>
    <x v="6"/>
    <s v="LAS"/>
    <s v="A"/>
    <n v="1"/>
    <n v="1"/>
    <n v="0"/>
    <n v="0"/>
    <n v="0"/>
    <n v="0"/>
    <n v="1480.8872378609526"/>
    <n v="1647.3529563287559"/>
    <n v="0.19126729292997696"/>
    <n v="86"/>
    <n v="81"/>
    <n v="0"/>
    <n v="5"/>
    <n v="1"/>
    <n v="0.29134076704089484"/>
    <n v="1"/>
    <n v="71.5"/>
    <n v="71.5"/>
    <n v="16.846601715432048"/>
    <n v="1497.7338395763848"/>
    <n v="1"/>
    <n v="0"/>
    <n v="0"/>
    <n v="0"/>
    <n v="0"/>
    <n v="0"/>
    <n v="0"/>
    <n v="0"/>
    <n v="0"/>
    <n v="0"/>
  </r>
  <r>
    <d v="2016-09-08T00:00:00"/>
    <n v="2016"/>
    <x v="30"/>
    <s v="R"/>
    <s v="RS"/>
    <x v="11"/>
    <s v="ATL"/>
    <s v="H"/>
    <n v="1"/>
    <n v="1"/>
    <n v="0"/>
    <n v="0"/>
    <n v="0"/>
    <n v="0"/>
    <n v="1647.3529563287559"/>
    <n v="1480.8872378609526"/>
    <n v="0.80873270707002298"/>
    <n v="81"/>
    <n v="86"/>
    <n v="0"/>
    <n v="-5"/>
    <n v="0"/>
    <n v="0.29134076704089484"/>
    <n v="1"/>
    <n v="71.349999999999994"/>
    <n v="71.349999999999994"/>
    <n v="-16.811259194350718"/>
    <n v="1630.5416971344052"/>
    <n v="0"/>
    <n v="1"/>
    <n v="0"/>
    <n v="0"/>
    <n v="0"/>
    <n v="0"/>
    <n v="0"/>
    <n v="0"/>
    <n v="0"/>
    <n v="0"/>
  </r>
  <r>
    <d v="2016-09-09T00:00:00"/>
    <n v="2016"/>
    <x v="29"/>
    <s v="R"/>
    <s v="RS"/>
    <x v="1"/>
    <s v="IND"/>
    <s v="A"/>
    <n v="1"/>
    <n v="2"/>
    <n v="-1"/>
    <n v="1"/>
    <n v="-8"/>
    <n v="8"/>
    <n v="1507.6027213937125"/>
    <n v="1520.4897084082261"/>
    <n v="0.34302790746664408"/>
    <n v="88"/>
    <n v="95"/>
    <n v="0"/>
    <n v="-7"/>
    <n v="0"/>
    <n v="0.36617476462320186"/>
    <n v="1"/>
    <n v="71.5"/>
    <n v="71.5"/>
    <n v="-8.980983674218832"/>
    <n v="1498.6217377194937"/>
    <n v="0"/>
    <n v="1"/>
    <n v="0"/>
    <n v="0"/>
    <n v="0"/>
    <n v="0"/>
    <n v="0"/>
    <n v="0"/>
    <n v="0"/>
    <n v="0"/>
  </r>
  <r>
    <d v="2016-09-09T00:00:00"/>
    <n v="2016"/>
    <x v="29"/>
    <s v="R"/>
    <s v="RS"/>
    <x v="3"/>
    <s v="CHI"/>
    <s v="H"/>
    <n v="2"/>
    <n v="1"/>
    <n v="1"/>
    <n v="-1"/>
    <n v="8"/>
    <n v="-8"/>
    <n v="1520.4897084082261"/>
    <n v="1507.6027213937125"/>
    <n v="0.65697209253335598"/>
    <n v="95"/>
    <n v="88"/>
    <n v="0"/>
    <n v="7"/>
    <n v="1"/>
    <n v="0.36617476462320186"/>
    <n v="1"/>
    <n v="71.5"/>
    <n v="71.5"/>
    <n v="8.980983674218832"/>
    <n v="1529.4706920824449"/>
    <n v="1"/>
    <n v="0"/>
    <n v="0"/>
    <n v="0"/>
    <n v="0"/>
    <n v="0"/>
    <n v="0"/>
    <n v="0"/>
    <n v="0"/>
    <n v="0"/>
  </r>
  <r>
    <d v="2016-09-09T00:00:00"/>
    <n v="2016"/>
    <x v="29"/>
    <s v="R"/>
    <s v="RS"/>
    <x v="0"/>
    <s v="NYL"/>
    <s v="A"/>
    <n v="4"/>
    <n v="1"/>
    <n v="3"/>
    <n v="-3"/>
    <n v="16"/>
    <n v="-16"/>
    <n v="1459.192784007136"/>
    <n v="1561.7908340777028"/>
    <n v="0.29112264002336508"/>
    <n v="82"/>
    <n v="89"/>
    <n v="0"/>
    <n v="-7"/>
    <n v="0"/>
    <n v="0.34095598942476835"/>
    <n v="1"/>
    <n v="71.5"/>
    <n v="71.5"/>
    <n v="-7.0970905557778732"/>
    <n v="1452.0956934513581"/>
    <n v="0"/>
    <n v="1"/>
    <n v="0"/>
    <n v="0"/>
    <n v="0"/>
    <n v="0"/>
    <n v="0"/>
    <n v="0"/>
    <n v="0"/>
    <n v="0"/>
  </r>
  <r>
    <d v="2016-09-09T00:00:00"/>
    <n v="2016"/>
    <x v="30"/>
    <s v="R"/>
    <s v="RS"/>
    <x v="8"/>
    <s v="CON"/>
    <s v="H"/>
    <n v="1"/>
    <n v="4"/>
    <n v="-3"/>
    <n v="3"/>
    <n v="-16"/>
    <n v="16"/>
    <n v="1561.7908340777028"/>
    <n v="1459.192784007136"/>
    <n v="0.70887735997663504"/>
    <n v="89"/>
    <n v="82"/>
    <n v="0"/>
    <n v="7"/>
    <n v="1"/>
    <n v="0.34095598942476835"/>
    <n v="1"/>
    <n v="71.349999999999994"/>
    <n v="71.349999999999994"/>
    <n v="7.0822015546119017"/>
    <n v="1568.8730356323147"/>
    <n v="1"/>
    <n v="0"/>
    <n v="0"/>
    <n v="0"/>
    <n v="0"/>
    <n v="0"/>
    <n v="0"/>
    <n v="0"/>
    <n v="0"/>
    <n v="0"/>
  </r>
  <r>
    <d v="2016-09-09T00:00:00"/>
    <n v="2016"/>
    <x v="30"/>
    <s v="R"/>
    <s v="RS"/>
    <x v="2"/>
    <s v="SAS"/>
    <s v="A"/>
    <n v="4"/>
    <n v="2"/>
    <n v="2"/>
    <n v="-2"/>
    <n v="16"/>
    <n v="-16"/>
    <n v="1360.5243287892199"/>
    <n v="1308.3602782808443"/>
    <n v="0.5002360876418821"/>
    <n v="92"/>
    <n v="84"/>
    <n v="0"/>
    <n v="8"/>
    <n v="1"/>
    <n v="0.37213865213142033"/>
    <n v="1"/>
    <n v="71.349999999999994"/>
    <n v="71.349999999999994"/>
    <n v="13.26977779380525"/>
    <n v="1373.7941065830253"/>
    <n v="1"/>
    <n v="0"/>
    <n v="0"/>
    <n v="0"/>
    <n v="0"/>
    <n v="0"/>
    <n v="0"/>
    <n v="0"/>
    <n v="0"/>
    <n v="0"/>
  </r>
  <r>
    <d v="2016-09-09T00:00:00"/>
    <n v="2016"/>
    <x v="29"/>
    <s v="R"/>
    <s v="RS"/>
    <x v="7"/>
    <s v="DAL"/>
    <s v="H"/>
    <n v="2"/>
    <n v="4"/>
    <n v="-2"/>
    <n v="2"/>
    <n v="-16"/>
    <n v="16"/>
    <n v="1308.3602782808443"/>
    <n v="1360.5243287892199"/>
    <n v="0.49976391235811796"/>
    <n v="84"/>
    <n v="92"/>
    <n v="0"/>
    <n v="-8"/>
    <n v="0"/>
    <n v="0.37213865213142033"/>
    <n v="1"/>
    <n v="71.5"/>
    <n v="71.5"/>
    <n v="-13.297675014114583"/>
    <n v="1295.0626032667299"/>
    <n v="0"/>
    <n v="1"/>
    <n v="0"/>
    <n v="0"/>
    <n v="0"/>
    <n v="0"/>
    <n v="0"/>
    <n v="0"/>
    <n v="0"/>
    <n v="0"/>
  </r>
  <r>
    <d v="2016-09-09T00:00:00"/>
    <n v="2016"/>
    <x v="30"/>
    <s v="R"/>
    <s v="RS"/>
    <x v="10"/>
    <s v="WAS"/>
    <s v="A"/>
    <n v="1"/>
    <n v="1"/>
    <n v="0"/>
    <n v="0"/>
    <n v="0"/>
    <n v="0"/>
    <n v="1490.6357479120304"/>
    <n v="1480.4749700095372"/>
    <n v="0.3953083106078516"/>
    <n v="81"/>
    <n v="76"/>
    <n v="0"/>
    <n v="5"/>
    <n v="1"/>
    <n v="0.32897047881812452"/>
    <n v="1"/>
    <n v="71.349999999999994"/>
    <n v="71.349999999999994"/>
    <n v="14.193349736472808"/>
    <n v="1504.8290976485032"/>
    <n v="1"/>
    <n v="0"/>
    <n v="0"/>
    <n v="0"/>
    <n v="0"/>
    <n v="0"/>
    <n v="0"/>
    <n v="0"/>
    <n v="0"/>
    <n v="0"/>
  </r>
  <r>
    <d v="2016-09-09T00:00:00"/>
    <n v="2016"/>
    <x v="29"/>
    <s v="R"/>
    <s v="RS"/>
    <x v="9"/>
    <s v="SEA"/>
    <s v="H"/>
    <n v="1"/>
    <n v="1"/>
    <n v="0"/>
    <n v="0"/>
    <n v="0"/>
    <n v="0"/>
    <n v="1480.4749700095372"/>
    <n v="1490.6357479120304"/>
    <n v="0.60469168939214835"/>
    <n v="76"/>
    <n v="81"/>
    <n v="0"/>
    <n v="-5"/>
    <n v="0"/>
    <n v="0.32897047881812452"/>
    <n v="1"/>
    <n v="71.5"/>
    <n v="71.5"/>
    <n v="-14.223188593662311"/>
    <n v="1466.2517814158748"/>
    <n v="0"/>
    <n v="1"/>
    <n v="0"/>
    <n v="0"/>
    <n v="0"/>
    <n v="0"/>
    <n v="0"/>
    <n v="0"/>
    <n v="0"/>
    <n v="0"/>
  </r>
  <r>
    <d v="2016-09-11T00:00:00"/>
    <n v="2016"/>
    <x v="30"/>
    <s v="R"/>
    <s v="RS"/>
    <x v="1"/>
    <s v="CON"/>
    <s v="A"/>
    <n v="1"/>
    <n v="1"/>
    <n v="0"/>
    <n v="0"/>
    <n v="0"/>
    <n v="0"/>
    <n v="1498.6217377194937"/>
    <n v="1452.0956934513581"/>
    <n v="0.4462788030992324"/>
    <n v="96"/>
    <n v="86"/>
    <n v="0"/>
    <n v="10"/>
    <n v="1"/>
    <n v="0.40733656671959539"/>
    <n v="1"/>
    <n v="71.349999999999994"/>
    <n v="71.349999999999994"/>
    <n v="16.093056091787982"/>
    <n v="1514.7147938112817"/>
    <n v="1"/>
    <n v="0"/>
    <n v="0"/>
    <n v="0"/>
    <n v="0"/>
    <n v="0"/>
    <n v="0"/>
    <n v="0"/>
    <n v="0"/>
    <n v="0"/>
  </r>
  <r>
    <d v="2016-09-11T00:00:00"/>
    <n v="2016"/>
    <x v="30"/>
    <s v="R"/>
    <s v="RS"/>
    <x v="0"/>
    <s v="CHI"/>
    <s v="H"/>
    <n v="1"/>
    <n v="1"/>
    <n v="0"/>
    <n v="0"/>
    <n v="0"/>
    <n v="0"/>
    <n v="1452.0956934513581"/>
    <n v="1498.6217377194937"/>
    <n v="0.5537211969007676"/>
    <n v="86"/>
    <n v="96"/>
    <n v="0"/>
    <n v="-10"/>
    <n v="0"/>
    <n v="0.40733656671959539"/>
    <n v="1"/>
    <n v="71.349999999999994"/>
    <n v="71.349999999999994"/>
    <n v="-16.093056091787982"/>
    <n v="1436.0026373595701"/>
    <n v="0"/>
    <n v="1"/>
    <n v="0"/>
    <n v="0"/>
    <n v="0"/>
    <n v="0"/>
    <n v="0"/>
    <n v="0"/>
    <n v="0"/>
    <n v="0"/>
  </r>
  <r>
    <d v="2016-09-11T00:00:00"/>
    <n v="2016"/>
    <x v="31"/>
    <s v="R"/>
    <s v="RS"/>
    <x v="8"/>
    <s v="DAL"/>
    <s v="A"/>
    <n v="1"/>
    <n v="1"/>
    <n v="0"/>
    <n v="0"/>
    <n v="0"/>
    <n v="0"/>
    <n v="1568.8730356323147"/>
    <n v="1373.7941065830253"/>
    <n v="0.65462272689465784"/>
    <n v="81"/>
    <n v="84"/>
    <n v="0"/>
    <n v="-3"/>
    <n v="0"/>
    <n v="0.24960611049853132"/>
    <n v="1"/>
    <n v="71.2"/>
    <n v="71.2"/>
    <n v="-11.633925688533191"/>
    <n v="1557.2391099437814"/>
    <n v="0"/>
    <n v="1"/>
    <n v="0"/>
    <n v="0"/>
    <n v="0"/>
    <n v="0"/>
    <n v="0"/>
    <n v="0"/>
    <n v="0"/>
    <n v="0"/>
  </r>
  <r>
    <d v="2016-09-11T00:00:00"/>
    <n v="2016"/>
    <x v="31"/>
    <s v="R"/>
    <s v="RS"/>
    <x v="2"/>
    <s v="NYL"/>
    <s v="H"/>
    <n v="1"/>
    <n v="1"/>
    <n v="0"/>
    <n v="0"/>
    <n v="0"/>
    <n v="0"/>
    <n v="1373.7941065830253"/>
    <n v="1568.8730356323147"/>
    <n v="0.34537727310534222"/>
    <n v="84"/>
    <n v="81"/>
    <n v="0"/>
    <n v="3"/>
    <n v="1"/>
    <n v="0.24960611049853132"/>
    <n v="1"/>
    <n v="71.2"/>
    <n v="71.2"/>
    <n v="11.633925688533191"/>
    <n v="1385.4280322715585"/>
    <n v="1"/>
    <n v="0"/>
    <n v="0"/>
    <n v="0"/>
    <n v="0"/>
    <n v="0"/>
    <n v="0"/>
    <n v="0"/>
    <n v="0"/>
    <n v="0"/>
  </r>
  <r>
    <d v="2016-09-11T00:00:00"/>
    <n v="2016"/>
    <x v="30"/>
    <s v="R"/>
    <s v="RS"/>
    <x v="6"/>
    <s v="PHX"/>
    <s v="A"/>
    <n v="2"/>
    <n v="4"/>
    <n v="-2"/>
    <n v="2"/>
    <n v="-16"/>
    <n v="16"/>
    <n v="1497.7338395763848"/>
    <n v="1491.6635161003219"/>
    <n v="0.34687453886299291"/>
    <n v="75"/>
    <n v="86"/>
    <n v="0"/>
    <n v="-11"/>
    <n v="0"/>
    <n v="0.43762221326195588"/>
    <n v="1"/>
    <n v="71.349999999999994"/>
    <n v="71.349999999999994"/>
    <n v="-10.830930244119978"/>
    <n v="1486.9029093322647"/>
    <n v="0"/>
    <n v="1"/>
    <n v="0"/>
    <n v="0"/>
    <n v="0"/>
    <n v="0"/>
    <n v="0"/>
    <n v="0"/>
    <n v="0"/>
    <n v="0"/>
  </r>
  <r>
    <d v="2016-09-11T00:00:00"/>
    <n v="2016"/>
    <x v="30"/>
    <s v="R"/>
    <s v="RS"/>
    <x v="4"/>
    <s v="ATL"/>
    <s v="H"/>
    <n v="4"/>
    <n v="2"/>
    <n v="2"/>
    <n v="-2"/>
    <n v="16"/>
    <n v="-16"/>
    <n v="1491.6635161003219"/>
    <n v="1497.7338395763848"/>
    <n v="0.6531254611370072"/>
    <n v="86"/>
    <n v="75"/>
    <n v="0"/>
    <n v="11"/>
    <n v="1"/>
    <n v="0.43762221326195588"/>
    <n v="1"/>
    <n v="71.349999999999994"/>
    <n v="71.349999999999994"/>
    <n v="10.830930244119974"/>
    <n v="1502.4944463444419"/>
    <n v="1"/>
    <n v="0"/>
    <n v="0"/>
    <n v="0"/>
    <n v="0"/>
    <n v="0"/>
    <n v="0"/>
    <n v="0"/>
    <n v="0"/>
    <n v="0"/>
  </r>
  <r>
    <d v="2016-09-11T00:00:00"/>
    <n v="2016"/>
    <x v="30"/>
    <s v="R"/>
    <s v="RS"/>
    <x v="5"/>
    <s v="SAS"/>
    <s v="A"/>
    <n v="4"/>
    <n v="1"/>
    <n v="3"/>
    <n v="-3"/>
    <n v="16"/>
    <n v="-16"/>
    <n v="1691.944514975605"/>
    <n v="1295.0626032667299"/>
    <n v="0.8792449985910924"/>
    <n v="81"/>
    <n v="76"/>
    <n v="0"/>
    <n v="5"/>
    <n v="1"/>
    <n v="0.24930282423167402"/>
    <n v="1"/>
    <n v="71.349999999999994"/>
    <n v="71.349999999999994"/>
    <n v="2.1479605622971403"/>
    <n v="1694.0924755379021"/>
    <n v="1"/>
    <n v="0"/>
    <n v="0"/>
    <n v="0"/>
    <n v="0"/>
    <n v="0"/>
    <n v="0"/>
    <n v="0"/>
    <n v="0"/>
    <n v="0"/>
  </r>
  <r>
    <d v="2016-09-11T00:00:00"/>
    <n v="2016"/>
    <x v="30"/>
    <s v="R"/>
    <s v="RS"/>
    <x v="7"/>
    <s v="MIN"/>
    <s v="H"/>
    <n v="1"/>
    <n v="4"/>
    <n v="-3"/>
    <n v="3"/>
    <n v="-16"/>
    <n v="16"/>
    <n v="1295.0626032667299"/>
    <n v="1691.944514975605"/>
    <n v="0.12075500140890763"/>
    <n v="76"/>
    <n v="81"/>
    <n v="0"/>
    <n v="-5"/>
    <n v="0"/>
    <n v="0.24930282423167402"/>
    <n v="1"/>
    <n v="71.349999999999994"/>
    <n v="71.349999999999994"/>
    <n v="-2.1479605622971412"/>
    <n v="1292.9146427044327"/>
    <n v="0"/>
    <n v="1"/>
    <n v="0"/>
    <n v="0"/>
    <n v="0"/>
    <n v="0"/>
    <n v="0"/>
    <n v="0"/>
    <n v="0"/>
    <n v="0"/>
  </r>
  <r>
    <d v="2016-09-11T00:00:00"/>
    <n v="2016"/>
    <x v="31"/>
    <s v="R"/>
    <s v="RS"/>
    <x v="11"/>
    <s v="SEA"/>
    <s v="A"/>
    <n v="2"/>
    <n v="1"/>
    <n v="1"/>
    <n v="-1"/>
    <n v="8"/>
    <n v="-8"/>
    <n v="1630.5416971344052"/>
    <n v="1504.8290976485032"/>
    <n v="0.58229954292719899"/>
    <n v="60"/>
    <n v="78"/>
    <n v="0"/>
    <n v="-18"/>
    <n v="0"/>
    <n v="0.49497961987089317"/>
    <n v="1"/>
    <n v="71.2"/>
    <n v="71.2"/>
    <n v="-20.521720136327907"/>
    <n v="1610.0199769980773"/>
    <n v="0"/>
    <n v="1"/>
    <n v="0"/>
    <n v="0"/>
    <n v="0"/>
    <n v="0"/>
    <n v="0"/>
    <n v="0"/>
    <n v="0"/>
    <n v="0"/>
  </r>
  <r>
    <d v="2016-09-11T00:00:00"/>
    <n v="2016"/>
    <x v="31"/>
    <s v="R"/>
    <s v="RS"/>
    <x v="10"/>
    <s v="LAS"/>
    <s v="H"/>
    <n v="1"/>
    <n v="2"/>
    <n v="-1"/>
    <n v="1"/>
    <n v="-8"/>
    <n v="8"/>
    <n v="1504.8290976485032"/>
    <n v="1630.5416971344052"/>
    <n v="0.41770045707280112"/>
    <n v="78"/>
    <n v="60"/>
    <n v="0"/>
    <n v="18"/>
    <n v="1"/>
    <n v="0.49497961987089317"/>
    <n v="1"/>
    <n v="71.2"/>
    <n v="71.2"/>
    <n v="20.5217201363279"/>
    <n v="1525.3508177848312"/>
    <n v="1"/>
    <n v="0"/>
    <n v="0"/>
    <n v="0"/>
    <n v="0"/>
    <n v="0"/>
    <n v="0"/>
    <n v="0"/>
    <n v="0"/>
    <n v="0"/>
  </r>
  <r>
    <d v="2016-09-11T00:00:00"/>
    <n v="2016"/>
    <x v="30"/>
    <s v="R"/>
    <s v="RS"/>
    <x v="3"/>
    <s v="WAS"/>
    <s v="A"/>
    <n v="1"/>
    <n v="1"/>
    <n v="0"/>
    <n v="0"/>
    <n v="0"/>
    <n v="0"/>
    <n v="1529.4706920824449"/>
    <n v="1466.2517814158748"/>
    <n v="0.47012922152552916"/>
    <n v="80"/>
    <n v="73"/>
    <n v="0"/>
    <n v="7"/>
    <n v="1"/>
    <n v="0.35158483081149261"/>
    <n v="1"/>
    <n v="71.349999999999994"/>
    <n v="71.349999999999994"/>
    <n v="13.292114572935615"/>
    <n v="1542.7628066553805"/>
    <n v="1"/>
    <n v="0"/>
    <n v="0"/>
    <n v="0"/>
    <n v="0"/>
    <n v="0"/>
    <n v="0"/>
    <n v="0"/>
    <n v="0"/>
    <n v="0"/>
  </r>
  <r>
    <d v="2016-09-11T00:00:00"/>
    <n v="2016"/>
    <x v="30"/>
    <s v="R"/>
    <s v="RS"/>
    <x v="9"/>
    <s v="IND"/>
    <s v="H"/>
    <n v="1"/>
    <n v="1"/>
    <n v="0"/>
    <n v="0"/>
    <n v="0"/>
    <n v="0"/>
    <n v="1466.2517814158748"/>
    <n v="1529.4706920824449"/>
    <n v="0.52987077847447084"/>
    <n v="73"/>
    <n v="80"/>
    <n v="0"/>
    <n v="-7"/>
    <n v="0"/>
    <n v="0.35158483081149261"/>
    <n v="1"/>
    <n v="71.349999999999994"/>
    <n v="71.349999999999994"/>
    <n v="-13.292114572935615"/>
    <n v="1452.9596668429392"/>
    <n v="0"/>
    <n v="1"/>
    <n v="0"/>
    <n v="0"/>
    <n v="0"/>
    <n v="0"/>
    <n v="0"/>
    <n v="0"/>
    <n v="0"/>
    <n v="0"/>
  </r>
  <r>
    <d v="2016-09-13T00:00:00"/>
    <n v="2016"/>
    <x v="31"/>
    <s v="R"/>
    <s v="RS"/>
    <x v="7"/>
    <s v="ATL"/>
    <s v="A"/>
    <n v="1"/>
    <n v="1"/>
    <n v="0"/>
    <n v="0"/>
    <n v="0"/>
    <n v="0"/>
    <n v="1292.9146427044327"/>
    <n v="1486.9029093322647"/>
    <n v="0.16794959784853386"/>
    <n v="71"/>
    <n v="67"/>
    <n v="0"/>
    <n v="4"/>
    <n v="1"/>
    <n v="0.26809356350517338"/>
    <n v="1"/>
    <n v="71.2"/>
    <n v="71.2"/>
    <n v="15.882395841803376"/>
    <n v="1308.7970385462361"/>
    <n v="1"/>
    <n v="0"/>
    <n v="0"/>
    <n v="0"/>
    <n v="0"/>
    <n v="0"/>
    <n v="0"/>
    <n v="0"/>
    <n v="0"/>
    <n v="0"/>
  </r>
  <r>
    <d v="2016-09-13T00:00:00"/>
    <n v="2016"/>
    <x v="31"/>
    <s v="R"/>
    <s v="RS"/>
    <x v="6"/>
    <s v="SAS"/>
    <s v="H"/>
    <n v="1"/>
    <n v="1"/>
    <n v="0"/>
    <n v="0"/>
    <n v="0"/>
    <n v="0"/>
    <n v="1486.9029093322647"/>
    <n v="1292.9146427044327"/>
    <n v="0.8320504021514662"/>
    <n v="67"/>
    <n v="71"/>
    <n v="0"/>
    <n v="-4"/>
    <n v="0"/>
    <n v="0.26809356350517338"/>
    <n v="1"/>
    <n v="71.2"/>
    <n v="71.2"/>
    <n v="-15.88239584180338"/>
    <n v="1471.0205134904613"/>
    <n v="0"/>
    <n v="1"/>
    <n v="0"/>
    <n v="0"/>
    <n v="0"/>
    <n v="0"/>
    <n v="0"/>
    <n v="0"/>
    <n v="0"/>
    <n v="0"/>
  </r>
  <r>
    <d v="2016-09-13T00:00:00"/>
    <n v="2016"/>
    <x v="31"/>
    <s v="R"/>
    <s v="RS"/>
    <x v="5"/>
    <s v="CHI"/>
    <s v="A"/>
    <n v="1"/>
    <n v="1"/>
    <n v="0"/>
    <n v="0"/>
    <n v="0"/>
    <n v="0"/>
    <n v="1694.0924755379021"/>
    <n v="1514.7147938112817"/>
    <n v="0.63391238720187093"/>
    <n v="97"/>
    <n v="98"/>
    <n v="1"/>
    <n v="-1"/>
    <n v="0"/>
    <n v="0.19118334893777303"/>
    <n v="1"/>
    <n v="71.2"/>
    <n v="71.2"/>
    <n v="-8.6289767100295087"/>
    <n v="1685.4634988278726"/>
    <n v="0"/>
    <n v="1"/>
    <n v="0"/>
    <n v="0"/>
    <n v="0"/>
    <n v="0"/>
    <n v="0"/>
    <n v="0"/>
    <n v="0"/>
    <n v="0"/>
  </r>
  <r>
    <d v="2016-09-13T00:00:00"/>
    <n v="2016"/>
    <x v="31"/>
    <s v="R"/>
    <s v="RS"/>
    <x v="1"/>
    <s v="MIN"/>
    <s v="H"/>
    <n v="1"/>
    <n v="1"/>
    <n v="0"/>
    <n v="0"/>
    <n v="0"/>
    <n v="0"/>
    <n v="1514.7147938112817"/>
    <n v="1694.0924755379021"/>
    <n v="0.36608761279812896"/>
    <n v="98"/>
    <n v="97"/>
    <n v="1"/>
    <n v="1"/>
    <n v="1"/>
    <n v="0.19118334893777303"/>
    <n v="1"/>
    <n v="71.2"/>
    <n v="71.2"/>
    <n v="8.6289767100295105"/>
    <n v="1523.3437705213112"/>
    <n v="1"/>
    <n v="0"/>
    <n v="0"/>
    <n v="0"/>
    <n v="0"/>
    <n v="0"/>
    <n v="0"/>
    <n v="0"/>
    <n v="0"/>
    <n v="0"/>
  </r>
  <r>
    <d v="2016-09-13T00:00:00"/>
    <n v="2016"/>
    <x v="31"/>
    <s v="R"/>
    <s v="RS"/>
    <x v="3"/>
    <s v="CON"/>
    <s v="A"/>
    <n v="1"/>
    <n v="1"/>
    <n v="0"/>
    <n v="0"/>
    <n v="0"/>
    <n v="0"/>
    <n v="1542.7628066553805"/>
    <n v="1436.0026373595701"/>
    <n v="0.53270774226489226"/>
    <n v="87"/>
    <n v="89"/>
    <n v="0"/>
    <n v="-2"/>
    <n v="0"/>
    <n v="0.24595912281654997"/>
    <n v="1"/>
    <n v="71.2"/>
    <n v="71.2"/>
    <n v="-9.3289322251601074"/>
    <n v="1533.4338744302204"/>
    <n v="0"/>
    <n v="1"/>
    <n v="0"/>
    <n v="0"/>
    <n v="0"/>
    <n v="0"/>
    <n v="0"/>
    <n v="0"/>
    <n v="0"/>
    <n v="0"/>
  </r>
  <r>
    <d v="2016-09-13T00:00:00"/>
    <n v="2016"/>
    <x v="31"/>
    <s v="R"/>
    <s v="RS"/>
    <x v="0"/>
    <s v="IND"/>
    <s v="H"/>
    <n v="1"/>
    <n v="1"/>
    <n v="0"/>
    <n v="0"/>
    <n v="0"/>
    <n v="0"/>
    <n v="1436.0026373595701"/>
    <n v="1542.7628066553805"/>
    <n v="0.46729225773510774"/>
    <n v="89"/>
    <n v="87"/>
    <n v="0"/>
    <n v="2"/>
    <n v="1"/>
    <n v="0.24595912281654997"/>
    <n v="1"/>
    <n v="71.2"/>
    <n v="71.2"/>
    <n v="9.3289322251601074"/>
    <n v="1445.3315695847302"/>
    <n v="1"/>
    <n v="0"/>
    <n v="0"/>
    <n v="0"/>
    <n v="0"/>
    <n v="0"/>
    <n v="0"/>
    <n v="0"/>
    <n v="0"/>
    <n v="0"/>
  </r>
  <r>
    <d v="2016-09-13T00:00:00"/>
    <n v="2016"/>
    <x v="31"/>
    <s v="R"/>
    <s v="RS"/>
    <x v="4"/>
    <s v="LAS"/>
    <s v="A"/>
    <n v="1"/>
    <n v="1"/>
    <n v="0"/>
    <n v="0"/>
    <n v="0"/>
    <n v="0"/>
    <n v="1502.4944463444419"/>
    <n v="1610.0199769980773"/>
    <n v="0.24926997017261249"/>
    <n v="85"/>
    <n v="90"/>
    <n v="0"/>
    <n v="-5"/>
    <n v="0"/>
    <n v="0.30447372630229441"/>
    <n v="1"/>
    <n v="71.2"/>
    <n v="71.2"/>
    <n v="-5.4038063551686584"/>
    <n v="1497.0906399892733"/>
    <n v="0"/>
    <n v="1"/>
    <n v="0"/>
    <n v="0"/>
    <n v="0"/>
    <n v="0"/>
    <n v="0"/>
    <n v="0"/>
    <n v="0"/>
    <n v="0"/>
  </r>
  <r>
    <d v="2016-09-13T00:00:00"/>
    <n v="2016"/>
    <x v="32"/>
    <s v="R"/>
    <s v="RS"/>
    <x v="11"/>
    <s v="PHX"/>
    <s v="H"/>
    <n v="1"/>
    <n v="1"/>
    <n v="0"/>
    <n v="0"/>
    <n v="0"/>
    <n v="0"/>
    <n v="1610.0199769980773"/>
    <n v="1502.4944463444419"/>
    <n v="0.75073002982738757"/>
    <n v="90"/>
    <n v="85"/>
    <n v="0"/>
    <n v="5"/>
    <n v="1"/>
    <n v="0.30447372630229441"/>
    <n v="1"/>
    <n v="71.05"/>
    <n v="71.05"/>
    <n v="5.3924219316675988"/>
    <n v="1615.4123989297448"/>
    <n v="1"/>
    <n v="0"/>
    <n v="0"/>
    <n v="0"/>
    <n v="0"/>
    <n v="0"/>
    <n v="0"/>
    <n v="0"/>
    <n v="0"/>
    <n v="0"/>
  </r>
  <r>
    <d v="2016-09-13T00:00:00"/>
    <n v="2016"/>
    <x v="31"/>
    <s v="R"/>
    <s v="RS"/>
    <x v="9"/>
    <s v="NYL"/>
    <s v="A"/>
    <n v="1"/>
    <n v="1"/>
    <n v="0"/>
    <n v="0"/>
    <n v="0"/>
    <n v="0"/>
    <n v="1452.9596668429392"/>
    <n v="1557.2391099437814"/>
    <n v="0.25278311854019064"/>
    <n v="75"/>
    <n v="62"/>
    <n v="0"/>
    <n v="13"/>
    <n v="1"/>
    <n v="0.43430302438121382"/>
    <n v="1"/>
    <n v="71.2"/>
    <n v="71.2"/>
    <n v="23.105720865852625"/>
    <n v="1476.0653877087918"/>
    <n v="1"/>
    <n v="0"/>
    <n v="0"/>
    <n v="0"/>
    <n v="0"/>
    <n v="0"/>
    <n v="0"/>
    <n v="0"/>
    <n v="0"/>
    <n v="0"/>
  </r>
  <r>
    <d v="2016-09-13T00:00:00"/>
    <n v="2016"/>
    <x v="32"/>
    <s v="R"/>
    <s v="RS"/>
    <x v="8"/>
    <s v="WAS"/>
    <s v="H"/>
    <n v="1"/>
    <n v="1"/>
    <n v="0"/>
    <n v="0"/>
    <n v="0"/>
    <n v="0"/>
    <n v="1557.2391099437814"/>
    <n v="1452.9596668429392"/>
    <n v="0.74721688145980936"/>
    <n v="62"/>
    <n v="75"/>
    <n v="0"/>
    <n v="-13"/>
    <n v="0"/>
    <n v="0.43430302438121382"/>
    <n v="1"/>
    <n v="71.05"/>
    <n v="71.05"/>
    <n v="-23.057043083129621"/>
    <n v="1534.1820668606517"/>
    <n v="0"/>
    <n v="1"/>
    <n v="0"/>
    <n v="0"/>
    <n v="0"/>
    <n v="0"/>
    <n v="0"/>
    <n v="0"/>
    <n v="0"/>
    <n v="0"/>
  </r>
  <r>
    <d v="2016-09-15T00:00:00"/>
    <n v="2016"/>
    <x v="32"/>
    <s v="R"/>
    <s v="RS"/>
    <x v="9"/>
    <s v="ATL"/>
    <s v="A"/>
    <n v="1"/>
    <n v="1"/>
    <n v="0"/>
    <n v="0"/>
    <n v="0"/>
    <n v="0"/>
    <n v="1476.0653877087918"/>
    <n v="1471.0205134904613"/>
    <n v="0.38829085312177508"/>
    <n v="91"/>
    <n v="94"/>
    <n v="0"/>
    <n v="-3"/>
    <n v="0"/>
    <n v="0.28896867890030042"/>
    <n v="1"/>
    <n v="71.05"/>
    <n v="71.05"/>
    <n v="-7.9720867294953486"/>
    <n v="1468.0933009792964"/>
    <n v="0"/>
    <n v="1"/>
    <n v="0"/>
    <n v="0"/>
    <n v="0"/>
    <n v="0"/>
    <n v="0"/>
    <n v="0"/>
    <n v="0"/>
    <n v="0"/>
  </r>
  <r>
    <d v="2016-09-15T00:00:00"/>
    <n v="2016"/>
    <x v="32"/>
    <s v="R"/>
    <s v="RS"/>
    <x v="6"/>
    <s v="WAS"/>
    <s v="H"/>
    <n v="1"/>
    <n v="1"/>
    <n v="0"/>
    <n v="0"/>
    <n v="0"/>
    <n v="0"/>
    <n v="1471.0205134904613"/>
    <n v="1476.0653877087918"/>
    <n v="0.61170914687822497"/>
    <n v="94"/>
    <n v="91"/>
    <n v="0"/>
    <n v="3"/>
    <n v="1"/>
    <n v="0.28896867890030042"/>
    <n v="1"/>
    <n v="71.05"/>
    <n v="71.05"/>
    <n v="7.9720867294953477"/>
    <n v="1478.9926002199568"/>
    <n v="1"/>
    <n v="0"/>
    <n v="0"/>
    <n v="0"/>
    <n v="0"/>
    <n v="0"/>
    <n v="0"/>
    <n v="0"/>
    <n v="0"/>
    <n v="0"/>
  </r>
  <r>
    <d v="2016-09-15T00:00:00"/>
    <n v="2016"/>
    <x v="32"/>
    <s v="R"/>
    <s v="RS"/>
    <x v="10"/>
    <s v="PHX"/>
    <s v="A"/>
    <n v="3"/>
    <n v="1"/>
    <n v="2"/>
    <n v="-2"/>
    <n v="16"/>
    <n v="-16"/>
    <n v="1525.3508177848312"/>
    <n v="1497.0906399892733"/>
    <n v="0.46588871941324295"/>
    <n v="62"/>
    <n v="86"/>
    <n v="0"/>
    <n v="-24"/>
    <n v="0"/>
    <n v="0.61397180415897656"/>
    <n v="1"/>
    <n v="71.05"/>
    <n v="71.05"/>
    <n v="-20.323322296157716"/>
    <n v="1505.0274954886734"/>
    <n v="0"/>
    <n v="1"/>
    <n v="0"/>
    <n v="0"/>
    <n v="0"/>
    <n v="0"/>
    <n v="0"/>
    <n v="0"/>
    <n v="0"/>
    <n v="0"/>
  </r>
  <r>
    <d v="2016-09-15T00:00:00"/>
    <n v="2016"/>
    <x v="32"/>
    <s v="R"/>
    <s v="RS"/>
    <x v="4"/>
    <s v="SEA"/>
    <s v="H"/>
    <n v="1"/>
    <n v="3"/>
    <n v="-2"/>
    <n v="2"/>
    <n v="-16"/>
    <n v="16"/>
    <n v="1497.0906399892733"/>
    <n v="1525.3508177848312"/>
    <n v="0.53411128058675705"/>
    <n v="86"/>
    <n v="62"/>
    <n v="0"/>
    <n v="24"/>
    <n v="1"/>
    <n v="0.61397180415897656"/>
    <n v="1"/>
    <n v="71.05"/>
    <n v="71.05"/>
    <n v="20.323322296157716"/>
    <n v="1517.4139622854311"/>
    <n v="1"/>
    <n v="0"/>
    <n v="0"/>
    <n v="0"/>
    <n v="0"/>
    <n v="0"/>
    <n v="0"/>
    <n v="0"/>
    <n v="0"/>
    <n v="0"/>
  </r>
  <r>
    <d v="2016-09-16T00:00:00"/>
    <n v="2016"/>
    <x v="33"/>
    <s v="R"/>
    <s v="RS"/>
    <x v="8"/>
    <s v="CHI"/>
    <s v="A"/>
    <n v="2"/>
    <n v="2"/>
    <n v="0"/>
    <n v="0"/>
    <n v="0"/>
    <n v="0"/>
    <n v="1534.1820668606517"/>
    <n v="1523.3437705213112"/>
    <n v="0.39624097108149969"/>
    <n v="68"/>
    <n v="92"/>
    <n v="0"/>
    <n v="-24"/>
    <n v="0"/>
    <n v="0.62280580290336374"/>
    <n v="1"/>
    <n v="70.900000000000006"/>
    <n v="70.900000000000006"/>
    <n v="-17.496785388157395"/>
    <n v="1516.6852814724944"/>
    <n v="0"/>
    <n v="1"/>
    <n v="0"/>
    <n v="0"/>
    <n v="0"/>
    <n v="0"/>
    <n v="0"/>
    <n v="0"/>
    <n v="0"/>
    <n v="0"/>
  </r>
  <r>
    <d v="2016-09-16T00:00:00"/>
    <n v="2016"/>
    <x v="32"/>
    <s v="R"/>
    <s v="RS"/>
    <x v="1"/>
    <s v="NYL"/>
    <s v="H"/>
    <n v="2"/>
    <n v="2"/>
    <n v="0"/>
    <n v="0"/>
    <n v="0"/>
    <n v="0"/>
    <n v="1523.3437705213112"/>
    <n v="1534.1820668606517"/>
    <n v="0.60375902891850031"/>
    <n v="92"/>
    <n v="68"/>
    <n v="0"/>
    <n v="24"/>
    <n v="1"/>
    <n v="0.62280580290336374"/>
    <n v="1"/>
    <n v="71.05"/>
    <n v="71.05"/>
    <n v="17.533802564578039"/>
    <n v="1540.8775730858893"/>
    <n v="1"/>
    <n v="0"/>
    <n v="0"/>
    <n v="0"/>
    <n v="0"/>
    <n v="0"/>
    <n v="0"/>
    <n v="0"/>
    <n v="0"/>
    <n v="0"/>
  </r>
  <r>
    <d v="2016-09-16T00:00:00"/>
    <n v="2016"/>
    <x v="32"/>
    <s v="R"/>
    <s v="RS"/>
    <x v="2"/>
    <s v="CON"/>
    <s v="A"/>
    <n v="4"/>
    <n v="2"/>
    <n v="2"/>
    <n v="-2"/>
    <n v="16"/>
    <n v="-16"/>
    <n v="1385.4280322715585"/>
    <n v="1445.3315695847302"/>
    <n v="0.34430484358679364"/>
    <n v="74"/>
    <n v="107"/>
    <n v="0"/>
    <n v="-33"/>
    <n v="0"/>
    <n v="0.70393549214170759"/>
    <n v="1"/>
    <n v="71.05"/>
    <n v="71.05"/>
    <n v="-17.22027478568592"/>
    <n v="1368.2077574858727"/>
    <n v="0"/>
    <n v="1"/>
    <n v="0"/>
    <n v="0"/>
    <n v="0"/>
    <n v="0"/>
    <n v="0"/>
    <n v="0"/>
    <n v="0"/>
    <n v="0"/>
  </r>
  <r>
    <d v="2016-09-16T00:00:00"/>
    <n v="2016"/>
    <x v="32"/>
    <s v="R"/>
    <s v="RS"/>
    <x v="0"/>
    <s v="DAL"/>
    <s v="H"/>
    <n v="2"/>
    <n v="4"/>
    <n v="-2"/>
    <n v="2"/>
    <n v="-16"/>
    <n v="16"/>
    <n v="1445.3315695847302"/>
    <n v="1385.4280322715585"/>
    <n v="0.65569515641320641"/>
    <n v="107"/>
    <n v="74"/>
    <n v="0"/>
    <n v="33"/>
    <n v="1"/>
    <n v="0.70393549214170759"/>
    <n v="1"/>
    <n v="71.05"/>
    <n v="71.05"/>
    <n v="17.22027478568592"/>
    <n v="1462.5518443704161"/>
    <n v="1"/>
    <n v="0"/>
    <n v="0"/>
    <n v="0"/>
    <n v="0"/>
    <n v="0"/>
    <n v="0"/>
    <n v="0"/>
    <n v="0"/>
    <n v="0"/>
  </r>
  <r>
    <d v="2016-09-16T00:00:00"/>
    <n v="2016"/>
    <x v="32"/>
    <s v="R"/>
    <s v="RS"/>
    <x v="5"/>
    <s v="IND"/>
    <s v="A"/>
    <n v="2"/>
    <n v="2"/>
    <n v="0"/>
    <n v="0"/>
    <n v="0"/>
    <n v="0"/>
    <n v="1685.4634988278726"/>
    <n v="1533.4338744302204"/>
    <n v="0.59667021327618441"/>
    <n v="82"/>
    <n v="75"/>
    <n v="0"/>
    <n v="7"/>
    <n v="1"/>
    <n v="0.32849029264610191"/>
    <n v="1"/>
    <n v="71.05"/>
    <n v="71.05"/>
    <n v="9.4134087928232084"/>
    <n v="1694.8769076206959"/>
    <n v="1"/>
    <n v="0"/>
    <n v="0"/>
    <n v="0"/>
    <n v="0"/>
    <n v="0"/>
    <n v="0"/>
    <n v="0"/>
    <n v="0"/>
    <n v="0"/>
  </r>
  <r>
    <d v="2016-09-16T00:00:00"/>
    <n v="2016"/>
    <x v="32"/>
    <s v="R"/>
    <s v="RS"/>
    <x v="3"/>
    <s v="MIN"/>
    <s v="H"/>
    <n v="2"/>
    <n v="2"/>
    <n v="0"/>
    <n v="0"/>
    <n v="0"/>
    <n v="0"/>
    <n v="1533.4338744302204"/>
    <n v="1685.4634988278726"/>
    <n v="0.40332978672381559"/>
    <n v="75"/>
    <n v="82"/>
    <n v="0"/>
    <n v="-7"/>
    <n v="0"/>
    <n v="0.32849029264610191"/>
    <n v="1"/>
    <n v="71.05"/>
    <n v="71.05"/>
    <n v="-9.4134087928232084"/>
    <n v="1524.0204656373971"/>
    <n v="0"/>
    <n v="1"/>
    <n v="0"/>
    <n v="0"/>
    <n v="0"/>
    <n v="0"/>
    <n v="0"/>
    <n v="0"/>
    <n v="0"/>
    <n v="0"/>
  </r>
  <r>
    <d v="2016-09-16T00:00:00"/>
    <n v="2016"/>
    <x v="32"/>
    <s v="R"/>
    <s v="RS"/>
    <x v="7"/>
    <s v="LAS"/>
    <s v="A"/>
    <n v="2"/>
    <n v="2"/>
    <n v="0"/>
    <n v="0"/>
    <n v="0"/>
    <n v="0"/>
    <n v="1308.7970385462361"/>
    <n v="1615.4123989297448"/>
    <n v="9.5473509975064194E-2"/>
    <n v="65"/>
    <n v="71"/>
    <n v="0"/>
    <n v="-6"/>
    <n v="0"/>
    <n v="0.27979066481964437"/>
    <n v="1"/>
    <n v="71.05"/>
    <n v="71.05"/>
    <n v="-1.8979300046711887"/>
    <n v="1306.8991085415648"/>
    <n v="0"/>
    <n v="1"/>
    <n v="0"/>
    <n v="0"/>
    <n v="0"/>
    <n v="0"/>
    <n v="0"/>
    <n v="0"/>
    <n v="0"/>
    <n v="0"/>
  </r>
  <r>
    <d v="2016-09-16T00:00:00"/>
    <n v="2016"/>
    <x v="33"/>
    <s v="R"/>
    <s v="RS"/>
    <x v="11"/>
    <s v="SAS"/>
    <s v="H"/>
    <n v="2"/>
    <n v="2"/>
    <n v="0"/>
    <n v="0"/>
    <n v="0"/>
    <n v="0"/>
    <n v="1615.4123989297448"/>
    <n v="1308.7970385462361"/>
    <n v="0.90452649002493579"/>
    <n v="71"/>
    <n v="65"/>
    <n v="0"/>
    <n v="6"/>
    <n v="1"/>
    <n v="0.27979066481964437"/>
    <n v="1"/>
    <n v="70.900000000000006"/>
    <n v="70.900000000000006"/>
    <n v="1.8939231151469009"/>
    <n v="1617.3063220448917"/>
    <n v="1"/>
    <n v="0"/>
    <n v="0"/>
    <n v="0"/>
    <n v="0"/>
    <n v="0"/>
    <n v="0"/>
    <n v="0"/>
    <n v="0"/>
    <n v="0"/>
  </r>
  <r>
    <d v="2016-09-17T00:00:00"/>
    <n v="2016"/>
    <x v="33"/>
    <s v="R"/>
    <s v="RS"/>
    <x v="6"/>
    <s v="MIN"/>
    <s v="A"/>
    <n v="1"/>
    <n v="0"/>
    <n v="1"/>
    <n v="-1"/>
    <n v="8"/>
    <n v="-8"/>
    <n v="1478.9926002199568"/>
    <n v="1694.8769076206959"/>
    <n v="0.16325999058868365"/>
    <n v="87"/>
    <n v="95"/>
    <n v="0"/>
    <n v="-8"/>
    <n v="0"/>
    <n v="0.32910785123330011"/>
    <n v="1"/>
    <n v="70.900000000000006"/>
    <n v="70.900000000000006"/>
    <n v="-3.8094672588762428"/>
    <n v="1475.1831329610804"/>
    <n v="0"/>
    <n v="1"/>
    <n v="0"/>
    <n v="0"/>
    <n v="0"/>
    <n v="0"/>
    <n v="0"/>
    <n v="0"/>
    <n v="0"/>
    <n v="0"/>
  </r>
  <r>
    <d v="2016-09-17T00:00:00"/>
    <n v="2016"/>
    <x v="33"/>
    <s v="R"/>
    <s v="RS"/>
    <x v="5"/>
    <s v="ATL"/>
    <s v="H"/>
    <n v="0"/>
    <n v="1"/>
    <n v="-1"/>
    <n v="1"/>
    <n v="-8"/>
    <n v="8"/>
    <n v="1694.8769076206959"/>
    <n v="1478.9926002199568"/>
    <n v="0.83674000941131643"/>
    <n v="95"/>
    <n v="87"/>
    <n v="0"/>
    <n v="8"/>
    <n v="1"/>
    <n v="0.32910785123330011"/>
    <n v="1"/>
    <n v="70.900000000000006"/>
    <n v="70.900000000000006"/>
    <n v="3.809467258876241"/>
    <n v="1698.6863748795722"/>
    <n v="1"/>
    <n v="0"/>
    <n v="0"/>
    <n v="0"/>
    <n v="0"/>
    <n v="0"/>
    <n v="0"/>
    <n v="0"/>
    <n v="0"/>
    <n v="0"/>
  </r>
  <r>
    <d v="2016-09-18T00:00:00"/>
    <n v="2016"/>
    <x v="33"/>
    <s v="R"/>
    <s v="RS"/>
    <x v="2"/>
    <s v="IND"/>
    <s v="A"/>
    <n v="1"/>
    <n v="1"/>
    <n v="0"/>
    <n v="0"/>
    <n v="0"/>
    <n v="0"/>
    <n v="1368.2077574858727"/>
    <n v="1524.0204656373971"/>
    <n v="0.20093305790731195"/>
    <n v="60"/>
    <n v="83"/>
    <n v="0"/>
    <n v="-23"/>
    <n v="0"/>
    <n v="0.54462192206550586"/>
    <n v="1"/>
    <n v="70.900000000000006"/>
    <n v="70.900000000000006"/>
    <n v="-7.7587676676621706"/>
    <n v="1360.4489898182105"/>
    <n v="0"/>
    <n v="1"/>
    <n v="0"/>
    <n v="0"/>
    <n v="0"/>
    <n v="0"/>
    <n v="0"/>
    <n v="0"/>
    <n v="0"/>
    <n v="0"/>
  </r>
  <r>
    <d v="2016-09-18T00:00:00"/>
    <n v="2016"/>
    <x v="33"/>
    <s v="R"/>
    <s v="RS"/>
    <x v="3"/>
    <s v="DAL"/>
    <s v="H"/>
    <n v="1"/>
    <n v="1"/>
    <n v="0"/>
    <n v="0"/>
    <n v="0"/>
    <n v="0"/>
    <n v="1524.0204656373971"/>
    <n v="1368.2077574858727"/>
    <n v="0.79906694209268803"/>
    <n v="83"/>
    <n v="60"/>
    <n v="0"/>
    <n v="23"/>
    <n v="1"/>
    <n v="0.54462192206550586"/>
    <n v="1"/>
    <n v="70.900000000000006"/>
    <n v="70.900000000000006"/>
    <n v="7.7587676676621715"/>
    <n v="1531.7792333050593"/>
    <n v="1"/>
    <n v="0"/>
    <n v="0"/>
    <n v="0"/>
    <n v="0"/>
    <n v="0"/>
    <n v="0"/>
    <n v="0"/>
    <n v="0"/>
    <n v="0"/>
  </r>
  <r>
    <d v="2016-09-18T00:00:00"/>
    <n v="2016"/>
    <x v="33"/>
    <s v="R"/>
    <s v="RS"/>
    <x v="4"/>
    <s v="SAS"/>
    <s v="A"/>
    <n v="2"/>
    <n v="1"/>
    <n v="1"/>
    <n v="-1"/>
    <n v="8"/>
    <n v="-8"/>
    <n v="1517.4139622854311"/>
    <n v="1306.8991085415648"/>
    <n v="0.69431730416766346"/>
    <n v="81"/>
    <n v="65"/>
    <n v="0"/>
    <n v="16"/>
    <n v="1"/>
    <n v="0.44050811452773492"/>
    <n v="1"/>
    <n v="70.900000000000006"/>
    <n v="70.900000000000006"/>
    <n v="9.5470896961264096"/>
    <n v="1526.9610519815576"/>
    <n v="1"/>
    <n v="0"/>
    <n v="0"/>
    <n v="0"/>
    <n v="0"/>
    <n v="0"/>
    <n v="0"/>
    <n v="0"/>
    <n v="0"/>
    <n v="0"/>
  </r>
  <r>
    <d v="2016-09-18T00:00:00"/>
    <n v="2016"/>
    <x v="33"/>
    <s v="R"/>
    <s v="RS"/>
    <x v="7"/>
    <s v="PHX"/>
    <s v="H"/>
    <n v="1"/>
    <n v="2"/>
    <n v="-1"/>
    <n v="1"/>
    <n v="-8"/>
    <n v="8"/>
    <n v="1306.8991085415648"/>
    <n v="1517.4139622854311"/>
    <n v="0.30568269583233659"/>
    <n v="65"/>
    <n v="81"/>
    <n v="0"/>
    <n v="-16"/>
    <n v="0"/>
    <n v="0.44050811452773492"/>
    <n v="1"/>
    <n v="70.900000000000006"/>
    <n v="70.900000000000006"/>
    <n v="-9.5470896961264113"/>
    <n v="1297.3520188454384"/>
    <n v="0"/>
    <n v="1"/>
    <n v="0"/>
    <n v="0"/>
    <n v="0"/>
    <n v="0"/>
    <n v="0"/>
    <n v="0"/>
    <n v="0"/>
    <n v="0"/>
  </r>
  <r>
    <d v="2016-09-18T00:00:00"/>
    <n v="2016"/>
    <x v="33"/>
    <s v="R"/>
    <s v="RS"/>
    <x v="1"/>
    <s v="SEA"/>
    <s v="A"/>
    <n v="1"/>
    <n v="2"/>
    <n v="-1"/>
    <n v="1"/>
    <n v="-8"/>
    <n v="8"/>
    <n v="1540.8775730858893"/>
    <n v="1505.0274954886734"/>
    <n v="0.40871582298144876"/>
    <n v="75"/>
    <n v="88"/>
    <n v="0"/>
    <n v="-13"/>
    <n v="0"/>
    <n v="0.45835050468116523"/>
    <n v="1"/>
    <n v="70.900000000000006"/>
    <n v="70.900000000000006"/>
    <n v="-13.282058854791991"/>
    <n v="1527.5955142310972"/>
    <n v="0"/>
    <n v="1"/>
    <n v="0"/>
    <n v="0"/>
    <n v="0"/>
    <n v="0"/>
    <n v="0"/>
    <n v="0"/>
    <n v="0"/>
    <n v="0"/>
  </r>
  <r>
    <d v="2016-09-18T00:00:00"/>
    <n v="2016"/>
    <x v="33"/>
    <s v="R"/>
    <s v="RS"/>
    <x v="10"/>
    <s v="CHI"/>
    <s v="H"/>
    <n v="2"/>
    <n v="1"/>
    <n v="1"/>
    <n v="-1"/>
    <n v="8"/>
    <n v="-8"/>
    <n v="1505.0274954886734"/>
    <n v="1540.8775730858893"/>
    <n v="0.59128417701855118"/>
    <n v="88"/>
    <n v="75"/>
    <n v="0"/>
    <n v="13"/>
    <n v="1"/>
    <n v="0.45835050468116523"/>
    <n v="1"/>
    <n v="70.900000000000006"/>
    <n v="70.900000000000006"/>
    <n v="13.282058854791993"/>
    <n v="1518.3095543434654"/>
    <n v="1"/>
    <n v="0"/>
    <n v="0"/>
    <n v="0"/>
    <n v="0"/>
    <n v="0"/>
    <n v="0"/>
    <n v="0"/>
    <n v="0"/>
    <n v="0"/>
  </r>
  <r>
    <d v="2016-09-18T00:00:00"/>
    <n v="2016"/>
    <x v="33"/>
    <s v="R"/>
    <s v="RS"/>
    <x v="0"/>
    <s v="WAS"/>
    <s v="A"/>
    <n v="1"/>
    <n v="2"/>
    <n v="-1"/>
    <n v="1"/>
    <n v="-8"/>
    <n v="8"/>
    <n v="1462.5518443704161"/>
    <n v="1468.0933009792964"/>
    <n v="0.35261931440024946"/>
    <n v="87"/>
    <n v="78"/>
    <n v="0"/>
    <n v="9"/>
    <n v="1"/>
    <n v="0.40410541662089433"/>
    <n v="1"/>
    <n v="70.900000000000006"/>
    <n v="70.900000000000006"/>
    <n v="18.548151954162467"/>
    <n v="1481.0999963245786"/>
    <n v="1"/>
    <n v="0"/>
    <n v="0"/>
    <n v="0"/>
    <n v="0"/>
    <n v="0"/>
    <n v="0"/>
    <n v="0"/>
    <n v="0"/>
    <n v="0"/>
  </r>
  <r>
    <d v="2016-09-18T00:00:00"/>
    <n v="2016"/>
    <x v="33"/>
    <s v="R"/>
    <s v="RS"/>
    <x v="9"/>
    <s v="CON"/>
    <s v="H"/>
    <n v="2"/>
    <n v="1"/>
    <n v="1"/>
    <n v="-1"/>
    <n v="8"/>
    <n v="-8"/>
    <n v="1468.0933009792964"/>
    <n v="1462.5518443704161"/>
    <n v="0.64738068559975059"/>
    <n v="78"/>
    <n v="87"/>
    <n v="0"/>
    <n v="-9"/>
    <n v="0"/>
    <n v="0.40410541662089433"/>
    <n v="1"/>
    <n v="70.900000000000006"/>
    <n v="70.900000000000006"/>
    <n v="-18.548151954162467"/>
    <n v="1449.5451490251339"/>
    <n v="0"/>
    <n v="1"/>
    <n v="0"/>
    <n v="0"/>
    <n v="0"/>
    <n v="0"/>
    <n v="0"/>
    <n v="0"/>
    <n v="0"/>
    <n v="0"/>
  </r>
  <r>
    <d v="2016-09-21T00:00:00"/>
    <n v="2016"/>
    <x v="34"/>
    <s v="P"/>
    <n v="0.5"/>
    <x v="10"/>
    <s v="ATL"/>
    <s v="A"/>
    <n v="2"/>
    <n v="3"/>
    <n v="-1"/>
    <n v="1"/>
    <n v="-8"/>
    <n v="8"/>
    <n v="1518.3095543434654"/>
    <n v="1475.1831329610804"/>
    <n v="0.41887565678719596"/>
    <n v="85"/>
    <n v="94"/>
    <n v="0"/>
    <n v="-9"/>
    <n v="0"/>
    <n v="0.39188760225605362"/>
    <n v="1.05"/>
    <n v="70.75"/>
    <n v="74.287500000000009"/>
    <n v="-12.194454832675286"/>
    <n v="1506.1150995107901"/>
    <n v="0"/>
    <n v="0"/>
    <n v="0"/>
    <n v="0"/>
    <n v="0"/>
    <n v="0"/>
    <n v="0"/>
    <n v="0"/>
    <n v="0"/>
    <n v="0"/>
  </r>
  <r>
    <d v="2016-09-21T00:00:00"/>
    <n v="2016"/>
    <x v="34"/>
    <s v="P"/>
    <n v="0.5"/>
    <x v="6"/>
    <s v="SEA"/>
    <s v="H"/>
    <n v="3"/>
    <n v="2"/>
    <n v="1"/>
    <n v="-1"/>
    <n v="8"/>
    <n v="-8"/>
    <n v="1475.1831329610804"/>
    <n v="1518.3095543434654"/>
    <n v="0.58112434321280404"/>
    <n v="94"/>
    <n v="85"/>
    <n v="0"/>
    <n v="9"/>
    <n v="1"/>
    <n v="0.39188760225605362"/>
    <n v="1.05"/>
    <n v="70.75"/>
    <n v="74.287500000000009"/>
    <n v="12.194454832675286"/>
    <n v="1487.3775877937558"/>
    <n v="0"/>
    <n v="0"/>
    <n v="0"/>
    <n v="0"/>
    <n v="0"/>
    <n v="0"/>
    <n v="0"/>
    <n v="0"/>
    <n v="0"/>
    <n v="0"/>
  </r>
  <r>
    <d v="2016-09-21T00:00:00"/>
    <n v="2016"/>
    <x v="34"/>
    <s v="P"/>
    <n v="0.5"/>
    <x v="4"/>
    <s v="IND"/>
    <s v="A"/>
    <n v="2"/>
    <n v="2"/>
    <n v="0"/>
    <n v="0"/>
    <n v="0"/>
    <n v="0"/>
    <n v="1526.9610519815576"/>
    <n v="1531.7792333050593"/>
    <n v="0.37489385124827235"/>
    <n v="89"/>
    <n v="78"/>
    <n v="0"/>
    <n v="11"/>
    <n v="1"/>
    <n v="0.43807702480830923"/>
    <n v="1.05"/>
    <n v="70.75"/>
    <n v="74.287500000000009"/>
    <n v="20.343233830283189"/>
    <n v="1547.3042858118408"/>
    <n v="0"/>
    <n v="0"/>
    <n v="0"/>
    <n v="0"/>
    <n v="0"/>
    <n v="0"/>
    <n v="0"/>
    <n v="0"/>
    <n v="0"/>
    <n v="0"/>
  </r>
  <r>
    <d v="2016-09-21T00:00:00"/>
    <n v="2016"/>
    <x v="34"/>
    <s v="P"/>
    <n v="0.5"/>
    <x v="3"/>
    <s v="PHX"/>
    <s v="H"/>
    <n v="2"/>
    <n v="2"/>
    <n v="0"/>
    <n v="0"/>
    <n v="0"/>
    <n v="0"/>
    <n v="1531.7792333050593"/>
    <n v="1526.9610519815576"/>
    <n v="0.62510614875172765"/>
    <n v="78"/>
    <n v="89"/>
    <n v="0"/>
    <n v="-11"/>
    <n v="0"/>
    <n v="0.43807702480830923"/>
    <n v="1.05"/>
    <n v="70.75"/>
    <n v="74.287500000000009"/>
    <n v="-20.343233830283189"/>
    <n v="1511.4359994747761"/>
    <n v="0"/>
    <n v="0"/>
    <n v="0"/>
    <n v="0"/>
    <n v="0"/>
    <n v="0"/>
    <n v="0"/>
    <n v="0"/>
    <n v="0"/>
    <n v="0"/>
  </r>
  <r>
    <d v="2016-09-24T00:00:00"/>
    <n v="2016"/>
    <x v="35"/>
    <s v="P"/>
    <n v="1"/>
    <x v="4"/>
    <s v="NYL"/>
    <s v="A"/>
    <n v="2"/>
    <n v="7"/>
    <n v="-5"/>
    <n v="5"/>
    <n v="-16"/>
    <n v="16"/>
    <n v="1547.3042858118408"/>
    <n v="1516.6852814724944"/>
    <n v="0.37954203126671493"/>
    <n v="101"/>
    <n v="94"/>
    <n v="0"/>
    <n v="7"/>
    <n v="1"/>
    <n v="0.36089854408108457"/>
    <n v="1.1000000000000001"/>
    <n v="70.599999999999994"/>
    <n v="77.66"/>
    <n v="17.389811842812296"/>
    <n v="1564.6940976546532"/>
    <n v="0"/>
    <n v="0"/>
    <n v="1"/>
    <n v="0"/>
    <n v="0"/>
    <n v="0"/>
    <n v="0"/>
    <n v="0"/>
    <n v="0"/>
    <n v="0"/>
  </r>
  <r>
    <d v="2016-09-24T00:00:00"/>
    <n v="2016"/>
    <x v="34"/>
    <s v="P"/>
    <n v="1"/>
    <x v="8"/>
    <s v="PHX"/>
    <s v="H"/>
    <n v="7"/>
    <n v="2"/>
    <n v="5"/>
    <n v="-5"/>
    <n v="16"/>
    <n v="-16"/>
    <n v="1516.6852814724944"/>
    <n v="1547.3042858118408"/>
    <n v="0.62045796873328507"/>
    <n v="94"/>
    <n v="101"/>
    <n v="0"/>
    <n v="-7"/>
    <n v="0"/>
    <n v="0.36089854408108457"/>
    <n v="1.1000000000000001"/>
    <n v="70.75"/>
    <n v="77.825000000000003"/>
    <n v="-17.426759035112887"/>
    <n v="1499.2585224373815"/>
    <n v="0"/>
    <n v="0"/>
    <n v="0"/>
    <n v="1"/>
    <n v="0"/>
    <n v="0"/>
    <n v="0"/>
    <n v="0"/>
    <n v="0"/>
    <n v="0"/>
  </r>
  <r>
    <d v="2016-09-25T00:00:00"/>
    <n v="2016"/>
    <x v="35"/>
    <s v="P"/>
    <n v="1"/>
    <x v="6"/>
    <s v="CHI"/>
    <s v="A"/>
    <n v="3"/>
    <n v="6"/>
    <n v="-3"/>
    <n v="3"/>
    <n v="-16"/>
    <n v="16"/>
    <n v="1487.3775877937558"/>
    <n v="1527.5955142310972"/>
    <n v="0.28920204213508321"/>
    <n v="98"/>
    <n v="108"/>
    <n v="0"/>
    <n v="-10"/>
    <n v="0"/>
    <n v="0.40940840184218519"/>
    <n v="1.1000000000000001"/>
    <n v="70.599999999999994"/>
    <n v="77.66"/>
    <n v="-9.195079585042409"/>
    <n v="1478.1825082087134"/>
    <n v="0"/>
    <n v="0"/>
    <n v="0"/>
    <n v="1"/>
    <n v="0"/>
    <n v="0"/>
    <n v="0"/>
    <n v="0"/>
    <n v="0"/>
    <n v="0"/>
  </r>
  <r>
    <d v="2016-09-25T00:00:00"/>
    <n v="2016"/>
    <x v="34"/>
    <s v="P"/>
    <n v="1"/>
    <x v="1"/>
    <s v="ATL"/>
    <s v="H"/>
    <n v="6"/>
    <n v="3"/>
    <n v="3"/>
    <n v="-3"/>
    <n v="16"/>
    <n v="-16"/>
    <n v="1527.5955142310972"/>
    <n v="1487.3775877937558"/>
    <n v="0.71079795786491673"/>
    <n v="108"/>
    <n v="98"/>
    <n v="0"/>
    <n v="10"/>
    <n v="1"/>
    <n v="0.40940840184218519"/>
    <n v="1.1000000000000001"/>
    <n v="70.75"/>
    <n v="77.825000000000003"/>
    <n v="9.2146158731126153"/>
    <n v="1536.8101301042097"/>
    <n v="0"/>
    <n v="0"/>
    <n v="1"/>
    <n v="0"/>
    <n v="0"/>
    <n v="0"/>
    <n v="0"/>
    <n v="0"/>
    <n v="0"/>
    <n v="0"/>
  </r>
  <r>
    <d v="2016-09-28T00:00:00"/>
    <n v="2016"/>
    <x v="35"/>
    <s v="P"/>
    <n v="2"/>
    <x v="1"/>
    <s v="LAS"/>
    <s v="A"/>
    <n v="2"/>
    <n v="11"/>
    <n v="-9"/>
    <n v="9"/>
    <n v="-16"/>
    <n v="16"/>
    <n v="1536.8101301042097"/>
    <n v="1617.3063220448917"/>
    <n v="0.2439539136777284"/>
    <n v="75"/>
    <n v="95"/>
    <n v="0"/>
    <n v="-20"/>
    <n v="0"/>
    <n v="0.53874805335037246"/>
    <n v="1.2"/>
    <n v="70.599999999999994"/>
    <n v="84.719999999999985"/>
    <n v="-11.134723853683578"/>
    <n v="1525.6754062505261"/>
    <n v="0"/>
    <n v="0"/>
    <n v="0"/>
    <n v="0"/>
    <n v="0"/>
    <n v="1"/>
    <n v="0"/>
    <n v="0"/>
    <n v="0"/>
    <n v="0"/>
  </r>
  <r>
    <d v="2016-09-28T00:00:00"/>
    <n v="2016"/>
    <x v="34"/>
    <s v="P"/>
    <n v="2"/>
    <x v="11"/>
    <s v="CHI"/>
    <s v="H"/>
    <n v="11"/>
    <n v="2"/>
    <n v="9"/>
    <n v="-9"/>
    <n v="16"/>
    <n v="-16"/>
    <n v="1617.3063220448917"/>
    <n v="1536.8101301042097"/>
    <n v="0.75604608632227155"/>
    <n v="95"/>
    <n v="75"/>
    <n v="0"/>
    <n v="20"/>
    <n v="1"/>
    <n v="0.53874805335037246"/>
    <n v="1.2"/>
    <n v="70.75"/>
    <n v="84.899999999999991"/>
    <n v="11.158381198981775"/>
    <n v="1628.4647032438734"/>
    <n v="0"/>
    <n v="0"/>
    <n v="0"/>
    <n v="0"/>
    <n v="1"/>
    <n v="0"/>
    <n v="0"/>
    <n v="0"/>
    <n v="0"/>
    <n v="0"/>
  </r>
  <r>
    <d v="2016-09-28T00:00:00"/>
    <n v="2016"/>
    <x v="36"/>
    <s v="P"/>
    <n v="2"/>
    <x v="4"/>
    <s v="MIN"/>
    <s v="A"/>
    <n v="3"/>
    <n v="10"/>
    <n v="-7"/>
    <n v="7"/>
    <n v="-16"/>
    <n v="16"/>
    <n v="1564.6940976546532"/>
    <n v="1698.6863748795722"/>
    <n v="0.19168921554643656"/>
    <n v="95"/>
    <n v="113"/>
    <n v="0"/>
    <n v="-18"/>
    <n v="0"/>
    <n v="0.49190743436436407"/>
    <n v="1.2"/>
    <n v="70.45"/>
    <n v="84.54"/>
    <n v="-7.9715598271562484"/>
    <n v="1556.722537827497"/>
    <n v="0"/>
    <n v="0"/>
    <n v="0"/>
    <n v="0"/>
    <n v="0"/>
    <n v="1"/>
    <n v="0"/>
    <n v="0"/>
    <n v="0"/>
    <n v="0"/>
  </r>
  <r>
    <d v="2016-09-28T00:00:00"/>
    <n v="2016"/>
    <x v="34"/>
    <s v="P"/>
    <n v="2"/>
    <x v="5"/>
    <s v="PHX"/>
    <s v="H"/>
    <n v="10"/>
    <n v="3"/>
    <n v="7"/>
    <n v="-7"/>
    <n v="16"/>
    <n v="-16"/>
    <n v="1698.6863748795722"/>
    <n v="1564.6940976546532"/>
    <n v="0.80831078445356352"/>
    <n v="113"/>
    <n v="95"/>
    <n v="0"/>
    <n v="18"/>
    <n v="1"/>
    <n v="0.49190743436436407"/>
    <n v="1.2"/>
    <n v="70.75"/>
    <n v="84.899999999999991"/>
    <n v="8.0055054332335605"/>
    <n v="1706.6918803128058"/>
    <n v="0"/>
    <n v="0"/>
    <n v="0"/>
    <n v="0"/>
    <n v="1"/>
    <n v="0"/>
    <n v="0"/>
    <n v="0"/>
    <n v="0"/>
    <n v="0"/>
  </r>
  <r>
    <d v="2016-09-30T00:00:00"/>
    <n v="2016"/>
    <x v="36"/>
    <s v="P"/>
    <n v="2"/>
    <x v="1"/>
    <s v="LAS"/>
    <s v="A"/>
    <n v="1"/>
    <n v="1"/>
    <n v="0"/>
    <n v="0"/>
    <n v="0"/>
    <n v="0"/>
    <n v="1525.6754062505261"/>
    <n v="1628.4647032438734"/>
    <n v="0.25440679156291995"/>
    <n v="84"/>
    <n v="99"/>
    <n v="0"/>
    <n v="-15"/>
    <n v="0"/>
    <n v="0.46317361913174937"/>
    <n v="1.2"/>
    <n v="70.45"/>
    <n v="84.54"/>
    <n v="-9.9617298456762597"/>
    <n v="1515.7136764048498"/>
    <n v="0"/>
    <n v="0"/>
    <n v="0"/>
    <n v="0"/>
    <n v="0"/>
    <n v="1"/>
    <n v="0"/>
    <n v="0"/>
    <n v="0"/>
    <n v="0"/>
  </r>
  <r>
    <d v="2016-09-30T00:00:00"/>
    <n v="2016"/>
    <x v="35"/>
    <s v="P"/>
    <n v="2"/>
    <x v="11"/>
    <s v="CHI"/>
    <s v="H"/>
    <n v="1"/>
    <n v="1"/>
    <n v="0"/>
    <n v="0"/>
    <n v="0"/>
    <n v="0"/>
    <n v="1628.4647032438734"/>
    <n v="1525.6754062505261"/>
    <n v="0.7455932084370801"/>
    <n v="99"/>
    <n v="84"/>
    <n v="0"/>
    <n v="15"/>
    <n v="1"/>
    <n v="0.46317361913174937"/>
    <n v="1.2"/>
    <n v="70.599999999999994"/>
    <n v="84.719999999999985"/>
    <n v="9.9829400582646368"/>
    <n v="1638.447643302138"/>
    <n v="0"/>
    <n v="0"/>
    <n v="0"/>
    <n v="0"/>
    <n v="1"/>
    <n v="0"/>
    <n v="0"/>
    <n v="0"/>
    <n v="0"/>
    <n v="0"/>
  </r>
  <r>
    <d v="2016-09-30T00:00:00"/>
    <n v="2016"/>
    <x v="37"/>
    <s v="P"/>
    <n v="2"/>
    <x v="4"/>
    <s v="MIN"/>
    <s v="A"/>
    <n v="1"/>
    <n v="1"/>
    <n v="0"/>
    <n v="0"/>
    <n v="0"/>
    <n v="0"/>
    <n v="1556.722537827497"/>
    <n v="1706.6918803128058"/>
    <n v="0.20638816115187728"/>
    <n v="86"/>
    <n v="96"/>
    <n v="0"/>
    <n v="-10"/>
    <n v="0"/>
    <n v="0.37612382979302095"/>
    <n v="1.2"/>
    <n v="70.3"/>
    <n v="84.36"/>
    <n v="-6.5486563721108926"/>
    <n v="1550.1738814553862"/>
    <n v="0"/>
    <n v="0"/>
    <n v="0"/>
    <n v="0"/>
    <n v="0"/>
    <n v="1"/>
    <n v="0"/>
    <n v="0"/>
    <n v="0"/>
    <n v="0"/>
  </r>
  <r>
    <d v="2016-09-30T00:00:00"/>
    <n v="2016"/>
    <x v="35"/>
    <s v="P"/>
    <n v="2"/>
    <x v="5"/>
    <s v="PHX"/>
    <s v="H"/>
    <n v="1"/>
    <n v="1"/>
    <n v="0"/>
    <n v="0"/>
    <n v="0"/>
    <n v="0"/>
    <n v="1706.6918803128058"/>
    <n v="1556.722537827497"/>
    <n v="0.7936118388481227"/>
    <n v="96"/>
    <n v="86"/>
    <n v="0"/>
    <n v="10"/>
    <n v="1"/>
    <n v="0.37612382979302095"/>
    <n v="1.2"/>
    <n v="70.599999999999994"/>
    <n v="84.719999999999985"/>
    <n v="6.5766022741255901"/>
    <n v="1713.2684825869314"/>
    <n v="0"/>
    <n v="0"/>
    <n v="0"/>
    <n v="0"/>
    <n v="1"/>
    <n v="0"/>
    <n v="0"/>
    <n v="0"/>
    <n v="0"/>
    <n v="0"/>
  </r>
  <r>
    <d v="2016-10-02T00:00:00"/>
    <n v="2016"/>
    <x v="36"/>
    <s v="P"/>
    <n v="2"/>
    <x v="11"/>
    <s v="CHI"/>
    <s v="A"/>
    <n v="1"/>
    <n v="1"/>
    <n v="0"/>
    <n v="0"/>
    <n v="0"/>
    <n v="0"/>
    <n v="1638.447643302138"/>
    <n v="1515.7136764048498"/>
    <n v="0.55551286023473567"/>
    <n v="66"/>
    <n v="70"/>
    <n v="0"/>
    <n v="-4"/>
    <n v="0"/>
    <n v="0.28253548426013542"/>
    <n v="1.2"/>
    <n v="70.45"/>
    <n v="84.54"/>
    <n v="-13.268730109537676"/>
    <n v="1625.1789131926002"/>
    <n v="0"/>
    <n v="0"/>
    <n v="0"/>
    <n v="0"/>
    <n v="0"/>
    <n v="1"/>
    <n v="0"/>
    <n v="0"/>
    <n v="0"/>
    <n v="0"/>
  </r>
  <r>
    <d v="2016-10-02T00:00:00"/>
    <n v="2016"/>
    <x v="37"/>
    <s v="P"/>
    <n v="2"/>
    <x v="1"/>
    <s v="LAS"/>
    <s v="H"/>
    <n v="1"/>
    <n v="1"/>
    <n v="0"/>
    <n v="0"/>
    <n v="0"/>
    <n v="0"/>
    <n v="1515.7136764048498"/>
    <n v="1638.447643302138"/>
    <n v="0.44448713976526427"/>
    <n v="70"/>
    <n v="66"/>
    <n v="0"/>
    <n v="4"/>
    <n v="1"/>
    <n v="0.28253548426013542"/>
    <n v="1.2"/>
    <n v="70.3"/>
    <n v="84.36"/>
    <n v="13.24047873244143"/>
    <n v="1528.9541551372913"/>
    <n v="0"/>
    <n v="0"/>
    <n v="0"/>
    <n v="0"/>
    <n v="1"/>
    <n v="0"/>
    <n v="0"/>
    <n v="0"/>
    <n v="0"/>
    <n v="0"/>
  </r>
  <r>
    <d v="2016-10-02T00:00:00"/>
    <n v="2016"/>
    <x v="36"/>
    <s v="P"/>
    <n v="2"/>
    <x v="5"/>
    <s v="PHX"/>
    <s v="A"/>
    <n v="1"/>
    <n v="1"/>
    <n v="0"/>
    <n v="0"/>
    <n v="0"/>
    <n v="0"/>
    <n v="1713.2684825869314"/>
    <n v="1550.1738814553862"/>
    <n v="0.61189983178475305"/>
    <n v="82"/>
    <n v="67"/>
    <n v="0"/>
    <n v="15"/>
    <n v="1"/>
    <n v="0.44268213897524161"/>
    <n v="1.2"/>
    <n v="70.45"/>
    <n v="84.54"/>
    <n v="14.524395765388013"/>
    <n v="1727.7928783523193"/>
    <n v="0"/>
    <n v="0"/>
    <n v="0"/>
    <n v="0"/>
    <n v="1"/>
    <n v="0"/>
    <n v="0"/>
    <n v="0"/>
    <n v="0"/>
    <n v="0"/>
  </r>
  <r>
    <d v="2016-10-02T00:00:00"/>
    <n v="2016"/>
    <x v="38"/>
    <s v="P"/>
    <n v="2"/>
    <x v="4"/>
    <s v="MIN"/>
    <s v="H"/>
    <n v="1"/>
    <n v="1"/>
    <n v="0"/>
    <n v="0"/>
    <n v="0"/>
    <n v="0"/>
    <n v="1550.1738814553862"/>
    <n v="1713.2684825869314"/>
    <n v="0.3881001682152469"/>
    <n v="67"/>
    <n v="82"/>
    <n v="0"/>
    <n v="-15"/>
    <n v="0"/>
    <n v="0.44268213897524161"/>
    <n v="1.2"/>
    <n v="70.150000000000006"/>
    <n v="84.18"/>
    <n v="-14.462545960851225"/>
    <n v="1535.711335494535"/>
    <n v="0"/>
    <n v="0"/>
    <n v="0"/>
    <n v="0"/>
    <n v="0"/>
    <n v="1"/>
    <n v="0"/>
    <n v="0"/>
    <n v="0"/>
    <n v="0"/>
  </r>
  <r>
    <d v="2016-10-04T00:00:00"/>
    <n v="2016"/>
    <x v="37"/>
    <s v="P"/>
    <n v="2"/>
    <x v="11"/>
    <s v="CHI"/>
    <s v="A"/>
    <n v="1"/>
    <n v="1"/>
    <n v="0"/>
    <n v="0"/>
    <n v="0"/>
    <n v="0"/>
    <n v="1625.1789131926002"/>
    <n v="1528.9541551372913"/>
    <n v="0.51758558446525016"/>
    <n v="95"/>
    <n v="75"/>
    <n v="0"/>
    <n v="20"/>
    <n v="1"/>
    <n v="0.53221081177742113"/>
    <n v="1.2"/>
    <n v="70.3"/>
    <n v="84.36"/>
    <n v="21.659106707583625"/>
    <n v="1646.8380199001838"/>
    <n v="0"/>
    <n v="0"/>
    <n v="0"/>
    <n v="0"/>
    <n v="1"/>
    <n v="0"/>
    <n v="0"/>
    <n v="0"/>
    <n v="0"/>
    <n v="0"/>
  </r>
  <r>
    <d v="2016-10-04T00:00:00"/>
    <n v="2016"/>
    <x v="38"/>
    <s v="P"/>
    <n v="2"/>
    <x v="1"/>
    <s v="LAS"/>
    <s v="H"/>
    <n v="1"/>
    <n v="1"/>
    <n v="0"/>
    <n v="0"/>
    <n v="0"/>
    <n v="0"/>
    <n v="1528.9541551372913"/>
    <n v="1625.1789131926002"/>
    <n v="0.48241441553474979"/>
    <n v="75"/>
    <n v="95"/>
    <n v="0"/>
    <n v="-20"/>
    <n v="0"/>
    <n v="0.53221081177742113"/>
    <n v="1.2"/>
    <n v="70.150000000000006"/>
    <n v="84.18"/>
    <n v="-21.612892397396745"/>
    <n v="1507.3412627398945"/>
    <n v="0"/>
    <n v="0"/>
    <n v="0"/>
    <n v="0"/>
    <n v="0"/>
    <n v="1"/>
    <n v="0"/>
    <n v="0"/>
    <n v="0"/>
    <n v="0"/>
  </r>
  <r>
    <d v="2016-10-09T00:00:00"/>
    <n v="2016"/>
    <x v="38"/>
    <s v="P"/>
    <n v="3"/>
    <x v="11"/>
    <s v="MIN"/>
    <s v="A"/>
    <n v="4"/>
    <n v="6"/>
    <n v="-2"/>
    <n v="2"/>
    <n v="-16"/>
    <n v="16"/>
    <n v="1646.8380199001838"/>
    <n v="1727.7928783523193"/>
    <n v="0.24346726557269127"/>
    <n v="78"/>
    <n v="76"/>
    <n v="0"/>
    <n v="2"/>
    <n v="1"/>
    <n v="0.25091406059381732"/>
    <n v="1.35"/>
    <n v="70.150000000000006"/>
    <n v="94.702500000000015"/>
    <n v="17.976873686534233"/>
    <n v="1664.814893586718"/>
    <n v="0"/>
    <n v="0"/>
    <n v="0"/>
    <n v="0"/>
    <n v="0"/>
    <n v="0"/>
    <n v="1"/>
    <n v="0"/>
    <n v="0"/>
    <n v="0"/>
  </r>
  <r>
    <d v="2016-10-09T00:00:00"/>
    <n v="2016"/>
    <x v="37"/>
    <s v="P"/>
    <n v="3"/>
    <x v="5"/>
    <s v="LAS"/>
    <s v="H"/>
    <n v="6"/>
    <n v="4"/>
    <n v="2"/>
    <n v="-2"/>
    <n v="16"/>
    <n v="-16"/>
    <n v="1727.7928783523193"/>
    <n v="1646.8380199001838"/>
    <n v="0.75653273442730873"/>
    <n v="76"/>
    <n v="78"/>
    <n v="0"/>
    <n v="-2"/>
    <n v="0"/>
    <n v="0.25091406059381732"/>
    <n v="1.35"/>
    <n v="70.3"/>
    <n v="94.905000000000001"/>
    <n v="-18.015313188358611"/>
    <n v="1709.7775651639608"/>
    <n v="0"/>
    <n v="0"/>
    <n v="0"/>
    <n v="0"/>
    <n v="0"/>
    <n v="0"/>
    <n v="0"/>
    <n v="1"/>
    <n v="0"/>
    <n v="0"/>
  </r>
  <r>
    <d v="2016-10-11T00:00:00"/>
    <n v="2016"/>
    <x v="39"/>
    <s v="P"/>
    <n v="3"/>
    <x v="11"/>
    <s v="MIN"/>
    <s v="A"/>
    <n v="1"/>
    <n v="1"/>
    <n v="0"/>
    <n v="0"/>
    <n v="0"/>
    <n v="0"/>
    <n v="1664.814893586718"/>
    <n v="1709.7775651639608"/>
    <n v="0.32248636694983995"/>
    <n v="60"/>
    <n v="79"/>
    <n v="0"/>
    <n v="-19"/>
    <n v="0"/>
    <n v="0.54071748706720413"/>
    <n v="1.35"/>
    <n v="70"/>
    <n v="94.5"/>
    <n v="-16.47834469632695"/>
    <n v="1648.336548890391"/>
    <n v="0"/>
    <n v="0"/>
    <n v="0"/>
    <n v="0"/>
    <n v="0"/>
    <n v="0"/>
    <n v="0"/>
    <n v="1"/>
    <n v="0"/>
    <n v="0"/>
  </r>
  <r>
    <d v="2016-10-11T00:00:00"/>
    <n v="2016"/>
    <x v="38"/>
    <s v="P"/>
    <n v="3"/>
    <x v="5"/>
    <s v="LAS"/>
    <s v="H"/>
    <n v="1"/>
    <n v="1"/>
    <n v="0"/>
    <n v="0"/>
    <n v="0"/>
    <n v="0"/>
    <n v="1709.7775651639608"/>
    <n v="1664.814893586718"/>
    <n v="0.67751363305015999"/>
    <n v="79"/>
    <n v="60"/>
    <n v="0"/>
    <n v="19"/>
    <n v="1"/>
    <n v="0.54071748706720413"/>
    <n v="1.35"/>
    <n v="70.150000000000006"/>
    <n v="94.702500000000015"/>
    <n v="16.51365543496194"/>
    <n v="1726.2912205989228"/>
    <n v="0"/>
    <n v="0"/>
    <n v="0"/>
    <n v="0"/>
    <n v="0"/>
    <n v="0"/>
    <n v="1"/>
    <n v="0"/>
    <n v="0"/>
    <n v="0"/>
  </r>
  <r>
    <d v="2016-10-14T00:00:00"/>
    <n v="2016"/>
    <x v="39"/>
    <s v="P"/>
    <n v="3"/>
    <x v="5"/>
    <s v="LAS"/>
    <s v="A"/>
    <n v="2"/>
    <n v="2"/>
    <n v="0"/>
    <n v="0"/>
    <n v="0"/>
    <n v="0"/>
    <n v="1726.2912205989228"/>
    <n v="1648.336548890391"/>
    <n v="0.49130095112164329"/>
    <n v="75"/>
    <n v="92"/>
    <n v="0"/>
    <n v="-17"/>
    <n v="0"/>
    <n v="0.49996333754482353"/>
    <n v="1.35"/>
    <n v="70"/>
    <n v="94.5"/>
    <n v="-23.212267778232821"/>
    <n v="1703.0789528206899"/>
    <n v="0"/>
    <n v="0"/>
    <n v="0"/>
    <n v="0"/>
    <n v="0"/>
    <n v="0"/>
    <n v="0"/>
    <n v="1"/>
    <n v="0"/>
    <n v="0"/>
  </r>
  <r>
    <d v="2016-10-14T00:00:00"/>
    <n v="2016"/>
    <x v="40"/>
    <s v="P"/>
    <n v="3"/>
    <x v="11"/>
    <s v="MIN"/>
    <s v="H"/>
    <n v="2"/>
    <n v="2"/>
    <n v="0"/>
    <n v="0"/>
    <n v="0"/>
    <n v="0"/>
    <n v="1648.336548890391"/>
    <n v="1726.2912205989228"/>
    <n v="0.50869904887835671"/>
    <n v="92"/>
    <n v="75"/>
    <n v="0"/>
    <n v="17"/>
    <n v="1"/>
    <n v="0.49996333754482353"/>
    <n v="1.35"/>
    <n v="69.849999999999994"/>
    <n v="94.297499999999999"/>
    <n v="23.162527204422322"/>
    <n v="1671.4990760948133"/>
    <n v="0"/>
    <n v="0"/>
    <n v="0"/>
    <n v="0"/>
    <n v="0"/>
    <n v="0"/>
    <n v="1"/>
    <n v="0"/>
    <n v="0"/>
    <n v="0"/>
  </r>
  <r>
    <d v="2016-10-16T00:00:00"/>
    <n v="2016"/>
    <x v="40"/>
    <s v="P"/>
    <n v="3"/>
    <x v="5"/>
    <s v="LAS"/>
    <s v="A"/>
    <n v="1"/>
    <n v="1"/>
    <n v="0"/>
    <n v="0"/>
    <n v="0"/>
    <n v="0"/>
    <n v="1703.0789528206899"/>
    <n v="1671.4990760948133"/>
    <n v="0.42512864060871663"/>
    <n v="85"/>
    <n v="79"/>
    <n v="0"/>
    <n v="6"/>
    <n v="1"/>
    <n v="0.34227330380700521"/>
    <n v="1.35"/>
    <n v="69.849999999999994"/>
    <n v="94.297499999999999"/>
    <n v="18.554270255664864"/>
    <n v="1721.6332230763549"/>
    <n v="0"/>
    <n v="0"/>
    <n v="0"/>
    <n v="0"/>
    <n v="0"/>
    <n v="0"/>
    <n v="1"/>
    <n v="0"/>
    <n v="0"/>
    <n v="0"/>
  </r>
  <r>
    <d v="2016-10-16T00:00:00"/>
    <n v="2016"/>
    <x v="41"/>
    <s v="P"/>
    <n v="3"/>
    <x v="11"/>
    <s v="MIN"/>
    <s v="H"/>
    <n v="1"/>
    <n v="1"/>
    <n v="0"/>
    <n v="0"/>
    <n v="0"/>
    <n v="0"/>
    <n v="1671.4990760948133"/>
    <n v="1703.0789528206899"/>
    <n v="0.57487135939128331"/>
    <n v="79"/>
    <n v="85"/>
    <n v="0"/>
    <n v="-6"/>
    <n v="0"/>
    <n v="0.34227330380700521"/>
    <n v="1.35"/>
    <n v="69.7"/>
    <n v="94.095000000000013"/>
    <n v="-18.514425723977684"/>
    <n v="1652.9846503708357"/>
    <n v="0"/>
    <n v="0"/>
    <n v="0"/>
    <n v="0"/>
    <n v="0"/>
    <n v="0"/>
    <n v="0"/>
    <n v="1"/>
    <n v="0"/>
    <n v="0"/>
  </r>
  <r>
    <d v="2016-10-20T00:00:00"/>
    <n v="2016"/>
    <x v="42"/>
    <s v="P"/>
    <n v="3"/>
    <x v="11"/>
    <s v="MIN"/>
    <s v="A"/>
    <n v="3"/>
    <n v="3"/>
    <n v="0"/>
    <n v="0"/>
    <n v="0"/>
    <n v="0"/>
    <n v="1652.9846503708357"/>
    <n v="1721.6332230763549"/>
    <n v="0.29344396322555599"/>
    <n v="77"/>
    <n v="76"/>
    <n v="0"/>
    <n v="1"/>
    <n v="1"/>
    <n v="0.23096672432576595"/>
    <n v="1.35"/>
    <n v="69.55"/>
    <n v="93.892499999999998"/>
    <n v="15.322404711103658"/>
    <n v="1668.3070550819393"/>
    <n v="0"/>
    <n v="0"/>
    <n v="0"/>
    <n v="0"/>
    <n v="0"/>
    <n v="0"/>
    <n v="1"/>
    <n v="0"/>
    <n v="0"/>
    <n v="0"/>
  </r>
  <r>
    <d v="2016-10-20T00:00:00"/>
    <n v="2016"/>
    <x v="41"/>
    <s v="P"/>
    <n v="3"/>
    <x v="5"/>
    <s v="LAS"/>
    <s v="H"/>
    <n v="3"/>
    <n v="3"/>
    <n v="0"/>
    <n v="0"/>
    <n v="0"/>
    <n v="0"/>
    <n v="1721.6332230763549"/>
    <n v="1652.9846503708357"/>
    <n v="0.70655603677444401"/>
    <n v="76"/>
    <n v="77"/>
    <n v="0"/>
    <n v="-1"/>
    <n v="0"/>
    <n v="0.23096672432576595"/>
    <n v="1.35"/>
    <n v="69.7"/>
    <n v="94.095000000000013"/>
    <n v="-15.355450875110352"/>
    <n v="1706.2777722012445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9">
        <item m="1" x="39"/>
        <item x="6"/>
        <item m="1" x="50"/>
        <item m="1" x="28"/>
        <item m="1" x="26"/>
        <item m="1" x="38"/>
        <item m="1" x="54"/>
        <item m="1" x="16"/>
        <item x="1"/>
        <item m="1" x="40"/>
        <item m="1" x="17"/>
        <item x="0"/>
        <item x="2"/>
        <item m="1" x="33"/>
        <item m="1" x="13"/>
        <item m="1" x="55"/>
        <item m="1" x="35"/>
        <item m="1" x="15"/>
        <item x="3"/>
        <item m="1" x="49"/>
        <item m="1" x="48"/>
        <item m="1" x="25"/>
        <item m="1" x="24"/>
        <item m="1" x="57"/>
        <item x="11"/>
        <item m="1" x="56"/>
        <item m="1" x="27"/>
        <item m="1" x="19"/>
        <item m="1" x="34"/>
        <item x="5"/>
        <item m="1" x="42"/>
        <item m="1" x="22"/>
        <item m="1" x="30"/>
        <item m="1" x="43"/>
        <item m="1" x="51"/>
        <item x="8"/>
        <item m="1" x="44"/>
        <item m="1" x="32"/>
        <item m="1" x="21"/>
        <item m="1" x="29"/>
        <item x="4"/>
        <item m="1" x="46"/>
        <item m="1" x="20"/>
        <item m="1" x="31"/>
        <item m="1" x="14"/>
        <item x="7"/>
        <item m="1" x="41"/>
        <item x="10"/>
        <item m="1" x="52"/>
        <item m="1" x="47"/>
        <item m="1" x="53"/>
        <item m="1" x="45"/>
        <item m="1" x="23"/>
        <item m="1" x="12"/>
        <item m="1" x="18"/>
        <item m="1" x="37"/>
        <item x="9"/>
        <item m="1" x="36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9"/>
    </i>
    <i>
      <x v="35"/>
    </i>
    <i>
      <x v="40"/>
    </i>
    <i>
      <x v="45"/>
    </i>
    <i>
      <x v="47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2:C13"/>
  </sortState>
  <tableColumns count="4">
    <tableColumn id="1" xr3:uid="{8C17ECDF-4459-4994-A3F5-8E8FEDF92B6F}" name="TeamID"/>
    <tableColumn id="4" xr3:uid="{789F069E-DAF9-4B19-A6DB-107BA6995CE5}" name="Logo" dataDxfId="12"/>
    <tableColumn id="5" xr3:uid="{A9DA91BA-5529-4913-978B-19C8EF225B29}" name="TeamName" dataDxfId="11"/>
    <tableColumn id="2" xr3:uid="{AA4C8157-DB69-4779-8EEE-6F419B992D71}" name="PreSeasonElo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41" totalsRowShown="0" headerRowDxfId="52" dataDxfId="51">
  <autoFilter ref="A1:AL441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0"/>
    <tableColumn id="21" xr3:uid="{D754AB95-C77C-4DD5-B1B9-A24A4FEE7279}" name="Season" dataDxfId="49"/>
    <tableColumn id="19" xr3:uid="{4C42B78B-6AFC-42C3-A5F4-3266E247C458}" name="GamesPlayed" dataDxfId="48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7"/>
    <tableColumn id="14" xr3:uid="{EFA83923-8CCA-4DC9-BC85-5D86949A45D9}" name="Round" dataDxfId="46"/>
    <tableColumn id="2" xr3:uid="{6E102E51-A49B-416B-8CD2-B93B2A4EA389}" name="Team" dataDxfId="45"/>
    <tableColumn id="3" xr3:uid="{19101345-1C34-4AF3-88E6-76A7F19B7FE6}" name="Opponent" dataDxfId="44"/>
    <tableColumn id="16" xr3:uid="{4CBCDF29-B095-48DF-8EF6-06DC7D78C844}" name="HomeAway" dataDxfId="43"/>
    <tableColumn id="32" xr3:uid="{E3FA53E3-DAD6-4BC2-969A-C53F4798E86D}" name="DaysOff" dataDxfId="42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1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0">
      <calculatedColumnFormula>Games[[#This Row],[DaysOff]]-Games[[#This Row],[OppDaysOff]]</calculatedColumnFormula>
    </tableColumn>
    <tableColumn id="35" xr3:uid="{3F2DB366-7372-41BA-8B0C-09F9BA7EA850}" name="OppRestDiff" dataDxfId="39">
      <calculatedColumnFormula>Games[[#This Row],[OppDaysOff]]-Games[[#This Row],[DaysOff]]</calculatedColumnFormula>
    </tableColumn>
    <tableColumn id="36" xr3:uid="{BDD0FD2C-608F-4CCC-867B-4481F0F4B802}" name="RestAdj" dataDxfId="38">
      <calculatedColumnFormula>MAX(-16, MIN(16, Games[[#This Row],[RestDiff]]*8))</calculatedColumnFormula>
    </tableColumn>
    <tableColumn id="37" xr3:uid="{5F89213A-4C28-428C-B766-3B05D4F530A5}" name="OppRestAdj" dataDxfId="37">
      <calculatedColumnFormula>MAX(-16, MIN(16, Games[[#This Row],[OppRestDiff]]*8))</calculatedColumnFormula>
    </tableColumn>
    <tableColumn id="4" xr3:uid="{68053CFA-948B-4F2C-A114-7C46ABD9EA33}" name="PreGmRate" dataDxfId="36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5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4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3"/>
    <tableColumn id="8" xr3:uid="{0CDDF0F9-2F1E-487C-96DD-90F70CE7DAFC}" name="PointsAgainst" dataDxfId="32"/>
    <tableColumn id="22" xr3:uid="{AB7B5B5C-5BAD-4213-990E-8EB9B177497C}" name="OT" dataDxfId="31"/>
    <tableColumn id="9" xr3:uid="{CE171F1D-5E5D-4800-A6DC-8F6DBD74C939}" name="MOV" dataDxfId="30">
      <calculatedColumnFormula>Games[[#This Row],[PointsFor]]-Games[[#This Row],[PointsAgainst]]</calculatedColumnFormula>
    </tableColumn>
    <tableColumn id="10" xr3:uid="{883A3911-25F6-4C39-9637-F1C42D6A1FC2}" name="Result" dataDxfId="29">
      <calculatedColumnFormula>IF(Games[[#This Row],[MOV]]&gt;0,1,IF(Games[[#This Row],[MOV]]=0,0.5,0))</calculatedColumnFormula>
    </tableColumn>
    <tableColumn id="15" xr3:uid="{00048431-5FD6-47EE-807E-5B63FD521193}" name="MOVMult" dataDxfId="28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7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6">
      <calculatedColumnFormula>MAX(kmin, kmax - 0.15 * MIN(Games[[#This Row],[GamesPlayed]], 82))</calculatedColumnFormula>
    </tableColumn>
    <tableColumn id="29" xr3:uid="{FBA5D644-15ED-4725-9E52-1D37FD0FAC64}" name="Keff" dataDxfId="25">
      <calculatedColumnFormula>Games[[#This Row],[K]]*Games[[#This Row],[POMult]]</calculatedColumnFormula>
    </tableColumn>
    <tableColumn id="11" xr3:uid="{309DAEBD-E62C-4090-89E9-A58FD32AB89B}" name="RatingChange" dataDxfId="24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3">
      <calculatedColumnFormula>Games[[#This Row],[PreGmRate]]+Games[[#This Row],[RatingChange]]</calculatedColumnFormula>
    </tableColumn>
    <tableColumn id="17" xr3:uid="{90B7BF87-E472-4474-A10D-555BD3BF8F04}" name="W" dataDxfId="22">
      <calculatedColumnFormula>IF(Games[[#This Row],[Type]]="R",IF(Games[[#This Row],[Result]]&gt;0.5,1,0),0)</calculatedColumnFormula>
    </tableColumn>
    <tableColumn id="18" xr3:uid="{29756EA1-783D-4C76-A7B8-F906AF0EC7E7}" name="L" dataDxfId="21">
      <calculatedColumnFormula>IF(Games[[#This Row],[Type]]="R",IF(Games[[#This Row],[Result]]&lt;0.5,1,0),0)</calculatedColumnFormula>
    </tableColumn>
    <tableColumn id="23" xr3:uid="{C253CFA7-28A4-4AE5-B131-DC1E8F2B73F8}" name="R1W" dataDxfId="20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9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8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7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6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5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4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3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/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79</v>
      </c>
      <c r="B2" s="8"/>
      <c r="C2" s="15" t="s">
        <v>80</v>
      </c>
      <c r="D2" s="13">
        <v>1491.0163803289645</v>
      </c>
    </row>
    <row r="3" spans="1:4" x14ac:dyDescent="0.35">
      <c r="A3" t="s">
        <v>77</v>
      </c>
      <c r="B3" s="8"/>
      <c r="C3" s="15" t="s">
        <v>78</v>
      </c>
      <c r="D3" s="13">
        <v>1551.3862122028747</v>
      </c>
    </row>
    <row r="4" spans="1:4" x14ac:dyDescent="0.35">
      <c r="A4" t="s">
        <v>76</v>
      </c>
      <c r="B4" s="8"/>
      <c r="C4" s="15" t="s">
        <v>75</v>
      </c>
      <c r="D4" s="13">
        <v>1428.4702356366477</v>
      </c>
    </row>
    <row r="5" spans="1:4" x14ac:dyDescent="0.35">
      <c r="A5" t="s">
        <v>87</v>
      </c>
      <c r="B5" s="8"/>
      <c r="C5" s="15" t="s">
        <v>86</v>
      </c>
      <c r="D5" s="13">
        <v>1463.7977918623715</v>
      </c>
    </row>
    <row r="6" spans="1:4" x14ac:dyDescent="0.35">
      <c r="A6" t="s">
        <v>69</v>
      </c>
      <c r="B6" s="8"/>
      <c r="C6" s="15" t="s">
        <v>70</v>
      </c>
      <c r="D6" s="13">
        <v>1589.5362720164171</v>
      </c>
    </row>
    <row r="7" spans="1:4" x14ac:dyDescent="0.35">
      <c r="A7" t="s">
        <v>63</v>
      </c>
      <c r="B7" s="8"/>
      <c r="C7" s="15" t="s">
        <v>64</v>
      </c>
      <c r="D7" s="13">
        <v>1493.2380290121753</v>
      </c>
    </row>
    <row r="8" spans="1:4" x14ac:dyDescent="0.35">
      <c r="A8" t="s">
        <v>67</v>
      </c>
      <c r="B8" s="8"/>
      <c r="C8" s="15" t="s">
        <v>68</v>
      </c>
      <c r="D8" s="13">
        <v>1615.2171596421338</v>
      </c>
    </row>
    <row r="9" spans="1:4" x14ac:dyDescent="0.35">
      <c r="A9" t="s">
        <v>60</v>
      </c>
      <c r="B9" s="8"/>
      <c r="C9" s="15" t="s">
        <v>61</v>
      </c>
      <c r="D9" s="13">
        <v>1564.4420694941789</v>
      </c>
    </row>
    <row r="10" spans="1:4" x14ac:dyDescent="0.35">
      <c r="A10" t="s">
        <v>40</v>
      </c>
      <c r="B10" s="8"/>
      <c r="C10" s="15" t="s">
        <v>62</v>
      </c>
      <c r="D10" s="13">
        <v>1590.4044317630451</v>
      </c>
    </row>
    <row r="11" spans="1:4" x14ac:dyDescent="0.35">
      <c r="A11" t="s">
        <v>74</v>
      </c>
      <c r="B11" s="8"/>
      <c r="C11" s="15" t="s">
        <v>73</v>
      </c>
      <c r="D11" s="13">
        <v>1311.5650345408349</v>
      </c>
    </row>
    <row r="12" spans="1:4" x14ac:dyDescent="0.35">
      <c r="A12" t="s">
        <v>71</v>
      </c>
      <c r="B12" s="8"/>
      <c r="C12" s="15" t="s">
        <v>72</v>
      </c>
      <c r="D12" s="13">
        <v>1385.4878408906675</v>
      </c>
    </row>
    <row r="13" spans="1:4" x14ac:dyDescent="0.35">
      <c r="A13" t="s">
        <v>65</v>
      </c>
      <c r="B13" s="8"/>
      <c r="C13" s="15" t="s">
        <v>66</v>
      </c>
      <c r="D13" s="13">
        <v>1517.0593416459894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A2" sqref="A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MIN</v>
      </c>
      <c r="B2">
        <v>0</v>
      </c>
      <c r="C2" t="str">
        <v>Minnesota Lynx</v>
      </c>
      <c r="D2" s="1">
        <v>28</v>
      </c>
      <c r="E2" s="1">
        <v>6</v>
      </c>
      <c r="F2" s="3">
        <v>0.82352941176470584</v>
      </c>
      <c r="G2" s="9">
        <v>1706.2777722012445</v>
      </c>
      <c r="H2" s="1">
        <v>42663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LAS</v>
      </c>
      <c r="B3">
        <v>0</v>
      </c>
      <c r="C3" t="str">
        <v>Los Angeles Sparks</v>
      </c>
      <c r="D3" s="1">
        <v>26</v>
      </c>
      <c r="E3" s="1">
        <v>8</v>
      </c>
      <c r="F3" s="3">
        <v>0.76470588235294112</v>
      </c>
      <c r="G3" s="9">
        <v>1668.3070550819393</v>
      </c>
      <c r="H3" s="1">
        <v>42663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1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1</v>
      </c>
      <c r="AX3" s="4" cm="1">
        <f t="array" ref="AX3">_xlfn.IFNA(INDEX(Games[PostGmRate], MATCH(1, (Games[Team]=AK3)*(Games[Date]=AY3), 0)),0)</f>
        <v>1499.2585224373815</v>
      </c>
      <c r="AY3" s="1">
        <f>_xlfn.MAXIFS(Games[Date], Games[Team], AK3)</f>
        <v>42637</v>
      </c>
      <c r="AZ3">
        <f t="shared" si="2"/>
        <v>1</v>
      </c>
    </row>
    <row r="4" spans="1:68" x14ac:dyDescent="0.35">
      <c r="A4" t="str">
        <v>PHX</v>
      </c>
      <c r="B4">
        <v>0</v>
      </c>
      <c r="C4" t="str">
        <v>Phoenix Mercury</v>
      </c>
      <c r="D4" s="1">
        <v>16</v>
      </c>
      <c r="E4" s="1">
        <v>18</v>
      </c>
      <c r="F4" s="3">
        <v>0.47058823529411764</v>
      </c>
      <c r="G4" s="9">
        <v>1535.711335494535</v>
      </c>
      <c r="H4" s="1">
        <v>42645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IND</v>
      </c>
      <c r="B5">
        <v>0</v>
      </c>
      <c r="C5" t="str">
        <v>Indiana Fever</v>
      </c>
      <c r="D5" s="1">
        <v>17</v>
      </c>
      <c r="E5" s="1">
        <v>17</v>
      </c>
      <c r="F5" s="3">
        <v>0.5</v>
      </c>
      <c r="G5" s="9">
        <v>1511.4359994747761</v>
      </c>
      <c r="H5" s="1">
        <v>42634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CHI</v>
      </c>
      <c r="B6">
        <v>0</v>
      </c>
      <c r="C6" t="str">
        <v>Chicago Sky</v>
      </c>
      <c r="D6" s="1">
        <v>18</v>
      </c>
      <c r="E6" s="1">
        <v>16</v>
      </c>
      <c r="F6" s="3">
        <v>0.52941176470588236</v>
      </c>
      <c r="G6" s="9">
        <v>1507.3412627398945</v>
      </c>
      <c r="H6" s="1">
        <v>42647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1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3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1</v>
      </c>
      <c r="AW6" s="1">
        <f t="shared" si="3"/>
        <v>3</v>
      </c>
      <c r="AX6" s="4" cm="1">
        <f t="array" ref="AX6">_xlfn.IFNA(INDEX(Games[PostGmRate], MATCH(1, (Games[Team]=AK6)*(Games[Date]=AY6), 0)),0)</f>
        <v>1535.711335494535</v>
      </c>
      <c r="AY6" s="1">
        <f>_xlfn.MAXIFS(Games[Date], Games[Team], AK6)</f>
        <v>42645</v>
      </c>
      <c r="AZ6">
        <f>SUM(AV6:AW6)</f>
        <v>4</v>
      </c>
      <c r="BO6" s="4"/>
      <c r="BP6" s="1"/>
    </row>
    <row r="7" spans="1:68" x14ac:dyDescent="0.35">
      <c r="A7" t="str">
        <v>SEA</v>
      </c>
      <c r="B7">
        <v>0</v>
      </c>
      <c r="C7" t="str">
        <v>Seattle Storm</v>
      </c>
      <c r="D7" s="1">
        <v>16</v>
      </c>
      <c r="E7" s="1">
        <v>18</v>
      </c>
      <c r="F7" s="3">
        <v>0.47058823529411764</v>
      </c>
      <c r="G7" s="9">
        <v>1506.1150995107901</v>
      </c>
      <c r="H7" s="1">
        <v>42634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3</v>
      </c>
      <c r="AQ7" s="1">
        <f>_xlfn.XLOOKUP($AK7,StandingsPivot!$A$4:$A$33,StandingsPivot!G$4:G$33)</f>
        <v>1</v>
      </c>
      <c r="AR7" s="1">
        <f>_xlfn.XLOOKUP($AK7,StandingsPivot!$A$4:$A$33,StandingsPivot!H$4:H$33)</f>
        <v>3</v>
      </c>
      <c r="AS7" s="1">
        <f>_xlfn.XLOOKUP($AK7,StandingsPivot!$A$4:$A$33,StandingsPivot!I$4:I$33)</f>
        <v>2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6</v>
      </c>
      <c r="AW7" s="1">
        <f t="shared" si="3"/>
        <v>3</v>
      </c>
      <c r="AX7" s="4" cm="1">
        <f t="array" ref="AX7">_xlfn.IFNA(INDEX(Games[PostGmRate], MATCH(1, (Games[Team]=AK7)*(Games[Date]=AY7), 0)),0)</f>
        <v>1668.3070550819393</v>
      </c>
      <c r="AY7" s="1">
        <f>_xlfn.MAXIFS(Games[Date], Games[Team], AK7)</f>
        <v>42663</v>
      </c>
      <c r="AZ7">
        <f>SUM(AV7:AW7)</f>
        <v>9</v>
      </c>
      <c r="BO7" s="4"/>
      <c r="BP7" s="1"/>
    </row>
    <row r="8" spans="1:68" x14ac:dyDescent="0.35">
      <c r="A8" t="str">
        <v>NYL</v>
      </c>
      <c r="B8">
        <v>0</v>
      </c>
      <c r="C8" t="str">
        <v>New York Liberty</v>
      </c>
      <c r="D8" s="1">
        <v>21</v>
      </c>
      <c r="E8" s="1">
        <v>13</v>
      </c>
      <c r="F8" s="3">
        <v>0.61764705882352944</v>
      </c>
      <c r="G8" s="9">
        <v>1499.2585224373815</v>
      </c>
      <c r="H8" s="1">
        <v>42637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CON</v>
      </c>
      <c r="B9">
        <v>0</v>
      </c>
      <c r="C9" t="str">
        <v>Connecticut Sun</v>
      </c>
      <c r="D9" s="1">
        <v>14</v>
      </c>
      <c r="E9" s="1">
        <v>20</v>
      </c>
      <c r="F9" s="3">
        <v>0.41176470588235292</v>
      </c>
      <c r="G9" s="9">
        <v>1481.0999963245786</v>
      </c>
      <c r="H9" s="1">
        <v>42631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ATL</v>
      </c>
      <c r="B10">
        <v>0</v>
      </c>
      <c r="C10" t="str">
        <v>Atlanta Dream</v>
      </c>
      <c r="D10" s="1">
        <v>17</v>
      </c>
      <c r="E10" s="1">
        <v>17</v>
      </c>
      <c r="F10" s="3">
        <v>0.5</v>
      </c>
      <c r="G10" s="9">
        <v>1478.1825082087134</v>
      </c>
      <c r="H10" s="1">
        <v>42638</v>
      </c>
      <c r="O10" s="3"/>
      <c r="P10" s="4"/>
      <c r="Q10" s="1"/>
      <c r="AX10" s="4"/>
      <c r="BO10" s="4"/>
      <c r="BP10" s="1"/>
    </row>
    <row r="11" spans="1:68" x14ac:dyDescent="0.35">
      <c r="A11" t="str">
        <v>WAS</v>
      </c>
      <c r="B11">
        <v>0</v>
      </c>
      <c r="C11" t="str">
        <v>Washington Mystics</v>
      </c>
      <c r="D11" s="1">
        <v>13</v>
      </c>
      <c r="E11" s="1">
        <v>21</v>
      </c>
      <c r="F11" s="3">
        <v>0.38235294117647056</v>
      </c>
      <c r="G11" s="9">
        <v>1449.5451490251339</v>
      </c>
      <c r="H11" s="1">
        <v>42631</v>
      </c>
      <c r="O11" s="3"/>
      <c r="P11" s="4"/>
      <c r="Q11" s="1"/>
      <c r="AX11" s="4"/>
      <c r="BO11" s="4"/>
      <c r="BP11" s="1"/>
    </row>
    <row r="12" spans="1:68" x14ac:dyDescent="0.35">
      <c r="A12" t="str">
        <v>DAL</v>
      </c>
      <c r="B12">
        <v>0</v>
      </c>
      <c r="C12" t="str">
        <v>Dallas Wings</v>
      </c>
      <c r="D12" s="1">
        <v>11</v>
      </c>
      <c r="E12" s="1">
        <v>23</v>
      </c>
      <c r="F12" s="3">
        <v>0.3235294117647059</v>
      </c>
      <c r="G12" s="9">
        <v>1360.4489898182105</v>
      </c>
      <c r="H12" s="1">
        <v>42631</v>
      </c>
      <c r="O12" s="3"/>
      <c r="P12" s="4"/>
      <c r="Q12" s="1"/>
      <c r="AX12" s="4"/>
      <c r="BO12" s="4"/>
      <c r="BP12" s="1"/>
    </row>
    <row r="13" spans="1:68" x14ac:dyDescent="0.35">
      <c r="A13" t="str">
        <v>SAS</v>
      </c>
      <c r="B13">
        <v>0</v>
      </c>
      <c r="C13" t="str">
        <v>San Antonio Silver Stars</v>
      </c>
      <c r="D13" s="1">
        <v>7</v>
      </c>
      <c r="E13" s="1">
        <v>27</v>
      </c>
      <c r="F13" s="3">
        <v>0.20588235294117646</v>
      </c>
      <c r="G13" s="9">
        <v>1297.3520188454384</v>
      </c>
      <c r="H13" s="1">
        <v>42631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79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17</v>
      </c>
      <c r="E25" s="1">
        <f>_xlfn.XLOOKUP($A25,StandingsPivot!$A$4:$A$35,StandingsPivot!C$4:C$35)</f>
        <v>17</v>
      </c>
      <c r="F25" s="3">
        <f>(D25)/(D25+E25)</f>
        <v>0.5</v>
      </c>
      <c r="G25" s="9" cm="1">
        <f t="array" ref="G25">INDEX(Games[PostGmRate], MATCH(1, (Games[Team]=A25)*(Games[Date]=H25), 0))</f>
        <v>1478.1825082087134</v>
      </c>
      <c r="H25" s="1">
        <f>_xlfn.MAXIFS(Games[Date], Games[Team], A25)</f>
        <v>42638</v>
      </c>
      <c r="AR25" s="3"/>
      <c r="AS25" s="4"/>
      <c r="BD25" s="1"/>
      <c r="BG25" s="3"/>
      <c r="BH25" s="4"/>
    </row>
    <row r="26" spans="1:60" x14ac:dyDescent="0.35">
      <c r="A26" t="s">
        <v>77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18</v>
      </c>
      <c r="E26" s="1">
        <f>_xlfn.XLOOKUP($A26,StandingsPivot!$A$4:$A$35,StandingsPivot!C$4:C$35)</f>
        <v>16</v>
      </c>
      <c r="F26" s="3">
        <f>(D26)/(D26+E26)</f>
        <v>0.52941176470588236</v>
      </c>
      <c r="G26" s="9" cm="1">
        <f t="array" ref="G26">INDEX(Games[PostGmRate], MATCH(1, (Games[Team]=A26)*(Games[Date]=H26), 0))</f>
        <v>1507.3412627398945</v>
      </c>
      <c r="H26" s="1">
        <f>_xlfn.MAXIFS(Games[Date], Games[Team], A26)</f>
        <v>42647</v>
      </c>
      <c r="AR26" s="3"/>
      <c r="AS26" s="4"/>
      <c r="BD26" s="1"/>
      <c r="BG26" s="3"/>
      <c r="BH26" s="4"/>
    </row>
    <row r="27" spans="1:60" x14ac:dyDescent="0.35">
      <c r="A27" t="s">
        <v>76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14</v>
      </c>
      <c r="E27" s="1">
        <f>_xlfn.XLOOKUP($A27,StandingsPivot!$A$4:$A$35,StandingsPivot!C$4:C$35)</f>
        <v>20</v>
      </c>
      <c r="F27" s="3">
        <f>(D27)/(D27+E27)</f>
        <v>0.41176470588235292</v>
      </c>
      <c r="G27" s="9" cm="1">
        <f t="array" ref="G27">INDEX(Games[PostGmRate], MATCH(1, (Games[Team]=A27)*(Games[Date]=H27), 0))</f>
        <v>1481.0999963245786</v>
      </c>
      <c r="H27" s="1">
        <f>_xlfn.MAXIFS(Games[Date], Games[Team], A27)</f>
        <v>42631</v>
      </c>
      <c r="AR27" s="3"/>
      <c r="AS27" s="4"/>
      <c r="BD27" s="1"/>
      <c r="BG27" s="3"/>
      <c r="BH27" s="4"/>
    </row>
    <row r="28" spans="1:60" x14ac:dyDescent="0.35">
      <c r="A28" t="s">
        <v>87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11</v>
      </c>
      <c r="E28" s="1">
        <f>_xlfn.XLOOKUP($A28,StandingsPivot!$A$4:$A$35,StandingsPivot!C$4:C$35)</f>
        <v>23</v>
      </c>
      <c r="F28" s="3">
        <f>(D28)/(D28+E28)</f>
        <v>0.3235294117647059</v>
      </c>
      <c r="G28" s="9" cm="1">
        <f t="array" ref="G28">INDEX(Games[PostGmRate], MATCH(1, (Games[Team]=A28)*(Games[Date]=H28), 0))</f>
        <v>1360.4489898182105</v>
      </c>
      <c r="H28" s="1">
        <f>_xlfn.MAXIFS(Games[Date], Games[Team], A28)</f>
        <v>42631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17</v>
      </c>
      <c r="E29" s="1">
        <f>_xlfn.XLOOKUP($A29,StandingsPivot!$A$4:$A$35,StandingsPivot!C$4:C$35)</f>
        <v>17</v>
      </c>
      <c r="F29" s="3">
        <f>(D29)/(D29+E29)</f>
        <v>0.5</v>
      </c>
      <c r="G29" s="9" cm="1">
        <f t="array" ref="G29">INDEX(Games[PostGmRate], MATCH(1, (Games[Team]=A29)*(Games[Date]=H29), 0))</f>
        <v>1511.4359994747761</v>
      </c>
      <c r="H29" s="1">
        <f>_xlfn.MAXIFS(Games[Date], Games[Team], A29)</f>
        <v>42634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26</v>
      </c>
      <c r="E30" s="1">
        <f>_xlfn.XLOOKUP($A30,StandingsPivot!$A$4:$A$35,StandingsPivot!C$4:C$35)</f>
        <v>8</v>
      </c>
      <c r="F30" s="3">
        <f>(D30)/(D30+E30)</f>
        <v>0.76470588235294112</v>
      </c>
      <c r="G30" s="9" cm="1">
        <f t="array" ref="G30">INDEX(Games[PostGmRate], MATCH(1, (Games[Team]=A30)*(Games[Date]=H30), 0))</f>
        <v>1668.3070550819393</v>
      </c>
      <c r="H30" s="1">
        <f>_xlfn.MAXIFS(Games[Date], Games[Team], A30)</f>
        <v>42663</v>
      </c>
      <c r="AR30" s="3"/>
      <c r="AS30" s="4"/>
      <c r="BD30" s="1"/>
      <c r="BG30" s="3"/>
      <c r="BH30" s="4"/>
    </row>
    <row r="31" spans="1:60" x14ac:dyDescent="0.35">
      <c r="A31" t="s">
        <v>67</v>
      </c>
      <c r="B31">
        <f>_xlfn.XLOOKUP(A31,ConfDiv[TeamID],ConfDiv[Logo])</f>
        <v>0</v>
      </c>
      <c r="C31" t="str">
        <f>_xlfn.XLOOKUP(A31,ConfDiv[TeamID],ConfDiv[TeamName])</f>
        <v>Minnesota Lynx</v>
      </c>
      <c r="D31" s="1">
        <f>_xlfn.XLOOKUP($A31,StandingsPivot!$A$4:$A$35,StandingsPivot!B$4:B$35)</f>
        <v>28</v>
      </c>
      <c r="E31" s="1">
        <f>_xlfn.XLOOKUP($A31,StandingsPivot!$A$4:$A$35,StandingsPivot!C$4:C$35)</f>
        <v>6</v>
      </c>
      <c r="F31" s="3">
        <f>(D31)/(D31+E31)</f>
        <v>0.82352941176470584</v>
      </c>
      <c r="G31" s="9" cm="1">
        <f t="array" ref="G31">INDEX(Games[PostGmRate], MATCH(1, (Games[Team]=A31)*(Games[Date]=H31), 0))</f>
        <v>1706.2777722012445</v>
      </c>
      <c r="H31" s="1">
        <f>_xlfn.MAXIFS(Games[Date], Games[Team], A31)</f>
        <v>42663</v>
      </c>
      <c r="AR31" s="3"/>
      <c r="AS31" s="4"/>
      <c r="BD31" s="1"/>
      <c r="BG31" s="3"/>
      <c r="BH31" s="4"/>
    </row>
    <row r="32" spans="1:60" x14ac:dyDescent="0.35">
      <c r="A32" t="s">
        <v>60</v>
      </c>
      <c r="B32">
        <f>_xlfn.XLOOKUP(A32,ConfDiv[TeamID],ConfDiv[Logo])</f>
        <v>0</v>
      </c>
      <c r="C32" t="str">
        <f>_xlfn.XLOOKUP(A32,ConfDiv[TeamID],ConfDiv[TeamName])</f>
        <v>New York Liberty</v>
      </c>
      <c r="D32" s="1">
        <f>_xlfn.XLOOKUP($A32,StandingsPivot!$A$4:$A$35,StandingsPivot!B$4:B$35)</f>
        <v>21</v>
      </c>
      <c r="E32" s="1">
        <f>_xlfn.XLOOKUP($A32,StandingsPivot!$A$4:$A$35,StandingsPivot!C$4:C$35)</f>
        <v>13</v>
      </c>
      <c r="F32" s="3">
        <f>(D32)/(D32+E32)</f>
        <v>0.61764705882352944</v>
      </c>
      <c r="G32" s="9" cm="1">
        <f t="array" ref="G32">INDEX(Games[PostGmRate], MATCH(1, (Games[Team]=A32)*(Games[Date]=H32), 0))</f>
        <v>1499.2585224373815</v>
      </c>
      <c r="H32" s="1">
        <f>_xlfn.MAXIFS(Games[Date], Games[Team], A32)</f>
        <v>42637</v>
      </c>
    </row>
    <row r="33" spans="1:8" x14ac:dyDescent="0.35">
      <c r="A33" t="s">
        <v>40</v>
      </c>
      <c r="B33">
        <f>_xlfn.XLOOKUP(A33,ConfDiv[TeamID],ConfDiv[Logo])</f>
        <v>0</v>
      </c>
      <c r="C33" t="str">
        <f>_xlfn.XLOOKUP(A33,ConfDiv[TeamID],ConfDiv[TeamName])</f>
        <v>Phoenix Mercury</v>
      </c>
      <c r="D33" s="1">
        <f>_xlfn.XLOOKUP($A33,StandingsPivot!$A$4:$A$35,StandingsPivot!B$4:B$35)</f>
        <v>16</v>
      </c>
      <c r="E33" s="1">
        <f>_xlfn.XLOOKUP($A33,StandingsPivot!$A$4:$A$35,StandingsPivot!C$4:C$35)</f>
        <v>18</v>
      </c>
      <c r="F33" s="3">
        <f>(D33)/(D33+E33)</f>
        <v>0.47058823529411764</v>
      </c>
      <c r="G33" s="9" cm="1">
        <f t="array" ref="G33">INDEX(Games[PostGmRate], MATCH(1, (Games[Team]=A33)*(Games[Date]=H33), 0))</f>
        <v>1535.711335494535</v>
      </c>
      <c r="H33" s="1">
        <f>_xlfn.MAXIFS(Games[Date], Games[Team], A33)</f>
        <v>42645</v>
      </c>
    </row>
    <row r="34" spans="1:8" x14ac:dyDescent="0.35">
      <c r="A34" t="s">
        <v>74</v>
      </c>
      <c r="B34">
        <f>_xlfn.XLOOKUP(A34,ConfDiv[TeamID],ConfDiv[Logo])</f>
        <v>0</v>
      </c>
      <c r="C34" t="str">
        <f>_xlfn.XLOOKUP(A34,ConfDiv[TeamID],ConfDiv[TeamName])</f>
        <v>San Antonio Silver Stars</v>
      </c>
      <c r="D34" s="1">
        <f>_xlfn.XLOOKUP($A34,StandingsPivot!$A$4:$A$35,StandingsPivot!B$4:B$35)</f>
        <v>7</v>
      </c>
      <c r="E34" s="1">
        <f>_xlfn.XLOOKUP($A34,StandingsPivot!$A$4:$A$35,StandingsPivot!C$4:C$35)</f>
        <v>27</v>
      </c>
      <c r="F34" s="3">
        <f>(D34)/(D34+E34)</f>
        <v>0.20588235294117646</v>
      </c>
      <c r="G34" s="9" cm="1">
        <f t="array" ref="G34">INDEX(Games[PostGmRate], MATCH(1, (Games[Team]=A34)*(Games[Date]=H34), 0))</f>
        <v>1297.3520188454384</v>
      </c>
      <c r="H34" s="1">
        <f>_xlfn.MAXIFS(Games[Date], Games[Team], A34)</f>
        <v>42631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16</v>
      </c>
      <c r="E35" s="1">
        <f>_xlfn.XLOOKUP($A35,StandingsPivot!$A$4:$A$35,StandingsPivot!C$4:C$35)</f>
        <v>18</v>
      </c>
      <c r="F35" s="3">
        <f>(D35)/(D35+E35)</f>
        <v>0.47058823529411764</v>
      </c>
      <c r="G35" s="9" cm="1">
        <f t="array" ref="G35">INDEX(Games[PostGmRate], MATCH(1, (Games[Team]=A35)*(Games[Date]=H35), 0))</f>
        <v>1506.1150995107901</v>
      </c>
      <c r="H35" s="1">
        <f>_xlfn.MAXIFS(Games[Date], Games[Team], A35)</f>
        <v>42634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13</v>
      </c>
      <c r="E36" s="1">
        <f>_xlfn.XLOOKUP($A36,StandingsPivot!$A$4:$A$35,StandingsPivot!C$4:C$35)</f>
        <v>21</v>
      </c>
      <c r="F36" s="3">
        <f>(D36)/(D36+E36)</f>
        <v>0.38235294117647056</v>
      </c>
      <c r="G36" s="9" cm="1">
        <f t="array" ref="G36">INDEX(Games[PostGmRate], MATCH(1, (Games[Team]=A36)*(Games[Date]=H36), 0))</f>
        <v>1449.5451490251339</v>
      </c>
      <c r="H36" s="1">
        <f>_xlfn.MAXIFS(Games[Date], Games[Team], A36)</f>
        <v>42631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79</v>
      </c>
      <c r="B4" s="2">
        <v>17</v>
      </c>
      <c r="C4" s="2">
        <v>17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77</v>
      </c>
      <c r="B5" s="2">
        <v>18</v>
      </c>
      <c r="C5" s="2">
        <v>16</v>
      </c>
      <c r="D5" s="2">
        <v>1</v>
      </c>
      <c r="E5" s="2">
        <v>0</v>
      </c>
      <c r="F5" s="2">
        <v>1</v>
      </c>
      <c r="G5" s="2">
        <v>3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76</v>
      </c>
      <c r="B6" s="2">
        <v>14</v>
      </c>
      <c r="C6" s="2">
        <v>20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87</v>
      </c>
      <c r="B7" s="2">
        <v>11</v>
      </c>
      <c r="C7" s="2">
        <v>23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17</v>
      </c>
      <c r="C8" s="2">
        <v>17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26</v>
      </c>
      <c r="C9" s="2">
        <v>8</v>
      </c>
      <c r="D9" s="2">
        <v>0</v>
      </c>
      <c r="E9" s="2">
        <v>0</v>
      </c>
      <c r="F9" s="2">
        <v>3</v>
      </c>
      <c r="G9" s="2">
        <v>1</v>
      </c>
      <c r="H9" s="2">
        <v>3</v>
      </c>
      <c r="I9" s="2">
        <v>2</v>
      </c>
      <c r="J9" s="2">
        <v>0</v>
      </c>
      <c r="K9" s="2">
        <v>0</v>
      </c>
    </row>
    <row r="10" spans="1:11" x14ac:dyDescent="0.35">
      <c r="A10" s="6" t="s">
        <v>67</v>
      </c>
      <c r="B10" s="2">
        <v>28</v>
      </c>
      <c r="C10" s="2">
        <v>6</v>
      </c>
      <c r="D10" s="2">
        <v>0</v>
      </c>
      <c r="E10" s="2">
        <v>0</v>
      </c>
      <c r="F10" s="2">
        <v>3</v>
      </c>
      <c r="G10" s="2">
        <v>0</v>
      </c>
      <c r="H10" s="2">
        <v>2</v>
      </c>
      <c r="I10" s="2">
        <v>3</v>
      </c>
      <c r="J10" s="2">
        <v>0</v>
      </c>
      <c r="K10" s="2">
        <v>0</v>
      </c>
    </row>
    <row r="11" spans="1:11" x14ac:dyDescent="0.35">
      <c r="A11" s="6" t="s">
        <v>60</v>
      </c>
      <c r="B11" s="2">
        <v>21</v>
      </c>
      <c r="C11" s="2">
        <v>13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40</v>
      </c>
      <c r="B12" s="2">
        <v>16</v>
      </c>
      <c r="C12" s="2">
        <v>18</v>
      </c>
      <c r="D12" s="2">
        <v>1</v>
      </c>
      <c r="E12" s="2">
        <v>0</v>
      </c>
      <c r="F12" s="2">
        <v>0</v>
      </c>
      <c r="G12" s="2">
        <v>3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74</v>
      </c>
      <c r="B13" s="2">
        <v>7</v>
      </c>
      <c r="C13" s="2">
        <v>27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71</v>
      </c>
      <c r="B14" s="2">
        <v>16</v>
      </c>
      <c r="C14" s="2">
        <v>18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13</v>
      </c>
      <c r="C15" s="2">
        <v>21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204</v>
      </c>
      <c r="C16" s="2">
        <v>204</v>
      </c>
      <c r="D16" s="2">
        <v>2</v>
      </c>
      <c r="E16" s="2">
        <v>2</v>
      </c>
      <c r="F16" s="2">
        <v>7</v>
      </c>
      <c r="G16" s="2">
        <v>7</v>
      </c>
      <c r="H16" s="2">
        <v>5</v>
      </c>
      <c r="I16" s="2">
        <v>5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41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42504</v>
      </c>
      <c r="B2" s="2">
        <v>2016</v>
      </c>
      <c r="C2" s="2">
        <f>COUNTIFS(Games[Team],Games[[#This Row],[Team]],Games[Season],Games[[#This Row],[Season]],Games[Date],"&lt;=" &amp; Games[[#This Row],[Date]])</f>
        <v>1</v>
      </c>
      <c r="D2" s="2" t="s">
        <v>81</v>
      </c>
      <c r="E2" s="2" t="s">
        <v>82</v>
      </c>
      <c r="F2" s="1" t="s">
        <v>76</v>
      </c>
      <c r="G2" s="1" t="s">
        <v>77</v>
      </c>
      <c r="H2" s="1" t="s">
        <v>83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1464.2351178183239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1525.6931061014375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0.30209878747250968</v>
      </c>
      <c r="R2" s="1">
        <v>70</v>
      </c>
      <c r="S2" s="1">
        <v>93</v>
      </c>
      <c r="T2" s="1">
        <v>0</v>
      </c>
      <c r="U2" s="1">
        <f>Games[[#This Row],[PointsFor]]-Games[[#This Row],[PointsAgainst]]</f>
        <v>-23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0.58535863257667142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-13.413020698515686</v>
      </c>
      <c r="AB2" s="4">
        <f>Games[[#This Row],[PreGmRate]]+Games[[#This Row],[RatingChange]]</f>
        <v>1450.8220971198082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42504</v>
      </c>
      <c r="B3" s="2">
        <v>2016</v>
      </c>
      <c r="C3" s="2">
        <f>COUNTIFS(Games[Team],Games[[#This Row],[Team]],Games[Season],Games[[#This Row],[Season]],Games[Date],"&lt;=" &amp; Games[[#This Row],[Date]])</f>
        <v>1</v>
      </c>
      <c r="D3" s="2" t="s">
        <v>81</v>
      </c>
      <c r="E3" s="2" t="s">
        <v>82</v>
      </c>
      <c r="F3" s="1" t="s">
        <v>77</v>
      </c>
      <c r="G3" s="1" t="s">
        <v>76</v>
      </c>
      <c r="H3" s="1" t="s">
        <v>84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1525.6931061014375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1464.2351178183239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0.69790121252749027</v>
      </c>
      <c r="R3" s="1">
        <v>93</v>
      </c>
      <c r="S3" s="1">
        <v>70</v>
      </c>
      <c r="T3" s="1">
        <v>0</v>
      </c>
      <c r="U3" s="1">
        <f>Games[[#This Row],[PointsFor]]-Games[[#This Row],[PointsAgainst]]</f>
        <v>23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0.58535863257667142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13.413020698515689</v>
      </c>
      <c r="AB3" s="4">
        <f>Games[[#This Row],[PreGmRate]]+Games[[#This Row],[RatingChange]]</f>
        <v>1539.1061267999532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42504</v>
      </c>
      <c r="B4" s="2">
        <v>2016</v>
      </c>
      <c r="C4" s="2">
        <f>COUNTIFS(Games[Team],Games[[#This Row],[Team]],Games[Season],Games[[#This Row],[Season]],Games[Date],"&lt;=" &amp; Games[[#This Row],[Date]])</f>
        <v>1</v>
      </c>
      <c r="D4" s="2" t="s">
        <v>81</v>
      </c>
      <c r="E4" s="2" t="s">
        <v>82</v>
      </c>
      <c r="F4" s="1" t="s">
        <v>87</v>
      </c>
      <c r="G4" s="1" t="s">
        <v>69</v>
      </c>
      <c r="H4" s="1" t="s">
        <v>83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1481.8988959311857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1544.7681360082086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0.3003887599737059</v>
      </c>
      <c r="R4" s="1">
        <v>90</v>
      </c>
      <c r="S4" s="1">
        <v>79</v>
      </c>
      <c r="T4" s="1">
        <v>0</v>
      </c>
      <c r="U4" s="1">
        <f>Games[[#This Row],[PointsFor]]-Games[[#This Row],[PointsAgainst]]</f>
        <v>11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0.41793967859805248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22.178183262293221</v>
      </c>
      <c r="AB4" s="4">
        <f>Games[[#This Row],[PreGmRate]]+Games[[#This Row],[RatingChange]]</f>
        <v>1504.077079193479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42504</v>
      </c>
      <c r="B5" s="2">
        <v>2016</v>
      </c>
      <c r="C5" s="2">
        <f>COUNTIFS(Games[Team],Games[[#This Row],[Team]],Games[Season],Games[[#This Row],[Season]],Games[Date],"&lt;=" &amp; Games[[#This Row],[Date]])</f>
        <v>1</v>
      </c>
      <c r="D5" s="2" t="s">
        <v>81</v>
      </c>
      <c r="E5" s="2" t="s">
        <v>82</v>
      </c>
      <c r="F5" s="1" t="s">
        <v>69</v>
      </c>
      <c r="G5" s="1" t="s">
        <v>87</v>
      </c>
      <c r="H5" s="1" t="s">
        <v>84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1544.7681360082086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1481.8988959311857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0.69961124002629405</v>
      </c>
      <c r="R5" s="1">
        <v>79</v>
      </c>
      <c r="S5" s="1">
        <v>90</v>
      </c>
      <c r="T5" s="1">
        <v>0</v>
      </c>
      <c r="U5" s="1">
        <f>Games[[#This Row],[PointsFor]]-Games[[#This Row],[PointsAgainst]]</f>
        <v>-11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0.41793967859805248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-22.178183262293217</v>
      </c>
      <c r="AB5" s="4">
        <f>Games[[#This Row],[PreGmRate]]+Games[[#This Row],[RatingChange]]</f>
        <v>1522.5899527459153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42504</v>
      </c>
      <c r="B6" s="2">
        <v>2016</v>
      </c>
      <c r="C6" s="2">
        <f>COUNTIFS(Games[Team],Games[[#This Row],[Team]],Games[Season],Games[[#This Row],[Season]],Games[Date],"&lt;=" &amp; Games[[#This Row],[Date]])</f>
        <v>1</v>
      </c>
      <c r="D6" s="2" t="s">
        <v>81</v>
      </c>
      <c r="E6" s="2" t="s">
        <v>82</v>
      </c>
      <c r="F6" s="1" t="s">
        <v>40</v>
      </c>
      <c r="G6" s="1" t="s">
        <v>67</v>
      </c>
      <c r="H6" s="1" t="s">
        <v>83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1545.2022158815225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1557.608579821067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0.36471450167444064</v>
      </c>
      <c r="R6" s="1">
        <v>76</v>
      </c>
      <c r="S6" s="1">
        <v>95</v>
      </c>
      <c r="T6" s="1">
        <v>0</v>
      </c>
      <c r="U6" s="1">
        <f>Games[[#This Row],[PointsFor]]-Games[[#This Row],[PointsAgainst]]</f>
        <v>-19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0.55523717731102806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-15.359856375427594</v>
      </c>
      <c r="AB6" s="4">
        <f>Games[[#This Row],[PreGmRate]]+Games[[#This Row],[RatingChange]]</f>
        <v>1529.8423595060949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42504</v>
      </c>
      <c r="B7" s="2">
        <v>2016</v>
      </c>
      <c r="C7" s="2">
        <f>COUNTIFS(Games[Team],Games[[#This Row],[Team]],Games[Season],Games[[#This Row],[Season]],Games[Date],"&lt;=" &amp; Games[[#This Row],[Date]])</f>
        <v>1</v>
      </c>
      <c r="D7" s="2" t="s">
        <v>81</v>
      </c>
      <c r="E7" s="2" t="s">
        <v>82</v>
      </c>
      <c r="F7" s="1" t="s">
        <v>67</v>
      </c>
      <c r="G7" s="1" t="s">
        <v>40</v>
      </c>
      <c r="H7" s="1" t="s">
        <v>84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1557.608579821067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1545.2022158815225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0.63528549832555936</v>
      </c>
      <c r="R7" s="1">
        <v>95</v>
      </c>
      <c r="S7" s="1">
        <v>76</v>
      </c>
      <c r="T7" s="1">
        <v>0</v>
      </c>
      <c r="U7" s="1">
        <f>Games[[#This Row],[PointsFor]]-Games[[#This Row],[PointsAgainst]]</f>
        <v>19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0.55523717731102806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15.359856375427594</v>
      </c>
      <c r="AB7" s="4">
        <f>Games[[#This Row],[PreGmRate]]+Games[[#This Row],[RatingChange]]</f>
        <v>1572.9684361964946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42504</v>
      </c>
      <c r="B8" s="2">
        <v>2016</v>
      </c>
      <c r="C8" s="2">
        <f>COUNTIFS(Games[Team],Games[[#This Row],[Team]],Games[Season],Games[[#This Row],[Season]],Games[Date],"&lt;=" &amp; Games[[#This Row],[Date]])</f>
        <v>1</v>
      </c>
      <c r="D8" s="2" t="s">
        <v>81</v>
      </c>
      <c r="E8" s="2" t="s">
        <v>82</v>
      </c>
      <c r="F8" s="1" t="s">
        <v>79</v>
      </c>
      <c r="G8" s="1" t="s">
        <v>74</v>
      </c>
      <c r="H8" s="1" t="s">
        <v>83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1495.5081901644821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1405.7825172704174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0.50823915979661982</v>
      </c>
      <c r="R8" s="1">
        <v>73</v>
      </c>
      <c r="S8" s="1">
        <v>63</v>
      </c>
      <c r="T8" s="1">
        <v>1</v>
      </c>
      <c r="U8" s="1">
        <f>Games[[#This Row],[PointsFor]]-Games[[#This Row],[PointsAgainst]]</f>
        <v>10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0.35432346962081607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13.216286580394033</v>
      </c>
      <c r="AB8" s="4">
        <f>Games[[#This Row],[PreGmRate]]+Games[[#This Row],[RatingChange]]</f>
        <v>1508.7244767448763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42504</v>
      </c>
      <c r="B9" s="2">
        <v>2016</v>
      </c>
      <c r="C9" s="2">
        <f>COUNTIFS(Games[Team],Games[[#This Row],[Team]],Games[Season],Games[[#This Row],[Season]],Games[Date],"&lt;=" &amp; Games[[#This Row],[Date]])</f>
        <v>1</v>
      </c>
      <c r="D9" s="2" t="s">
        <v>81</v>
      </c>
      <c r="E9" s="2" t="s">
        <v>82</v>
      </c>
      <c r="F9" s="1" t="s">
        <v>74</v>
      </c>
      <c r="G9" s="1" t="s">
        <v>79</v>
      </c>
      <c r="H9" s="1" t="s">
        <v>84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1405.7825172704174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1495.5081901644821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0.49176084020338018</v>
      </c>
      <c r="R9" s="1">
        <v>63</v>
      </c>
      <c r="S9" s="1">
        <v>73</v>
      </c>
      <c r="T9" s="1">
        <v>1</v>
      </c>
      <c r="U9" s="1">
        <f>Games[[#This Row],[PointsFor]]-Games[[#This Row],[PointsAgainst]]</f>
        <v>-10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0.35432346962081607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-13.216286580394033</v>
      </c>
      <c r="AB9" s="4">
        <f>Games[[#This Row],[PreGmRate]]+Games[[#This Row],[RatingChange]]</f>
        <v>1392.5662306900233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42504</v>
      </c>
      <c r="B10" s="2">
        <v>2016</v>
      </c>
      <c r="C10" s="2">
        <f>COUNTIFS(Games[Team],Games[[#This Row],[Team]],Games[Season],Games[[#This Row],[Season]],Games[Date],"&lt;=" &amp; Games[[#This Row],[Date]])</f>
        <v>1</v>
      </c>
      <c r="D10" s="2" t="s">
        <v>81</v>
      </c>
      <c r="E10" s="2" t="s">
        <v>82</v>
      </c>
      <c r="F10" s="1" t="s">
        <v>60</v>
      </c>
      <c r="G10" s="1" t="s">
        <v>65</v>
      </c>
      <c r="H10" s="1" t="s">
        <v>83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1532.2210347470896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1508.5296708229948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0.41407021127995958</v>
      </c>
      <c r="R10" s="1">
        <v>87</v>
      </c>
      <c r="S10" s="1">
        <v>76</v>
      </c>
      <c r="T10" s="1">
        <v>0</v>
      </c>
      <c r="U10" s="1">
        <f>Games[[#This Row],[PointsFor]]-Games[[#This Row],[PointsAgainst]]</f>
        <v>11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0.43132049458665395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19.169079467107824</v>
      </c>
      <c r="AB10" s="4">
        <f>Games[[#This Row],[PreGmRate]]+Games[[#This Row],[RatingChange]]</f>
        <v>1551.3901142141974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42504</v>
      </c>
      <c r="B11" s="2">
        <v>2016</v>
      </c>
      <c r="C11" s="2">
        <f>COUNTIFS(Games[Team],Games[[#This Row],[Team]],Games[Season],Games[[#This Row],[Season]],Games[Date],"&lt;=" &amp; Games[[#This Row],[Date]])</f>
        <v>1</v>
      </c>
      <c r="D11" s="2" t="s">
        <v>81</v>
      </c>
      <c r="E11" s="2" t="s">
        <v>82</v>
      </c>
      <c r="F11" s="1" t="s">
        <v>65</v>
      </c>
      <c r="G11" s="1" t="s">
        <v>60</v>
      </c>
      <c r="H11" s="1" t="s">
        <v>84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1508.5296708229948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1532.2210347470896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0.58592978872004031</v>
      </c>
      <c r="R11" s="1">
        <v>76</v>
      </c>
      <c r="S11" s="1">
        <v>87</v>
      </c>
      <c r="T11" s="1">
        <v>0</v>
      </c>
      <c r="U11" s="1">
        <f>Games[[#This Row],[PointsFor]]-Games[[#This Row],[PointsAgainst]]</f>
        <v>-11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0.43132049458665395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-19.169079467107821</v>
      </c>
      <c r="AB11" s="4">
        <f>Games[[#This Row],[PreGmRate]]+Games[[#This Row],[RatingChange]]</f>
        <v>1489.360591355887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42505</v>
      </c>
      <c r="B12" s="2">
        <v>2016</v>
      </c>
      <c r="C12" s="2">
        <f>COUNTIFS(Games[Team],Games[[#This Row],[Team]],Games[Season],Games[[#This Row],[Season]],Games[Date],"&lt;=" &amp; Games[[#This Row],[Date]])</f>
        <v>1</v>
      </c>
      <c r="D12" s="2" t="s">
        <v>81</v>
      </c>
      <c r="E12" s="2" t="s">
        <v>82</v>
      </c>
      <c r="F12" s="1" t="s">
        <v>71</v>
      </c>
      <c r="G12" s="1" t="s">
        <v>63</v>
      </c>
      <c r="H12" s="1" t="s">
        <v>83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1442.7439204453337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1496.6190145060878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0.31138058386428424</v>
      </c>
      <c r="R12" s="1">
        <v>66</v>
      </c>
      <c r="S12" s="1">
        <v>96</v>
      </c>
      <c r="T12" s="1">
        <v>0</v>
      </c>
      <c r="U12" s="1">
        <f>Games[[#This Row],[PointsFor]]-Games[[#This Row],[PointsAgainst]]</f>
        <v>-30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0.67326579459826863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-15.901337828124692</v>
      </c>
      <c r="AB12" s="4">
        <f>Games[[#This Row],[PreGmRate]]+Games[[#This Row],[RatingChange]]</f>
        <v>1426.842582617209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42505</v>
      </c>
      <c r="B13" s="2">
        <v>2016</v>
      </c>
      <c r="C13" s="2">
        <f>COUNTIFS(Games[Team],Games[[#This Row],[Team]],Games[Season],Games[[#This Row],[Season]],Games[Date],"&lt;=" &amp; Games[[#This Row],[Date]])</f>
        <v>1</v>
      </c>
      <c r="D13" s="2" t="s">
        <v>81</v>
      </c>
      <c r="E13" s="2" t="s">
        <v>82</v>
      </c>
      <c r="F13" s="1" t="s">
        <v>63</v>
      </c>
      <c r="G13" s="1" t="s">
        <v>71</v>
      </c>
      <c r="H13" s="1" t="s">
        <v>84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1496.6190145060878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1442.7439204453337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0.68861941613571576</v>
      </c>
      <c r="R13" s="1">
        <v>96</v>
      </c>
      <c r="S13" s="1">
        <v>66</v>
      </c>
      <c r="T13" s="1">
        <v>0</v>
      </c>
      <c r="U13" s="1">
        <f>Games[[#This Row],[PointsFor]]-Games[[#This Row],[PointsAgainst]]</f>
        <v>30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0.67326579459826863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15.901337828124692</v>
      </c>
      <c r="AB13" s="4">
        <f>Games[[#This Row],[PreGmRate]]+Games[[#This Row],[RatingChange]]</f>
        <v>1512.5203523342125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42505</v>
      </c>
      <c r="B14" s="2">
        <v>2016</v>
      </c>
      <c r="C14" s="2">
        <f>COUNTIFS(Games[Team],Games[[#This Row],[Team]],Games[Season],Games[[#This Row],[Season]],Games[Date],"&lt;=" &amp; Games[[#This Row],[Date]])</f>
        <v>2</v>
      </c>
      <c r="D14" s="2" t="s">
        <v>81</v>
      </c>
      <c r="E14" s="2" t="s">
        <v>82</v>
      </c>
      <c r="F14" s="1" t="s">
        <v>87</v>
      </c>
      <c r="G14" s="1" t="s">
        <v>60</v>
      </c>
      <c r="H14" s="1" t="s">
        <v>83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1504.077079193479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1551.3901142141974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0.31953738776645529</v>
      </c>
      <c r="R14" s="1">
        <v>71</v>
      </c>
      <c r="S14" s="1">
        <v>79</v>
      </c>
      <c r="T14" s="1">
        <v>0</v>
      </c>
      <c r="U14" s="1">
        <f>Games[[#This Row],[PointsFor]]-Games[[#This Row],[PointsAgainst]]</f>
        <v>-8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0.37358596352347628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-9.0366634948112932</v>
      </c>
      <c r="AB14" s="4">
        <f>Games[[#This Row],[PreGmRate]]+Games[[#This Row],[RatingChange]]</f>
        <v>1495.0404156986676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42505</v>
      </c>
      <c r="B15" s="2">
        <v>2016</v>
      </c>
      <c r="C15" s="2">
        <f>COUNTIFS(Games[Team],Games[[#This Row],[Team]],Games[Season],Games[[#This Row],[Season]],Games[Date],"&lt;=" &amp; Games[[#This Row],[Date]])</f>
        <v>2</v>
      </c>
      <c r="D15" s="2" t="s">
        <v>81</v>
      </c>
      <c r="E15" s="2" t="s">
        <v>82</v>
      </c>
      <c r="F15" s="1" t="s">
        <v>60</v>
      </c>
      <c r="G15" s="1" t="s">
        <v>87</v>
      </c>
      <c r="H15" s="1" t="s">
        <v>84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1551.3901142141974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1504.077079193479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0.68046261223354476</v>
      </c>
      <c r="R15" s="1">
        <v>79</v>
      </c>
      <c r="S15" s="1">
        <v>71</v>
      </c>
      <c r="T15" s="1">
        <v>0</v>
      </c>
      <c r="U15" s="1">
        <f>Games[[#This Row],[PointsFor]]-Games[[#This Row],[PointsAgainst]]</f>
        <v>8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0.37358596352347628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9.0366634948112914</v>
      </c>
      <c r="AB15" s="4">
        <f>Games[[#This Row],[PreGmRate]]+Games[[#This Row],[RatingChange]]</f>
        <v>1560.4267777090088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42508</v>
      </c>
      <c r="B16" s="2">
        <v>2016</v>
      </c>
      <c r="C16" s="2">
        <f>COUNTIFS(Games[Team],Games[[#This Row],[Team]],Games[Season],Games[[#This Row],[Season]],Games[Date],"&lt;=" &amp; Games[[#This Row],[Date]])</f>
        <v>2</v>
      </c>
      <c r="D16" s="2" t="s">
        <v>81</v>
      </c>
      <c r="E16" s="2" t="s">
        <v>82</v>
      </c>
      <c r="F16" s="1" t="s">
        <v>67</v>
      </c>
      <c r="G16" s="1" t="s">
        <v>77</v>
      </c>
      <c r="H16" s="1" t="s">
        <v>83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1572.9684361964946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1539.1061267999532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0.42834278873425818</v>
      </c>
      <c r="R16" s="1">
        <v>97</v>
      </c>
      <c r="S16" s="1">
        <v>80</v>
      </c>
      <c r="T16" s="1">
        <v>0</v>
      </c>
      <c r="U16" s="1">
        <f>Games[[#This Row],[PointsFor]]-Games[[#This Row],[PointsAgainst]]</f>
        <v>17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0.51782964600878811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22.408793587051939</v>
      </c>
      <c r="AB16" s="4">
        <f>Games[[#This Row],[PreGmRate]]+Games[[#This Row],[RatingChange]]</f>
        <v>1595.3772297835465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42508</v>
      </c>
      <c r="B17" s="2">
        <v>2016</v>
      </c>
      <c r="C17" s="2">
        <f>COUNTIFS(Games[Team],Games[[#This Row],[Team]],Games[Season],Games[[#This Row],[Season]],Games[Date],"&lt;=" &amp; Games[[#This Row],[Date]])</f>
        <v>2</v>
      </c>
      <c r="D17" s="2" t="s">
        <v>81</v>
      </c>
      <c r="E17" s="2" t="s">
        <v>82</v>
      </c>
      <c r="F17" s="1" t="s">
        <v>77</v>
      </c>
      <c r="G17" s="1" t="s">
        <v>67</v>
      </c>
      <c r="H17" s="1" t="s">
        <v>84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1539.1061267999532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1572.9684361964946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0.57165721126574176</v>
      </c>
      <c r="R17" s="1">
        <v>80</v>
      </c>
      <c r="S17" s="1">
        <v>97</v>
      </c>
      <c r="T17" s="1">
        <v>0</v>
      </c>
      <c r="U17" s="1">
        <f>Games[[#This Row],[PointsFor]]-Games[[#This Row],[PointsAgainst]]</f>
        <v>-17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0.51782964600878811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-22.408793587051932</v>
      </c>
      <c r="AB17" s="4">
        <f>Games[[#This Row],[PreGmRate]]+Games[[#This Row],[RatingChange]]</f>
        <v>1516.6973332129014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42508</v>
      </c>
      <c r="B18" s="2">
        <v>2016</v>
      </c>
      <c r="C18" s="2">
        <f>COUNTIFS(Games[Team],Games[[#This Row],[Team]],Games[Season],Games[[#This Row],[Season]],Games[Date],"&lt;=" &amp; Games[[#This Row],[Date]])</f>
        <v>2</v>
      </c>
      <c r="D18" s="2" t="s">
        <v>81</v>
      </c>
      <c r="E18" s="2" t="s">
        <v>82</v>
      </c>
      <c r="F18" s="1" t="s">
        <v>40</v>
      </c>
      <c r="G18" s="1" t="s">
        <v>69</v>
      </c>
      <c r="H18" s="1" t="s">
        <v>83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1529.8423595060949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1522.5899527459153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0.39131342081307902</v>
      </c>
      <c r="R18" s="1">
        <v>93</v>
      </c>
      <c r="S18" s="1">
        <v>97</v>
      </c>
      <c r="T18" s="1">
        <v>0</v>
      </c>
      <c r="U18" s="1">
        <f>Games[[#This Row],[PointsFor]]-Games[[#This Row],[PointsAgainst]]</f>
        <v>-4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0.30956184455873648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-9.1699728191046752</v>
      </c>
      <c r="AB18" s="4">
        <f>Games[[#This Row],[PreGmRate]]+Games[[#This Row],[RatingChange]]</f>
        <v>1520.6723866869902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42508</v>
      </c>
      <c r="B19" s="2">
        <v>2016</v>
      </c>
      <c r="C19" s="2">
        <f>COUNTIFS(Games[Team],Games[[#This Row],[Team]],Games[Season],Games[[#This Row],[Season]],Games[Date],"&lt;=" &amp; Games[[#This Row],[Date]])</f>
        <v>2</v>
      </c>
      <c r="D19" s="2" t="s">
        <v>81</v>
      </c>
      <c r="E19" s="2" t="s">
        <v>82</v>
      </c>
      <c r="F19" s="1" t="s">
        <v>69</v>
      </c>
      <c r="G19" s="1" t="s">
        <v>40</v>
      </c>
      <c r="H19" s="1" t="s">
        <v>84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1522.5899527459153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1529.8423595060949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0.60868657918692093</v>
      </c>
      <c r="R19" s="1">
        <v>97</v>
      </c>
      <c r="S19" s="1">
        <v>93</v>
      </c>
      <c r="T19" s="1">
        <v>0</v>
      </c>
      <c r="U19" s="1">
        <f>Games[[#This Row],[PointsFor]]-Games[[#This Row],[PointsAgainst]]</f>
        <v>4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0.30956184455873648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9.169972819104677</v>
      </c>
      <c r="AB19" s="4">
        <f>Games[[#This Row],[PreGmRate]]+Games[[#This Row],[RatingChange]]</f>
        <v>1531.75992556502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42508</v>
      </c>
      <c r="B20" s="2">
        <v>2016</v>
      </c>
      <c r="C20" s="2">
        <f>COUNTIFS(Games[Team],Games[[#This Row],[Team]],Games[Season],Games[[#This Row],[Season]],Games[Date],"&lt;=" &amp; Games[[#This Row],[Date]])</f>
        <v>3</v>
      </c>
      <c r="D20" s="2" t="s">
        <v>81</v>
      </c>
      <c r="E20" s="2" t="s">
        <v>82</v>
      </c>
      <c r="F20" s="1" t="s">
        <v>87</v>
      </c>
      <c r="G20" s="1" t="s">
        <v>65</v>
      </c>
      <c r="H20" s="1" t="s">
        <v>83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" s="2">
        <f>Games[[#This Row],[DaysOff]]-Games[[#This Row],[OppDaysOff]]</f>
        <v>-1</v>
      </c>
      <c r="L20" s="2">
        <f>Games[[#This Row],[OppDaysOff]]-Games[[#This Row],[DaysOff]]</f>
        <v>1</v>
      </c>
      <c r="M20" s="1">
        <f>MAX(-16, MIN(16, Games[[#This Row],[RestDiff]]*8))</f>
        <v>-8</v>
      </c>
      <c r="N20" s="1">
        <f>MAX(-16, MIN(16, Games[[#This Row],[OppRestDiff]]*8))</f>
        <v>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1495.0404156986676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1489.360591355887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0.36750147040705111</v>
      </c>
      <c r="R20" s="1">
        <v>87</v>
      </c>
      <c r="S20" s="1">
        <v>77</v>
      </c>
      <c r="T20" s="1">
        <v>0</v>
      </c>
      <c r="U20" s="1">
        <f>Games[[#This Row],[PointsFor]]-Games[[#This Row],[PointsAgainst]]</f>
        <v>10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0.42113638210336624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20.124113161226663</v>
      </c>
      <c r="AB20" s="4">
        <f>Games[[#This Row],[PreGmRate]]+Games[[#This Row],[RatingChange]]</f>
        <v>1515.1645288598943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42508</v>
      </c>
      <c r="B21" s="2">
        <v>2016</v>
      </c>
      <c r="C21" s="2">
        <f>COUNTIFS(Games[Team],Games[[#This Row],[Team]],Games[Season],Games[[#This Row],[Season]],Games[Date],"&lt;=" &amp; Games[[#This Row],[Date]])</f>
        <v>2</v>
      </c>
      <c r="D21" s="2" t="s">
        <v>81</v>
      </c>
      <c r="E21" s="2" t="s">
        <v>82</v>
      </c>
      <c r="F21" s="1" t="s">
        <v>65</v>
      </c>
      <c r="G21" s="1" t="s">
        <v>87</v>
      </c>
      <c r="H21" s="1" t="s">
        <v>84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1</v>
      </c>
      <c r="L21" s="2">
        <f>Games[[#This Row],[OppDaysOff]]-Games[[#This Row],[DaysOff]]</f>
        <v>-1</v>
      </c>
      <c r="M21" s="1">
        <f>MAX(-16, MIN(16, Games[[#This Row],[RestDiff]]*8))</f>
        <v>8</v>
      </c>
      <c r="N21" s="1">
        <f>MAX(-16, MIN(16, Games[[#This Row],[OppRestDiff]]*8))</f>
        <v>-8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1489.360591355887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1495.0404156986676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0.63249852959294894</v>
      </c>
      <c r="R21" s="1">
        <v>77</v>
      </c>
      <c r="S21" s="1">
        <v>87</v>
      </c>
      <c r="T21" s="1">
        <v>0</v>
      </c>
      <c r="U21" s="1">
        <f>Games[[#This Row],[PointsFor]]-Games[[#This Row],[PointsAgainst]]</f>
        <v>-10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0.42113638210336624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-20.16406838259244</v>
      </c>
      <c r="AB21" s="4">
        <f>Games[[#This Row],[PreGmRate]]+Games[[#This Row],[RatingChange]]</f>
        <v>1469.1965229732946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42509</v>
      </c>
      <c r="B22" s="2">
        <v>2016</v>
      </c>
      <c r="C22" s="2">
        <f>COUNTIFS(Games[Team],Games[[#This Row],[Team]],Games[Season],Games[[#This Row],[Season]],Games[Date],"&lt;=" &amp; Games[[#This Row],[Date]])</f>
        <v>2</v>
      </c>
      <c r="D22" s="2" t="s">
        <v>81</v>
      </c>
      <c r="E22" s="2" t="s">
        <v>82</v>
      </c>
      <c r="F22" s="1" t="s">
        <v>76</v>
      </c>
      <c r="G22" s="1" t="s">
        <v>74</v>
      </c>
      <c r="H22" s="1" t="s">
        <v>83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1450.8220971198082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1392.5662306900233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0.46301886988919128</v>
      </c>
      <c r="R22" s="1">
        <v>72</v>
      </c>
      <c r="S22" s="1">
        <v>68</v>
      </c>
      <c r="T22" s="1">
        <v>0</v>
      </c>
      <c r="U22" s="1">
        <f>Games[[#This Row],[PointsFor]]-Games[[#This Row],[PointsAgainst]]</f>
        <v>4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0.2970137408896476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12.073451610071094</v>
      </c>
      <c r="AB22" s="4">
        <f>Games[[#This Row],[PreGmRate]]+Games[[#This Row],[RatingChange]]</f>
        <v>1462.8955487298792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42509</v>
      </c>
      <c r="B23" s="2">
        <v>2016</v>
      </c>
      <c r="C23" s="2">
        <f>COUNTIFS(Games[Team],Games[[#This Row],[Team]],Games[Season],Games[[#This Row],[Season]],Games[Date],"&lt;=" &amp; Games[[#This Row],[Date]])</f>
        <v>2</v>
      </c>
      <c r="D23" s="2" t="s">
        <v>81</v>
      </c>
      <c r="E23" s="2" t="s">
        <v>82</v>
      </c>
      <c r="F23" s="1" t="s">
        <v>74</v>
      </c>
      <c r="G23" s="1" t="s">
        <v>76</v>
      </c>
      <c r="H23" s="1" t="s">
        <v>84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1392.5662306900233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1450.8220971198082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0.53698113011080872</v>
      </c>
      <c r="R23" s="1">
        <v>68</v>
      </c>
      <c r="S23" s="1">
        <v>72</v>
      </c>
      <c r="T23" s="1">
        <v>0</v>
      </c>
      <c r="U23" s="1">
        <f>Games[[#This Row],[PointsFor]]-Games[[#This Row],[PointsAgainst]]</f>
        <v>-4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0.2970137408896476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-12.073451610071094</v>
      </c>
      <c r="AB23" s="4">
        <f>Games[[#This Row],[PreGmRate]]+Games[[#This Row],[RatingChange]]</f>
        <v>1380.4927790799522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42510</v>
      </c>
      <c r="B24" s="2">
        <v>2016</v>
      </c>
      <c r="C24" s="2">
        <f>COUNTIFS(Games[Team],Games[[#This Row],[Team]],Games[Season],Games[[#This Row],[Season]],Games[Date],"&lt;=" &amp; Games[[#This Row],[Date]])</f>
        <v>2</v>
      </c>
      <c r="D24" s="2" t="s">
        <v>81</v>
      </c>
      <c r="E24" s="2" t="s">
        <v>82</v>
      </c>
      <c r="F24" s="1" t="s">
        <v>79</v>
      </c>
      <c r="G24" s="1" t="s">
        <v>69</v>
      </c>
      <c r="H24" s="1" t="s">
        <v>83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4</v>
      </c>
      <c r="L24" s="2">
        <f>Games[[#This Row],[OppDaysOff]]-Games[[#This Row],[DaysOff]]</f>
        <v>-4</v>
      </c>
      <c r="M24" s="1">
        <f>MAX(-16, MIN(16, Games[[#This Row],[RestDiff]]*8))</f>
        <v>16</v>
      </c>
      <c r="N24" s="1">
        <f>MAX(-16, MIN(16, Games[[#This Row],[OppRestDiff]]*8))</f>
        <v>-16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1508.7244767448763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1531.75992556502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0.39366346760257442</v>
      </c>
      <c r="R24" s="1">
        <v>85</v>
      </c>
      <c r="S24" s="1">
        <v>94</v>
      </c>
      <c r="T24" s="1">
        <v>0</v>
      </c>
      <c r="U24" s="1">
        <f>Games[[#This Row],[PointsFor]]-Games[[#This Row],[PointsAgainst]]</f>
        <v>-9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0.39832519412798534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-11.870220040549574</v>
      </c>
      <c r="AB24" s="4">
        <f>Games[[#This Row],[PreGmRate]]+Games[[#This Row],[RatingChange]]</f>
        <v>1496.8542567043266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42510</v>
      </c>
      <c r="B25" s="2">
        <v>2016</v>
      </c>
      <c r="C25" s="2">
        <f>COUNTIFS(Games[Team],Games[[#This Row],[Team]],Games[Season],Games[[#This Row],[Season]],Games[Date],"&lt;=" &amp; Games[[#This Row],[Date]])</f>
        <v>3</v>
      </c>
      <c r="D25" s="2" t="s">
        <v>81</v>
      </c>
      <c r="E25" s="2" t="s">
        <v>82</v>
      </c>
      <c r="F25" s="1" t="s">
        <v>69</v>
      </c>
      <c r="G25" s="1" t="s">
        <v>79</v>
      </c>
      <c r="H25" s="1" t="s">
        <v>84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" s="2">
        <f>Games[[#This Row],[DaysOff]]-Games[[#This Row],[OppDaysOff]]</f>
        <v>-4</v>
      </c>
      <c r="L25" s="2">
        <f>Games[[#This Row],[OppDaysOff]]-Games[[#This Row],[DaysOff]]</f>
        <v>4</v>
      </c>
      <c r="M25" s="1">
        <f>MAX(-16, MIN(16, Games[[#This Row],[RestDiff]]*8))</f>
        <v>-16</v>
      </c>
      <c r="N25" s="1">
        <f>MAX(-16, MIN(16, Games[[#This Row],[OppRestDiff]]*8))</f>
        <v>16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1531.75992556502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1508.7244767448763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0.60633653239742558</v>
      </c>
      <c r="R25" s="1">
        <v>94</v>
      </c>
      <c r="S25" s="1">
        <v>85</v>
      </c>
      <c r="T25" s="1">
        <v>0</v>
      </c>
      <c r="U25" s="1">
        <f>Games[[#This Row],[PointsFor]]-Games[[#This Row],[PointsAgainst]]</f>
        <v>9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0.39832519412798534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11.846699128976489</v>
      </c>
      <c r="AB25" s="4">
        <f>Games[[#This Row],[PreGmRate]]+Games[[#This Row],[RatingChange]]</f>
        <v>1543.6066246939965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42510</v>
      </c>
      <c r="B26" s="2">
        <v>2016</v>
      </c>
      <c r="C26" s="2">
        <f>COUNTIFS(Games[Team],Games[[#This Row],[Team]],Games[Season],Games[[#This Row],[Season]],Games[Date],"&lt;=" &amp; Games[[#This Row],[Date]])</f>
        <v>2</v>
      </c>
      <c r="D26" s="2" t="s">
        <v>81</v>
      </c>
      <c r="E26" s="2" t="s">
        <v>82</v>
      </c>
      <c r="F26" s="1" t="s">
        <v>71</v>
      </c>
      <c r="G26" s="1" t="s">
        <v>40</v>
      </c>
      <c r="H26" s="1" t="s">
        <v>83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" s="2">
        <f>Games[[#This Row],[DaysOff]]-Games[[#This Row],[OppDaysOff]]</f>
        <v>3</v>
      </c>
      <c r="L26" s="2">
        <f>Games[[#This Row],[OppDaysOff]]-Games[[#This Row],[DaysOff]]</f>
        <v>-3</v>
      </c>
      <c r="M26" s="1">
        <f>MAX(-16, MIN(16, Games[[#This Row],[RestDiff]]*8))</f>
        <v>16</v>
      </c>
      <c r="N26" s="1">
        <f>MAX(-16, MIN(16, Games[[#This Row],[OppRestDiff]]*8))</f>
        <v>-16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1426.842582617209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1520.6723866869902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0.30164771910305344</v>
      </c>
      <c r="R26" s="1">
        <v>81</v>
      </c>
      <c r="S26" s="1">
        <v>80</v>
      </c>
      <c r="T26" s="1">
        <v>0</v>
      </c>
      <c r="U26" s="1">
        <f>Games[[#This Row],[PointsFor]]-Games[[#This Row],[PointsAgainst]]</f>
        <v>1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0.22647152217135716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11.972477637839402</v>
      </c>
      <c r="AB26" s="4">
        <f>Games[[#This Row],[PreGmRate]]+Games[[#This Row],[RatingChange]]</f>
        <v>1438.8150602550484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42510</v>
      </c>
      <c r="B27" s="2">
        <v>2016</v>
      </c>
      <c r="C27" s="2">
        <f>COUNTIFS(Games[Team],Games[[#This Row],[Team]],Games[Season],Games[[#This Row],[Season]],Games[Date],"&lt;=" &amp; Games[[#This Row],[Date]])</f>
        <v>3</v>
      </c>
      <c r="D27" s="2" t="s">
        <v>81</v>
      </c>
      <c r="E27" s="2" t="s">
        <v>82</v>
      </c>
      <c r="F27" s="1" t="s">
        <v>40</v>
      </c>
      <c r="G27" s="1" t="s">
        <v>71</v>
      </c>
      <c r="H27" s="1" t="s">
        <v>84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" s="2">
        <f>Games[[#This Row],[DaysOff]]-Games[[#This Row],[OppDaysOff]]</f>
        <v>-3</v>
      </c>
      <c r="L27" s="2">
        <f>Games[[#This Row],[OppDaysOff]]-Games[[#This Row],[DaysOff]]</f>
        <v>3</v>
      </c>
      <c r="M27" s="1">
        <f>MAX(-16, MIN(16, Games[[#This Row],[RestDiff]]*8))</f>
        <v>-16</v>
      </c>
      <c r="N27" s="1">
        <f>MAX(-16, MIN(16, Games[[#This Row],[OppRestDiff]]*8))</f>
        <v>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1520.6723866869902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1426.842582617209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0.69835228089694656</v>
      </c>
      <c r="R27" s="1">
        <v>80</v>
      </c>
      <c r="S27" s="1">
        <v>81</v>
      </c>
      <c r="T27" s="1">
        <v>0</v>
      </c>
      <c r="U27" s="1">
        <f>Games[[#This Row],[PointsFor]]-Games[[#This Row],[PointsAgainst]]</f>
        <v>-1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0.22647152217135716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-11.948754102229415</v>
      </c>
      <c r="AB27" s="4">
        <f>Games[[#This Row],[PreGmRate]]+Games[[#This Row],[RatingChange]]</f>
        <v>1508.7236325847607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42510</v>
      </c>
      <c r="B28" s="2">
        <v>2016</v>
      </c>
      <c r="C28" s="2">
        <f>COUNTIFS(Games[Team],Games[[#This Row],[Team]],Games[Season],Games[[#This Row],[Season]],Games[Date],"&lt;=" &amp; Games[[#This Row],[Date]])</f>
        <v>2</v>
      </c>
      <c r="D28" s="2" t="s">
        <v>81</v>
      </c>
      <c r="E28" s="2" t="s">
        <v>82</v>
      </c>
      <c r="F28" s="1" t="s">
        <v>63</v>
      </c>
      <c r="G28" s="1" t="s">
        <v>65</v>
      </c>
      <c r="H28" s="1" t="s">
        <v>83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3</v>
      </c>
      <c r="L28" s="2">
        <f>Games[[#This Row],[OppDaysOff]]-Games[[#This Row],[DaysOff]]</f>
        <v>-3</v>
      </c>
      <c r="M28" s="1">
        <f>MAX(-16, MIN(16, Games[[#This Row],[RestDiff]]*8))</f>
        <v>16</v>
      </c>
      <c r="N28" s="1">
        <f>MAX(-16, MIN(16, Games[[#This Row],[OppRestDiff]]*8))</f>
        <v>-16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1512.5203523342125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1469.1965229732946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0.48751658155133359</v>
      </c>
      <c r="R28" s="1">
        <v>97</v>
      </c>
      <c r="S28" s="1">
        <v>67</v>
      </c>
      <c r="T28" s="1">
        <v>0</v>
      </c>
      <c r="U28" s="1">
        <f>Games[[#This Row],[PointsFor]]-Games[[#This Row],[PointsAgainst]]</f>
        <v>30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0.67897935485055083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26.341000524821947</v>
      </c>
      <c r="AB28" s="4">
        <f>Games[[#This Row],[PreGmRate]]+Games[[#This Row],[RatingChange]]</f>
        <v>1538.8613528590345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42510</v>
      </c>
      <c r="B29" s="2">
        <v>2016</v>
      </c>
      <c r="C29" s="2">
        <f>COUNTIFS(Games[Team],Games[[#This Row],[Team]],Games[Season],Games[[#This Row],[Season]],Games[Date],"&lt;=" &amp; Games[[#This Row],[Date]])</f>
        <v>3</v>
      </c>
      <c r="D29" s="2" t="s">
        <v>81</v>
      </c>
      <c r="E29" s="2" t="s">
        <v>82</v>
      </c>
      <c r="F29" s="1" t="s">
        <v>65</v>
      </c>
      <c r="G29" s="1" t="s">
        <v>63</v>
      </c>
      <c r="H29" s="1" t="s">
        <v>84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" s="2">
        <f>Games[[#This Row],[DaysOff]]-Games[[#This Row],[OppDaysOff]]</f>
        <v>-3</v>
      </c>
      <c r="L29" s="2">
        <f>Games[[#This Row],[OppDaysOff]]-Games[[#This Row],[DaysOff]]</f>
        <v>3</v>
      </c>
      <c r="M29" s="1">
        <f>MAX(-16, MIN(16, Games[[#This Row],[RestDiff]]*8))</f>
        <v>-16</v>
      </c>
      <c r="N29" s="1">
        <f>MAX(-16, MIN(16, Games[[#This Row],[OppRestDiff]]*8))</f>
        <v>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1469.1965229732946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1512.5203523342125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0.51248341844866641</v>
      </c>
      <c r="R29" s="1">
        <v>67</v>
      </c>
      <c r="S29" s="1">
        <v>97</v>
      </c>
      <c r="T29" s="1">
        <v>0</v>
      </c>
      <c r="U29" s="1">
        <f>Games[[#This Row],[PointsFor]]-Games[[#This Row],[PointsAgainst]]</f>
        <v>-30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0.67897935485055083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-26.288805675697464</v>
      </c>
      <c r="AB29" s="4">
        <f>Games[[#This Row],[PreGmRate]]+Games[[#This Row],[RatingChange]]</f>
        <v>1442.9077172975972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42511</v>
      </c>
      <c r="B30" s="2">
        <v>2016</v>
      </c>
      <c r="C30" s="2">
        <f>COUNTIFS(Games[Team],Games[[#This Row],[Team]],Games[Season],Games[[#This Row],[Season]],Games[Date],"&lt;=" &amp; Games[[#This Row],[Date]])</f>
        <v>4</v>
      </c>
      <c r="D30" s="2" t="s">
        <v>81</v>
      </c>
      <c r="E30" s="2" t="s">
        <v>82</v>
      </c>
      <c r="F30" s="1" t="s">
        <v>65</v>
      </c>
      <c r="G30" s="1" t="s">
        <v>76</v>
      </c>
      <c r="H30" s="1" t="s">
        <v>83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-1</v>
      </c>
      <c r="L30" s="2">
        <f>Games[[#This Row],[OppDaysOff]]-Games[[#This Row],[DaysOff]]</f>
        <v>1</v>
      </c>
      <c r="M30" s="1">
        <f>MAX(-16, MIN(16, Games[[#This Row],[RestDiff]]*8))</f>
        <v>-8</v>
      </c>
      <c r="N30" s="1">
        <f>MAX(-16, MIN(16, Games[[#This Row],[OppRestDiff]]*8))</f>
        <v>8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1442.9077172975972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1462.8955487298792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0.33387615409089566</v>
      </c>
      <c r="R30" s="1">
        <v>84</v>
      </c>
      <c r="S30" s="1">
        <v>76</v>
      </c>
      <c r="T30" s="1">
        <v>1</v>
      </c>
      <c r="U30" s="1">
        <f>Games[[#This Row],[PointsFor]]-Games[[#This Row],[PointsAgainst]]</f>
        <v>8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0.34375816462930397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75.400000000000006</v>
      </c>
      <c r="Z30" s="4">
        <f>Games[[#This Row],[K]]*Games[[#This Row],[POMult]]</f>
        <v>75.400000000000006</v>
      </c>
      <c r="AA30" s="4">
        <f>(Games[[#This Row],[Keff]]*Games[[#This Row],[MOVMult]])*(Games[[#This Row],[Result]]-Games[[#This Row],[ExpectedWin%]])</f>
        <v>17.265507505688738</v>
      </c>
      <c r="AB30" s="4">
        <f>Games[[#This Row],[PreGmRate]]+Games[[#This Row],[RatingChange]]</f>
        <v>1460.1732248032858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42511</v>
      </c>
      <c r="B31" s="2">
        <v>2016</v>
      </c>
      <c r="C31" s="2">
        <f>COUNTIFS(Games[Team],Games[[#This Row],[Team]],Games[Season],Games[[#This Row],[Season]],Games[Date],"&lt;=" &amp; Games[[#This Row],[Date]])</f>
        <v>3</v>
      </c>
      <c r="D31" s="2" t="s">
        <v>81</v>
      </c>
      <c r="E31" s="2" t="s">
        <v>82</v>
      </c>
      <c r="F31" s="1" t="s">
        <v>76</v>
      </c>
      <c r="G31" s="1" t="s">
        <v>65</v>
      </c>
      <c r="H31" s="1" t="s">
        <v>84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" s="2">
        <f>Games[[#This Row],[DaysOff]]-Games[[#This Row],[OppDaysOff]]</f>
        <v>1</v>
      </c>
      <c r="L31" s="2">
        <f>Games[[#This Row],[OppDaysOff]]-Games[[#This Row],[DaysOff]]</f>
        <v>-1</v>
      </c>
      <c r="M31" s="1">
        <f>MAX(-16, MIN(16, Games[[#This Row],[RestDiff]]*8))</f>
        <v>8</v>
      </c>
      <c r="N31" s="1">
        <f>MAX(-16, MIN(16, Games[[#This Row],[OppRestDiff]]*8))</f>
        <v>-8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1462.8955487298792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1442.9077172975972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0.66612384590910434</v>
      </c>
      <c r="R31" s="1">
        <v>76</v>
      </c>
      <c r="S31" s="1">
        <v>84</v>
      </c>
      <c r="T31" s="1">
        <v>1</v>
      </c>
      <c r="U31" s="1">
        <f>Games[[#This Row],[PointsFor]]-Games[[#This Row],[PointsAgainst]]</f>
        <v>-8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0.34375816462930397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-17.299855332291564</v>
      </c>
      <c r="AB31" s="4">
        <f>Games[[#This Row],[PreGmRate]]+Games[[#This Row],[RatingChange]]</f>
        <v>1445.5956933975876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42511</v>
      </c>
      <c r="B32" s="2">
        <v>2016</v>
      </c>
      <c r="C32" s="2">
        <f>COUNTIFS(Games[Team],Games[[#This Row],[Team]],Games[Season],Games[[#This Row],[Season]],Games[Date],"&lt;=" &amp; Games[[#This Row],[Date]])</f>
        <v>3</v>
      </c>
      <c r="D32" s="2" t="s">
        <v>81</v>
      </c>
      <c r="E32" s="2" t="s">
        <v>82</v>
      </c>
      <c r="F32" s="1" t="s">
        <v>74</v>
      </c>
      <c r="G32" s="1" t="s">
        <v>87</v>
      </c>
      <c r="H32" s="1" t="s">
        <v>83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" s="2">
        <f>Games[[#This Row],[DaysOff]]-Games[[#This Row],[OppDaysOff]]</f>
        <v>-1</v>
      </c>
      <c r="L32" s="2">
        <f>Games[[#This Row],[OppDaysOff]]-Games[[#This Row],[DaysOff]]</f>
        <v>1</v>
      </c>
      <c r="M32" s="1">
        <f>MAX(-16, MIN(16, Games[[#This Row],[RestDiff]]*8))</f>
        <v>-8</v>
      </c>
      <c r="N32" s="1">
        <f>MAX(-16, MIN(16, Games[[#This Row],[OppRestDiff]]*8))</f>
        <v>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1380.4927790799522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1515.1645288598943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0.20572667347627979</v>
      </c>
      <c r="R32" s="1">
        <v>77</v>
      </c>
      <c r="S32" s="1">
        <v>82</v>
      </c>
      <c r="T32" s="1">
        <v>0</v>
      </c>
      <c r="U32" s="1">
        <f>Games[[#This Row],[PointsFor]]-Games[[#This Row],[PointsAgainst]]</f>
        <v>-5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0.29828095980838459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-4.6360766139942955</v>
      </c>
      <c r="AB32" s="4">
        <f>Games[[#This Row],[PreGmRate]]+Games[[#This Row],[RatingChange]]</f>
        <v>1375.8567024659581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42511</v>
      </c>
      <c r="B33" s="2">
        <v>2016</v>
      </c>
      <c r="C33" s="2">
        <f>COUNTIFS(Games[Team],Games[[#This Row],[Team]],Games[Season],Games[[#This Row],[Season]],Games[Date],"&lt;=" &amp; Games[[#This Row],[Date]])</f>
        <v>4</v>
      </c>
      <c r="D33" s="2" t="s">
        <v>81</v>
      </c>
      <c r="E33" s="2" t="s">
        <v>82</v>
      </c>
      <c r="F33" s="1" t="s">
        <v>87</v>
      </c>
      <c r="G33" s="1" t="s">
        <v>74</v>
      </c>
      <c r="H33" s="1" t="s">
        <v>84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1</v>
      </c>
      <c r="L33" s="2">
        <f>Games[[#This Row],[OppDaysOff]]-Games[[#This Row],[DaysOff]]</f>
        <v>-1</v>
      </c>
      <c r="M33" s="1">
        <f>MAX(-16, MIN(16, Games[[#This Row],[RestDiff]]*8))</f>
        <v>8</v>
      </c>
      <c r="N33" s="1">
        <f>MAX(-16, MIN(16, Games[[#This Row],[OppRestDiff]]*8))</f>
        <v>-8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1515.1645288598943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1380.4927790799522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0.79427332652372018</v>
      </c>
      <c r="R33" s="1">
        <v>82</v>
      </c>
      <c r="S33" s="1">
        <v>77</v>
      </c>
      <c r="T33" s="1">
        <v>0</v>
      </c>
      <c r="U33" s="1">
        <f>Games[[#This Row],[PointsFor]]-Games[[#This Row],[PointsAgainst]]</f>
        <v>5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0.29828095980838459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75.400000000000006</v>
      </c>
      <c r="Z33" s="4">
        <f>Games[[#This Row],[K]]*Games[[#This Row],[POMult]]</f>
        <v>75.400000000000006</v>
      </c>
      <c r="AA33" s="4">
        <f>(Games[[#This Row],[Keff]]*Games[[#This Row],[MOVMult]])*(Games[[#This Row],[Result]]-Games[[#This Row],[ExpectedWin%]])</f>
        <v>4.6268719615508926</v>
      </c>
      <c r="AB33" s="4">
        <f>Games[[#This Row],[PreGmRate]]+Games[[#This Row],[RatingChange]]</f>
        <v>1519.7914008214452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42511</v>
      </c>
      <c r="B34" s="2">
        <v>2016</v>
      </c>
      <c r="C34" s="2">
        <f>COUNTIFS(Games[Team],Games[[#This Row],[Team]],Games[Season],Games[[#This Row],[Season]],Games[Date],"&lt;=" &amp; Games[[#This Row],[Date]])</f>
        <v>3</v>
      </c>
      <c r="D34" s="2" t="s">
        <v>81</v>
      </c>
      <c r="E34" s="2" t="s">
        <v>82</v>
      </c>
      <c r="F34" s="1" t="s">
        <v>63</v>
      </c>
      <c r="G34" s="1" t="s">
        <v>60</v>
      </c>
      <c r="H34" s="1" t="s">
        <v>83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" s="2">
        <f>Games[[#This Row],[DaysOff]]-Games[[#This Row],[OppDaysOff]]</f>
        <v>-5</v>
      </c>
      <c r="L34" s="2">
        <f>Games[[#This Row],[OppDaysOff]]-Games[[#This Row],[DaysOff]]</f>
        <v>5</v>
      </c>
      <c r="M34" s="1">
        <f>MAX(-16, MIN(16, Games[[#This Row],[RestDiff]]*8))</f>
        <v>-16</v>
      </c>
      <c r="N34" s="1">
        <f>MAX(-16, MIN(16, Games[[#This Row],[OppRestDiff]]*8))</f>
        <v>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1538.8613528590345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1560.4267777090088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0.31176294210145322</v>
      </c>
      <c r="R34" s="1">
        <v>79</v>
      </c>
      <c r="S34" s="1">
        <v>72</v>
      </c>
      <c r="T34" s="1">
        <v>1</v>
      </c>
      <c r="U34" s="1">
        <f>Games[[#This Row],[PointsFor]]-Games[[#This Row],[PointsAgainst]]</f>
        <v>7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0.3272159952752563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17.014024237056113</v>
      </c>
      <c r="AB34" s="4">
        <f>Games[[#This Row],[PreGmRate]]+Games[[#This Row],[RatingChange]]</f>
        <v>1555.8753770960907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42511</v>
      </c>
      <c r="B35" s="2">
        <v>2016</v>
      </c>
      <c r="C35" s="2">
        <f>COUNTIFS(Games[Team],Games[[#This Row],[Team]],Games[Season],Games[[#This Row],[Season]],Games[Date],"&lt;=" &amp; Games[[#This Row],[Date]])</f>
        <v>3</v>
      </c>
      <c r="D35" s="2" t="s">
        <v>81</v>
      </c>
      <c r="E35" s="2" t="s">
        <v>82</v>
      </c>
      <c r="F35" s="1" t="s">
        <v>60</v>
      </c>
      <c r="G35" s="1" t="s">
        <v>63</v>
      </c>
      <c r="H35" s="1" t="s">
        <v>84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" s="2">
        <f>Games[[#This Row],[DaysOff]]-Games[[#This Row],[OppDaysOff]]</f>
        <v>5</v>
      </c>
      <c r="L35" s="2">
        <f>Games[[#This Row],[OppDaysOff]]-Games[[#This Row],[DaysOff]]</f>
        <v>-5</v>
      </c>
      <c r="M35" s="1">
        <f>MAX(-16, MIN(16, Games[[#This Row],[RestDiff]]*8))</f>
        <v>16</v>
      </c>
      <c r="N35" s="1">
        <f>MAX(-16, MIN(16, Games[[#This Row],[OppRestDiff]]*8))</f>
        <v>-16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1560.4267777090088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1538.8613528590345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0.68823705789854683</v>
      </c>
      <c r="R35" s="1">
        <v>72</v>
      </c>
      <c r="S35" s="1">
        <v>79</v>
      </c>
      <c r="T35" s="1">
        <v>1</v>
      </c>
      <c r="U35" s="1">
        <f>Games[[#This Row],[PointsFor]]-Games[[#This Row],[PointsAgainst]]</f>
        <v>-7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0.3272159952752563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-17.014024237056113</v>
      </c>
      <c r="AB35" s="4">
        <f>Games[[#This Row],[PreGmRate]]+Games[[#This Row],[RatingChange]]</f>
        <v>1543.4127534719526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42512</v>
      </c>
      <c r="B36" s="2">
        <v>2016</v>
      </c>
      <c r="C36" s="2">
        <f>COUNTIFS(Games[Team],Games[[#This Row],[Team]],Games[Season],Games[[#This Row],[Season]],Games[Date],"&lt;=" &amp; Games[[#This Row],[Date]])</f>
        <v>3</v>
      </c>
      <c r="D36" s="2" t="s">
        <v>81</v>
      </c>
      <c r="E36" s="2" t="s">
        <v>82</v>
      </c>
      <c r="F36" s="1" t="s">
        <v>77</v>
      </c>
      <c r="G36" s="1" t="s">
        <v>79</v>
      </c>
      <c r="H36" s="1" t="s">
        <v>83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" s="2">
        <f>Games[[#This Row],[DaysOff]]-Games[[#This Row],[OppDaysOff]]</f>
        <v>2</v>
      </c>
      <c r="L36" s="2">
        <f>Games[[#This Row],[OppDaysOff]]-Games[[#This Row],[DaysOff]]</f>
        <v>-2</v>
      </c>
      <c r="M36" s="1">
        <f>MAX(-16, MIN(16, Games[[#This Row],[RestDiff]]*8))</f>
        <v>16</v>
      </c>
      <c r="N36" s="1">
        <f>MAX(-16, MIN(16, Games[[#This Row],[OppRestDiff]]*8))</f>
        <v>-16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1516.6973332129014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1496.8542567043266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0.45385416041669124</v>
      </c>
      <c r="R36" s="1">
        <v>81</v>
      </c>
      <c r="S36" s="1">
        <v>87</v>
      </c>
      <c r="T36" s="1">
        <v>0</v>
      </c>
      <c r="U36" s="1">
        <f>Games[[#This Row],[PointsFor]]-Games[[#This Row],[PointsAgainst]]</f>
        <v>-6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0.34556650886252488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-11.849020069855985</v>
      </c>
      <c r="AB36" s="4">
        <f>Games[[#This Row],[PreGmRate]]+Games[[#This Row],[RatingChange]]</f>
        <v>1504.8483131430455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42512</v>
      </c>
      <c r="B37" s="2">
        <v>2016</v>
      </c>
      <c r="C37" s="2">
        <f>COUNTIFS(Games[Team],Games[[#This Row],[Team]],Games[Season],Games[[#This Row],[Season]],Games[Date],"&lt;=" &amp; Games[[#This Row],[Date]])</f>
        <v>3</v>
      </c>
      <c r="D37" s="2" t="s">
        <v>81</v>
      </c>
      <c r="E37" s="2" t="s">
        <v>82</v>
      </c>
      <c r="F37" s="1" t="s">
        <v>79</v>
      </c>
      <c r="G37" s="1" t="s">
        <v>77</v>
      </c>
      <c r="H37" s="1" t="s">
        <v>84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" s="2">
        <f>Games[[#This Row],[DaysOff]]-Games[[#This Row],[OppDaysOff]]</f>
        <v>-2</v>
      </c>
      <c r="L37" s="2">
        <f>Games[[#This Row],[OppDaysOff]]-Games[[#This Row],[DaysOff]]</f>
        <v>2</v>
      </c>
      <c r="M37" s="1">
        <f>MAX(-16, MIN(16, Games[[#This Row],[RestDiff]]*8))</f>
        <v>-16</v>
      </c>
      <c r="N37" s="1">
        <f>MAX(-16, MIN(16, Games[[#This Row],[OppRestDiff]]*8))</f>
        <v>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1496.8542567043266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1516.6973332129014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0.54614583958330865</v>
      </c>
      <c r="R37" s="1">
        <v>87</v>
      </c>
      <c r="S37" s="1">
        <v>81</v>
      </c>
      <c r="T37" s="1">
        <v>0</v>
      </c>
      <c r="U37" s="1">
        <f>Games[[#This Row],[PointsFor]]-Games[[#This Row],[PointsAgainst]]</f>
        <v>6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0.34556650886252488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11.849020069855987</v>
      </c>
      <c r="AB37" s="4">
        <f>Games[[#This Row],[PreGmRate]]+Games[[#This Row],[RatingChange]]</f>
        <v>1508.7032767741825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42512</v>
      </c>
      <c r="B38" s="2">
        <v>2016</v>
      </c>
      <c r="C38" s="2">
        <f>COUNTIFS(Games[Team],Games[[#This Row],[Team]],Games[Season],Games[[#This Row],[Season]],Games[Date],"&lt;=" &amp; Games[[#This Row],[Date]])</f>
        <v>3</v>
      </c>
      <c r="D38" s="2" t="s">
        <v>81</v>
      </c>
      <c r="E38" s="2" t="s">
        <v>82</v>
      </c>
      <c r="F38" s="1" t="s">
        <v>67</v>
      </c>
      <c r="G38" s="1" t="s">
        <v>71</v>
      </c>
      <c r="H38" s="1" t="s">
        <v>83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2</v>
      </c>
      <c r="L38" s="2">
        <f>Games[[#This Row],[OppDaysOff]]-Games[[#This Row],[DaysOff]]</f>
        <v>-2</v>
      </c>
      <c r="M38" s="1">
        <f>MAX(-16, MIN(16, Games[[#This Row],[RestDiff]]*8))</f>
        <v>16</v>
      </c>
      <c r="N38" s="1">
        <f>MAX(-16, MIN(16, Games[[#This Row],[OppRestDiff]]*8))</f>
        <v>-16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1595.3772297835465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1438.8150602550484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0.64609275821911849</v>
      </c>
      <c r="R38" s="1">
        <v>78</v>
      </c>
      <c r="S38" s="1">
        <v>71</v>
      </c>
      <c r="T38" s="1">
        <v>0</v>
      </c>
      <c r="U38" s="1">
        <f>Games[[#This Row],[PointsFor]]-Games[[#This Row],[PointsAgainst]]</f>
        <v>7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0.32739274097474669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8.7537263093747395</v>
      </c>
      <c r="AB38" s="4">
        <f>Games[[#This Row],[PreGmRate]]+Games[[#This Row],[RatingChange]]</f>
        <v>1604.1309560929212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42512</v>
      </c>
      <c r="B39" s="2">
        <v>2016</v>
      </c>
      <c r="C39" s="2">
        <f>COUNTIFS(Games[Team],Games[[#This Row],[Team]],Games[Season],Games[[#This Row],[Season]],Games[Date],"&lt;=" &amp; Games[[#This Row],[Date]])</f>
        <v>3</v>
      </c>
      <c r="D39" s="2" t="s">
        <v>81</v>
      </c>
      <c r="E39" s="2" t="s">
        <v>82</v>
      </c>
      <c r="F39" s="1" t="s">
        <v>71</v>
      </c>
      <c r="G39" s="1" t="s">
        <v>67</v>
      </c>
      <c r="H39" s="1" t="s">
        <v>84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" s="2">
        <f>Games[[#This Row],[DaysOff]]-Games[[#This Row],[OppDaysOff]]</f>
        <v>-2</v>
      </c>
      <c r="L39" s="2">
        <f>Games[[#This Row],[OppDaysOff]]-Games[[#This Row],[DaysOff]]</f>
        <v>2</v>
      </c>
      <c r="M39" s="1">
        <f>MAX(-16, MIN(16, Games[[#This Row],[RestDiff]]*8))</f>
        <v>-16</v>
      </c>
      <c r="N39" s="1">
        <f>MAX(-16, MIN(16, Games[[#This Row],[OppRestDiff]]*8))</f>
        <v>16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1438.8150602550484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1595.3772297835465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0.35390724178088145</v>
      </c>
      <c r="R39" s="1">
        <v>71</v>
      </c>
      <c r="S39" s="1">
        <v>78</v>
      </c>
      <c r="T39" s="1">
        <v>0</v>
      </c>
      <c r="U39" s="1">
        <f>Games[[#This Row],[PointsFor]]-Games[[#This Row],[PointsAgainst]]</f>
        <v>-7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0.32739274097474669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-8.7537263093747377</v>
      </c>
      <c r="AB39" s="4">
        <f>Games[[#This Row],[PreGmRate]]+Games[[#This Row],[RatingChange]]</f>
        <v>1430.0613339456736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42514</v>
      </c>
      <c r="B40" s="2">
        <v>2016</v>
      </c>
      <c r="C40" s="2">
        <f>COUNTIFS(Games[Team],Games[[#This Row],[Team]],Games[Season],Games[[#This Row],[Season]],Games[Date],"&lt;=" &amp; Games[[#This Row],[Date]])</f>
        <v>4</v>
      </c>
      <c r="D40" s="2" t="s">
        <v>81</v>
      </c>
      <c r="E40" s="2" t="s">
        <v>82</v>
      </c>
      <c r="F40" s="1" t="s">
        <v>63</v>
      </c>
      <c r="G40" s="1" t="s">
        <v>77</v>
      </c>
      <c r="H40" s="1" t="s">
        <v>83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1</v>
      </c>
      <c r="L40" s="2">
        <f>Games[[#This Row],[OppDaysOff]]-Games[[#This Row],[DaysOff]]</f>
        <v>-1</v>
      </c>
      <c r="M40" s="1">
        <f>MAX(-16, MIN(16, Games[[#This Row],[RestDiff]]*8))</f>
        <v>8</v>
      </c>
      <c r="N40" s="1">
        <f>MAX(-16, MIN(16, Games[[#This Row],[OppRestDiff]]*8))</f>
        <v>-8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1555.8753770960907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1504.8483131430455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0.47559339408785889</v>
      </c>
      <c r="R40" s="1">
        <v>93</v>
      </c>
      <c r="S40" s="1">
        <v>80</v>
      </c>
      <c r="T40" s="1">
        <v>0</v>
      </c>
      <c r="U40" s="1">
        <f>Games[[#This Row],[PointsFor]]-Games[[#This Row],[PointsAgainst]]</f>
        <v>13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0.45278997001634952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17.903432273096982</v>
      </c>
      <c r="AB40" s="4">
        <f>Games[[#This Row],[PreGmRate]]+Games[[#This Row],[RatingChange]]</f>
        <v>1573.7788093691877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42514</v>
      </c>
      <c r="B41" s="2">
        <v>2016</v>
      </c>
      <c r="C41" s="2">
        <f>COUNTIFS(Games[Team],Games[[#This Row],[Team]],Games[Season],Games[[#This Row],[Season]],Games[Date],"&lt;=" &amp; Games[[#This Row],[Date]])</f>
        <v>4</v>
      </c>
      <c r="D41" s="2" t="s">
        <v>81</v>
      </c>
      <c r="E41" s="2" t="s">
        <v>82</v>
      </c>
      <c r="F41" s="1" t="s">
        <v>77</v>
      </c>
      <c r="G41" s="1" t="s">
        <v>63</v>
      </c>
      <c r="H41" s="1" t="s">
        <v>84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-1</v>
      </c>
      <c r="L41" s="2">
        <f>Games[[#This Row],[OppDaysOff]]-Games[[#This Row],[DaysOff]]</f>
        <v>1</v>
      </c>
      <c r="M41" s="1">
        <f>MAX(-16, MIN(16, Games[[#This Row],[RestDiff]]*8))</f>
        <v>-8</v>
      </c>
      <c r="N41" s="1">
        <f>MAX(-16, MIN(16, Games[[#This Row],[OppRestDiff]]*8))</f>
        <v>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1504.8483131430455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1555.8753770960907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0.52440660591214117</v>
      </c>
      <c r="R41" s="1">
        <v>80</v>
      </c>
      <c r="S41" s="1">
        <v>93</v>
      </c>
      <c r="T41" s="1">
        <v>0</v>
      </c>
      <c r="U41" s="1">
        <f>Games[[#This Row],[PointsFor]]-Games[[#This Row],[PointsAgainst]]</f>
        <v>-13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0.45278997001634952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-17.903432273096985</v>
      </c>
      <c r="AB41" s="4">
        <f>Games[[#This Row],[PreGmRate]]+Games[[#This Row],[RatingChange]]</f>
        <v>1486.9448808699485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42514</v>
      </c>
      <c r="B42" s="2">
        <v>2016</v>
      </c>
      <c r="C42" s="2">
        <f>COUNTIFS(Games[Team],Games[[#This Row],[Team]],Games[Season],Games[[#This Row],[Season]],Games[Date],"&lt;=" &amp; Games[[#This Row],[Date]])</f>
        <v>4</v>
      </c>
      <c r="D42" s="2" t="s">
        <v>81</v>
      </c>
      <c r="E42" s="2" t="s">
        <v>82</v>
      </c>
      <c r="F42" s="1" t="s">
        <v>79</v>
      </c>
      <c r="G42" s="1" t="s">
        <v>60</v>
      </c>
      <c r="H42" s="1" t="s">
        <v>83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" s="2">
        <f>Games[[#This Row],[DaysOff]]-Games[[#This Row],[OppDaysOff]]</f>
        <v>-1</v>
      </c>
      <c r="L42" s="2">
        <f>Games[[#This Row],[OppDaysOff]]-Games[[#This Row],[DaysOff]]</f>
        <v>1</v>
      </c>
      <c r="M42" s="1">
        <f>MAX(-16, MIN(16, Games[[#This Row],[RestDiff]]*8))</f>
        <v>-8</v>
      </c>
      <c r="N42" s="1">
        <f>MAX(-16, MIN(16, Games[[#This Row],[OppRestDiff]]*8))</f>
        <v>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1508.7032767741825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1543.4127534719526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0.31530132494788959</v>
      </c>
      <c r="R42" s="1">
        <v>85</v>
      </c>
      <c r="S42" s="1">
        <v>79</v>
      </c>
      <c r="T42" s="1">
        <v>1</v>
      </c>
      <c r="U42" s="1">
        <f>Games[[#This Row],[PointsFor]]-Games[[#This Row],[PointsAgainst]]</f>
        <v>6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0.30726517382285856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15.862957928425043</v>
      </c>
      <c r="AB42" s="4">
        <f>Games[[#This Row],[PreGmRate]]+Games[[#This Row],[RatingChange]]</f>
        <v>1524.5662347026075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42514</v>
      </c>
      <c r="B43" s="2">
        <v>2016</v>
      </c>
      <c r="C43" s="2">
        <f>COUNTIFS(Games[Team],Games[[#This Row],[Team]],Games[Season],Games[[#This Row],[Season]],Games[Date],"&lt;=" &amp; Games[[#This Row],[Date]])</f>
        <v>4</v>
      </c>
      <c r="D43" s="2" t="s">
        <v>81</v>
      </c>
      <c r="E43" s="2" t="s">
        <v>82</v>
      </c>
      <c r="F43" s="1" t="s">
        <v>60</v>
      </c>
      <c r="G43" s="1" t="s">
        <v>79</v>
      </c>
      <c r="H43" s="1" t="s">
        <v>84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1</v>
      </c>
      <c r="L43" s="2">
        <f>Games[[#This Row],[OppDaysOff]]-Games[[#This Row],[DaysOff]]</f>
        <v>-1</v>
      </c>
      <c r="M43" s="1">
        <f>MAX(-16, MIN(16, Games[[#This Row],[RestDiff]]*8))</f>
        <v>8</v>
      </c>
      <c r="N43" s="1">
        <f>MAX(-16, MIN(16, Games[[#This Row],[OppRestDiff]]*8))</f>
        <v>-8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1543.4127534719526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1508.7032767741825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0.68469867505211046</v>
      </c>
      <c r="R43" s="1">
        <v>79</v>
      </c>
      <c r="S43" s="1">
        <v>85</v>
      </c>
      <c r="T43" s="1">
        <v>1</v>
      </c>
      <c r="U43" s="1">
        <f>Games[[#This Row],[PointsFor]]-Games[[#This Row],[PointsAgainst]]</f>
        <v>-6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0.30726517382285856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-15.862957928425043</v>
      </c>
      <c r="AB43" s="4">
        <f>Games[[#This Row],[PreGmRate]]+Games[[#This Row],[RatingChange]]</f>
        <v>1527.5497955435276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42515</v>
      </c>
      <c r="B44" s="2">
        <v>2016</v>
      </c>
      <c r="C44" s="2">
        <f>COUNTIFS(Games[Team],Games[[#This Row],[Team]],Games[Season],Games[[#This Row],[Season]],Games[Date],"&lt;=" &amp; Games[[#This Row],[Date]])</f>
        <v>4</v>
      </c>
      <c r="D44" s="2" t="s">
        <v>81</v>
      </c>
      <c r="E44" s="2" t="s">
        <v>82</v>
      </c>
      <c r="F44" s="1" t="s">
        <v>67</v>
      </c>
      <c r="G44" s="1" t="s">
        <v>40</v>
      </c>
      <c r="H44" s="1" t="s">
        <v>83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" s="2">
        <f>Games[[#This Row],[DaysOff]]-Games[[#This Row],[OppDaysOff]]</f>
        <v>-2</v>
      </c>
      <c r="L44" s="2">
        <f>Games[[#This Row],[OppDaysOff]]-Games[[#This Row],[DaysOff]]</f>
        <v>2</v>
      </c>
      <c r="M44" s="1">
        <f>MAX(-16, MIN(16, Games[[#This Row],[RestDiff]]*8))</f>
        <v>-16</v>
      </c>
      <c r="N44" s="1">
        <f>MAX(-16, MIN(16, Games[[#This Row],[OppRestDiff]]*8))</f>
        <v>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1604.1309560929212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1508.7236325847607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0.47039941038643834</v>
      </c>
      <c r="R44" s="1">
        <v>85</v>
      </c>
      <c r="S44" s="1">
        <v>78</v>
      </c>
      <c r="T44" s="1">
        <v>0</v>
      </c>
      <c r="U44" s="1">
        <f>Games[[#This Row],[PointsFor]]-Games[[#This Row],[PointsAgainst]]</f>
        <v>7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0.34284861519990179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13.690591288357806</v>
      </c>
      <c r="AB44" s="4">
        <f>Games[[#This Row],[PreGmRate]]+Games[[#This Row],[RatingChange]]</f>
        <v>1617.8215473812791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42515</v>
      </c>
      <c r="B45" s="2">
        <v>2016</v>
      </c>
      <c r="C45" s="2">
        <f>COUNTIFS(Games[Team],Games[[#This Row],[Team]],Games[Season],Games[[#This Row],[Season]],Games[Date],"&lt;=" &amp; Games[[#This Row],[Date]])</f>
        <v>4</v>
      </c>
      <c r="D45" s="2" t="s">
        <v>81</v>
      </c>
      <c r="E45" s="2" t="s">
        <v>82</v>
      </c>
      <c r="F45" s="1" t="s">
        <v>40</v>
      </c>
      <c r="G45" s="1" t="s">
        <v>67</v>
      </c>
      <c r="H45" s="1" t="s">
        <v>84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" s="2">
        <f>Games[[#This Row],[DaysOff]]-Games[[#This Row],[OppDaysOff]]</f>
        <v>2</v>
      </c>
      <c r="L45" s="2">
        <f>Games[[#This Row],[OppDaysOff]]-Games[[#This Row],[DaysOff]]</f>
        <v>-2</v>
      </c>
      <c r="M45" s="1">
        <f>MAX(-16, MIN(16, Games[[#This Row],[RestDiff]]*8))</f>
        <v>16</v>
      </c>
      <c r="N45" s="1">
        <f>MAX(-16, MIN(16, Games[[#This Row],[OppRestDiff]]*8))</f>
        <v>-16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1508.7236325847607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1604.1309560929212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0.5296005896135616</v>
      </c>
      <c r="R45" s="1">
        <v>78</v>
      </c>
      <c r="S45" s="1">
        <v>85</v>
      </c>
      <c r="T45" s="1">
        <v>0</v>
      </c>
      <c r="U45" s="1">
        <f>Games[[#This Row],[PointsFor]]-Games[[#This Row],[PointsAgainst]]</f>
        <v>-7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0.34284861519990179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-13.690591288357806</v>
      </c>
      <c r="AB45" s="4">
        <f>Games[[#This Row],[PreGmRate]]+Games[[#This Row],[RatingChange]]</f>
        <v>1495.0330412964029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42516</v>
      </c>
      <c r="B46" s="2">
        <v>2016</v>
      </c>
      <c r="C46" s="2">
        <f>COUNTIFS(Games[Team],Games[[#This Row],[Team]],Games[Season],Games[[#This Row],[Season]],Games[Date],"&lt;=" &amp; Games[[#This Row],[Date]])</f>
        <v>5</v>
      </c>
      <c r="D46" s="2" t="s">
        <v>81</v>
      </c>
      <c r="E46" s="2" t="s">
        <v>82</v>
      </c>
      <c r="F46" s="1" t="s">
        <v>63</v>
      </c>
      <c r="G46" s="1" t="s">
        <v>76</v>
      </c>
      <c r="H46" s="1" t="s">
        <v>83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6" s="2">
        <f>Games[[#This Row],[DaysOff]]-Games[[#This Row],[OppDaysOff]]</f>
        <v>-3</v>
      </c>
      <c r="L46" s="2">
        <f>Games[[#This Row],[OppDaysOff]]-Games[[#This Row],[DaysOff]]</f>
        <v>3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1573.7788093691877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1445.5956933975876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0.51752573056880702</v>
      </c>
      <c r="R46" s="1">
        <v>77</v>
      </c>
      <c r="S46" s="1">
        <v>72</v>
      </c>
      <c r="T46" s="1">
        <v>0</v>
      </c>
      <c r="U46" s="1">
        <f>Games[[#This Row],[PointsFor]]-Games[[#This Row],[PointsAgainst]]</f>
        <v>5</v>
      </c>
      <c r="V46" s="1">
        <f>IF(Games[[#This Row],[MOV]]&gt;0,1,IF(Games[[#This Row],[MOV]]=0,0.5,0))</f>
        <v>1</v>
      </c>
      <c r="W46" s="4">
        <f>((ABS(Games[[#This Row],[MOV]])+5)^0.6)/(12+0.01*(ABS(Games[[#This Row],[PreGmRate]]-Games[[#This Row],[OppPreGmRate]])))*IF(Games[[#This Row],[OT]]=1,0.9,1)</f>
        <v>0.29973816544285131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10.882350417549603</v>
      </c>
      <c r="AB46" s="4">
        <f>Games[[#This Row],[PreGmRate]]+Games[[#This Row],[RatingChange]]</f>
        <v>1584.6611597867372</v>
      </c>
      <c r="AC46" s="2">
        <f>IF(Games[[#This Row],[Type]]="R",IF(Games[[#This Row],[Result]]&gt;0.5,1,0),0)</f>
        <v>1</v>
      </c>
      <c r="AD46" s="2">
        <f>IF(Games[[#This Row],[Type]]="R",IF(Games[[#This Row],[Result]]&lt;0.5,1,0),0)</f>
        <v>0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42516</v>
      </c>
      <c r="B47" s="2">
        <v>2016</v>
      </c>
      <c r="C47" s="2">
        <f>COUNTIFS(Games[Team],Games[[#This Row],[Team]],Games[Season],Games[[#This Row],[Season]],Games[Date],"&lt;=" &amp; Games[[#This Row],[Date]])</f>
        <v>4</v>
      </c>
      <c r="D47" s="2" t="s">
        <v>81</v>
      </c>
      <c r="E47" s="2" t="s">
        <v>82</v>
      </c>
      <c r="F47" s="1" t="s">
        <v>76</v>
      </c>
      <c r="G47" s="1" t="s">
        <v>63</v>
      </c>
      <c r="H47" s="1" t="s">
        <v>84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3</v>
      </c>
      <c r="L47" s="2">
        <f>Games[[#This Row],[OppDaysOff]]-Games[[#This Row],[DaysOff]]</f>
        <v>-3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1445.5956933975876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1573.7788093691877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0.48247426943119293</v>
      </c>
      <c r="R47" s="1">
        <v>72</v>
      </c>
      <c r="S47" s="1">
        <v>77</v>
      </c>
      <c r="T47" s="1">
        <v>0</v>
      </c>
      <c r="U47" s="1">
        <f>Games[[#This Row],[PointsFor]]-Games[[#This Row],[PointsAgainst]]</f>
        <v>-5</v>
      </c>
      <c r="V47" s="1">
        <f>IF(Games[[#This Row],[MOV]]&gt;0,1,IF(Games[[#This Row],[MOV]]=0,0.5,0))</f>
        <v>0</v>
      </c>
      <c r="W47" s="4">
        <f>((ABS(Games[[#This Row],[MOV]])+5)^0.6)/(12+0.01*(ABS(Games[[#This Row],[PreGmRate]]-Games[[#This Row],[OppPreGmRate]])))*IF(Games[[#This Row],[OT]]=1,0.9,1)</f>
        <v>0.29973816544285131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-10.904042810408505</v>
      </c>
      <c r="AB47" s="4">
        <f>Games[[#This Row],[PreGmRate]]+Games[[#This Row],[RatingChange]]</f>
        <v>1434.6916505871791</v>
      </c>
      <c r="AC47" s="2">
        <f>IF(Games[[#This Row],[Type]]="R",IF(Games[[#This Row],[Result]]&gt;0.5,1,0),0)</f>
        <v>0</v>
      </c>
      <c r="AD47" s="2">
        <f>IF(Games[[#This Row],[Type]]="R",IF(Games[[#This Row],[Result]]&lt;0.5,1,0),0)</f>
        <v>1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42516</v>
      </c>
      <c r="B48" s="2">
        <v>2016</v>
      </c>
      <c r="C48" s="2">
        <f>COUNTIFS(Games[Team],Games[[#This Row],[Team]],Games[Season],Games[[#This Row],[Season]],Games[Date],"&lt;=" &amp; Games[[#This Row],[Date]])</f>
        <v>5</v>
      </c>
      <c r="D48" s="2" t="s">
        <v>81</v>
      </c>
      <c r="E48" s="2" t="s">
        <v>82</v>
      </c>
      <c r="F48" s="1" t="s">
        <v>65</v>
      </c>
      <c r="G48" s="1" t="s">
        <v>71</v>
      </c>
      <c r="H48" s="1" t="s">
        <v>83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" s="2">
        <f>Games[[#This Row],[DaysOff]]-Games[[#This Row],[OppDaysOff]]</f>
        <v>1</v>
      </c>
      <c r="L48" s="2">
        <f>Games[[#This Row],[OppDaysOff]]-Games[[#This Row],[DaysOff]]</f>
        <v>-1</v>
      </c>
      <c r="M48" s="1">
        <f>MAX(-16, MIN(16, Games[[#This Row],[RestDiff]]*8))</f>
        <v>8</v>
      </c>
      <c r="N48" s="1">
        <f>MAX(-16, MIN(16, Games[[#This Row],[OppRestDiff]]*8))</f>
        <v>-8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1460.1732248032858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1430.0613339456736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0.44568974446796411</v>
      </c>
      <c r="R48" s="1">
        <v>84</v>
      </c>
      <c r="S48" s="1">
        <v>82</v>
      </c>
      <c r="T48" s="1">
        <v>1</v>
      </c>
      <c r="U48" s="1">
        <f>Games[[#This Row],[PointsFor]]-Games[[#This Row],[PointsAgainst]]</f>
        <v>2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0.23515635335641746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9.8088057685030545</v>
      </c>
      <c r="AB48" s="4">
        <f>Games[[#This Row],[PreGmRate]]+Games[[#This Row],[RatingChange]]</f>
        <v>1469.982030571789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42516</v>
      </c>
      <c r="B49" s="2">
        <v>2016</v>
      </c>
      <c r="C49" s="2">
        <f>COUNTIFS(Games[Team],Games[[#This Row],[Team]],Games[Season],Games[[#This Row],[Season]],Games[Date],"&lt;=" &amp; Games[[#This Row],[Date]])</f>
        <v>4</v>
      </c>
      <c r="D49" s="2" t="s">
        <v>81</v>
      </c>
      <c r="E49" s="2" t="s">
        <v>82</v>
      </c>
      <c r="F49" s="1" t="s">
        <v>71</v>
      </c>
      <c r="G49" s="1" t="s">
        <v>65</v>
      </c>
      <c r="H49" s="1" t="s">
        <v>84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9" s="2">
        <f>Games[[#This Row],[DaysOff]]-Games[[#This Row],[OppDaysOff]]</f>
        <v>-1</v>
      </c>
      <c r="L49" s="2">
        <f>Games[[#This Row],[OppDaysOff]]-Games[[#This Row],[DaysOff]]</f>
        <v>1</v>
      </c>
      <c r="M49" s="1">
        <f>MAX(-16, MIN(16, Games[[#This Row],[RestDiff]]*8))</f>
        <v>-8</v>
      </c>
      <c r="N49" s="1">
        <f>MAX(-16, MIN(16, Games[[#This Row],[OppRestDiff]]*8))</f>
        <v>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1430.0613339456736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1460.1732248032858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0.55431025553203583</v>
      </c>
      <c r="R49" s="1">
        <v>82</v>
      </c>
      <c r="S49" s="1">
        <v>84</v>
      </c>
      <c r="T49" s="1">
        <v>1</v>
      </c>
      <c r="U49" s="1">
        <f>Games[[#This Row],[PointsFor]]-Games[[#This Row],[PointsAgainst]]</f>
        <v>-2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0.23515635335641746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-9.8283582052509022</v>
      </c>
      <c r="AB49" s="4">
        <f>Games[[#This Row],[PreGmRate]]+Games[[#This Row],[RatingChange]]</f>
        <v>1420.2329757404227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42517</v>
      </c>
      <c r="B50" s="2">
        <v>2016</v>
      </c>
      <c r="C50" s="2">
        <f>COUNTIFS(Games[Team],Games[[#This Row],[Team]],Games[Season],Games[[#This Row],[Season]],Games[Date],"&lt;=" &amp; Games[[#This Row],[Date]])</f>
        <v>5</v>
      </c>
      <c r="D50" s="2" t="s">
        <v>81</v>
      </c>
      <c r="E50" s="2" t="s">
        <v>82</v>
      </c>
      <c r="F50" s="1" t="s">
        <v>79</v>
      </c>
      <c r="G50" s="1" t="s">
        <v>87</v>
      </c>
      <c r="H50" s="1" t="s">
        <v>83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0" s="2">
        <f>Games[[#This Row],[DaysOff]]-Games[[#This Row],[OppDaysOff]]</f>
        <v>-3</v>
      </c>
      <c r="L50" s="2">
        <f>Games[[#This Row],[OppDaysOff]]-Games[[#This Row],[DaysOff]]</f>
        <v>3</v>
      </c>
      <c r="M50" s="1">
        <f>MAX(-16, MIN(16, Games[[#This Row],[RestDiff]]*8))</f>
        <v>-16</v>
      </c>
      <c r="N50" s="1">
        <f>MAX(-16, MIN(16, Games[[#This Row],[OppRestDiff]]*8))</f>
        <v>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1524.5662347026075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1519.7914008214452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0.34518697193585984</v>
      </c>
      <c r="R50" s="1">
        <v>102</v>
      </c>
      <c r="S50" s="1">
        <v>93</v>
      </c>
      <c r="T50" s="1">
        <v>0</v>
      </c>
      <c r="U50" s="1">
        <f>Games[[#This Row],[PointsFor]]-Games[[#This Row],[PointsAgainst]]</f>
        <v>9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0.40436255711558539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19.9248357521613</v>
      </c>
      <c r="AB50" s="4">
        <f>Games[[#This Row],[PreGmRate]]+Games[[#This Row],[RatingChange]]</f>
        <v>1544.4910704547688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42517</v>
      </c>
      <c r="B51" s="2">
        <v>2016</v>
      </c>
      <c r="C51" s="2">
        <f>COUNTIFS(Games[Team],Games[[#This Row],[Team]],Games[Season],Games[[#This Row],[Season]],Games[Date],"&lt;=" &amp; Games[[#This Row],[Date]])</f>
        <v>5</v>
      </c>
      <c r="D51" s="2" t="s">
        <v>81</v>
      </c>
      <c r="E51" s="2" t="s">
        <v>82</v>
      </c>
      <c r="F51" s="1" t="s">
        <v>87</v>
      </c>
      <c r="G51" s="1" t="s">
        <v>79</v>
      </c>
      <c r="H51" s="1" t="s">
        <v>84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5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" s="2">
        <f>Games[[#This Row],[DaysOff]]-Games[[#This Row],[OppDaysOff]]</f>
        <v>3</v>
      </c>
      <c r="L51" s="2">
        <f>Games[[#This Row],[OppDaysOff]]-Games[[#This Row],[DaysOff]]</f>
        <v>-3</v>
      </c>
      <c r="M51" s="1">
        <f>MAX(-16, MIN(16, Games[[#This Row],[RestDiff]]*8))</f>
        <v>16</v>
      </c>
      <c r="N51" s="1">
        <f>MAX(-16, MIN(16, Games[[#This Row],[OppRestDiff]]*8))</f>
        <v>-16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1519.7914008214452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1524.5662347026075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0.65481302806414021</v>
      </c>
      <c r="R51" s="1">
        <v>93</v>
      </c>
      <c r="S51" s="1">
        <v>102</v>
      </c>
      <c r="T51" s="1">
        <v>0</v>
      </c>
      <c r="U51" s="1">
        <f>Games[[#This Row],[PointsFor]]-Games[[#This Row],[PointsAgainst]]</f>
        <v>-9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0.40436255711558539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-19.9248357521613</v>
      </c>
      <c r="AB51" s="4">
        <f>Games[[#This Row],[PreGmRate]]+Games[[#This Row],[RatingChange]]</f>
        <v>1499.866565069284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42517</v>
      </c>
      <c r="B52" s="2">
        <v>2016</v>
      </c>
      <c r="C52" s="2">
        <f>COUNTIFS(Games[Team],Games[[#This Row],[Team]],Games[Season],Games[[#This Row],[Season]],Games[Date],"&lt;=" &amp; Games[[#This Row],[Date]])</f>
        <v>4</v>
      </c>
      <c r="D52" s="2" t="s">
        <v>81</v>
      </c>
      <c r="E52" s="2" t="s">
        <v>82</v>
      </c>
      <c r="F52" s="1" t="s">
        <v>69</v>
      </c>
      <c r="G52" s="1" t="s">
        <v>67</v>
      </c>
      <c r="H52" s="1" t="s">
        <v>83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6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" s="2">
        <f>Games[[#This Row],[DaysOff]]-Games[[#This Row],[OppDaysOff]]</f>
        <v>5</v>
      </c>
      <c r="L52" s="2">
        <f>Games[[#This Row],[OppDaysOff]]-Games[[#This Row],[DaysOff]]</f>
        <v>-5</v>
      </c>
      <c r="M52" s="1">
        <f>MAX(-16, MIN(16, Games[[#This Row],[RestDiff]]*8))</f>
        <v>16</v>
      </c>
      <c r="N52" s="1">
        <f>MAX(-16, MIN(16, Games[[#This Row],[OppRestDiff]]*8))</f>
        <v>-16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1543.6066246939965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1617.8215473812791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0.32595193298900732</v>
      </c>
      <c r="R52" s="1">
        <v>71</v>
      </c>
      <c r="S52" s="1">
        <v>74</v>
      </c>
      <c r="T52" s="1">
        <v>0</v>
      </c>
      <c r="U52" s="1">
        <f>Games[[#This Row],[PointsFor]]-Games[[#This Row],[PointsAgainst]]</f>
        <v>-3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0.2732821748658093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-6.7163947274308651</v>
      </c>
      <c r="AB52" s="4">
        <f>Games[[#This Row],[PreGmRate]]+Games[[#This Row],[RatingChange]]</f>
        <v>1536.8902299665656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42517</v>
      </c>
      <c r="B53" s="2">
        <v>2016</v>
      </c>
      <c r="C53" s="2">
        <f>COUNTIFS(Games[Team],Games[[#This Row],[Team]],Games[Season],Games[[#This Row],[Season]],Games[Date],"&lt;=" &amp; Games[[#This Row],[Date]])</f>
        <v>5</v>
      </c>
      <c r="D53" s="2" t="s">
        <v>81</v>
      </c>
      <c r="E53" s="2" t="s">
        <v>82</v>
      </c>
      <c r="F53" s="1" t="s">
        <v>67</v>
      </c>
      <c r="G53" s="1" t="s">
        <v>69</v>
      </c>
      <c r="H53" s="1" t="s">
        <v>84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3" s="2">
        <f>Games[[#This Row],[DaysOff]]-Games[[#This Row],[OppDaysOff]]</f>
        <v>-5</v>
      </c>
      <c r="L53" s="2">
        <f>Games[[#This Row],[OppDaysOff]]-Games[[#This Row],[DaysOff]]</f>
        <v>5</v>
      </c>
      <c r="M53" s="1">
        <f>MAX(-16, MIN(16, Games[[#This Row],[RestDiff]]*8))</f>
        <v>-16</v>
      </c>
      <c r="N53" s="1">
        <f>MAX(-16, MIN(16, Games[[#This Row],[OppRestDiff]]*8))</f>
        <v>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1617.8215473812791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1543.6066246939965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0.67404806701099274</v>
      </c>
      <c r="R53" s="1">
        <v>74</v>
      </c>
      <c r="S53" s="1">
        <v>71</v>
      </c>
      <c r="T53" s="1">
        <v>0</v>
      </c>
      <c r="U53" s="1">
        <f>Games[[#This Row],[PointsFor]]-Games[[#This Row],[PointsAgainst]]</f>
        <v>3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0.2732821748658093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6.7030331994585204</v>
      </c>
      <c r="AB53" s="4">
        <f>Games[[#This Row],[PreGmRate]]+Games[[#This Row],[RatingChange]]</f>
        <v>1624.5245805807376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42517</v>
      </c>
      <c r="B54" s="2">
        <v>2016</v>
      </c>
      <c r="C54" s="2">
        <f>COUNTIFS(Games[Team],Games[[#This Row],[Team]],Games[Season],Games[[#This Row],[Season]],Games[Date],"&lt;=" &amp; Games[[#This Row],[Date]])</f>
        <v>5</v>
      </c>
      <c r="D54" s="2" t="s">
        <v>81</v>
      </c>
      <c r="E54" s="2" t="s">
        <v>82</v>
      </c>
      <c r="F54" s="1" t="s">
        <v>77</v>
      </c>
      <c r="G54" s="1" t="s">
        <v>74</v>
      </c>
      <c r="H54" s="1" t="s">
        <v>83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4" s="2">
        <f>Games[[#This Row],[DaysOff]]-Games[[#This Row],[OppDaysOff]]</f>
        <v>-3</v>
      </c>
      <c r="L54" s="2">
        <f>Games[[#This Row],[OppDaysOff]]-Games[[#This Row],[DaysOff]]</f>
        <v>3</v>
      </c>
      <c r="M54" s="1">
        <f>MAX(-16, MIN(16, Games[[#This Row],[RestDiff]]*8))</f>
        <v>-16</v>
      </c>
      <c r="N54" s="1">
        <f>MAX(-16, MIN(16, Games[[#This Row],[OppRestDiff]]*8))</f>
        <v>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1486.9448808699485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1375.8567024659581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0.49293179139786131</v>
      </c>
      <c r="R54" s="1">
        <v>78</v>
      </c>
      <c r="S54" s="1">
        <v>79</v>
      </c>
      <c r="T54" s="1">
        <v>0</v>
      </c>
      <c r="U54" s="1">
        <f>Games[[#This Row],[PointsFor]]-Games[[#This Row],[PointsAgainst]]</f>
        <v>-1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0.22349038759166062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-8.2899551629609114</v>
      </c>
      <c r="AB54" s="4">
        <f>Games[[#This Row],[PreGmRate]]+Games[[#This Row],[RatingChange]]</f>
        <v>1478.6549257069876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42517</v>
      </c>
      <c r="B55" s="2">
        <v>2016</v>
      </c>
      <c r="C55" s="2">
        <f>COUNTIFS(Games[Team],Games[[#This Row],[Team]],Games[Season],Games[[#This Row],[Season]],Games[Date],"&lt;=" &amp; Games[[#This Row],[Date]])</f>
        <v>4</v>
      </c>
      <c r="D55" s="2" t="s">
        <v>81</v>
      </c>
      <c r="E55" s="2" t="s">
        <v>82</v>
      </c>
      <c r="F55" s="1" t="s">
        <v>74</v>
      </c>
      <c r="G55" s="1" t="s">
        <v>77</v>
      </c>
      <c r="H55" s="1" t="s">
        <v>84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5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3</v>
      </c>
      <c r="L55" s="2">
        <f>Games[[#This Row],[OppDaysOff]]-Games[[#This Row],[DaysOff]]</f>
        <v>-3</v>
      </c>
      <c r="M55" s="1">
        <f>MAX(-16, MIN(16, Games[[#This Row],[RestDiff]]*8))</f>
        <v>16</v>
      </c>
      <c r="N55" s="1">
        <f>MAX(-16, MIN(16, Games[[#This Row],[OppRestDiff]]*8))</f>
        <v>-16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1375.8567024659581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1486.9448808699485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0.50706820860213875</v>
      </c>
      <c r="R55" s="1">
        <v>79</v>
      </c>
      <c r="S55" s="1">
        <v>78</v>
      </c>
      <c r="T55" s="1">
        <v>0</v>
      </c>
      <c r="U55" s="1">
        <f>Games[[#This Row],[PointsFor]]-Games[[#This Row],[PointsAgainst]]</f>
        <v>1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0.22349038759166062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8.306479990528274</v>
      </c>
      <c r="AB55" s="4">
        <f>Games[[#This Row],[PreGmRate]]+Games[[#This Row],[RatingChange]]</f>
        <v>1384.1631824564863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42518</v>
      </c>
      <c r="B56" s="2">
        <v>2016</v>
      </c>
      <c r="C56" s="2">
        <f>COUNTIFS(Games[Team],Games[[#This Row],[Team]],Games[Season],Games[[#This Row],[Season]],Games[Date],"&lt;=" &amp; Games[[#This Row],[Date]])</f>
        <v>5</v>
      </c>
      <c r="D56" s="2" t="s">
        <v>81</v>
      </c>
      <c r="E56" s="2" t="s">
        <v>82</v>
      </c>
      <c r="F56" s="1" t="s">
        <v>76</v>
      </c>
      <c r="G56" s="1" t="s">
        <v>71</v>
      </c>
      <c r="H56" s="1" t="s">
        <v>83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1434.6916505871791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1420.2329757404227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0.40123736964510448</v>
      </c>
      <c r="R56" s="1">
        <v>81</v>
      </c>
      <c r="S56" s="1">
        <v>93</v>
      </c>
      <c r="T56" s="1">
        <v>0</v>
      </c>
      <c r="U56" s="1">
        <f>Games[[#This Row],[PointsFor]]-Games[[#This Row],[PointsAgainst]]</f>
        <v>-12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0.45069901761862391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75.25</v>
      </c>
      <c r="Z56" s="4">
        <f>Games[[#This Row],[K]]*Games[[#This Row],[POMult]]</f>
        <v>75.25</v>
      </c>
      <c r="AA56" s="4">
        <f>(Games[[#This Row],[Keff]]*Games[[#This Row],[MOVMult]])*(Games[[#This Row],[Result]]-Games[[#This Row],[ExpectedWin%]])</f>
        <v>-13.608005946902427</v>
      </c>
      <c r="AB56" s="4">
        <f>Games[[#This Row],[PreGmRate]]+Games[[#This Row],[RatingChange]]</f>
        <v>1421.0836446402766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42518</v>
      </c>
      <c r="B57" s="2">
        <v>2016</v>
      </c>
      <c r="C57" s="2">
        <f>COUNTIFS(Games[Team],Games[[#This Row],[Team]],Games[Season],Games[[#This Row],[Season]],Games[Date],"&lt;=" &amp; Games[[#This Row],[Date]])</f>
        <v>5</v>
      </c>
      <c r="D57" s="2" t="s">
        <v>81</v>
      </c>
      <c r="E57" s="2" t="s">
        <v>82</v>
      </c>
      <c r="F57" s="1" t="s">
        <v>71</v>
      </c>
      <c r="G57" s="1" t="s">
        <v>76</v>
      </c>
      <c r="H57" s="1" t="s">
        <v>84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1420.2329757404227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1434.6916505871791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0.59876263035489552</v>
      </c>
      <c r="R57" s="1">
        <v>93</v>
      </c>
      <c r="S57" s="1">
        <v>81</v>
      </c>
      <c r="T57" s="1">
        <v>0</v>
      </c>
      <c r="U57" s="1">
        <f>Games[[#This Row],[PointsFor]]-Games[[#This Row],[PointsAgainst]]</f>
        <v>12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0.45069901761862391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13.608005946902427</v>
      </c>
      <c r="AB57" s="4">
        <f>Games[[#This Row],[PreGmRate]]+Games[[#This Row],[RatingChange]]</f>
        <v>1433.8409816873252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42519</v>
      </c>
      <c r="B58" s="2">
        <v>2016</v>
      </c>
      <c r="C58" s="2">
        <f>COUNTIFS(Games[Team],Games[[#This Row],[Team]],Games[Season],Games[[#This Row],[Season]],Games[Date],"&lt;=" &amp; Games[[#This Row],[Date]])</f>
        <v>5</v>
      </c>
      <c r="D58" s="2" t="s">
        <v>81</v>
      </c>
      <c r="E58" s="2" t="s">
        <v>82</v>
      </c>
      <c r="F58" s="1" t="s">
        <v>69</v>
      </c>
      <c r="G58" s="1" t="s">
        <v>79</v>
      </c>
      <c r="H58" s="1" t="s">
        <v>83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0</v>
      </c>
      <c r="L58" s="2">
        <f>Games[[#This Row],[OppDaysOff]]-Games[[#This Row],[DaysOff]]</f>
        <v>0</v>
      </c>
      <c r="M58" s="1">
        <f>MAX(-16, MIN(16, Games[[#This Row],[RestDiff]]*8))</f>
        <v>0</v>
      </c>
      <c r="N58" s="1">
        <f>MAX(-16, MIN(16, Games[[#This Row],[OppRestDiff]]*8))</f>
        <v>0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1536.8902299665656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1544.4910704547688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0.37114758116188162</v>
      </c>
      <c r="R58" s="1">
        <v>76</v>
      </c>
      <c r="S58" s="1">
        <v>85</v>
      </c>
      <c r="T58" s="1">
        <v>0</v>
      </c>
      <c r="U58" s="1">
        <f>Games[[#This Row],[PointsFor]]-Games[[#This Row],[PointsAgainst]]</f>
        <v>-9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0.40341627485100318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-11.26695483957457</v>
      </c>
      <c r="AB58" s="4">
        <f>Games[[#This Row],[PreGmRate]]+Games[[#This Row],[RatingChange]]</f>
        <v>1525.6232751269911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42519</v>
      </c>
      <c r="B59" s="2">
        <v>2016</v>
      </c>
      <c r="C59" s="2">
        <f>COUNTIFS(Games[Team],Games[[#This Row],[Team]],Games[Season],Games[[#This Row],[Season]],Games[Date],"&lt;=" &amp; Games[[#This Row],[Date]])</f>
        <v>6</v>
      </c>
      <c r="D59" s="2" t="s">
        <v>81</v>
      </c>
      <c r="E59" s="2" t="s">
        <v>82</v>
      </c>
      <c r="F59" s="1" t="s">
        <v>79</v>
      </c>
      <c r="G59" s="1" t="s">
        <v>69</v>
      </c>
      <c r="H59" s="1" t="s">
        <v>84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0</v>
      </c>
      <c r="L59" s="2">
        <f>Games[[#This Row],[OppDaysOff]]-Games[[#This Row],[DaysOff]]</f>
        <v>0</v>
      </c>
      <c r="M59" s="1">
        <f>MAX(-16, MIN(16, Games[[#This Row],[RestDiff]]*8))</f>
        <v>0</v>
      </c>
      <c r="N59" s="1">
        <f>MAX(-16, MIN(16, Games[[#This Row],[OppRestDiff]]*8))</f>
        <v>0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1544.4910704547688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1536.8902299665656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0.62885241883811838</v>
      </c>
      <c r="R59" s="1">
        <v>85</v>
      </c>
      <c r="S59" s="1">
        <v>76</v>
      </c>
      <c r="T59" s="1">
        <v>0</v>
      </c>
      <c r="U59" s="1">
        <f>Games[[#This Row],[PointsFor]]-Games[[#This Row],[PointsAgainst]]</f>
        <v>9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0.40341627485100318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75.099999999999994</v>
      </c>
      <c r="Z59" s="4">
        <f>Games[[#This Row],[K]]*Games[[#This Row],[POMult]]</f>
        <v>75.099999999999994</v>
      </c>
      <c r="AA59" s="4">
        <f>(Games[[#This Row],[Keff]]*Games[[#This Row],[MOVMult]])*(Games[[#This Row],[Result]]-Games[[#This Row],[ExpectedWin%]])</f>
        <v>11.244495793382727</v>
      </c>
      <c r="AB59" s="4">
        <f>Games[[#This Row],[PreGmRate]]+Games[[#This Row],[RatingChange]]</f>
        <v>1555.7355662481516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42519</v>
      </c>
      <c r="B60" s="2">
        <v>2016</v>
      </c>
      <c r="C60" s="2">
        <f>COUNTIFS(Games[Team],Games[[#This Row],[Team]],Games[Season],Games[[#This Row],[Season]],Games[Date],"&lt;=" &amp; Games[[#This Row],[Date]])</f>
        <v>6</v>
      </c>
      <c r="D60" s="2" t="s">
        <v>81</v>
      </c>
      <c r="E60" s="2" t="s">
        <v>82</v>
      </c>
      <c r="F60" s="1" t="s">
        <v>77</v>
      </c>
      <c r="G60" s="1" t="s">
        <v>87</v>
      </c>
      <c r="H60" s="1" t="s">
        <v>83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1478.6549257069876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1499.866565069284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0.35305284155180022</v>
      </c>
      <c r="R60" s="1">
        <v>92</v>
      </c>
      <c r="S60" s="1">
        <v>87</v>
      </c>
      <c r="T60" s="1">
        <v>0</v>
      </c>
      <c r="U60" s="1">
        <f>Games[[#This Row],[PointsFor]]-Games[[#This Row],[PointsAgainst]]</f>
        <v>5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0.32599359334749262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15.838637229524721</v>
      </c>
      <c r="AB60" s="4">
        <f>Games[[#This Row],[PreGmRate]]+Games[[#This Row],[RatingChange]]</f>
        <v>1494.4935629365123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42519</v>
      </c>
      <c r="B61" s="2">
        <v>2016</v>
      </c>
      <c r="C61" s="2">
        <f>COUNTIFS(Games[Team],Games[[#This Row],[Team]],Games[Season],Games[[#This Row],[Season]],Games[Date],"&lt;=" &amp; Games[[#This Row],[Date]])</f>
        <v>6</v>
      </c>
      <c r="D61" s="2" t="s">
        <v>81</v>
      </c>
      <c r="E61" s="2" t="s">
        <v>82</v>
      </c>
      <c r="F61" s="1" t="s">
        <v>87</v>
      </c>
      <c r="G61" s="1" t="s">
        <v>77</v>
      </c>
      <c r="H61" s="1" t="s">
        <v>84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1499.866565069284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1478.6549257069876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0.64694715844819972</v>
      </c>
      <c r="R61" s="1">
        <v>87</v>
      </c>
      <c r="S61" s="1">
        <v>92</v>
      </c>
      <c r="T61" s="1">
        <v>0</v>
      </c>
      <c r="U61" s="1">
        <f>Games[[#This Row],[PointsFor]]-Games[[#This Row],[PointsAgainst]]</f>
        <v>-5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0.32599359334749262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75.099999999999994</v>
      </c>
      <c r="Z61" s="4">
        <f>Games[[#This Row],[K]]*Games[[#This Row],[POMult]]</f>
        <v>75.099999999999994</v>
      </c>
      <c r="AA61" s="4">
        <f>(Games[[#This Row],[Keff]]*Games[[#This Row],[MOVMult]])*(Games[[#This Row],[Result]]-Games[[#This Row],[ExpectedWin%]])</f>
        <v>-15.838637229524718</v>
      </c>
      <c r="AB61" s="4">
        <f>Games[[#This Row],[PreGmRate]]+Games[[#This Row],[RatingChange]]</f>
        <v>1484.0279278397593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42519</v>
      </c>
      <c r="B62" s="2">
        <v>2016</v>
      </c>
      <c r="C62" s="2">
        <f>COUNTIFS(Games[Team],Games[[#This Row],[Team]],Games[Season],Games[[#This Row],[Season]],Games[Date],"&lt;=" &amp; Games[[#This Row],[Date]])</f>
        <v>6</v>
      </c>
      <c r="D62" s="2" t="s">
        <v>81</v>
      </c>
      <c r="E62" s="2" t="s">
        <v>82</v>
      </c>
      <c r="F62" s="1" t="s">
        <v>65</v>
      </c>
      <c r="G62" s="1" t="s">
        <v>40</v>
      </c>
      <c r="H62" s="1" t="s">
        <v>83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2" s="2">
        <f>Games[[#This Row],[DaysOff]]-Games[[#This Row],[OppDaysOff]]</f>
        <v>-1</v>
      </c>
      <c r="L62" s="2">
        <f>Games[[#This Row],[OppDaysOff]]-Games[[#This Row],[DaysOff]]</f>
        <v>1</v>
      </c>
      <c r="M62" s="1">
        <f>MAX(-16, MIN(16, Games[[#This Row],[RestDiff]]*8))</f>
        <v>-8</v>
      </c>
      <c r="N62" s="1">
        <f>MAX(-16, MIN(16, Games[[#This Row],[OppRestDiff]]*8))</f>
        <v>8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1469.982030571789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1495.0330412964029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0.32742568824945917</v>
      </c>
      <c r="R62" s="1">
        <v>77</v>
      </c>
      <c r="S62" s="1">
        <v>93</v>
      </c>
      <c r="T62" s="1">
        <v>0</v>
      </c>
      <c r="U62" s="1">
        <f>Games[[#This Row],[PointsFor]]-Games[[#This Row],[PointsAgainst]]</f>
        <v>-16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0.50719784996426531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-12.471827343249981</v>
      </c>
      <c r="AB62" s="4">
        <f>Games[[#This Row],[PreGmRate]]+Games[[#This Row],[RatingChange]]</f>
        <v>1457.510203228539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42519</v>
      </c>
      <c r="B63" s="2">
        <v>2016</v>
      </c>
      <c r="C63" s="2">
        <f>COUNTIFS(Games[Team],Games[[#This Row],[Team]],Games[Season],Games[[#This Row],[Season]],Games[Date],"&lt;=" &amp; Games[[#This Row],[Date]])</f>
        <v>5</v>
      </c>
      <c r="D63" s="2" t="s">
        <v>81</v>
      </c>
      <c r="E63" s="2" t="s">
        <v>82</v>
      </c>
      <c r="F63" s="1" t="s">
        <v>40</v>
      </c>
      <c r="G63" s="1" t="s">
        <v>65</v>
      </c>
      <c r="H63" s="1" t="s">
        <v>84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3" s="2">
        <f>Games[[#This Row],[DaysOff]]-Games[[#This Row],[OppDaysOff]]</f>
        <v>1</v>
      </c>
      <c r="L63" s="2">
        <f>Games[[#This Row],[OppDaysOff]]-Games[[#This Row],[DaysOff]]</f>
        <v>-1</v>
      </c>
      <c r="M63" s="1">
        <f>MAX(-16, MIN(16, Games[[#This Row],[RestDiff]]*8))</f>
        <v>8</v>
      </c>
      <c r="N63" s="1">
        <f>MAX(-16, MIN(16, Games[[#This Row],[OppRestDiff]]*8))</f>
        <v>-8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1495.0330412964029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1469.982030571789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0.67257431175054083</v>
      </c>
      <c r="R63" s="1">
        <v>93</v>
      </c>
      <c r="S63" s="1">
        <v>77</v>
      </c>
      <c r="T63" s="1">
        <v>0</v>
      </c>
      <c r="U63" s="1">
        <f>Games[[#This Row],[PointsFor]]-Games[[#This Row],[PointsAgainst]]</f>
        <v>16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0.50719784996426531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12.49673778401546</v>
      </c>
      <c r="AB63" s="4">
        <f>Games[[#This Row],[PreGmRate]]+Games[[#This Row],[RatingChange]]</f>
        <v>1507.5297790804184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42521</v>
      </c>
      <c r="B64" s="2">
        <v>2016</v>
      </c>
      <c r="C64" s="2">
        <f>COUNTIFS(Games[Team],Games[[#This Row],[Team]],Games[Season],Games[[#This Row],[Season]],Games[Date],"&lt;=" &amp; Games[[#This Row],[Date]])</f>
        <v>6</v>
      </c>
      <c r="D64" s="2" t="s">
        <v>81</v>
      </c>
      <c r="E64" s="2" t="s">
        <v>82</v>
      </c>
      <c r="F64" s="1" t="s">
        <v>67</v>
      </c>
      <c r="G64" s="1" t="s">
        <v>60</v>
      </c>
      <c r="H64" s="1" t="s">
        <v>83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4" s="2">
        <f>Games[[#This Row],[DaysOff]]-Games[[#This Row],[OppDaysOff]]</f>
        <v>-3</v>
      </c>
      <c r="L64" s="2">
        <f>Games[[#This Row],[OppDaysOff]]-Games[[#This Row],[DaysOff]]</f>
        <v>3</v>
      </c>
      <c r="M64" s="1">
        <f>MAX(-16, MIN(16, Games[[#This Row],[RestDiff]]*8))</f>
        <v>-16</v>
      </c>
      <c r="N64" s="1">
        <f>MAX(-16, MIN(16, Games[[#This Row],[OppRestDiff]]*8))</f>
        <v>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1624.5245805807376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1527.5497955435276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0.47264784819333383</v>
      </c>
      <c r="R64" s="1">
        <v>79</v>
      </c>
      <c r="S64" s="1">
        <v>69</v>
      </c>
      <c r="T64" s="1">
        <v>0</v>
      </c>
      <c r="U64" s="1">
        <f>Games[[#This Row],[PointsFor]]-Games[[#This Row],[PointsAgainst]]</f>
        <v>10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0.39149229812064029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15.504718367807202</v>
      </c>
      <c r="AB64" s="4">
        <f>Games[[#This Row],[PreGmRate]]+Games[[#This Row],[RatingChange]]</f>
        <v>1640.0292989485449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42521</v>
      </c>
      <c r="B65" s="2">
        <v>2016</v>
      </c>
      <c r="C65" s="2">
        <f>COUNTIFS(Games[Team],Games[[#This Row],[Team]],Games[Season],Games[[#This Row],[Season]],Games[Date],"&lt;=" &amp; Games[[#This Row],[Date]])</f>
        <v>5</v>
      </c>
      <c r="D65" s="2" t="s">
        <v>81</v>
      </c>
      <c r="E65" s="2" t="s">
        <v>82</v>
      </c>
      <c r="F65" s="1" t="s">
        <v>60</v>
      </c>
      <c r="G65" s="1" t="s">
        <v>67</v>
      </c>
      <c r="H65" s="1" t="s">
        <v>84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6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5" s="2">
        <f>Games[[#This Row],[DaysOff]]-Games[[#This Row],[OppDaysOff]]</f>
        <v>3</v>
      </c>
      <c r="L65" s="2">
        <f>Games[[#This Row],[OppDaysOff]]-Games[[#This Row],[DaysOff]]</f>
        <v>-3</v>
      </c>
      <c r="M65" s="1">
        <f>MAX(-16, MIN(16, Games[[#This Row],[RestDiff]]*8))</f>
        <v>16</v>
      </c>
      <c r="N65" s="1">
        <f>MAX(-16, MIN(16, Games[[#This Row],[OppRestDiff]]*8))</f>
        <v>-16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1527.5497955435276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1624.5245805807376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0.52735215180666628</v>
      </c>
      <c r="R65" s="1">
        <v>69</v>
      </c>
      <c r="S65" s="1">
        <v>79</v>
      </c>
      <c r="T65" s="1">
        <v>0</v>
      </c>
      <c r="U65" s="1">
        <f>Games[[#This Row],[PointsFor]]-Games[[#This Row],[PointsAgainst]]</f>
        <v>-10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0.39149229812064029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-15.535686513681656</v>
      </c>
      <c r="AB65" s="4">
        <f>Games[[#This Row],[PreGmRate]]+Games[[#This Row],[RatingChange]]</f>
        <v>1512.0141090298459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42521</v>
      </c>
      <c r="B66" s="2">
        <v>2016</v>
      </c>
      <c r="C66" s="2">
        <f>COUNTIFS(Games[Team],Games[[#This Row],[Team]],Games[Season],Games[[#This Row],[Season]],Games[Date],"&lt;=" &amp; Games[[#This Row],[Date]])</f>
        <v>6</v>
      </c>
      <c r="D66" s="2" t="s">
        <v>81</v>
      </c>
      <c r="E66" s="2" t="s">
        <v>82</v>
      </c>
      <c r="F66" s="1" t="s">
        <v>76</v>
      </c>
      <c r="G66" s="1" t="s">
        <v>40</v>
      </c>
      <c r="H66" s="1" t="s">
        <v>83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1</v>
      </c>
      <c r="L66" s="2">
        <f>Games[[#This Row],[OppDaysOff]]-Games[[#This Row],[DaysOff]]</f>
        <v>-1</v>
      </c>
      <c r="M66" s="1">
        <f>MAX(-16, MIN(16, Games[[#This Row],[RestDiff]]*8))</f>
        <v>8</v>
      </c>
      <c r="N66" s="1">
        <f>MAX(-16, MIN(16, Games[[#This Row],[OppRestDiff]]*8))</f>
        <v>-8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1421.0836446402766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1507.5297790804184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0.29130314307707467</v>
      </c>
      <c r="R66" s="1">
        <v>90</v>
      </c>
      <c r="S66" s="1">
        <v>99</v>
      </c>
      <c r="T66" s="1">
        <v>0</v>
      </c>
      <c r="U66" s="1">
        <f>Games[[#This Row],[PointsFor]]-Games[[#This Row],[PointsAgainst]]</f>
        <v>-9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0.37869120170251419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-8.284576692099419</v>
      </c>
      <c r="AB66" s="4">
        <f>Games[[#This Row],[PreGmRate]]+Games[[#This Row],[RatingChange]]</f>
        <v>1412.7990679481773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42521</v>
      </c>
      <c r="B67" s="2">
        <v>2016</v>
      </c>
      <c r="C67" s="2">
        <f>COUNTIFS(Games[Team],Games[[#This Row],[Team]],Games[Season],Games[[#This Row],[Season]],Games[Date],"&lt;=" &amp; Games[[#This Row],[Date]])</f>
        <v>6</v>
      </c>
      <c r="D67" s="2" t="s">
        <v>81</v>
      </c>
      <c r="E67" s="2" t="s">
        <v>82</v>
      </c>
      <c r="F67" s="1" t="s">
        <v>40</v>
      </c>
      <c r="G67" s="1" t="s">
        <v>76</v>
      </c>
      <c r="H67" s="1" t="s">
        <v>84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7" s="2">
        <f>Games[[#This Row],[DaysOff]]-Games[[#This Row],[OppDaysOff]]</f>
        <v>-1</v>
      </c>
      <c r="L67" s="2">
        <f>Games[[#This Row],[OppDaysOff]]-Games[[#This Row],[DaysOff]]</f>
        <v>1</v>
      </c>
      <c r="M67" s="1">
        <f>MAX(-16, MIN(16, Games[[#This Row],[RestDiff]]*8))</f>
        <v>-8</v>
      </c>
      <c r="N67" s="1">
        <f>MAX(-16, MIN(16, Games[[#This Row],[OppRestDiff]]*8))</f>
        <v>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1507.5297790804184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1421.0836446402766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0.70869685692292539</v>
      </c>
      <c r="R67" s="1">
        <v>99</v>
      </c>
      <c r="S67" s="1">
        <v>90</v>
      </c>
      <c r="T67" s="1">
        <v>0</v>
      </c>
      <c r="U67" s="1">
        <f>Games[[#This Row],[PointsFor]]-Games[[#This Row],[PointsAgainst]]</f>
        <v>9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0.37869120170251419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8.284576692099419</v>
      </c>
      <c r="AB67" s="4">
        <f>Games[[#This Row],[PreGmRate]]+Games[[#This Row],[RatingChange]]</f>
        <v>1515.8143557725177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42522</v>
      </c>
      <c r="B68" s="2">
        <v>2016</v>
      </c>
      <c r="C68" s="2">
        <f>COUNTIFS(Games[Team],Games[[#This Row],[Team]],Games[Season],Games[[#This Row],[Season]],Games[Date],"&lt;=" &amp; Games[[#This Row],[Date]])</f>
        <v>6</v>
      </c>
      <c r="D68" s="2" t="s">
        <v>81</v>
      </c>
      <c r="E68" s="2" t="s">
        <v>82</v>
      </c>
      <c r="F68" s="1" t="s">
        <v>71</v>
      </c>
      <c r="G68" s="1" t="s">
        <v>69</v>
      </c>
      <c r="H68" s="1" t="s">
        <v>83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8" s="2">
        <f>Games[[#This Row],[DaysOff]]-Games[[#This Row],[OppDaysOff]]</f>
        <v>1</v>
      </c>
      <c r="L68" s="2">
        <f>Games[[#This Row],[OppDaysOff]]-Games[[#This Row],[DaysOff]]</f>
        <v>-1</v>
      </c>
      <c r="M68" s="1">
        <f>MAX(-16, MIN(16, Games[[#This Row],[RestDiff]]*8))</f>
        <v>8</v>
      </c>
      <c r="N68" s="1">
        <f>MAX(-16, MIN(16, Games[[#This Row],[OppRestDiff]]*8))</f>
        <v>-8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1433.8409816873252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1525.6232751269911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0.28500255634978544</v>
      </c>
      <c r="R68" s="1">
        <v>75</v>
      </c>
      <c r="S68" s="1">
        <v>85</v>
      </c>
      <c r="T68" s="1">
        <v>0</v>
      </c>
      <c r="U68" s="1">
        <f>Games[[#This Row],[PointsFor]]-Games[[#This Row],[PointsAgainst]]</f>
        <v>-10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0.39306595374265829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-8.4130626024673809</v>
      </c>
      <c r="AB68" s="4">
        <f>Games[[#This Row],[PreGmRate]]+Games[[#This Row],[RatingChange]]</f>
        <v>1425.4279190848579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42522</v>
      </c>
      <c r="B69" s="2">
        <v>2016</v>
      </c>
      <c r="C69" s="2">
        <f>COUNTIFS(Games[Team],Games[[#This Row],[Team]],Games[Season],Games[[#This Row],[Season]],Games[Date],"&lt;=" &amp; Games[[#This Row],[Date]])</f>
        <v>6</v>
      </c>
      <c r="D69" s="2" t="s">
        <v>81</v>
      </c>
      <c r="E69" s="2" t="s">
        <v>82</v>
      </c>
      <c r="F69" s="1" t="s">
        <v>69</v>
      </c>
      <c r="G69" s="1" t="s">
        <v>71</v>
      </c>
      <c r="H69" s="1" t="s">
        <v>84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9" s="2">
        <f>Games[[#This Row],[DaysOff]]-Games[[#This Row],[OppDaysOff]]</f>
        <v>-1</v>
      </c>
      <c r="L69" s="2">
        <f>Games[[#This Row],[OppDaysOff]]-Games[[#This Row],[DaysOff]]</f>
        <v>1</v>
      </c>
      <c r="M69" s="1">
        <f>MAX(-16, MIN(16, Games[[#This Row],[RestDiff]]*8))</f>
        <v>-8</v>
      </c>
      <c r="N69" s="1">
        <f>MAX(-16, MIN(16, Games[[#This Row],[OppRestDiff]]*8))</f>
        <v>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1525.6232751269911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1433.8409816873252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0.71499744365021445</v>
      </c>
      <c r="R69" s="1">
        <v>85</v>
      </c>
      <c r="S69" s="1">
        <v>75</v>
      </c>
      <c r="T69" s="1">
        <v>0</v>
      </c>
      <c r="U69" s="1">
        <f>Games[[#This Row],[PointsFor]]-Games[[#This Row],[PointsAgainst]]</f>
        <v>10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0.39306595374265829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75.099999999999994</v>
      </c>
      <c r="Z69" s="4">
        <f>Games[[#This Row],[K]]*Games[[#This Row],[POMult]]</f>
        <v>75.099999999999994</v>
      </c>
      <c r="AA69" s="4">
        <f>(Games[[#This Row],[Keff]]*Games[[#This Row],[MOVMult]])*(Games[[#This Row],[Result]]-Games[[#This Row],[ExpectedWin%]])</f>
        <v>8.4130626024673845</v>
      </c>
      <c r="AB69" s="4">
        <f>Games[[#This Row],[PreGmRate]]+Games[[#This Row],[RatingChange]]</f>
        <v>1534.0363377294584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42522</v>
      </c>
      <c r="B70" s="2">
        <v>2016</v>
      </c>
      <c r="C70" s="2">
        <f>COUNTIFS(Games[Team],Games[[#This Row],[Team]],Games[Season],Games[[#This Row],[Season]],Games[Date],"&lt;=" &amp; Games[[#This Row],[Date]])</f>
        <v>7</v>
      </c>
      <c r="D70" s="2" t="s">
        <v>81</v>
      </c>
      <c r="E70" s="2" t="s">
        <v>82</v>
      </c>
      <c r="F70" s="1" t="s">
        <v>77</v>
      </c>
      <c r="G70" s="1" t="s">
        <v>65</v>
      </c>
      <c r="H70" s="1" t="s">
        <v>83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1494.4935629365123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1457.510203228539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0.43274764144348443</v>
      </c>
      <c r="R70" s="1">
        <v>86</v>
      </c>
      <c r="S70" s="1">
        <v>78</v>
      </c>
      <c r="T70" s="1">
        <v>0</v>
      </c>
      <c r="U70" s="1">
        <f>Games[[#This Row],[PointsFor]]-Games[[#This Row],[PointsAgainst]]</f>
        <v>8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0.37670566733704058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74.95</v>
      </c>
      <c r="Z70" s="4">
        <f>Games[[#This Row],[K]]*Games[[#This Row],[POMult]]</f>
        <v>74.95</v>
      </c>
      <c r="AA70" s="4">
        <f>(Games[[#This Row],[Keff]]*Games[[#This Row],[MOVMult]])*(Games[[#This Row],[Result]]-Games[[#This Row],[ExpectedWin%]])</f>
        <v>16.015854011976757</v>
      </c>
      <c r="AB70" s="4">
        <f>Games[[#This Row],[PreGmRate]]+Games[[#This Row],[RatingChange]]</f>
        <v>1510.5094169484889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42522</v>
      </c>
      <c r="B71" s="2">
        <v>2016</v>
      </c>
      <c r="C71" s="2">
        <f>COUNTIFS(Games[Team],Games[[#This Row],[Team]],Games[Season],Games[[#This Row],[Season]],Games[Date],"&lt;=" &amp; Games[[#This Row],[Date]])</f>
        <v>7</v>
      </c>
      <c r="D71" s="2" t="s">
        <v>81</v>
      </c>
      <c r="E71" s="2" t="s">
        <v>82</v>
      </c>
      <c r="F71" s="1" t="s">
        <v>65</v>
      </c>
      <c r="G71" s="1" t="s">
        <v>77</v>
      </c>
      <c r="H71" s="1" t="s">
        <v>84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1457.510203228539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1494.4935629365123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0.56725235855651557</v>
      </c>
      <c r="R71" s="1">
        <v>78</v>
      </c>
      <c r="S71" s="1">
        <v>86</v>
      </c>
      <c r="T71" s="1">
        <v>0</v>
      </c>
      <c r="U71" s="1">
        <f>Games[[#This Row],[PointsFor]]-Games[[#This Row],[PointsAgainst]]</f>
        <v>-8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0.37670566733704058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74.95</v>
      </c>
      <c r="Z71" s="4">
        <f>Games[[#This Row],[K]]*Games[[#This Row],[POMult]]</f>
        <v>74.95</v>
      </c>
      <c r="AA71" s="4">
        <f>(Games[[#This Row],[Keff]]*Games[[#This Row],[MOVMult]])*(Games[[#This Row],[Result]]-Games[[#This Row],[ExpectedWin%]])</f>
        <v>-16.015854011976757</v>
      </c>
      <c r="AB71" s="4">
        <f>Games[[#This Row],[PreGmRate]]+Games[[#This Row],[RatingChange]]</f>
        <v>1441.4943492165623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42523</v>
      </c>
      <c r="B72" s="2">
        <v>2016</v>
      </c>
      <c r="C72" s="2">
        <f>COUNTIFS(Games[Team],Games[[#This Row],[Team]],Games[Season],Games[[#This Row],[Season]],Games[Date],"&lt;=" &amp; Games[[#This Row],[Date]])</f>
        <v>5</v>
      </c>
      <c r="D72" s="2" t="s">
        <v>81</v>
      </c>
      <c r="E72" s="2" t="s">
        <v>82</v>
      </c>
      <c r="F72" s="1" t="s">
        <v>74</v>
      </c>
      <c r="G72" s="1" t="s">
        <v>63</v>
      </c>
      <c r="H72" s="1" t="s">
        <v>83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5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72" s="2">
        <f>Games[[#This Row],[DaysOff]]-Games[[#This Row],[OppDaysOff]]</f>
        <v>-1</v>
      </c>
      <c r="L72" s="2">
        <f>Games[[#This Row],[OppDaysOff]]-Games[[#This Row],[DaysOff]]</f>
        <v>1</v>
      </c>
      <c r="M72" s="1">
        <f>MAX(-16, MIN(16, Games[[#This Row],[RestDiff]]*8))</f>
        <v>-8</v>
      </c>
      <c r="N72" s="1">
        <f>MAX(-16, MIN(16, Games[[#This Row],[OppRestDiff]]*8))</f>
        <v>8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1384.1631824564863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1584.6611597867372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0.15061247192771118</v>
      </c>
      <c r="R72" s="1">
        <v>61</v>
      </c>
      <c r="S72" s="1">
        <v>68</v>
      </c>
      <c r="T72" s="1">
        <v>0</v>
      </c>
      <c r="U72" s="1">
        <f>Games[[#This Row],[PointsFor]]-Games[[#This Row],[PointsAgainst]]</f>
        <v>-7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0.31712191961263664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75.25</v>
      </c>
      <c r="Z72" s="4">
        <f>Games[[#This Row],[K]]*Games[[#This Row],[POMult]]</f>
        <v>75.25</v>
      </c>
      <c r="AA72" s="4">
        <f>(Games[[#This Row],[Keff]]*Games[[#This Row],[MOVMult]])*(Games[[#This Row],[Result]]-Games[[#This Row],[ExpectedWin%]])</f>
        <v>-3.5941293452028389</v>
      </c>
      <c r="AB72" s="4">
        <f>Games[[#This Row],[PreGmRate]]+Games[[#This Row],[RatingChange]]</f>
        <v>1380.5690531112834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42523</v>
      </c>
      <c r="B73" s="2">
        <v>2016</v>
      </c>
      <c r="C73" s="2">
        <f>COUNTIFS(Games[Team],Games[[#This Row],[Team]],Games[Season],Games[[#This Row],[Season]],Games[Date],"&lt;=" &amp; Games[[#This Row],[Date]])</f>
        <v>6</v>
      </c>
      <c r="D73" s="2" t="s">
        <v>81</v>
      </c>
      <c r="E73" s="2" t="s">
        <v>82</v>
      </c>
      <c r="F73" s="1" t="s">
        <v>63</v>
      </c>
      <c r="G73" s="1" t="s">
        <v>74</v>
      </c>
      <c r="H73" s="1" t="s">
        <v>84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6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73" s="2">
        <f>Games[[#This Row],[DaysOff]]-Games[[#This Row],[OppDaysOff]]</f>
        <v>1</v>
      </c>
      <c r="L73" s="2">
        <f>Games[[#This Row],[OppDaysOff]]-Games[[#This Row],[DaysOff]]</f>
        <v>-1</v>
      </c>
      <c r="M73" s="1">
        <f>MAX(-16, MIN(16, Games[[#This Row],[RestDiff]]*8))</f>
        <v>8</v>
      </c>
      <c r="N73" s="1">
        <f>MAX(-16, MIN(16, Games[[#This Row],[OppRestDiff]]*8))</f>
        <v>-8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1584.6611597867372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1384.1631824564863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0.8493875280722889</v>
      </c>
      <c r="R73" s="1">
        <v>68</v>
      </c>
      <c r="S73" s="1">
        <v>61</v>
      </c>
      <c r="T73" s="1">
        <v>0</v>
      </c>
      <c r="U73" s="1">
        <f>Games[[#This Row],[PointsFor]]-Games[[#This Row],[PointsAgainst]]</f>
        <v>7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0.31712191961263664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75.099999999999994</v>
      </c>
      <c r="Z73" s="4">
        <f>Games[[#This Row],[K]]*Games[[#This Row],[POMult]]</f>
        <v>75.099999999999994</v>
      </c>
      <c r="AA73" s="4">
        <f>(Games[[#This Row],[Keff]]*Games[[#This Row],[MOVMult]])*(Games[[#This Row],[Result]]-Games[[#This Row],[ExpectedWin%]])</f>
        <v>3.5869649677705389</v>
      </c>
      <c r="AB73" s="4">
        <f>Games[[#This Row],[PreGmRate]]+Games[[#This Row],[RatingChange]]</f>
        <v>1588.2481247545077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42524</v>
      </c>
      <c r="B74" s="2">
        <v>2016</v>
      </c>
      <c r="C74" s="2">
        <f>COUNTIFS(Games[Team],Games[[#This Row],[Team]],Games[Season],Games[[#This Row],[Season]],Games[Date],"&lt;=" &amp; Games[[#This Row],[Date]])</f>
        <v>8</v>
      </c>
      <c r="D74" s="2" t="s">
        <v>81</v>
      </c>
      <c r="E74" s="2" t="s">
        <v>82</v>
      </c>
      <c r="F74" s="1" t="s">
        <v>65</v>
      </c>
      <c r="G74" s="1" t="s">
        <v>77</v>
      </c>
      <c r="H74" s="1" t="s">
        <v>83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1441.4943492165623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1510.5094169484889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0.2930067370043718</v>
      </c>
      <c r="R74" s="1">
        <v>72</v>
      </c>
      <c r="S74" s="1">
        <v>98</v>
      </c>
      <c r="T74" s="1">
        <v>0</v>
      </c>
      <c r="U74" s="1">
        <f>Games[[#This Row],[PointsFor]]-Games[[#This Row],[PointsAgainst]]</f>
        <v>-26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0.6185150015775942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74.8</v>
      </c>
      <c r="Z74" s="4">
        <f>Games[[#This Row],[K]]*Games[[#This Row],[POMult]]</f>
        <v>74.8</v>
      </c>
      <c r="AA74" s="4">
        <f>(Games[[#This Row],[Keff]]*Games[[#This Row],[MOVMult]])*(Games[[#This Row],[Result]]-Games[[#This Row],[ExpectedWin%]])</f>
        <v>-13.555933867557755</v>
      </c>
      <c r="AB74" s="4">
        <f>Games[[#This Row],[PreGmRate]]+Games[[#This Row],[RatingChange]]</f>
        <v>1427.9384153490046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42524</v>
      </c>
      <c r="B75" s="2">
        <v>2016</v>
      </c>
      <c r="C75" s="2">
        <f>COUNTIFS(Games[Team],Games[[#This Row],[Team]],Games[Season],Games[[#This Row],[Season]],Games[Date],"&lt;=" &amp; Games[[#This Row],[Date]])</f>
        <v>8</v>
      </c>
      <c r="D75" s="2" t="s">
        <v>81</v>
      </c>
      <c r="E75" s="2" t="s">
        <v>82</v>
      </c>
      <c r="F75" s="1" t="s">
        <v>77</v>
      </c>
      <c r="G75" s="1" t="s">
        <v>65</v>
      </c>
      <c r="H75" s="1" t="s">
        <v>84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1510.5094169484889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1441.4943492165623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0.70699326299562815</v>
      </c>
      <c r="R75" s="1">
        <v>98</v>
      </c>
      <c r="S75" s="1">
        <v>72</v>
      </c>
      <c r="T75" s="1">
        <v>0</v>
      </c>
      <c r="U75" s="1">
        <f>Games[[#This Row],[PointsFor]]-Games[[#This Row],[PointsAgainst]]</f>
        <v>26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0.6185150015775942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74.8</v>
      </c>
      <c r="Z75" s="4">
        <f>Games[[#This Row],[K]]*Games[[#This Row],[POMult]]</f>
        <v>74.8</v>
      </c>
      <c r="AA75" s="4">
        <f>(Games[[#This Row],[Keff]]*Games[[#This Row],[MOVMult]])*(Games[[#This Row],[Result]]-Games[[#This Row],[ExpectedWin%]])</f>
        <v>13.555933867557757</v>
      </c>
      <c r="AB75" s="4">
        <f>Games[[#This Row],[PreGmRate]]+Games[[#This Row],[RatingChange]]</f>
        <v>1524.0653508160467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42524</v>
      </c>
      <c r="B76" s="2">
        <v>2016</v>
      </c>
      <c r="C76" s="2">
        <f>COUNTIFS(Games[Team],Games[[#This Row],[Team]],Games[Season],Games[[#This Row],[Season]],Games[Date],"&lt;=" &amp; Games[[#This Row],[Date]])</f>
        <v>7</v>
      </c>
      <c r="D76" s="2" t="s">
        <v>81</v>
      </c>
      <c r="E76" s="2" t="s">
        <v>82</v>
      </c>
      <c r="F76" s="1" t="s">
        <v>79</v>
      </c>
      <c r="G76" s="1" t="s">
        <v>76</v>
      </c>
      <c r="H76" s="1" t="s">
        <v>83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4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2</v>
      </c>
      <c r="L76" s="2">
        <f>Games[[#This Row],[OppDaysOff]]-Games[[#This Row],[DaysOff]]</f>
        <v>-2</v>
      </c>
      <c r="M76" s="1">
        <f>MAX(-16, MIN(16, Games[[#This Row],[RestDiff]]*8))</f>
        <v>16</v>
      </c>
      <c r="N76" s="1">
        <f>MAX(-16, MIN(16, Games[[#This Row],[OppRestDiff]]*8))</f>
        <v>-16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1555.7355662481516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1412.7990679481773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0.62795940861905897</v>
      </c>
      <c r="R76" s="1">
        <v>83</v>
      </c>
      <c r="S76" s="1">
        <v>77</v>
      </c>
      <c r="T76" s="1">
        <v>0</v>
      </c>
      <c r="U76" s="1">
        <f>Games[[#This Row],[PointsFor]]-Games[[#This Row],[PointsAgainst]]</f>
        <v>6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0.31389191807863909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8.7527010856340262</v>
      </c>
      <c r="AB76" s="4">
        <f>Games[[#This Row],[PreGmRate]]+Games[[#This Row],[RatingChange]]</f>
        <v>1564.4882673337856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42524</v>
      </c>
      <c r="B77" s="2">
        <v>2016</v>
      </c>
      <c r="C77" s="2">
        <f>COUNTIFS(Games[Team],Games[[#This Row],[Team]],Games[Season],Games[[#This Row],[Season]],Games[Date],"&lt;=" &amp; Games[[#This Row],[Date]])</f>
        <v>7</v>
      </c>
      <c r="D77" s="2" t="s">
        <v>81</v>
      </c>
      <c r="E77" s="2" t="s">
        <v>82</v>
      </c>
      <c r="F77" s="1" t="s">
        <v>76</v>
      </c>
      <c r="G77" s="1" t="s">
        <v>79</v>
      </c>
      <c r="H77" s="1" t="s">
        <v>84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7" s="2">
        <f>Games[[#This Row],[DaysOff]]-Games[[#This Row],[OppDaysOff]]</f>
        <v>-2</v>
      </c>
      <c r="L77" s="2">
        <f>Games[[#This Row],[OppDaysOff]]-Games[[#This Row],[DaysOff]]</f>
        <v>2</v>
      </c>
      <c r="M77" s="1">
        <f>MAX(-16, MIN(16, Games[[#This Row],[RestDiff]]*8))</f>
        <v>-16</v>
      </c>
      <c r="N77" s="1">
        <f>MAX(-16, MIN(16, Games[[#This Row],[OppRestDiff]]*8))</f>
        <v>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1412.7990679481773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1555.7355662481516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0.37204059138094103</v>
      </c>
      <c r="R77" s="1">
        <v>77</v>
      </c>
      <c r="S77" s="1">
        <v>83</v>
      </c>
      <c r="T77" s="1">
        <v>0</v>
      </c>
      <c r="U77" s="1">
        <f>Games[[#This Row],[PointsFor]]-Games[[#This Row],[PointsAgainst]]</f>
        <v>-6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0.31389191807863909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-8.7527010856340262</v>
      </c>
      <c r="AB77" s="4">
        <f>Games[[#This Row],[PreGmRate]]+Games[[#This Row],[RatingChange]]</f>
        <v>1404.0463668625432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42524</v>
      </c>
      <c r="B78" s="2">
        <v>2016</v>
      </c>
      <c r="C78" s="2">
        <f>COUNTIFS(Games[Team],Games[[#This Row],[Team]],Games[Season],Games[[#This Row],[Season]],Games[Date],"&lt;=" &amp; Games[[#This Row],[Date]])</f>
        <v>7</v>
      </c>
      <c r="D78" s="2" t="s">
        <v>81</v>
      </c>
      <c r="E78" s="2" t="s">
        <v>82</v>
      </c>
      <c r="F78" s="1" t="s">
        <v>69</v>
      </c>
      <c r="G78" s="1" t="s">
        <v>60</v>
      </c>
      <c r="H78" s="1" t="s">
        <v>83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8" s="2">
        <f>Games[[#This Row],[DaysOff]]-Games[[#This Row],[OppDaysOff]]</f>
        <v>-1</v>
      </c>
      <c r="L78" s="2">
        <f>Games[[#This Row],[OppDaysOff]]-Games[[#This Row],[DaysOff]]</f>
        <v>1</v>
      </c>
      <c r="M78" s="1">
        <f>MAX(-16, MIN(16, Games[[#This Row],[RestDiff]]*8))</f>
        <v>-8</v>
      </c>
      <c r="N78" s="1">
        <f>MAX(-16, MIN(16, Games[[#This Row],[OppRestDiff]]*8))</f>
        <v>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1534.0363377294584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1512.0141090298459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0.38962800835607742</v>
      </c>
      <c r="R78" s="1">
        <v>59</v>
      </c>
      <c r="S78" s="1">
        <v>91</v>
      </c>
      <c r="T78" s="1">
        <v>0</v>
      </c>
      <c r="U78" s="1">
        <f>Games[[#This Row],[PointsFor]]-Games[[#This Row],[PointsAgainst]]</f>
        <v>-32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0.7142363161400076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74.95</v>
      </c>
      <c r="Z78" s="4">
        <f>Games[[#This Row],[K]]*Games[[#This Row],[POMult]]</f>
        <v>74.95</v>
      </c>
      <c r="AA78" s="4">
        <f>(Games[[#This Row],[Keff]]*Games[[#This Row],[MOVMult]])*(Games[[#This Row],[Result]]-Games[[#This Row],[ExpectedWin%]])</f>
        <v>-20.857571177823303</v>
      </c>
      <c r="AB78" s="4">
        <f>Games[[#This Row],[PreGmRate]]+Games[[#This Row],[RatingChange]]</f>
        <v>1513.1787665516351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42524</v>
      </c>
      <c r="B79" s="2">
        <v>2016</v>
      </c>
      <c r="C79" s="2">
        <f>COUNTIFS(Games[Team],Games[[#This Row],[Team]],Games[Season],Games[[#This Row],[Season]],Games[Date],"&lt;=" &amp; Games[[#This Row],[Date]])</f>
        <v>6</v>
      </c>
      <c r="D79" s="2" t="s">
        <v>81</v>
      </c>
      <c r="E79" s="2" t="s">
        <v>82</v>
      </c>
      <c r="F79" s="1" t="s">
        <v>60</v>
      </c>
      <c r="G79" s="1" t="s">
        <v>69</v>
      </c>
      <c r="H79" s="1" t="s">
        <v>84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1</v>
      </c>
      <c r="L79" s="2">
        <f>Games[[#This Row],[OppDaysOff]]-Games[[#This Row],[DaysOff]]</f>
        <v>-1</v>
      </c>
      <c r="M79" s="1">
        <f>MAX(-16, MIN(16, Games[[#This Row],[RestDiff]]*8))</f>
        <v>8</v>
      </c>
      <c r="N79" s="1">
        <f>MAX(-16, MIN(16, Games[[#This Row],[OppRestDiff]]*8))</f>
        <v>-8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1512.0141090298459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1534.0363377294584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0.61037199164392264</v>
      </c>
      <c r="R79" s="1">
        <v>91</v>
      </c>
      <c r="S79" s="1">
        <v>59</v>
      </c>
      <c r="T79" s="1">
        <v>0</v>
      </c>
      <c r="U79" s="1">
        <f>Games[[#This Row],[PointsFor]]-Games[[#This Row],[PointsAgainst]]</f>
        <v>32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0.7142363161400076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20.899314148826281</v>
      </c>
      <c r="AB79" s="4">
        <f>Games[[#This Row],[PreGmRate]]+Games[[#This Row],[RatingChange]]</f>
        <v>1532.9134231786722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42524</v>
      </c>
      <c r="B80" s="2">
        <v>2016</v>
      </c>
      <c r="C80" s="2">
        <f>COUNTIFS(Games[Team],Games[[#This Row],[Team]],Games[Season],Games[[#This Row],[Season]],Games[Date],"&lt;=" &amp; Games[[#This Row],[Date]])</f>
        <v>7</v>
      </c>
      <c r="D80" s="2" t="s">
        <v>81</v>
      </c>
      <c r="E80" s="2" t="s">
        <v>82</v>
      </c>
      <c r="F80" s="1" t="s">
        <v>40</v>
      </c>
      <c r="G80" s="1" t="s">
        <v>71</v>
      </c>
      <c r="H80" s="1" t="s">
        <v>83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1</v>
      </c>
      <c r="L80" s="2">
        <f>Games[[#This Row],[OppDaysOff]]-Games[[#This Row],[DaysOff]]</f>
        <v>-1</v>
      </c>
      <c r="M80" s="1">
        <f>MAX(-16, MIN(16, Games[[#This Row],[RestDiff]]*8))</f>
        <v>8</v>
      </c>
      <c r="N80" s="1">
        <f>MAX(-16, MIN(16, Games[[#This Row],[OppRestDiff]]*8))</f>
        <v>-8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1515.8143557725177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1425.4279190848579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0.53217216186301908</v>
      </c>
      <c r="R80" s="1">
        <v>81</v>
      </c>
      <c r="S80" s="1">
        <v>95</v>
      </c>
      <c r="T80" s="1">
        <v>0</v>
      </c>
      <c r="U80" s="1">
        <f>Games[[#This Row],[PointsFor]]-Games[[#This Row],[PointsAgainst]]</f>
        <v>-14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0.45345309560360259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-18.086567808604016</v>
      </c>
      <c r="AB80" s="4">
        <f>Games[[#This Row],[PreGmRate]]+Games[[#This Row],[RatingChange]]</f>
        <v>1497.7277879639137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42524</v>
      </c>
      <c r="B81" s="2">
        <v>2016</v>
      </c>
      <c r="C81" s="2">
        <f>COUNTIFS(Games[Team],Games[[#This Row],[Team]],Games[Season],Games[[#This Row],[Season]],Games[Date],"&lt;=" &amp; Games[[#This Row],[Date]])</f>
        <v>7</v>
      </c>
      <c r="D81" s="2" t="s">
        <v>81</v>
      </c>
      <c r="E81" s="2" t="s">
        <v>82</v>
      </c>
      <c r="F81" s="1" t="s">
        <v>71</v>
      </c>
      <c r="G81" s="1" t="s">
        <v>40</v>
      </c>
      <c r="H81" s="1" t="s">
        <v>84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1" s="2">
        <f>Games[[#This Row],[DaysOff]]-Games[[#This Row],[OppDaysOff]]</f>
        <v>-1</v>
      </c>
      <c r="L81" s="2">
        <f>Games[[#This Row],[OppDaysOff]]-Games[[#This Row],[DaysOff]]</f>
        <v>1</v>
      </c>
      <c r="M81" s="1">
        <f>MAX(-16, MIN(16, Games[[#This Row],[RestDiff]]*8))</f>
        <v>-8</v>
      </c>
      <c r="N81" s="1">
        <f>MAX(-16, MIN(16, Games[[#This Row],[OppRestDiff]]*8))</f>
        <v>8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1425.4279190848579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1515.8143557725177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0.46782783813698092</v>
      </c>
      <c r="R81" s="1">
        <v>95</v>
      </c>
      <c r="S81" s="1">
        <v>81</v>
      </c>
      <c r="T81" s="1">
        <v>0</v>
      </c>
      <c r="U81" s="1">
        <f>Games[[#This Row],[PointsFor]]-Games[[#This Row],[PointsAgainst]]</f>
        <v>14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0.45345309560360259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74.95</v>
      </c>
      <c r="Z81" s="4">
        <f>Games[[#This Row],[K]]*Games[[#This Row],[POMult]]</f>
        <v>74.95</v>
      </c>
      <c r="AA81" s="4">
        <f>(Games[[#This Row],[Keff]]*Games[[#This Row],[MOVMult]])*(Games[[#This Row],[Result]]-Games[[#This Row],[ExpectedWin%]])</f>
        <v>18.086567808604016</v>
      </c>
      <c r="AB81" s="4">
        <f>Games[[#This Row],[PreGmRate]]+Games[[#This Row],[RatingChange]]</f>
        <v>1443.5144868934619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42525</v>
      </c>
      <c r="B82" s="2">
        <v>2016</v>
      </c>
      <c r="C82" s="2">
        <f>COUNTIFS(Games[Team],Games[[#This Row],[Team]],Games[Season],Games[[#This Row],[Season]],Games[Date],"&lt;=" &amp; Games[[#This Row],[Date]])</f>
        <v>7</v>
      </c>
      <c r="D82" s="2" t="s">
        <v>81</v>
      </c>
      <c r="E82" s="2" t="s">
        <v>82</v>
      </c>
      <c r="F82" s="1" t="s">
        <v>87</v>
      </c>
      <c r="G82" s="1" t="s">
        <v>67</v>
      </c>
      <c r="H82" s="1" t="s">
        <v>83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5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2" s="2">
        <f>Games[[#This Row],[DaysOff]]-Games[[#This Row],[OppDaysOff]]</f>
        <v>2</v>
      </c>
      <c r="L82" s="2">
        <f>Games[[#This Row],[OppDaysOff]]-Games[[#This Row],[DaysOff]]</f>
        <v>-2</v>
      </c>
      <c r="M82" s="1">
        <f>MAX(-16, MIN(16, Games[[#This Row],[RestDiff]]*8))</f>
        <v>16</v>
      </c>
      <c r="N82" s="1">
        <f>MAX(-16, MIN(16, Games[[#This Row],[OppRestDiff]]*8))</f>
        <v>-16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1484.0279278397593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1640.0292989485449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0.23194659075917065</v>
      </c>
      <c r="R82" s="1">
        <v>63</v>
      </c>
      <c r="S82" s="1">
        <v>80</v>
      </c>
      <c r="T82" s="1">
        <v>0</v>
      </c>
      <c r="U82" s="1">
        <f>Games[[#This Row],[PointsFor]]-Games[[#This Row],[PointsAgainst]]</f>
        <v>-17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0.4711871953167357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74.95</v>
      </c>
      <c r="Z82" s="4">
        <f>Games[[#This Row],[K]]*Games[[#This Row],[POMult]]</f>
        <v>74.95</v>
      </c>
      <c r="AA82" s="4">
        <f>(Games[[#This Row],[Keff]]*Games[[#This Row],[MOVMult]])*(Games[[#This Row],[Result]]-Games[[#This Row],[ExpectedWin%]])</f>
        <v>-8.1913052540537681</v>
      </c>
      <c r="AB82" s="4">
        <f>Games[[#This Row],[PreGmRate]]+Games[[#This Row],[RatingChange]]</f>
        <v>1475.8366225857055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42525</v>
      </c>
      <c r="B83" s="2">
        <v>2016</v>
      </c>
      <c r="C83" s="2">
        <f>COUNTIFS(Games[Team],Games[[#This Row],[Team]],Games[Season],Games[[#This Row],[Season]],Games[Date],"&lt;=" &amp; Games[[#This Row],[Date]])</f>
        <v>7</v>
      </c>
      <c r="D83" s="2" t="s">
        <v>81</v>
      </c>
      <c r="E83" s="2" t="s">
        <v>82</v>
      </c>
      <c r="F83" s="1" t="s">
        <v>67</v>
      </c>
      <c r="G83" s="1" t="s">
        <v>87</v>
      </c>
      <c r="H83" s="1" t="s">
        <v>84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3" s="2">
        <f>Games[[#This Row],[DaysOff]]-Games[[#This Row],[OppDaysOff]]</f>
        <v>-2</v>
      </c>
      <c r="L83" s="2">
        <f>Games[[#This Row],[OppDaysOff]]-Games[[#This Row],[DaysOff]]</f>
        <v>2</v>
      </c>
      <c r="M83" s="1">
        <f>MAX(-16, MIN(16, Games[[#This Row],[RestDiff]]*8))</f>
        <v>-16</v>
      </c>
      <c r="N83" s="1">
        <f>MAX(-16, MIN(16, Games[[#This Row],[OppRestDiff]]*8))</f>
        <v>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1640.0292989485449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1484.0279278397593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0.76805340924082932</v>
      </c>
      <c r="R83" s="1">
        <v>80</v>
      </c>
      <c r="S83" s="1">
        <v>63</v>
      </c>
      <c r="T83" s="1">
        <v>0</v>
      </c>
      <c r="U83" s="1">
        <f>Games[[#This Row],[PointsFor]]-Games[[#This Row],[PointsAgainst]]</f>
        <v>17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0.4711871953167357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8.1913052540537699</v>
      </c>
      <c r="AB83" s="4">
        <f>Games[[#This Row],[PreGmRate]]+Games[[#This Row],[RatingChange]]</f>
        <v>1648.2206042025987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42525</v>
      </c>
      <c r="B84" s="2">
        <v>2016</v>
      </c>
      <c r="C84" s="2">
        <f>COUNTIFS(Games[Team],Games[[#This Row],[Team]],Games[Season],Games[[#This Row],[Season]],Games[Date],"&lt;=" &amp; Games[[#This Row],[Date]])</f>
        <v>7</v>
      </c>
      <c r="D84" s="2" t="s">
        <v>81</v>
      </c>
      <c r="E84" s="2" t="s">
        <v>82</v>
      </c>
      <c r="F84" s="1" t="s">
        <v>63</v>
      </c>
      <c r="G84" s="1" t="s">
        <v>74</v>
      </c>
      <c r="H84" s="1" t="s">
        <v>83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1588.2481247545077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1380.5690531112834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0.67083277117650442</v>
      </c>
      <c r="R84" s="1">
        <v>74</v>
      </c>
      <c r="S84" s="1">
        <v>61</v>
      </c>
      <c r="T84" s="1">
        <v>0</v>
      </c>
      <c r="U84" s="1">
        <f>Games[[#This Row],[PointsFor]]-Games[[#This Row],[PointsAgainst]]</f>
        <v>13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0.4024017392797527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9.9276870311656999</v>
      </c>
      <c r="AB84" s="4">
        <f>Games[[#This Row],[PreGmRate]]+Games[[#This Row],[RatingChange]]</f>
        <v>1598.1758117856734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42525</v>
      </c>
      <c r="B85" s="2">
        <v>2016</v>
      </c>
      <c r="C85" s="2">
        <f>COUNTIFS(Games[Team],Games[[#This Row],[Team]],Games[Season],Games[[#This Row],[Season]],Games[Date],"&lt;=" &amp; Games[[#This Row],[Date]])</f>
        <v>6</v>
      </c>
      <c r="D85" s="2" t="s">
        <v>81</v>
      </c>
      <c r="E85" s="2" t="s">
        <v>82</v>
      </c>
      <c r="F85" s="1" t="s">
        <v>74</v>
      </c>
      <c r="G85" s="1" t="s">
        <v>63</v>
      </c>
      <c r="H85" s="1" t="s">
        <v>84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1380.5690531112834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1588.2481247545077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0.32916722882349558</v>
      </c>
      <c r="R85" s="1">
        <v>61</v>
      </c>
      <c r="S85" s="1">
        <v>74</v>
      </c>
      <c r="T85" s="1">
        <v>0</v>
      </c>
      <c r="U85" s="1">
        <f>Games[[#This Row],[PointsFor]]-Games[[#This Row],[PointsAgainst]]</f>
        <v>-13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0.4024017392797527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-9.947555650974568</v>
      </c>
      <c r="AB85" s="4">
        <f>Games[[#This Row],[PreGmRate]]+Games[[#This Row],[RatingChange]]</f>
        <v>1370.6214974603088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42526</v>
      </c>
      <c r="B86" s="2">
        <v>2016</v>
      </c>
      <c r="C86" s="2">
        <f>COUNTIFS(Games[Team],Games[[#This Row],[Team]],Games[Season],Games[[#This Row],[Season]],Games[Date],"&lt;=" &amp; Games[[#This Row],[Date]])</f>
        <v>9</v>
      </c>
      <c r="D86" s="2" t="s">
        <v>81</v>
      </c>
      <c r="E86" s="2" t="s">
        <v>82</v>
      </c>
      <c r="F86" s="1" t="s">
        <v>65</v>
      </c>
      <c r="G86" s="1" t="s">
        <v>79</v>
      </c>
      <c r="H86" s="1" t="s">
        <v>83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1427.9384153490046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1564.4882673337856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0.21932795845718833</v>
      </c>
      <c r="R86" s="1">
        <v>86</v>
      </c>
      <c r="S86" s="1">
        <v>79</v>
      </c>
      <c r="T86" s="1">
        <v>0</v>
      </c>
      <c r="U86" s="1">
        <f>Games[[#This Row],[PointsFor]]-Games[[#This Row],[PointsAgainst]]</f>
        <v>7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0.33229483084753741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74.650000000000006</v>
      </c>
      <c r="Z86" s="4">
        <f>Games[[#This Row],[K]]*Games[[#This Row],[POMult]]</f>
        <v>74.650000000000006</v>
      </c>
      <c r="AA86" s="4">
        <f>(Games[[#This Row],[Keff]]*Games[[#This Row],[MOVMult]])*(Games[[#This Row],[Result]]-Games[[#This Row],[ExpectedWin%]])</f>
        <v>19.365201649993118</v>
      </c>
      <c r="AB86" s="4">
        <f>Games[[#This Row],[PreGmRate]]+Games[[#This Row],[RatingChange]]</f>
        <v>1447.3036169989978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42526</v>
      </c>
      <c r="B87" s="2">
        <v>2016</v>
      </c>
      <c r="C87" s="2">
        <f>COUNTIFS(Games[Team],Games[[#This Row],[Team]],Games[Season],Games[[#This Row],[Season]],Games[Date],"&lt;=" &amp; Games[[#This Row],[Date]])</f>
        <v>8</v>
      </c>
      <c r="D87" s="2" t="s">
        <v>81</v>
      </c>
      <c r="E87" s="2" t="s">
        <v>82</v>
      </c>
      <c r="F87" s="1" t="s">
        <v>79</v>
      </c>
      <c r="G87" s="1" t="s">
        <v>65</v>
      </c>
      <c r="H87" s="1" t="s">
        <v>84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1564.4882673337856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1427.9384153490046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0.78067204154281167</v>
      </c>
      <c r="R87" s="1">
        <v>79</v>
      </c>
      <c r="S87" s="1">
        <v>86</v>
      </c>
      <c r="T87" s="1">
        <v>0</v>
      </c>
      <c r="U87" s="1">
        <f>Games[[#This Row],[PointsFor]]-Games[[#This Row],[PointsAgainst]]</f>
        <v>-7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0.33229483084753741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-19.404113642591899</v>
      </c>
      <c r="AB87" s="4">
        <f>Games[[#This Row],[PreGmRate]]+Games[[#This Row],[RatingChange]]</f>
        <v>1545.0841536911937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42526</v>
      </c>
      <c r="B88" s="2">
        <v>2016</v>
      </c>
      <c r="C88" s="2">
        <f>COUNTIFS(Games[Team],Games[[#This Row],[Team]],Games[Season],Games[[#This Row],[Season]],Games[Date],"&lt;=" &amp; Games[[#This Row],[Date]])</f>
        <v>8</v>
      </c>
      <c r="D88" s="2" t="s">
        <v>81</v>
      </c>
      <c r="E88" s="2" t="s">
        <v>82</v>
      </c>
      <c r="F88" s="1" t="s">
        <v>69</v>
      </c>
      <c r="G88" s="1" t="s">
        <v>76</v>
      </c>
      <c r="H88" s="1" t="s">
        <v>83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1513.1787665516351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1404.0463668625432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0.53610547707300105</v>
      </c>
      <c r="R88" s="1">
        <v>88</v>
      </c>
      <c r="S88" s="1">
        <v>77</v>
      </c>
      <c r="T88" s="1">
        <v>0</v>
      </c>
      <c r="U88" s="1">
        <f>Games[[#This Row],[PointsFor]]-Games[[#This Row],[PointsAgainst]]</f>
        <v>11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0.40317019457658104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13.989727691347333</v>
      </c>
      <c r="AB88" s="4">
        <f>Games[[#This Row],[PreGmRate]]+Games[[#This Row],[RatingChange]]</f>
        <v>1527.1684942429824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42526</v>
      </c>
      <c r="B89" s="2">
        <v>2016</v>
      </c>
      <c r="C89" s="2">
        <f>COUNTIFS(Games[Team],Games[[#This Row],[Team]],Games[Season],Games[[#This Row],[Season]],Games[Date],"&lt;=" &amp; Games[[#This Row],[Date]])</f>
        <v>8</v>
      </c>
      <c r="D89" s="2" t="s">
        <v>81</v>
      </c>
      <c r="E89" s="2" t="s">
        <v>82</v>
      </c>
      <c r="F89" s="1" t="s">
        <v>76</v>
      </c>
      <c r="G89" s="1" t="s">
        <v>69</v>
      </c>
      <c r="H89" s="1" t="s">
        <v>84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1404.0463668625432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1513.1787665516351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0.46389452292699895</v>
      </c>
      <c r="R89" s="1">
        <v>77</v>
      </c>
      <c r="S89" s="1">
        <v>88</v>
      </c>
      <c r="T89" s="1">
        <v>0</v>
      </c>
      <c r="U89" s="1">
        <f>Games[[#This Row],[PointsFor]]-Games[[#This Row],[PointsAgainst]]</f>
        <v>-11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0.40317019457658104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-13.989727691347333</v>
      </c>
      <c r="AB89" s="4">
        <f>Games[[#This Row],[PreGmRate]]+Games[[#This Row],[RatingChange]]</f>
        <v>1390.0566391711959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42526</v>
      </c>
      <c r="B90" s="2">
        <v>2016</v>
      </c>
      <c r="C90" s="2">
        <f>COUNTIFS(Games[Team],Games[[#This Row],[Team]],Games[Season],Games[[#This Row],[Season]],Games[Date],"&lt;=" &amp; Games[[#This Row],[Date]])</f>
        <v>7</v>
      </c>
      <c r="D90" s="2" t="s">
        <v>81</v>
      </c>
      <c r="E90" s="2" t="s">
        <v>82</v>
      </c>
      <c r="F90" s="1" t="s">
        <v>60</v>
      </c>
      <c r="G90" s="1" t="s">
        <v>71</v>
      </c>
      <c r="H90" s="1" t="s">
        <v>83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1532.9134231786722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1443.5144868934619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0.507769068551297</v>
      </c>
      <c r="R90" s="1">
        <v>86</v>
      </c>
      <c r="S90" s="1">
        <v>78</v>
      </c>
      <c r="T90" s="1">
        <v>0</v>
      </c>
      <c r="U90" s="1">
        <f>Games[[#This Row],[PointsFor]]-Games[[#This Row],[PointsAgainst]]</f>
        <v>8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0.36139214085758625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13.332734838937164</v>
      </c>
      <c r="AB90" s="4">
        <f>Games[[#This Row],[PreGmRate]]+Games[[#This Row],[RatingChange]]</f>
        <v>1546.2461580176093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42526</v>
      </c>
      <c r="B91" s="2">
        <v>2016</v>
      </c>
      <c r="C91" s="2">
        <f>COUNTIFS(Games[Team],Games[[#This Row],[Team]],Games[Season],Games[[#This Row],[Season]],Games[Date],"&lt;=" &amp; Games[[#This Row],[Date]])</f>
        <v>8</v>
      </c>
      <c r="D91" s="2" t="s">
        <v>81</v>
      </c>
      <c r="E91" s="2" t="s">
        <v>82</v>
      </c>
      <c r="F91" s="1" t="s">
        <v>71</v>
      </c>
      <c r="G91" s="1" t="s">
        <v>60</v>
      </c>
      <c r="H91" s="1" t="s">
        <v>84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1443.5144868934619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1532.9134231786722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0.492230931448703</v>
      </c>
      <c r="R91" s="1">
        <v>78</v>
      </c>
      <c r="S91" s="1">
        <v>86</v>
      </c>
      <c r="T91" s="1">
        <v>0</v>
      </c>
      <c r="U91" s="1">
        <f>Games[[#This Row],[PointsFor]]-Games[[#This Row],[PointsAgainst]]</f>
        <v>-8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0.36139214085758625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-13.306051580420277</v>
      </c>
      <c r="AB91" s="4">
        <f>Games[[#This Row],[PreGmRate]]+Games[[#This Row],[RatingChange]]</f>
        <v>1430.2084353130417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42528</v>
      </c>
      <c r="B92" s="2">
        <v>2016</v>
      </c>
      <c r="C92" s="2">
        <f>COUNTIFS(Games[Team],Games[[#This Row],[Team]],Games[Season],Games[[#This Row],[Season]],Games[Date],"&lt;=" &amp; Games[[#This Row],[Date]])</f>
        <v>8</v>
      </c>
      <c r="D92" s="2" t="s">
        <v>81</v>
      </c>
      <c r="E92" s="2" t="s">
        <v>82</v>
      </c>
      <c r="F92" s="1" t="s">
        <v>60</v>
      </c>
      <c r="G92" s="1" t="s">
        <v>63</v>
      </c>
      <c r="H92" s="1" t="s">
        <v>83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2" s="2">
        <f>Games[[#This Row],[DaysOff]]-Games[[#This Row],[OppDaysOff]]</f>
        <v>-1</v>
      </c>
      <c r="L92" s="2">
        <f>Games[[#This Row],[OppDaysOff]]-Games[[#This Row],[DaysOff]]</f>
        <v>1</v>
      </c>
      <c r="M92" s="1">
        <f>MAX(-16, MIN(16, Games[[#This Row],[RestDiff]]*8))</f>
        <v>-8</v>
      </c>
      <c r="N92" s="1">
        <f>MAX(-16, MIN(16, Games[[#This Row],[OppRestDiff]]*8))</f>
        <v>8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1546.2461580176093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1598.1758117856734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0.29430273585257916</v>
      </c>
      <c r="R92" s="1">
        <v>77</v>
      </c>
      <c r="S92" s="1">
        <v>100</v>
      </c>
      <c r="T92" s="1">
        <v>0</v>
      </c>
      <c r="U92" s="1">
        <f>Games[[#This Row],[PointsFor]]-Games[[#This Row],[PointsAgainst]]</f>
        <v>-23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0.58981374940026865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-12.984068246879099</v>
      </c>
      <c r="AB92" s="4">
        <f>Games[[#This Row],[PreGmRate]]+Games[[#This Row],[RatingChange]]</f>
        <v>1533.2620897707302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42528</v>
      </c>
      <c r="B93" s="2">
        <v>2016</v>
      </c>
      <c r="C93" s="2">
        <f>COUNTIFS(Games[Team],Games[[#This Row],[Team]],Games[Season],Games[[#This Row],[Season]],Games[Date],"&lt;=" &amp; Games[[#This Row],[Date]])</f>
        <v>8</v>
      </c>
      <c r="D93" s="2" t="s">
        <v>81</v>
      </c>
      <c r="E93" s="2" t="s">
        <v>82</v>
      </c>
      <c r="F93" s="1" t="s">
        <v>63</v>
      </c>
      <c r="G93" s="1" t="s">
        <v>60</v>
      </c>
      <c r="H93" s="1" t="s">
        <v>84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1</v>
      </c>
      <c r="L93" s="2">
        <f>Games[[#This Row],[OppDaysOff]]-Games[[#This Row],[DaysOff]]</f>
        <v>-1</v>
      </c>
      <c r="M93" s="1">
        <f>MAX(-16, MIN(16, Games[[#This Row],[RestDiff]]*8))</f>
        <v>8</v>
      </c>
      <c r="N93" s="1">
        <f>MAX(-16, MIN(16, Games[[#This Row],[OppRestDiff]]*8))</f>
        <v>-8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1598.1758117856734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1546.2461580176093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0.70569726414742084</v>
      </c>
      <c r="R93" s="1">
        <v>100</v>
      </c>
      <c r="S93" s="1">
        <v>77</v>
      </c>
      <c r="T93" s="1">
        <v>0</v>
      </c>
      <c r="U93" s="1">
        <f>Games[[#This Row],[PointsFor]]-Games[[#This Row],[PointsAgainst]]</f>
        <v>23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0.58981374940026865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12.984068246879099</v>
      </c>
      <c r="AB93" s="4">
        <f>Games[[#This Row],[PreGmRate]]+Games[[#This Row],[RatingChange]]</f>
        <v>1611.1598800325526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42528</v>
      </c>
      <c r="B94" s="2">
        <v>2016</v>
      </c>
      <c r="C94" s="2">
        <f>COUNTIFS(Games[Team],Games[[#This Row],[Team]],Games[Season],Games[[#This Row],[Season]],Games[Date],"&lt;=" &amp; Games[[#This Row],[Date]])</f>
        <v>8</v>
      </c>
      <c r="D94" s="2" t="s">
        <v>81</v>
      </c>
      <c r="E94" s="2" t="s">
        <v>82</v>
      </c>
      <c r="F94" s="1" t="s">
        <v>40</v>
      </c>
      <c r="G94" s="1" t="s">
        <v>67</v>
      </c>
      <c r="H94" s="1" t="s">
        <v>83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3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1</v>
      </c>
      <c r="L94" s="2">
        <f>Games[[#This Row],[OppDaysOff]]-Games[[#This Row],[DaysOff]]</f>
        <v>-1</v>
      </c>
      <c r="M94" s="1">
        <f>MAX(-16, MIN(16, Games[[#This Row],[RestDiff]]*8))</f>
        <v>8</v>
      </c>
      <c r="N94" s="1">
        <f>MAX(-16, MIN(16, Games[[#This Row],[OppRestDiff]]*8))</f>
        <v>-8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1497.7277879639137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1648.2206042025987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0.22136219219039463</v>
      </c>
      <c r="R94" s="1">
        <v>81</v>
      </c>
      <c r="S94" s="1">
        <v>89</v>
      </c>
      <c r="T94" s="1">
        <v>0</v>
      </c>
      <c r="U94" s="1">
        <f>Games[[#This Row],[PointsFor]]-Games[[#This Row],[PointsAgainst]]</f>
        <v>-8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0.34504340667388628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-5.7131914546825628</v>
      </c>
      <c r="AB94" s="4">
        <f>Games[[#This Row],[PreGmRate]]+Games[[#This Row],[RatingChange]]</f>
        <v>1492.0145965092311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42528</v>
      </c>
      <c r="B95" s="2">
        <v>2016</v>
      </c>
      <c r="C95" s="2">
        <f>COUNTIFS(Games[Team],Games[[#This Row],[Team]],Games[Season],Games[[#This Row],[Season]],Games[Date],"&lt;=" &amp; Games[[#This Row],[Date]])</f>
        <v>8</v>
      </c>
      <c r="D95" s="2" t="s">
        <v>81</v>
      </c>
      <c r="E95" s="2" t="s">
        <v>82</v>
      </c>
      <c r="F95" s="1" t="s">
        <v>67</v>
      </c>
      <c r="G95" s="1" t="s">
        <v>40</v>
      </c>
      <c r="H95" s="1" t="s">
        <v>84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5" s="2">
        <f>Games[[#This Row],[DaysOff]]-Games[[#This Row],[OppDaysOff]]</f>
        <v>-1</v>
      </c>
      <c r="L95" s="2">
        <f>Games[[#This Row],[OppDaysOff]]-Games[[#This Row],[DaysOff]]</f>
        <v>1</v>
      </c>
      <c r="M95" s="1">
        <f>MAX(-16, MIN(16, Games[[#This Row],[RestDiff]]*8))</f>
        <v>-8</v>
      </c>
      <c r="N95" s="1">
        <f>MAX(-16, MIN(16, Games[[#This Row],[OppRestDiff]]*8))</f>
        <v>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1648.2206042025987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1497.7277879639137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0.77863780780960545</v>
      </c>
      <c r="R95" s="1">
        <v>89</v>
      </c>
      <c r="S95" s="1">
        <v>81</v>
      </c>
      <c r="T95" s="1">
        <v>0</v>
      </c>
      <c r="U95" s="1">
        <f>Games[[#This Row],[PointsFor]]-Games[[#This Row],[PointsAgainst]]</f>
        <v>8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0.34504340667388628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5.7131914546825611</v>
      </c>
      <c r="AB95" s="4">
        <f>Games[[#This Row],[PreGmRate]]+Games[[#This Row],[RatingChange]]</f>
        <v>1653.9337956572813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42529</v>
      </c>
      <c r="B96" s="2">
        <v>2016</v>
      </c>
      <c r="C96" s="2">
        <f>COUNTIFS(Games[Team],Games[[#This Row],[Team]],Games[Season],Games[[#This Row],[Season]],Games[Date],"&lt;=" &amp; Games[[#This Row],[Date]])</f>
        <v>10</v>
      </c>
      <c r="D96" s="2" t="s">
        <v>81</v>
      </c>
      <c r="E96" s="2" t="s">
        <v>82</v>
      </c>
      <c r="F96" s="1" t="s">
        <v>65</v>
      </c>
      <c r="G96" s="1" t="s">
        <v>87</v>
      </c>
      <c r="H96" s="1" t="s">
        <v>83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6" s="2">
        <f>Games[[#This Row],[DaysOff]]-Games[[#This Row],[OppDaysOff]]</f>
        <v>-1</v>
      </c>
      <c r="L96" s="2">
        <f>Games[[#This Row],[OppDaysOff]]-Games[[#This Row],[DaysOff]]</f>
        <v>1</v>
      </c>
      <c r="M96" s="1">
        <f>MAX(-16, MIN(16, Games[[#This Row],[RestDiff]]*8))</f>
        <v>-8</v>
      </c>
      <c r="N96" s="1">
        <f>MAX(-16, MIN(16, Games[[#This Row],[OppRestDiff]]*8))</f>
        <v>8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1447.3036169989978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1475.8366225857055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0.32302700495766629</v>
      </c>
      <c r="R96" s="1">
        <v>87</v>
      </c>
      <c r="S96" s="1">
        <v>79</v>
      </c>
      <c r="T96" s="1">
        <v>0</v>
      </c>
      <c r="U96" s="1">
        <f>Games[[#This Row],[PointsFor]]-Games[[#This Row],[PointsAgainst]]</f>
        <v>8</v>
      </c>
      <c r="V96" s="1">
        <f>IF(Games[[#This Row],[MOV]]&gt;0,1,IF(Games[[#This Row],[MOV]]=0,0.5,0))</f>
        <v>1</v>
      </c>
      <c r="W96" s="4">
        <f>((ABS(Games[[#This Row],[MOV]])+5)^0.6)/(12+0.01*(ABS(Games[[#This Row],[PreGmRate]]-Games[[#This Row],[OppPreGmRate]])))*IF(Games[[#This Row],[OT]]=1,0.9,1)</f>
        <v>0.37929680349212125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74.5</v>
      </c>
      <c r="Z96" s="4">
        <f>Games[[#This Row],[K]]*Games[[#This Row],[POMult]]</f>
        <v>74.5</v>
      </c>
      <c r="AA96" s="4">
        <f>(Games[[#This Row],[Keff]]*Games[[#This Row],[MOVMult]])*(Games[[#This Row],[Result]]-Games[[#This Row],[ExpectedWin%]])</f>
        <v>19.12964013371834</v>
      </c>
      <c r="AB96" s="4">
        <f>Games[[#This Row],[PreGmRate]]+Games[[#This Row],[RatingChange]]</f>
        <v>1466.4332571327161</v>
      </c>
      <c r="AC96" s="2">
        <f>IF(Games[[#This Row],[Type]]="R",IF(Games[[#This Row],[Result]]&gt;0.5,1,0),0)</f>
        <v>1</v>
      </c>
      <c r="AD96" s="2">
        <f>IF(Games[[#This Row],[Type]]="R",IF(Games[[#This Row],[Result]]&lt;0.5,1,0),0)</f>
        <v>0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42529</v>
      </c>
      <c r="B97" s="2">
        <v>2016</v>
      </c>
      <c r="C97" s="2">
        <f>COUNTIFS(Games[Team],Games[[#This Row],[Team]],Games[Season],Games[[#This Row],[Season]],Games[Date],"&lt;=" &amp; Games[[#This Row],[Date]])</f>
        <v>8</v>
      </c>
      <c r="D97" s="2" t="s">
        <v>81</v>
      </c>
      <c r="E97" s="2" t="s">
        <v>82</v>
      </c>
      <c r="F97" s="1" t="s">
        <v>87</v>
      </c>
      <c r="G97" s="1" t="s">
        <v>65</v>
      </c>
      <c r="H97" s="1" t="s">
        <v>84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7" s="2">
        <f>Games[[#This Row],[DaysOff]]-Games[[#This Row],[OppDaysOff]]</f>
        <v>1</v>
      </c>
      <c r="L97" s="2">
        <f>Games[[#This Row],[OppDaysOff]]-Games[[#This Row],[DaysOff]]</f>
        <v>-1</v>
      </c>
      <c r="M97" s="1">
        <f>MAX(-16, MIN(16, Games[[#This Row],[RestDiff]]*8))</f>
        <v>8</v>
      </c>
      <c r="N97" s="1">
        <f>MAX(-16, MIN(16, Games[[#This Row],[OppRestDiff]]*8))</f>
        <v>-8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1475.8366225857055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1447.3036169989978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0.67697299504233377</v>
      </c>
      <c r="R97" s="1">
        <v>79</v>
      </c>
      <c r="S97" s="1">
        <v>87</v>
      </c>
      <c r="T97" s="1">
        <v>0</v>
      </c>
      <c r="U97" s="1">
        <f>Games[[#This Row],[PointsFor]]-Games[[#This Row],[PointsAgainst]]</f>
        <v>-8</v>
      </c>
      <c r="V97" s="1">
        <f>IF(Games[[#This Row],[MOV]]&gt;0,1,IF(Games[[#This Row],[MOV]]=0,0.5,0))</f>
        <v>0</v>
      </c>
      <c r="W97" s="4">
        <f>((ABS(Games[[#This Row],[MOV]])+5)^0.6)/(12+0.01*(ABS(Games[[#This Row],[PreGmRate]]-Games[[#This Row],[OppPreGmRate]])))*IF(Games[[#This Row],[OT]]=1,0.9,1)</f>
        <v>0.37929680349212125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-19.206672241639353</v>
      </c>
      <c r="AB97" s="4">
        <f>Games[[#This Row],[PreGmRate]]+Games[[#This Row],[RatingChange]]</f>
        <v>1456.6299503440662</v>
      </c>
      <c r="AC97" s="2">
        <f>IF(Games[[#This Row],[Type]]="R",IF(Games[[#This Row],[Result]]&gt;0.5,1,0),0)</f>
        <v>0</v>
      </c>
      <c r="AD97" s="2">
        <f>IF(Games[[#This Row],[Type]]="R",IF(Games[[#This Row],[Result]]&lt;0.5,1,0),0)</f>
        <v>1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42530</v>
      </c>
      <c r="B98" s="2">
        <v>2016</v>
      </c>
      <c r="C98" s="2">
        <f>COUNTIFS(Games[Team],Games[[#This Row],[Team]],Games[Season],Games[[#This Row],[Season]],Games[Date],"&lt;=" &amp; Games[[#This Row],[Date]])</f>
        <v>7</v>
      </c>
      <c r="D98" s="2" t="s">
        <v>81</v>
      </c>
      <c r="E98" s="2" t="s">
        <v>82</v>
      </c>
      <c r="F98" s="1" t="s">
        <v>74</v>
      </c>
      <c r="G98" s="1" t="s">
        <v>40</v>
      </c>
      <c r="H98" s="1" t="s">
        <v>83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4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3</v>
      </c>
      <c r="L98" s="2">
        <f>Games[[#This Row],[OppDaysOff]]-Games[[#This Row],[DaysOff]]</f>
        <v>-3</v>
      </c>
      <c r="M98" s="1">
        <f>MAX(-16, MIN(16, Games[[#This Row],[RestDiff]]*8))</f>
        <v>16</v>
      </c>
      <c r="N98" s="1">
        <f>MAX(-16, MIN(16, Games[[#This Row],[OppRestDiff]]*8))</f>
        <v>-16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1370.6214974603088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1492.0145965092311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0.26930906489523521</v>
      </c>
      <c r="R98" s="1">
        <v>75</v>
      </c>
      <c r="S98" s="1">
        <v>90</v>
      </c>
      <c r="T98" s="1">
        <v>0</v>
      </c>
      <c r="U98" s="1">
        <f>Games[[#This Row],[PointsFor]]-Games[[#This Row],[PointsAgainst]]</f>
        <v>-15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0.45665262978051602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74.95</v>
      </c>
      <c r="Z98" s="4">
        <f>Games[[#This Row],[K]]*Games[[#This Row],[POMult]]</f>
        <v>74.95</v>
      </c>
      <c r="AA98" s="4">
        <f>(Games[[#This Row],[Keff]]*Games[[#This Row],[MOVMult]])*(Games[[#This Row],[Result]]-Games[[#This Row],[ExpectedWin%]])</f>
        <v>-9.2174029184751536</v>
      </c>
      <c r="AB98" s="4">
        <f>Games[[#This Row],[PreGmRate]]+Games[[#This Row],[RatingChange]]</f>
        <v>1361.4040945418337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42530</v>
      </c>
      <c r="B99" s="2">
        <v>2016</v>
      </c>
      <c r="C99" s="2">
        <f>COUNTIFS(Games[Team],Games[[#This Row],[Team]],Games[Season],Games[[#This Row],[Season]],Games[Date],"&lt;=" &amp; Games[[#This Row],[Date]])</f>
        <v>9</v>
      </c>
      <c r="D99" s="2" t="s">
        <v>81</v>
      </c>
      <c r="E99" s="2" t="s">
        <v>82</v>
      </c>
      <c r="F99" s="1" t="s">
        <v>40</v>
      </c>
      <c r="G99" s="1" t="s">
        <v>74</v>
      </c>
      <c r="H99" s="1" t="s">
        <v>84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9" s="2">
        <f>Games[[#This Row],[DaysOff]]-Games[[#This Row],[OppDaysOff]]</f>
        <v>-3</v>
      </c>
      <c r="L99" s="2">
        <f>Games[[#This Row],[OppDaysOff]]-Games[[#This Row],[DaysOff]]</f>
        <v>3</v>
      </c>
      <c r="M99" s="1">
        <f>MAX(-16, MIN(16, Games[[#This Row],[RestDiff]]*8))</f>
        <v>-16</v>
      </c>
      <c r="N99" s="1">
        <f>MAX(-16, MIN(16, Games[[#This Row],[OppRestDiff]]*8))</f>
        <v>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1492.0145965092311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1370.6214974603088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0.73069093510476479</v>
      </c>
      <c r="R99" s="1">
        <v>90</v>
      </c>
      <c r="S99" s="1">
        <v>75</v>
      </c>
      <c r="T99" s="1">
        <v>0</v>
      </c>
      <c r="U99" s="1">
        <f>Games[[#This Row],[PointsFor]]-Games[[#This Row],[PointsAgainst]]</f>
        <v>15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0.45665262978051602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9.1805087106627123</v>
      </c>
      <c r="AB99" s="4">
        <f>Games[[#This Row],[PreGmRate]]+Games[[#This Row],[RatingChange]]</f>
        <v>1501.1951052198938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42531</v>
      </c>
      <c r="B100" s="2">
        <v>2016</v>
      </c>
      <c r="C100" s="2">
        <f>COUNTIFS(Games[Team],Games[[#This Row],[Team]],Games[Season],Games[[#This Row],[Season]],Games[Date],"&lt;=" &amp; Games[[#This Row],[Date]])</f>
        <v>9</v>
      </c>
      <c r="D100" s="2" t="s">
        <v>81</v>
      </c>
      <c r="E100" s="2" t="s">
        <v>82</v>
      </c>
      <c r="F100" s="1" t="s">
        <v>67</v>
      </c>
      <c r="G100" s="1" t="s">
        <v>79</v>
      </c>
      <c r="H100" s="1" t="s">
        <v>83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0" s="2">
        <f>Games[[#This Row],[DaysOff]]-Games[[#This Row],[OppDaysOff]]</f>
        <v>-2</v>
      </c>
      <c r="L100" s="2">
        <f>Games[[#This Row],[OppDaysOff]]-Games[[#This Row],[DaysOff]]</f>
        <v>2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1653.9337956572813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1545.0841536911937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0.48971126017870625</v>
      </c>
      <c r="R100" s="1">
        <v>110</v>
      </c>
      <c r="S100" s="1">
        <v>78</v>
      </c>
      <c r="T100" s="1">
        <v>0</v>
      </c>
      <c r="U100" s="1">
        <f>Games[[#This Row],[PointsFor]]-Games[[#This Row],[PointsAgainst]]</f>
        <v>32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0.66685479132386671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25.402535861245628</v>
      </c>
      <c r="AB100" s="4">
        <f>Games[[#This Row],[PreGmRate]]+Games[[#This Row],[RatingChange]]</f>
        <v>1679.336331518527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42531</v>
      </c>
      <c r="B101" s="2">
        <v>2016</v>
      </c>
      <c r="C101" s="2">
        <f>COUNTIFS(Games[Team],Games[[#This Row],[Team]],Games[Season],Games[[#This Row],[Season]],Games[Date],"&lt;=" &amp; Games[[#This Row],[Date]])</f>
        <v>9</v>
      </c>
      <c r="D101" s="2" t="s">
        <v>81</v>
      </c>
      <c r="E101" s="2" t="s">
        <v>82</v>
      </c>
      <c r="F101" s="1" t="s">
        <v>79</v>
      </c>
      <c r="G101" s="1" t="s">
        <v>67</v>
      </c>
      <c r="H101" s="1" t="s">
        <v>84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1" s="2">
        <f>Games[[#This Row],[DaysOff]]-Games[[#This Row],[OppDaysOff]]</f>
        <v>2</v>
      </c>
      <c r="L101" s="2">
        <f>Games[[#This Row],[OppDaysOff]]-Games[[#This Row],[DaysOff]]</f>
        <v>-2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1545.0841536911937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1653.9337956572813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0.51028873982129375</v>
      </c>
      <c r="R101" s="1">
        <v>78</v>
      </c>
      <c r="S101" s="1">
        <v>110</v>
      </c>
      <c r="T101" s="1">
        <v>0</v>
      </c>
      <c r="U101" s="1">
        <f>Games[[#This Row],[PointsFor]]-Games[[#This Row],[PointsAgainst]]</f>
        <v>-32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0.66685479132386671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-25.402535861245628</v>
      </c>
      <c r="AB101" s="4">
        <f>Games[[#This Row],[PreGmRate]]+Games[[#This Row],[RatingChange]]</f>
        <v>1519.681617829948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42531</v>
      </c>
      <c r="B102" s="2">
        <v>2016</v>
      </c>
      <c r="C102" s="2">
        <f>COUNTIFS(Games[Team],Games[[#This Row],[Team]],Games[Season],Games[[#This Row],[Season]],Games[Date],"&lt;=" &amp; Games[[#This Row],[Date]])</f>
        <v>9</v>
      </c>
      <c r="D102" s="2" t="s">
        <v>81</v>
      </c>
      <c r="E102" s="2" t="s">
        <v>82</v>
      </c>
      <c r="F102" s="1" t="s">
        <v>71</v>
      </c>
      <c r="G102" s="1" t="s">
        <v>76</v>
      </c>
      <c r="H102" s="1" t="s">
        <v>83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1430.2084353130417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1390.0566391711959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0.43723026945779975</v>
      </c>
      <c r="R102" s="1">
        <v>76</v>
      </c>
      <c r="S102" s="1">
        <v>77</v>
      </c>
      <c r="T102" s="1">
        <v>0</v>
      </c>
      <c r="U102" s="1">
        <f>Games[[#This Row],[PointsFor]]-Games[[#This Row],[PointsAgainst]]</f>
        <v>-1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0.2362739836122752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-7.711803165917483</v>
      </c>
      <c r="AB102" s="4">
        <f>Games[[#This Row],[PreGmRate]]+Games[[#This Row],[RatingChange]]</f>
        <v>1422.4966321471243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42531</v>
      </c>
      <c r="B103" s="2">
        <v>2016</v>
      </c>
      <c r="C103" s="2">
        <f>COUNTIFS(Games[Team],Games[[#This Row],[Team]],Games[Season],Games[[#This Row],[Season]],Games[Date],"&lt;=" &amp; Games[[#This Row],[Date]])</f>
        <v>9</v>
      </c>
      <c r="D103" s="2" t="s">
        <v>81</v>
      </c>
      <c r="E103" s="2" t="s">
        <v>82</v>
      </c>
      <c r="F103" s="1" t="s">
        <v>76</v>
      </c>
      <c r="G103" s="1" t="s">
        <v>71</v>
      </c>
      <c r="H103" s="1" t="s">
        <v>84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1390.0566391711959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1430.2084353130417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0.56276973054220014</v>
      </c>
      <c r="R103" s="1">
        <v>77</v>
      </c>
      <c r="S103" s="1">
        <v>76</v>
      </c>
      <c r="T103" s="1">
        <v>0</v>
      </c>
      <c r="U103" s="1">
        <f>Games[[#This Row],[PointsFor]]-Games[[#This Row],[PointsAgainst]]</f>
        <v>1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0.2362739836122752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7.7118031659174848</v>
      </c>
      <c r="AB103" s="4">
        <f>Games[[#This Row],[PreGmRate]]+Games[[#This Row],[RatingChange]]</f>
        <v>1397.7684423371134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42531</v>
      </c>
      <c r="B104" s="2">
        <v>2016</v>
      </c>
      <c r="C104" s="2">
        <f>COUNTIFS(Games[Team],Games[[#This Row],[Team]],Games[Season],Games[[#This Row],[Season]],Games[Date],"&lt;=" &amp; Games[[#This Row],[Date]])</f>
        <v>9</v>
      </c>
      <c r="D104" s="2" t="s">
        <v>81</v>
      </c>
      <c r="E104" s="2" t="s">
        <v>82</v>
      </c>
      <c r="F104" s="1" t="s">
        <v>77</v>
      </c>
      <c r="G104" s="1" t="s">
        <v>69</v>
      </c>
      <c r="H104" s="1" t="s">
        <v>83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4" s="2">
        <f>Games[[#This Row],[DaysOff]]-Games[[#This Row],[OppDaysOff]]</f>
        <v>2</v>
      </c>
      <c r="L104" s="2">
        <f>Games[[#This Row],[OppDaysOff]]-Games[[#This Row],[DaysOff]]</f>
        <v>-2</v>
      </c>
      <c r="M104" s="1">
        <f>MAX(-16, MIN(16, Games[[#This Row],[RestDiff]]*8))</f>
        <v>16</v>
      </c>
      <c r="N104" s="1">
        <f>MAX(-16, MIN(16, Games[[#This Row],[OppRestDiff]]*8))</f>
        <v>-16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1524.0653508160467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1527.1684942429824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0.4213584775630142</v>
      </c>
      <c r="R104" s="1">
        <v>73</v>
      </c>
      <c r="S104" s="1">
        <v>64</v>
      </c>
      <c r="T104" s="1">
        <v>0</v>
      </c>
      <c r="U104" s="1">
        <f>Games[[#This Row],[PointsFor]]-Games[[#This Row],[PointsAgainst]]</f>
        <v>9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0.40492441170841054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17.490948727392169</v>
      </c>
      <c r="AB104" s="4">
        <f>Games[[#This Row],[PreGmRate]]+Games[[#This Row],[RatingChange]]</f>
        <v>1541.5562995434389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42531</v>
      </c>
      <c r="B105" s="2">
        <v>2016</v>
      </c>
      <c r="C105" s="2">
        <f>COUNTIFS(Games[Team],Games[[#This Row],[Team]],Games[Season],Games[[#This Row],[Season]],Games[Date],"&lt;=" &amp; Games[[#This Row],[Date]])</f>
        <v>9</v>
      </c>
      <c r="D105" s="2" t="s">
        <v>81</v>
      </c>
      <c r="E105" s="2" t="s">
        <v>82</v>
      </c>
      <c r="F105" s="1" t="s">
        <v>69</v>
      </c>
      <c r="G105" s="1" t="s">
        <v>77</v>
      </c>
      <c r="H105" s="1" t="s">
        <v>84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5" s="2">
        <f>Games[[#This Row],[DaysOff]]-Games[[#This Row],[OppDaysOff]]</f>
        <v>-2</v>
      </c>
      <c r="L105" s="2">
        <f>Games[[#This Row],[OppDaysOff]]-Games[[#This Row],[DaysOff]]</f>
        <v>2</v>
      </c>
      <c r="M105" s="1">
        <f>MAX(-16, MIN(16, Games[[#This Row],[RestDiff]]*8))</f>
        <v>-16</v>
      </c>
      <c r="N105" s="1">
        <f>MAX(-16, MIN(16, Games[[#This Row],[OppRestDiff]]*8))</f>
        <v>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1527.1684942429824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1524.0653508160467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0.57864152243698574</v>
      </c>
      <c r="R105" s="1">
        <v>64</v>
      </c>
      <c r="S105" s="1">
        <v>73</v>
      </c>
      <c r="T105" s="1">
        <v>0</v>
      </c>
      <c r="U105" s="1">
        <f>Games[[#This Row],[PointsFor]]-Games[[#This Row],[PointsAgainst]]</f>
        <v>-9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0.40492441170841054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-17.490948727392166</v>
      </c>
      <c r="AB105" s="4">
        <f>Games[[#This Row],[PreGmRate]]+Games[[#This Row],[RatingChange]]</f>
        <v>1509.6775455155903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42532</v>
      </c>
      <c r="B106" s="2">
        <v>2016</v>
      </c>
      <c r="C106" s="2">
        <f>COUNTIFS(Games[Team],Games[[#This Row],[Team]],Games[Season],Games[[#This Row],[Season]],Games[Date],"&lt;=" &amp; Games[[#This Row],[Date]])</f>
        <v>9</v>
      </c>
      <c r="D106" s="2" t="s">
        <v>81</v>
      </c>
      <c r="E106" s="2" t="s">
        <v>82</v>
      </c>
      <c r="F106" s="1" t="s">
        <v>63</v>
      </c>
      <c r="G106" s="1" t="s">
        <v>87</v>
      </c>
      <c r="H106" s="1" t="s">
        <v>83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1</v>
      </c>
      <c r="L106" s="2">
        <f>Games[[#This Row],[OppDaysOff]]-Games[[#This Row],[DaysOff]]</f>
        <v>-1</v>
      </c>
      <c r="M106" s="1">
        <f>MAX(-16, MIN(16, Games[[#This Row],[RestDiff]]*8))</f>
        <v>8</v>
      </c>
      <c r="N106" s="1">
        <f>MAX(-16, MIN(16, Games[[#This Row],[OppRestDiff]]*8))</f>
        <v>-8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1611.1598800325526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1456.6299503440662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0.6220142052223534</v>
      </c>
      <c r="R106" s="1">
        <v>97</v>
      </c>
      <c r="S106" s="1">
        <v>73</v>
      </c>
      <c r="T106" s="1">
        <v>0</v>
      </c>
      <c r="U106" s="1">
        <f>Games[[#This Row],[PointsFor]]-Games[[#This Row],[PointsAgainst]]</f>
        <v>24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0.55673713869961905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74.650000000000006</v>
      </c>
      <c r="Z106" s="4">
        <f>Games[[#This Row],[K]]*Games[[#This Row],[POMult]]</f>
        <v>74.650000000000006</v>
      </c>
      <c r="AA106" s="4">
        <f>(Games[[#This Row],[Keff]]*Games[[#This Row],[MOVMult]])*(Games[[#This Row],[Result]]-Games[[#This Row],[ExpectedWin%]])</f>
        <v>15.709251183571867</v>
      </c>
      <c r="AB106" s="4">
        <f>Games[[#This Row],[PreGmRate]]+Games[[#This Row],[RatingChange]]</f>
        <v>1626.8691312161245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42532</v>
      </c>
      <c r="B107" s="2">
        <v>2016</v>
      </c>
      <c r="C107" s="2">
        <f>COUNTIFS(Games[Team],Games[[#This Row],[Team]],Games[Season],Games[[#This Row],[Season]],Games[Date],"&lt;=" &amp; Games[[#This Row],[Date]])</f>
        <v>9</v>
      </c>
      <c r="D107" s="2" t="s">
        <v>81</v>
      </c>
      <c r="E107" s="2" t="s">
        <v>82</v>
      </c>
      <c r="F107" s="1" t="s">
        <v>87</v>
      </c>
      <c r="G107" s="1" t="s">
        <v>63</v>
      </c>
      <c r="H107" s="1" t="s">
        <v>84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7" s="2">
        <f>Games[[#This Row],[DaysOff]]-Games[[#This Row],[OppDaysOff]]</f>
        <v>-1</v>
      </c>
      <c r="L107" s="2">
        <f>Games[[#This Row],[OppDaysOff]]-Games[[#This Row],[DaysOff]]</f>
        <v>1</v>
      </c>
      <c r="M107" s="1">
        <f>MAX(-16, MIN(16, Games[[#This Row],[RestDiff]]*8))</f>
        <v>-8</v>
      </c>
      <c r="N107" s="1">
        <f>MAX(-16, MIN(16, Games[[#This Row],[OppRestDiff]]*8))</f>
        <v>8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1456.6299503440662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1611.1598800325526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0.3779857947776466</v>
      </c>
      <c r="R107" s="1">
        <v>73</v>
      </c>
      <c r="S107" s="1">
        <v>97</v>
      </c>
      <c r="T107" s="1">
        <v>0</v>
      </c>
      <c r="U107" s="1">
        <f>Games[[#This Row],[PointsFor]]-Games[[#This Row],[PointsAgainst]]</f>
        <v>-24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0.55673713869961905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74.650000000000006</v>
      </c>
      <c r="Z107" s="4">
        <f>Games[[#This Row],[K]]*Games[[#This Row],[POMult]]</f>
        <v>74.650000000000006</v>
      </c>
      <c r="AA107" s="4">
        <f>(Games[[#This Row],[Keff]]*Games[[#This Row],[MOVMult]])*(Games[[#This Row],[Result]]-Games[[#This Row],[ExpectedWin%]])</f>
        <v>-15.709251183571867</v>
      </c>
      <c r="AB107" s="4">
        <f>Games[[#This Row],[PreGmRate]]+Games[[#This Row],[RatingChange]]</f>
        <v>1440.9206991604942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42532</v>
      </c>
      <c r="B108" s="2">
        <v>2016</v>
      </c>
      <c r="C108" s="2">
        <f>COUNTIFS(Games[Team],Games[[#This Row],[Team]],Games[Season],Games[[#This Row],[Season]],Games[Date],"&lt;=" &amp; Games[[#This Row],[Date]])</f>
        <v>9</v>
      </c>
      <c r="D108" s="2" t="s">
        <v>81</v>
      </c>
      <c r="E108" s="2" t="s">
        <v>82</v>
      </c>
      <c r="F108" s="1" t="s">
        <v>60</v>
      </c>
      <c r="G108" s="1" t="s">
        <v>74</v>
      </c>
      <c r="H108" s="1" t="s">
        <v>83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2</v>
      </c>
      <c r="L108" s="2">
        <f>Games[[#This Row],[OppDaysOff]]-Games[[#This Row],[DaysOff]]</f>
        <v>-2</v>
      </c>
      <c r="M108" s="1">
        <f>MAX(-16, MIN(16, Games[[#This Row],[RestDiff]]*8))</f>
        <v>16</v>
      </c>
      <c r="N108" s="1">
        <f>MAX(-16, MIN(16, Games[[#This Row],[OppRestDiff]]*8))</f>
        <v>-16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1533.2620897707302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1361.4040945418337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0.665957601980527</v>
      </c>
      <c r="R108" s="1">
        <v>90</v>
      </c>
      <c r="S108" s="1">
        <v>75</v>
      </c>
      <c r="T108" s="1">
        <v>0</v>
      </c>
      <c r="U108" s="1">
        <f>Games[[#This Row],[PointsFor]]-Games[[#This Row],[PointsAgainst]]</f>
        <v>15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0.43985429669332149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10.968323309079128</v>
      </c>
      <c r="AB108" s="4">
        <f>Games[[#This Row],[PreGmRate]]+Games[[#This Row],[RatingChange]]</f>
        <v>1544.2304130798093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42532</v>
      </c>
      <c r="B109" s="2">
        <v>2016</v>
      </c>
      <c r="C109" s="2">
        <f>COUNTIFS(Games[Team],Games[[#This Row],[Team]],Games[Season],Games[[#This Row],[Season]],Games[Date],"&lt;=" &amp; Games[[#This Row],[Date]])</f>
        <v>8</v>
      </c>
      <c r="D109" s="2" t="s">
        <v>81</v>
      </c>
      <c r="E109" s="2" t="s">
        <v>82</v>
      </c>
      <c r="F109" s="1" t="s">
        <v>74</v>
      </c>
      <c r="G109" s="1" t="s">
        <v>60</v>
      </c>
      <c r="H109" s="1" t="s">
        <v>84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9" s="2">
        <f>Games[[#This Row],[DaysOff]]-Games[[#This Row],[OppDaysOff]]</f>
        <v>-2</v>
      </c>
      <c r="L109" s="2">
        <f>Games[[#This Row],[OppDaysOff]]-Games[[#This Row],[DaysOff]]</f>
        <v>2</v>
      </c>
      <c r="M109" s="1">
        <f>MAX(-16, MIN(16, Games[[#This Row],[RestDiff]]*8))</f>
        <v>-16</v>
      </c>
      <c r="N109" s="1">
        <f>MAX(-16, MIN(16, Games[[#This Row],[OppRestDiff]]*8))</f>
        <v>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1361.4040945418337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1533.2620897707302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0.33404239801947305</v>
      </c>
      <c r="R109" s="1">
        <v>75</v>
      </c>
      <c r="S109" s="1">
        <v>90</v>
      </c>
      <c r="T109" s="1">
        <v>0</v>
      </c>
      <c r="U109" s="1">
        <f>Games[[#This Row],[PointsFor]]-Games[[#This Row],[PointsAgainst]]</f>
        <v>-15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0.43985429669332149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74.8</v>
      </c>
      <c r="Z109" s="4">
        <f>Games[[#This Row],[K]]*Games[[#This Row],[POMult]]</f>
        <v>74.8</v>
      </c>
      <c r="AA109" s="4">
        <f>(Games[[#This Row],[Keff]]*Games[[#This Row],[MOVMult]])*(Games[[#This Row],[Result]]-Games[[#This Row],[ExpectedWin%]])</f>
        <v>-10.99036280668612</v>
      </c>
      <c r="AB109" s="4">
        <f>Games[[#This Row],[PreGmRate]]+Games[[#This Row],[RatingChange]]</f>
        <v>1350.4137317351476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42532</v>
      </c>
      <c r="B110" s="2">
        <v>2016</v>
      </c>
      <c r="C110" s="2">
        <f>COUNTIFS(Games[Team],Games[[#This Row],[Team]],Games[Season],Games[[#This Row],[Season]],Games[Date],"&lt;=" &amp; Games[[#This Row],[Date]])</f>
        <v>10</v>
      </c>
      <c r="D110" s="2" t="s">
        <v>81</v>
      </c>
      <c r="E110" s="2" t="s">
        <v>82</v>
      </c>
      <c r="F110" s="1" t="s">
        <v>67</v>
      </c>
      <c r="G110" s="1" t="s">
        <v>65</v>
      </c>
      <c r="H110" s="1" t="s">
        <v>83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-2</v>
      </c>
      <c r="L110" s="2">
        <f>Games[[#This Row],[OppDaysOff]]-Games[[#This Row],[DaysOff]]</f>
        <v>2</v>
      </c>
      <c r="M110" s="1">
        <f>MAX(-16, MIN(16, Games[[#This Row],[RestDiff]]*8))</f>
        <v>-16</v>
      </c>
      <c r="N110" s="1">
        <f>MAX(-16, MIN(16, Games[[#This Row],[OppRestDiff]]*8))</f>
        <v>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1679.336331518527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1466.4332571327161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0.63594773420565398</v>
      </c>
      <c r="R110" s="1">
        <v>83</v>
      </c>
      <c r="S110" s="1">
        <v>76</v>
      </c>
      <c r="T110" s="1">
        <v>0</v>
      </c>
      <c r="U110" s="1">
        <f>Games[[#This Row],[PointsFor]]-Games[[#This Row],[PointsAgainst]]</f>
        <v>7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0.31433763223825295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74.5</v>
      </c>
      <c r="Z110" s="4">
        <f>Games[[#This Row],[K]]*Games[[#This Row],[POMult]]</f>
        <v>74.5</v>
      </c>
      <c r="AA110" s="4">
        <f>(Games[[#This Row],[Keff]]*Games[[#This Row],[MOVMult]])*(Games[[#This Row],[Result]]-Games[[#This Row],[ExpectedWin%]])</f>
        <v>8.5254318794370558</v>
      </c>
      <c r="AB110" s="4">
        <f>Games[[#This Row],[PreGmRate]]+Games[[#This Row],[RatingChange]]</f>
        <v>1687.8617633979641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42532</v>
      </c>
      <c r="B111" s="2">
        <v>2016</v>
      </c>
      <c r="C111" s="2">
        <f>COUNTIFS(Games[Team],Games[[#This Row],[Team]],Games[Season],Games[[#This Row],[Season]],Games[Date],"&lt;=" &amp; Games[[#This Row],[Date]])</f>
        <v>11</v>
      </c>
      <c r="D111" s="2" t="s">
        <v>81</v>
      </c>
      <c r="E111" s="2" t="s">
        <v>82</v>
      </c>
      <c r="F111" s="1" t="s">
        <v>65</v>
      </c>
      <c r="G111" s="1" t="s">
        <v>67</v>
      </c>
      <c r="H111" s="1" t="s">
        <v>84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1" s="2">
        <f>Games[[#This Row],[DaysOff]]-Games[[#This Row],[OppDaysOff]]</f>
        <v>2</v>
      </c>
      <c r="L111" s="2">
        <f>Games[[#This Row],[OppDaysOff]]-Games[[#This Row],[DaysOff]]</f>
        <v>-2</v>
      </c>
      <c r="M111" s="1">
        <f>MAX(-16, MIN(16, Games[[#This Row],[RestDiff]]*8))</f>
        <v>16</v>
      </c>
      <c r="N111" s="1">
        <f>MAX(-16, MIN(16, Games[[#This Row],[OppRestDiff]]*8))</f>
        <v>-16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1466.4332571327161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1679.336331518527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0.36405226579434596</v>
      </c>
      <c r="R111" s="1">
        <v>76</v>
      </c>
      <c r="S111" s="1">
        <v>83</v>
      </c>
      <c r="T111" s="1">
        <v>0</v>
      </c>
      <c r="U111" s="1">
        <f>Games[[#This Row],[PointsFor]]-Games[[#This Row],[PointsAgainst]]</f>
        <v>-7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0.31433763223825295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74.349999999999994</v>
      </c>
      <c r="Z111" s="4">
        <f>Games[[#This Row],[K]]*Games[[#This Row],[POMult]]</f>
        <v>74.349999999999994</v>
      </c>
      <c r="AA111" s="4">
        <f>(Games[[#This Row],[Keff]]*Games[[#This Row],[MOVMult]])*(Games[[#This Row],[Result]]-Games[[#This Row],[ExpectedWin%]])</f>
        <v>-8.5082665803509396</v>
      </c>
      <c r="AB111" s="4">
        <f>Games[[#This Row],[PreGmRate]]+Games[[#This Row],[RatingChange]]</f>
        <v>1457.9249905523652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42533</v>
      </c>
      <c r="B112" s="2">
        <v>2016</v>
      </c>
      <c r="C112" s="2">
        <f>COUNTIFS(Games[Team],Games[[#This Row],[Team]],Games[Season],Games[[#This Row],[Season]],Games[Date],"&lt;=" &amp; Games[[#This Row],[Date]])</f>
        <v>10</v>
      </c>
      <c r="D112" s="2" t="s">
        <v>81</v>
      </c>
      <c r="E112" s="2" t="s">
        <v>82</v>
      </c>
      <c r="F112" s="1" t="s">
        <v>76</v>
      </c>
      <c r="G112" s="1" t="s">
        <v>79</v>
      </c>
      <c r="H112" s="1" t="s">
        <v>83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1397.7684423371134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1519.681617829948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0.23409492907728457</v>
      </c>
      <c r="R112" s="1">
        <v>87</v>
      </c>
      <c r="S112" s="1">
        <v>93</v>
      </c>
      <c r="T112" s="1">
        <v>0</v>
      </c>
      <c r="U112" s="1">
        <f>Games[[#This Row],[PointsFor]]-Games[[#This Row],[PointsAgainst]]</f>
        <v>-6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0.31888396388214602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-5.5613593587111394</v>
      </c>
      <c r="AB112" s="4">
        <f>Games[[#This Row],[PreGmRate]]+Games[[#This Row],[RatingChange]]</f>
        <v>1392.2070829784022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42533</v>
      </c>
      <c r="B113" s="2">
        <v>2016</v>
      </c>
      <c r="C113" s="2">
        <f>COUNTIFS(Games[Team],Games[[#This Row],[Team]],Games[Season],Games[[#This Row],[Season]],Games[Date],"&lt;=" &amp; Games[[#This Row],[Date]])</f>
        <v>10</v>
      </c>
      <c r="D113" s="2" t="s">
        <v>81</v>
      </c>
      <c r="E113" s="2" t="s">
        <v>82</v>
      </c>
      <c r="F113" s="1" t="s">
        <v>79</v>
      </c>
      <c r="G113" s="1" t="s">
        <v>76</v>
      </c>
      <c r="H113" s="1" t="s">
        <v>84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1519.681617829948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1397.7684423371134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0.76590507092271531</v>
      </c>
      <c r="R113" s="1">
        <v>93</v>
      </c>
      <c r="S113" s="1">
        <v>87</v>
      </c>
      <c r="T113" s="1">
        <v>0</v>
      </c>
      <c r="U113" s="1">
        <f>Games[[#This Row],[PointsFor]]-Games[[#This Row],[PointsAgainst]]</f>
        <v>6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0.31888396388214602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5.5613593587111421</v>
      </c>
      <c r="AB113" s="4">
        <f>Games[[#This Row],[PreGmRate]]+Games[[#This Row],[RatingChange]]</f>
        <v>1525.2429771886591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42533</v>
      </c>
      <c r="B114" s="2">
        <v>2016</v>
      </c>
      <c r="C114" s="2">
        <f>COUNTIFS(Games[Team],Games[[#This Row],[Team]],Games[Season],Games[[#This Row],[Season]],Games[Date],"&lt;=" &amp; Games[[#This Row],[Date]])</f>
        <v>10</v>
      </c>
      <c r="D114" s="2" t="s">
        <v>81</v>
      </c>
      <c r="E114" s="2" t="s">
        <v>82</v>
      </c>
      <c r="F114" s="1" t="s">
        <v>71</v>
      </c>
      <c r="G114" s="1" t="s">
        <v>69</v>
      </c>
      <c r="H114" s="1" t="s">
        <v>83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1422.4966321471243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1509.6775455155903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0.27182230386482359</v>
      </c>
      <c r="R114" s="1">
        <v>90</v>
      </c>
      <c r="S114" s="1">
        <v>88</v>
      </c>
      <c r="T114" s="1">
        <v>0</v>
      </c>
      <c r="U114" s="1">
        <f>Games[[#This Row],[PointsFor]]-Games[[#This Row],[PointsAgainst]]</f>
        <v>2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0.2497003969166203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74.5</v>
      </c>
      <c r="Z114" s="4">
        <f>Games[[#This Row],[K]]*Games[[#This Row],[POMult]]</f>
        <v>74.5</v>
      </c>
      <c r="AA114" s="4">
        <f>(Games[[#This Row],[Keff]]*Games[[#This Row],[MOVMult]])*(Games[[#This Row],[Result]]-Games[[#This Row],[ExpectedWin%]])</f>
        <v>13.546056351433386</v>
      </c>
      <c r="AB114" s="4">
        <f>Games[[#This Row],[PreGmRate]]+Games[[#This Row],[RatingChange]]</f>
        <v>1436.0426884985577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42533</v>
      </c>
      <c r="B115" s="2">
        <v>2016</v>
      </c>
      <c r="C115" s="2">
        <f>COUNTIFS(Games[Team],Games[[#This Row],[Team]],Games[Season],Games[[#This Row],[Season]],Games[Date],"&lt;=" &amp; Games[[#This Row],[Date]])</f>
        <v>10</v>
      </c>
      <c r="D115" s="2" t="s">
        <v>81</v>
      </c>
      <c r="E115" s="2" t="s">
        <v>82</v>
      </c>
      <c r="F115" s="1" t="s">
        <v>69</v>
      </c>
      <c r="G115" s="1" t="s">
        <v>71</v>
      </c>
      <c r="H115" s="1" t="s">
        <v>84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1509.6775455155903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1422.4966321471243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0.72817769613517636</v>
      </c>
      <c r="R115" s="1">
        <v>88</v>
      </c>
      <c r="S115" s="1">
        <v>90</v>
      </c>
      <c r="T115" s="1">
        <v>0</v>
      </c>
      <c r="U115" s="1">
        <f>Games[[#This Row],[PointsFor]]-Games[[#This Row],[PointsAgainst]]</f>
        <v>-2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0.2497003969166203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-13.546056351433384</v>
      </c>
      <c r="AB115" s="4">
        <f>Games[[#This Row],[PreGmRate]]+Games[[#This Row],[RatingChange]]</f>
        <v>1496.1314891641568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42533</v>
      </c>
      <c r="B116" s="2">
        <v>2016</v>
      </c>
      <c r="C116" s="2">
        <f>COUNTIFS(Games[Team],Games[[#This Row],[Team]],Games[Season],Games[[#This Row],[Season]],Games[Date],"&lt;=" &amp; Games[[#This Row],[Date]])</f>
        <v>10</v>
      </c>
      <c r="D116" s="2" t="s">
        <v>81</v>
      </c>
      <c r="E116" s="2" t="s">
        <v>82</v>
      </c>
      <c r="F116" s="1" t="s">
        <v>77</v>
      </c>
      <c r="G116" s="1" t="s">
        <v>40</v>
      </c>
      <c r="H116" s="1" t="s">
        <v>83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6" s="2">
        <f>Games[[#This Row],[DaysOff]]-Games[[#This Row],[OppDaysOff]]</f>
        <v>-1</v>
      </c>
      <c r="L116" s="2">
        <f>Games[[#This Row],[OppDaysOff]]-Games[[#This Row],[DaysOff]]</f>
        <v>1</v>
      </c>
      <c r="M116" s="1">
        <f>MAX(-16, MIN(16, Games[[#This Row],[RestDiff]]*8))</f>
        <v>-8</v>
      </c>
      <c r="N116" s="1">
        <f>MAX(-16, MIN(16, Games[[#This Row],[OppRestDiff]]*8))</f>
        <v>8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1541.5562995434389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1501.1951052198938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0.41500601226627259</v>
      </c>
      <c r="R116" s="1">
        <v>80</v>
      </c>
      <c r="S116" s="1">
        <v>86</v>
      </c>
      <c r="T116" s="1">
        <v>0</v>
      </c>
      <c r="U116" s="1">
        <f>Games[[#This Row],[PointsFor]]-Games[[#This Row],[PointsAgainst]]</f>
        <v>-6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0.33985013013816778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-10.507468622122703</v>
      </c>
      <c r="AB116" s="4">
        <f>Games[[#This Row],[PreGmRate]]+Games[[#This Row],[RatingChange]]</f>
        <v>1531.048830921316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42533</v>
      </c>
      <c r="B117" s="2">
        <v>2016</v>
      </c>
      <c r="C117" s="2">
        <f>COUNTIFS(Games[Team],Games[[#This Row],[Team]],Games[Season],Games[[#This Row],[Season]],Games[Date],"&lt;=" &amp; Games[[#This Row],[Date]])</f>
        <v>10</v>
      </c>
      <c r="D117" s="2" t="s">
        <v>81</v>
      </c>
      <c r="E117" s="2" t="s">
        <v>82</v>
      </c>
      <c r="F117" s="1" t="s">
        <v>40</v>
      </c>
      <c r="G117" s="1" t="s">
        <v>77</v>
      </c>
      <c r="H117" s="1" t="s">
        <v>84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1</v>
      </c>
      <c r="L117" s="2">
        <f>Games[[#This Row],[OppDaysOff]]-Games[[#This Row],[DaysOff]]</f>
        <v>-1</v>
      </c>
      <c r="M117" s="1">
        <f>MAX(-16, MIN(16, Games[[#This Row],[RestDiff]]*8))</f>
        <v>8</v>
      </c>
      <c r="N117" s="1">
        <f>MAX(-16, MIN(16, Games[[#This Row],[OppRestDiff]]*8))</f>
        <v>-8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1501.1951052198938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1541.5562995434389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0.58499398773372746</v>
      </c>
      <c r="R117" s="1">
        <v>86</v>
      </c>
      <c r="S117" s="1">
        <v>80</v>
      </c>
      <c r="T117" s="1">
        <v>0</v>
      </c>
      <c r="U117" s="1">
        <f>Games[[#This Row],[PointsFor]]-Games[[#This Row],[PointsAgainst]]</f>
        <v>6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0.33985013013816778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10.507468622122701</v>
      </c>
      <c r="AB117" s="4">
        <f>Games[[#This Row],[PreGmRate]]+Games[[#This Row],[RatingChange]]</f>
        <v>1511.7025738420166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42535</v>
      </c>
      <c r="B118" s="2">
        <v>2016</v>
      </c>
      <c r="C118" s="2">
        <f>COUNTIFS(Games[Team],Games[[#This Row],[Team]],Games[Season],Games[[#This Row],[Season]],Games[Date],"&lt;=" &amp; Games[[#This Row],[Date]])</f>
        <v>12</v>
      </c>
      <c r="D118" s="2" t="s">
        <v>81</v>
      </c>
      <c r="E118" s="2" t="s">
        <v>82</v>
      </c>
      <c r="F118" s="1" t="s">
        <v>65</v>
      </c>
      <c r="G118" s="1" t="s">
        <v>76</v>
      </c>
      <c r="H118" s="1" t="s">
        <v>83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1</v>
      </c>
      <c r="L118" s="2">
        <f>Games[[#This Row],[OppDaysOff]]-Games[[#This Row],[DaysOff]]</f>
        <v>-1</v>
      </c>
      <c r="M118" s="1">
        <f>MAX(-16, MIN(16, Games[[#This Row],[RestDiff]]*8))</f>
        <v>8</v>
      </c>
      <c r="N118" s="1">
        <f>MAX(-16, MIN(16, Games[[#This Row],[OppRestDiff]]*8))</f>
        <v>-8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1457.9249905523652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1392.2070829784022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0.49671585222936909</v>
      </c>
      <c r="R118" s="1">
        <v>109</v>
      </c>
      <c r="S118" s="1">
        <v>106</v>
      </c>
      <c r="T118" s="1">
        <v>1</v>
      </c>
      <c r="U118" s="1">
        <f>Games[[#This Row],[PointsFor]]-Games[[#This Row],[PointsAgainst]]</f>
        <v>3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0.24760509503045891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74.2</v>
      </c>
      <c r="Z118" s="4">
        <f>Games[[#This Row],[K]]*Games[[#This Row],[POMult]]</f>
        <v>74.2</v>
      </c>
      <c r="AA118" s="4">
        <f>(Games[[#This Row],[Keff]]*Games[[#This Row],[MOVMult]])*(Games[[#This Row],[Result]]-Games[[#This Row],[ExpectedWin%]])</f>
        <v>9.2464863673164395</v>
      </c>
      <c r="AB118" s="4">
        <f>Games[[#This Row],[PreGmRate]]+Games[[#This Row],[RatingChange]]</f>
        <v>1467.1714769196817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42535</v>
      </c>
      <c r="B119" s="2">
        <v>2016</v>
      </c>
      <c r="C119" s="2">
        <f>COUNTIFS(Games[Team],Games[[#This Row],[Team]],Games[Season],Games[[#This Row],[Season]],Games[Date],"&lt;=" &amp; Games[[#This Row],[Date]])</f>
        <v>11</v>
      </c>
      <c r="D119" s="2" t="s">
        <v>81</v>
      </c>
      <c r="E119" s="2" t="s">
        <v>82</v>
      </c>
      <c r="F119" s="1" t="s">
        <v>76</v>
      </c>
      <c r="G119" s="1" t="s">
        <v>65</v>
      </c>
      <c r="H119" s="1" t="s">
        <v>84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-1</v>
      </c>
      <c r="L119" s="2">
        <f>Games[[#This Row],[OppDaysOff]]-Games[[#This Row],[DaysOff]]</f>
        <v>1</v>
      </c>
      <c r="M119" s="1">
        <f>MAX(-16, MIN(16, Games[[#This Row],[RestDiff]]*8))</f>
        <v>-8</v>
      </c>
      <c r="N119" s="1">
        <f>MAX(-16, MIN(16, Games[[#This Row],[OppRestDiff]]*8))</f>
        <v>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1392.2070829784022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1457.9249905523652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0.50328414777063091</v>
      </c>
      <c r="R119" s="1">
        <v>106</v>
      </c>
      <c r="S119" s="1">
        <v>109</v>
      </c>
      <c r="T119" s="1">
        <v>1</v>
      </c>
      <c r="U119" s="1">
        <f>Games[[#This Row],[PointsFor]]-Games[[#This Row],[PointsAgainst]]</f>
        <v>-3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0.24760509503045891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74.349999999999994</v>
      </c>
      <c r="Z119" s="4">
        <f>Games[[#This Row],[K]]*Games[[#This Row],[POMult]]</f>
        <v>74.349999999999994</v>
      </c>
      <c r="AA119" s="4">
        <f>(Games[[#This Row],[Keff]]*Games[[#This Row],[MOVMult]])*(Games[[#This Row],[Result]]-Games[[#This Row],[ExpectedWin%]])</f>
        <v>-9.2651787252018476</v>
      </c>
      <c r="AB119" s="4">
        <f>Games[[#This Row],[PreGmRate]]+Games[[#This Row],[RatingChange]]</f>
        <v>1382.9419042532004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42535</v>
      </c>
      <c r="B120" s="2">
        <v>2016</v>
      </c>
      <c r="C120" s="2">
        <f>COUNTIFS(Games[Team],Games[[#This Row],[Team]],Games[Season],Games[[#This Row],[Season]],Games[Date],"&lt;=" &amp; Games[[#This Row],[Date]])</f>
        <v>11</v>
      </c>
      <c r="D120" s="2" t="s">
        <v>81</v>
      </c>
      <c r="E120" s="2" t="s">
        <v>82</v>
      </c>
      <c r="F120" s="1" t="s">
        <v>77</v>
      </c>
      <c r="G120" s="1" t="s">
        <v>63</v>
      </c>
      <c r="H120" s="1" t="s">
        <v>83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-1</v>
      </c>
      <c r="L120" s="2">
        <f>Games[[#This Row],[OppDaysOff]]-Games[[#This Row],[DaysOff]]</f>
        <v>1</v>
      </c>
      <c r="M120" s="1">
        <f>MAX(-16, MIN(16, Games[[#This Row],[RestDiff]]*8))</f>
        <v>-8</v>
      </c>
      <c r="N120" s="1">
        <f>MAX(-16, MIN(16, Games[[#This Row],[OppRestDiff]]*8))</f>
        <v>8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1531.048830921316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1626.8691312161245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0.24467223895809448</v>
      </c>
      <c r="R120" s="1">
        <v>85</v>
      </c>
      <c r="S120" s="1">
        <v>98</v>
      </c>
      <c r="T120" s="1">
        <v>0</v>
      </c>
      <c r="U120" s="1">
        <f>Games[[#This Row],[PointsFor]]-Games[[#This Row],[PointsAgainst]]</f>
        <v>-13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0.43713816387046028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-7.9521468739788537</v>
      </c>
      <c r="AB120" s="4">
        <f>Games[[#This Row],[PreGmRate]]+Games[[#This Row],[RatingChange]]</f>
        <v>1523.0966840473372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42535</v>
      </c>
      <c r="B121" s="2">
        <v>2016</v>
      </c>
      <c r="C121" s="2">
        <f>COUNTIFS(Games[Team],Games[[#This Row],[Team]],Games[Season],Games[[#This Row],[Season]],Games[Date],"&lt;=" &amp; Games[[#This Row],[Date]])</f>
        <v>10</v>
      </c>
      <c r="D121" s="2" t="s">
        <v>81</v>
      </c>
      <c r="E121" s="2" t="s">
        <v>82</v>
      </c>
      <c r="F121" s="1" t="s">
        <v>63</v>
      </c>
      <c r="G121" s="1" t="s">
        <v>77</v>
      </c>
      <c r="H121" s="1" t="s">
        <v>84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1</v>
      </c>
      <c r="L121" s="2">
        <f>Games[[#This Row],[OppDaysOff]]-Games[[#This Row],[DaysOff]]</f>
        <v>-1</v>
      </c>
      <c r="M121" s="1">
        <f>MAX(-16, MIN(16, Games[[#This Row],[RestDiff]]*8))</f>
        <v>8</v>
      </c>
      <c r="N121" s="1">
        <f>MAX(-16, MIN(16, Games[[#This Row],[OppRestDiff]]*8))</f>
        <v>-8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1626.8691312161245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1531.048830921316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0.75532776104190547</v>
      </c>
      <c r="R121" s="1">
        <v>98</v>
      </c>
      <c r="S121" s="1">
        <v>85</v>
      </c>
      <c r="T121" s="1">
        <v>0</v>
      </c>
      <c r="U121" s="1">
        <f>Games[[#This Row],[PointsFor]]-Games[[#This Row],[PointsAgainst]]</f>
        <v>13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0.43713816387046028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7.9681902099720876</v>
      </c>
      <c r="AB121" s="4">
        <f>Games[[#This Row],[PreGmRate]]+Games[[#This Row],[RatingChange]]</f>
        <v>1634.8373214260967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42535</v>
      </c>
      <c r="B122" s="2">
        <v>2016</v>
      </c>
      <c r="C122" s="2">
        <f>COUNTIFS(Games[Team],Games[[#This Row],[Team]],Games[Season],Games[[#This Row],[Season]],Games[Date],"&lt;=" &amp; Games[[#This Row],[Date]])</f>
        <v>11</v>
      </c>
      <c r="D122" s="2" t="s">
        <v>81</v>
      </c>
      <c r="E122" s="2" t="s">
        <v>82</v>
      </c>
      <c r="F122" s="1" t="s">
        <v>69</v>
      </c>
      <c r="G122" s="1" t="s">
        <v>67</v>
      </c>
      <c r="H122" s="1" t="s">
        <v>83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-1</v>
      </c>
      <c r="L122" s="2">
        <f>Games[[#This Row],[OppDaysOff]]-Games[[#This Row],[DaysOff]]</f>
        <v>1</v>
      </c>
      <c r="M122" s="1">
        <f>MAX(-16, MIN(16, Games[[#This Row],[RestDiff]]*8))</f>
        <v>-8</v>
      </c>
      <c r="N122" s="1">
        <f>MAX(-16, MIN(16, Games[[#This Row],[OppRestDiff]]*8))</f>
        <v>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1496.1314891641568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1687.8617633979641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0.15718361858246507</v>
      </c>
      <c r="R122" s="1">
        <v>63</v>
      </c>
      <c r="S122" s="1">
        <v>87</v>
      </c>
      <c r="T122" s="1">
        <v>0</v>
      </c>
      <c r="U122" s="1">
        <f>Games[[#This Row],[PointsFor]]-Games[[#This Row],[PointsAgainst]]</f>
        <v>-24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0.5418557972757545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74.349999999999994</v>
      </c>
      <c r="Z122" s="4">
        <f>Games[[#This Row],[K]]*Games[[#This Row],[POMult]]</f>
        <v>74.349999999999994</v>
      </c>
      <c r="AA122" s="4">
        <f>(Games[[#This Row],[Keff]]*Games[[#This Row],[MOVMult]])*(Games[[#This Row],[Result]]-Games[[#This Row],[ExpectedWin%]])</f>
        <v>-6.3324530666990295</v>
      </c>
      <c r="AB122" s="4">
        <f>Games[[#This Row],[PreGmRate]]+Games[[#This Row],[RatingChange]]</f>
        <v>1489.7990360974579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42535</v>
      </c>
      <c r="B123" s="2">
        <v>2016</v>
      </c>
      <c r="C123" s="2">
        <f>COUNTIFS(Games[Team],Games[[#This Row],[Team]],Games[Season],Games[[#This Row],[Season]],Games[Date],"&lt;=" &amp; Games[[#This Row],[Date]])</f>
        <v>11</v>
      </c>
      <c r="D123" s="2" t="s">
        <v>81</v>
      </c>
      <c r="E123" s="2" t="s">
        <v>82</v>
      </c>
      <c r="F123" s="1" t="s">
        <v>67</v>
      </c>
      <c r="G123" s="1" t="s">
        <v>69</v>
      </c>
      <c r="H123" s="1" t="s">
        <v>84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1</v>
      </c>
      <c r="L123" s="2">
        <f>Games[[#This Row],[OppDaysOff]]-Games[[#This Row],[DaysOff]]</f>
        <v>-1</v>
      </c>
      <c r="M123" s="1">
        <f>MAX(-16, MIN(16, Games[[#This Row],[RestDiff]]*8))</f>
        <v>8</v>
      </c>
      <c r="N123" s="1">
        <f>MAX(-16, MIN(16, Games[[#This Row],[OppRestDiff]]*8))</f>
        <v>-8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1687.8617633979641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1496.1314891641568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0.8428163814175349</v>
      </c>
      <c r="R123" s="1">
        <v>87</v>
      </c>
      <c r="S123" s="1">
        <v>63</v>
      </c>
      <c r="T123" s="1">
        <v>0</v>
      </c>
      <c r="U123" s="1">
        <f>Games[[#This Row],[PointsFor]]-Games[[#This Row],[PointsAgainst]]</f>
        <v>24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0.5418557972757545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6.3324530666990304</v>
      </c>
      <c r="AB123" s="4">
        <f>Games[[#This Row],[PreGmRate]]+Games[[#This Row],[RatingChange]]</f>
        <v>1694.194216464663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42535</v>
      </c>
      <c r="B124" s="2">
        <v>2016</v>
      </c>
      <c r="C124" s="2">
        <f>COUNTIFS(Games[Team],Games[[#This Row],[Team]],Games[Season],Games[[#This Row],[Season]],Games[Date],"&lt;=" &amp; Games[[#This Row],[Date]])</f>
        <v>10</v>
      </c>
      <c r="D124" s="2" t="s">
        <v>81</v>
      </c>
      <c r="E124" s="2" t="s">
        <v>82</v>
      </c>
      <c r="F124" s="1" t="s">
        <v>87</v>
      </c>
      <c r="G124" s="1" t="s">
        <v>60</v>
      </c>
      <c r="H124" s="1" t="s">
        <v>83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1440.9206991604942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1544.2304130798093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0.25383896197247263</v>
      </c>
      <c r="R124" s="1">
        <v>88</v>
      </c>
      <c r="S124" s="1">
        <v>91</v>
      </c>
      <c r="T124" s="1">
        <v>0</v>
      </c>
      <c r="U124" s="1">
        <f>Games[[#This Row],[PointsFor]]-Games[[#This Row],[PointsAgainst]]</f>
        <v>-3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0.26718148541322634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-5.0526697832089749</v>
      </c>
      <c r="AB124" s="4">
        <f>Games[[#This Row],[PreGmRate]]+Games[[#This Row],[RatingChange]]</f>
        <v>1435.8680293772852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42535</v>
      </c>
      <c r="B125" s="2">
        <v>2016</v>
      </c>
      <c r="C125" s="2">
        <f>COUNTIFS(Games[Team],Games[[#This Row],[Team]],Games[Season],Games[[#This Row],[Season]],Games[Date],"&lt;=" &amp; Games[[#This Row],[Date]])</f>
        <v>10</v>
      </c>
      <c r="D125" s="2" t="s">
        <v>81</v>
      </c>
      <c r="E125" s="2" t="s">
        <v>82</v>
      </c>
      <c r="F125" s="1" t="s">
        <v>60</v>
      </c>
      <c r="G125" s="1" t="s">
        <v>87</v>
      </c>
      <c r="H125" s="1" t="s">
        <v>84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1544.2304130798093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1440.9206991604942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0.74616103802752731</v>
      </c>
      <c r="R125" s="1">
        <v>91</v>
      </c>
      <c r="S125" s="1">
        <v>88</v>
      </c>
      <c r="T125" s="1">
        <v>0</v>
      </c>
      <c r="U125" s="1">
        <f>Games[[#This Row],[PointsFor]]-Games[[#This Row],[PointsAgainst]]</f>
        <v>3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0.26718148541322634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74.5</v>
      </c>
      <c r="Z125" s="4">
        <f>Games[[#This Row],[K]]*Games[[#This Row],[POMult]]</f>
        <v>74.5</v>
      </c>
      <c r="AA125" s="4">
        <f>(Games[[#This Row],[Keff]]*Games[[#This Row],[MOVMult]])*(Games[[#This Row],[Result]]-Games[[#This Row],[ExpectedWin%]])</f>
        <v>5.0526697832089766</v>
      </c>
      <c r="AB125" s="4">
        <f>Games[[#This Row],[PreGmRate]]+Games[[#This Row],[RatingChange]]</f>
        <v>1549.2830828630183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42535</v>
      </c>
      <c r="B126" s="2">
        <v>2016</v>
      </c>
      <c r="C126" s="2">
        <f>COUNTIFS(Games[Team],Games[[#This Row],[Team]],Games[Season],Games[[#This Row],[Season]],Games[Date],"&lt;=" &amp; Games[[#This Row],[Date]])</f>
        <v>11</v>
      </c>
      <c r="D126" s="2" t="s">
        <v>81</v>
      </c>
      <c r="E126" s="2" t="s">
        <v>82</v>
      </c>
      <c r="F126" s="1" t="s">
        <v>71</v>
      </c>
      <c r="G126" s="1" t="s">
        <v>74</v>
      </c>
      <c r="H126" s="1" t="s">
        <v>83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-1</v>
      </c>
      <c r="L126" s="2">
        <f>Games[[#This Row],[OppDaysOff]]-Games[[#This Row],[DaysOff]]</f>
        <v>1</v>
      </c>
      <c r="M126" s="1">
        <f>MAX(-16, MIN(16, Games[[#This Row],[RestDiff]]*8))</f>
        <v>-8</v>
      </c>
      <c r="N126" s="1">
        <f>MAX(-16, MIN(16, Games[[#This Row],[OppRestDiff]]*8))</f>
        <v>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1436.0426884985577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1350.4137317351476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0.47933019303343016</v>
      </c>
      <c r="R126" s="1">
        <v>70</v>
      </c>
      <c r="S126" s="1">
        <v>77</v>
      </c>
      <c r="T126" s="1">
        <v>0</v>
      </c>
      <c r="U126" s="1">
        <f>Games[[#This Row],[PointsFor]]-Games[[#This Row],[PointsAgainst]]</f>
        <v>-7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0.3454562878722679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74.349999999999994</v>
      </c>
      <c r="Z126" s="4">
        <f>Games[[#This Row],[K]]*Games[[#This Row],[POMult]]</f>
        <v>74.349999999999994</v>
      </c>
      <c r="AA126" s="4">
        <f>(Games[[#This Row],[Keff]]*Games[[#This Row],[MOVMult]])*(Games[[#This Row],[Result]]-Games[[#This Row],[ExpectedWin%]])</f>
        <v>-12.311440227334201</v>
      </c>
      <c r="AB126" s="4">
        <f>Games[[#This Row],[PreGmRate]]+Games[[#This Row],[RatingChange]]</f>
        <v>1423.7312482712234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42535</v>
      </c>
      <c r="B127" s="2">
        <v>2016</v>
      </c>
      <c r="C127" s="2">
        <f>COUNTIFS(Games[Team],Games[[#This Row],[Team]],Games[Season],Games[[#This Row],[Season]],Games[Date],"&lt;=" &amp; Games[[#This Row],[Date]])</f>
        <v>9</v>
      </c>
      <c r="D127" s="2" t="s">
        <v>81</v>
      </c>
      <c r="E127" s="2" t="s">
        <v>82</v>
      </c>
      <c r="F127" s="1" t="s">
        <v>74</v>
      </c>
      <c r="G127" s="1" t="s">
        <v>71</v>
      </c>
      <c r="H127" s="1" t="s">
        <v>84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1</v>
      </c>
      <c r="L127" s="2">
        <f>Games[[#This Row],[OppDaysOff]]-Games[[#This Row],[DaysOff]]</f>
        <v>-1</v>
      </c>
      <c r="M127" s="1">
        <f>MAX(-16, MIN(16, Games[[#This Row],[RestDiff]]*8))</f>
        <v>8</v>
      </c>
      <c r="N127" s="1">
        <f>MAX(-16, MIN(16, Games[[#This Row],[OppRestDiff]]*8))</f>
        <v>-8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1350.4137317351476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1436.0426884985577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0.52066980696656984</v>
      </c>
      <c r="R127" s="1">
        <v>77</v>
      </c>
      <c r="S127" s="1">
        <v>70</v>
      </c>
      <c r="T127" s="1">
        <v>0</v>
      </c>
      <c r="U127" s="1">
        <f>Games[[#This Row],[PointsFor]]-Games[[#This Row],[PointsAgainst]]</f>
        <v>7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0.3454562878722679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74.650000000000006</v>
      </c>
      <c r="Z127" s="4">
        <f>Games[[#This Row],[K]]*Games[[#This Row],[POMult]]</f>
        <v>74.650000000000006</v>
      </c>
      <c r="AA127" s="4">
        <f>(Games[[#This Row],[Keff]]*Games[[#This Row],[MOVMult]])*(Games[[#This Row],[Result]]-Games[[#This Row],[ExpectedWin%]])</f>
        <v>12.361116516079331</v>
      </c>
      <c r="AB127" s="4">
        <f>Games[[#This Row],[PreGmRate]]+Games[[#This Row],[RatingChange]]</f>
        <v>1362.774848251227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42537</v>
      </c>
      <c r="B128" s="2">
        <v>2016</v>
      </c>
      <c r="C128" s="2">
        <f>COUNTIFS(Games[Team],Games[[#This Row],[Team]],Games[Season],Games[[#This Row],[Season]],Games[Date],"&lt;=" &amp; Games[[#This Row],[Date]])</f>
        <v>11</v>
      </c>
      <c r="D128" s="2" t="s">
        <v>81</v>
      </c>
      <c r="E128" s="2" t="s">
        <v>82</v>
      </c>
      <c r="F128" s="1" t="s">
        <v>60</v>
      </c>
      <c r="G128" s="1" t="s">
        <v>76</v>
      </c>
      <c r="H128" s="1" t="s">
        <v>83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0</v>
      </c>
      <c r="L128" s="2">
        <f>Games[[#This Row],[OppDaysOff]]-Games[[#This Row],[DaysOff]]</f>
        <v>0</v>
      </c>
      <c r="M128" s="1">
        <f>MAX(-16, MIN(16, Games[[#This Row],[RestDiff]]*8))</f>
        <v>0</v>
      </c>
      <c r="N128" s="1">
        <f>MAX(-16, MIN(16, Games[[#This Row],[OppRestDiff]]*8))</f>
        <v>0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1549.2830828630183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1382.9419042532004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0.61632862843040492</v>
      </c>
      <c r="R128" s="1">
        <v>80</v>
      </c>
      <c r="S128" s="1">
        <v>72</v>
      </c>
      <c r="T128" s="1">
        <v>0</v>
      </c>
      <c r="U128" s="1">
        <f>Games[[#This Row],[PointsFor]]-Games[[#This Row],[PointsAgainst]]</f>
        <v>8</v>
      </c>
      <c r="V128" s="1">
        <f>IF(Games[[#This Row],[MOV]]&gt;0,1,IF(Games[[#This Row],[MOV]]=0,0.5,0))</f>
        <v>1</v>
      </c>
      <c r="W128" s="4">
        <f>((ABS(Games[[#This Row],[MOV]])+5)^0.6)/(12+0.01*(ABS(Games[[#This Row],[PreGmRate]]-Games[[#This Row],[OppPreGmRate]])))*IF(Games[[#This Row],[OT]]=1,0.9,1)</f>
        <v>0.34104120500687535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74.349999999999994</v>
      </c>
      <c r="Z128" s="4">
        <f>Games[[#This Row],[K]]*Games[[#This Row],[POMult]]</f>
        <v>74.349999999999994</v>
      </c>
      <c r="AA128" s="4">
        <f>(Games[[#This Row],[Keff]]*Games[[#This Row],[MOVMult]])*(Games[[#This Row],[Result]]-Games[[#This Row],[ExpectedWin%]])</f>
        <v>9.7285299810287711</v>
      </c>
      <c r="AB128" s="4">
        <f>Games[[#This Row],[PreGmRate]]+Games[[#This Row],[RatingChange]]</f>
        <v>1559.011612844047</v>
      </c>
      <c r="AC128" s="2">
        <f>IF(Games[[#This Row],[Type]]="R",IF(Games[[#This Row],[Result]]&gt;0.5,1,0),0)</f>
        <v>1</v>
      </c>
      <c r="AD128" s="2">
        <f>IF(Games[[#This Row],[Type]]="R",IF(Games[[#This Row],[Result]]&lt;0.5,1,0),0)</f>
        <v>0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42537</v>
      </c>
      <c r="B129" s="2">
        <v>2016</v>
      </c>
      <c r="C129" s="2">
        <f>COUNTIFS(Games[Team],Games[[#This Row],[Team]],Games[Season],Games[[#This Row],[Season]],Games[Date],"&lt;=" &amp; Games[[#This Row],[Date]])</f>
        <v>12</v>
      </c>
      <c r="D129" s="2" t="s">
        <v>81</v>
      </c>
      <c r="E129" s="2" t="s">
        <v>82</v>
      </c>
      <c r="F129" s="1" t="s">
        <v>76</v>
      </c>
      <c r="G129" s="1" t="s">
        <v>60</v>
      </c>
      <c r="H129" s="1" t="s">
        <v>84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0</v>
      </c>
      <c r="L129" s="2">
        <f>Games[[#This Row],[OppDaysOff]]-Games[[#This Row],[DaysOff]]</f>
        <v>0</v>
      </c>
      <c r="M129" s="1">
        <f>MAX(-16, MIN(16, Games[[#This Row],[RestDiff]]*8))</f>
        <v>0</v>
      </c>
      <c r="N129" s="1">
        <f>MAX(-16, MIN(16, Games[[#This Row],[OppRestDiff]]*8))</f>
        <v>0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1382.9419042532004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1549.2830828630183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0.38367137156959508</v>
      </c>
      <c r="R129" s="1">
        <v>72</v>
      </c>
      <c r="S129" s="1">
        <v>80</v>
      </c>
      <c r="T129" s="1">
        <v>0</v>
      </c>
      <c r="U129" s="1">
        <f>Games[[#This Row],[PointsFor]]-Games[[#This Row],[PointsAgainst]]</f>
        <v>-8</v>
      </c>
      <c r="V129" s="1">
        <f>IF(Games[[#This Row],[MOV]]&gt;0,1,IF(Games[[#This Row],[MOV]]=0,0.5,0))</f>
        <v>0</v>
      </c>
      <c r="W129" s="4">
        <f>((ABS(Games[[#This Row],[MOV]])+5)^0.6)/(12+0.01*(ABS(Games[[#This Row],[PreGmRate]]-Games[[#This Row],[OppPreGmRate]])))*IF(Games[[#This Row],[OT]]=1,0.9,1)</f>
        <v>0.34104120500687535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74.2</v>
      </c>
      <c r="Z129" s="4">
        <f>Games[[#This Row],[K]]*Games[[#This Row],[POMult]]</f>
        <v>74.2</v>
      </c>
      <c r="AA129" s="4">
        <f>(Games[[#This Row],[Keff]]*Games[[#This Row],[MOVMult]])*(Games[[#This Row],[Result]]-Games[[#This Row],[ExpectedWin%]])</f>
        <v>-9.7089028189957602</v>
      </c>
      <c r="AB129" s="4">
        <f>Games[[#This Row],[PreGmRate]]+Games[[#This Row],[RatingChange]]</f>
        <v>1373.2330014342047</v>
      </c>
      <c r="AC129" s="2">
        <f>IF(Games[[#This Row],[Type]]="R",IF(Games[[#This Row],[Result]]&gt;0.5,1,0),0)</f>
        <v>0</v>
      </c>
      <c r="AD129" s="2">
        <f>IF(Games[[#This Row],[Type]]="R",IF(Games[[#This Row],[Result]]&lt;0.5,1,0),0)</f>
        <v>1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42537</v>
      </c>
      <c r="B130" s="2">
        <v>2016</v>
      </c>
      <c r="C130" s="2">
        <f>COUNTIFS(Games[Team],Games[[#This Row],[Team]],Games[Season],Games[[#This Row],[Season]],Games[Date],"&lt;=" &amp; Games[[#This Row],[Date]])</f>
        <v>12</v>
      </c>
      <c r="D130" s="2" t="s">
        <v>81</v>
      </c>
      <c r="E130" s="2" t="s">
        <v>82</v>
      </c>
      <c r="F130" s="1" t="s">
        <v>71</v>
      </c>
      <c r="G130" s="1" t="s">
        <v>87</v>
      </c>
      <c r="H130" s="1" t="s">
        <v>83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0</v>
      </c>
      <c r="L130" s="2">
        <f>Games[[#This Row],[OppDaysOff]]-Games[[#This Row],[DaysOff]]</f>
        <v>0</v>
      </c>
      <c r="M130" s="1">
        <f>MAX(-16, MIN(16, Games[[#This Row],[RestDiff]]*8))</f>
        <v>0</v>
      </c>
      <c r="N130" s="1">
        <f>MAX(-16, MIN(16, Games[[#This Row],[OppRestDiff]]*8))</f>
        <v>0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1423.7312482712234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1435.8680293772852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0.3650741358900737</v>
      </c>
      <c r="R130" s="1">
        <v>79</v>
      </c>
      <c r="S130" s="1">
        <v>88</v>
      </c>
      <c r="T130" s="1">
        <v>0</v>
      </c>
      <c r="U130" s="1">
        <f>Games[[#This Row],[PointsFor]]-Games[[#This Row],[PointsAgainst]]</f>
        <v>-9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0.40190664962097583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74.2</v>
      </c>
      <c r="Z130" s="4">
        <f>Games[[#This Row],[K]]*Games[[#This Row],[POMult]]</f>
        <v>74.2</v>
      </c>
      <c r="AA130" s="4">
        <f>(Games[[#This Row],[Keff]]*Games[[#This Row],[MOVMult]])*(Games[[#This Row],[Result]]-Games[[#This Row],[ExpectedWin%]])</f>
        <v>-10.887048633158846</v>
      </c>
      <c r="AB130" s="4">
        <f>Games[[#This Row],[PreGmRate]]+Games[[#This Row],[RatingChange]]</f>
        <v>1412.8441996380645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42537</v>
      </c>
      <c r="B131" s="2">
        <v>2016</v>
      </c>
      <c r="C131" s="2">
        <f>COUNTIFS(Games[Team],Games[[#This Row],[Team]],Games[Season],Games[[#This Row],[Season]],Games[Date],"&lt;=" &amp; Games[[#This Row],[Date]])</f>
        <v>11</v>
      </c>
      <c r="D131" s="2" t="s">
        <v>81</v>
      </c>
      <c r="E131" s="2" t="s">
        <v>82</v>
      </c>
      <c r="F131" s="1" t="s">
        <v>87</v>
      </c>
      <c r="G131" s="1" t="s">
        <v>71</v>
      </c>
      <c r="H131" s="1" t="s">
        <v>84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0</v>
      </c>
      <c r="L131" s="2">
        <f>Games[[#This Row],[OppDaysOff]]-Games[[#This Row],[DaysOff]]</f>
        <v>0</v>
      </c>
      <c r="M131" s="1">
        <f>MAX(-16, MIN(16, Games[[#This Row],[RestDiff]]*8))</f>
        <v>0</v>
      </c>
      <c r="N131" s="1">
        <f>MAX(-16, MIN(16, Games[[#This Row],[OppRestDiff]]*8))</f>
        <v>0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1435.8680293772852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1423.7312482712234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0.63492586410992635</v>
      </c>
      <c r="R131" s="1">
        <v>88</v>
      </c>
      <c r="S131" s="1">
        <v>79</v>
      </c>
      <c r="T131" s="1">
        <v>0</v>
      </c>
      <c r="U131" s="1">
        <f>Games[[#This Row],[PointsFor]]-Games[[#This Row],[PointsAgainst]]</f>
        <v>9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0.40190664962097583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74.349999999999994</v>
      </c>
      <c r="Z131" s="4">
        <f>Games[[#This Row],[K]]*Games[[#This Row],[POMult]]</f>
        <v>74.349999999999994</v>
      </c>
      <c r="AA131" s="4">
        <f>(Games[[#This Row],[Keff]]*Games[[#This Row],[MOVMult]])*(Games[[#This Row],[Result]]-Games[[#This Row],[ExpectedWin%]])</f>
        <v>10.909057491581672</v>
      </c>
      <c r="AB131" s="4">
        <f>Games[[#This Row],[PreGmRate]]+Games[[#This Row],[RatingChange]]</f>
        <v>1446.7770868688669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42538</v>
      </c>
      <c r="B132" s="2">
        <v>2016</v>
      </c>
      <c r="C132" s="2">
        <f>COUNTIFS(Games[Team],Games[[#This Row],[Team]],Games[Season],Games[[#This Row],[Season]],Games[Date],"&lt;=" &amp; Games[[#This Row],[Date]])</f>
        <v>12</v>
      </c>
      <c r="D132" s="2" t="s">
        <v>81</v>
      </c>
      <c r="E132" s="2" t="s">
        <v>82</v>
      </c>
      <c r="F132" s="1" t="s">
        <v>77</v>
      </c>
      <c r="G132" s="1" t="s">
        <v>79</v>
      </c>
      <c r="H132" s="1" t="s">
        <v>83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2" s="2">
        <f>Games[[#This Row],[DaysOff]]-Games[[#This Row],[OppDaysOff]]</f>
        <v>-2</v>
      </c>
      <c r="L132" s="2">
        <f>Games[[#This Row],[OppDaysOff]]-Games[[#This Row],[DaysOff]]</f>
        <v>2</v>
      </c>
      <c r="M132" s="1">
        <f>MAX(-16, MIN(16, Games[[#This Row],[RestDiff]]*8))</f>
        <v>-16</v>
      </c>
      <c r="N132" s="1">
        <f>MAX(-16, MIN(16, Games[[#This Row],[OppRestDiff]]*8))</f>
        <v>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1523.0966840473372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1525.2429771886591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0.33623792757579163</v>
      </c>
      <c r="R132" s="1">
        <v>97</v>
      </c>
      <c r="S132" s="1">
        <v>101</v>
      </c>
      <c r="T132" s="1">
        <v>1</v>
      </c>
      <c r="U132" s="1">
        <f>Games[[#This Row],[PointsFor]]-Games[[#This Row],[PointsAgainst]]</f>
        <v>-4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0.27978903700420876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74.2</v>
      </c>
      <c r="Z132" s="4">
        <f>Games[[#This Row],[K]]*Games[[#This Row],[POMult]]</f>
        <v>74.2</v>
      </c>
      <c r="AA132" s="4">
        <f>(Games[[#This Row],[Keff]]*Games[[#This Row],[MOVMult]])*(Games[[#This Row],[Result]]-Games[[#This Row],[ExpectedWin%]])</f>
        <v>-6.9804158982855453</v>
      </c>
      <c r="AB132" s="4">
        <f>Games[[#This Row],[PreGmRate]]+Games[[#This Row],[RatingChange]]</f>
        <v>1516.1162681490516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42538</v>
      </c>
      <c r="B133" s="2">
        <v>2016</v>
      </c>
      <c r="C133" s="2">
        <f>COUNTIFS(Games[Team],Games[[#This Row],[Team]],Games[Season],Games[[#This Row],[Season]],Games[Date],"&lt;=" &amp; Games[[#This Row],[Date]])</f>
        <v>11</v>
      </c>
      <c r="D133" s="2" t="s">
        <v>81</v>
      </c>
      <c r="E133" s="2" t="s">
        <v>82</v>
      </c>
      <c r="F133" s="1" t="s">
        <v>79</v>
      </c>
      <c r="G133" s="1" t="s">
        <v>77</v>
      </c>
      <c r="H133" s="1" t="s">
        <v>84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2</v>
      </c>
      <c r="L133" s="2">
        <f>Games[[#This Row],[OppDaysOff]]-Games[[#This Row],[DaysOff]]</f>
        <v>-2</v>
      </c>
      <c r="M133" s="1">
        <f>MAX(-16, MIN(16, Games[[#This Row],[RestDiff]]*8))</f>
        <v>16</v>
      </c>
      <c r="N133" s="1">
        <f>MAX(-16, MIN(16, Games[[#This Row],[OppRestDiff]]*8))</f>
        <v>-16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1525.2429771886591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1523.0966840473372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0.66376207242420837</v>
      </c>
      <c r="R133" s="1">
        <v>101</v>
      </c>
      <c r="S133" s="1">
        <v>97</v>
      </c>
      <c r="T133" s="1">
        <v>1</v>
      </c>
      <c r="U133" s="1">
        <f>Games[[#This Row],[PointsFor]]-Games[[#This Row],[PointsAgainst]]</f>
        <v>4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0.27978903700420876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6.9945272511796528</v>
      </c>
      <c r="AB133" s="4">
        <f>Games[[#This Row],[PreGmRate]]+Games[[#This Row],[RatingChange]]</f>
        <v>1532.2375044398389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42538</v>
      </c>
      <c r="B134" s="2">
        <v>2016</v>
      </c>
      <c r="C134" s="2">
        <f>COUNTIFS(Games[Team],Games[[#This Row],[Team]],Games[Season],Games[[#This Row],[Season]],Games[Date],"&lt;=" &amp; Games[[#This Row],[Date]])</f>
        <v>11</v>
      </c>
      <c r="D134" s="2" t="s">
        <v>81</v>
      </c>
      <c r="E134" s="2" t="s">
        <v>82</v>
      </c>
      <c r="F134" s="1" t="s">
        <v>40</v>
      </c>
      <c r="G134" s="1" t="s">
        <v>63</v>
      </c>
      <c r="H134" s="1" t="s">
        <v>83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4" s="2">
        <f>Games[[#This Row],[DaysOff]]-Games[[#This Row],[OppDaysOff]]</f>
        <v>2</v>
      </c>
      <c r="L134" s="2">
        <f>Games[[#This Row],[OppDaysOff]]-Games[[#This Row],[DaysOff]]</f>
        <v>-2</v>
      </c>
      <c r="M134" s="1">
        <f>MAX(-16, MIN(16, Games[[#This Row],[RestDiff]]*8))</f>
        <v>16</v>
      </c>
      <c r="N134" s="1">
        <f>MAX(-16, MIN(16, Games[[#This Row],[OppRestDiff]]*8))</f>
        <v>-16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1511.7025738420166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1634.8373214260967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0.26734075270664787</v>
      </c>
      <c r="R134" s="1">
        <v>71</v>
      </c>
      <c r="S134" s="1">
        <v>77</v>
      </c>
      <c r="T134" s="1">
        <v>0</v>
      </c>
      <c r="U134" s="1">
        <f>Games[[#This Row],[PointsFor]]-Games[[#This Row],[PointsAgainst]]</f>
        <v>-6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0.31858955717010445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-6.332536119563084</v>
      </c>
      <c r="AB134" s="4">
        <f>Games[[#This Row],[PreGmRate]]+Games[[#This Row],[RatingChange]]</f>
        <v>1505.3700377224536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42538</v>
      </c>
      <c r="B135" s="2">
        <v>2016</v>
      </c>
      <c r="C135" s="2">
        <f>COUNTIFS(Games[Team],Games[[#This Row],[Team]],Games[Season],Games[[#This Row],[Season]],Games[Date],"&lt;=" &amp; Games[[#This Row],[Date]])</f>
        <v>11</v>
      </c>
      <c r="D135" s="2" t="s">
        <v>81</v>
      </c>
      <c r="E135" s="2" t="s">
        <v>82</v>
      </c>
      <c r="F135" s="1" t="s">
        <v>63</v>
      </c>
      <c r="G135" s="1" t="s">
        <v>40</v>
      </c>
      <c r="H135" s="1" t="s">
        <v>84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5" s="2">
        <f>Games[[#This Row],[DaysOff]]-Games[[#This Row],[OppDaysOff]]</f>
        <v>-2</v>
      </c>
      <c r="L135" s="2">
        <f>Games[[#This Row],[OppDaysOff]]-Games[[#This Row],[DaysOff]]</f>
        <v>2</v>
      </c>
      <c r="M135" s="1">
        <f>MAX(-16, MIN(16, Games[[#This Row],[RestDiff]]*8))</f>
        <v>-16</v>
      </c>
      <c r="N135" s="1">
        <f>MAX(-16, MIN(16, Games[[#This Row],[OppRestDiff]]*8))</f>
        <v>16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1634.8373214260967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1511.7025738420166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0.73265924729335219</v>
      </c>
      <c r="R135" s="1">
        <v>77</v>
      </c>
      <c r="S135" s="1">
        <v>71</v>
      </c>
      <c r="T135" s="1">
        <v>0</v>
      </c>
      <c r="U135" s="1">
        <f>Games[[#This Row],[PointsFor]]-Games[[#This Row],[PointsAgainst]]</f>
        <v>6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0.31858955717010445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6.3325361195630832</v>
      </c>
      <c r="AB135" s="4">
        <f>Games[[#This Row],[PreGmRate]]+Games[[#This Row],[RatingChange]]</f>
        <v>1641.1698575456596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42538</v>
      </c>
      <c r="B136" s="2">
        <v>2016</v>
      </c>
      <c r="C136" s="2">
        <f>COUNTIFS(Games[Team],Games[[#This Row],[Team]],Games[Season],Games[[#This Row],[Season]],Games[Date],"&lt;=" &amp; Games[[#This Row],[Date]])</f>
        <v>12</v>
      </c>
      <c r="D136" s="2" t="s">
        <v>81</v>
      </c>
      <c r="E136" s="2" t="s">
        <v>82</v>
      </c>
      <c r="F136" s="1" t="s">
        <v>69</v>
      </c>
      <c r="G136" s="1" t="s">
        <v>74</v>
      </c>
      <c r="H136" s="1" t="s">
        <v>83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1489.7990360974579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1362.774848251227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0.56160221999738957</v>
      </c>
      <c r="R136" s="1">
        <v>84</v>
      </c>
      <c r="S136" s="1">
        <v>75</v>
      </c>
      <c r="T136" s="1">
        <v>0</v>
      </c>
      <c r="U136" s="1">
        <f>Games[[#This Row],[PointsFor]]-Games[[#This Row],[PointsAgainst]]</f>
        <v>9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0.3671114943031783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11.941812117403812</v>
      </c>
      <c r="AB136" s="4">
        <f>Games[[#This Row],[PreGmRate]]+Games[[#This Row],[RatingChange]]</f>
        <v>1501.7408482148617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42538</v>
      </c>
      <c r="B137" s="2">
        <v>2016</v>
      </c>
      <c r="C137" s="2">
        <f>COUNTIFS(Games[Team],Games[[#This Row],[Team]],Games[Season],Games[[#This Row],[Season]],Games[Date],"&lt;=" &amp; Games[[#This Row],[Date]])</f>
        <v>10</v>
      </c>
      <c r="D137" s="2" t="s">
        <v>81</v>
      </c>
      <c r="E137" s="2" t="s">
        <v>82</v>
      </c>
      <c r="F137" s="1" t="s">
        <v>74</v>
      </c>
      <c r="G137" s="1" t="s">
        <v>69</v>
      </c>
      <c r="H137" s="1" t="s">
        <v>84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1362.774848251227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1489.7990360974579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0.43839778000261048</v>
      </c>
      <c r="R137" s="1">
        <v>75</v>
      </c>
      <c r="S137" s="1">
        <v>84</v>
      </c>
      <c r="T137" s="1">
        <v>0</v>
      </c>
      <c r="U137" s="1">
        <f>Games[[#This Row],[PointsFor]]-Games[[#This Row],[PointsAgainst]]</f>
        <v>-9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0.3671114943031783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74.5</v>
      </c>
      <c r="Z137" s="4">
        <f>Games[[#This Row],[K]]*Games[[#This Row],[POMult]]</f>
        <v>74.5</v>
      </c>
      <c r="AA137" s="4">
        <f>(Games[[#This Row],[Keff]]*Games[[#This Row],[MOVMult]])*(Games[[#This Row],[Result]]-Games[[#This Row],[ExpectedWin%]])</f>
        <v>-11.990094376638599</v>
      </c>
      <c r="AB137" s="4">
        <f>Games[[#This Row],[PreGmRate]]+Games[[#This Row],[RatingChange]]</f>
        <v>1350.7847538745884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42539</v>
      </c>
      <c r="B138" s="2">
        <v>2016</v>
      </c>
      <c r="C138" s="2">
        <f>COUNTIFS(Games[Team],Games[[#This Row],[Team]],Games[Season],Games[[#This Row],[Season]],Games[Date],"&lt;=" &amp; Games[[#This Row],[Date]])</f>
        <v>12</v>
      </c>
      <c r="D138" s="2" t="s">
        <v>81</v>
      </c>
      <c r="E138" s="2" t="s">
        <v>82</v>
      </c>
      <c r="F138" s="1" t="s">
        <v>87</v>
      </c>
      <c r="G138" s="1" t="s">
        <v>40</v>
      </c>
      <c r="H138" s="1" t="s">
        <v>83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8" s="2">
        <f>Games[[#This Row],[DaysOff]]-Games[[#This Row],[OppDaysOff]]</f>
        <v>1</v>
      </c>
      <c r="L138" s="2">
        <f>Games[[#This Row],[OppDaysOff]]-Games[[#This Row],[DaysOff]]</f>
        <v>-1</v>
      </c>
      <c r="M138" s="1">
        <f>MAX(-16, MIN(16, Games[[#This Row],[RestDiff]]*8))</f>
        <v>8</v>
      </c>
      <c r="N138" s="1">
        <f>MAX(-16, MIN(16, Games[[#This Row],[OppRestDiff]]*8))</f>
        <v>-8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1446.7770868688669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1505.3700377224536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0.32547400808934129</v>
      </c>
      <c r="R138" s="1">
        <v>117</v>
      </c>
      <c r="S138" s="1">
        <v>111</v>
      </c>
      <c r="T138" s="1">
        <v>1</v>
      </c>
      <c r="U138" s="1">
        <f>Games[[#This Row],[PointsFor]]-Games[[#This Row],[PointsAgainst]]</f>
        <v>6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0.30143440873474675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15.086740491247355</v>
      </c>
      <c r="AB138" s="4">
        <f>Games[[#This Row],[PreGmRate]]+Games[[#This Row],[RatingChange]]</f>
        <v>1461.8638273601143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42539</v>
      </c>
      <c r="B139" s="2">
        <v>2016</v>
      </c>
      <c r="C139" s="2">
        <f>COUNTIFS(Games[Team],Games[[#This Row],[Team]],Games[Season],Games[[#This Row],[Season]],Games[Date],"&lt;=" &amp; Games[[#This Row],[Date]])</f>
        <v>12</v>
      </c>
      <c r="D139" s="2" t="s">
        <v>81</v>
      </c>
      <c r="E139" s="2" t="s">
        <v>82</v>
      </c>
      <c r="F139" s="1" t="s">
        <v>40</v>
      </c>
      <c r="G139" s="1" t="s">
        <v>87</v>
      </c>
      <c r="H139" s="1" t="s">
        <v>84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-1</v>
      </c>
      <c r="L139" s="2">
        <f>Games[[#This Row],[OppDaysOff]]-Games[[#This Row],[DaysOff]]</f>
        <v>1</v>
      </c>
      <c r="M139" s="1">
        <f>MAX(-16, MIN(16, Games[[#This Row],[RestDiff]]*8))</f>
        <v>-8</v>
      </c>
      <c r="N139" s="1">
        <f>MAX(-16, MIN(16, Games[[#This Row],[OppRestDiff]]*8))</f>
        <v>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1505.3700377224536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1446.7770868688669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0.67452599191065865</v>
      </c>
      <c r="R139" s="1">
        <v>111</v>
      </c>
      <c r="S139" s="1">
        <v>117</v>
      </c>
      <c r="T139" s="1">
        <v>1</v>
      </c>
      <c r="U139" s="1">
        <f>Games[[#This Row],[PointsFor]]-Games[[#This Row],[PointsAgainst]]</f>
        <v>-6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0.30143440873474675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-15.086740491247351</v>
      </c>
      <c r="AB139" s="4">
        <f>Games[[#This Row],[PreGmRate]]+Games[[#This Row],[RatingChange]]</f>
        <v>1490.2832972312062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42539</v>
      </c>
      <c r="B140" s="2">
        <v>2016</v>
      </c>
      <c r="C140" s="2">
        <f>COUNTIFS(Games[Team],Games[[#This Row],[Team]],Games[Season],Games[[#This Row],[Season]],Games[Date],"&lt;=" &amp; Games[[#This Row],[Date]])</f>
        <v>12</v>
      </c>
      <c r="D140" s="2" t="s">
        <v>81</v>
      </c>
      <c r="E140" s="2" t="s">
        <v>82</v>
      </c>
      <c r="F140" s="1" t="s">
        <v>79</v>
      </c>
      <c r="G140" s="1" t="s">
        <v>65</v>
      </c>
      <c r="H140" s="1" t="s">
        <v>83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0" s="2">
        <f>Games[[#This Row],[DaysOff]]-Games[[#This Row],[OppDaysOff]]</f>
        <v>-3</v>
      </c>
      <c r="L140" s="2">
        <f>Games[[#This Row],[OppDaysOff]]-Games[[#This Row],[DaysOff]]</f>
        <v>3</v>
      </c>
      <c r="M140" s="1">
        <f>MAX(-16, MIN(16, Games[[#This Row],[RestDiff]]*8))</f>
        <v>-16</v>
      </c>
      <c r="N140" s="1">
        <f>MAX(-16, MIN(16, Games[[#This Row],[OppRestDiff]]*8))</f>
        <v>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1532.2375044398389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1467.1714769196817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0.4272207540303104</v>
      </c>
      <c r="R140" s="1">
        <v>65</v>
      </c>
      <c r="S140" s="1">
        <v>95</v>
      </c>
      <c r="T140" s="1">
        <v>0</v>
      </c>
      <c r="U140" s="1">
        <f>Games[[#This Row],[PointsFor]]-Games[[#This Row],[PointsAgainst]]</f>
        <v>-30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0.6673100005575332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-21.153580175473589</v>
      </c>
      <c r="AB140" s="4">
        <f>Games[[#This Row],[PreGmRate]]+Games[[#This Row],[RatingChange]]</f>
        <v>1511.0839242643654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42539</v>
      </c>
      <c r="B141" s="2">
        <v>2016</v>
      </c>
      <c r="C141" s="2">
        <f>COUNTIFS(Games[Team],Games[[#This Row],[Team]],Games[Season],Games[[#This Row],[Season]],Games[Date],"&lt;=" &amp; Games[[#This Row],[Date]])</f>
        <v>13</v>
      </c>
      <c r="D141" s="2" t="s">
        <v>81</v>
      </c>
      <c r="E141" s="2" t="s">
        <v>82</v>
      </c>
      <c r="F141" s="1" t="s">
        <v>65</v>
      </c>
      <c r="G141" s="1" t="s">
        <v>79</v>
      </c>
      <c r="H141" s="1" t="s">
        <v>84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1" s="2">
        <f>Games[[#This Row],[DaysOff]]-Games[[#This Row],[OppDaysOff]]</f>
        <v>3</v>
      </c>
      <c r="L141" s="2">
        <f>Games[[#This Row],[OppDaysOff]]-Games[[#This Row],[DaysOff]]</f>
        <v>-3</v>
      </c>
      <c r="M141" s="1">
        <f>MAX(-16, MIN(16, Games[[#This Row],[RestDiff]]*8))</f>
        <v>16</v>
      </c>
      <c r="N141" s="1">
        <f>MAX(-16, MIN(16, Games[[#This Row],[OppRestDiff]]*8))</f>
        <v>-16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1467.1714769196817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1532.2375044398389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0.57277924596968965</v>
      </c>
      <c r="R141" s="1">
        <v>95</v>
      </c>
      <c r="S141" s="1">
        <v>65</v>
      </c>
      <c r="T141" s="1">
        <v>0</v>
      </c>
      <c r="U141" s="1">
        <f>Games[[#This Row],[PointsFor]]-Games[[#This Row],[PointsAgainst]]</f>
        <v>30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0.6673100005575332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74.05</v>
      </c>
      <c r="Z141" s="4">
        <f>Games[[#This Row],[K]]*Games[[#This Row],[POMult]]</f>
        <v>74.05</v>
      </c>
      <c r="AA141" s="4">
        <f>(Games[[#This Row],[Keff]]*Games[[#This Row],[MOVMult]])*(Games[[#This Row],[Result]]-Games[[#This Row],[ExpectedWin%]])</f>
        <v>21.110816873232061</v>
      </c>
      <c r="AB141" s="4">
        <f>Games[[#This Row],[PreGmRate]]+Games[[#This Row],[RatingChange]]</f>
        <v>1488.2822937929138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42540</v>
      </c>
      <c r="B142" s="2">
        <v>2016</v>
      </c>
      <c r="C142" s="2">
        <f>COUNTIFS(Games[Team],Games[[#This Row],[Team]],Games[Season],Games[[#This Row],[Season]],Games[Date],"&lt;=" &amp; Games[[#This Row],[Date]])</f>
        <v>11</v>
      </c>
      <c r="D142" s="2" t="s">
        <v>81</v>
      </c>
      <c r="E142" s="2" t="s">
        <v>82</v>
      </c>
      <c r="F142" s="1" t="s">
        <v>74</v>
      </c>
      <c r="G142" s="1" t="s">
        <v>76</v>
      </c>
      <c r="H142" s="1" t="s">
        <v>83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2" s="2">
        <f>Games[[#This Row],[DaysOff]]-Games[[#This Row],[OppDaysOff]]</f>
        <v>-1</v>
      </c>
      <c r="L142" s="2">
        <f>Games[[#This Row],[OppDaysOff]]-Games[[#This Row],[DaysOff]]</f>
        <v>1</v>
      </c>
      <c r="M142" s="1">
        <f>MAX(-16, MIN(16, Games[[#This Row],[RestDiff]]*8))</f>
        <v>-8</v>
      </c>
      <c r="N142" s="1">
        <f>MAX(-16, MIN(16, Games[[#This Row],[OppRestDiff]]*8))</f>
        <v>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1350.7847538745884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1373.2330014342047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0.33073364336680044</v>
      </c>
      <c r="R142" s="1">
        <v>90</v>
      </c>
      <c r="S142" s="1">
        <v>93</v>
      </c>
      <c r="T142" s="1">
        <v>0</v>
      </c>
      <c r="U142" s="1">
        <f>Games[[#This Row],[PointsFor]]-Games[[#This Row],[PointsAgainst]]</f>
        <v>-3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0.28485477893530842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74.349999999999994</v>
      </c>
      <c r="Z142" s="4">
        <f>Games[[#This Row],[K]]*Games[[#This Row],[POMult]]</f>
        <v>74.349999999999994</v>
      </c>
      <c r="AA142" s="4">
        <f>(Games[[#This Row],[Keff]]*Games[[#This Row],[MOVMult]])*(Games[[#This Row],[Result]]-Games[[#This Row],[ExpectedWin%]])</f>
        <v>-7.0045922268149132</v>
      </c>
      <c r="AB142" s="4">
        <f>Games[[#This Row],[PreGmRate]]+Games[[#This Row],[RatingChange]]</f>
        <v>1343.7801616477734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42540</v>
      </c>
      <c r="B143" s="2">
        <v>2016</v>
      </c>
      <c r="C143" s="2">
        <f>COUNTIFS(Games[Team],Games[[#This Row],[Team]],Games[Season],Games[[#This Row],[Season]],Games[Date],"&lt;=" &amp; Games[[#This Row],[Date]])</f>
        <v>13</v>
      </c>
      <c r="D143" s="2" t="s">
        <v>81</v>
      </c>
      <c r="E143" s="2" t="s">
        <v>82</v>
      </c>
      <c r="F143" s="1" t="s">
        <v>76</v>
      </c>
      <c r="G143" s="1" t="s">
        <v>74</v>
      </c>
      <c r="H143" s="1" t="s">
        <v>84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1</v>
      </c>
      <c r="L143" s="2">
        <f>Games[[#This Row],[OppDaysOff]]-Games[[#This Row],[DaysOff]]</f>
        <v>-1</v>
      </c>
      <c r="M143" s="1">
        <f>MAX(-16, MIN(16, Games[[#This Row],[RestDiff]]*8))</f>
        <v>8</v>
      </c>
      <c r="N143" s="1">
        <f>MAX(-16, MIN(16, Games[[#This Row],[OppRestDiff]]*8))</f>
        <v>-8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1373.2330014342047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1350.7847538745884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0.66926635663319956</v>
      </c>
      <c r="R143" s="1">
        <v>93</v>
      </c>
      <c r="S143" s="1">
        <v>90</v>
      </c>
      <c r="T143" s="1">
        <v>0</v>
      </c>
      <c r="U143" s="1">
        <f>Games[[#This Row],[PointsFor]]-Games[[#This Row],[PointsAgainst]]</f>
        <v>3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0.28485477893530842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74.05</v>
      </c>
      <c r="Z143" s="4">
        <f>Games[[#This Row],[K]]*Games[[#This Row],[POMult]]</f>
        <v>74.05</v>
      </c>
      <c r="AA143" s="4">
        <f>(Games[[#This Row],[Keff]]*Games[[#This Row],[MOVMult]])*(Games[[#This Row],[Result]]-Games[[#This Row],[ExpectedWin%]])</f>
        <v>6.9763289091545975</v>
      </c>
      <c r="AB143" s="4">
        <f>Games[[#This Row],[PreGmRate]]+Games[[#This Row],[RatingChange]]</f>
        <v>1380.2093303433592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42540</v>
      </c>
      <c r="B144" s="2">
        <v>2016</v>
      </c>
      <c r="C144" s="2">
        <f>COUNTIFS(Games[Team],Games[[#This Row],[Team]],Games[Season],Games[[#This Row],[Season]],Games[Date],"&lt;=" &amp; Games[[#This Row],[Date]])</f>
        <v>12</v>
      </c>
      <c r="D144" s="2" t="s">
        <v>81</v>
      </c>
      <c r="E144" s="2" t="s">
        <v>82</v>
      </c>
      <c r="F144" s="1" t="s">
        <v>60</v>
      </c>
      <c r="G144" s="1" t="s">
        <v>69</v>
      </c>
      <c r="H144" s="1" t="s">
        <v>83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1</v>
      </c>
      <c r="L144" s="2">
        <f>Games[[#This Row],[OppDaysOff]]-Games[[#This Row],[DaysOff]]</f>
        <v>-1</v>
      </c>
      <c r="M144" s="1">
        <f>MAX(-16, MIN(16, Games[[#This Row],[RestDiff]]*8))</f>
        <v>8</v>
      </c>
      <c r="N144" s="1">
        <f>MAX(-16, MIN(16, Games[[#This Row],[OppRestDiff]]*8))</f>
        <v>-8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1559.011612844047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1501.7408482148617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0.48456429555048991</v>
      </c>
      <c r="R144" s="1">
        <v>78</v>
      </c>
      <c r="S144" s="1">
        <v>75</v>
      </c>
      <c r="T144" s="1">
        <v>1</v>
      </c>
      <c r="U144" s="1">
        <f>Games[[#This Row],[PointsFor]]-Games[[#This Row],[PointsAgainst]]</f>
        <v>3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0.24926866320560406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9.533362101029363</v>
      </c>
      <c r="AB144" s="4">
        <f>Games[[#This Row],[PreGmRate]]+Games[[#This Row],[RatingChange]]</f>
        <v>1568.5449749450763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42540</v>
      </c>
      <c r="B145" s="2">
        <v>2016</v>
      </c>
      <c r="C145" s="2">
        <f>COUNTIFS(Games[Team],Games[[#This Row],[Team]],Games[Season],Games[[#This Row],[Season]],Games[Date],"&lt;=" &amp; Games[[#This Row],[Date]])</f>
        <v>13</v>
      </c>
      <c r="D145" s="2" t="s">
        <v>81</v>
      </c>
      <c r="E145" s="2" t="s">
        <v>82</v>
      </c>
      <c r="F145" s="1" t="s">
        <v>69</v>
      </c>
      <c r="G145" s="1" t="s">
        <v>60</v>
      </c>
      <c r="H145" s="1" t="s">
        <v>84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-1</v>
      </c>
      <c r="L145" s="2">
        <f>Games[[#This Row],[OppDaysOff]]-Games[[#This Row],[DaysOff]]</f>
        <v>1</v>
      </c>
      <c r="M145" s="1">
        <f>MAX(-16, MIN(16, Games[[#This Row],[RestDiff]]*8))</f>
        <v>-8</v>
      </c>
      <c r="N145" s="1">
        <f>MAX(-16, MIN(16, Games[[#This Row],[OppRestDiff]]*8))</f>
        <v>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1501.7408482148617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1559.011612844047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0.51543570444951015</v>
      </c>
      <c r="R145" s="1">
        <v>75</v>
      </c>
      <c r="S145" s="1">
        <v>78</v>
      </c>
      <c r="T145" s="1">
        <v>1</v>
      </c>
      <c r="U145" s="1">
        <f>Games[[#This Row],[PointsFor]]-Games[[#This Row],[PointsAgainst]]</f>
        <v>-3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0.24926866320560406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74.05</v>
      </c>
      <c r="Z145" s="4">
        <f>Games[[#This Row],[K]]*Games[[#This Row],[POMult]]</f>
        <v>74.05</v>
      </c>
      <c r="AA145" s="4">
        <f>(Games[[#This Row],[Keff]]*Games[[#This Row],[MOVMult]])*(Games[[#This Row],[Result]]-Games[[#This Row],[ExpectedWin%]])</f>
        <v>-9.5140898056768766</v>
      </c>
      <c r="AB145" s="4">
        <f>Games[[#This Row],[PreGmRate]]+Games[[#This Row],[RatingChange]]</f>
        <v>1492.2267584091849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42540</v>
      </c>
      <c r="B146" s="2">
        <v>2016</v>
      </c>
      <c r="C146" s="2">
        <f>COUNTIFS(Games[Team],Games[[#This Row],[Team]],Games[Season],Games[[#This Row],[Season]],Games[Date],"&lt;=" &amp; Games[[#This Row],[Date]])</f>
        <v>12</v>
      </c>
      <c r="D146" s="2" t="s">
        <v>81</v>
      </c>
      <c r="E146" s="2" t="s">
        <v>82</v>
      </c>
      <c r="F146" s="1" t="s">
        <v>67</v>
      </c>
      <c r="G146" s="1" t="s">
        <v>71</v>
      </c>
      <c r="H146" s="1" t="s">
        <v>83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6" s="2">
        <f>Games[[#This Row],[DaysOff]]-Games[[#This Row],[OppDaysOff]]</f>
        <v>2</v>
      </c>
      <c r="L146" s="2">
        <f>Games[[#This Row],[OppDaysOff]]-Games[[#This Row],[DaysOff]]</f>
        <v>-2</v>
      </c>
      <c r="M146" s="1">
        <f>MAX(-16, MIN(16, Games[[#This Row],[RestDiff]]*8))</f>
        <v>16</v>
      </c>
      <c r="N146" s="1">
        <f>MAX(-16, MIN(16, Games[[#This Row],[OppRestDiff]]*8))</f>
        <v>-16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1694.194216464663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1412.8441996380645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0.78922243606477893</v>
      </c>
      <c r="R146" s="1">
        <v>96</v>
      </c>
      <c r="S146" s="1">
        <v>84</v>
      </c>
      <c r="T146" s="1">
        <v>0</v>
      </c>
      <c r="U146" s="1">
        <f>Games[[#This Row],[PointsFor]]-Games[[#This Row],[PointsAgainst]]</f>
        <v>12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0.36949763761059873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5.778830445605279</v>
      </c>
      <c r="AB146" s="4">
        <f>Games[[#This Row],[PreGmRate]]+Games[[#This Row],[RatingChange]]</f>
        <v>1699.9730469102683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42540</v>
      </c>
      <c r="B147" s="2">
        <v>2016</v>
      </c>
      <c r="C147" s="2">
        <f>COUNTIFS(Games[Team],Games[[#This Row],[Team]],Games[Season],Games[[#This Row],[Season]],Games[Date],"&lt;=" &amp; Games[[#This Row],[Date]])</f>
        <v>13</v>
      </c>
      <c r="D147" s="2" t="s">
        <v>81</v>
      </c>
      <c r="E147" s="2" t="s">
        <v>82</v>
      </c>
      <c r="F147" s="1" t="s">
        <v>71</v>
      </c>
      <c r="G147" s="1" t="s">
        <v>67</v>
      </c>
      <c r="H147" s="1" t="s">
        <v>84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7" s="2">
        <f>Games[[#This Row],[DaysOff]]-Games[[#This Row],[OppDaysOff]]</f>
        <v>-2</v>
      </c>
      <c r="L147" s="2">
        <f>Games[[#This Row],[OppDaysOff]]-Games[[#This Row],[DaysOff]]</f>
        <v>2</v>
      </c>
      <c r="M147" s="1">
        <f>MAX(-16, MIN(16, Games[[#This Row],[RestDiff]]*8))</f>
        <v>-16</v>
      </c>
      <c r="N147" s="1">
        <f>MAX(-16, MIN(16, Games[[#This Row],[OppRestDiff]]*8))</f>
        <v>16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1412.8441996380645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1694.194216464663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0.2107775639352211</v>
      </c>
      <c r="R147" s="1">
        <v>84</v>
      </c>
      <c r="S147" s="1">
        <v>96</v>
      </c>
      <c r="T147" s="1">
        <v>0</v>
      </c>
      <c r="U147" s="1">
        <f>Games[[#This Row],[PointsFor]]-Games[[#This Row],[PointsAgainst]]</f>
        <v>-12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0.36949763761059873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74.05</v>
      </c>
      <c r="Z147" s="4">
        <f>Games[[#This Row],[K]]*Games[[#This Row],[POMult]]</f>
        <v>74.05</v>
      </c>
      <c r="AA147" s="4">
        <f>(Games[[#This Row],[Keff]]*Games[[#This Row],[MOVMult]])*(Games[[#This Row],[Result]]-Games[[#This Row],[ExpectedWin%]])</f>
        <v>-5.7671481738149728</v>
      </c>
      <c r="AB147" s="4">
        <f>Games[[#This Row],[PreGmRate]]+Games[[#This Row],[RatingChange]]</f>
        <v>1407.0770514642495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42542</v>
      </c>
      <c r="B148" s="2">
        <v>2016</v>
      </c>
      <c r="C148" s="2">
        <f>COUNTIFS(Games[Team],Games[[#This Row],[Team]],Games[Season],Games[[#This Row],[Season]],Games[Date],"&lt;=" &amp; Games[[#This Row],[Date]])</f>
        <v>12</v>
      </c>
      <c r="D148" s="2" t="s">
        <v>81</v>
      </c>
      <c r="E148" s="2" t="s">
        <v>82</v>
      </c>
      <c r="F148" s="1" t="s">
        <v>74</v>
      </c>
      <c r="G148" s="1" t="s">
        <v>77</v>
      </c>
      <c r="H148" s="1" t="s">
        <v>83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8" s="2">
        <f>Games[[#This Row],[DaysOff]]-Games[[#This Row],[OppDaysOff]]</f>
        <v>-2</v>
      </c>
      <c r="L148" s="2">
        <f>Games[[#This Row],[OppDaysOff]]-Games[[#This Row],[DaysOff]]</f>
        <v>2</v>
      </c>
      <c r="M148" s="1">
        <f>MAX(-16, MIN(16, Games[[#This Row],[RestDiff]]*8))</f>
        <v>-16</v>
      </c>
      <c r="N148" s="1">
        <f>MAX(-16, MIN(16, Games[[#This Row],[OppRestDiff]]*8))</f>
        <v>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1343.7801616477734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1516.1162681490516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0.15978937650226838</v>
      </c>
      <c r="R148" s="1">
        <v>75</v>
      </c>
      <c r="S148" s="1">
        <v>81</v>
      </c>
      <c r="T148" s="1">
        <v>0</v>
      </c>
      <c r="U148" s="1">
        <f>Games[[#This Row],[PointsFor]]-Games[[#This Row],[PointsAgainst]]</f>
        <v>-6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0.30716739967141382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-3.6418908758286173</v>
      </c>
      <c r="AB148" s="4">
        <f>Games[[#This Row],[PreGmRate]]+Games[[#This Row],[RatingChange]]</f>
        <v>1340.1382707719447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42542</v>
      </c>
      <c r="B149" s="2">
        <v>2016</v>
      </c>
      <c r="C149" s="2">
        <f>COUNTIFS(Games[Team],Games[[#This Row],[Team]],Games[Season],Games[[#This Row],[Season]],Games[Date],"&lt;=" &amp; Games[[#This Row],[Date]])</f>
        <v>13</v>
      </c>
      <c r="D149" s="2" t="s">
        <v>81</v>
      </c>
      <c r="E149" s="2" t="s">
        <v>82</v>
      </c>
      <c r="F149" s="1" t="s">
        <v>77</v>
      </c>
      <c r="G149" s="1" t="s">
        <v>74</v>
      </c>
      <c r="H149" s="1" t="s">
        <v>84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2</v>
      </c>
      <c r="L149" s="2">
        <f>Games[[#This Row],[OppDaysOff]]-Games[[#This Row],[DaysOff]]</f>
        <v>-2</v>
      </c>
      <c r="M149" s="1">
        <f>MAX(-16, MIN(16, Games[[#This Row],[RestDiff]]*8))</f>
        <v>16</v>
      </c>
      <c r="N149" s="1">
        <f>MAX(-16, MIN(16, Games[[#This Row],[OppRestDiff]]*8))</f>
        <v>-16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1516.1162681490516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1343.7801616477734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0.84021062349773168</v>
      </c>
      <c r="R149" s="1">
        <v>81</v>
      </c>
      <c r="S149" s="1">
        <v>75</v>
      </c>
      <c r="T149" s="1">
        <v>0</v>
      </c>
      <c r="U149" s="1">
        <f>Games[[#This Row],[PointsFor]]-Games[[#This Row],[PointsAgainst]]</f>
        <v>6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0.30716739967141382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3.6345285627373181</v>
      </c>
      <c r="AB149" s="4">
        <f>Games[[#This Row],[PreGmRate]]+Games[[#This Row],[RatingChange]]</f>
        <v>1519.750796711789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42542</v>
      </c>
      <c r="B150" s="2">
        <v>2016</v>
      </c>
      <c r="C150" s="2">
        <f>COUNTIFS(Games[Team],Games[[#This Row],[Team]],Games[Season],Games[[#This Row],[Season]],Games[Date],"&lt;=" &amp; Games[[#This Row],[Date]])</f>
        <v>13</v>
      </c>
      <c r="D150" s="2" t="s">
        <v>81</v>
      </c>
      <c r="E150" s="2" t="s">
        <v>82</v>
      </c>
      <c r="F150" s="1" t="s">
        <v>40</v>
      </c>
      <c r="G150" s="1" t="s">
        <v>87</v>
      </c>
      <c r="H150" s="1" t="s">
        <v>83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1490.2832972312062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1461.8638273601143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0.42068860340168934</v>
      </c>
      <c r="R150" s="1">
        <v>90</v>
      </c>
      <c r="S150" s="1">
        <v>100</v>
      </c>
      <c r="T150" s="1">
        <v>0</v>
      </c>
      <c r="U150" s="1">
        <f>Games[[#This Row],[PointsFor]]-Games[[#This Row],[PointsAgainst]]</f>
        <v>-10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0.41334059875493806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74.05</v>
      </c>
      <c r="Z150" s="4">
        <f>Games[[#This Row],[K]]*Games[[#This Row],[POMult]]</f>
        <v>74.05</v>
      </c>
      <c r="AA150" s="4">
        <f>(Games[[#This Row],[Keff]]*Games[[#This Row],[MOVMult]])*(Games[[#This Row],[Result]]-Games[[#This Row],[ExpectedWin%]])</f>
        <v>-12.876382646199009</v>
      </c>
      <c r="AB150" s="4">
        <f>Games[[#This Row],[PreGmRate]]+Games[[#This Row],[RatingChange]]</f>
        <v>1477.4069145850071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42542</v>
      </c>
      <c r="B151" s="2">
        <v>2016</v>
      </c>
      <c r="C151" s="2">
        <f>COUNTIFS(Games[Team],Games[[#This Row],[Team]],Games[Season],Games[[#This Row],[Season]],Games[Date],"&lt;=" &amp; Games[[#This Row],[Date]])</f>
        <v>13</v>
      </c>
      <c r="D151" s="2" t="s">
        <v>81</v>
      </c>
      <c r="E151" s="2" t="s">
        <v>82</v>
      </c>
      <c r="F151" s="1" t="s">
        <v>87</v>
      </c>
      <c r="G151" s="1" t="s">
        <v>40</v>
      </c>
      <c r="H151" s="1" t="s">
        <v>84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1461.8638273601143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1490.2832972312062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0.57931139659831066</v>
      </c>
      <c r="R151" s="1">
        <v>100</v>
      </c>
      <c r="S151" s="1">
        <v>90</v>
      </c>
      <c r="T151" s="1">
        <v>0</v>
      </c>
      <c r="U151" s="1">
        <f>Games[[#This Row],[PointsFor]]-Games[[#This Row],[PointsAgainst]]</f>
        <v>10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0.41334059875493806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74.05</v>
      </c>
      <c r="Z151" s="4">
        <f>Games[[#This Row],[K]]*Games[[#This Row],[POMult]]</f>
        <v>74.05</v>
      </c>
      <c r="AA151" s="4">
        <f>(Games[[#This Row],[Keff]]*Games[[#This Row],[MOVMult]])*(Games[[#This Row],[Result]]-Games[[#This Row],[ExpectedWin%]])</f>
        <v>12.876382646199009</v>
      </c>
      <c r="AB151" s="4">
        <f>Games[[#This Row],[PreGmRate]]+Games[[#This Row],[RatingChange]]</f>
        <v>1474.7402100063134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42542</v>
      </c>
      <c r="B152" s="2">
        <v>2016</v>
      </c>
      <c r="C152" s="2">
        <f>COUNTIFS(Games[Team],Games[[#This Row],[Team]],Games[Season],Games[[#This Row],[Season]],Games[Date],"&lt;=" &amp; Games[[#This Row],[Date]])</f>
        <v>13</v>
      </c>
      <c r="D152" s="2" t="s">
        <v>81</v>
      </c>
      <c r="E152" s="2" t="s">
        <v>82</v>
      </c>
      <c r="F152" s="1" t="s">
        <v>67</v>
      </c>
      <c r="G152" s="1" t="s">
        <v>63</v>
      </c>
      <c r="H152" s="1" t="s">
        <v>83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2" s="2">
        <f>Games[[#This Row],[DaysOff]]-Games[[#This Row],[OppDaysOff]]</f>
        <v>-2</v>
      </c>
      <c r="L152" s="2">
        <f>Games[[#This Row],[OppDaysOff]]-Games[[#This Row],[DaysOff]]</f>
        <v>2</v>
      </c>
      <c r="M152" s="1">
        <f>MAX(-16, MIN(16, Games[[#This Row],[RestDiff]]*8))</f>
        <v>-16</v>
      </c>
      <c r="N152" s="1">
        <f>MAX(-16, MIN(16, Games[[#This Row],[OppRestDiff]]*8))</f>
        <v>16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1699.9730469102683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1641.1698575456596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0.41842280239368246</v>
      </c>
      <c r="R152" s="1">
        <v>72</v>
      </c>
      <c r="S152" s="1">
        <v>69</v>
      </c>
      <c r="T152" s="1">
        <v>0</v>
      </c>
      <c r="U152" s="1">
        <f>Games[[#This Row],[PointsFor]]-Games[[#This Row],[PointsAgainst]]</f>
        <v>3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0.27662801322756159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74.05</v>
      </c>
      <c r="Z152" s="4">
        <f>Games[[#This Row],[K]]*Games[[#This Row],[POMult]]</f>
        <v>74.05</v>
      </c>
      <c r="AA152" s="4">
        <f>(Games[[#This Row],[Keff]]*Games[[#This Row],[MOVMult]])*(Games[[#This Row],[Result]]-Games[[#This Row],[ExpectedWin%]])</f>
        <v>11.91320433594497</v>
      </c>
      <c r="AB152" s="4">
        <f>Games[[#This Row],[PreGmRate]]+Games[[#This Row],[RatingChange]]</f>
        <v>1711.8862512462133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42542</v>
      </c>
      <c r="B153" s="2">
        <v>2016</v>
      </c>
      <c r="C153" s="2">
        <f>COUNTIFS(Games[Team],Games[[#This Row],[Team]],Games[Season],Games[[#This Row],[Season]],Games[Date],"&lt;=" &amp; Games[[#This Row],[Date]])</f>
        <v>12</v>
      </c>
      <c r="D153" s="2" t="s">
        <v>81</v>
      </c>
      <c r="E153" s="2" t="s">
        <v>82</v>
      </c>
      <c r="F153" s="1" t="s">
        <v>63</v>
      </c>
      <c r="G153" s="1" t="s">
        <v>67</v>
      </c>
      <c r="H153" s="1" t="s">
        <v>84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2</v>
      </c>
      <c r="L153" s="2">
        <f>Games[[#This Row],[OppDaysOff]]-Games[[#This Row],[DaysOff]]</f>
        <v>-2</v>
      </c>
      <c r="M153" s="1">
        <f>MAX(-16, MIN(16, Games[[#This Row],[RestDiff]]*8))</f>
        <v>16</v>
      </c>
      <c r="N153" s="1">
        <f>MAX(-16, MIN(16, Games[[#This Row],[OppRestDiff]]*8))</f>
        <v>-16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1641.1698575456596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1699.9730469102683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0.58157719760631743</v>
      </c>
      <c r="R153" s="1">
        <v>69</v>
      </c>
      <c r="S153" s="1">
        <v>72</v>
      </c>
      <c r="T153" s="1">
        <v>0</v>
      </c>
      <c r="U153" s="1">
        <f>Games[[#This Row],[PointsFor]]-Games[[#This Row],[PointsAgainst]]</f>
        <v>-3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0.27662801322756159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74.2</v>
      </c>
      <c r="Z153" s="4">
        <f>Games[[#This Row],[K]]*Games[[#This Row],[POMult]]</f>
        <v>74.2</v>
      </c>
      <c r="AA153" s="4">
        <f>(Games[[#This Row],[Keff]]*Games[[#This Row],[MOVMult]])*(Games[[#This Row],[Result]]-Games[[#This Row],[ExpectedWin%]])</f>
        <v>-11.937336417651812</v>
      </c>
      <c r="AB153" s="4">
        <f>Games[[#This Row],[PreGmRate]]+Games[[#This Row],[RatingChange]]</f>
        <v>1629.2325211280079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42543</v>
      </c>
      <c r="B154" s="2">
        <v>2016</v>
      </c>
      <c r="C154" s="2">
        <f>COUNTIFS(Games[Team],Games[[#This Row],[Team]],Games[Season],Games[[#This Row],[Season]],Games[Date],"&lt;=" &amp; Games[[#This Row],[Date]])</f>
        <v>13</v>
      </c>
      <c r="D154" s="2" t="s">
        <v>81</v>
      </c>
      <c r="E154" s="2" t="s">
        <v>82</v>
      </c>
      <c r="F154" s="1" t="s">
        <v>60</v>
      </c>
      <c r="G154" s="1" t="s">
        <v>79</v>
      </c>
      <c r="H154" s="1" t="s">
        <v>83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4" s="2">
        <f>Games[[#This Row],[DaysOff]]-Games[[#This Row],[OppDaysOff]]</f>
        <v>-1</v>
      </c>
      <c r="L154" s="2">
        <f>Games[[#This Row],[OppDaysOff]]-Games[[#This Row],[DaysOff]]</f>
        <v>1</v>
      </c>
      <c r="M154" s="1">
        <f>MAX(-16, MIN(16, Games[[#This Row],[RestDiff]]*8))</f>
        <v>-8</v>
      </c>
      <c r="N154" s="1">
        <f>MAX(-16, MIN(16, Games[[#This Row],[OppRestDiff]]*8))</f>
        <v>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1568.5449749450763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1511.0839242643654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0.43908561233832188</v>
      </c>
      <c r="R154" s="1">
        <v>90</v>
      </c>
      <c r="S154" s="1">
        <v>79</v>
      </c>
      <c r="T154" s="1">
        <v>1</v>
      </c>
      <c r="U154" s="1">
        <f>Games[[#This Row],[PointsFor]]-Games[[#This Row],[PointsAgainst]]</f>
        <v>11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0.37776346839617353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15.69067402540078</v>
      </c>
      <c r="AB154" s="4">
        <f>Games[[#This Row],[PreGmRate]]+Games[[#This Row],[RatingChange]]</f>
        <v>1584.2356489704771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42543</v>
      </c>
      <c r="B155" s="2">
        <v>2016</v>
      </c>
      <c r="C155" s="2">
        <f>COUNTIFS(Games[Team],Games[[#This Row],[Team]],Games[Season],Games[[#This Row],[Season]],Games[Date],"&lt;=" &amp; Games[[#This Row],[Date]])</f>
        <v>13</v>
      </c>
      <c r="D155" s="2" t="s">
        <v>81</v>
      </c>
      <c r="E155" s="2" t="s">
        <v>82</v>
      </c>
      <c r="F155" s="1" t="s">
        <v>79</v>
      </c>
      <c r="G155" s="1" t="s">
        <v>60</v>
      </c>
      <c r="H155" s="1" t="s">
        <v>84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5" s="2">
        <f>Games[[#This Row],[DaysOff]]-Games[[#This Row],[OppDaysOff]]</f>
        <v>1</v>
      </c>
      <c r="L155" s="2">
        <f>Games[[#This Row],[OppDaysOff]]-Games[[#This Row],[DaysOff]]</f>
        <v>-1</v>
      </c>
      <c r="M155" s="1">
        <f>MAX(-16, MIN(16, Games[[#This Row],[RestDiff]]*8))</f>
        <v>8</v>
      </c>
      <c r="N155" s="1">
        <f>MAX(-16, MIN(16, Games[[#This Row],[OppRestDiff]]*8))</f>
        <v>-8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1511.0839242643654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1568.5449749450763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0.560914387661678</v>
      </c>
      <c r="R155" s="1">
        <v>79</v>
      </c>
      <c r="S155" s="1">
        <v>90</v>
      </c>
      <c r="T155" s="1">
        <v>1</v>
      </c>
      <c r="U155" s="1">
        <f>Games[[#This Row],[PointsFor]]-Games[[#This Row],[PointsAgainst]]</f>
        <v>-11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0.37776346839617353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74.05</v>
      </c>
      <c r="Z155" s="4">
        <f>Games[[#This Row],[K]]*Games[[#This Row],[POMult]]</f>
        <v>74.05</v>
      </c>
      <c r="AA155" s="4">
        <f>(Games[[#This Row],[Keff]]*Games[[#This Row],[MOVMult]])*(Games[[#This Row],[Result]]-Games[[#This Row],[ExpectedWin%]])</f>
        <v>-15.690674025400778</v>
      </c>
      <c r="AB155" s="4">
        <f>Games[[#This Row],[PreGmRate]]+Games[[#This Row],[RatingChange]]</f>
        <v>1495.3932502389646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42543</v>
      </c>
      <c r="B156" s="2">
        <v>2016</v>
      </c>
      <c r="C156" s="2">
        <f>COUNTIFS(Games[Team],Games[[#This Row],[Team]],Games[Season],Games[[#This Row],[Season]],Games[Date],"&lt;=" &amp; Games[[#This Row],[Date]])</f>
        <v>14</v>
      </c>
      <c r="D156" s="2" t="s">
        <v>81</v>
      </c>
      <c r="E156" s="2" t="s">
        <v>82</v>
      </c>
      <c r="F156" s="1" t="s">
        <v>69</v>
      </c>
      <c r="G156" s="1" t="s">
        <v>65</v>
      </c>
      <c r="H156" s="1" t="s">
        <v>83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6" s="2">
        <f>Games[[#This Row],[DaysOff]]-Games[[#This Row],[OppDaysOff]]</f>
        <v>-1</v>
      </c>
      <c r="L156" s="2">
        <f>Games[[#This Row],[OppDaysOff]]-Games[[#This Row],[DaysOff]]</f>
        <v>1</v>
      </c>
      <c r="M156" s="1">
        <f>MAX(-16, MIN(16, Games[[#This Row],[RestDiff]]*8))</f>
        <v>-8</v>
      </c>
      <c r="N156" s="1">
        <f>MAX(-16, MIN(16, Games[[#This Row],[OppRestDiff]]*8))</f>
        <v>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1492.2267584091849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1488.2822937929138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0.36518255046829134</v>
      </c>
      <c r="R156" s="1">
        <v>62</v>
      </c>
      <c r="S156" s="1">
        <v>76</v>
      </c>
      <c r="T156" s="1">
        <v>0</v>
      </c>
      <c r="U156" s="1">
        <f>Games[[#This Row],[PointsFor]]-Games[[#This Row],[PointsAgainst]]</f>
        <v>-14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0.48601056065108272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73.900000000000006</v>
      </c>
      <c r="Z156" s="4">
        <f>Games[[#This Row],[K]]*Games[[#This Row],[POMult]]</f>
        <v>73.900000000000006</v>
      </c>
      <c r="AA156" s="4">
        <f>(Games[[#This Row],[Keff]]*Games[[#This Row],[MOVMult]])*(Games[[#This Row],[Result]]-Games[[#This Row],[ExpectedWin%]])</f>
        <v>-13.115962373279098</v>
      </c>
      <c r="AB156" s="4">
        <f>Games[[#This Row],[PreGmRate]]+Games[[#This Row],[RatingChange]]</f>
        <v>1479.1107960359059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42543</v>
      </c>
      <c r="B157" s="2">
        <v>2016</v>
      </c>
      <c r="C157" s="2">
        <f>COUNTIFS(Games[Team],Games[[#This Row],[Team]],Games[Season],Games[[#This Row],[Season]],Games[Date],"&lt;=" &amp; Games[[#This Row],[Date]])</f>
        <v>14</v>
      </c>
      <c r="D157" s="2" t="s">
        <v>81</v>
      </c>
      <c r="E157" s="2" t="s">
        <v>82</v>
      </c>
      <c r="F157" s="1" t="s">
        <v>65</v>
      </c>
      <c r="G157" s="1" t="s">
        <v>69</v>
      </c>
      <c r="H157" s="1" t="s">
        <v>84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7" s="2">
        <f>Games[[#This Row],[DaysOff]]-Games[[#This Row],[OppDaysOff]]</f>
        <v>1</v>
      </c>
      <c r="L157" s="2">
        <f>Games[[#This Row],[OppDaysOff]]-Games[[#This Row],[DaysOff]]</f>
        <v>-1</v>
      </c>
      <c r="M157" s="1">
        <f>MAX(-16, MIN(16, Games[[#This Row],[RestDiff]]*8))</f>
        <v>8</v>
      </c>
      <c r="N157" s="1">
        <f>MAX(-16, MIN(16, Games[[#This Row],[OppRestDiff]]*8))</f>
        <v>-8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1488.2822937929138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1492.2267584091849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0.6348174495317086</v>
      </c>
      <c r="R157" s="1">
        <v>76</v>
      </c>
      <c r="S157" s="1">
        <v>62</v>
      </c>
      <c r="T157" s="1">
        <v>0</v>
      </c>
      <c r="U157" s="1">
        <f>Games[[#This Row],[PointsFor]]-Games[[#This Row],[PointsAgainst]]</f>
        <v>14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0.48601056065108272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13.115962373279102</v>
      </c>
      <c r="AB157" s="4">
        <f>Games[[#This Row],[PreGmRate]]+Games[[#This Row],[RatingChange]]</f>
        <v>1501.3982561661928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42544</v>
      </c>
      <c r="B158" s="2">
        <v>2016</v>
      </c>
      <c r="C158" s="2">
        <f>COUNTIFS(Games[Team],Games[[#This Row],[Team]],Games[Season],Games[[#This Row],[Season]],Games[Date],"&lt;=" &amp; Games[[#This Row],[Date]])</f>
        <v>13</v>
      </c>
      <c r="D158" s="2" t="s">
        <v>81</v>
      </c>
      <c r="E158" s="2" t="s">
        <v>82</v>
      </c>
      <c r="F158" s="1" t="s">
        <v>74</v>
      </c>
      <c r="G158" s="1" t="s">
        <v>87</v>
      </c>
      <c r="H158" s="1" t="s">
        <v>83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1340.1382707719447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1474.7402100063134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0.2212539404493794</v>
      </c>
      <c r="R158" s="1">
        <v>90</v>
      </c>
      <c r="S158" s="1">
        <v>97</v>
      </c>
      <c r="T158" s="1">
        <v>1</v>
      </c>
      <c r="U158" s="1">
        <f>Games[[#This Row],[PointsFor]]-Games[[#This Row],[PointsAgainst]]</f>
        <v>-7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0.29950184735639873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74.05</v>
      </c>
      <c r="Z158" s="4">
        <f>Games[[#This Row],[K]]*Games[[#This Row],[POMult]]</f>
        <v>74.05</v>
      </c>
      <c r="AA158" s="4">
        <f>(Games[[#This Row],[Keff]]*Games[[#This Row],[MOVMult]])*(Games[[#This Row],[Result]]-Games[[#This Row],[ExpectedWin%]])</f>
        <v>-4.9069946267558846</v>
      </c>
      <c r="AB158" s="4">
        <f>Games[[#This Row],[PreGmRate]]+Games[[#This Row],[RatingChange]]</f>
        <v>1335.2312761451888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42544</v>
      </c>
      <c r="B159" s="2">
        <v>2016</v>
      </c>
      <c r="C159" s="2">
        <f>COUNTIFS(Games[Team],Games[[#This Row],[Team]],Games[Season],Games[[#This Row],[Season]],Games[Date],"&lt;=" &amp; Games[[#This Row],[Date]])</f>
        <v>14</v>
      </c>
      <c r="D159" s="2" t="s">
        <v>81</v>
      </c>
      <c r="E159" s="2" t="s">
        <v>82</v>
      </c>
      <c r="F159" s="1" t="s">
        <v>87</v>
      </c>
      <c r="G159" s="1" t="s">
        <v>74</v>
      </c>
      <c r="H159" s="1" t="s">
        <v>84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1474.7402100063134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1340.1382707719447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0.7787460595506206</v>
      </c>
      <c r="R159" s="1">
        <v>97</v>
      </c>
      <c r="S159" s="1">
        <v>90</v>
      </c>
      <c r="T159" s="1">
        <v>1</v>
      </c>
      <c r="U159" s="1">
        <f>Games[[#This Row],[PointsFor]]-Games[[#This Row],[PointsAgainst]]</f>
        <v>7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0.29950184735639873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73.900000000000006</v>
      </c>
      <c r="Z159" s="4">
        <f>Games[[#This Row],[K]]*Games[[#This Row],[POMult]]</f>
        <v>73.900000000000006</v>
      </c>
      <c r="AA159" s="4">
        <f>(Games[[#This Row],[Keff]]*Games[[#This Row],[MOVMult]])*(Games[[#This Row],[Result]]-Games[[#This Row],[ExpectedWin%]])</f>
        <v>4.8970547321709637</v>
      </c>
      <c r="AB159" s="4">
        <f>Games[[#This Row],[PreGmRate]]+Games[[#This Row],[RatingChange]]</f>
        <v>1479.6372647384844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42545</v>
      </c>
      <c r="B160" s="2">
        <v>2016</v>
      </c>
      <c r="C160" s="2">
        <f>COUNTIFS(Games[Team],Games[[#This Row],[Team]],Games[Season],Games[[#This Row],[Season]],Games[Date],"&lt;=" &amp; Games[[#This Row],[Date]])</f>
        <v>13</v>
      </c>
      <c r="D160" s="2" t="s">
        <v>81</v>
      </c>
      <c r="E160" s="2" t="s">
        <v>82</v>
      </c>
      <c r="F160" s="1" t="s">
        <v>63</v>
      </c>
      <c r="G160" s="1" t="s">
        <v>67</v>
      </c>
      <c r="H160" s="1" t="s">
        <v>83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1629.2325211280079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1711.8862512462133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0.27701116110461688</v>
      </c>
      <c r="R160" s="1">
        <v>94</v>
      </c>
      <c r="S160" s="1">
        <v>76</v>
      </c>
      <c r="T160" s="1">
        <v>0</v>
      </c>
      <c r="U160" s="1">
        <f>Games[[#This Row],[PointsFor]]-Games[[#This Row],[PointsAgainst]]</f>
        <v>18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0.5115961565800865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74.05</v>
      </c>
      <c r="Z160" s="4">
        <f>Games[[#This Row],[K]]*Games[[#This Row],[POMult]]</f>
        <v>74.05</v>
      </c>
      <c r="AA160" s="4">
        <f>(Games[[#This Row],[Keff]]*Games[[#This Row],[MOVMult]])*(Games[[#This Row],[Result]]-Games[[#This Row],[ExpectedWin%]])</f>
        <v>27.389488946520583</v>
      </c>
      <c r="AB160" s="4">
        <f>Games[[#This Row],[PreGmRate]]+Games[[#This Row],[RatingChange]]</f>
        <v>1656.6220100745284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42545</v>
      </c>
      <c r="B161" s="2">
        <v>2016</v>
      </c>
      <c r="C161" s="2">
        <f>COUNTIFS(Games[Team],Games[[#This Row],[Team]],Games[Season],Games[[#This Row],[Season]],Games[Date],"&lt;=" &amp; Games[[#This Row],[Date]])</f>
        <v>14</v>
      </c>
      <c r="D161" s="2" t="s">
        <v>81</v>
      </c>
      <c r="E161" s="2" t="s">
        <v>82</v>
      </c>
      <c r="F161" s="1" t="s">
        <v>67</v>
      </c>
      <c r="G161" s="1" t="s">
        <v>63</v>
      </c>
      <c r="H161" s="1" t="s">
        <v>84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1711.8862512462133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1629.2325211280079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0.72298883889538312</v>
      </c>
      <c r="R161" s="1">
        <v>76</v>
      </c>
      <c r="S161" s="1">
        <v>94</v>
      </c>
      <c r="T161" s="1">
        <v>0</v>
      </c>
      <c r="U161" s="1">
        <f>Games[[#This Row],[PointsFor]]-Games[[#This Row],[PointsAgainst]]</f>
        <v>-18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0.5115961565800865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-27.334007199836208</v>
      </c>
      <c r="AB161" s="4">
        <f>Games[[#This Row],[PreGmRate]]+Games[[#This Row],[RatingChange]]</f>
        <v>1684.5522440463772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42545</v>
      </c>
      <c r="B162" s="2">
        <v>2016</v>
      </c>
      <c r="C162" s="2">
        <f>COUNTIFS(Games[Team],Games[[#This Row],[Team]],Games[Season],Games[[#This Row],[Season]],Games[Date],"&lt;=" &amp; Games[[#This Row],[Date]])</f>
        <v>14</v>
      </c>
      <c r="D162" s="2" t="s">
        <v>81</v>
      </c>
      <c r="E162" s="2" t="s">
        <v>82</v>
      </c>
      <c r="F162" s="1" t="s">
        <v>77</v>
      </c>
      <c r="G162" s="1" t="s">
        <v>60</v>
      </c>
      <c r="H162" s="1" t="s">
        <v>83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1</v>
      </c>
      <c r="L162" s="2">
        <f>Games[[#This Row],[OppDaysOff]]-Games[[#This Row],[DaysOff]]</f>
        <v>-1</v>
      </c>
      <c r="M162" s="1">
        <f>MAX(-16, MIN(16, Games[[#This Row],[RestDiff]]*8))</f>
        <v>8</v>
      </c>
      <c r="N162" s="1">
        <f>MAX(-16, MIN(16, Games[[#This Row],[OppRestDiff]]*8))</f>
        <v>-8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1519.750796711789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1584.2356489704771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0.31807247578177283</v>
      </c>
      <c r="R162" s="1">
        <v>79</v>
      </c>
      <c r="S162" s="1">
        <v>80</v>
      </c>
      <c r="T162" s="1">
        <v>0</v>
      </c>
      <c r="U162" s="1">
        <f>Games[[#This Row],[PointsFor]]-Games[[#This Row],[PointsAgainst]]</f>
        <v>-1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0.23172725607187192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73.900000000000006</v>
      </c>
      <c r="Z162" s="4">
        <f>Games[[#This Row],[K]]*Games[[#This Row],[POMult]]</f>
        <v>73.900000000000006</v>
      </c>
      <c r="AA162" s="4">
        <f>(Games[[#This Row],[Keff]]*Games[[#This Row],[MOVMult]])*(Games[[#This Row],[Result]]-Games[[#This Row],[ExpectedWin%]])</f>
        <v>-5.4468779851178999</v>
      </c>
      <c r="AB162" s="4">
        <f>Games[[#This Row],[PreGmRate]]+Games[[#This Row],[RatingChange]]</f>
        <v>1514.3039187266711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42545</v>
      </c>
      <c r="B163" s="2">
        <v>2016</v>
      </c>
      <c r="C163" s="2">
        <f>COUNTIFS(Games[Team],Games[[#This Row],[Team]],Games[Season],Games[[#This Row],[Season]],Games[Date],"&lt;=" &amp; Games[[#This Row],[Date]])</f>
        <v>14</v>
      </c>
      <c r="D163" s="2" t="s">
        <v>81</v>
      </c>
      <c r="E163" s="2" t="s">
        <v>82</v>
      </c>
      <c r="F163" s="1" t="s">
        <v>60</v>
      </c>
      <c r="G163" s="1" t="s">
        <v>77</v>
      </c>
      <c r="H163" s="1" t="s">
        <v>84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3" s="2">
        <f>Games[[#This Row],[DaysOff]]-Games[[#This Row],[OppDaysOff]]</f>
        <v>-1</v>
      </c>
      <c r="L163" s="2">
        <f>Games[[#This Row],[OppDaysOff]]-Games[[#This Row],[DaysOff]]</f>
        <v>1</v>
      </c>
      <c r="M163" s="1">
        <f>MAX(-16, MIN(16, Games[[#This Row],[RestDiff]]*8))</f>
        <v>-8</v>
      </c>
      <c r="N163" s="1">
        <f>MAX(-16, MIN(16, Games[[#This Row],[OppRestDiff]]*8))</f>
        <v>8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1584.2356489704771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1519.750796711789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0.68192752421822711</v>
      </c>
      <c r="R163" s="1">
        <v>80</v>
      </c>
      <c r="S163" s="1">
        <v>79</v>
      </c>
      <c r="T163" s="1">
        <v>0</v>
      </c>
      <c r="U163" s="1">
        <f>Games[[#This Row],[PointsFor]]-Games[[#This Row],[PointsAgainst]]</f>
        <v>1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0.23172725607187192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73.900000000000006</v>
      </c>
      <c r="Z163" s="4">
        <f>Games[[#This Row],[K]]*Games[[#This Row],[POMult]]</f>
        <v>73.900000000000006</v>
      </c>
      <c r="AA163" s="4">
        <f>(Games[[#This Row],[Keff]]*Games[[#This Row],[MOVMult]])*(Games[[#This Row],[Result]]-Games[[#This Row],[ExpectedWin%]])</f>
        <v>5.4468779851179008</v>
      </c>
      <c r="AB163" s="4">
        <f>Games[[#This Row],[PreGmRate]]+Games[[#This Row],[RatingChange]]</f>
        <v>1589.682526955595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42545</v>
      </c>
      <c r="B164" s="2">
        <v>2016</v>
      </c>
      <c r="C164" s="2">
        <f>COUNTIFS(Games[Team],Games[[#This Row],[Team]],Games[Season],Games[[#This Row],[Season]],Games[Date],"&lt;=" &amp; Games[[#This Row],[Date]])</f>
        <v>14</v>
      </c>
      <c r="D164" s="2" t="s">
        <v>81</v>
      </c>
      <c r="E164" s="2" t="s">
        <v>82</v>
      </c>
      <c r="F164" s="1" t="s">
        <v>76</v>
      </c>
      <c r="G164" s="1" t="s">
        <v>71</v>
      </c>
      <c r="H164" s="1" t="s">
        <v>83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1380.2093303433592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1407.0770514642495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0.34565220957222575</v>
      </c>
      <c r="R164" s="1">
        <v>81</v>
      </c>
      <c r="S164" s="1">
        <v>98</v>
      </c>
      <c r="T164" s="1">
        <v>0</v>
      </c>
      <c r="U164" s="1">
        <f>Games[[#This Row],[PointsFor]]-Games[[#This Row],[PointsAgainst]]</f>
        <v>-17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0.52078188373450518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-13.302695311651508</v>
      </c>
      <c r="AB164" s="4">
        <f>Games[[#This Row],[PreGmRate]]+Games[[#This Row],[RatingChange]]</f>
        <v>1366.9066350317078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42545</v>
      </c>
      <c r="B165" s="2">
        <v>2016</v>
      </c>
      <c r="C165" s="2">
        <f>COUNTIFS(Games[Team],Games[[#This Row],[Team]],Games[Season],Games[[#This Row],[Season]],Games[Date],"&lt;=" &amp; Games[[#This Row],[Date]])</f>
        <v>14</v>
      </c>
      <c r="D165" s="2" t="s">
        <v>81</v>
      </c>
      <c r="E165" s="2" t="s">
        <v>82</v>
      </c>
      <c r="F165" s="1" t="s">
        <v>71</v>
      </c>
      <c r="G165" s="1" t="s">
        <v>76</v>
      </c>
      <c r="H165" s="1" t="s">
        <v>84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1407.0770514642495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1380.2093303433592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0.65434779042777425</v>
      </c>
      <c r="R165" s="1">
        <v>98</v>
      </c>
      <c r="S165" s="1">
        <v>81</v>
      </c>
      <c r="T165" s="1">
        <v>0</v>
      </c>
      <c r="U165" s="1">
        <f>Games[[#This Row],[PointsFor]]-Games[[#This Row],[PointsAgainst]]</f>
        <v>17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0.52078188373450518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73.900000000000006</v>
      </c>
      <c r="Z165" s="4">
        <f>Games[[#This Row],[K]]*Games[[#This Row],[POMult]]</f>
        <v>73.900000000000006</v>
      </c>
      <c r="AA165" s="4">
        <f>(Games[[#This Row],[Keff]]*Games[[#This Row],[MOVMult]])*(Games[[#This Row],[Result]]-Games[[#This Row],[ExpectedWin%]])</f>
        <v>13.302695311651508</v>
      </c>
      <c r="AB165" s="4">
        <f>Games[[#This Row],[PreGmRate]]+Games[[#This Row],[RatingChange]]</f>
        <v>1420.3797467759009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42545</v>
      </c>
      <c r="B166" s="2">
        <v>2016</v>
      </c>
      <c r="C166" s="2">
        <f>COUNTIFS(Games[Team],Games[[#This Row],[Team]],Games[Season],Games[[#This Row],[Season]],Games[Date],"&lt;=" &amp; Games[[#This Row],[Date]])</f>
        <v>14</v>
      </c>
      <c r="D166" s="2" t="s">
        <v>81</v>
      </c>
      <c r="E166" s="2" t="s">
        <v>82</v>
      </c>
      <c r="F166" s="1" t="s">
        <v>40</v>
      </c>
      <c r="G166" s="1" t="s">
        <v>65</v>
      </c>
      <c r="H166" s="1" t="s">
        <v>83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1</v>
      </c>
      <c r="L166" s="2">
        <f>Games[[#This Row],[OppDaysOff]]-Games[[#This Row],[DaysOff]]</f>
        <v>-1</v>
      </c>
      <c r="M166" s="1">
        <f>MAX(-16, MIN(16, Games[[#This Row],[RestDiff]]*8))</f>
        <v>8</v>
      </c>
      <c r="N166" s="1">
        <f>MAX(-16, MIN(16, Games[[#This Row],[OppRestDiff]]*8))</f>
        <v>-8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1477.4069145850071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1501.3982561661928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0.37062307890136781</v>
      </c>
      <c r="R166" s="1">
        <v>91</v>
      </c>
      <c r="S166" s="1">
        <v>79</v>
      </c>
      <c r="T166" s="1">
        <v>0</v>
      </c>
      <c r="U166" s="1">
        <f>Games[[#This Row],[PointsFor]]-Games[[#This Row],[PointsAgainst]]</f>
        <v>12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0.44718889186320565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73.900000000000006</v>
      </c>
      <c r="Z166" s="4">
        <f>Games[[#This Row],[K]]*Games[[#This Row],[POMult]]</f>
        <v>73.900000000000006</v>
      </c>
      <c r="AA166" s="4">
        <f>(Games[[#This Row],[Keff]]*Games[[#This Row],[MOVMult]])*(Games[[#This Row],[Result]]-Games[[#This Row],[ExpectedWin%]])</f>
        <v>20.799182188576609</v>
      </c>
      <c r="AB166" s="4">
        <f>Games[[#This Row],[PreGmRate]]+Games[[#This Row],[RatingChange]]</f>
        <v>1498.2060967735838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42545</v>
      </c>
      <c r="B167" s="2">
        <v>2016</v>
      </c>
      <c r="C167" s="2">
        <f>COUNTIFS(Games[Team],Games[[#This Row],[Team]],Games[Season],Games[[#This Row],[Season]],Games[Date],"&lt;=" &amp; Games[[#This Row],[Date]])</f>
        <v>15</v>
      </c>
      <c r="D167" s="2" t="s">
        <v>81</v>
      </c>
      <c r="E167" s="2" t="s">
        <v>82</v>
      </c>
      <c r="F167" s="1" t="s">
        <v>65</v>
      </c>
      <c r="G167" s="1" t="s">
        <v>40</v>
      </c>
      <c r="H167" s="1" t="s">
        <v>84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7" s="2">
        <f>Games[[#This Row],[DaysOff]]-Games[[#This Row],[OppDaysOff]]</f>
        <v>-1</v>
      </c>
      <c r="L167" s="2">
        <f>Games[[#This Row],[OppDaysOff]]-Games[[#This Row],[DaysOff]]</f>
        <v>1</v>
      </c>
      <c r="M167" s="1">
        <f>MAX(-16, MIN(16, Games[[#This Row],[RestDiff]]*8))</f>
        <v>-8</v>
      </c>
      <c r="N167" s="1">
        <f>MAX(-16, MIN(16, Games[[#This Row],[OppRestDiff]]*8))</f>
        <v>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1501.3982561661928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1477.4069145850071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0.62937692109863219</v>
      </c>
      <c r="R167" s="1">
        <v>79</v>
      </c>
      <c r="S167" s="1">
        <v>91</v>
      </c>
      <c r="T167" s="1">
        <v>0</v>
      </c>
      <c r="U167" s="1">
        <f>Games[[#This Row],[PointsFor]]-Games[[#This Row],[PointsAgainst]]</f>
        <v>-12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0.44718889186320565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73.75</v>
      </c>
      <c r="Z167" s="4">
        <f>Games[[#This Row],[K]]*Games[[#This Row],[POMult]]</f>
        <v>73.75</v>
      </c>
      <c r="AA167" s="4">
        <f>(Games[[#This Row],[Keff]]*Games[[#This Row],[MOVMult]])*(Games[[#This Row],[Result]]-Games[[#This Row],[ExpectedWin%]])</f>
        <v>-20.756964633390048</v>
      </c>
      <c r="AB167" s="4">
        <f>Games[[#This Row],[PreGmRate]]+Games[[#This Row],[RatingChange]]</f>
        <v>1480.6412915328028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42546</v>
      </c>
      <c r="B168" s="2">
        <v>2016</v>
      </c>
      <c r="C168" s="2">
        <f>COUNTIFS(Games[Team],Games[[#This Row],[Team]],Games[Season],Games[[#This Row],[Season]],Games[Date],"&lt;=" &amp; Games[[#This Row],[Date]])</f>
        <v>15</v>
      </c>
      <c r="D168" s="2" t="s">
        <v>81</v>
      </c>
      <c r="E168" s="2" t="s">
        <v>82</v>
      </c>
      <c r="F168" s="1" t="s">
        <v>69</v>
      </c>
      <c r="G168" s="1" t="s">
        <v>87</v>
      </c>
      <c r="H168" s="1" t="s">
        <v>83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1</v>
      </c>
      <c r="L168" s="2">
        <f>Games[[#This Row],[OppDaysOff]]-Games[[#This Row],[DaysOff]]</f>
        <v>-1</v>
      </c>
      <c r="M168" s="1">
        <f>MAX(-16, MIN(16, Games[[#This Row],[RestDiff]]*8))</f>
        <v>8</v>
      </c>
      <c r="N168" s="1">
        <f>MAX(-16, MIN(16, Games[[#This Row],[OppRestDiff]]*8))</f>
        <v>-8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1479.1107960359059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1479.6372647384844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0.40264168869549427</v>
      </c>
      <c r="R168" s="1">
        <v>92</v>
      </c>
      <c r="S168" s="1">
        <v>87</v>
      </c>
      <c r="T168" s="1">
        <v>0</v>
      </c>
      <c r="U168" s="1">
        <f>Games[[#This Row],[PointsFor]]-Games[[#This Row],[PointsAgainst]]</f>
        <v>5</v>
      </c>
      <c r="V168" s="1">
        <f>IF(Games[[#This Row],[MOV]]&gt;0,1,IF(Games[[#This Row],[MOV]]=0,0.5,0))</f>
        <v>1</v>
      </c>
      <c r="W168" s="4">
        <f>((ABS(Games[[#This Row],[MOV]])+5)^0.6)/(12+0.01*(ABS(Games[[#This Row],[PreGmRate]]-Games[[#This Row],[OppPreGmRate]])))*IF(Games[[#This Row],[OT]]=1,0.9,1)</f>
        <v>0.33161049000755127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73.75</v>
      </c>
      <c r="Z168" s="4">
        <f>Games[[#This Row],[K]]*Games[[#This Row],[POMult]]</f>
        <v>73.75</v>
      </c>
      <c r="AA168" s="4">
        <f>(Games[[#This Row],[Keff]]*Games[[#This Row],[MOVMult]])*(Games[[#This Row],[Result]]-Games[[#This Row],[ExpectedWin%]])</f>
        <v>14.609158321230575</v>
      </c>
      <c r="AB168" s="4">
        <f>Games[[#This Row],[PreGmRate]]+Games[[#This Row],[RatingChange]]</f>
        <v>1493.7199543571364</v>
      </c>
      <c r="AC168" s="2">
        <f>IF(Games[[#This Row],[Type]]="R",IF(Games[[#This Row],[Result]]&gt;0.5,1,0),0)</f>
        <v>1</v>
      </c>
      <c r="AD168" s="2">
        <f>IF(Games[[#This Row],[Type]]="R",IF(Games[[#This Row],[Result]]&lt;0.5,1,0),0)</f>
        <v>0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42546</v>
      </c>
      <c r="B169" s="2">
        <v>2016</v>
      </c>
      <c r="C169" s="2">
        <f>COUNTIFS(Games[Team],Games[[#This Row],[Team]],Games[Season],Games[[#This Row],[Season]],Games[Date],"&lt;=" &amp; Games[[#This Row],[Date]])</f>
        <v>15</v>
      </c>
      <c r="D169" s="2" t="s">
        <v>81</v>
      </c>
      <c r="E169" s="2" t="s">
        <v>82</v>
      </c>
      <c r="F169" s="1" t="s">
        <v>87</v>
      </c>
      <c r="G169" s="1" t="s">
        <v>69</v>
      </c>
      <c r="H169" s="1" t="s">
        <v>84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9" s="2">
        <f>Games[[#This Row],[DaysOff]]-Games[[#This Row],[OppDaysOff]]</f>
        <v>-1</v>
      </c>
      <c r="L169" s="2">
        <f>Games[[#This Row],[OppDaysOff]]-Games[[#This Row],[DaysOff]]</f>
        <v>1</v>
      </c>
      <c r="M169" s="1">
        <f>MAX(-16, MIN(16, Games[[#This Row],[RestDiff]]*8))</f>
        <v>-8</v>
      </c>
      <c r="N169" s="1">
        <f>MAX(-16, MIN(16, Games[[#This Row],[OppRestDiff]]*8))</f>
        <v>8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1479.6372647384844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1479.1107960359059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0.59735831130450567</v>
      </c>
      <c r="R169" s="1">
        <v>87</v>
      </c>
      <c r="S169" s="1">
        <v>92</v>
      </c>
      <c r="T169" s="1">
        <v>0</v>
      </c>
      <c r="U169" s="1">
        <f>Games[[#This Row],[PointsFor]]-Games[[#This Row],[PointsAgainst]]</f>
        <v>-5</v>
      </c>
      <c r="V169" s="1">
        <f>IF(Games[[#This Row],[MOV]]&gt;0,1,IF(Games[[#This Row],[MOV]]=0,0.5,0))</f>
        <v>0</v>
      </c>
      <c r="W169" s="4">
        <f>((ABS(Games[[#This Row],[MOV]])+5)^0.6)/(12+0.01*(ABS(Games[[#This Row],[PreGmRate]]-Games[[#This Row],[OppPreGmRate]])))*IF(Games[[#This Row],[OT]]=1,0.9,1)</f>
        <v>0.33161049000755127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73.75</v>
      </c>
      <c r="Z169" s="4">
        <f>Games[[#This Row],[K]]*Games[[#This Row],[POMult]]</f>
        <v>73.75</v>
      </c>
      <c r="AA169" s="4">
        <f>(Games[[#This Row],[Keff]]*Games[[#This Row],[MOVMult]])*(Games[[#This Row],[Result]]-Games[[#This Row],[ExpectedWin%]])</f>
        <v>-14.609158321230574</v>
      </c>
      <c r="AB169" s="4">
        <f>Games[[#This Row],[PreGmRate]]+Games[[#This Row],[RatingChange]]</f>
        <v>1465.0281064172539</v>
      </c>
      <c r="AC169" s="2">
        <f>IF(Games[[#This Row],[Type]]="R",IF(Games[[#This Row],[Result]]&gt;0.5,1,0),0)</f>
        <v>0</v>
      </c>
      <c r="AD169" s="2">
        <f>IF(Games[[#This Row],[Type]]="R",IF(Games[[#This Row],[Result]]&lt;0.5,1,0),0)</f>
        <v>1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42546</v>
      </c>
      <c r="B170" s="2">
        <v>2016</v>
      </c>
      <c r="C170" s="2">
        <f>COUNTIFS(Games[Team],Games[[#This Row],[Team]],Games[Season],Games[[#This Row],[Season]],Games[Date],"&lt;=" &amp; Games[[#This Row],[Date]])</f>
        <v>14</v>
      </c>
      <c r="D170" s="2" t="s">
        <v>81</v>
      </c>
      <c r="E170" s="2" t="s">
        <v>82</v>
      </c>
      <c r="F170" s="1" t="s">
        <v>79</v>
      </c>
      <c r="G170" s="1" t="s">
        <v>74</v>
      </c>
      <c r="H170" s="1" t="s">
        <v>83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1</v>
      </c>
      <c r="L170" s="2">
        <f>Games[[#This Row],[OppDaysOff]]-Games[[#This Row],[DaysOff]]</f>
        <v>-1</v>
      </c>
      <c r="M170" s="1">
        <f>MAX(-16, MIN(16, Games[[#This Row],[RestDiff]]*8))</f>
        <v>8</v>
      </c>
      <c r="N170" s="1">
        <f>MAX(-16, MIN(16, Games[[#This Row],[OppRestDiff]]*8))</f>
        <v>-8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1495.3932502389646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1335.2312761451888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0.62960601078369005</v>
      </c>
      <c r="R170" s="1">
        <v>69</v>
      </c>
      <c r="S170" s="1">
        <v>73</v>
      </c>
      <c r="T170" s="1">
        <v>0</v>
      </c>
      <c r="U170" s="1">
        <f>Games[[#This Row],[PointsFor]]-Games[[#This Row],[PointsAgainst]]</f>
        <v>-4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0.27476086598704552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73.900000000000006</v>
      </c>
      <c r="Z170" s="4">
        <f>Games[[#This Row],[K]]*Games[[#This Row],[POMult]]</f>
        <v>73.900000000000006</v>
      </c>
      <c r="AA170" s="4">
        <f>(Games[[#This Row],[Keff]]*Games[[#This Row],[MOVMult]])*(Games[[#This Row],[Result]]-Games[[#This Row],[ExpectedWin%]])</f>
        <v>-12.784041754489252</v>
      </c>
      <c r="AB170" s="4">
        <f>Games[[#This Row],[PreGmRate]]+Games[[#This Row],[RatingChange]]</f>
        <v>1482.6092084844754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42546</v>
      </c>
      <c r="B171" s="2">
        <v>2016</v>
      </c>
      <c r="C171" s="2">
        <f>COUNTIFS(Games[Team],Games[[#This Row],[Team]],Games[Season],Games[[#This Row],[Season]],Games[Date],"&lt;=" &amp; Games[[#This Row],[Date]])</f>
        <v>14</v>
      </c>
      <c r="D171" s="2" t="s">
        <v>81</v>
      </c>
      <c r="E171" s="2" t="s">
        <v>82</v>
      </c>
      <c r="F171" s="1" t="s">
        <v>74</v>
      </c>
      <c r="G171" s="1" t="s">
        <v>79</v>
      </c>
      <c r="H171" s="1" t="s">
        <v>84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1" s="2">
        <f>Games[[#This Row],[DaysOff]]-Games[[#This Row],[OppDaysOff]]</f>
        <v>-1</v>
      </c>
      <c r="L171" s="2">
        <f>Games[[#This Row],[OppDaysOff]]-Games[[#This Row],[DaysOff]]</f>
        <v>1</v>
      </c>
      <c r="M171" s="1">
        <f>MAX(-16, MIN(16, Games[[#This Row],[RestDiff]]*8))</f>
        <v>-8</v>
      </c>
      <c r="N171" s="1">
        <f>MAX(-16, MIN(16, Games[[#This Row],[OppRestDiff]]*8))</f>
        <v>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1335.2312761451888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1495.3932502389646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0.37039398921630989</v>
      </c>
      <c r="R171" s="1">
        <v>73</v>
      </c>
      <c r="S171" s="1">
        <v>69</v>
      </c>
      <c r="T171" s="1">
        <v>0</v>
      </c>
      <c r="U171" s="1">
        <f>Games[[#This Row],[PointsFor]]-Games[[#This Row],[PointsAgainst]]</f>
        <v>4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0.27476086598704552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12.784041754489252</v>
      </c>
      <c r="AB171" s="4">
        <f>Games[[#This Row],[PreGmRate]]+Games[[#This Row],[RatingChange]]</f>
        <v>1348.0153178996779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42547</v>
      </c>
      <c r="B172" s="2">
        <v>2016</v>
      </c>
      <c r="C172" s="2">
        <f>COUNTIFS(Games[Team],Games[[#This Row],[Team]],Games[Season],Games[[#This Row],[Season]],Games[Date],"&lt;=" &amp; Games[[#This Row],[Date]])</f>
        <v>15</v>
      </c>
      <c r="D172" s="2" t="s">
        <v>81</v>
      </c>
      <c r="E172" s="2" t="s">
        <v>82</v>
      </c>
      <c r="F172" s="1" t="s">
        <v>76</v>
      </c>
      <c r="G172" s="1" t="s">
        <v>63</v>
      </c>
      <c r="H172" s="1" t="s">
        <v>83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1366.9066350317078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1656.6220100745284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0.10421180050810472</v>
      </c>
      <c r="R172" s="1">
        <v>73</v>
      </c>
      <c r="S172" s="1">
        <v>80</v>
      </c>
      <c r="T172" s="1">
        <v>0</v>
      </c>
      <c r="U172" s="1">
        <f>Games[[#This Row],[PointsFor]]-Games[[#This Row],[PointsAgainst]]</f>
        <v>-7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0.2981298403876767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73.75</v>
      </c>
      <c r="Z172" s="4">
        <f>Games[[#This Row],[K]]*Games[[#This Row],[POMult]]</f>
        <v>73.75</v>
      </c>
      <c r="AA172" s="4">
        <f>(Games[[#This Row],[Keff]]*Games[[#This Row],[MOVMult]])*(Games[[#This Row],[Result]]-Games[[#This Row],[ExpectedWin%]])</f>
        <v>-2.2913127495845331</v>
      </c>
      <c r="AB172" s="4">
        <f>Games[[#This Row],[PreGmRate]]+Games[[#This Row],[RatingChange]]</f>
        <v>1364.6153222821233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42547</v>
      </c>
      <c r="B173" s="2">
        <v>2016</v>
      </c>
      <c r="C173" s="2">
        <f>COUNTIFS(Games[Team],Games[[#This Row],[Team]],Games[Season],Games[[#This Row],[Season]],Games[Date],"&lt;=" &amp; Games[[#This Row],[Date]])</f>
        <v>14</v>
      </c>
      <c r="D173" s="2" t="s">
        <v>81</v>
      </c>
      <c r="E173" s="2" t="s">
        <v>82</v>
      </c>
      <c r="F173" s="1" t="s">
        <v>63</v>
      </c>
      <c r="G173" s="1" t="s">
        <v>76</v>
      </c>
      <c r="H173" s="1" t="s">
        <v>84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1656.6220100745284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1366.9066350317078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0.89578819949189536</v>
      </c>
      <c r="R173" s="1">
        <v>80</v>
      </c>
      <c r="S173" s="1">
        <v>73</v>
      </c>
      <c r="T173" s="1">
        <v>0</v>
      </c>
      <c r="U173" s="1">
        <f>Games[[#This Row],[PointsFor]]-Games[[#This Row],[PointsAgainst]]</f>
        <v>7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0.2981298403876767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2.29597304670233</v>
      </c>
      <c r="AB173" s="4">
        <f>Games[[#This Row],[PreGmRate]]+Games[[#This Row],[RatingChange]]</f>
        <v>1658.9179831212307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42547</v>
      </c>
      <c r="B174" s="2">
        <v>2016</v>
      </c>
      <c r="C174" s="2">
        <f>COUNTIFS(Games[Team],Games[[#This Row],[Team]],Games[Season],Games[[#This Row],[Season]],Games[Date],"&lt;=" &amp; Games[[#This Row],[Date]])</f>
        <v>15</v>
      </c>
      <c r="D174" s="2" t="s">
        <v>81</v>
      </c>
      <c r="E174" s="2" t="s">
        <v>82</v>
      </c>
      <c r="F174" s="1" t="s">
        <v>40</v>
      </c>
      <c r="G174" s="1" t="s">
        <v>60</v>
      </c>
      <c r="H174" s="1" t="s">
        <v>83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1498.2060967735838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1589.682526955595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0.2669556762860148</v>
      </c>
      <c r="R174" s="1">
        <v>104</v>
      </c>
      <c r="S174" s="1">
        <v>97</v>
      </c>
      <c r="T174" s="1">
        <v>1</v>
      </c>
      <c r="U174" s="1">
        <f>Games[[#This Row],[PointsFor]]-Games[[#This Row],[PointsAgainst]]</f>
        <v>7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0.30950293551218166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73.75</v>
      </c>
      <c r="Z174" s="4">
        <f>Games[[#This Row],[K]]*Games[[#This Row],[POMult]]</f>
        <v>73.75</v>
      </c>
      <c r="AA174" s="4">
        <f>(Games[[#This Row],[Keff]]*Games[[#This Row],[MOVMult]])*(Games[[#This Row],[Result]]-Games[[#This Row],[ExpectedWin%]])</f>
        <v>16.732353541189003</v>
      </c>
      <c r="AB174" s="4">
        <f>Games[[#This Row],[PreGmRate]]+Games[[#This Row],[RatingChange]]</f>
        <v>1514.9384503147728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42547</v>
      </c>
      <c r="B175" s="2">
        <v>2016</v>
      </c>
      <c r="C175" s="2">
        <f>COUNTIFS(Games[Team],Games[[#This Row],[Team]],Games[Season],Games[[#This Row],[Season]],Games[Date],"&lt;=" &amp; Games[[#This Row],[Date]])</f>
        <v>15</v>
      </c>
      <c r="D175" s="2" t="s">
        <v>81</v>
      </c>
      <c r="E175" s="2" t="s">
        <v>82</v>
      </c>
      <c r="F175" s="1" t="s">
        <v>60</v>
      </c>
      <c r="G175" s="1" t="s">
        <v>40</v>
      </c>
      <c r="H175" s="1" t="s">
        <v>84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1589.682526955595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1498.2060967735838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0.7330443237139852</v>
      </c>
      <c r="R175" s="1">
        <v>97</v>
      </c>
      <c r="S175" s="1">
        <v>104</v>
      </c>
      <c r="T175" s="1">
        <v>1</v>
      </c>
      <c r="U175" s="1">
        <f>Games[[#This Row],[PointsFor]]-Games[[#This Row],[PointsAgainst]]</f>
        <v>-7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0.30950293551218166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73.75</v>
      </c>
      <c r="Z175" s="4">
        <f>Games[[#This Row],[K]]*Games[[#This Row],[POMult]]</f>
        <v>73.75</v>
      </c>
      <c r="AA175" s="4">
        <f>(Games[[#This Row],[Keff]]*Games[[#This Row],[MOVMult]])*(Games[[#This Row],[Result]]-Games[[#This Row],[ExpectedWin%]])</f>
        <v>-16.732353541189003</v>
      </c>
      <c r="AB175" s="4">
        <f>Games[[#This Row],[PreGmRate]]+Games[[#This Row],[RatingChange]]</f>
        <v>1572.950173414406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42547</v>
      </c>
      <c r="B176" s="2">
        <v>2016</v>
      </c>
      <c r="C176" s="2">
        <f>COUNTIFS(Games[Team],Games[[#This Row],[Team]],Games[Season],Games[[#This Row],[Season]],Games[Date],"&lt;=" &amp; Games[[#This Row],[Date]])</f>
        <v>15</v>
      </c>
      <c r="D176" s="2" t="s">
        <v>81</v>
      </c>
      <c r="E176" s="2" t="s">
        <v>82</v>
      </c>
      <c r="F176" s="1" t="s">
        <v>67</v>
      </c>
      <c r="G176" s="1" t="s">
        <v>65</v>
      </c>
      <c r="H176" s="1" t="s">
        <v>83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1684.5522440463772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1480.6412915328028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0.66602541414481453</v>
      </c>
      <c r="R176" s="1">
        <v>63</v>
      </c>
      <c r="S176" s="1">
        <v>87</v>
      </c>
      <c r="T176" s="1">
        <v>0</v>
      </c>
      <c r="U176" s="1">
        <f>Games[[#This Row],[PointsFor]]-Games[[#This Row],[PointsAgainst]]</f>
        <v>-24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0.5371545225055665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-26.384694044225341</v>
      </c>
      <c r="AB176" s="4">
        <f>Games[[#This Row],[PreGmRate]]+Games[[#This Row],[RatingChange]]</f>
        <v>1658.1675500021518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42547</v>
      </c>
      <c r="B177" s="2">
        <v>2016</v>
      </c>
      <c r="C177" s="2">
        <f>COUNTIFS(Games[Team],Games[[#This Row],[Team]],Games[Season],Games[[#This Row],[Season]],Games[Date],"&lt;=" &amp; Games[[#This Row],[Date]])</f>
        <v>16</v>
      </c>
      <c r="D177" s="2" t="s">
        <v>81</v>
      </c>
      <c r="E177" s="2" t="s">
        <v>82</v>
      </c>
      <c r="F177" s="1" t="s">
        <v>65</v>
      </c>
      <c r="G177" s="1" t="s">
        <v>67</v>
      </c>
      <c r="H177" s="1" t="s">
        <v>84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1480.6412915328028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1684.5522440463772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0.33397458585518541</v>
      </c>
      <c r="R177" s="1">
        <v>87</v>
      </c>
      <c r="S177" s="1">
        <v>63</v>
      </c>
      <c r="T177" s="1">
        <v>0</v>
      </c>
      <c r="U177" s="1">
        <f>Games[[#This Row],[PointsFor]]-Games[[#This Row],[PointsAgainst]]</f>
        <v>24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0.5371545225055665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73.599999999999994</v>
      </c>
      <c r="Z177" s="4">
        <f>Games[[#This Row],[K]]*Games[[#This Row],[POMult]]</f>
        <v>73.599999999999994</v>
      </c>
      <c r="AA177" s="4">
        <f>(Games[[#This Row],[Keff]]*Games[[#This Row],[MOVMult]])*(Games[[#This Row],[Result]]-Games[[#This Row],[ExpectedWin%]])</f>
        <v>26.331030259728607</v>
      </c>
      <c r="AB177" s="4">
        <f>Games[[#This Row],[PreGmRate]]+Games[[#This Row],[RatingChange]]</f>
        <v>1506.9723217925314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42549</v>
      </c>
      <c r="B178" s="2">
        <v>2016</v>
      </c>
      <c r="C178" s="2">
        <f>COUNTIFS(Games[Team],Games[[#This Row],[Team]],Games[Season],Games[[#This Row],[Season]],Games[Date],"&lt;=" &amp; Games[[#This Row],[Date]])</f>
        <v>16</v>
      </c>
      <c r="D178" s="2" t="s">
        <v>81</v>
      </c>
      <c r="E178" s="2" t="s">
        <v>82</v>
      </c>
      <c r="F178" s="1" t="s">
        <v>87</v>
      </c>
      <c r="G178" s="1" t="s">
        <v>63</v>
      </c>
      <c r="H178" s="1" t="s">
        <v>83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1</v>
      </c>
      <c r="L178" s="2">
        <f>Games[[#This Row],[OppDaysOff]]-Games[[#This Row],[DaysOff]]</f>
        <v>-1</v>
      </c>
      <c r="M178" s="1">
        <f>MAX(-16, MIN(16, Games[[#This Row],[RestDiff]]*8))</f>
        <v>8</v>
      </c>
      <c r="N178" s="1">
        <f>MAX(-16, MIN(16, Games[[#This Row],[OppRestDiff]]*8))</f>
        <v>-8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1465.0281064172539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1658.9179831212307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0.18130078421208798</v>
      </c>
      <c r="R178" s="1">
        <v>84</v>
      </c>
      <c r="S178" s="1">
        <v>89</v>
      </c>
      <c r="T178" s="1">
        <v>0</v>
      </c>
      <c r="U178" s="1">
        <f>Games[[#This Row],[PointsFor]]-Games[[#This Row],[PointsAgainst]]</f>
        <v>-5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0.28560876810072716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73.599999999999994</v>
      </c>
      <c r="Z178" s="4">
        <f>Games[[#This Row],[K]]*Games[[#This Row],[POMult]]</f>
        <v>73.599999999999994</v>
      </c>
      <c r="AA178" s="4">
        <f>(Games[[#This Row],[Keff]]*Games[[#This Row],[MOVMult]])*(Games[[#This Row],[Result]]-Games[[#This Row],[ExpectedWin%]])</f>
        <v>-3.8110884914999512</v>
      </c>
      <c r="AB178" s="4">
        <f>Games[[#This Row],[PreGmRate]]+Games[[#This Row],[RatingChange]]</f>
        <v>1461.2170179257539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42549</v>
      </c>
      <c r="B179" s="2">
        <v>2016</v>
      </c>
      <c r="C179" s="2">
        <f>COUNTIFS(Games[Team],Games[[#This Row],[Team]],Games[Season],Games[[#This Row],[Season]],Games[Date],"&lt;=" &amp; Games[[#This Row],[Date]])</f>
        <v>15</v>
      </c>
      <c r="D179" s="2" t="s">
        <v>81</v>
      </c>
      <c r="E179" s="2" t="s">
        <v>82</v>
      </c>
      <c r="F179" s="1" t="s">
        <v>63</v>
      </c>
      <c r="G179" s="1" t="s">
        <v>87</v>
      </c>
      <c r="H179" s="1" t="s">
        <v>84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9" s="2">
        <f>Games[[#This Row],[DaysOff]]-Games[[#This Row],[OppDaysOff]]</f>
        <v>-1</v>
      </c>
      <c r="L179" s="2">
        <f>Games[[#This Row],[OppDaysOff]]-Games[[#This Row],[DaysOff]]</f>
        <v>1</v>
      </c>
      <c r="M179" s="1">
        <f>MAX(-16, MIN(16, Games[[#This Row],[RestDiff]]*8))</f>
        <v>-8</v>
      </c>
      <c r="N179" s="1">
        <f>MAX(-16, MIN(16, Games[[#This Row],[OppRestDiff]]*8))</f>
        <v>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1658.9179831212307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1465.0281064172539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0.81869921578791205</v>
      </c>
      <c r="R179" s="1">
        <v>89</v>
      </c>
      <c r="S179" s="1">
        <v>84</v>
      </c>
      <c r="T179" s="1">
        <v>0</v>
      </c>
      <c r="U179" s="1">
        <f>Games[[#This Row],[PointsFor]]-Games[[#This Row],[PointsAgainst]]</f>
        <v>5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0.28560876810072716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3.8188556555451272</v>
      </c>
      <c r="AB179" s="4">
        <f>Games[[#This Row],[PreGmRate]]+Games[[#This Row],[RatingChange]]</f>
        <v>1662.7368387767758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42549</v>
      </c>
      <c r="B180" s="2">
        <v>2016</v>
      </c>
      <c r="C180" s="2">
        <f>COUNTIFS(Games[Team],Games[[#This Row],[Team]],Games[Season],Games[[#This Row],[Season]],Games[Date],"&lt;=" &amp; Games[[#This Row],[Date]])</f>
        <v>15</v>
      </c>
      <c r="D180" s="2" t="s">
        <v>81</v>
      </c>
      <c r="E180" s="2" t="s">
        <v>82</v>
      </c>
      <c r="F180" s="1" t="s">
        <v>79</v>
      </c>
      <c r="G180" s="1" t="s">
        <v>71</v>
      </c>
      <c r="H180" s="1" t="s">
        <v>83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0" s="2">
        <f>Games[[#This Row],[DaysOff]]-Games[[#This Row],[OppDaysOff]]</f>
        <v>-1</v>
      </c>
      <c r="L180" s="2">
        <f>Games[[#This Row],[OppDaysOff]]-Games[[#This Row],[DaysOff]]</f>
        <v>1</v>
      </c>
      <c r="M180" s="1">
        <f>MAX(-16, MIN(16, Games[[#This Row],[RestDiff]]*8))</f>
        <v>-8</v>
      </c>
      <c r="N180" s="1">
        <f>MAX(-16, MIN(16, Games[[#This Row],[OppRestDiff]]*8))</f>
        <v>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1482.6092084844754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1420.3797467759009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0.44585695239415307</v>
      </c>
      <c r="R180" s="1">
        <v>81</v>
      </c>
      <c r="S180" s="1">
        <v>84</v>
      </c>
      <c r="T180" s="1">
        <v>0</v>
      </c>
      <c r="U180" s="1">
        <f>Games[[#This Row],[PointsFor]]-Games[[#This Row],[PointsAgainst]]</f>
        <v>-3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0.27587711734052939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73.75</v>
      </c>
      <c r="Z180" s="4">
        <f>Games[[#This Row],[K]]*Games[[#This Row],[POMult]]</f>
        <v>73.75</v>
      </c>
      <c r="AA180" s="4">
        <f>(Games[[#This Row],[Keff]]*Games[[#This Row],[MOVMult]])*(Games[[#This Row],[Result]]-Games[[#This Row],[ExpectedWin%]])</f>
        <v>-9.0713776444890293</v>
      </c>
      <c r="AB180" s="4">
        <f>Games[[#This Row],[PreGmRate]]+Games[[#This Row],[RatingChange]]</f>
        <v>1473.5378308399863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42549</v>
      </c>
      <c r="B181" s="2">
        <v>2016</v>
      </c>
      <c r="C181" s="2">
        <f>COUNTIFS(Games[Team],Games[[#This Row],[Team]],Games[Season],Games[[#This Row],[Season]],Games[Date],"&lt;=" &amp; Games[[#This Row],[Date]])</f>
        <v>15</v>
      </c>
      <c r="D181" s="2" t="s">
        <v>81</v>
      </c>
      <c r="E181" s="2" t="s">
        <v>82</v>
      </c>
      <c r="F181" s="1" t="s">
        <v>71</v>
      </c>
      <c r="G181" s="1" t="s">
        <v>79</v>
      </c>
      <c r="H181" s="1" t="s">
        <v>84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1</v>
      </c>
      <c r="L181" s="2">
        <f>Games[[#This Row],[OppDaysOff]]-Games[[#This Row],[DaysOff]]</f>
        <v>-1</v>
      </c>
      <c r="M181" s="1">
        <f>MAX(-16, MIN(16, Games[[#This Row],[RestDiff]]*8))</f>
        <v>8</v>
      </c>
      <c r="N181" s="1">
        <f>MAX(-16, MIN(16, Games[[#This Row],[OppRestDiff]]*8))</f>
        <v>-8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1420.3797467759009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1482.6092084844754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0.55414304760584698</v>
      </c>
      <c r="R181" s="1">
        <v>84</v>
      </c>
      <c r="S181" s="1">
        <v>81</v>
      </c>
      <c r="T181" s="1">
        <v>0</v>
      </c>
      <c r="U181" s="1">
        <f>Games[[#This Row],[PointsFor]]-Games[[#This Row],[PointsAgainst]]</f>
        <v>3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0.27587711734052939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73.75</v>
      </c>
      <c r="Z181" s="4">
        <f>Games[[#This Row],[K]]*Games[[#This Row],[POMult]]</f>
        <v>73.75</v>
      </c>
      <c r="AA181" s="4">
        <f>(Games[[#This Row],[Keff]]*Games[[#This Row],[MOVMult]])*(Games[[#This Row],[Result]]-Games[[#This Row],[ExpectedWin%]])</f>
        <v>9.0713776444890275</v>
      </c>
      <c r="AB181" s="4">
        <f>Games[[#This Row],[PreGmRate]]+Games[[#This Row],[RatingChange]]</f>
        <v>1429.45112442039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42550</v>
      </c>
      <c r="B182" s="2">
        <v>2016</v>
      </c>
      <c r="C182" s="2">
        <f>COUNTIFS(Games[Team],Games[[#This Row],[Team]],Games[Season],Games[[#This Row],[Season]],Games[Date],"&lt;=" &amp; Games[[#This Row],[Date]])</f>
        <v>16</v>
      </c>
      <c r="D182" s="2" t="s">
        <v>81</v>
      </c>
      <c r="E182" s="2" t="s">
        <v>82</v>
      </c>
      <c r="F182" s="1" t="s">
        <v>69</v>
      </c>
      <c r="G182" s="1" t="s">
        <v>77</v>
      </c>
      <c r="H182" s="1" t="s">
        <v>83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2" s="2">
        <f>Games[[#This Row],[DaysOff]]-Games[[#This Row],[OppDaysOff]]</f>
        <v>-1</v>
      </c>
      <c r="L182" s="2">
        <f>Games[[#This Row],[OppDaysOff]]-Games[[#This Row],[DaysOff]]</f>
        <v>1</v>
      </c>
      <c r="M182" s="1">
        <f>MAX(-16, MIN(16, Games[[#This Row],[RestDiff]]*8))</f>
        <v>-8</v>
      </c>
      <c r="N182" s="1">
        <f>MAX(-16, MIN(16, Games[[#This Row],[OppRestDiff]]*8))</f>
        <v>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1493.7199543571364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1514.3039187266711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0.33311338820171366</v>
      </c>
      <c r="R182" s="1">
        <v>95</v>
      </c>
      <c r="S182" s="1">
        <v>83</v>
      </c>
      <c r="T182" s="1">
        <v>0</v>
      </c>
      <c r="U182" s="1">
        <f>Games[[#This Row],[PointsFor]]-Games[[#This Row],[PointsAgainst]]</f>
        <v>12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0.4484372625479911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73.599999999999994</v>
      </c>
      <c r="Z182" s="4">
        <f>Games[[#This Row],[K]]*Games[[#This Row],[POMult]]</f>
        <v>73.599999999999994</v>
      </c>
      <c r="AA182" s="4">
        <f>(Games[[#This Row],[Keff]]*Games[[#This Row],[MOVMult]])*(Games[[#This Row],[Result]]-Games[[#This Row],[ExpectedWin%]])</f>
        <v>22.010580967580005</v>
      </c>
      <c r="AB182" s="4">
        <f>Games[[#This Row],[PreGmRate]]+Games[[#This Row],[RatingChange]]</f>
        <v>1515.7305353247164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42550</v>
      </c>
      <c r="B183" s="2">
        <v>2016</v>
      </c>
      <c r="C183" s="2">
        <f>COUNTIFS(Games[Team],Games[[#This Row],[Team]],Games[Season],Games[[#This Row],[Season]],Games[Date],"&lt;=" &amp; Games[[#This Row],[Date]])</f>
        <v>15</v>
      </c>
      <c r="D183" s="2" t="s">
        <v>81</v>
      </c>
      <c r="E183" s="2" t="s">
        <v>82</v>
      </c>
      <c r="F183" s="1" t="s">
        <v>77</v>
      </c>
      <c r="G183" s="1" t="s">
        <v>69</v>
      </c>
      <c r="H183" s="1" t="s">
        <v>84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3" s="2">
        <f>Games[[#This Row],[DaysOff]]-Games[[#This Row],[OppDaysOff]]</f>
        <v>1</v>
      </c>
      <c r="L183" s="2">
        <f>Games[[#This Row],[OppDaysOff]]-Games[[#This Row],[DaysOff]]</f>
        <v>-1</v>
      </c>
      <c r="M183" s="1">
        <f>MAX(-16, MIN(16, Games[[#This Row],[RestDiff]]*8))</f>
        <v>8</v>
      </c>
      <c r="N183" s="1">
        <f>MAX(-16, MIN(16, Games[[#This Row],[OppRestDiff]]*8))</f>
        <v>-8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1514.3039187266711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1493.7199543571364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0.66688661179828634</v>
      </c>
      <c r="R183" s="1">
        <v>83</v>
      </c>
      <c r="S183" s="1">
        <v>95</v>
      </c>
      <c r="T183" s="1">
        <v>0</v>
      </c>
      <c r="U183" s="1">
        <f>Games[[#This Row],[PointsFor]]-Games[[#This Row],[PointsAgainst]]</f>
        <v>-12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0.4484372625479911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73.75</v>
      </c>
      <c r="Z183" s="4">
        <f>Games[[#This Row],[K]]*Games[[#This Row],[POMult]]</f>
        <v>73.75</v>
      </c>
      <c r="AA183" s="4">
        <f>(Games[[#This Row],[Keff]]*Games[[#This Row],[MOVMult]])*(Games[[#This Row],[Result]]-Games[[#This Row],[ExpectedWin%]])</f>
        <v>-22.055439488573718</v>
      </c>
      <c r="AB183" s="4">
        <f>Games[[#This Row],[PreGmRate]]+Games[[#This Row],[RatingChange]]</f>
        <v>1492.2484792380974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42550</v>
      </c>
      <c r="B184" s="2">
        <v>2016</v>
      </c>
      <c r="C184" s="2">
        <f>COUNTIFS(Games[Team],Games[[#This Row],[Team]],Games[Season],Games[[#This Row],[Season]],Games[Date],"&lt;=" &amp; Games[[#This Row],[Date]])</f>
        <v>16</v>
      </c>
      <c r="D184" s="2" t="s">
        <v>81</v>
      </c>
      <c r="E184" s="2" t="s">
        <v>82</v>
      </c>
      <c r="F184" s="1" t="s">
        <v>60</v>
      </c>
      <c r="G184" s="1" t="s">
        <v>67</v>
      </c>
      <c r="H184" s="1" t="s">
        <v>83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1572.950173414406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1658.1675500021518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0.27406532878811574</v>
      </c>
      <c r="R184" s="1">
        <v>95</v>
      </c>
      <c r="S184" s="1">
        <v>92</v>
      </c>
      <c r="T184" s="1">
        <v>1</v>
      </c>
      <c r="U184" s="1">
        <f>Games[[#This Row],[PointsFor]]-Games[[#This Row],[PointsAgainst]]</f>
        <v>3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0.24384840144215714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73.599999999999994</v>
      </c>
      <c r="Z184" s="4">
        <f>Games[[#This Row],[K]]*Games[[#This Row],[POMult]]</f>
        <v>73.599999999999994</v>
      </c>
      <c r="AA184" s="4">
        <f>(Games[[#This Row],[Keff]]*Games[[#This Row],[MOVMult]])*(Games[[#This Row],[Result]]-Games[[#This Row],[ExpectedWin%]])</f>
        <v>13.028525471707155</v>
      </c>
      <c r="AB184" s="4">
        <f>Games[[#This Row],[PreGmRate]]+Games[[#This Row],[RatingChange]]</f>
        <v>1585.9786988861131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42550</v>
      </c>
      <c r="B185" s="2">
        <v>2016</v>
      </c>
      <c r="C185" s="2">
        <f>COUNTIFS(Games[Team],Games[[#This Row],[Team]],Games[Season],Games[[#This Row],[Season]],Games[Date],"&lt;=" &amp; Games[[#This Row],[Date]])</f>
        <v>16</v>
      </c>
      <c r="D185" s="2" t="s">
        <v>81</v>
      </c>
      <c r="E185" s="2" t="s">
        <v>82</v>
      </c>
      <c r="F185" s="1" t="s">
        <v>67</v>
      </c>
      <c r="G185" s="1" t="s">
        <v>60</v>
      </c>
      <c r="H185" s="1" t="s">
        <v>84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1658.1675500021518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1572.950173414406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0.72593467121188426</v>
      </c>
      <c r="R185" s="1">
        <v>92</v>
      </c>
      <c r="S185" s="1">
        <v>95</v>
      </c>
      <c r="T185" s="1">
        <v>1</v>
      </c>
      <c r="U185" s="1">
        <f>Games[[#This Row],[PointsFor]]-Games[[#This Row],[PointsAgainst]]</f>
        <v>-3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0.24384840144215714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73.599999999999994</v>
      </c>
      <c r="Z185" s="4">
        <f>Games[[#This Row],[K]]*Games[[#This Row],[POMult]]</f>
        <v>73.599999999999994</v>
      </c>
      <c r="AA185" s="4">
        <f>(Games[[#This Row],[Keff]]*Games[[#This Row],[MOVMult]])*(Games[[#This Row],[Result]]-Games[[#This Row],[ExpectedWin%]])</f>
        <v>-13.028525471707155</v>
      </c>
      <c r="AB185" s="4">
        <f>Games[[#This Row],[PreGmRate]]+Games[[#This Row],[RatingChange]]</f>
        <v>1645.1390245304447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42550</v>
      </c>
      <c r="B186" s="2">
        <v>2016</v>
      </c>
      <c r="C186" s="2">
        <f>COUNTIFS(Games[Team],Games[[#This Row],[Team]],Games[Season],Games[[#This Row],[Season]],Games[Date],"&lt;=" &amp; Games[[#This Row],[Date]])</f>
        <v>16</v>
      </c>
      <c r="D186" s="2" t="s">
        <v>81</v>
      </c>
      <c r="E186" s="2" t="s">
        <v>82</v>
      </c>
      <c r="F186" s="1" t="s">
        <v>76</v>
      </c>
      <c r="G186" s="1" t="s">
        <v>40</v>
      </c>
      <c r="H186" s="1" t="s">
        <v>83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6" s="2">
        <f>Games[[#This Row],[DaysOff]]-Games[[#This Row],[OppDaysOff]]</f>
        <v>0</v>
      </c>
      <c r="L186" s="2">
        <f>Games[[#This Row],[OppDaysOff]]-Games[[#This Row],[DaysOff]]</f>
        <v>0</v>
      </c>
      <c r="M186" s="1">
        <f>MAX(-16, MIN(16, Games[[#This Row],[RestDiff]]*8))</f>
        <v>0</v>
      </c>
      <c r="N186" s="1">
        <f>MAX(-16, MIN(16, Games[[#This Row],[OppRestDiff]]*8))</f>
        <v>0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1364.6153222821233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1514.9384503147728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0.20605478928831156</v>
      </c>
      <c r="R186" s="1">
        <v>75</v>
      </c>
      <c r="S186" s="1">
        <v>86</v>
      </c>
      <c r="T186" s="1">
        <v>0</v>
      </c>
      <c r="U186" s="1">
        <f>Games[[#This Row],[PointsFor]]-Games[[#This Row],[PointsAgainst]]</f>
        <v>-11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0.39087175014038261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-5.9278173139852548</v>
      </c>
      <c r="AB186" s="4">
        <f>Games[[#This Row],[PreGmRate]]+Games[[#This Row],[RatingChange]]</f>
        <v>1358.687504968138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42550</v>
      </c>
      <c r="B187" s="2">
        <v>2016</v>
      </c>
      <c r="C187" s="2">
        <f>COUNTIFS(Games[Team],Games[[#This Row],[Team]],Games[Season],Games[[#This Row],[Season]],Games[Date],"&lt;=" &amp; Games[[#This Row],[Date]])</f>
        <v>16</v>
      </c>
      <c r="D187" s="2" t="s">
        <v>81</v>
      </c>
      <c r="E187" s="2" t="s">
        <v>82</v>
      </c>
      <c r="F187" s="1" t="s">
        <v>40</v>
      </c>
      <c r="G187" s="1" t="s">
        <v>76</v>
      </c>
      <c r="H187" s="1" t="s">
        <v>84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7" s="2">
        <f>Games[[#This Row],[DaysOff]]-Games[[#This Row],[OppDaysOff]]</f>
        <v>0</v>
      </c>
      <c r="L187" s="2">
        <f>Games[[#This Row],[OppDaysOff]]-Games[[#This Row],[DaysOff]]</f>
        <v>0</v>
      </c>
      <c r="M187" s="1">
        <f>MAX(-16, MIN(16, Games[[#This Row],[RestDiff]]*8))</f>
        <v>0</v>
      </c>
      <c r="N187" s="1">
        <f>MAX(-16, MIN(16, Games[[#This Row],[OppRestDiff]]*8))</f>
        <v>0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1514.9384503147728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1364.6153222821233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0.79394521071168844</v>
      </c>
      <c r="R187" s="1">
        <v>86</v>
      </c>
      <c r="S187" s="1">
        <v>75</v>
      </c>
      <c r="T187" s="1">
        <v>0</v>
      </c>
      <c r="U187" s="1">
        <f>Games[[#This Row],[PointsFor]]-Games[[#This Row],[PointsAgainst]]</f>
        <v>11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0.39087175014038261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73.599999999999994</v>
      </c>
      <c r="Z187" s="4">
        <f>Games[[#This Row],[K]]*Games[[#This Row],[POMult]]</f>
        <v>73.599999999999994</v>
      </c>
      <c r="AA187" s="4">
        <f>(Games[[#This Row],[Keff]]*Games[[#This Row],[MOVMult]])*(Games[[#This Row],[Result]]-Games[[#This Row],[ExpectedWin%]])</f>
        <v>5.9278173139852548</v>
      </c>
      <c r="AB187" s="4">
        <f>Games[[#This Row],[PreGmRate]]+Games[[#This Row],[RatingChange]]</f>
        <v>1520.8662676287581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42550</v>
      </c>
      <c r="B188" s="2">
        <v>2016</v>
      </c>
      <c r="C188" s="2">
        <f>COUNTIFS(Games[Team],Games[[#This Row],[Team]],Games[Season],Games[[#This Row],[Season]],Games[Date],"&lt;=" &amp; Games[[#This Row],[Date]])</f>
        <v>15</v>
      </c>
      <c r="D188" s="2" t="s">
        <v>81</v>
      </c>
      <c r="E188" s="2" t="s">
        <v>82</v>
      </c>
      <c r="F188" s="1" t="s">
        <v>74</v>
      </c>
      <c r="G188" s="1" t="s">
        <v>65</v>
      </c>
      <c r="H188" s="1" t="s">
        <v>83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8" s="2">
        <f>Games[[#This Row],[DaysOff]]-Games[[#This Row],[OppDaysOff]]</f>
        <v>1</v>
      </c>
      <c r="L188" s="2">
        <f>Games[[#This Row],[OppDaysOff]]-Games[[#This Row],[DaysOff]]</f>
        <v>-1</v>
      </c>
      <c r="M188" s="1">
        <f>MAX(-16, MIN(16, Games[[#This Row],[RestDiff]]*8))</f>
        <v>8</v>
      </c>
      <c r="N188" s="1">
        <f>MAX(-16, MIN(16, Games[[#This Row],[OppRestDiff]]*8))</f>
        <v>-8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1348.0153178996779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1506.9723217925314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0.21307821836672322</v>
      </c>
      <c r="R188" s="1">
        <v>67</v>
      </c>
      <c r="S188" s="1">
        <v>84</v>
      </c>
      <c r="T188" s="1">
        <v>0</v>
      </c>
      <c r="U188" s="1">
        <f>Games[[#This Row],[PointsFor]]-Games[[#This Row],[PointsAgainst]]</f>
        <v>-17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0.47016239738867632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73.75</v>
      </c>
      <c r="Z188" s="4">
        <f>Games[[#This Row],[K]]*Games[[#This Row],[POMult]]</f>
        <v>73.75</v>
      </c>
      <c r="AA188" s="4">
        <f>(Games[[#This Row],[Keff]]*Games[[#This Row],[MOVMult]])*(Games[[#This Row],[Result]]-Games[[#This Row],[ExpectedWin%]])</f>
        <v>-7.3883757409222266</v>
      </c>
      <c r="AB188" s="4">
        <f>Games[[#This Row],[PreGmRate]]+Games[[#This Row],[RatingChange]]</f>
        <v>1340.6269421587558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42550</v>
      </c>
      <c r="B189" s="2">
        <v>2016</v>
      </c>
      <c r="C189" s="2">
        <f>COUNTIFS(Games[Team],Games[[#This Row],[Team]],Games[Season],Games[[#This Row],[Season]],Games[Date],"&lt;=" &amp; Games[[#This Row],[Date]])</f>
        <v>17</v>
      </c>
      <c r="D189" s="2" t="s">
        <v>81</v>
      </c>
      <c r="E189" s="2" t="s">
        <v>82</v>
      </c>
      <c r="F189" s="1" t="s">
        <v>65</v>
      </c>
      <c r="G189" s="1" t="s">
        <v>74</v>
      </c>
      <c r="H189" s="1" t="s">
        <v>84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9" s="2">
        <f>Games[[#This Row],[DaysOff]]-Games[[#This Row],[OppDaysOff]]</f>
        <v>-1</v>
      </c>
      <c r="L189" s="2">
        <f>Games[[#This Row],[OppDaysOff]]-Games[[#This Row],[DaysOff]]</f>
        <v>1</v>
      </c>
      <c r="M189" s="1">
        <f>MAX(-16, MIN(16, Games[[#This Row],[RestDiff]]*8))</f>
        <v>-8</v>
      </c>
      <c r="N189" s="1">
        <f>MAX(-16, MIN(16, Games[[#This Row],[OppRestDiff]]*8))</f>
        <v>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1506.9723217925314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1348.0153178996779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0.78692178163327675</v>
      </c>
      <c r="R189" s="1">
        <v>84</v>
      </c>
      <c r="S189" s="1">
        <v>67</v>
      </c>
      <c r="T189" s="1">
        <v>0</v>
      </c>
      <c r="U189" s="1">
        <f>Games[[#This Row],[PointsFor]]-Games[[#This Row],[PointsAgainst]]</f>
        <v>17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0.47016239738867632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73.45</v>
      </c>
      <c r="Z189" s="4">
        <f>Games[[#This Row],[K]]*Games[[#This Row],[POMult]]</f>
        <v>73.45</v>
      </c>
      <c r="AA189" s="4">
        <f>(Games[[#This Row],[Keff]]*Games[[#This Row],[MOVMult]])*(Games[[#This Row],[Result]]-Games[[#This Row],[ExpectedWin%]])</f>
        <v>7.3583213311286464</v>
      </c>
      <c r="AB189" s="4">
        <f>Games[[#This Row],[PreGmRate]]+Games[[#This Row],[RatingChange]]</f>
        <v>1514.3306431236599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42551</v>
      </c>
      <c r="B190" s="2">
        <v>2016</v>
      </c>
      <c r="C190" s="2">
        <f>COUNTIFS(Games[Team],Games[[#This Row],[Team]],Games[Season],Games[[#This Row],[Season]],Games[Date],"&lt;=" &amp; Games[[#This Row],[Date]])</f>
        <v>16</v>
      </c>
      <c r="D190" s="2" t="s">
        <v>81</v>
      </c>
      <c r="E190" s="2" t="s">
        <v>82</v>
      </c>
      <c r="F190" s="1" t="s">
        <v>79</v>
      </c>
      <c r="G190" s="1" t="s">
        <v>63</v>
      </c>
      <c r="H190" s="1" t="s">
        <v>83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1473.5378308399863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1662.7368387767758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0.17183753139781013</v>
      </c>
      <c r="R190" s="1">
        <v>75</v>
      </c>
      <c r="S190" s="1">
        <v>84</v>
      </c>
      <c r="T190" s="1">
        <v>0</v>
      </c>
      <c r="U190" s="1">
        <f>Games[[#This Row],[PointsFor]]-Games[[#This Row],[PointsAgainst]]</f>
        <v>-9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0.35068109737583264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-4.4351488123570473</v>
      </c>
      <c r="AB190" s="4">
        <f>Games[[#This Row],[PreGmRate]]+Games[[#This Row],[RatingChange]]</f>
        <v>1469.1026820276293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42551</v>
      </c>
      <c r="B191" s="2">
        <v>2016</v>
      </c>
      <c r="C191" s="2">
        <f>COUNTIFS(Games[Team],Games[[#This Row],[Team]],Games[Season],Games[[#This Row],[Season]],Games[Date],"&lt;=" &amp; Games[[#This Row],[Date]])</f>
        <v>16</v>
      </c>
      <c r="D191" s="2" t="s">
        <v>81</v>
      </c>
      <c r="E191" s="2" t="s">
        <v>82</v>
      </c>
      <c r="F191" s="1" t="s">
        <v>63</v>
      </c>
      <c r="G191" s="1" t="s">
        <v>79</v>
      </c>
      <c r="H191" s="1" t="s">
        <v>84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1662.7368387767758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1473.5378308399863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0.82816246860218989</v>
      </c>
      <c r="R191" s="1">
        <v>84</v>
      </c>
      <c r="S191" s="1">
        <v>75</v>
      </c>
      <c r="T191" s="1">
        <v>0</v>
      </c>
      <c r="U191" s="1">
        <f>Games[[#This Row],[PointsFor]]-Games[[#This Row],[PointsAgainst]]</f>
        <v>9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0.35068109737583264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4.4351488123570473</v>
      </c>
      <c r="AB191" s="4">
        <f>Games[[#This Row],[PreGmRate]]+Games[[#This Row],[RatingChange]]</f>
        <v>1667.1719875891329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42551</v>
      </c>
      <c r="B192" s="2">
        <v>2016</v>
      </c>
      <c r="C192" s="2">
        <f>COUNTIFS(Games[Team],Games[[#This Row],[Team]],Games[Season],Games[[#This Row],[Season]],Games[Date],"&lt;=" &amp; Games[[#This Row],[Date]])</f>
        <v>17</v>
      </c>
      <c r="D192" s="2" t="s">
        <v>81</v>
      </c>
      <c r="E192" s="2" t="s">
        <v>82</v>
      </c>
      <c r="F192" s="1" t="s">
        <v>87</v>
      </c>
      <c r="G192" s="1" t="s">
        <v>71</v>
      </c>
      <c r="H192" s="1" t="s">
        <v>83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1461.2170179257539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1429.45112442039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0.4253903586329435</v>
      </c>
      <c r="R192" s="1">
        <v>83</v>
      </c>
      <c r="S192" s="1">
        <v>78</v>
      </c>
      <c r="T192" s="1">
        <v>0</v>
      </c>
      <c r="U192" s="1">
        <f>Games[[#This Row],[PointsFor]]-Games[[#This Row],[PointsAgainst]]</f>
        <v>5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0.32320035215503684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73.45</v>
      </c>
      <c r="Z192" s="4">
        <f>Games[[#This Row],[K]]*Games[[#This Row],[POMult]]</f>
        <v>73.45</v>
      </c>
      <c r="AA192" s="4">
        <f>(Games[[#This Row],[Keff]]*Games[[#This Row],[MOVMult]])*(Games[[#This Row],[Result]]-Games[[#This Row],[ExpectedWin%]])</f>
        <v>13.640696123529063</v>
      </c>
      <c r="AB192" s="4">
        <f>Games[[#This Row],[PreGmRate]]+Games[[#This Row],[RatingChange]]</f>
        <v>1474.857714049283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42551</v>
      </c>
      <c r="B193" s="2">
        <v>2016</v>
      </c>
      <c r="C193" s="2">
        <f>COUNTIFS(Games[Team],Games[[#This Row],[Team]],Games[Season],Games[[#This Row],[Season]],Games[Date],"&lt;=" &amp; Games[[#This Row],[Date]])</f>
        <v>16</v>
      </c>
      <c r="D193" s="2" t="s">
        <v>81</v>
      </c>
      <c r="E193" s="2" t="s">
        <v>82</v>
      </c>
      <c r="F193" s="1" t="s">
        <v>71</v>
      </c>
      <c r="G193" s="1" t="s">
        <v>87</v>
      </c>
      <c r="H193" s="1" t="s">
        <v>84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1429.45112442039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1461.2170179257539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0.5746096413670565</v>
      </c>
      <c r="R193" s="1">
        <v>78</v>
      </c>
      <c r="S193" s="1">
        <v>83</v>
      </c>
      <c r="T193" s="1">
        <v>0</v>
      </c>
      <c r="U193" s="1">
        <f>Games[[#This Row],[PointsFor]]-Games[[#This Row],[PointsAgainst]]</f>
        <v>-5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0.32320035215503684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73.599999999999994</v>
      </c>
      <c r="Z193" s="4">
        <f>Games[[#This Row],[K]]*Games[[#This Row],[POMult]]</f>
        <v>73.599999999999994</v>
      </c>
      <c r="AA193" s="4">
        <f>(Games[[#This Row],[Keff]]*Games[[#This Row],[MOVMult]])*(Games[[#This Row],[Result]]-Games[[#This Row],[ExpectedWin%]])</f>
        <v>-13.66855322929529</v>
      </c>
      <c r="AB193" s="4">
        <f>Games[[#This Row],[PreGmRate]]+Games[[#This Row],[RatingChange]]</f>
        <v>1415.7825711910948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42552</v>
      </c>
      <c r="B194" s="2">
        <v>2016</v>
      </c>
      <c r="C194" s="2">
        <f>COUNTIFS(Games[Team],Games[[#This Row],[Team]],Games[Season],Games[[#This Row],[Season]],Games[Date],"&lt;=" &amp; Games[[#This Row],[Date]])</f>
        <v>18</v>
      </c>
      <c r="D194" s="2" t="s">
        <v>81</v>
      </c>
      <c r="E194" s="2" t="s">
        <v>82</v>
      </c>
      <c r="F194" s="1" t="s">
        <v>65</v>
      </c>
      <c r="G194" s="1" t="s">
        <v>77</v>
      </c>
      <c r="H194" s="1" t="s">
        <v>83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1514.3306431236599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1492.2484792380974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0.4118245893713689</v>
      </c>
      <c r="R194" s="1">
        <v>84</v>
      </c>
      <c r="S194" s="1">
        <v>86</v>
      </c>
      <c r="T194" s="1">
        <v>1</v>
      </c>
      <c r="U194" s="1">
        <f>Games[[#This Row],[PointsFor]]-Games[[#This Row],[PointsAgainst]]</f>
        <v>-2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0.23670145512534538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73.3</v>
      </c>
      <c r="Z194" s="4">
        <f>Games[[#This Row],[K]]*Games[[#This Row],[POMult]]</f>
        <v>73.3</v>
      </c>
      <c r="AA194" s="4">
        <f>(Games[[#This Row],[Keff]]*Games[[#This Row],[MOVMult]])*(Games[[#This Row],[Result]]-Games[[#This Row],[ExpectedWin%]])</f>
        <v>-7.1452458517920432</v>
      </c>
      <c r="AB194" s="4">
        <f>Games[[#This Row],[PreGmRate]]+Games[[#This Row],[RatingChange]]</f>
        <v>1507.1853972718679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42552</v>
      </c>
      <c r="B195" s="2">
        <v>2016</v>
      </c>
      <c r="C195" s="2">
        <f>COUNTIFS(Games[Team],Games[[#This Row],[Team]],Games[Season],Games[[#This Row],[Season]],Games[Date],"&lt;=" &amp; Games[[#This Row],[Date]])</f>
        <v>16</v>
      </c>
      <c r="D195" s="2" t="s">
        <v>81</v>
      </c>
      <c r="E195" s="2" t="s">
        <v>82</v>
      </c>
      <c r="F195" s="1" t="s">
        <v>77</v>
      </c>
      <c r="G195" s="1" t="s">
        <v>65</v>
      </c>
      <c r="H195" s="1" t="s">
        <v>84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1492.2484792380974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1514.3306431236599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0.5881754106286311</v>
      </c>
      <c r="R195" s="1">
        <v>86</v>
      </c>
      <c r="S195" s="1">
        <v>84</v>
      </c>
      <c r="T195" s="1">
        <v>1</v>
      </c>
      <c r="U195" s="1">
        <f>Games[[#This Row],[PointsFor]]-Games[[#This Row],[PointsAgainst]]</f>
        <v>2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0.23670145512534538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73.599999999999994</v>
      </c>
      <c r="Z195" s="4">
        <f>Games[[#This Row],[K]]*Games[[#This Row],[POMult]]</f>
        <v>73.599999999999994</v>
      </c>
      <c r="AA195" s="4">
        <f>(Games[[#This Row],[Keff]]*Games[[#This Row],[MOVMult]])*(Games[[#This Row],[Result]]-Games[[#This Row],[ExpectedWin%]])</f>
        <v>7.1744896956602231</v>
      </c>
      <c r="AB195" s="4">
        <f>Games[[#This Row],[PreGmRate]]+Games[[#This Row],[RatingChange]]</f>
        <v>1499.4229689337576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42552</v>
      </c>
      <c r="B196" s="2">
        <v>2016</v>
      </c>
      <c r="C196" s="2">
        <f>COUNTIFS(Games[Team],Games[[#This Row],[Team]],Games[Season],Games[[#This Row],[Season]],Games[Date],"&lt;=" &amp; Games[[#This Row],[Date]])</f>
        <v>16</v>
      </c>
      <c r="D196" s="2" t="s">
        <v>81</v>
      </c>
      <c r="E196" s="2" t="s">
        <v>82</v>
      </c>
      <c r="F196" s="1" t="s">
        <v>74</v>
      </c>
      <c r="G196" s="1" t="s">
        <v>69</v>
      </c>
      <c r="H196" s="1" t="s">
        <v>83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1340.6269421587558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1515.7305353247164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0.18369366666286599</v>
      </c>
      <c r="R196" s="1">
        <v>87</v>
      </c>
      <c r="S196" s="1">
        <v>85</v>
      </c>
      <c r="T196" s="1">
        <v>1</v>
      </c>
      <c r="U196" s="1">
        <f>Games[[#This Row],[PointsFor]]-Games[[#This Row],[PointsAgainst]]</f>
        <v>2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0.21036133416570293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73.599999999999994</v>
      </c>
      <c r="Z196" s="4">
        <f>Games[[#This Row],[K]]*Games[[#This Row],[POMult]]</f>
        <v>73.599999999999994</v>
      </c>
      <c r="AA196" s="4">
        <f>(Games[[#This Row],[Keff]]*Games[[#This Row],[MOVMult]])*(Games[[#This Row],[Result]]-Games[[#This Row],[ExpectedWin%]])</f>
        <v>12.63853969753724</v>
      </c>
      <c r="AB196" s="4">
        <f>Games[[#This Row],[PreGmRate]]+Games[[#This Row],[RatingChange]]</f>
        <v>1353.265481856293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42552</v>
      </c>
      <c r="B197" s="2">
        <v>2016</v>
      </c>
      <c r="C197" s="2">
        <f>COUNTIFS(Games[Team],Games[[#This Row],[Team]],Games[Season],Games[[#This Row],[Season]],Games[Date],"&lt;=" &amp; Games[[#This Row],[Date]])</f>
        <v>17</v>
      </c>
      <c r="D197" s="2" t="s">
        <v>81</v>
      </c>
      <c r="E197" s="2" t="s">
        <v>82</v>
      </c>
      <c r="F197" s="1" t="s">
        <v>69</v>
      </c>
      <c r="G197" s="1" t="s">
        <v>74</v>
      </c>
      <c r="H197" s="1" t="s">
        <v>84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1515.7305353247164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1340.6269421587558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0.81630633333713398</v>
      </c>
      <c r="R197" s="1">
        <v>85</v>
      </c>
      <c r="S197" s="1">
        <v>87</v>
      </c>
      <c r="T197" s="1">
        <v>1</v>
      </c>
      <c r="U197" s="1">
        <f>Games[[#This Row],[PointsFor]]-Games[[#This Row],[PointsAgainst]]</f>
        <v>-2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0.21036133416570293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-12.612781804131936</v>
      </c>
      <c r="AB197" s="4">
        <f>Games[[#This Row],[PreGmRate]]+Games[[#This Row],[RatingChange]]</f>
        <v>1503.1177535205845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42552</v>
      </c>
      <c r="B198" s="2">
        <v>2016</v>
      </c>
      <c r="C198" s="2">
        <f>COUNTIFS(Games[Team],Games[[#This Row],[Team]],Games[Season],Games[[#This Row],[Season]],Games[Date],"&lt;=" &amp; Games[[#This Row],[Date]])</f>
        <v>17</v>
      </c>
      <c r="D198" s="2" t="s">
        <v>81</v>
      </c>
      <c r="E198" s="2" t="s">
        <v>82</v>
      </c>
      <c r="F198" s="1" t="s">
        <v>60</v>
      </c>
      <c r="G198" s="1" t="s">
        <v>40</v>
      </c>
      <c r="H198" s="1" t="s">
        <v>83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1585.9786988861131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1520.8662676287581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0.47284534850459692</v>
      </c>
      <c r="R198" s="1">
        <v>99</v>
      </c>
      <c r="S198" s="1">
        <v>88</v>
      </c>
      <c r="T198" s="1">
        <v>0</v>
      </c>
      <c r="U198" s="1">
        <f>Games[[#This Row],[PointsFor]]-Games[[#This Row],[PointsAgainst]]</f>
        <v>11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0.41719862303826299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16.153725903072569</v>
      </c>
      <c r="AB198" s="4">
        <f>Games[[#This Row],[PreGmRate]]+Games[[#This Row],[RatingChange]]</f>
        <v>1602.1324247891857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42552</v>
      </c>
      <c r="B199" s="2">
        <v>2016</v>
      </c>
      <c r="C199" s="2">
        <f>COUNTIFS(Games[Team],Games[[#This Row],[Team]],Games[Season],Games[[#This Row],[Season]],Games[Date],"&lt;=" &amp; Games[[#This Row],[Date]])</f>
        <v>17</v>
      </c>
      <c r="D199" s="2" t="s">
        <v>81</v>
      </c>
      <c r="E199" s="2" t="s">
        <v>82</v>
      </c>
      <c r="F199" s="1" t="s">
        <v>40</v>
      </c>
      <c r="G199" s="1" t="s">
        <v>60</v>
      </c>
      <c r="H199" s="1" t="s">
        <v>84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1520.8662676287581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1585.9786988861131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0.52715465149540308</v>
      </c>
      <c r="R199" s="1">
        <v>88</v>
      </c>
      <c r="S199" s="1">
        <v>99</v>
      </c>
      <c r="T199" s="1">
        <v>0</v>
      </c>
      <c r="U199" s="1">
        <f>Games[[#This Row],[PointsFor]]-Games[[#This Row],[PointsAgainst]]</f>
        <v>-11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0.41719862303826299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73.45</v>
      </c>
      <c r="Z199" s="4">
        <f>Games[[#This Row],[K]]*Games[[#This Row],[POMult]]</f>
        <v>73.45</v>
      </c>
      <c r="AA199" s="4">
        <f>(Games[[#This Row],[Keff]]*Games[[#This Row],[MOVMult]])*(Games[[#This Row],[Result]]-Games[[#This Row],[ExpectedWin%]])</f>
        <v>-16.153725903072569</v>
      </c>
      <c r="AB199" s="4">
        <f>Games[[#This Row],[PreGmRate]]+Games[[#This Row],[RatingChange]]</f>
        <v>1504.7125417256855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42553</v>
      </c>
      <c r="B200" s="2">
        <v>2016</v>
      </c>
      <c r="C200" s="2">
        <f>COUNTIFS(Games[Team],Games[[#This Row],[Team]],Games[Season],Games[[#This Row],[Season]],Games[Date],"&lt;=" &amp; Games[[#This Row],[Date]])</f>
        <v>17</v>
      </c>
      <c r="D200" s="2" t="s">
        <v>81</v>
      </c>
      <c r="E200" s="2" t="s">
        <v>82</v>
      </c>
      <c r="F200" s="1" t="s">
        <v>76</v>
      </c>
      <c r="G200" s="1" t="s">
        <v>87</v>
      </c>
      <c r="H200" s="1" t="s">
        <v>83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1</v>
      </c>
      <c r="L200" s="2">
        <f>Games[[#This Row],[OppDaysOff]]-Games[[#This Row],[DaysOff]]</f>
        <v>-1</v>
      </c>
      <c r="M200" s="1">
        <f>MAX(-16, MIN(16, Games[[#This Row],[RestDiff]]*8))</f>
        <v>8</v>
      </c>
      <c r="N200" s="1">
        <f>MAX(-16, MIN(16, Games[[#This Row],[OppRestDiff]]*8))</f>
        <v>-8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1358.687504968138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1474.857714049283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0.2572771704102586</v>
      </c>
      <c r="R200" s="1">
        <v>86</v>
      </c>
      <c r="S200" s="1">
        <v>83</v>
      </c>
      <c r="T200" s="1">
        <v>0</v>
      </c>
      <c r="U200" s="1">
        <f>Games[[#This Row],[PointsFor]]-Games[[#This Row],[PointsAgainst]]</f>
        <v>3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0.2645708153214863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14.43312952758016</v>
      </c>
      <c r="AB200" s="4">
        <f>Games[[#This Row],[PreGmRate]]+Games[[#This Row],[RatingChange]]</f>
        <v>1373.1206344957181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42553</v>
      </c>
      <c r="B201" s="2">
        <v>2016</v>
      </c>
      <c r="C201" s="2">
        <f>COUNTIFS(Games[Team],Games[[#This Row],[Team]],Games[Season],Games[[#This Row],[Season]],Games[Date],"&lt;=" &amp; Games[[#This Row],[Date]])</f>
        <v>18</v>
      </c>
      <c r="D201" s="2" t="s">
        <v>81</v>
      </c>
      <c r="E201" s="2" t="s">
        <v>82</v>
      </c>
      <c r="F201" s="1" t="s">
        <v>87</v>
      </c>
      <c r="G201" s="1" t="s">
        <v>76</v>
      </c>
      <c r="H201" s="1" t="s">
        <v>84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1" s="2">
        <f>Games[[#This Row],[DaysOff]]-Games[[#This Row],[OppDaysOff]]</f>
        <v>-1</v>
      </c>
      <c r="L201" s="2">
        <f>Games[[#This Row],[OppDaysOff]]-Games[[#This Row],[DaysOff]]</f>
        <v>1</v>
      </c>
      <c r="M201" s="1">
        <f>MAX(-16, MIN(16, Games[[#This Row],[RestDiff]]*8))</f>
        <v>-8</v>
      </c>
      <c r="N201" s="1">
        <f>MAX(-16, MIN(16, Games[[#This Row],[OppRestDiff]]*8))</f>
        <v>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1474.857714049283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1358.687504968138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0.74272282958974134</v>
      </c>
      <c r="R201" s="1">
        <v>83</v>
      </c>
      <c r="S201" s="1">
        <v>86</v>
      </c>
      <c r="T201" s="1">
        <v>0</v>
      </c>
      <c r="U201" s="1">
        <f>Games[[#This Row],[PointsFor]]-Games[[#This Row],[PointsAgainst]]</f>
        <v>-3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0.2645708153214863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73.3</v>
      </c>
      <c r="Z201" s="4">
        <f>Games[[#This Row],[K]]*Games[[#This Row],[POMult]]</f>
        <v>73.3</v>
      </c>
      <c r="AA201" s="4">
        <f>(Games[[#This Row],[Keff]]*Games[[#This Row],[MOVMult]])*(Games[[#This Row],[Result]]-Games[[#This Row],[ExpectedWin%]])</f>
        <v>-14.403654109892793</v>
      </c>
      <c r="AB201" s="4">
        <f>Games[[#This Row],[PreGmRate]]+Games[[#This Row],[RatingChange]]</f>
        <v>1460.4540599393902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42553</v>
      </c>
      <c r="B202" s="2">
        <v>2016</v>
      </c>
      <c r="C202" s="2">
        <f>COUNTIFS(Games[Team],Games[[#This Row],[Team]],Games[Season],Games[[#This Row],[Season]],Games[Date],"&lt;=" &amp; Games[[#This Row],[Date]])</f>
        <v>17</v>
      </c>
      <c r="D202" s="2" t="s">
        <v>81</v>
      </c>
      <c r="E202" s="2" t="s">
        <v>82</v>
      </c>
      <c r="F202" s="1" t="s">
        <v>74</v>
      </c>
      <c r="G202" s="1" t="s">
        <v>67</v>
      </c>
      <c r="H202" s="1" t="s">
        <v>83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-2</v>
      </c>
      <c r="L202" s="2">
        <f>Games[[#This Row],[OppDaysOff]]-Games[[#This Row],[DaysOff]]</f>
        <v>2</v>
      </c>
      <c r="M202" s="1">
        <f>MAX(-16, MIN(16, Games[[#This Row],[RestDiff]]*8))</f>
        <v>-16</v>
      </c>
      <c r="N202" s="1">
        <f>MAX(-16, MIN(16, Games[[#This Row],[OppRestDiff]]*8))</f>
        <v>16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1353.265481856293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1645.1390245304447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8.7232131928434833E-2</v>
      </c>
      <c r="R202" s="1">
        <v>68</v>
      </c>
      <c r="S202" s="1">
        <v>91</v>
      </c>
      <c r="T202" s="1">
        <v>0</v>
      </c>
      <c r="U202" s="1">
        <f>Games[[#This Row],[PointsFor]]-Games[[#This Row],[PointsAgainst]]</f>
        <v>-23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0.49495168454475452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73.45</v>
      </c>
      <c r="Z202" s="4">
        <f>Games[[#This Row],[K]]*Games[[#This Row],[POMult]]</f>
        <v>73.45</v>
      </c>
      <c r="AA202" s="4">
        <f>(Games[[#This Row],[Keff]]*Games[[#This Row],[MOVMult]])*(Games[[#This Row],[Result]]-Games[[#This Row],[ExpectedWin%]])</f>
        <v>-3.1712544778318472</v>
      </c>
      <c r="AB202" s="4">
        <f>Games[[#This Row],[PreGmRate]]+Games[[#This Row],[RatingChange]]</f>
        <v>1350.0942273784613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42553</v>
      </c>
      <c r="B203" s="2">
        <v>2016</v>
      </c>
      <c r="C203" s="2">
        <f>COUNTIFS(Games[Team],Games[[#This Row],[Team]],Games[Season],Games[[#This Row],[Season]],Games[Date],"&lt;=" &amp; Games[[#This Row],[Date]])</f>
        <v>17</v>
      </c>
      <c r="D203" s="2" t="s">
        <v>81</v>
      </c>
      <c r="E203" s="2" t="s">
        <v>82</v>
      </c>
      <c r="F203" s="1" t="s">
        <v>67</v>
      </c>
      <c r="G203" s="1" t="s">
        <v>74</v>
      </c>
      <c r="H203" s="1" t="s">
        <v>84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3" s="2">
        <f>Games[[#This Row],[DaysOff]]-Games[[#This Row],[OppDaysOff]]</f>
        <v>2</v>
      </c>
      <c r="L203" s="2">
        <f>Games[[#This Row],[OppDaysOff]]-Games[[#This Row],[DaysOff]]</f>
        <v>-2</v>
      </c>
      <c r="M203" s="1">
        <f>MAX(-16, MIN(16, Games[[#This Row],[RestDiff]]*8))</f>
        <v>16</v>
      </c>
      <c r="N203" s="1">
        <f>MAX(-16, MIN(16, Games[[#This Row],[OppRestDiff]]*8))</f>
        <v>-16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1645.1390245304447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1353.265481856293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0.91276786807156518</v>
      </c>
      <c r="R203" s="1">
        <v>91</v>
      </c>
      <c r="S203" s="1">
        <v>68</v>
      </c>
      <c r="T203" s="1">
        <v>0</v>
      </c>
      <c r="U203" s="1">
        <f>Games[[#This Row],[PointsFor]]-Games[[#This Row],[PointsAgainst]]</f>
        <v>23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0.49495168454475452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3.1712544778318468</v>
      </c>
      <c r="AB203" s="4">
        <f>Games[[#This Row],[PreGmRate]]+Games[[#This Row],[RatingChange]]</f>
        <v>1648.3102790082764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42554</v>
      </c>
      <c r="B204" s="2">
        <v>2016</v>
      </c>
      <c r="C204" s="2">
        <f>COUNTIFS(Games[Team],Games[[#This Row],[Team]],Games[Season],Games[[#This Row],[Season]],Games[Date],"&lt;=" &amp; Games[[#This Row],[Date]])</f>
        <v>18</v>
      </c>
      <c r="D204" s="2" t="s">
        <v>81</v>
      </c>
      <c r="E204" s="2" t="s">
        <v>82</v>
      </c>
      <c r="F204" s="1" t="s">
        <v>40</v>
      </c>
      <c r="G204" s="1" t="s">
        <v>79</v>
      </c>
      <c r="H204" s="1" t="s">
        <v>83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4" s="2">
        <f>Games[[#This Row],[DaysOff]]-Games[[#This Row],[OppDaysOff]]</f>
        <v>-1</v>
      </c>
      <c r="L204" s="2">
        <f>Games[[#This Row],[OppDaysOff]]-Games[[#This Row],[DaysOff]]</f>
        <v>1</v>
      </c>
      <c r="M204" s="1">
        <f>MAX(-16, MIN(16, Games[[#This Row],[RestDiff]]*8))</f>
        <v>-8</v>
      </c>
      <c r="N204" s="1">
        <f>MAX(-16, MIN(16, Games[[#This Row],[OppRestDiff]]*8))</f>
        <v>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1504.7125417256855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1469.1026820276293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0.40838168650815987</v>
      </c>
      <c r="R204" s="1">
        <v>95</v>
      </c>
      <c r="S204" s="1">
        <v>87</v>
      </c>
      <c r="T204" s="1">
        <v>0</v>
      </c>
      <c r="U204" s="1">
        <f>Games[[#This Row],[PointsFor]]-Games[[#This Row],[PointsAgainst]]</f>
        <v>8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0.3771244121647564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73.3</v>
      </c>
      <c r="Z204" s="4">
        <f>Games[[#This Row],[K]]*Games[[#This Row],[POMult]]</f>
        <v>73.3</v>
      </c>
      <c r="AA204" s="4">
        <f>(Games[[#This Row],[Keff]]*Games[[#This Row],[MOVMult]])*(Games[[#This Row],[Result]]-Games[[#This Row],[ExpectedWin%]])</f>
        <v>16.354234847821033</v>
      </c>
      <c r="AB204" s="4">
        <f>Games[[#This Row],[PreGmRate]]+Games[[#This Row],[RatingChange]]</f>
        <v>1521.0667765735066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42554</v>
      </c>
      <c r="B205" s="2">
        <v>2016</v>
      </c>
      <c r="C205" s="2">
        <f>COUNTIFS(Games[Team],Games[[#This Row],[Team]],Games[Season],Games[[#This Row],[Season]],Games[Date],"&lt;=" &amp; Games[[#This Row],[Date]])</f>
        <v>17</v>
      </c>
      <c r="D205" s="2" t="s">
        <v>81</v>
      </c>
      <c r="E205" s="2" t="s">
        <v>82</v>
      </c>
      <c r="F205" s="1" t="s">
        <v>79</v>
      </c>
      <c r="G205" s="1" t="s">
        <v>40</v>
      </c>
      <c r="H205" s="1" t="s">
        <v>84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1</v>
      </c>
      <c r="L205" s="2">
        <f>Games[[#This Row],[OppDaysOff]]-Games[[#This Row],[DaysOff]]</f>
        <v>-1</v>
      </c>
      <c r="M205" s="1">
        <f>MAX(-16, MIN(16, Games[[#This Row],[RestDiff]]*8))</f>
        <v>8</v>
      </c>
      <c r="N205" s="1">
        <f>MAX(-16, MIN(16, Games[[#This Row],[OppRestDiff]]*8))</f>
        <v>-8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1469.1026820276293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1504.7125417256855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0.59161831349184013</v>
      </c>
      <c r="R205" s="1">
        <v>87</v>
      </c>
      <c r="S205" s="1">
        <v>95</v>
      </c>
      <c r="T205" s="1">
        <v>0</v>
      </c>
      <c r="U205" s="1">
        <f>Games[[#This Row],[PointsFor]]-Games[[#This Row],[PointsAgainst]]</f>
        <v>-8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0.3771244121647564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73.45</v>
      </c>
      <c r="Z205" s="4">
        <f>Games[[#This Row],[K]]*Games[[#This Row],[POMult]]</f>
        <v>73.45</v>
      </c>
      <c r="AA205" s="4">
        <f>(Games[[#This Row],[Keff]]*Games[[#This Row],[MOVMult]])*(Games[[#This Row],[Result]]-Games[[#This Row],[ExpectedWin%]])</f>
        <v>-16.387701904126263</v>
      </c>
      <c r="AB205" s="4">
        <f>Games[[#This Row],[PreGmRate]]+Games[[#This Row],[RatingChange]]</f>
        <v>1452.714980123503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42554</v>
      </c>
      <c r="B206" s="2">
        <v>2016</v>
      </c>
      <c r="C206" s="2">
        <f>COUNTIFS(Games[Team],Games[[#This Row],[Team]],Games[Season],Games[[#This Row],[Season]],Games[Date],"&lt;=" &amp; Games[[#This Row],[Date]])</f>
        <v>18</v>
      </c>
      <c r="D206" s="2" t="s">
        <v>81</v>
      </c>
      <c r="E206" s="2" t="s">
        <v>82</v>
      </c>
      <c r="F206" s="1" t="s">
        <v>60</v>
      </c>
      <c r="G206" s="1" t="s">
        <v>63</v>
      </c>
      <c r="H206" s="1" t="s">
        <v>83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6" s="2">
        <f>Games[[#This Row],[DaysOff]]-Games[[#This Row],[OppDaysOff]]</f>
        <v>-1</v>
      </c>
      <c r="L206" s="2">
        <f>Games[[#This Row],[OppDaysOff]]-Games[[#This Row],[DaysOff]]</f>
        <v>1</v>
      </c>
      <c r="M206" s="1">
        <f>MAX(-16, MIN(16, Games[[#This Row],[RestDiff]]*8))</f>
        <v>-8</v>
      </c>
      <c r="N206" s="1">
        <f>MAX(-16, MIN(16, Games[[#This Row],[OppRestDiff]]*8))</f>
        <v>8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1602.1324247891857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1667.1719875891329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0.27887595467679371</v>
      </c>
      <c r="R206" s="1">
        <v>67</v>
      </c>
      <c r="S206" s="1">
        <v>77</v>
      </c>
      <c r="T206" s="1">
        <v>0</v>
      </c>
      <c r="U206" s="1">
        <f>Games[[#This Row],[PointsFor]]-Games[[#This Row],[PointsAgainst]]</f>
        <v>-10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0.40137530408528183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73.3</v>
      </c>
      <c r="Z206" s="4">
        <f>Games[[#This Row],[K]]*Games[[#This Row],[POMult]]</f>
        <v>73.3</v>
      </c>
      <c r="AA206" s="4">
        <f>(Games[[#This Row],[Keff]]*Games[[#This Row],[MOVMult]])*(Games[[#This Row],[Result]]-Games[[#This Row],[ExpectedWin%]])</f>
        <v>-8.2047564173975491</v>
      </c>
      <c r="AB206" s="4">
        <f>Games[[#This Row],[PreGmRate]]+Games[[#This Row],[RatingChange]]</f>
        <v>1593.9276683717883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42554</v>
      </c>
      <c r="B207" s="2">
        <v>2016</v>
      </c>
      <c r="C207" s="2">
        <f>COUNTIFS(Games[Team],Games[[#This Row],[Team]],Games[Season],Games[[#This Row],[Season]],Games[Date],"&lt;=" &amp; Games[[#This Row],[Date]])</f>
        <v>17</v>
      </c>
      <c r="D207" s="2" t="s">
        <v>81</v>
      </c>
      <c r="E207" s="2" t="s">
        <v>82</v>
      </c>
      <c r="F207" s="1" t="s">
        <v>63</v>
      </c>
      <c r="G207" s="1" t="s">
        <v>60</v>
      </c>
      <c r="H207" s="1" t="s">
        <v>84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1</v>
      </c>
      <c r="L207" s="2">
        <f>Games[[#This Row],[OppDaysOff]]-Games[[#This Row],[DaysOff]]</f>
        <v>-1</v>
      </c>
      <c r="M207" s="1">
        <f>MAX(-16, MIN(16, Games[[#This Row],[RestDiff]]*8))</f>
        <v>8</v>
      </c>
      <c r="N207" s="1">
        <f>MAX(-16, MIN(16, Games[[#This Row],[OppRestDiff]]*8))</f>
        <v>-8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1667.1719875891329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1602.1324247891857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0.72112404532320629</v>
      </c>
      <c r="R207" s="1">
        <v>77</v>
      </c>
      <c r="S207" s="1">
        <v>67</v>
      </c>
      <c r="T207" s="1">
        <v>0</v>
      </c>
      <c r="U207" s="1">
        <f>Games[[#This Row],[PointsFor]]-Games[[#This Row],[PointsAgainst]]</f>
        <v>10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0.40137530408528183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8.2215465055641221</v>
      </c>
      <c r="AB207" s="4">
        <f>Games[[#This Row],[PreGmRate]]+Games[[#This Row],[RatingChange]]</f>
        <v>1675.3935340946971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42556</v>
      </c>
      <c r="B208" s="2">
        <v>2016</v>
      </c>
      <c r="C208" s="2">
        <f>COUNTIFS(Games[Team],Games[[#This Row],[Team]],Games[Season],Games[[#This Row],[Season]],Games[Date],"&lt;=" &amp; Games[[#This Row],[Date]])</f>
        <v>17</v>
      </c>
      <c r="D208" s="2" t="s">
        <v>81</v>
      </c>
      <c r="E208" s="2" t="s">
        <v>82</v>
      </c>
      <c r="F208" s="1" t="s">
        <v>71</v>
      </c>
      <c r="G208" s="1" t="s">
        <v>79</v>
      </c>
      <c r="H208" s="1" t="s">
        <v>83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3</v>
      </c>
      <c r="L208" s="2">
        <f>Games[[#This Row],[OppDaysOff]]-Games[[#This Row],[DaysOff]]</f>
        <v>-3</v>
      </c>
      <c r="M208" s="1">
        <f>MAX(-16, MIN(16, Games[[#This Row],[RestDiff]]*8))</f>
        <v>16</v>
      </c>
      <c r="N208" s="1">
        <f>MAX(-16, MIN(16, Games[[#This Row],[OppRestDiff]]*8))</f>
        <v>-16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1415.7825711910948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1452.714980123503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0.3747397688140312</v>
      </c>
      <c r="R208" s="1">
        <v>64</v>
      </c>
      <c r="S208" s="1">
        <v>77</v>
      </c>
      <c r="T208" s="1">
        <v>0</v>
      </c>
      <c r="U208" s="1">
        <f>Games[[#This Row],[PointsFor]]-Games[[#This Row],[PointsAgainst]]</f>
        <v>-13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0.45794944225436229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73.45</v>
      </c>
      <c r="Z208" s="4">
        <f>Games[[#This Row],[K]]*Games[[#This Row],[POMult]]</f>
        <v>73.45</v>
      </c>
      <c r="AA208" s="4">
        <f>(Games[[#This Row],[Keff]]*Games[[#This Row],[MOVMult]])*(Games[[#This Row],[Result]]-Games[[#This Row],[ExpectedWin%]])</f>
        <v>-12.604891713334254</v>
      </c>
      <c r="AB208" s="4">
        <f>Games[[#This Row],[PreGmRate]]+Games[[#This Row],[RatingChange]]</f>
        <v>1403.1776794777606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42556</v>
      </c>
      <c r="B209" s="2">
        <v>2016</v>
      </c>
      <c r="C209" s="2">
        <f>COUNTIFS(Games[Team],Games[[#This Row],[Team]],Games[Season],Games[[#This Row],[Season]],Games[Date],"&lt;=" &amp; Games[[#This Row],[Date]])</f>
        <v>18</v>
      </c>
      <c r="D209" s="2" t="s">
        <v>81</v>
      </c>
      <c r="E209" s="2" t="s">
        <v>82</v>
      </c>
      <c r="F209" s="1" t="s">
        <v>79</v>
      </c>
      <c r="G209" s="1" t="s">
        <v>71</v>
      </c>
      <c r="H209" s="1" t="s">
        <v>84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9" s="2">
        <f>Games[[#This Row],[DaysOff]]-Games[[#This Row],[OppDaysOff]]</f>
        <v>-3</v>
      </c>
      <c r="L209" s="2">
        <f>Games[[#This Row],[OppDaysOff]]-Games[[#This Row],[DaysOff]]</f>
        <v>3</v>
      </c>
      <c r="M209" s="1">
        <f>MAX(-16, MIN(16, Games[[#This Row],[RestDiff]]*8))</f>
        <v>-16</v>
      </c>
      <c r="N209" s="1">
        <f>MAX(-16, MIN(16, Games[[#This Row],[OppRestDiff]]*8))</f>
        <v>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1452.714980123503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1415.7825711910948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0.62526023118596885</v>
      </c>
      <c r="R209" s="1">
        <v>77</v>
      </c>
      <c r="S209" s="1">
        <v>64</v>
      </c>
      <c r="T209" s="1">
        <v>0</v>
      </c>
      <c r="U209" s="1">
        <f>Games[[#This Row],[PointsFor]]-Games[[#This Row],[PointsAgainst]]</f>
        <v>13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0.45794944225436229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12.579149933116414</v>
      </c>
      <c r="AB209" s="4">
        <f>Games[[#This Row],[PreGmRate]]+Games[[#This Row],[RatingChange]]</f>
        <v>1465.2941300566195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42556</v>
      </c>
      <c r="B210" s="2">
        <v>2016</v>
      </c>
      <c r="C210" s="2">
        <f>COUNTIFS(Games[Team],Games[[#This Row],[Team]],Games[Season],Games[[#This Row],[Season]],Games[Date],"&lt;=" &amp; Games[[#This Row],[Date]])</f>
        <v>19</v>
      </c>
      <c r="D210" s="2" t="s">
        <v>81</v>
      </c>
      <c r="E210" s="2" t="s">
        <v>82</v>
      </c>
      <c r="F210" s="1" t="s">
        <v>40</v>
      </c>
      <c r="G210" s="1" t="s">
        <v>87</v>
      </c>
      <c r="H210" s="1" t="s">
        <v>83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0" s="2">
        <f>Games[[#This Row],[DaysOff]]-Games[[#This Row],[OppDaysOff]]</f>
        <v>-1</v>
      </c>
      <c r="L210" s="2">
        <f>Games[[#This Row],[OppDaysOff]]-Games[[#This Row],[DaysOff]]</f>
        <v>1</v>
      </c>
      <c r="M210" s="1">
        <f>MAX(-16, MIN(16, Games[[#This Row],[RestDiff]]*8))</f>
        <v>-8</v>
      </c>
      <c r="N210" s="1">
        <f>MAX(-16, MIN(16, Games[[#This Row],[OppRestDiff]]*8))</f>
        <v>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1521.0667765735066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1460.4540599393902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0.44355872625892218</v>
      </c>
      <c r="R210" s="1">
        <v>74</v>
      </c>
      <c r="S210" s="1">
        <v>77</v>
      </c>
      <c r="T210" s="1">
        <v>0</v>
      </c>
      <c r="U210" s="1">
        <f>Games[[#This Row],[PointsFor]]-Games[[#This Row],[PointsAgainst]]</f>
        <v>-3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0.27623093177118729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73.150000000000006</v>
      </c>
      <c r="Z210" s="4">
        <f>Games[[#This Row],[K]]*Games[[#This Row],[POMult]]</f>
        <v>73.150000000000006</v>
      </c>
      <c r="AA210" s="4">
        <f>(Games[[#This Row],[Keff]]*Games[[#This Row],[MOVMult]])*(Games[[#This Row],[Result]]-Games[[#This Row],[ExpectedWin%]])</f>
        <v>-8.9626774342687074</v>
      </c>
      <c r="AB210" s="4">
        <f>Games[[#This Row],[PreGmRate]]+Games[[#This Row],[RatingChange]]</f>
        <v>1512.1040991392379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42556</v>
      </c>
      <c r="B211" s="2">
        <v>2016</v>
      </c>
      <c r="C211" s="2">
        <f>COUNTIFS(Games[Team],Games[[#This Row],[Team]],Games[Season],Games[[#This Row],[Season]],Games[Date],"&lt;=" &amp; Games[[#This Row],[Date]])</f>
        <v>19</v>
      </c>
      <c r="D211" s="2" t="s">
        <v>81</v>
      </c>
      <c r="E211" s="2" t="s">
        <v>82</v>
      </c>
      <c r="F211" s="1" t="s">
        <v>87</v>
      </c>
      <c r="G211" s="1" t="s">
        <v>40</v>
      </c>
      <c r="H211" s="1" t="s">
        <v>84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1</v>
      </c>
      <c r="L211" s="2">
        <f>Games[[#This Row],[OppDaysOff]]-Games[[#This Row],[DaysOff]]</f>
        <v>-1</v>
      </c>
      <c r="M211" s="1">
        <f>MAX(-16, MIN(16, Games[[#This Row],[RestDiff]]*8))</f>
        <v>8</v>
      </c>
      <c r="N211" s="1">
        <f>MAX(-16, MIN(16, Games[[#This Row],[OppRestDiff]]*8))</f>
        <v>-8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1460.4540599393902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1521.0667765735066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0.55644127374107777</v>
      </c>
      <c r="R211" s="1">
        <v>77</v>
      </c>
      <c r="S211" s="1">
        <v>74</v>
      </c>
      <c r="T211" s="1">
        <v>0</v>
      </c>
      <c r="U211" s="1">
        <f>Games[[#This Row],[PointsFor]]-Games[[#This Row],[PointsAgainst]]</f>
        <v>3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0.27623093177118729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73.150000000000006</v>
      </c>
      <c r="Z211" s="4">
        <f>Games[[#This Row],[K]]*Games[[#This Row],[POMult]]</f>
        <v>73.150000000000006</v>
      </c>
      <c r="AA211" s="4">
        <f>(Games[[#This Row],[Keff]]*Games[[#This Row],[MOVMult]])*(Games[[#This Row],[Result]]-Games[[#This Row],[ExpectedWin%]])</f>
        <v>8.9626774342687074</v>
      </c>
      <c r="AB211" s="4">
        <f>Games[[#This Row],[PreGmRate]]+Games[[#This Row],[RatingChange]]</f>
        <v>1469.4167373736589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42556</v>
      </c>
      <c r="B212" s="2">
        <v>2016</v>
      </c>
      <c r="C212" s="2">
        <f>COUNTIFS(Games[Team],Games[[#This Row],[Team]],Games[Season],Games[[#This Row],[Season]],Games[Date],"&lt;=" &amp; Games[[#This Row],[Date]])</f>
        <v>17</v>
      </c>
      <c r="D212" s="2" t="s">
        <v>81</v>
      </c>
      <c r="E212" s="2" t="s">
        <v>82</v>
      </c>
      <c r="F212" s="1" t="s">
        <v>77</v>
      </c>
      <c r="G212" s="1" t="s">
        <v>67</v>
      </c>
      <c r="H212" s="1" t="s">
        <v>83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2" s="2">
        <f>Games[[#This Row],[DaysOff]]-Games[[#This Row],[OppDaysOff]]</f>
        <v>1</v>
      </c>
      <c r="L212" s="2">
        <f>Games[[#This Row],[OppDaysOff]]-Games[[#This Row],[DaysOff]]</f>
        <v>-1</v>
      </c>
      <c r="M212" s="1">
        <f>MAX(-16, MIN(16, Games[[#This Row],[RestDiff]]*8))</f>
        <v>8</v>
      </c>
      <c r="N212" s="1">
        <f>MAX(-16, MIN(16, Games[[#This Row],[OppRestDiff]]*8))</f>
        <v>-8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1499.4229689337576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1648.3102790082764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0.22295925993857221</v>
      </c>
      <c r="R212" s="1">
        <v>82</v>
      </c>
      <c r="S212" s="1">
        <v>87</v>
      </c>
      <c r="T212" s="1">
        <v>0</v>
      </c>
      <c r="U212" s="1">
        <f>Games[[#This Row],[PointsFor]]-Games[[#This Row],[PointsAgainst]]</f>
        <v>-5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0.29513745705822081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73.45</v>
      </c>
      <c r="Z212" s="4">
        <f>Games[[#This Row],[K]]*Games[[#This Row],[POMult]]</f>
        <v>73.45</v>
      </c>
      <c r="AA212" s="4">
        <f>(Games[[#This Row],[Keff]]*Games[[#This Row],[MOVMult]])*(Games[[#This Row],[Result]]-Games[[#This Row],[ExpectedWin%]])</f>
        <v>-4.8332765504799067</v>
      </c>
      <c r="AB212" s="4">
        <f>Games[[#This Row],[PreGmRate]]+Games[[#This Row],[RatingChange]]</f>
        <v>1494.5896923832777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42556</v>
      </c>
      <c r="B213" s="2">
        <v>2016</v>
      </c>
      <c r="C213" s="2">
        <f>COUNTIFS(Games[Team],Games[[#This Row],[Team]],Games[Season],Games[[#This Row],[Season]],Games[Date],"&lt;=" &amp; Games[[#This Row],[Date]])</f>
        <v>18</v>
      </c>
      <c r="D213" s="2" t="s">
        <v>81</v>
      </c>
      <c r="E213" s="2" t="s">
        <v>82</v>
      </c>
      <c r="F213" s="1" t="s">
        <v>67</v>
      </c>
      <c r="G213" s="1" t="s">
        <v>77</v>
      </c>
      <c r="H213" s="1" t="s">
        <v>84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3" s="2">
        <f>Games[[#This Row],[DaysOff]]-Games[[#This Row],[OppDaysOff]]</f>
        <v>-1</v>
      </c>
      <c r="L213" s="2">
        <f>Games[[#This Row],[OppDaysOff]]-Games[[#This Row],[DaysOff]]</f>
        <v>1</v>
      </c>
      <c r="M213" s="1">
        <f>MAX(-16, MIN(16, Games[[#This Row],[RestDiff]]*8))</f>
        <v>-8</v>
      </c>
      <c r="N213" s="1">
        <f>MAX(-16, MIN(16, Games[[#This Row],[OppRestDiff]]*8))</f>
        <v>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1648.3102790082764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1499.4229689337576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0.77704074006142776</v>
      </c>
      <c r="R213" s="1">
        <v>87</v>
      </c>
      <c r="S213" s="1">
        <v>82</v>
      </c>
      <c r="T213" s="1">
        <v>0</v>
      </c>
      <c r="U213" s="1">
        <f>Games[[#This Row],[PointsFor]]-Games[[#This Row],[PointsAgainst]]</f>
        <v>5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0.29513745705822081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73.3</v>
      </c>
      <c r="Z213" s="4">
        <f>Games[[#This Row],[K]]*Games[[#This Row],[POMult]]</f>
        <v>73.3</v>
      </c>
      <c r="AA213" s="4">
        <f>(Games[[#This Row],[Keff]]*Games[[#This Row],[MOVMult]])*(Games[[#This Row],[Result]]-Games[[#This Row],[ExpectedWin%]])</f>
        <v>4.8234060061290291</v>
      </c>
      <c r="AB213" s="4">
        <f>Games[[#This Row],[PreGmRate]]+Games[[#This Row],[RatingChange]]</f>
        <v>1653.1336850144055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42557</v>
      </c>
      <c r="B214" s="2">
        <v>2016</v>
      </c>
      <c r="C214" s="2">
        <f>COUNTIFS(Games[Team],Games[[#This Row],[Team]],Games[Season],Games[[#This Row],[Season]],Games[Date],"&lt;=" &amp; Games[[#This Row],[Date]])</f>
        <v>18</v>
      </c>
      <c r="D214" s="2" t="s">
        <v>81</v>
      </c>
      <c r="E214" s="2" t="s">
        <v>82</v>
      </c>
      <c r="F214" s="1" t="s">
        <v>69</v>
      </c>
      <c r="G214" s="1" t="s">
        <v>63</v>
      </c>
      <c r="H214" s="1" t="s">
        <v>83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4" s="2">
        <f>Games[[#This Row],[DaysOff]]-Games[[#This Row],[OppDaysOff]]</f>
        <v>2</v>
      </c>
      <c r="L214" s="2">
        <f>Games[[#This Row],[OppDaysOff]]-Games[[#This Row],[DaysOff]]</f>
        <v>-2</v>
      </c>
      <c r="M214" s="1">
        <f>MAX(-16, MIN(16, Games[[#This Row],[RestDiff]]*8))</f>
        <v>16</v>
      </c>
      <c r="N214" s="1">
        <f>MAX(-16, MIN(16, Games[[#This Row],[OppRestDiff]]*8))</f>
        <v>-16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1503.1177535205845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1675.3935340946971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0.21567764864575478</v>
      </c>
      <c r="R214" s="1">
        <v>88</v>
      </c>
      <c r="S214" s="1">
        <v>94</v>
      </c>
      <c r="T214" s="1">
        <v>0</v>
      </c>
      <c r="U214" s="1">
        <f>Games[[#This Row],[PointsFor]]-Games[[#This Row],[PointsAgainst]]</f>
        <v>-6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0.3071809029033753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-4.8562756202909556</v>
      </c>
      <c r="AB214" s="4">
        <f>Games[[#This Row],[PreGmRate]]+Games[[#This Row],[RatingChange]]</f>
        <v>1498.2614779002936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42557</v>
      </c>
      <c r="B215" s="2">
        <v>2016</v>
      </c>
      <c r="C215" s="2">
        <f>COUNTIFS(Games[Team],Games[[#This Row],[Team]],Games[Season],Games[[#This Row],[Season]],Games[Date],"&lt;=" &amp; Games[[#This Row],[Date]])</f>
        <v>18</v>
      </c>
      <c r="D215" s="2" t="s">
        <v>81</v>
      </c>
      <c r="E215" s="2" t="s">
        <v>82</v>
      </c>
      <c r="F215" s="1" t="s">
        <v>63</v>
      </c>
      <c r="G215" s="1" t="s">
        <v>69</v>
      </c>
      <c r="H215" s="1" t="s">
        <v>84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5" s="2">
        <f>Games[[#This Row],[DaysOff]]-Games[[#This Row],[OppDaysOff]]</f>
        <v>-2</v>
      </c>
      <c r="L215" s="2">
        <f>Games[[#This Row],[OppDaysOff]]-Games[[#This Row],[DaysOff]]</f>
        <v>2</v>
      </c>
      <c r="M215" s="1">
        <f>MAX(-16, MIN(16, Games[[#This Row],[RestDiff]]*8))</f>
        <v>-16</v>
      </c>
      <c r="N215" s="1">
        <f>MAX(-16, MIN(16, Games[[#This Row],[OppRestDiff]]*8))</f>
        <v>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1675.3935340946971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1503.1177535205845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0.78432235135424522</v>
      </c>
      <c r="R215" s="1">
        <v>94</v>
      </c>
      <c r="S215" s="1">
        <v>88</v>
      </c>
      <c r="T215" s="1">
        <v>0</v>
      </c>
      <c r="U215" s="1">
        <f>Games[[#This Row],[PointsFor]]-Games[[#This Row],[PointsAgainst]]</f>
        <v>6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0.3071809029033753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73.3</v>
      </c>
      <c r="Z215" s="4">
        <f>Games[[#This Row],[K]]*Games[[#This Row],[POMult]]</f>
        <v>73.3</v>
      </c>
      <c r="AA215" s="4">
        <f>(Games[[#This Row],[Keff]]*Games[[#This Row],[MOVMult]])*(Games[[#This Row],[Result]]-Games[[#This Row],[ExpectedWin%]])</f>
        <v>4.8562756202909556</v>
      </c>
      <c r="AB215" s="4">
        <f>Games[[#This Row],[PreGmRate]]+Games[[#This Row],[RatingChange]]</f>
        <v>1680.249809714988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42557</v>
      </c>
      <c r="B216" s="2">
        <v>2016</v>
      </c>
      <c r="C216" s="2">
        <f>COUNTIFS(Games[Team],Games[[#This Row],[Team]],Games[Season],Games[[#This Row],[Season]],Games[Date],"&lt;=" &amp; Games[[#This Row],[Date]])</f>
        <v>18</v>
      </c>
      <c r="D216" s="2" t="s">
        <v>81</v>
      </c>
      <c r="E216" s="2" t="s">
        <v>82</v>
      </c>
      <c r="F216" s="1" t="s">
        <v>71</v>
      </c>
      <c r="G216" s="1" t="s">
        <v>60</v>
      </c>
      <c r="H216" s="1" t="s">
        <v>83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6" s="2">
        <f>Games[[#This Row],[DaysOff]]-Games[[#This Row],[OppDaysOff]]</f>
        <v>-2</v>
      </c>
      <c r="L216" s="2">
        <f>Games[[#This Row],[OppDaysOff]]-Games[[#This Row],[DaysOff]]</f>
        <v>2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1403.1776794777606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1593.9276683717883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0.14606605660457356</v>
      </c>
      <c r="R216" s="1">
        <v>74</v>
      </c>
      <c r="S216" s="1">
        <v>78</v>
      </c>
      <c r="T216" s="1">
        <v>0</v>
      </c>
      <c r="U216" s="1">
        <f>Games[[#This Row],[PointsFor]]-Games[[#This Row],[PointsAgainst]]</f>
        <v>-4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0.26871780324934585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73.3</v>
      </c>
      <c r="Z216" s="4">
        <f>Games[[#This Row],[K]]*Games[[#This Row],[POMult]]</f>
        <v>73.3</v>
      </c>
      <c r="AA216" s="4">
        <f>(Games[[#This Row],[Keff]]*Games[[#This Row],[MOVMult]])*(Games[[#This Row],[Result]]-Games[[#This Row],[ExpectedWin%]])</f>
        <v>-2.8770653047435424</v>
      </c>
      <c r="AB216" s="4">
        <f>Games[[#This Row],[PreGmRate]]+Games[[#This Row],[RatingChange]]</f>
        <v>1400.300614173017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42557</v>
      </c>
      <c r="B217" s="2">
        <v>2016</v>
      </c>
      <c r="C217" s="2">
        <f>COUNTIFS(Games[Team],Games[[#This Row],[Team]],Games[Season],Games[[#This Row],[Season]],Games[Date],"&lt;=" &amp; Games[[#This Row],[Date]])</f>
        <v>19</v>
      </c>
      <c r="D217" s="2" t="s">
        <v>81</v>
      </c>
      <c r="E217" s="2" t="s">
        <v>82</v>
      </c>
      <c r="F217" s="1" t="s">
        <v>60</v>
      </c>
      <c r="G217" s="1" t="s">
        <v>71</v>
      </c>
      <c r="H217" s="1" t="s">
        <v>84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7" s="2">
        <f>Games[[#This Row],[DaysOff]]-Games[[#This Row],[OppDaysOff]]</f>
        <v>2</v>
      </c>
      <c r="L217" s="2">
        <f>Games[[#This Row],[OppDaysOff]]-Games[[#This Row],[DaysOff]]</f>
        <v>-2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1593.9276683717883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1403.1776794777606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0.85393394339542639</v>
      </c>
      <c r="R217" s="1">
        <v>78</v>
      </c>
      <c r="S217" s="1">
        <v>74</v>
      </c>
      <c r="T217" s="1">
        <v>0</v>
      </c>
      <c r="U217" s="1">
        <f>Games[[#This Row],[PointsFor]]-Games[[#This Row],[PointsAgainst]]</f>
        <v>4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0.26871780324934585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73.150000000000006</v>
      </c>
      <c r="Z217" s="4">
        <f>Games[[#This Row],[K]]*Games[[#This Row],[POMult]]</f>
        <v>73.150000000000006</v>
      </c>
      <c r="AA217" s="4">
        <f>(Games[[#This Row],[Keff]]*Games[[#This Row],[MOVMult]])*(Games[[#This Row],[Result]]-Games[[#This Row],[ExpectedWin%]])</f>
        <v>2.8711777222645325</v>
      </c>
      <c r="AB217" s="4">
        <f>Games[[#This Row],[PreGmRate]]+Games[[#This Row],[RatingChange]]</f>
        <v>1596.7988460940528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42557</v>
      </c>
      <c r="B218" s="2">
        <v>2016</v>
      </c>
      <c r="C218" s="2">
        <f>COUNTIFS(Games[Team],Games[[#This Row],[Team]],Games[Season],Games[[#This Row],[Season]],Games[Date],"&lt;=" &amp; Games[[#This Row],[Date]])</f>
        <v>19</v>
      </c>
      <c r="D218" s="2" t="s">
        <v>81</v>
      </c>
      <c r="E218" s="2" t="s">
        <v>82</v>
      </c>
      <c r="F218" s="1" t="s">
        <v>65</v>
      </c>
      <c r="G218" s="1" t="s">
        <v>74</v>
      </c>
      <c r="H218" s="1" t="s">
        <v>83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8" s="2">
        <f>Games[[#This Row],[DaysOff]]-Games[[#This Row],[OppDaysOff]]</f>
        <v>1</v>
      </c>
      <c r="L218" s="2">
        <f>Games[[#This Row],[OppDaysOff]]-Games[[#This Row],[DaysOff]]</f>
        <v>-1</v>
      </c>
      <c r="M218" s="1">
        <f>MAX(-16, MIN(16, Games[[#This Row],[RestDiff]]*8))</f>
        <v>8</v>
      </c>
      <c r="N218" s="1">
        <f>MAX(-16, MIN(16, Games[[#This Row],[OppRestDiff]]*8))</f>
        <v>-8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1507.1853972718679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1350.0942273784613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0.62547434281925263</v>
      </c>
      <c r="R218" s="1">
        <v>70</v>
      </c>
      <c r="S218" s="1">
        <v>77</v>
      </c>
      <c r="T218" s="1">
        <v>0</v>
      </c>
      <c r="U218" s="1">
        <f>Games[[#This Row],[PointsFor]]-Games[[#This Row],[PointsAgainst]]</f>
        <v>-7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0.32726512178210421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73.150000000000006</v>
      </c>
      <c r="Z218" s="4">
        <f>Games[[#This Row],[K]]*Games[[#This Row],[POMult]]</f>
        <v>73.150000000000006</v>
      </c>
      <c r="AA218" s="4">
        <f>(Games[[#This Row],[Keff]]*Games[[#This Row],[MOVMult]])*(Games[[#This Row],[Result]]-Games[[#This Row],[ExpectedWin%]])</f>
        <v>-14.973507789671824</v>
      </c>
      <c r="AB218" s="4">
        <f>Games[[#This Row],[PreGmRate]]+Games[[#This Row],[RatingChange]]</f>
        <v>1492.2118894821961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42557</v>
      </c>
      <c r="B219" s="2">
        <v>2016</v>
      </c>
      <c r="C219" s="2">
        <f>COUNTIFS(Games[Team],Games[[#This Row],[Team]],Games[Season],Games[[#This Row],[Season]],Games[Date],"&lt;=" &amp; Games[[#This Row],[Date]])</f>
        <v>18</v>
      </c>
      <c r="D219" s="2" t="s">
        <v>81</v>
      </c>
      <c r="E219" s="2" t="s">
        <v>82</v>
      </c>
      <c r="F219" s="1" t="s">
        <v>74</v>
      </c>
      <c r="G219" s="1" t="s">
        <v>65</v>
      </c>
      <c r="H219" s="1" t="s">
        <v>84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9" s="2">
        <f>Games[[#This Row],[DaysOff]]-Games[[#This Row],[OppDaysOff]]</f>
        <v>-1</v>
      </c>
      <c r="L219" s="2">
        <f>Games[[#This Row],[OppDaysOff]]-Games[[#This Row],[DaysOff]]</f>
        <v>1</v>
      </c>
      <c r="M219" s="1">
        <f>MAX(-16, MIN(16, Games[[#This Row],[RestDiff]]*8))</f>
        <v>-8</v>
      </c>
      <c r="N219" s="1">
        <f>MAX(-16, MIN(16, Games[[#This Row],[OppRestDiff]]*8))</f>
        <v>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1350.0942273784613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1507.1853972718679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0.37452565718074743</v>
      </c>
      <c r="R219" s="1">
        <v>77</v>
      </c>
      <c r="S219" s="1">
        <v>70</v>
      </c>
      <c r="T219" s="1">
        <v>0</v>
      </c>
      <c r="U219" s="1">
        <f>Games[[#This Row],[PointsFor]]-Games[[#This Row],[PointsAgainst]]</f>
        <v>7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0.32726512178210421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15.004212180217971</v>
      </c>
      <c r="AB219" s="4">
        <f>Games[[#This Row],[PreGmRate]]+Games[[#This Row],[RatingChange]]</f>
        <v>1365.0984395586793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42558</v>
      </c>
      <c r="B220" s="2">
        <v>2016</v>
      </c>
      <c r="C220" s="2">
        <f>COUNTIFS(Games[Team],Games[[#This Row],[Team]],Games[Season],Games[[#This Row],[Season]],Games[Date],"&lt;=" &amp; Games[[#This Row],[Date]])</f>
        <v>19</v>
      </c>
      <c r="D220" s="2" t="s">
        <v>81</v>
      </c>
      <c r="E220" s="2" t="s">
        <v>82</v>
      </c>
      <c r="F220" s="1" t="s">
        <v>67</v>
      </c>
      <c r="G220" s="1" t="s">
        <v>76</v>
      </c>
      <c r="H220" s="1" t="s">
        <v>83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0" s="2">
        <f>Games[[#This Row],[DaysOff]]-Games[[#This Row],[OppDaysOff]]</f>
        <v>-3</v>
      </c>
      <c r="L220" s="2">
        <f>Games[[#This Row],[OppDaysOff]]-Games[[#This Row],[DaysOff]]</f>
        <v>3</v>
      </c>
      <c r="M220" s="1">
        <f>MAX(-16, MIN(16, Games[[#This Row],[RestDiff]]*8))</f>
        <v>-16</v>
      </c>
      <c r="N220" s="1">
        <f>MAX(-16, MIN(16, Games[[#This Row],[OppRestDiff]]*8))</f>
        <v>16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1653.1336850144055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1373.1206344957181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0.71993415353825685</v>
      </c>
      <c r="R220" s="1">
        <v>89</v>
      </c>
      <c r="S220" s="1">
        <v>93</v>
      </c>
      <c r="T220" s="1">
        <v>1</v>
      </c>
      <c r="U220" s="1">
        <f>Games[[#This Row],[PointsFor]]-Games[[#This Row],[PointsAgainst]]</f>
        <v>-4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0.22725972151280216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-11.968220377854223</v>
      </c>
      <c r="AB220" s="4">
        <f>Games[[#This Row],[PreGmRate]]+Games[[#This Row],[RatingChange]]</f>
        <v>1641.1654646365512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42558</v>
      </c>
      <c r="B221" s="2">
        <v>2016</v>
      </c>
      <c r="C221" s="2">
        <f>COUNTIFS(Games[Team],Games[[#This Row],[Team]],Games[Season],Games[[#This Row],[Season]],Games[Date],"&lt;=" &amp; Games[[#This Row],[Date]])</f>
        <v>18</v>
      </c>
      <c r="D221" s="2" t="s">
        <v>81</v>
      </c>
      <c r="E221" s="2" t="s">
        <v>82</v>
      </c>
      <c r="F221" s="1" t="s">
        <v>76</v>
      </c>
      <c r="G221" s="1" t="s">
        <v>67</v>
      </c>
      <c r="H221" s="1" t="s">
        <v>84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3</v>
      </c>
      <c r="L221" s="2">
        <f>Games[[#This Row],[OppDaysOff]]-Games[[#This Row],[DaysOff]]</f>
        <v>-3</v>
      </c>
      <c r="M221" s="1">
        <f>MAX(-16, MIN(16, Games[[#This Row],[RestDiff]]*8))</f>
        <v>16</v>
      </c>
      <c r="N221" s="1">
        <f>MAX(-16, MIN(16, Games[[#This Row],[OppRestDiff]]*8))</f>
        <v>-16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1373.1206344957181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1653.1336850144055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0.2800658464617431</v>
      </c>
      <c r="R221" s="1">
        <v>93</v>
      </c>
      <c r="S221" s="1">
        <v>89</v>
      </c>
      <c r="T221" s="1">
        <v>1</v>
      </c>
      <c r="U221" s="1">
        <f>Games[[#This Row],[PointsFor]]-Games[[#This Row],[PointsAgainst]]</f>
        <v>4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0.22725972151280216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11.99276218314032</v>
      </c>
      <c r="AB221" s="4">
        <f>Games[[#This Row],[PreGmRate]]+Games[[#This Row],[RatingChange]]</f>
        <v>1385.1133966788584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42559</v>
      </c>
      <c r="B222" s="2">
        <v>2016</v>
      </c>
      <c r="C222" s="2">
        <f>COUNTIFS(Games[Team],Games[[#This Row],[Team]],Games[Season],Games[[#This Row],[Season]],Games[Date],"&lt;=" &amp; Games[[#This Row],[Date]])</f>
        <v>20</v>
      </c>
      <c r="D222" s="2" t="s">
        <v>81</v>
      </c>
      <c r="E222" s="2" t="s">
        <v>82</v>
      </c>
      <c r="F222" s="1" t="s">
        <v>87</v>
      </c>
      <c r="G222" s="1" t="s">
        <v>79</v>
      </c>
      <c r="H222" s="1" t="s">
        <v>83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1469.4167373736589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1465.2941300566195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0.38703060532300132</v>
      </c>
      <c r="R222" s="1">
        <v>90</v>
      </c>
      <c r="S222" s="1">
        <v>95</v>
      </c>
      <c r="T222" s="1">
        <v>1</v>
      </c>
      <c r="U222" s="1">
        <f>Games[[#This Row],[PointsFor]]-Games[[#This Row],[PointsAgainst]]</f>
        <v>-5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0.29755811519599673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</v>
      </c>
      <c r="Z222" s="4">
        <f>Games[[#This Row],[K]]*Games[[#This Row],[POMult]]</f>
        <v>73</v>
      </c>
      <c r="AA222" s="4">
        <f>(Games[[#This Row],[Keff]]*Games[[#This Row],[MOVMult]])*(Games[[#This Row],[Result]]-Games[[#This Row],[ExpectedWin%]])</f>
        <v>-8.4069791133446916</v>
      </c>
      <c r="AB222" s="4">
        <f>Games[[#This Row],[PreGmRate]]+Games[[#This Row],[RatingChange]]</f>
        <v>1461.0097582603141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42559</v>
      </c>
      <c r="B223" s="2">
        <v>2016</v>
      </c>
      <c r="C223" s="2">
        <f>COUNTIFS(Games[Team],Games[[#This Row],[Team]],Games[Season],Games[[#This Row],[Season]],Games[Date],"&lt;=" &amp; Games[[#This Row],[Date]])</f>
        <v>19</v>
      </c>
      <c r="D223" s="2" t="s">
        <v>81</v>
      </c>
      <c r="E223" s="2" t="s">
        <v>82</v>
      </c>
      <c r="F223" s="1" t="s">
        <v>79</v>
      </c>
      <c r="G223" s="1" t="s">
        <v>87</v>
      </c>
      <c r="H223" s="1" t="s">
        <v>84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1465.2941300566195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1469.4167373736589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0.61296939467699874</v>
      </c>
      <c r="R223" s="1">
        <v>95</v>
      </c>
      <c r="S223" s="1">
        <v>90</v>
      </c>
      <c r="T223" s="1">
        <v>1</v>
      </c>
      <c r="U223" s="1">
        <f>Games[[#This Row],[PointsFor]]-Games[[#This Row],[PointsAgainst]]</f>
        <v>5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0.29755811519599673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73.150000000000006</v>
      </c>
      <c r="Z223" s="4">
        <f>Games[[#This Row],[K]]*Games[[#This Row],[POMult]]</f>
        <v>73.150000000000006</v>
      </c>
      <c r="AA223" s="4">
        <f>(Games[[#This Row],[Keff]]*Games[[#This Row],[MOVMult]])*(Games[[#This Row],[Result]]-Games[[#This Row],[ExpectedWin%]])</f>
        <v>8.4242537279611529</v>
      </c>
      <c r="AB223" s="4">
        <f>Games[[#This Row],[PreGmRate]]+Games[[#This Row],[RatingChange]]</f>
        <v>1473.7183837845805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42559</v>
      </c>
      <c r="B224" s="2">
        <v>2016</v>
      </c>
      <c r="C224" s="2">
        <f>COUNTIFS(Games[Team],Games[[#This Row],[Team]],Games[Season],Games[[#This Row],[Season]],Games[Date],"&lt;=" &amp; Games[[#This Row],[Date]])</f>
        <v>20</v>
      </c>
      <c r="D224" s="2" t="s">
        <v>81</v>
      </c>
      <c r="E224" s="2" t="s">
        <v>82</v>
      </c>
      <c r="F224" s="1" t="s">
        <v>60</v>
      </c>
      <c r="G224" s="1" t="s">
        <v>77</v>
      </c>
      <c r="H224" s="1" t="s">
        <v>83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4" s="2">
        <f>Games[[#This Row],[DaysOff]]-Games[[#This Row],[OppDaysOff]]</f>
        <v>-1</v>
      </c>
      <c r="L224" s="2">
        <f>Games[[#This Row],[OppDaysOff]]-Games[[#This Row],[DaysOff]]</f>
        <v>1</v>
      </c>
      <c r="M224" s="1">
        <f>MAX(-16, MIN(16, Games[[#This Row],[RestDiff]]*8))</f>
        <v>-8</v>
      </c>
      <c r="N224" s="1">
        <f>MAX(-16, MIN(16, Games[[#This Row],[OppRestDiff]]*8))</f>
        <v>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1596.7988460940528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1494.5896923832777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0.50317918490694846</v>
      </c>
      <c r="R224" s="1">
        <v>88</v>
      </c>
      <c r="S224" s="1">
        <v>85</v>
      </c>
      <c r="T224" s="1">
        <v>0</v>
      </c>
      <c r="U224" s="1">
        <f>Games[[#This Row],[PointsFor]]-Games[[#This Row],[PointsAgainst]]</f>
        <v>3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0.26740729346446485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</v>
      </c>
      <c r="Z224" s="4">
        <f>Games[[#This Row],[K]]*Games[[#This Row],[POMult]]</f>
        <v>73</v>
      </c>
      <c r="AA224" s="4">
        <f>(Games[[#This Row],[Keff]]*Games[[#This Row],[MOVMult]])*(Games[[#This Row],[Result]]-Games[[#This Row],[ExpectedWin%]])</f>
        <v>9.6983061935614838</v>
      </c>
      <c r="AB224" s="4">
        <f>Games[[#This Row],[PreGmRate]]+Games[[#This Row],[RatingChange]]</f>
        <v>1606.4971522876142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42559</v>
      </c>
      <c r="B225" s="2">
        <v>2016</v>
      </c>
      <c r="C225" s="2">
        <f>COUNTIFS(Games[Team],Games[[#This Row],[Team]],Games[Season],Games[[#This Row],[Season]],Games[Date],"&lt;=" &amp; Games[[#This Row],[Date]])</f>
        <v>18</v>
      </c>
      <c r="D225" s="2" t="s">
        <v>81</v>
      </c>
      <c r="E225" s="2" t="s">
        <v>82</v>
      </c>
      <c r="F225" s="1" t="s">
        <v>77</v>
      </c>
      <c r="G225" s="1" t="s">
        <v>60</v>
      </c>
      <c r="H225" s="1" t="s">
        <v>84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1</v>
      </c>
      <c r="L225" s="2">
        <f>Games[[#This Row],[OppDaysOff]]-Games[[#This Row],[DaysOff]]</f>
        <v>-1</v>
      </c>
      <c r="M225" s="1">
        <f>MAX(-16, MIN(16, Games[[#This Row],[RestDiff]]*8))</f>
        <v>8</v>
      </c>
      <c r="N225" s="1">
        <f>MAX(-16, MIN(16, Games[[#This Row],[OppRestDiff]]*8))</f>
        <v>-8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1494.5896923832777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1596.7988460940528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0.49682081509305154</v>
      </c>
      <c r="R225" s="1">
        <v>85</v>
      </c>
      <c r="S225" s="1">
        <v>88</v>
      </c>
      <c r="T225" s="1">
        <v>0</v>
      </c>
      <c r="U225" s="1">
        <f>Games[[#This Row],[PointsFor]]-Games[[#This Row],[PointsAgainst]]</f>
        <v>-3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0.26740729346446485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73.3</v>
      </c>
      <c r="Z225" s="4">
        <f>Games[[#This Row],[K]]*Games[[#This Row],[POMult]]</f>
        <v>73.3</v>
      </c>
      <c r="AA225" s="4">
        <f>(Games[[#This Row],[Keff]]*Games[[#This Row],[MOVMult]])*(Games[[#This Row],[Result]]-Games[[#This Row],[ExpectedWin%]])</f>
        <v>-9.7381622464117381</v>
      </c>
      <c r="AB225" s="4">
        <f>Games[[#This Row],[PreGmRate]]+Games[[#This Row],[RatingChange]]</f>
        <v>1484.8515301368659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42559</v>
      </c>
      <c r="B226" s="2">
        <v>2016</v>
      </c>
      <c r="C226" s="2">
        <f>COUNTIFS(Games[Team],Games[[#This Row],[Team]],Games[Season],Games[[#This Row],[Season]],Games[Date],"&lt;=" &amp; Games[[#This Row],[Date]])</f>
        <v>19</v>
      </c>
      <c r="D226" s="2" t="s">
        <v>81</v>
      </c>
      <c r="E226" s="2" t="s">
        <v>82</v>
      </c>
      <c r="F226" s="1" t="s">
        <v>69</v>
      </c>
      <c r="G226" s="1" t="s">
        <v>40</v>
      </c>
      <c r="H226" s="1" t="s">
        <v>83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6" s="2">
        <f>Games[[#This Row],[DaysOff]]-Games[[#This Row],[OppDaysOff]]</f>
        <v>-1</v>
      </c>
      <c r="L226" s="2">
        <f>Games[[#This Row],[OppDaysOff]]-Games[[#This Row],[DaysOff]]</f>
        <v>1</v>
      </c>
      <c r="M226" s="1">
        <f>MAX(-16, MIN(16, Games[[#This Row],[RestDiff]]*8))</f>
        <v>-8</v>
      </c>
      <c r="N226" s="1">
        <f>MAX(-16, MIN(16, Games[[#This Row],[OppRestDiff]]*8))</f>
        <v>8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1498.2614779002936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1512.1040991392379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0.34178925972347879</v>
      </c>
      <c r="R226" s="1">
        <v>78</v>
      </c>
      <c r="S226" s="1">
        <v>60</v>
      </c>
      <c r="T226" s="1">
        <v>0</v>
      </c>
      <c r="U226" s="1">
        <f>Games[[#This Row],[PointsFor]]-Games[[#This Row],[PointsAgainst]]</f>
        <v>18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0.54059785599043708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73.150000000000006</v>
      </c>
      <c r="Z226" s="4">
        <f>Games[[#This Row],[K]]*Games[[#This Row],[POMult]]</f>
        <v>73.150000000000006</v>
      </c>
      <c r="AA226" s="4">
        <f>(Games[[#This Row],[Keff]]*Games[[#This Row],[MOVMult]])*(Games[[#This Row],[Result]]-Games[[#This Row],[ExpectedWin%]])</f>
        <v>26.028768091033211</v>
      </c>
      <c r="AB226" s="4">
        <f>Games[[#This Row],[PreGmRate]]+Games[[#This Row],[RatingChange]]</f>
        <v>1524.2902459913269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42559</v>
      </c>
      <c r="B227" s="2">
        <v>2016</v>
      </c>
      <c r="C227" s="2">
        <f>COUNTIFS(Games[Team],Games[[#This Row],[Team]],Games[Season],Games[[#This Row],[Season]],Games[Date],"&lt;=" &amp; Games[[#This Row],[Date]])</f>
        <v>20</v>
      </c>
      <c r="D227" s="2" t="s">
        <v>81</v>
      </c>
      <c r="E227" s="2" t="s">
        <v>82</v>
      </c>
      <c r="F227" s="1" t="s">
        <v>40</v>
      </c>
      <c r="G227" s="1" t="s">
        <v>69</v>
      </c>
      <c r="H227" s="1" t="s">
        <v>84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1</v>
      </c>
      <c r="L227" s="2">
        <f>Games[[#This Row],[OppDaysOff]]-Games[[#This Row],[DaysOff]]</f>
        <v>-1</v>
      </c>
      <c r="M227" s="1">
        <f>MAX(-16, MIN(16, Games[[#This Row],[RestDiff]]*8))</f>
        <v>8</v>
      </c>
      <c r="N227" s="1">
        <f>MAX(-16, MIN(16, Games[[#This Row],[OppRestDiff]]*8))</f>
        <v>-8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1512.1040991392379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1498.2614779002936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0.65821074027652116</v>
      </c>
      <c r="R227" s="1">
        <v>60</v>
      </c>
      <c r="S227" s="1">
        <v>78</v>
      </c>
      <c r="T227" s="1">
        <v>0</v>
      </c>
      <c r="U227" s="1">
        <f>Games[[#This Row],[PointsFor]]-Games[[#This Row],[PointsAgainst]]</f>
        <v>-18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0.54059785599043708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</v>
      </c>
      <c r="Z227" s="4">
        <f>Games[[#This Row],[K]]*Games[[#This Row],[POMult]]</f>
        <v>73</v>
      </c>
      <c r="AA227" s="4">
        <f>(Games[[#This Row],[Keff]]*Games[[#This Row],[MOVMult]])*(Games[[#This Row],[Result]]-Games[[#This Row],[ExpectedWin%]])</f>
        <v>-25.975393993785701</v>
      </c>
      <c r="AB227" s="4">
        <f>Games[[#This Row],[PreGmRate]]+Games[[#This Row],[RatingChange]]</f>
        <v>1486.1287051454522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42559</v>
      </c>
      <c r="B228" s="2">
        <v>2016</v>
      </c>
      <c r="C228" s="2">
        <f>COUNTIFS(Games[Team],Games[[#This Row],[Team]],Games[Season],Games[[#This Row],[Season]],Games[Date],"&lt;=" &amp; Games[[#This Row],[Date]])</f>
        <v>19</v>
      </c>
      <c r="D228" s="2" t="s">
        <v>81</v>
      </c>
      <c r="E228" s="2" t="s">
        <v>82</v>
      </c>
      <c r="F228" s="1" t="s">
        <v>71</v>
      </c>
      <c r="G228" s="1" t="s">
        <v>74</v>
      </c>
      <c r="H228" s="1" t="s">
        <v>83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1400.300614173017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1365.0984395586793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0.43023244101707209</v>
      </c>
      <c r="R228" s="1">
        <v>78</v>
      </c>
      <c r="S228" s="1">
        <v>68</v>
      </c>
      <c r="T228" s="1">
        <v>0</v>
      </c>
      <c r="U228" s="1">
        <f>Games[[#This Row],[PointsFor]]-Games[[#This Row],[PointsAgainst]]</f>
        <v>10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0.41107087538708009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73.150000000000006</v>
      </c>
      <c r="Z228" s="4">
        <f>Games[[#This Row],[K]]*Games[[#This Row],[POMult]]</f>
        <v>73.150000000000006</v>
      </c>
      <c r="AA228" s="4">
        <f>(Games[[#This Row],[Keff]]*Games[[#This Row],[MOVMult]])*(Games[[#This Row],[Result]]-Games[[#This Row],[ExpectedWin%]])</f>
        <v>17.132816221779596</v>
      </c>
      <c r="AB228" s="4">
        <f>Games[[#This Row],[PreGmRate]]+Games[[#This Row],[RatingChange]]</f>
        <v>1417.4334303947967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42559</v>
      </c>
      <c r="B229" s="2">
        <v>2016</v>
      </c>
      <c r="C229" s="2">
        <f>COUNTIFS(Games[Team],Games[[#This Row],[Team]],Games[Season],Games[[#This Row],[Season]],Games[Date],"&lt;=" &amp; Games[[#This Row],[Date]])</f>
        <v>19</v>
      </c>
      <c r="D229" s="2" t="s">
        <v>81</v>
      </c>
      <c r="E229" s="2" t="s">
        <v>82</v>
      </c>
      <c r="F229" s="1" t="s">
        <v>74</v>
      </c>
      <c r="G229" s="1" t="s">
        <v>71</v>
      </c>
      <c r="H229" s="1" t="s">
        <v>84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1365.0984395586793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1400.300614173017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0.56976755898292786</v>
      </c>
      <c r="R229" s="1">
        <v>68</v>
      </c>
      <c r="S229" s="1">
        <v>78</v>
      </c>
      <c r="T229" s="1">
        <v>0</v>
      </c>
      <c r="U229" s="1">
        <f>Games[[#This Row],[PointsFor]]-Games[[#This Row],[PointsAgainst]]</f>
        <v>-10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0.41107087538708009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73.150000000000006</v>
      </c>
      <c r="Z229" s="4">
        <f>Games[[#This Row],[K]]*Games[[#This Row],[POMult]]</f>
        <v>73.150000000000006</v>
      </c>
      <c r="AA229" s="4">
        <f>(Games[[#This Row],[Keff]]*Games[[#This Row],[MOVMult]])*(Games[[#This Row],[Result]]-Games[[#This Row],[ExpectedWin%]])</f>
        <v>-17.132816221779596</v>
      </c>
      <c r="AB229" s="4">
        <f>Games[[#This Row],[PreGmRate]]+Games[[#This Row],[RatingChange]]</f>
        <v>1347.9656233368996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42560</v>
      </c>
      <c r="B230" s="2">
        <v>2016</v>
      </c>
      <c r="C230" s="2">
        <f>COUNTIFS(Games[Team],Games[[#This Row],[Team]],Games[Season],Games[[#This Row],[Season]],Games[Date],"&lt;=" &amp; Games[[#This Row],[Date]])</f>
        <v>21</v>
      </c>
      <c r="D230" s="2" t="s">
        <v>81</v>
      </c>
      <c r="E230" s="2" t="s">
        <v>82</v>
      </c>
      <c r="F230" s="1" t="s">
        <v>87</v>
      </c>
      <c r="G230" s="1" t="s">
        <v>67</v>
      </c>
      <c r="H230" s="1" t="s">
        <v>83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1461.0097582603141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1641.1654646365512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0.16621327615166476</v>
      </c>
      <c r="R230" s="1">
        <v>56</v>
      </c>
      <c r="S230" s="1">
        <v>93</v>
      </c>
      <c r="T230" s="1">
        <v>0</v>
      </c>
      <c r="U230" s="1">
        <f>Games[[#This Row],[PointsFor]]-Games[[#This Row],[PointsAgainst]]</f>
        <v>-37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0.68237245702823568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72.849999999999994</v>
      </c>
      <c r="Z230" s="4">
        <f>Games[[#This Row],[K]]*Games[[#This Row],[POMult]]</f>
        <v>72.849999999999994</v>
      </c>
      <c r="AA230" s="4">
        <f>(Games[[#This Row],[Keff]]*Games[[#This Row],[MOVMult]])*(Games[[#This Row],[Result]]-Games[[#This Row],[ExpectedWin%]])</f>
        <v>-8.2626004953519114</v>
      </c>
      <c r="AB230" s="4">
        <f>Games[[#This Row],[PreGmRate]]+Games[[#This Row],[RatingChange]]</f>
        <v>1452.7471577649621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42560</v>
      </c>
      <c r="B231" s="2">
        <v>2016</v>
      </c>
      <c r="C231" s="2">
        <f>COUNTIFS(Games[Team],Games[[#This Row],[Team]],Games[Season],Games[[#This Row],[Season]],Games[Date],"&lt;=" &amp; Games[[#This Row],[Date]])</f>
        <v>20</v>
      </c>
      <c r="D231" s="2" t="s">
        <v>81</v>
      </c>
      <c r="E231" s="2" t="s">
        <v>82</v>
      </c>
      <c r="F231" s="1" t="s">
        <v>67</v>
      </c>
      <c r="G231" s="1" t="s">
        <v>87</v>
      </c>
      <c r="H231" s="1" t="s">
        <v>84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1641.1654646365512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1461.0097582603141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0.83378672384833519</v>
      </c>
      <c r="R231" s="1">
        <v>93</v>
      </c>
      <c r="S231" s="1">
        <v>56</v>
      </c>
      <c r="T231" s="1">
        <v>0</v>
      </c>
      <c r="U231" s="1">
        <f>Games[[#This Row],[PointsFor]]-Games[[#This Row],[PointsAgainst]]</f>
        <v>37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0.68237245702823568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</v>
      </c>
      <c r="Z231" s="4">
        <f>Games[[#This Row],[K]]*Games[[#This Row],[POMult]]</f>
        <v>73</v>
      </c>
      <c r="AA231" s="4">
        <f>(Games[[#This Row],[Keff]]*Games[[#This Row],[MOVMult]])*(Games[[#This Row],[Result]]-Games[[#This Row],[ExpectedWin%]])</f>
        <v>8.2796133995976646</v>
      </c>
      <c r="AB231" s="4">
        <f>Games[[#This Row],[PreGmRate]]+Games[[#This Row],[RatingChange]]</f>
        <v>1649.4450780361487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42561</v>
      </c>
      <c r="B232" s="2">
        <v>2016</v>
      </c>
      <c r="C232" s="2">
        <f>COUNTIFS(Games[Team],Games[[#This Row],[Team]],Games[Season],Games[[#This Row],[Season]],Games[Date],"&lt;=" &amp; Games[[#This Row],[Date]])</f>
        <v>21</v>
      </c>
      <c r="D232" s="2" t="s">
        <v>81</v>
      </c>
      <c r="E232" s="2" t="s">
        <v>82</v>
      </c>
      <c r="F232" s="1" t="s">
        <v>40</v>
      </c>
      <c r="G232" s="1" t="s">
        <v>77</v>
      </c>
      <c r="H232" s="1" t="s">
        <v>83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1486.1287051454522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1484.8515301368659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0.38315200088709639</v>
      </c>
      <c r="R232" s="1">
        <v>95</v>
      </c>
      <c r="S232" s="1">
        <v>100</v>
      </c>
      <c r="T232" s="1">
        <v>0</v>
      </c>
      <c r="U232" s="1">
        <f>Games[[#This Row],[PointsFor]]-Games[[#This Row],[PointsAgainst]]</f>
        <v>-5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0.33140325882796512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72.849999999999994</v>
      </c>
      <c r="Z232" s="4">
        <f>Games[[#This Row],[K]]*Games[[#This Row],[POMult]]</f>
        <v>72.849999999999994</v>
      </c>
      <c r="AA232" s="4">
        <f>(Games[[#This Row],[Keff]]*Games[[#This Row],[MOVMult]])*(Games[[#This Row],[Result]]-Games[[#This Row],[ExpectedWin%]])</f>
        <v>-9.2503343123339903</v>
      </c>
      <c r="AB232" s="4">
        <f>Games[[#This Row],[PreGmRate]]+Games[[#This Row],[RatingChange]]</f>
        <v>1476.8783708331182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42561</v>
      </c>
      <c r="B233" s="2">
        <v>2016</v>
      </c>
      <c r="C233" s="2">
        <f>COUNTIFS(Games[Team],Games[[#This Row],[Team]],Games[Season],Games[[#This Row],[Season]],Games[Date],"&lt;=" &amp; Games[[#This Row],[Date]])</f>
        <v>19</v>
      </c>
      <c r="D233" s="2" t="s">
        <v>81</v>
      </c>
      <c r="E233" s="2" t="s">
        <v>82</v>
      </c>
      <c r="F233" s="1" t="s">
        <v>77</v>
      </c>
      <c r="G233" s="1" t="s">
        <v>40</v>
      </c>
      <c r="H233" s="1" t="s">
        <v>84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1484.8515301368659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1486.1287051454522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0.61684799911290367</v>
      </c>
      <c r="R233" s="1">
        <v>100</v>
      </c>
      <c r="S233" s="1">
        <v>95</v>
      </c>
      <c r="T233" s="1">
        <v>0</v>
      </c>
      <c r="U233" s="1">
        <f>Games[[#This Row],[PointsFor]]-Games[[#This Row],[PointsAgainst]]</f>
        <v>5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0.33140325882796512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9.2884276588501216</v>
      </c>
      <c r="AB233" s="4">
        <f>Games[[#This Row],[PreGmRate]]+Games[[#This Row],[RatingChange]]</f>
        <v>1494.1399577957161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42561</v>
      </c>
      <c r="B234" s="2">
        <v>2016</v>
      </c>
      <c r="C234" s="2">
        <f>COUNTIFS(Games[Team],Games[[#This Row],[Team]],Games[Season],Games[[#This Row],[Season]],Games[Date],"&lt;=" &amp; Games[[#This Row],[Date]])</f>
        <v>20</v>
      </c>
      <c r="D234" s="2" t="s">
        <v>81</v>
      </c>
      <c r="E234" s="2" t="s">
        <v>82</v>
      </c>
      <c r="F234" s="1" t="s">
        <v>79</v>
      </c>
      <c r="G234" s="1" t="s">
        <v>76</v>
      </c>
      <c r="H234" s="1" t="s">
        <v>83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4" s="2">
        <f>Games[[#This Row],[DaysOff]]-Games[[#This Row],[OppDaysOff]]</f>
        <v>-1</v>
      </c>
      <c r="L234" s="2">
        <f>Games[[#This Row],[OppDaysOff]]-Games[[#This Row],[DaysOff]]</f>
        <v>1</v>
      </c>
      <c r="M234" s="1">
        <f>MAX(-16, MIN(16, Games[[#This Row],[RestDiff]]*8))</f>
        <v>-8</v>
      </c>
      <c r="N234" s="1">
        <f>MAX(-16, MIN(16, Games[[#This Row],[OppRestDiff]]*8))</f>
        <v>8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1473.7183837845805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1385.1133966788584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0.48360713561074153</v>
      </c>
      <c r="R234" s="1">
        <v>67</v>
      </c>
      <c r="S234" s="1">
        <v>63</v>
      </c>
      <c r="T234" s="1">
        <v>0</v>
      </c>
      <c r="U234" s="1">
        <f>Games[[#This Row],[PointsFor]]-Games[[#This Row],[PointsAgainst]]</f>
        <v>4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0.29001849723090811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</v>
      </c>
      <c r="Z234" s="4">
        <f>Games[[#This Row],[K]]*Games[[#This Row],[POMult]]</f>
        <v>73</v>
      </c>
      <c r="AA234" s="4">
        <f>(Games[[#This Row],[Keff]]*Games[[#This Row],[MOVMult]])*(Games[[#This Row],[Result]]-Games[[#This Row],[ExpectedWin%]])</f>
        <v>10.932734223298391</v>
      </c>
      <c r="AB234" s="4">
        <f>Games[[#This Row],[PreGmRate]]+Games[[#This Row],[RatingChange]]</f>
        <v>1484.6511180078789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42561</v>
      </c>
      <c r="B235" s="2">
        <v>2016</v>
      </c>
      <c r="C235" s="2">
        <f>COUNTIFS(Games[Team],Games[[#This Row],[Team]],Games[Season],Games[[#This Row],[Season]],Games[Date],"&lt;=" &amp; Games[[#This Row],[Date]])</f>
        <v>19</v>
      </c>
      <c r="D235" s="2" t="s">
        <v>81</v>
      </c>
      <c r="E235" s="2" t="s">
        <v>82</v>
      </c>
      <c r="F235" s="1" t="s">
        <v>76</v>
      </c>
      <c r="G235" s="1" t="s">
        <v>79</v>
      </c>
      <c r="H235" s="1" t="s">
        <v>84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1</v>
      </c>
      <c r="L235" s="2">
        <f>Games[[#This Row],[OppDaysOff]]-Games[[#This Row],[DaysOff]]</f>
        <v>-1</v>
      </c>
      <c r="M235" s="1">
        <f>MAX(-16, MIN(16, Games[[#This Row],[RestDiff]]*8))</f>
        <v>8</v>
      </c>
      <c r="N235" s="1">
        <f>MAX(-16, MIN(16, Games[[#This Row],[OppRestDiff]]*8))</f>
        <v>-8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1385.1133966788584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1473.7183837845805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0.51639286438925858</v>
      </c>
      <c r="R235" s="1">
        <v>63</v>
      </c>
      <c r="S235" s="1">
        <v>67</v>
      </c>
      <c r="T235" s="1">
        <v>0</v>
      </c>
      <c r="U235" s="1">
        <f>Games[[#This Row],[PointsFor]]-Games[[#This Row],[PointsAgainst]]</f>
        <v>-4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0.29001849723090811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73.150000000000006</v>
      </c>
      <c r="Z235" s="4">
        <f>Games[[#This Row],[K]]*Games[[#This Row],[POMult]]</f>
        <v>73.150000000000006</v>
      </c>
      <c r="AA235" s="4">
        <f>(Games[[#This Row],[Keff]]*Games[[#This Row],[MOVMult]])*(Games[[#This Row],[Result]]-Games[[#This Row],[ExpectedWin%]])</f>
        <v>-10.955198745675036</v>
      </c>
      <c r="AB235" s="4">
        <f>Games[[#This Row],[PreGmRate]]+Games[[#This Row],[RatingChange]]</f>
        <v>1374.1581979331834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42561</v>
      </c>
      <c r="B236" s="2">
        <v>2016</v>
      </c>
      <c r="C236" s="2">
        <f>COUNTIFS(Games[Team],Games[[#This Row],[Team]],Games[Season],Games[[#This Row],[Season]],Games[Date],"&lt;=" &amp; Games[[#This Row],[Date]])</f>
        <v>20</v>
      </c>
      <c r="D236" s="2" t="s">
        <v>81</v>
      </c>
      <c r="E236" s="2" t="s">
        <v>82</v>
      </c>
      <c r="F236" s="1" t="s">
        <v>65</v>
      </c>
      <c r="G236" s="1" t="s">
        <v>63</v>
      </c>
      <c r="H236" s="1" t="s">
        <v>83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1492.2118894821961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1680.249809714988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0.1727907802314208</v>
      </c>
      <c r="R236" s="1">
        <v>82</v>
      </c>
      <c r="S236" s="1">
        <v>93</v>
      </c>
      <c r="T236" s="1">
        <v>0</v>
      </c>
      <c r="U236" s="1">
        <f>Games[[#This Row],[PointsFor]]-Games[[#This Row],[PointsAgainst]]</f>
        <v>-11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0.38025125727158682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-4.7963855342393433</v>
      </c>
      <c r="AB236" s="4">
        <f>Games[[#This Row],[PreGmRate]]+Games[[#This Row],[RatingChange]]</f>
        <v>1487.4155039479567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42561</v>
      </c>
      <c r="B237" s="2">
        <v>2016</v>
      </c>
      <c r="C237" s="2">
        <f>COUNTIFS(Games[Team],Games[[#This Row],[Team]],Games[Season],Games[[#This Row],[Season]],Games[Date],"&lt;=" &amp; Games[[#This Row],[Date]])</f>
        <v>19</v>
      </c>
      <c r="D237" s="2" t="s">
        <v>81</v>
      </c>
      <c r="E237" s="2" t="s">
        <v>82</v>
      </c>
      <c r="F237" s="1" t="s">
        <v>63</v>
      </c>
      <c r="G237" s="1" t="s">
        <v>65</v>
      </c>
      <c r="H237" s="1" t="s">
        <v>84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1680.249809714988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1492.2118894821961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0.8272092197685792</v>
      </c>
      <c r="R237" s="1">
        <v>93</v>
      </c>
      <c r="S237" s="1">
        <v>82</v>
      </c>
      <c r="T237" s="1">
        <v>0</v>
      </c>
      <c r="U237" s="1">
        <f>Games[[#This Row],[PointsFor]]-Games[[#This Row],[PointsAgainst]]</f>
        <v>11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0.38025125727158682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4.8062411209535343</v>
      </c>
      <c r="AB237" s="4">
        <f>Games[[#This Row],[PreGmRate]]+Games[[#This Row],[RatingChange]]</f>
        <v>1685.0560508359415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42561</v>
      </c>
      <c r="B238" s="2">
        <v>2016</v>
      </c>
      <c r="C238" s="2">
        <f>COUNTIFS(Games[Team],Games[[#This Row],[Team]],Games[Season],Games[[#This Row],[Season]],Games[Date],"&lt;=" &amp; Games[[#This Row],[Date]])</f>
        <v>20</v>
      </c>
      <c r="D238" s="2" t="s">
        <v>81</v>
      </c>
      <c r="E238" s="2" t="s">
        <v>82</v>
      </c>
      <c r="F238" s="1" t="s">
        <v>74</v>
      </c>
      <c r="G238" s="1" t="s">
        <v>60</v>
      </c>
      <c r="H238" s="1" t="s">
        <v>83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1347.9656233368996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1606.4971522876142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0.12219890045265611</v>
      </c>
      <c r="R238" s="1">
        <v>65</v>
      </c>
      <c r="S238" s="1">
        <v>75</v>
      </c>
      <c r="T238" s="1">
        <v>0</v>
      </c>
      <c r="U238" s="1">
        <f>Games[[#This Row],[PointsFor]]-Games[[#This Row],[PointsAgainst]]</f>
        <v>-10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0.34812798291993474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</v>
      </c>
      <c r="Z238" s="4">
        <f>Games[[#This Row],[K]]*Games[[#This Row],[POMult]]</f>
        <v>73</v>
      </c>
      <c r="AA238" s="4">
        <f>(Games[[#This Row],[Keff]]*Games[[#This Row],[MOVMult]])*(Games[[#This Row],[Result]]-Games[[#This Row],[ExpectedWin%]])</f>
        <v>-3.1054825412620461</v>
      </c>
      <c r="AB238" s="4">
        <f>Games[[#This Row],[PreGmRate]]+Games[[#This Row],[RatingChange]]</f>
        <v>1344.8601407956376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42561</v>
      </c>
      <c r="B239" s="2">
        <v>2016</v>
      </c>
      <c r="C239" s="2">
        <f>COUNTIFS(Games[Team],Games[[#This Row],[Team]],Games[Season],Games[[#This Row],[Season]],Games[Date],"&lt;=" &amp; Games[[#This Row],[Date]])</f>
        <v>21</v>
      </c>
      <c r="D239" s="2" t="s">
        <v>81</v>
      </c>
      <c r="E239" s="2" t="s">
        <v>82</v>
      </c>
      <c r="F239" s="1" t="s">
        <v>60</v>
      </c>
      <c r="G239" s="1" t="s">
        <v>74</v>
      </c>
      <c r="H239" s="1" t="s">
        <v>84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1606.4971522876142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1347.9656233368996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0.87780109954734398</v>
      </c>
      <c r="R239" s="1">
        <v>75</v>
      </c>
      <c r="S239" s="1">
        <v>65</v>
      </c>
      <c r="T239" s="1">
        <v>0</v>
      </c>
      <c r="U239" s="1">
        <f>Games[[#This Row],[PointsFor]]-Games[[#This Row],[PointsAgainst]]</f>
        <v>10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0.34812798291993474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72.849999999999994</v>
      </c>
      <c r="Z239" s="4">
        <f>Games[[#This Row],[K]]*Games[[#This Row],[POMult]]</f>
        <v>72.849999999999994</v>
      </c>
      <c r="AA239" s="4">
        <f>(Games[[#This Row],[Keff]]*Games[[#This Row],[MOVMult]])*(Games[[#This Row],[Result]]-Games[[#This Row],[ExpectedWin%]])</f>
        <v>3.0991014127526015</v>
      </c>
      <c r="AB239" s="4">
        <f>Games[[#This Row],[PreGmRate]]+Games[[#This Row],[RatingChange]]</f>
        <v>1609.5962537003668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42561</v>
      </c>
      <c r="B240" s="2">
        <v>2016</v>
      </c>
      <c r="C240" s="2">
        <f>COUNTIFS(Games[Team],Games[[#This Row],[Team]],Games[Season],Games[[#This Row],[Season]],Games[Date],"&lt;=" &amp; Games[[#This Row],[Date]])</f>
        <v>20</v>
      </c>
      <c r="D240" s="2" t="s">
        <v>81</v>
      </c>
      <c r="E240" s="2" t="s">
        <v>82</v>
      </c>
      <c r="F240" s="1" t="s">
        <v>69</v>
      </c>
      <c r="G240" s="1" t="s">
        <v>71</v>
      </c>
      <c r="H240" s="1" t="s">
        <v>83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1524.2902459913269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1417.4334303947967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0.53284622977697516</v>
      </c>
      <c r="R240" s="1">
        <v>93</v>
      </c>
      <c r="S240" s="1">
        <v>82</v>
      </c>
      <c r="T240" s="1">
        <v>0</v>
      </c>
      <c r="U240" s="1">
        <f>Games[[#This Row],[PointsFor]]-Games[[#This Row],[PointsAgainst]]</f>
        <v>11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0.40387222074381246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</v>
      </c>
      <c r="Z240" s="4">
        <f>Games[[#This Row],[K]]*Games[[#This Row],[POMult]]</f>
        <v>73</v>
      </c>
      <c r="AA240" s="4">
        <f>(Games[[#This Row],[Keff]]*Games[[#This Row],[MOVMult]])*(Games[[#This Row],[Result]]-Games[[#This Row],[ExpectedWin%]])</f>
        <v>13.772941434443695</v>
      </c>
      <c r="AB240" s="4">
        <f>Games[[#This Row],[PreGmRate]]+Games[[#This Row],[RatingChange]]</f>
        <v>1538.0631874257706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42561</v>
      </c>
      <c r="B241" s="2">
        <v>2016</v>
      </c>
      <c r="C241" s="2">
        <f>COUNTIFS(Games[Team],Games[[#This Row],[Team]],Games[Season],Games[[#This Row],[Season]],Games[Date],"&lt;=" &amp; Games[[#This Row],[Date]])</f>
        <v>20</v>
      </c>
      <c r="D241" s="2" t="s">
        <v>81</v>
      </c>
      <c r="E241" s="2" t="s">
        <v>82</v>
      </c>
      <c r="F241" s="1" t="s">
        <v>71</v>
      </c>
      <c r="G241" s="1" t="s">
        <v>69</v>
      </c>
      <c r="H241" s="1" t="s">
        <v>84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1417.4334303947967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1524.2902459913269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0.46715377022302484</v>
      </c>
      <c r="R241" s="1">
        <v>82</v>
      </c>
      <c r="S241" s="1">
        <v>93</v>
      </c>
      <c r="T241" s="1">
        <v>0</v>
      </c>
      <c r="U241" s="1">
        <f>Games[[#This Row],[PointsFor]]-Games[[#This Row],[PointsAgainst]]</f>
        <v>-11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0.40387222074381246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</v>
      </c>
      <c r="Z241" s="4">
        <f>Games[[#This Row],[K]]*Games[[#This Row],[POMult]]</f>
        <v>73</v>
      </c>
      <c r="AA241" s="4">
        <f>(Games[[#This Row],[Keff]]*Games[[#This Row],[MOVMult]])*(Games[[#This Row],[Result]]-Games[[#This Row],[ExpectedWin%]])</f>
        <v>-13.772941434443695</v>
      </c>
      <c r="AB241" s="4">
        <f>Games[[#This Row],[PreGmRate]]+Games[[#This Row],[RatingChange]]</f>
        <v>1403.660488960353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42563</v>
      </c>
      <c r="B242" s="2">
        <v>2016</v>
      </c>
      <c r="C242" s="2">
        <f>COUNTIFS(Games[Team],Games[[#This Row],[Team]],Games[Season],Games[[#This Row],[Season]],Games[Date],"&lt;=" &amp; Games[[#This Row],[Date]])</f>
        <v>21</v>
      </c>
      <c r="D242" s="2" t="s">
        <v>81</v>
      </c>
      <c r="E242" s="2" t="s">
        <v>82</v>
      </c>
      <c r="F242" s="1" t="s">
        <v>67</v>
      </c>
      <c r="G242" s="1" t="s">
        <v>74</v>
      </c>
      <c r="H242" s="1" t="s">
        <v>83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2" s="2">
        <f>Games[[#This Row],[DaysOff]]-Games[[#This Row],[OppDaysOff]]</f>
        <v>1</v>
      </c>
      <c r="L242" s="2">
        <f>Games[[#This Row],[OppDaysOff]]-Games[[#This Row],[DaysOff]]</f>
        <v>-1</v>
      </c>
      <c r="M242" s="1">
        <f>MAX(-16, MIN(16, Games[[#This Row],[RestDiff]]*8))</f>
        <v>8</v>
      </c>
      <c r="N242" s="1">
        <f>MAX(-16, MIN(16, Games[[#This Row],[OppRestDiff]]*8))</f>
        <v>-8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1649.4450780361487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1344.8601407956376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0.7960670859876291</v>
      </c>
      <c r="R242" s="1">
        <v>81</v>
      </c>
      <c r="S242" s="1">
        <v>57</v>
      </c>
      <c r="T242" s="1">
        <v>0</v>
      </c>
      <c r="U242" s="1">
        <f>Games[[#This Row],[PointsFor]]-Games[[#This Row],[PointsAgainst]]</f>
        <v>24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0.50121272563106667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72.849999999999994</v>
      </c>
      <c r="Z242" s="4">
        <f>Games[[#This Row],[K]]*Games[[#This Row],[POMult]]</f>
        <v>72.849999999999994</v>
      </c>
      <c r="AA242" s="4">
        <f>(Games[[#This Row],[Keff]]*Games[[#This Row],[MOVMult]])*(Games[[#This Row],[Result]]-Games[[#This Row],[ExpectedWin%]])</f>
        <v>7.4462732667442202</v>
      </c>
      <c r="AB242" s="4">
        <f>Games[[#This Row],[PreGmRate]]+Games[[#This Row],[RatingChange]]</f>
        <v>1656.8913513028929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42563</v>
      </c>
      <c r="B243" s="2">
        <v>2016</v>
      </c>
      <c r="C243" s="2">
        <f>COUNTIFS(Games[Team],Games[[#This Row],[Team]],Games[Season],Games[[#This Row],[Season]],Games[Date],"&lt;=" &amp; Games[[#This Row],[Date]])</f>
        <v>21</v>
      </c>
      <c r="D243" s="2" t="s">
        <v>81</v>
      </c>
      <c r="E243" s="2" t="s">
        <v>82</v>
      </c>
      <c r="F243" s="1" t="s">
        <v>74</v>
      </c>
      <c r="G243" s="1" t="s">
        <v>67</v>
      </c>
      <c r="H243" s="1" t="s">
        <v>84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3" s="2">
        <f>Games[[#This Row],[DaysOff]]-Games[[#This Row],[OppDaysOff]]</f>
        <v>-1</v>
      </c>
      <c r="L243" s="2">
        <f>Games[[#This Row],[OppDaysOff]]-Games[[#This Row],[DaysOff]]</f>
        <v>1</v>
      </c>
      <c r="M243" s="1">
        <f>MAX(-16, MIN(16, Games[[#This Row],[RestDiff]]*8))</f>
        <v>-8</v>
      </c>
      <c r="N243" s="1">
        <f>MAX(-16, MIN(16, Games[[#This Row],[OppRestDiff]]*8))</f>
        <v>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1344.8601407956376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1649.4450780361487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0.20393291401237099</v>
      </c>
      <c r="R243" s="1">
        <v>57</v>
      </c>
      <c r="S243" s="1">
        <v>81</v>
      </c>
      <c r="T243" s="1">
        <v>0</v>
      </c>
      <c r="U243" s="1">
        <f>Games[[#This Row],[PointsFor]]-Games[[#This Row],[PointsAgainst]]</f>
        <v>-24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0.50121272563106667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-7.4462732667442237</v>
      </c>
      <c r="AB243" s="4">
        <f>Games[[#This Row],[PreGmRate]]+Games[[#This Row],[RatingChange]]</f>
        <v>1337.4138675288934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42564</v>
      </c>
      <c r="B244" s="2">
        <v>2016</v>
      </c>
      <c r="C244" s="2">
        <f>COUNTIFS(Games[Team],Games[[#This Row],[Team]],Games[Season],Games[[#This Row],[Season]],Games[Date],"&lt;=" &amp; Games[[#This Row],[Date]])</f>
        <v>20</v>
      </c>
      <c r="D244" s="2" t="s">
        <v>81</v>
      </c>
      <c r="E244" s="2" t="s">
        <v>82</v>
      </c>
      <c r="F244" s="1" t="s">
        <v>63</v>
      </c>
      <c r="G244" s="1" t="s">
        <v>77</v>
      </c>
      <c r="H244" s="1" t="s">
        <v>83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1685.0560508359415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1494.1399577957161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0.64918495309999291</v>
      </c>
      <c r="R244" s="1">
        <v>77</v>
      </c>
      <c r="S244" s="1">
        <v>67</v>
      </c>
      <c r="T244" s="1">
        <v>0</v>
      </c>
      <c r="U244" s="1">
        <f>Games[[#This Row],[PointsFor]]-Games[[#This Row],[PointsAgainst]]</f>
        <v>10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0.36505123618844804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</v>
      </c>
      <c r="Z244" s="4">
        <f>Games[[#This Row],[K]]*Games[[#This Row],[POMult]]</f>
        <v>73</v>
      </c>
      <c r="AA244" s="4">
        <f>(Games[[#This Row],[Keff]]*Games[[#This Row],[MOVMult]])*(Games[[#This Row],[Result]]-Games[[#This Row],[ExpectedWin%]])</f>
        <v>9.3487790577379855</v>
      </c>
      <c r="AB244" s="4">
        <f>Games[[#This Row],[PreGmRate]]+Games[[#This Row],[RatingChange]]</f>
        <v>1694.4048298936796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42564</v>
      </c>
      <c r="B245" s="2">
        <v>2016</v>
      </c>
      <c r="C245" s="2">
        <f>COUNTIFS(Games[Team],Games[[#This Row],[Team]],Games[Season],Games[[#This Row],[Season]],Games[Date],"&lt;=" &amp; Games[[#This Row],[Date]])</f>
        <v>20</v>
      </c>
      <c r="D245" s="2" t="s">
        <v>81</v>
      </c>
      <c r="E245" s="2" t="s">
        <v>82</v>
      </c>
      <c r="F245" s="1" t="s">
        <v>77</v>
      </c>
      <c r="G245" s="1" t="s">
        <v>63</v>
      </c>
      <c r="H245" s="1" t="s">
        <v>84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1494.1399577957161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1685.0560508359415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0.35081504690000709</v>
      </c>
      <c r="R245" s="1">
        <v>67</v>
      </c>
      <c r="S245" s="1">
        <v>77</v>
      </c>
      <c r="T245" s="1">
        <v>0</v>
      </c>
      <c r="U245" s="1">
        <f>Games[[#This Row],[PointsFor]]-Games[[#This Row],[PointsAgainst]]</f>
        <v>-10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0.36505123618844804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</v>
      </c>
      <c r="Z245" s="4">
        <f>Games[[#This Row],[K]]*Games[[#This Row],[POMult]]</f>
        <v>73</v>
      </c>
      <c r="AA245" s="4">
        <f>(Games[[#This Row],[Keff]]*Games[[#This Row],[MOVMult]])*(Games[[#This Row],[Result]]-Games[[#This Row],[ExpectedWin%]])</f>
        <v>-9.3487790577379855</v>
      </c>
      <c r="AB245" s="4">
        <f>Games[[#This Row],[PreGmRate]]+Games[[#This Row],[RatingChange]]</f>
        <v>1484.791178737978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42564</v>
      </c>
      <c r="B246" s="2">
        <v>2016</v>
      </c>
      <c r="C246" s="2">
        <f>COUNTIFS(Games[Team],Games[[#This Row],[Team]],Games[Season],Games[[#This Row],[Season]],Games[Date],"&lt;=" &amp; Games[[#This Row],[Date]])</f>
        <v>20</v>
      </c>
      <c r="D246" s="2" t="s">
        <v>81</v>
      </c>
      <c r="E246" s="2" t="s">
        <v>82</v>
      </c>
      <c r="F246" s="1" t="s">
        <v>76</v>
      </c>
      <c r="G246" s="1" t="s">
        <v>69</v>
      </c>
      <c r="H246" s="1" t="s">
        <v>83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1374.1581979331834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1538.0631874257706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0.19355783406110463</v>
      </c>
      <c r="R246" s="1">
        <v>86</v>
      </c>
      <c r="S246" s="1">
        <v>64</v>
      </c>
      <c r="T246" s="1">
        <v>0</v>
      </c>
      <c r="U246" s="1">
        <f>Games[[#This Row],[PointsFor]]-Games[[#This Row],[PointsAgainst]]</f>
        <v>22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0.52970508294202134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</v>
      </c>
      <c r="Z246" s="4">
        <f>Games[[#This Row],[K]]*Games[[#This Row],[POMult]]</f>
        <v>73</v>
      </c>
      <c r="AA246" s="4">
        <f>(Games[[#This Row],[Keff]]*Games[[#This Row],[MOVMult]])*(Games[[#This Row],[Result]]-Games[[#This Row],[ExpectedWin%]])</f>
        <v>31.183885550952233</v>
      </c>
      <c r="AB246" s="4">
        <f>Games[[#This Row],[PreGmRate]]+Games[[#This Row],[RatingChange]]</f>
        <v>1405.3420834841356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42564</v>
      </c>
      <c r="B247" s="2">
        <v>2016</v>
      </c>
      <c r="C247" s="2">
        <f>COUNTIFS(Games[Team],Games[[#This Row],[Team]],Games[Season],Games[[#This Row],[Season]],Games[Date],"&lt;=" &amp; Games[[#This Row],[Date]])</f>
        <v>21</v>
      </c>
      <c r="D247" s="2" t="s">
        <v>81</v>
      </c>
      <c r="E247" s="2" t="s">
        <v>82</v>
      </c>
      <c r="F247" s="1" t="s">
        <v>69</v>
      </c>
      <c r="G247" s="1" t="s">
        <v>76</v>
      </c>
      <c r="H247" s="1" t="s">
        <v>84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1538.0631874257706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1374.1581979331834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0.80644216593889528</v>
      </c>
      <c r="R247" s="1">
        <v>64</v>
      </c>
      <c r="S247" s="1">
        <v>86</v>
      </c>
      <c r="T247" s="1">
        <v>0</v>
      </c>
      <c r="U247" s="1">
        <f>Games[[#This Row],[PointsFor]]-Games[[#This Row],[PointsAgainst]]</f>
        <v>-22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0.52970508294202134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72.849999999999994</v>
      </c>
      <c r="Z247" s="4">
        <f>Games[[#This Row],[K]]*Games[[#This Row],[POMult]]</f>
        <v>72.849999999999994</v>
      </c>
      <c r="AA247" s="4">
        <f>(Games[[#This Row],[Keff]]*Games[[#This Row],[MOVMult]])*(Games[[#This Row],[Result]]-Games[[#This Row],[ExpectedWin%]])</f>
        <v>-31.119809073792734</v>
      </c>
      <c r="AB247" s="4">
        <f>Games[[#This Row],[PreGmRate]]+Games[[#This Row],[RatingChange]]</f>
        <v>1506.9433783519778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42564</v>
      </c>
      <c r="B248" s="2">
        <v>2016</v>
      </c>
      <c r="C248" s="2">
        <f>COUNTIFS(Games[Team],Games[[#This Row],[Team]],Games[Season],Games[[#This Row],[Season]],Games[Date],"&lt;=" &amp; Games[[#This Row],[Date]])</f>
        <v>21</v>
      </c>
      <c r="D248" s="2" t="s">
        <v>81</v>
      </c>
      <c r="E248" s="2" t="s">
        <v>82</v>
      </c>
      <c r="F248" s="1" t="s">
        <v>79</v>
      </c>
      <c r="G248" s="1" t="s">
        <v>60</v>
      </c>
      <c r="H248" s="1" t="s">
        <v>83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">
        <f>MAX(-16, MIN(16, Games[[#This Row],[RestDiff]]*8))</f>
        <v>0</v>
      </c>
      <c r="N248" s="1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1484.6511180078789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1609.5962537003668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0.23098017115106925</v>
      </c>
      <c r="R248" s="1">
        <v>62</v>
      </c>
      <c r="S248" s="1">
        <v>86</v>
      </c>
      <c r="T248" s="1">
        <v>0</v>
      </c>
      <c r="U248" s="1">
        <f>Games[[#This Row],[PointsFor]]-Games[[#This Row],[PointsAgainst]]</f>
        <v>-24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0.56916856179378461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72.849999999999994</v>
      </c>
      <c r="Z248" s="4">
        <f>Games[[#This Row],[K]]*Games[[#This Row],[POMult]]</f>
        <v>72.849999999999994</v>
      </c>
      <c r="AA248" s="4">
        <f>(Games[[#This Row],[Keff]]*Games[[#This Row],[MOVMult]])*(Games[[#This Row],[Result]]-Games[[#This Row],[ExpectedWin%]])</f>
        <v>-9.57734558486381</v>
      </c>
      <c r="AB248" s="4">
        <f>Games[[#This Row],[PreGmRate]]+Games[[#This Row],[RatingChange]]</f>
        <v>1475.073772423015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42564</v>
      </c>
      <c r="B249" s="2">
        <v>2016</v>
      </c>
      <c r="C249" s="2">
        <f>COUNTIFS(Games[Team],Games[[#This Row],[Team]],Games[Season],Games[[#This Row],[Season]],Games[Date],"&lt;=" &amp; Games[[#This Row],[Date]])</f>
        <v>22</v>
      </c>
      <c r="D249" s="2" t="s">
        <v>81</v>
      </c>
      <c r="E249" s="2" t="s">
        <v>82</v>
      </c>
      <c r="F249" s="1" t="s">
        <v>60</v>
      </c>
      <c r="G249" s="1" t="s">
        <v>79</v>
      </c>
      <c r="H249" s="1" t="s">
        <v>84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">
        <f>MAX(-16, MIN(16, Games[[#This Row],[RestDiff]]*8))</f>
        <v>0</v>
      </c>
      <c r="N249" s="1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1609.5962537003668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1484.6511180078789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0.76901982884893072</v>
      </c>
      <c r="R249" s="1">
        <v>86</v>
      </c>
      <c r="S249" s="1">
        <v>62</v>
      </c>
      <c r="T249" s="1">
        <v>0</v>
      </c>
      <c r="U249" s="1">
        <f>Games[[#This Row],[PointsFor]]-Games[[#This Row],[PointsAgainst]]</f>
        <v>24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0.56916856179378461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72.7</v>
      </c>
      <c r="Z249" s="4">
        <f>Games[[#This Row],[K]]*Games[[#This Row],[POMult]]</f>
        <v>72.7</v>
      </c>
      <c r="AA249" s="4">
        <f>(Games[[#This Row],[Keff]]*Games[[#This Row],[MOVMult]])*(Games[[#This Row],[Result]]-Games[[#This Row],[ExpectedWin%]])</f>
        <v>9.5576255870912714</v>
      </c>
      <c r="AB249" s="4">
        <f>Games[[#This Row],[PreGmRate]]+Games[[#This Row],[RatingChange]]</f>
        <v>1619.153879287458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42564</v>
      </c>
      <c r="B250" s="2">
        <v>2016</v>
      </c>
      <c r="C250" s="2">
        <f>COUNTIFS(Games[Team],Games[[#This Row],[Team]],Games[Season],Games[[#This Row],[Season]],Games[Date],"&lt;=" &amp; Games[[#This Row],[Date]])</f>
        <v>21</v>
      </c>
      <c r="D250" s="2" t="s">
        <v>81</v>
      </c>
      <c r="E250" s="2" t="s">
        <v>82</v>
      </c>
      <c r="F250" s="1" t="s">
        <v>65</v>
      </c>
      <c r="G250" s="1" t="s">
        <v>40</v>
      </c>
      <c r="H250" s="1" t="s">
        <v>83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1487.4155039479567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1476.8783708331182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0.3958263012590057</v>
      </c>
      <c r="R250" s="1">
        <v>74</v>
      </c>
      <c r="S250" s="1">
        <v>78</v>
      </c>
      <c r="T250" s="1">
        <v>0</v>
      </c>
      <c r="U250" s="1">
        <f>Games[[#This Row],[PointsFor]]-Games[[#This Row],[PointsAgainst]]</f>
        <v>-4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0.30872186541113072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-8.9022870544376751</v>
      </c>
      <c r="AB250" s="4">
        <f>Games[[#This Row],[PreGmRate]]+Games[[#This Row],[RatingChange]]</f>
        <v>1478.513216893519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42564</v>
      </c>
      <c r="B251" s="2">
        <v>2016</v>
      </c>
      <c r="C251" s="2">
        <f>COUNTIFS(Games[Team],Games[[#This Row],[Team]],Games[Season],Games[[#This Row],[Season]],Games[Date],"&lt;=" &amp; Games[[#This Row],[Date]])</f>
        <v>22</v>
      </c>
      <c r="D251" s="2" t="s">
        <v>81</v>
      </c>
      <c r="E251" s="2" t="s">
        <v>82</v>
      </c>
      <c r="F251" s="1" t="s">
        <v>40</v>
      </c>
      <c r="G251" s="1" t="s">
        <v>65</v>
      </c>
      <c r="H251" s="1" t="s">
        <v>84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1476.8783708331182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1487.4155039479567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0.60417369874099425</v>
      </c>
      <c r="R251" s="1">
        <v>78</v>
      </c>
      <c r="S251" s="1">
        <v>74</v>
      </c>
      <c r="T251" s="1">
        <v>0</v>
      </c>
      <c r="U251" s="1">
        <f>Games[[#This Row],[PointsFor]]-Games[[#This Row],[PointsAgainst]]</f>
        <v>4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0.30872186541113072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72.7</v>
      </c>
      <c r="Z251" s="4">
        <f>Games[[#This Row],[K]]*Games[[#This Row],[POMult]]</f>
        <v>72.7</v>
      </c>
      <c r="AA251" s="4">
        <f>(Games[[#This Row],[Keff]]*Games[[#This Row],[MOVMult]])*(Games[[#This Row],[Result]]-Games[[#This Row],[ExpectedWin%]])</f>
        <v>8.8839570193221569</v>
      </c>
      <c r="AB251" s="4">
        <f>Games[[#This Row],[PreGmRate]]+Games[[#This Row],[RatingChange]]</f>
        <v>1485.7623278524404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42566</v>
      </c>
      <c r="B252" s="2">
        <v>2016</v>
      </c>
      <c r="C252" s="2">
        <f>COUNTIFS(Games[Team],Games[[#This Row],[Team]],Games[Season],Games[[#This Row],[Season]],Games[Date],"&lt;=" &amp; Games[[#This Row],[Date]])</f>
        <v>22</v>
      </c>
      <c r="D252" s="2" t="s">
        <v>81</v>
      </c>
      <c r="E252" s="2" t="s">
        <v>82</v>
      </c>
      <c r="F252" s="1" t="s">
        <v>87</v>
      </c>
      <c r="G252" s="1" t="s">
        <v>77</v>
      </c>
      <c r="H252" s="1" t="s">
        <v>83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4</v>
      </c>
      <c r="L252" s="2">
        <f>Games[[#This Row],[OppDaysOff]]-Games[[#This Row],[DaysOff]]</f>
        <v>-4</v>
      </c>
      <c r="M252" s="1">
        <f>MAX(-16, MIN(16, Games[[#This Row],[RestDiff]]*8))</f>
        <v>16</v>
      </c>
      <c r="N252" s="1">
        <f>MAX(-16, MIN(16, Games[[#This Row],[OppRestDiff]]*8))</f>
        <v>-16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1452.7471577649621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1484.791178737978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0.3813560918667433</v>
      </c>
      <c r="R252" s="1">
        <v>77</v>
      </c>
      <c r="S252" s="1">
        <v>84</v>
      </c>
      <c r="T252" s="1">
        <v>0</v>
      </c>
      <c r="U252" s="1">
        <f>Games[[#This Row],[PointsFor]]-Games[[#This Row],[PointsAgainst]]</f>
        <v>-7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0.36048111871346139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72.7</v>
      </c>
      <c r="Z252" s="4">
        <f>Games[[#This Row],[K]]*Games[[#This Row],[POMult]]</f>
        <v>72.7</v>
      </c>
      <c r="AA252" s="4">
        <f>(Games[[#This Row],[Keff]]*Games[[#This Row],[MOVMult]])*(Games[[#This Row],[Result]]-Games[[#This Row],[ExpectedWin%]])</f>
        <v>-9.9941904543878586</v>
      </c>
      <c r="AB252" s="4">
        <f>Games[[#This Row],[PreGmRate]]+Games[[#This Row],[RatingChange]]</f>
        <v>1442.7529673105744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42566</v>
      </c>
      <c r="B253" s="2">
        <v>2016</v>
      </c>
      <c r="C253" s="2">
        <f>COUNTIFS(Games[Team],Games[[#This Row],[Team]],Games[Season],Games[[#This Row],[Season]],Games[Date],"&lt;=" &amp; Games[[#This Row],[Date]])</f>
        <v>21</v>
      </c>
      <c r="D253" s="2" t="s">
        <v>81</v>
      </c>
      <c r="E253" s="2" t="s">
        <v>82</v>
      </c>
      <c r="F253" s="1" t="s">
        <v>77</v>
      </c>
      <c r="G253" s="1" t="s">
        <v>87</v>
      </c>
      <c r="H253" s="1" t="s">
        <v>84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3" s="2">
        <f>Games[[#This Row],[DaysOff]]-Games[[#This Row],[OppDaysOff]]</f>
        <v>-4</v>
      </c>
      <c r="L253" s="2">
        <f>Games[[#This Row],[OppDaysOff]]-Games[[#This Row],[DaysOff]]</f>
        <v>4</v>
      </c>
      <c r="M253" s="1">
        <f>MAX(-16, MIN(16, Games[[#This Row],[RestDiff]]*8))</f>
        <v>-16</v>
      </c>
      <c r="N253" s="1">
        <f>MAX(-16, MIN(16, Games[[#This Row],[OppRestDiff]]*8))</f>
        <v>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1484.791178737978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1452.7471577649621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0.61864390813325665</v>
      </c>
      <c r="R253" s="1">
        <v>84</v>
      </c>
      <c r="S253" s="1">
        <v>77</v>
      </c>
      <c r="T253" s="1">
        <v>0</v>
      </c>
      <c r="U253" s="1">
        <f>Games[[#This Row],[PointsFor]]-Games[[#This Row],[PointsAgainst]]</f>
        <v>7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0.36048111871346139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72.849999999999994</v>
      </c>
      <c r="Z253" s="4">
        <f>Games[[#This Row],[K]]*Games[[#This Row],[POMult]]</f>
        <v>72.849999999999994</v>
      </c>
      <c r="AA253" s="4">
        <f>(Games[[#This Row],[Keff]]*Games[[#This Row],[MOVMult]])*(Games[[#This Row],[Result]]-Games[[#This Row],[ExpectedWin%]])</f>
        <v>10.014811204981507</v>
      </c>
      <c r="AB253" s="4">
        <f>Games[[#This Row],[PreGmRate]]+Games[[#This Row],[RatingChange]]</f>
        <v>1494.8059899429595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42566</v>
      </c>
      <c r="B254" s="2">
        <v>2016</v>
      </c>
      <c r="C254" s="2">
        <f>COUNTIFS(Games[Team],Games[[#This Row],[Team]],Games[Season],Games[[#This Row],[Season]],Games[Date],"&lt;=" &amp; Games[[#This Row],[Date]])</f>
        <v>21</v>
      </c>
      <c r="D254" s="2" t="s">
        <v>81</v>
      </c>
      <c r="E254" s="2" t="s">
        <v>82</v>
      </c>
      <c r="F254" s="1" t="s">
        <v>63</v>
      </c>
      <c r="G254" s="1" t="s">
        <v>76</v>
      </c>
      <c r="H254" s="1" t="s">
        <v>83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1694.4048298936796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1405.3420834841356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0.76502619900925639</v>
      </c>
      <c r="R254" s="1">
        <v>98</v>
      </c>
      <c r="S254" s="1">
        <v>92</v>
      </c>
      <c r="T254" s="1">
        <v>1</v>
      </c>
      <c r="U254" s="1">
        <f>Games[[#This Row],[PointsFor]]-Games[[#This Row],[PointsAgainst]]</f>
        <v>6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0.2547798760616683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4.3612815108896115</v>
      </c>
      <c r="AB254" s="4">
        <f>Games[[#This Row],[PreGmRate]]+Games[[#This Row],[RatingChange]]</f>
        <v>1698.7661114045691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42566</v>
      </c>
      <c r="B255" s="2">
        <v>2016</v>
      </c>
      <c r="C255" s="2">
        <f>COUNTIFS(Games[Team],Games[[#This Row],[Team]],Games[Season],Games[[#This Row],[Season]],Games[Date],"&lt;=" &amp; Games[[#This Row],[Date]])</f>
        <v>21</v>
      </c>
      <c r="D255" s="2" t="s">
        <v>81</v>
      </c>
      <c r="E255" s="2" t="s">
        <v>82</v>
      </c>
      <c r="F255" s="1" t="s">
        <v>76</v>
      </c>
      <c r="G255" s="1" t="s">
        <v>63</v>
      </c>
      <c r="H255" s="1" t="s">
        <v>84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1405.3420834841356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1694.4048298936796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0.23497380099074364</v>
      </c>
      <c r="R255" s="1">
        <v>92</v>
      </c>
      <c r="S255" s="1">
        <v>98</v>
      </c>
      <c r="T255" s="1">
        <v>1</v>
      </c>
      <c r="U255" s="1">
        <f>Games[[#This Row],[PointsFor]]-Games[[#This Row],[PointsAgainst]]</f>
        <v>-6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0.2547798760616683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72.849999999999994</v>
      </c>
      <c r="Z255" s="4">
        <f>Games[[#This Row],[K]]*Games[[#This Row],[POMult]]</f>
        <v>72.849999999999994</v>
      </c>
      <c r="AA255" s="4">
        <f>(Games[[#This Row],[Keff]]*Games[[#This Row],[MOVMult]])*(Games[[#This Row],[Result]]-Games[[#This Row],[ExpectedWin%]])</f>
        <v>-4.3612815108896115</v>
      </c>
      <c r="AB255" s="4">
        <f>Games[[#This Row],[PreGmRate]]+Games[[#This Row],[RatingChange]]</f>
        <v>1400.9808019732461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42566</v>
      </c>
      <c r="B256" s="2">
        <v>2016</v>
      </c>
      <c r="C256" s="2">
        <f>COUNTIFS(Games[Team],Games[[#This Row],[Team]],Games[Season],Games[[#This Row],[Season]],Games[Date],"&lt;=" &amp; Games[[#This Row],[Date]])</f>
        <v>22</v>
      </c>
      <c r="D256" s="2" t="s">
        <v>81</v>
      </c>
      <c r="E256" s="2" t="s">
        <v>82</v>
      </c>
      <c r="F256" s="1" t="s">
        <v>79</v>
      </c>
      <c r="G256" s="1" t="s">
        <v>69</v>
      </c>
      <c r="H256" s="1" t="s">
        <v>83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1475.073772423015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1506.9433783519778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0.33916912492067947</v>
      </c>
      <c r="R256" s="1">
        <v>72</v>
      </c>
      <c r="S256" s="1">
        <v>78</v>
      </c>
      <c r="T256" s="1">
        <v>0</v>
      </c>
      <c r="U256" s="1">
        <f>Games[[#This Row],[PointsFor]]-Games[[#This Row],[PointsAgainst]]</f>
        <v>-6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0.34219280293980919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72.7</v>
      </c>
      <c r="Z256" s="4">
        <f>Games[[#This Row],[K]]*Games[[#This Row],[POMult]]</f>
        <v>72.7</v>
      </c>
      <c r="AA256" s="4">
        <f>(Games[[#This Row],[Keff]]*Games[[#This Row],[MOVMult]])*(Games[[#This Row],[Result]]-Games[[#This Row],[ExpectedWin%]])</f>
        <v>-8.4376516774310453</v>
      </c>
      <c r="AB256" s="4">
        <f>Games[[#This Row],[PreGmRate]]+Games[[#This Row],[RatingChange]]</f>
        <v>1466.6361207455841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42566</v>
      </c>
      <c r="B257" s="2">
        <v>2016</v>
      </c>
      <c r="C257" s="2">
        <f>COUNTIFS(Games[Team],Games[[#This Row],[Team]],Games[Season],Games[[#This Row],[Season]],Games[Date],"&lt;=" &amp; Games[[#This Row],[Date]])</f>
        <v>22</v>
      </c>
      <c r="D257" s="2" t="s">
        <v>81</v>
      </c>
      <c r="E257" s="2" t="s">
        <v>82</v>
      </c>
      <c r="F257" s="1" t="s">
        <v>69</v>
      </c>
      <c r="G257" s="1" t="s">
        <v>79</v>
      </c>
      <c r="H257" s="1" t="s">
        <v>84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1506.9433783519778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1475.073772423015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0.66083087507932059</v>
      </c>
      <c r="R257" s="1">
        <v>78</v>
      </c>
      <c r="S257" s="1">
        <v>72</v>
      </c>
      <c r="T257" s="1">
        <v>0</v>
      </c>
      <c r="U257" s="1">
        <f>Games[[#This Row],[PointsFor]]-Games[[#This Row],[PointsAgainst]]</f>
        <v>6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0.34219280293980919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72.7</v>
      </c>
      <c r="Z257" s="4">
        <f>Games[[#This Row],[K]]*Games[[#This Row],[POMult]]</f>
        <v>72.7</v>
      </c>
      <c r="AA257" s="4">
        <f>(Games[[#This Row],[Keff]]*Games[[#This Row],[MOVMult]])*(Games[[#This Row],[Result]]-Games[[#This Row],[ExpectedWin%]])</f>
        <v>8.4376516774310435</v>
      </c>
      <c r="AB257" s="4">
        <f>Games[[#This Row],[PreGmRate]]+Games[[#This Row],[RatingChange]]</f>
        <v>1515.3810300294087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42566</v>
      </c>
      <c r="B258" s="2">
        <v>2016</v>
      </c>
      <c r="C258" s="2">
        <f>COUNTIFS(Games[Team],Games[[#This Row],[Team]],Games[Season],Games[[#This Row],[Season]],Games[Date],"&lt;=" &amp; Games[[#This Row],[Date]])</f>
        <v>23</v>
      </c>
      <c r="D258" s="2" t="s">
        <v>81</v>
      </c>
      <c r="E258" s="2" t="s">
        <v>82</v>
      </c>
      <c r="F258" s="1" t="s">
        <v>60</v>
      </c>
      <c r="G258" s="1" t="s">
        <v>67</v>
      </c>
      <c r="H258" s="1" t="s">
        <v>83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-1</v>
      </c>
      <c r="L258" s="2">
        <f>Games[[#This Row],[OppDaysOff]]-Games[[#This Row],[DaysOff]]</f>
        <v>1</v>
      </c>
      <c r="M258" s="1">
        <f>MAX(-16, MIN(16, Games[[#This Row],[RestDiff]]*8))</f>
        <v>-8</v>
      </c>
      <c r="N258" s="1">
        <f>MAX(-16, MIN(16, Games[[#This Row],[OppRestDiff]]*8))</f>
        <v>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1619.153879287458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1656.8913513028929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0.31155047838608663</v>
      </c>
      <c r="R258" s="1">
        <v>70</v>
      </c>
      <c r="S258" s="1">
        <v>88</v>
      </c>
      <c r="T258" s="1">
        <v>0</v>
      </c>
      <c r="U258" s="1">
        <f>Games[[#This Row],[PointsFor]]-Games[[#This Row],[PointsAgainst]]</f>
        <v>-18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0.53016147073828146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72.55</v>
      </c>
      <c r="Z258" s="4">
        <f>Games[[#This Row],[K]]*Games[[#This Row],[POMult]]</f>
        <v>72.55</v>
      </c>
      <c r="AA258" s="4">
        <f>(Games[[#This Row],[Keff]]*Games[[#This Row],[MOVMult]])*(Games[[#This Row],[Result]]-Games[[#This Row],[ExpectedWin%]])</f>
        <v>-11.983232940694275</v>
      </c>
      <c r="AB258" s="4">
        <f>Games[[#This Row],[PreGmRate]]+Games[[#This Row],[RatingChange]]</f>
        <v>1607.1706463467638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42566</v>
      </c>
      <c r="B259" s="2">
        <v>2016</v>
      </c>
      <c r="C259" s="2">
        <f>COUNTIFS(Games[Team],Games[[#This Row],[Team]],Games[Season],Games[[#This Row],[Season]],Games[Date],"&lt;=" &amp; Games[[#This Row],[Date]])</f>
        <v>22</v>
      </c>
      <c r="D259" s="2" t="s">
        <v>81</v>
      </c>
      <c r="E259" s="2" t="s">
        <v>82</v>
      </c>
      <c r="F259" s="1" t="s">
        <v>67</v>
      </c>
      <c r="G259" s="1" t="s">
        <v>60</v>
      </c>
      <c r="H259" s="1" t="s">
        <v>84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1</v>
      </c>
      <c r="L259" s="2">
        <f>Games[[#This Row],[OppDaysOff]]-Games[[#This Row],[DaysOff]]</f>
        <v>-1</v>
      </c>
      <c r="M259" s="1">
        <f>MAX(-16, MIN(16, Games[[#This Row],[RestDiff]]*8))</f>
        <v>8</v>
      </c>
      <c r="N259" s="1">
        <f>MAX(-16, MIN(16, Games[[#This Row],[OppRestDiff]]*8))</f>
        <v>-8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1656.8913513028929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1619.153879287458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0.68844952161391337</v>
      </c>
      <c r="R259" s="1">
        <v>88</v>
      </c>
      <c r="S259" s="1">
        <v>70</v>
      </c>
      <c r="T259" s="1">
        <v>0</v>
      </c>
      <c r="U259" s="1">
        <f>Games[[#This Row],[PointsFor]]-Games[[#This Row],[PointsAgainst]]</f>
        <v>18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0.53016147073828146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12.008008749668836</v>
      </c>
      <c r="AB259" s="4">
        <f>Games[[#This Row],[PreGmRate]]+Games[[#This Row],[RatingChange]]</f>
        <v>1668.8993600525616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42566</v>
      </c>
      <c r="B260" s="2">
        <v>2016</v>
      </c>
      <c r="C260" s="2">
        <f>COUNTIFS(Games[Team],Games[[#This Row],[Team]],Games[Season],Games[[#This Row],[Season]],Games[Date],"&lt;=" &amp; Games[[#This Row],[Date]])</f>
        <v>22</v>
      </c>
      <c r="D260" s="2" t="s">
        <v>81</v>
      </c>
      <c r="E260" s="2" t="s">
        <v>82</v>
      </c>
      <c r="F260" s="1" t="s">
        <v>65</v>
      </c>
      <c r="G260" s="1" t="s">
        <v>71</v>
      </c>
      <c r="H260" s="1" t="s">
        <v>83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0" s="2">
        <f>Games[[#This Row],[DaysOff]]-Games[[#This Row],[OppDaysOff]]</f>
        <v>-3</v>
      </c>
      <c r="L260" s="2">
        <f>Games[[#This Row],[OppDaysOff]]-Games[[#This Row],[DaysOff]]</f>
        <v>3</v>
      </c>
      <c r="M260" s="1">
        <f>MAX(-16, MIN(16, Games[[#This Row],[RestDiff]]*8))</f>
        <v>-16</v>
      </c>
      <c r="N260" s="1">
        <f>MAX(-16, MIN(16, Games[[#This Row],[OppRestDiff]]*8))</f>
        <v>16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1478.513216893519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1403.660488960353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0.44105962381558683</v>
      </c>
      <c r="R260" s="1">
        <v>51</v>
      </c>
      <c r="S260" s="1">
        <v>80</v>
      </c>
      <c r="T260" s="1">
        <v>0</v>
      </c>
      <c r="U260" s="1">
        <f>Games[[#This Row],[PointsFor]]-Games[[#This Row],[PointsAgainst]]</f>
        <v>-29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0.65076971310887188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-20.866953400913165</v>
      </c>
      <c r="AB260" s="4">
        <f>Games[[#This Row],[PreGmRate]]+Games[[#This Row],[RatingChange]]</f>
        <v>1457.6462634926058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42566</v>
      </c>
      <c r="B261" s="2">
        <v>2016</v>
      </c>
      <c r="C261" s="2">
        <f>COUNTIFS(Games[Team],Games[[#This Row],[Team]],Games[Season],Games[[#This Row],[Season]],Games[Date],"&lt;=" &amp; Games[[#This Row],[Date]])</f>
        <v>21</v>
      </c>
      <c r="D261" s="2" t="s">
        <v>81</v>
      </c>
      <c r="E261" s="2" t="s">
        <v>82</v>
      </c>
      <c r="F261" s="1" t="s">
        <v>71</v>
      </c>
      <c r="G261" s="1" t="s">
        <v>65</v>
      </c>
      <c r="H261" s="1" t="s">
        <v>84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3</v>
      </c>
      <c r="L261" s="2">
        <f>Games[[#This Row],[OppDaysOff]]-Games[[#This Row],[DaysOff]]</f>
        <v>-3</v>
      </c>
      <c r="M261" s="1">
        <f>MAX(-16, MIN(16, Games[[#This Row],[RestDiff]]*8))</f>
        <v>16</v>
      </c>
      <c r="N261" s="1">
        <f>MAX(-16, MIN(16, Games[[#This Row],[OppRestDiff]]*8))</f>
        <v>-16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1403.660488960353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1478.513216893519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0.55894037618441317</v>
      </c>
      <c r="R261" s="1">
        <v>80</v>
      </c>
      <c r="S261" s="1">
        <v>51</v>
      </c>
      <c r="T261" s="1">
        <v>0</v>
      </c>
      <c r="U261" s="1">
        <f>Games[[#This Row],[PointsFor]]-Games[[#This Row],[PointsAgainst]]</f>
        <v>29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0.65076971310887188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20.910007637641318</v>
      </c>
      <c r="AB261" s="4">
        <f>Games[[#This Row],[PreGmRate]]+Games[[#This Row],[RatingChange]]</f>
        <v>1424.5704965979942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42567</v>
      </c>
      <c r="B262" s="2">
        <v>2016</v>
      </c>
      <c r="C262" s="2">
        <f>COUNTIFS(Games[Team],Games[[#This Row],[Team]],Games[Season],Games[[#This Row],[Season]],Games[Date],"&lt;=" &amp; Games[[#This Row],[Date]])</f>
        <v>22</v>
      </c>
      <c r="D262" s="2" t="s">
        <v>81</v>
      </c>
      <c r="E262" s="2" t="s">
        <v>82</v>
      </c>
      <c r="F262" s="1" t="s">
        <v>74</v>
      </c>
      <c r="G262" s="1" t="s">
        <v>40</v>
      </c>
      <c r="H262" s="1" t="s">
        <v>83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2" s="2">
        <f>Games[[#This Row],[DaysOff]]-Games[[#This Row],[OppDaysOff]]</f>
        <v>1</v>
      </c>
      <c r="L262" s="2">
        <f>Games[[#This Row],[OppDaysOff]]-Games[[#This Row],[DaysOff]]</f>
        <v>-1</v>
      </c>
      <c r="M262" s="1">
        <f>MAX(-16, MIN(16, Games[[#This Row],[RestDiff]]*8))</f>
        <v>8</v>
      </c>
      <c r="N262" s="1">
        <f>MAX(-16, MIN(16, Games[[#This Row],[OppRestDiff]]*8))</f>
        <v>-8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1337.4138675288934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1485.7623278524404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0.22349711555456145</v>
      </c>
      <c r="R262" s="1">
        <v>64</v>
      </c>
      <c r="S262" s="1">
        <v>83</v>
      </c>
      <c r="T262" s="1">
        <v>0</v>
      </c>
      <c r="U262" s="1">
        <f>Games[[#This Row],[PointsFor]]-Games[[#This Row],[PointsAgainst]]</f>
        <v>-19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0.49925750432954585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-8.1120559023324557</v>
      </c>
      <c r="AB262" s="4">
        <f>Games[[#This Row],[PreGmRate]]+Games[[#This Row],[RatingChange]]</f>
        <v>1329.3018116265609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42567</v>
      </c>
      <c r="B263" s="2">
        <v>2016</v>
      </c>
      <c r="C263" s="2">
        <f>COUNTIFS(Games[Team],Games[[#This Row],[Team]],Games[Season],Games[[#This Row],[Season]],Games[Date],"&lt;=" &amp; Games[[#This Row],[Date]])</f>
        <v>23</v>
      </c>
      <c r="D263" s="2" t="s">
        <v>81</v>
      </c>
      <c r="E263" s="2" t="s">
        <v>82</v>
      </c>
      <c r="F263" s="1" t="s">
        <v>40</v>
      </c>
      <c r="G263" s="1" t="s">
        <v>74</v>
      </c>
      <c r="H263" s="1" t="s">
        <v>84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3" s="2">
        <f>Games[[#This Row],[DaysOff]]-Games[[#This Row],[OppDaysOff]]</f>
        <v>-1</v>
      </c>
      <c r="L263" s="2">
        <f>Games[[#This Row],[OppDaysOff]]-Games[[#This Row],[DaysOff]]</f>
        <v>1</v>
      </c>
      <c r="M263" s="1">
        <f>MAX(-16, MIN(16, Games[[#This Row],[RestDiff]]*8))</f>
        <v>-8</v>
      </c>
      <c r="N263" s="1">
        <f>MAX(-16, MIN(16, Games[[#This Row],[OppRestDiff]]*8))</f>
        <v>8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1485.7623278524404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1337.4138675288934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0.77650288444543847</v>
      </c>
      <c r="R263" s="1">
        <v>83</v>
      </c>
      <c r="S263" s="1">
        <v>64</v>
      </c>
      <c r="T263" s="1">
        <v>0</v>
      </c>
      <c r="U263" s="1">
        <f>Games[[#This Row],[PointsFor]]-Games[[#This Row],[PointsAgainst]]</f>
        <v>19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0.49925750432954585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72.55</v>
      </c>
      <c r="Z263" s="4">
        <f>Games[[#This Row],[K]]*Games[[#This Row],[POMult]]</f>
        <v>72.55</v>
      </c>
      <c r="AA263" s="4">
        <f>(Games[[#This Row],[Keff]]*Games[[#This Row],[MOVMult]])*(Games[[#This Row],[Result]]-Games[[#This Row],[ExpectedWin%]])</f>
        <v>8.095318510511964</v>
      </c>
      <c r="AB263" s="4">
        <f>Games[[#This Row],[PreGmRate]]+Games[[#This Row],[RatingChange]]</f>
        <v>1493.8576463629524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42568</v>
      </c>
      <c r="B264" s="2">
        <v>2016</v>
      </c>
      <c r="C264" s="2">
        <f>COUNTIFS(Games[Team],Games[[#This Row],[Team]],Games[Season],Games[[#This Row],[Season]],Games[Date],"&lt;=" &amp; Games[[#This Row],[Date]])</f>
        <v>22</v>
      </c>
      <c r="D264" s="2" t="s">
        <v>81</v>
      </c>
      <c r="E264" s="2" t="s">
        <v>82</v>
      </c>
      <c r="F264" s="1" t="s">
        <v>63</v>
      </c>
      <c r="G264" s="1" t="s">
        <v>79</v>
      </c>
      <c r="H264" s="1" t="s">
        <v>83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1698.7661114045691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1466.6361207455841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0.70113422189451946</v>
      </c>
      <c r="R264" s="1">
        <v>74</v>
      </c>
      <c r="S264" s="1">
        <v>91</v>
      </c>
      <c r="T264" s="1">
        <v>0</v>
      </c>
      <c r="U264" s="1">
        <f>Games[[#This Row],[PointsFor]]-Games[[#This Row],[PointsAgainst]]</f>
        <v>-17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0.44614000619063721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-22.740852697214716</v>
      </c>
      <c r="AB264" s="4">
        <f>Games[[#This Row],[PreGmRate]]+Games[[#This Row],[RatingChange]]</f>
        <v>1676.0252587073544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42568</v>
      </c>
      <c r="B265" s="2">
        <v>2016</v>
      </c>
      <c r="C265" s="2">
        <f>COUNTIFS(Games[Team],Games[[#This Row],[Team]],Games[Season],Games[[#This Row],[Season]],Games[Date],"&lt;=" &amp; Games[[#This Row],[Date]])</f>
        <v>23</v>
      </c>
      <c r="D265" s="2" t="s">
        <v>81</v>
      </c>
      <c r="E265" s="2" t="s">
        <v>82</v>
      </c>
      <c r="F265" s="1" t="s">
        <v>79</v>
      </c>
      <c r="G265" s="1" t="s">
        <v>63</v>
      </c>
      <c r="H265" s="1" t="s">
        <v>84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1466.6361207455841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1698.7661114045691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0.2988657781054806</v>
      </c>
      <c r="R265" s="1">
        <v>91</v>
      </c>
      <c r="S265" s="1">
        <v>74</v>
      </c>
      <c r="T265" s="1">
        <v>0</v>
      </c>
      <c r="U265" s="1">
        <f>Games[[#This Row],[PointsFor]]-Games[[#This Row],[PointsAgainst]]</f>
        <v>17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0.44614000619063721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72.55</v>
      </c>
      <c r="Z265" s="4">
        <f>Games[[#This Row],[K]]*Games[[#This Row],[POMult]]</f>
        <v>72.55</v>
      </c>
      <c r="AA265" s="4">
        <f>(Games[[#This Row],[Keff]]*Games[[#This Row],[MOVMult]])*(Games[[#This Row],[Result]]-Games[[#This Row],[ExpectedWin%]])</f>
        <v>22.693932093300234</v>
      </c>
      <c r="AB265" s="4">
        <f>Games[[#This Row],[PreGmRate]]+Games[[#This Row],[RatingChange]]</f>
        <v>1489.3300528388843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42568</v>
      </c>
      <c r="B266" s="2">
        <v>2016</v>
      </c>
      <c r="C266" s="2">
        <f>COUNTIFS(Games[Team],Games[[#This Row],[Team]],Games[Season],Games[[#This Row],[Season]],Games[Date],"&lt;=" &amp; Games[[#This Row],[Date]])</f>
        <v>23</v>
      </c>
      <c r="D266" s="2" t="s">
        <v>81</v>
      </c>
      <c r="E266" s="2" t="s">
        <v>82</v>
      </c>
      <c r="F266" s="1" t="s">
        <v>67</v>
      </c>
      <c r="G266" s="1" t="s">
        <v>87</v>
      </c>
      <c r="H266" s="1" t="s">
        <v>83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1668.8993600525616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1442.7529673105744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0.69386694921847447</v>
      </c>
      <c r="R266" s="1">
        <v>98</v>
      </c>
      <c r="S266" s="1">
        <v>97</v>
      </c>
      <c r="T266" s="1">
        <v>1</v>
      </c>
      <c r="U266" s="1">
        <f>Games[[#This Row],[PointsFor]]-Games[[#This Row],[PointsAgainst]]</f>
        <v>1</v>
      </c>
      <c r="V266" s="1">
        <f>IF(Games[[#This Row],[MOV]]&gt;0,1,IF(Games[[#This Row],[MOV]]=0,0.5,0))</f>
        <v>1</v>
      </c>
      <c r="W266" s="4">
        <f>((ABS(Games[[#This Row],[MOV]])+5)^0.6)/(12+0.01*(ABS(Games[[#This Row],[PreGmRate]]-Games[[#This Row],[OppPreGmRate]])))*IF(Games[[#This Row],[OT]]=1,0.9,1)</f>
        <v>0.18491372693898966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72.55</v>
      </c>
      <c r="Z266" s="4">
        <f>Games[[#This Row],[K]]*Games[[#This Row],[POMult]]</f>
        <v>72.55</v>
      </c>
      <c r="AA266" s="4">
        <f>(Games[[#This Row],[Keff]]*Games[[#This Row],[MOVMult]])*(Games[[#This Row],[Result]]-Games[[#This Row],[ExpectedWin%]])</f>
        <v>4.1069251537110381</v>
      </c>
      <c r="AB266" s="4">
        <f>Games[[#This Row],[PreGmRate]]+Games[[#This Row],[RatingChange]]</f>
        <v>1673.0062852062727</v>
      </c>
      <c r="AC266" s="2">
        <f>IF(Games[[#This Row],[Type]]="R",IF(Games[[#This Row],[Result]]&gt;0.5,1,0),0)</f>
        <v>1</v>
      </c>
      <c r="AD266" s="2">
        <f>IF(Games[[#This Row],[Type]]="R",IF(Games[[#This Row],[Result]]&lt;0.5,1,0),0)</f>
        <v>0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42568</v>
      </c>
      <c r="B267" s="2">
        <v>2016</v>
      </c>
      <c r="C267" s="2">
        <f>COUNTIFS(Games[Team],Games[[#This Row],[Team]],Games[Season],Games[[#This Row],[Season]],Games[Date],"&lt;=" &amp; Games[[#This Row],[Date]])</f>
        <v>23</v>
      </c>
      <c r="D267" s="2" t="s">
        <v>81</v>
      </c>
      <c r="E267" s="2" t="s">
        <v>82</v>
      </c>
      <c r="F267" s="1" t="s">
        <v>87</v>
      </c>
      <c r="G267" s="1" t="s">
        <v>67</v>
      </c>
      <c r="H267" s="1" t="s">
        <v>84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1442.7529673105744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1668.8993600525616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0.30613305078152547</v>
      </c>
      <c r="R267" s="1">
        <v>97</v>
      </c>
      <c r="S267" s="1">
        <v>98</v>
      </c>
      <c r="T267" s="1">
        <v>1</v>
      </c>
      <c r="U267" s="1">
        <f>Games[[#This Row],[PointsFor]]-Games[[#This Row],[PointsAgainst]]</f>
        <v>-1</v>
      </c>
      <c r="V267" s="1">
        <f>IF(Games[[#This Row],[MOV]]&gt;0,1,IF(Games[[#This Row],[MOV]]=0,0.5,0))</f>
        <v>0</v>
      </c>
      <c r="W267" s="4">
        <f>((ABS(Games[[#This Row],[MOV]])+5)^0.6)/(12+0.01*(ABS(Games[[#This Row],[PreGmRate]]-Games[[#This Row],[OppPreGmRate]])))*IF(Games[[#This Row],[OT]]=1,0.9,1)</f>
        <v>0.18491372693898966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72.55</v>
      </c>
      <c r="Z267" s="4">
        <f>Games[[#This Row],[K]]*Games[[#This Row],[POMult]]</f>
        <v>72.55</v>
      </c>
      <c r="AA267" s="4">
        <f>(Games[[#This Row],[Keff]]*Games[[#This Row],[MOVMult]])*(Games[[#This Row],[Result]]-Games[[#This Row],[ExpectedWin%]])</f>
        <v>-4.1069251537110381</v>
      </c>
      <c r="AB267" s="4">
        <f>Games[[#This Row],[PreGmRate]]+Games[[#This Row],[RatingChange]]</f>
        <v>1438.6460421568634</v>
      </c>
      <c r="AC267" s="2">
        <f>IF(Games[[#This Row],[Type]]="R",IF(Games[[#This Row],[Result]]&gt;0.5,1,0),0)</f>
        <v>0</v>
      </c>
      <c r="AD267" s="2">
        <f>IF(Games[[#This Row],[Type]]="R",IF(Games[[#This Row],[Result]]&lt;0.5,1,0),0)</f>
        <v>1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42568</v>
      </c>
      <c r="B268" s="2">
        <v>2016</v>
      </c>
      <c r="C268" s="2">
        <f>COUNTIFS(Games[Team],Games[[#This Row],[Team]],Games[Season],Games[[#This Row],[Season]],Games[Date],"&lt;=" &amp; Games[[#This Row],[Date]])</f>
        <v>22</v>
      </c>
      <c r="D268" s="2" t="s">
        <v>81</v>
      </c>
      <c r="E268" s="2" t="s">
        <v>82</v>
      </c>
      <c r="F268" s="1" t="s">
        <v>76</v>
      </c>
      <c r="G268" s="1" t="s">
        <v>60</v>
      </c>
      <c r="H268" s="1" t="s">
        <v>83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1400.9808019732461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1607.1706463467638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0.15836192229088425</v>
      </c>
      <c r="R268" s="1">
        <v>76</v>
      </c>
      <c r="S268" s="1">
        <v>83</v>
      </c>
      <c r="T268" s="1">
        <v>0</v>
      </c>
      <c r="U268" s="1">
        <f>Games[[#This Row],[PointsFor]]-Games[[#This Row],[PointsAgainst]]</f>
        <v>-7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0.31583829790951956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-3.6362184512753619</v>
      </c>
      <c r="AB268" s="4">
        <f>Games[[#This Row],[PreGmRate]]+Games[[#This Row],[RatingChange]]</f>
        <v>1397.3445835219707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42568</v>
      </c>
      <c r="B269" s="2">
        <v>2016</v>
      </c>
      <c r="C269" s="2">
        <f>COUNTIFS(Games[Team],Games[[#This Row],[Team]],Games[Season],Games[[#This Row],[Season]],Games[Date],"&lt;=" &amp; Games[[#This Row],[Date]])</f>
        <v>24</v>
      </c>
      <c r="D269" s="2" t="s">
        <v>81</v>
      </c>
      <c r="E269" s="2" t="s">
        <v>82</v>
      </c>
      <c r="F269" s="1" t="s">
        <v>60</v>
      </c>
      <c r="G269" s="1" t="s">
        <v>76</v>
      </c>
      <c r="H269" s="1" t="s">
        <v>84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1607.1706463467638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1400.9808019732461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0.8416380777091157</v>
      </c>
      <c r="R269" s="1">
        <v>83</v>
      </c>
      <c r="S269" s="1">
        <v>76</v>
      </c>
      <c r="T269" s="1">
        <v>0</v>
      </c>
      <c r="U269" s="1">
        <f>Games[[#This Row],[PointsFor]]-Games[[#This Row],[PointsAgainst]]</f>
        <v>7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0.31583829790951956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72.400000000000006</v>
      </c>
      <c r="Z269" s="4">
        <f>Games[[#This Row],[K]]*Games[[#This Row],[POMult]]</f>
        <v>72.400000000000006</v>
      </c>
      <c r="AA269" s="4">
        <f>(Games[[#This Row],[Keff]]*Games[[#This Row],[MOVMult]])*(Games[[#This Row],[Result]]-Games[[#This Row],[ExpectedWin%]])</f>
        <v>3.6212134232783537</v>
      </c>
      <c r="AB269" s="4">
        <f>Games[[#This Row],[PreGmRate]]+Games[[#This Row],[RatingChange]]</f>
        <v>1610.791859770042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42568</v>
      </c>
      <c r="B270" s="2">
        <v>2016</v>
      </c>
      <c r="C270" s="2">
        <f>COUNTIFS(Games[Team],Games[[#This Row],[Team]],Games[Season],Games[[#This Row],[Season]],Games[Date],"&lt;=" &amp; Games[[#This Row],[Date]])</f>
        <v>22</v>
      </c>
      <c r="D270" s="2" t="s">
        <v>81</v>
      </c>
      <c r="E270" s="2" t="s">
        <v>82</v>
      </c>
      <c r="F270" s="1" t="s">
        <v>77</v>
      </c>
      <c r="G270" s="1" t="s">
        <v>71</v>
      </c>
      <c r="H270" s="1" t="s">
        <v>83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1494.8059899429595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1424.5704965979942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0.48020163963234097</v>
      </c>
      <c r="R270" s="1">
        <v>91</v>
      </c>
      <c r="S270" s="1">
        <v>88</v>
      </c>
      <c r="T270" s="1">
        <v>0</v>
      </c>
      <c r="U270" s="1">
        <f>Games[[#This Row],[PointsFor]]-Games[[#This Row],[PointsAgainst]]</f>
        <v>3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0.27413832091990004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72.7</v>
      </c>
      <c r="Z270" s="4">
        <f>Games[[#This Row],[K]]*Games[[#This Row],[POMult]]</f>
        <v>72.7</v>
      </c>
      <c r="AA270" s="4">
        <f>(Games[[#This Row],[Keff]]*Games[[#This Row],[MOVMult]])*(Games[[#This Row],[Result]]-Games[[#This Row],[ExpectedWin%]])</f>
        <v>10.35950643523339</v>
      </c>
      <c r="AB270" s="4">
        <f>Games[[#This Row],[PreGmRate]]+Games[[#This Row],[RatingChange]]</f>
        <v>1505.165496378193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42568</v>
      </c>
      <c r="B271" s="2">
        <v>2016</v>
      </c>
      <c r="C271" s="2">
        <f>COUNTIFS(Games[Team],Games[[#This Row],[Team]],Games[Season],Games[[#This Row],[Season]],Games[Date],"&lt;=" &amp; Games[[#This Row],[Date]])</f>
        <v>22</v>
      </c>
      <c r="D271" s="2" t="s">
        <v>81</v>
      </c>
      <c r="E271" s="2" t="s">
        <v>82</v>
      </c>
      <c r="F271" s="1" t="s">
        <v>71</v>
      </c>
      <c r="G271" s="1" t="s">
        <v>77</v>
      </c>
      <c r="H271" s="1" t="s">
        <v>84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1424.5704965979942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1494.8059899429595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0.51979836036765903</v>
      </c>
      <c r="R271" s="1">
        <v>88</v>
      </c>
      <c r="S271" s="1">
        <v>91</v>
      </c>
      <c r="T271" s="1">
        <v>0</v>
      </c>
      <c r="U271" s="1">
        <f>Games[[#This Row],[PointsFor]]-Games[[#This Row],[PointsAgainst]]</f>
        <v>-3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0.27413832091990004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72.7</v>
      </c>
      <c r="Z271" s="4">
        <f>Games[[#This Row],[K]]*Games[[#This Row],[POMult]]</f>
        <v>72.7</v>
      </c>
      <c r="AA271" s="4">
        <f>(Games[[#This Row],[Keff]]*Games[[#This Row],[MOVMult]])*(Games[[#This Row],[Result]]-Games[[#This Row],[ExpectedWin%]])</f>
        <v>-10.35950643523339</v>
      </c>
      <c r="AB271" s="4">
        <f>Games[[#This Row],[PreGmRate]]+Games[[#This Row],[RatingChange]]</f>
        <v>1414.2109901627607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42570</v>
      </c>
      <c r="B272" s="2">
        <v>2016</v>
      </c>
      <c r="C272" s="2">
        <f>COUNTIFS(Games[Team],Games[[#This Row],[Team]],Games[Season],Games[[#This Row],[Season]],Games[Date],"&lt;=" &amp; Games[[#This Row],[Date]])</f>
        <v>23</v>
      </c>
      <c r="D272" s="2" t="s">
        <v>81</v>
      </c>
      <c r="E272" s="2" t="s">
        <v>82</v>
      </c>
      <c r="F272" s="1" t="s">
        <v>63</v>
      </c>
      <c r="G272" s="1" t="s">
        <v>69</v>
      </c>
      <c r="H272" s="1" t="s">
        <v>83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2" s="2">
        <f>Games[[#This Row],[DaysOff]]-Games[[#This Row],[OppDaysOff]]</f>
        <v>-2</v>
      </c>
      <c r="L272" s="2">
        <f>Games[[#This Row],[OppDaysOff]]-Games[[#This Row],[DaysOff]]</f>
        <v>2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1676.0252587073544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1515.3810300294087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0.56389692176872497</v>
      </c>
      <c r="R272" s="1">
        <v>82</v>
      </c>
      <c r="S272" s="1">
        <v>92</v>
      </c>
      <c r="T272" s="1">
        <v>0</v>
      </c>
      <c r="U272" s="1">
        <f>Games[[#This Row],[PointsFor]]-Games[[#This Row],[PointsAgainst]]</f>
        <v>-10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0.3731729635836516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72.55</v>
      </c>
      <c r="Z272" s="4">
        <f>Games[[#This Row],[K]]*Games[[#This Row],[POMult]]</f>
        <v>72.55</v>
      </c>
      <c r="AA272" s="4">
        <f>(Games[[#This Row],[Keff]]*Games[[#This Row],[MOVMult]])*(Games[[#This Row],[Result]]-Games[[#This Row],[ExpectedWin%]])</f>
        <v>-15.266775249552294</v>
      </c>
      <c r="AB272" s="4">
        <f>Games[[#This Row],[PreGmRate]]+Games[[#This Row],[RatingChange]]</f>
        <v>1660.7584834578022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42570</v>
      </c>
      <c r="B273" s="2">
        <v>2016</v>
      </c>
      <c r="C273" s="2">
        <f>COUNTIFS(Games[Team],Games[[#This Row],[Team]],Games[Season],Games[[#This Row],[Season]],Games[Date],"&lt;=" &amp; Games[[#This Row],[Date]])</f>
        <v>23</v>
      </c>
      <c r="D273" s="2" t="s">
        <v>81</v>
      </c>
      <c r="E273" s="2" t="s">
        <v>82</v>
      </c>
      <c r="F273" s="1" t="s">
        <v>69</v>
      </c>
      <c r="G273" s="1" t="s">
        <v>63</v>
      </c>
      <c r="H273" s="1" t="s">
        <v>84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2</v>
      </c>
      <c r="L273" s="2">
        <f>Games[[#This Row],[OppDaysOff]]-Games[[#This Row],[DaysOff]]</f>
        <v>-2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1515.3810300294087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1676.0252587073544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0.43610307823127509</v>
      </c>
      <c r="R273" s="1">
        <v>92</v>
      </c>
      <c r="S273" s="1">
        <v>82</v>
      </c>
      <c r="T273" s="1">
        <v>0</v>
      </c>
      <c r="U273" s="1">
        <f>Games[[#This Row],[PointsFor]]-Games[[#This Row],[PointsAgainst]]</f>
        <v>10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0.3731729635836516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15.266775249552291</v>
      </c>
      <c r="AB273" s="4">
        <f>Games[[#This Row],[PreGmRate]]+Games[[#This Row],[RatingChange]]</f>
        <v>1530.647805278961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42570</v>
      </c>
      <c r="B274" s="2">
        <v>2016</v>
      </c>
      <c r="C274" s="2">
        <f>COUNTIFS(Games[Team],Games[[#This Row],[Team]],Games[Season],Games[[#This Row],[Season]],Games[Date],"&lt;=" &amp; Games[[#This Row],[Date]])</f>
        <v>23</v>
      </c>
      <c r="D274" s="2" t="s">
        <v>81</v>
      </c>
      <c r="E274" s="2" t="s">
        <v>82</v>
      </c>
      <c r="F274" s="1" t="s">
        <v>77</v>
      </c>
      <c r="G274" s="1" t="s">
        <v>40</v>
      </c>
      <c r="H274" s="1" t="s">
        <v>83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4" s="2">
        <f>Games[[#This Row],[DaysOff]]-Games[[#This Row],[OppDaysOff]]</f>
        <v>-1</v>
      </c>
      <c r="L274" s="2">
        <f>Games[[#This Row],[OppDaysOff]]-Games[[#This Row],[DaysOff]]</f>
        <v>1</v>
      </c>
      <c r="M274" s="1">
        <f>MAX(-16, MIN(16, Games[[#This Row],[RestDiff]]*8))</f>
        <v>-8</v>
      </c>
      <c r="N274" s="1">
        <f>MAX(-16, MIN(16, Games[[#This Row],[OppRestDiff]]*8))</f>
        <v>8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1505.165496378193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1493.8576463629524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0.37506388523437884</v>
      </c>
      <c r="R274" s="1">
        <v>79</v>
      </c>
      <c r="S274" s="1">
        <v>77</v>
      </c>
      <c r="T274" s="1">
        <v>0</v>
      </c>
      <c r="U274" s="1">
        <f>Games[[#This Row],[PointsFor]]-Games[[#This Row],[PointsAgainst]]</f>
        <v>2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0.26534095768268978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72.55</v>
      </c>
      <c r="Z274" s="4">
        <f>Games[[#This Row],[K]]*Games[[#This Row],[POMult]]</f>
        <v>72.55</v>
      </c>
      <c r="AA274" s="4">
        <f>(Games[[#This Row],[Keff]]*Games[[#This Row],[MOVMult]])*(Games[[#This Row],[Result]]-Games[[#This Row],[ExpectedWin%]])</f>
        <v>12.03032422808379</v>
      </c>
      <c r="AB274" s="4">
        <f>Games[[#This Row],[PreGmRate]]+Games[[#This Row],[RatingChange]]</f>
        <v>1517.1958206062768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42570</v>
      </c>
      <c r="B275" s="2">
        <v>2016</v>
      </c>
      <c r="C275" s="2">
        <f>COUNTIFS(Games[Team],Games[[#This Row],[Team]],Games[Season],Games[[#This Row],[Season]],Games[Date],"&lt;=" &amp; Games[[#This Row],[Date]])</f>
        <v>24</v>
      </c>
      <c r="D275" s="2" t="s">
        <v>81</v>
      </c>
      <c r="E275" s="2" t="s">
        <v>82</v>
      </c>
      <c r="F275" s="1" t="s">
        <v>40</v>
      </c>
      <c r="G275" s="1" t="s">
        <v>77</v>
      </c>
      <c r="H275" s="1" t="s">
        <v>84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1</v>
      </c>
      <c r="L275" s="2">
        <f>Games[[#This Row],[OppDaysOff]]-Games[[#This Row],[DaysOff]]</f>
        <v>-1</v>
      </c>
      <c r="M275" s="1">
        <f>MAX(-16, MIN(16, Games[[#This Row],[RestDiff]]*8))</f>
        <v>8</v>
      </c>
      <c r="N275" s="1">
        <f>MAX(-16, MIN(16, Games[[#This Row],[OppRestDiff]]*8))</f>
        <v>-8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1493.8576463629524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1505.165496378193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0.62493611476562116</v>
      </c>
      <c r="R275" s="1">
        <v>77</v>
      </c>
      <c r="S275" s="1">
        <v>79</v>
      </c>
      <c r="T275" s="1">
        <v>0</v>
      </c>
      <c r="U275" s="1">
        <f>Games[[#This Row],[PointsFor]]-Games[[#This Row],[PointsAgainst]]</f>
        <v>-2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0.26534095768268978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72.400000000000006</v>
      </c>
      <c r="Z275" s="4">
        <f>Games[[#This Row],[K]]*Games[[#This Row],[POMult]]</f>
        <v>72.400000000000006</v>
      </c>
      <c r="AA275" s="4">
        <f>(Games[[#This Row],[Keff]]*Games[[#This Row],[MOVMult]])*(Games[[#This Row],[Result]]-Games[[#This Row],[ExpectedWin%]])</f>
        <v>-12.00545105600643</v>
      </c>
      <c r="AB275" s="4">
        <f>Games[[#This Row],[PreGmRate]]+Games[[#This Row],[RatingChange]]</f>
        <v>1481.852195306946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42571</v>
      </c>
      <c r="B276" s="2">
        <v>2016</v>
      </c>
      <c r="C276" s="2">
        <f>COUNTIFS(Games[Team],Games[[#This Row],[Team]],Games[Season],Games[[#This Row],[Season]],Games[Date],"&lt;=" &amp; Games[[#This Row],[Date]])</f>
        <v>23</v>
      </c>
      <c r="D276" s="2" t="s">
        <v>81</v>
      </c>
      <c r="E276" s="2" t="s">
        <v>82</v>
      </c>
      <c r="F276" s="1" t="s">
        <v>76</v>
      </c>
      <c r="G276" s="1" t="s">
        <v>87</v>
      </c>
      <c r="H276" s="1" t="s">
        <v>83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1397.3445835219707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1438.6460421568634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0.3271082801382858</v>
      </c>
      <c r="R276" s="1">
        <v>89</v>
      </c>
      <c r="S276" s="1">
        <v>78</v>
      </c>
      <c r="T276" s="1">
        <v>0</v>
      </c>
      <c r="U276" s="1">
        <f>Games[[#This Row],[PointsFor]]-Games[[#This Row],[PointsAgainst]]</f>
        <v>11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0.42520143727987175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20.757608891693057</v>
      </c>
      <c r="AB276" s="4">
        <f>Games[[#This Row],[PreGmRate]]+Games[[#This Row],[RatingChange]]</f>
        <v>1418.1021924136637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42571</v>
      </c>
      <c r="B277" s="2">
        <v>2016</v>
      </c>
      <c r="C277" s="2">
        <f>COUNTIFS(Games[Team],Games[[#This Row],[Team]],Games[Season],Games[[#This Row],[Season]],Games[Date],"&lt;=" &amp; Games[[#This Row],[Date]])</f>
        <v>24</v>
      </c>
      <c r="D277" s="2" t="s">
        <v>81</v>
      </c>
      <c r="E277" s="2" t="s">
        <v>82</v>
      </c>
      <c r="F277" s="1" t="s">
        <v>87</v>
      </c>
      <c r="G277" s="1" t="s">
        <v>76</v>
      </c>
      <c r="H277" s="1" t="s">
        <v>84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1438.6460421568634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1397.3445835219707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0.67289171986171414</v>
      </c>
      <c r="R277" s="1">
        <v>78</v>
      </c>
      <c r="S277" s="1">
        <v>89</v>
      </c>
      <c r="T277" s="1">
        <v>0</v>
      </c>
      <c r="U277" s="1">
        <f>Games[[#This Row],[PointsFor]]-Games[[#This Row],[PointsAgainst]]</f>
        <v>-11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0.42520143727987175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72.400000000000006</v>
      </c>
      <c r="Z277" s="4">
        <f>Games[[#This Row],[K]]*Games[[#This Row],[POMult]]</f>
        <v>72.400000000000006</v>
      </c>
      <c r="AA277" s="4">
        <f>(Games[[#This Row],[Keff]]*Games[[#This Row],[MOVMult]])*(Games[[#This Row],[Result]]-Games[[#This Row],[ExpectedWin%]])</f>
        <v>-20.714691712730222</v>
      </c>
      <c r="AB277" s="4">
        <f>Games[[#This Row],[PreGmRate]]+Games[[#This Row],[RatingChange]]</f>
        <v>1417.9313504441332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42571</v>
      </c>
      <c r="B278" s="2">
        <v>2016</v>
      </c>
      <c r="C278" s="2">
        <f>COUNTIFS(Games[Team],Games[[#This Row],[Team]],Games[Season],Games[[#This Row],[Season]],Games[Date],"&lt;=" &amp; Games[[#This Row],[Date]])</f>
        <v>24</v>
      </c>
      <c r="D278" s="2" t="s">
        <v>81</v>
      </c>
      <c r="E278" s="2" t="s">
        <v>82</v>
      </c>
      <c r="F278" s="1" t="s">
        <v>79</v>
      </c>
      <c r="G278" s="1" t="s">
        <v>67</v>
      </c>
      <c r="H278" s="1" t="s">
        <v>83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8" s="2">
        <f>Games[[#This Row],[DaysOff]]-Games[[#This Row],[OppDaysOff]]</f>
        <v>0</v>
      </c>
      <c r="L278" s="2">
        <f>Games[[#This Row],[OppDaysOff]]-Games[[#This Row],[DaysOff]]</f>
        <v>0</v>
      </c>
      <c r="M278" s="1">
        <f>MAX(-16, MIN(16, Games[[#This Row],[RestDiff]]*8))</f>
        <v>0</v>
      </c>
      <c r="N278" s="1">
        <f>MAX(-16, MIN(16, Games[[#This Row],[OppRestDiff]]*8))</f>
        <v>0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1489.3300528388843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1673.0062852062727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0.1764090913554627</v>
      </c>
      <c r="R278" s="1">
        <v>65</v>
      </c>
      <c r="S278" s="1">
        <v>83</v>
      </c>
      <c r="T278" s="1">
        <v>0</v>
      </c>
      <c r="U278" s="1">
        <f>Games[[#This Row],[PointsFor]]-Games[[#This Row],[PointsAgainst]]</f>
        <v>-18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0.47424441007334839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72.400000000000006</v>
      </c>
      <c r="Z278" s="4">
        <f>Games[[#This Row],[K]]*Games[[#This Row],[POMult]]</f>
        <v>72.400000000000006</v>
      </c>
      <c r="AA278" s="4">
        <f>(Games[[#This Row],[Keff]]*Games[[#This Row],[MOVMult]])*(Games[[#This Row],[Result]]-Games[[#This Row],[ExpectedWin%]])</f>
        <v>-6.0570582434087505</v>
      </c>
      <c r="AB278" s="4">
        <f>Games[[#This Row],[PreGmRate]]+Games[[#This Row],[RatingChange]]</f>
        <v>1483.2729945954754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42571</v>
      </c>
      <c r="B279" s="2">
        <v>2016</v>
      </c>
      <c r="C279" s="2">
        <f>COUNTIFS(Games[Team],Games[[#This Row],[Team]],Games[Season],Games[[#This Row],[Season]],Games[Date],"&lt;=" &amp; Games[[#This Row],[Date]])</f>
        <v>24</v>
      </c>
      <c r="D279" s="2" t="s">
        <v>81</v>
      </c>
      <c r="E279" s="2" t="s">
        <v>82</v>
      </c>
      <c r="F279" s="1" t="s">
        <v>67</v>
      </c>
      <c r="G279" s="1" t="s">
        <v>79</v>
      </c>
      <c r="H279" s="1" t="s">
        <v>84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9" s="2">
        <f>Games[[#This Row],[DaysOff]]-Games[[#This Row],[OppDaysOff]]</f>
        <v>0</v>
      </c>
      <c r="L279" s="2">
        <f>Games[[#This Row],[OppDaysOff]]-Games[[#This Row],[DaysOff]]</f>
        <v>0</v>
      </c>
      <c r="M279" s="1">
        <f>MAX(-16, MIN(16, Games[[#This Row],[RestDiff]]*8))</f>
        <v>0</v>
      </c>
      <c r="N279" s="1">
        <f>MAX(-16, MIN(16, Games[[#This Row],[OppRestDiff]]*8))</f>
        <v>0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1673.0062852062727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1489.3300528388843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0.82359090864453743</v>
      </c>
      <c r="R279" s="1">
        <v>83</v>
      </c>
      <c r="S279" s="1">
        <v>65</v>
      </c>
      <c r="T279" s="1">
        <v>0</v>
      </c>
      <c r="U279" s="1">
        <f>Games[[#This Row],[PointsFor]]-Games[[#This Row],[PointsAgainst]]</f>
        <v>18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0.47424441007334839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72.400000000000006</v>
      </c>
      <c r="Z279" s="4">
        <f>Games[[#This Row],[K]]*Games[[#This Row],[POMult]]</f>
        <v>72.400000000000006</v>
      </c>
      <c r="AA279" s="4">
        <f>(Games[[#This Row],[Keff]]*Games[[#This Row],[MOVMult]])*(Games[[#This Row],[Result]]-Games[[#This Row],[ExpectedWin%]])</f>
        <v>6.0570582434087461</v>
      </c>
      <c r="AB279" s="4">
        <f>Games[[#This Row],[PreGmRate]]+Games[[#This Row],[RatingChange]]</f>
        <v>1679.0633434496815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42571</v>
      </c>
      <c r="B280" s="2">
        <v>2016</v>
      </c>
      <c r="C280" s="2">
        <f>COUNTIFS(Games[Team],Games[[#This Row],[Team]],Games[Season],Games[[#This Row],[Season]],Games[Date],"&lt;=" &amp; Games[[#This Row],[Date]])</f>
        <v>23</v>
      </c>
      <c r="D280" s="2" t="s">
        <v>81</v>
      </c>
      <c r="E280" s="2" t="s">
        <v>82</v>
      </c>
      <c r="F280" s="1" t="s">
        <v>74</v>
      </c>
      <c r="G280" s="1" t="s">
        <v>71</v>
      </c>
      <c r="H280" s="1" t="s">
        <v>83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0" s="2">
        <f>Games[[#This Row],[DaysOff]]-Games[[#This Row],[OppDaysOff]]</f>
        <v>1</v>
      </c>
      <c r="L280" s="2">
        <f>Games[[#This Row],[OppDaysOff]]-Games[[#This Row],[DaysOff]]</f>
        <v>-1</v>
      </c>
      <c r="M280" s="1">
        <f>MAX(-16, MIN(16, Games[[#This Row],[RestDiff]]*8))</f>
        <v>8</v>
      </c>
      <c r="N280" s="1">
        <f>MAX(-16, MIN(16, Games[[#This Row],[OppRestDiff]]*8))</f>
        <v>-8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1329.3018116265609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1414.2109901627607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0.29313302294819149</v>
      </c>
      <c r="R280" s="1">
        <v>69</v>
      </c>
      <c r="S280" s="1">
        <v>83</v>
      </c>
      <c r="T280" s="1">
        <v>0</v>
      </c>
      <c r="U280" s="1">
        <f>Games[[#This Row],[PointsFor]]-Games[[#This Row],[PointsAgainst]]</f>
        <v>-14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0.45538605686319072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72.55</v>
      </c>
      <c r="Z280" s="4">
        <f>Games[[#This Row],[K]]*Games[[#This Row],[POMult]]</f>
        <v>72.55</v>
      </c>
      <c r="AA280" s="4">
        <f>(Games[[#This Row],[Keff]]*Games[[#This Row],[MOVMult]])*(Games[[#This Row],[Result]]-Games[[#This Row],[ExpectedWin%]])</f>
        <v>-9.6846045651882378</v>
      </c>
      <c r="AB280" s="4">
        <f>Games[[#This Row],[PreGmRate]]+Games[[#This Row],[RatingChange]]</f>
        <v>1319.6172070613727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42571</v>
      </c>
      <c r="B281" s="2">
        <v>2016</v>
      </c>
      <c r="C281" s="2">
        <f>COUNTIFS(Games[Team],Games[[#This Row],[Team]],Games[Season],Games[[#This Row],[Season]],Games[Date],"&lt;=" &amp; Games[[#This Row],[Date]])</f>
        <v>23</v>
      </c>
      <c r="D281" s="2" t="s">
        <v>81</v>
      </c>
      <c r="E281" s="2" t="s">
        <v>82</v>
      </c>
      <c r="F281" s="1" t="s">
        <v>71</v>
      </c>
      <c r="G281" s="1" t="s">
        <v>74</v>
      </c>
      <c r="H281" s="1" t="s">
        <v>84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1" s="2">
        <f>Games[[#This Row],[DaysOff]]-Games[[#This Row],[OppDaysOff]]</f>
        <v>-1</v>
      </c>
      <c r="L281" s="2">
        <f>Games[[#This Row],[OppDaysOff]]-Games[[#This Row],[DaysOff]]</f>
        <v>1</v>
      </c>
      <c r="M281" s="1">
        <f>MAX(-16, MIN(16, Games[[#This Row],[RestDiff]]*8))</f>
        <v>-8</v>
      </c>
      <c r="N281" s="1">
        <f>MAX(-16, MIN(16, Games[[#This Row],[OppRestDiff]]*8))</f>
        <v>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1414.2109901627607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1329.3018116265609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0.70686697705180856</v>
      </c>
      <c r="R281" s="1">
        <v>83</v>
      </c>
      <c r="S281" s="1">
        <v>69</v>
      </c>
      <c r="T281" s="1">
        <v>0</v>
      </c>
      <c r="U281" s="1">
        <f>Games[[#This Row],[PointsFor]]-Games[[#This Row],[PointsAgainst]]</f>
        <v>14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0.45538605686319072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72.55</v>
      </c>
      <c r="Z281" s="4">
        <f>Games[[#This Row],[K]]*Games[[#This Row],[POMult]]</f>
        <v>72.55</v>
      </c>
      <c r="AA281" s="4">
        <f>(Games[[#This Row],[Keff]]*Games[[#This Row],[MOVMult]])*(Games[[#This Row],[Result]]-Games[[#This Row],[ExpectedWin%]])</f>
        <v>9.684604565188236</v>
      </c>
      <c r="AB281" s="4">
        <f>Games[[#This Row],[PreGmRate]]+Games[[#This Row],[RatingChange]]</f>
        <v>1423.8955947279489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42571</v>
      </c>
      <c r="B282" s="2">
        <v>2016</v>
      </c>
      <c r="C282" s="2">
        <f>COUNTIFS(Games[Team],Games[[#This Row],[Team]],Games[Season],Games[[#This Row],[Season]],Games[Date],"&lt;=" &amp; Games[[#This Row],[Date]])</f>
        <v>25</v>
      </c>
      <c r="D282" s="2" t="s">
        <v>81</v>
      </c>
      <c r="E282" s="2" t="s">
        <v>82</v>
      </c>
      <c r="F282" s="1" t="s">
        <v>60</v>
      </c>
      <c r="G282" s="1" t="s">
        <v>65</v>
      </c>
      <c r="H282" s="1" t="s">
        <v>83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2" s="2">
        <f>Games[[#This Row],[DaysOff]]-Games[[#This Row],[OppDaysOff]]</f>
        <v>-2</v>
      </c>
      <c r="L282" s="2">
        <f>Games[[#This Row],[OppDaysOff]]-Games[[#This Row],[DaysOff]]</f>
        <v>2</v>
      </c>
      <c r="M282" s="1">
        <f>MAX(-16, MIN(16, Games[[#This Row],[RestDiff]]*8))</f>
        <v>-16</v>
      </c>
      <c r="N282" s="1">
        <f>MAX(-16, MIN(16, Games[[#This Row],[OppRestDiff]]*8))</f>
        <v>16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1610.791859770042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1457.6462634926058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0.5532540573873973</v>
      </c>
      <c r="R282" s="1">
        <v>88</v>
      </c>
      <c r="S282" s="1">
        <v>81</v>
      </c>
      <c r="T282" s="1">
        <v>0</v>
      </c>
      <c r="U282" s="1">
        <f>Games[[#This Row],[PointsFor]]-Games[[#This Row],[PointsAgainst]]</f>
        <v>7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0.32821937876190233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72.25</v>
      </c>
      <c r="Z282" s="4">
        <f>Games[[#This Row],[K]]*Games[[#This Row],[POMult]]</f>
        <v>72.25</v>
      </c>
      <c r="AA282" s="4">
        <f>(Games[[#This Row],[Keff]]*Games[[#This Row],[MOVMult]])*(Games[[#This Row],[Result]]-Games[[#This Row],[ExpectedWin%]])</f>
        <v>10.59406632284422</v>
      </c>
      <c r="AB282" s="4">
        <f>Games[[#This Row],[PreGmRate]]+Games[[#This Row],[RatingChange]]</f>
        <v>1621.3859260928862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42571</v>
      </c>
      <c r="B283" s="2">
        <v>2016</v>
      </c>
      <c r="C283" s="2">
        <f>COUNTIFS(Games[Team],Games[[#This Row],[Team]],Games[Season],Games[[#This Row],[Season]],Games[Date],"&lt;=" &amp; Games[[#This Row],[Date]])</f>
        <v>23</v>
      </c>
      <c r="D283" s="2" t="s">
        <v>81</v>
      </c>
      <c r="E283" s="2" t="s">
        <v>82</v>
      </c>
      <c r="F283" s="1" t="s">
        <v>65</v>
      </c>
      <c r="G283" s="1" t="s">
        <v>60</v>
      </c>
      <c r="H283" s="1" t="s">
        <v>84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3" s="2">
        <f>Games[[#This Row],[DaysOff]]-Games[[#This Row],[OppDaysOff]]</f>
        <v>2</v>
      </c>
      <c r="L283" s="2">
        <f>Games[[#This Row],[OppDaysOff]]-Games[[#This Row],[DaysOff]]</f>
        <v>-2</v>
      </c>
      <c r="M283" s="1">
        <f>MAX(-16, MIN(16, Games[[#This Row],[RestDiff]]*8))</f>
        <v>16</v>
      </c>
      <c r="N283" s="1">
        <f>MAX(-16, MIN(16, Games[[#This Row],[OppRestDiff]]*8))</f>
        <v>-16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1457.6462634926058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1610.791859770042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0.4467459426126027</v>
      </c>
      <c r="R283" s="1">
        <v>81</v>
      </c>
      <c r="S283" s="1">
        <v>88</v>
      </c>
      <c r="T283" s="1">
        <v>0</v>
      </c>
      <c r="U283" s="1">
        <f>Games[[#This Row],[PointsFor]]-Games[[#This Row],[PointsAgainst]]</f>
        <v>-7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0.32821937876190233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72.55</v>
      </c>
      <c r="Z283" s="4">
        <f>Games[[#This Row],[K]]*Games[[#This Row],[POMult]]</f>
        <v>72.55</v>
      </c>
      <c r="AA283" s="4">
        <f>(Games[[#This Row],[Keff]]*Games[[#This Row],[MOVMult]])*(Games[[#This Row],[Result]]-Games[[#This Row],[ExpectedWin%]])</f>
        <v>-10.638055525568832</v>
      </c>
      <c r="AB283" s="4">
        <f>Games[[#This Row],[PreGmRate]]+Games[[#This Row],[RatingChange]]</f>
        <v>1447.0082079670369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42572</v>
      </c>
      <c r="B284" s="2">
        <v>2016</v>
      </c>
      <c r="C284" s="2">
        <f>COUNTIFS(Games[Team],Games[[#This Row],[Team]],Games[Season],Games[[#This Row],[Season]],Games[Date],"&lt;=" &amp; Games[[#This Row],[Date]])</f>
        <v>24</v>
      </c>
      <c r="D284" s="2" t="s">
        <v>81</v>
      </c>
      <c r="E284" s="2" t="s">
        <v>82</v>
      </c>
      <c r="F284" s="1" t="s">
        <v>69</v>
      </c>
      <c r="G284" s="1" t="s">
        <v>60</v>
      </c>
      <c r="H284" s="1" t="s">
        <v>83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4" s="2">
        <f>Games[[#This Row],[DaysOff]]-Games[[#This Row],[OppDaysOff]]</f>
        <v>1</v>
      </c>
      <c r="L284" s="2">
        <f>Games[[#This Row],[OppDaysOff]]-Games[[#This Row],[DaysOff]]</f>
        <v>-1</v>
      </c>
      <c r="M284" s="1">
        <f>MAX(-16, MIN(16, Games[[#This Row],[RestDiff]]*8))</f>
        <v>8</v>
      </c>
      <c r="N284" s="1">
        <f>MAX(-16, MIN(16, Games[[#This Row],[OppRestDiff]]*8))</f>
        <v>-8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1530.647805278961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1621.3859260928862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0.28622898287581672</v>
      </c>
      <c r="R284" s="1">
        <v>82</v>
      </c>
      <c r="S284" s="1">
        <v>70</v>
      </c>
      <c r="T284" s="1">
        <v>0</v>
      </c>
      <c r="U284" s="1">
        <f>Games[[#This Row],[PointsFor]]-Games[[#This Row],[PointsAgainst]]</f>
        <v>12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0.42406381501050933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21.914354944950365</v>
      </c>
      <c r="AB284" s="4">
        <f>Games[[#This Row],[PreGmRate]]+Games[[#This Row],[RatingChange]]</f>
        <v>1552.5621602239114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42572</v>
      </c>
      <c r="B285" s="2">
        <v>2016</v>
      </c>
      <c r="C285" s="2">
        <f>COUNTIFS(Games[Team],Games[[#This Row],[Team]],Games[Season],Games[[#This Row],[Season]],Games[Date],"&lt;=" &amp; Games[[#This Row],[Date]])</f>
        <v>26</v>
      </c>
      <c r="D285" s="2" t="s">
        <v>81</v>
      </c>
      <c r="E285" s="2" t="s">
        <v>82</v>
      </c>
      <c r="F285" s="1" t="s">
        <v>60</v>
      </c>
      <c r="G285" s="1" t="s">
        <v>69</v>
      </c>
      <c r="H285" s="1" t="s">
        <v>84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-1</v>
      </c>
      <c r="L285" s="2">
        <f>Games[[#This Row],[OppDaysOff]]-Games[[#This Row],[DaysOff]]</f>
        <v>1</v>
      </c>
      <c r="M285" s="1">
        <f>MAX(-16, MIN(16, Games[[#This Row],[RestDiff]]*8))</f>
        <v>-8</v>
      </c>
      <c r="N285" s="1">
        <f>MAX(-16, MIN(16, Games[[#This Row],[OppRestDiff]]*8))</f>
        <v>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1621.3859260928862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1530.647805278961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0.71377101712418323</v>
      </c>
      <c r="R285" s="1">
        <v>70</v>
      </c>
      <c r="S285" s="1">
        <v>82</v>
      </c>
      <c r="T285" s="1">
        <v>0</v>
      </c>
      <c r="U285" s="1">
        <f>Games[[#This Row],[PointsFor]]-Games[[#This Row],[PointsAgainst]]</f>
        <v>-12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0.42406381501050933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72.099999999999994</v>
      </c>
      <c r="Z285" s="4">
        <f>Games[[#This Row],[K]]*Games[[#This Row],[POMult]]</f>
        <v>72.099999999999994</v>
      </c>
      <c r="AA285" s="4">
        <f>(Games[[#This Row],[Keff]]*Games[[#This Row],[MOVMult]])*(Games[[#This Row],[Result]]-Games[[#This Row],[ExpectedWin%]])</f>
        <v>-21.823549606780674</v>
      </c>
      <c r="AB285" s="4">
        <f>Games[[#This Row],[PreGmRate]]+Games[[#This Row],[RatingChange]]</f>
        <v>1599.5623764861054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42573</v>
      </c>
      <c r="B286" s="2">
        <v>2016</v>
      </c>
      <c r="C286" s="2">
        <f>COUNTIFS(Games[Team],Games[[#This Row],[Team]],Games[Season],Games[[#This Row],[Season]],Games[Date],"&lt;=" &amp; Games[[#This Row],[Date]])</f>
        <v>25</v>
      </c>
      <c r="D286" s="2" t="s">
        <v>81</v>
      </c>
      <c r="E286" s="2" t="s">
        <v>82</v>
      </c>
      <c r="F286" s="1" t="s">
        <v>87</v>
      </c>
      <c r="G286" s="1" t="s">
        <v>79</v>
      </c>
      <c r="H286" s="1" t="s">
        <v>83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0</v>
      </c>
      <c r="L286" s="2">
        <f>Games[[#This Row],[OppDaysOff]]-Games[[#This Row],[DaysOff]]</f>
        <v>0</v>
      </c>
      <c r="M286" s="1">
        <f>MAX(-16, MIN(16, Games[[#This Row],[RestDiff]]*8))</f>
        <v>0</v>
      </c>
      <c r="N286" s="1">
        <f>MAX(-16, MIN(16, Games[[#This Row],[OppRestDiff]]*8))</f>
        <v>0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1417.9313504441332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1483.2729945954754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0.2974062888706655</v>
      </c>
      <c r="R286" s="1">
        <v>88</v>
      </c>
      <c r="S286" s="1">
        <v>93</v>
      </c>
      <c r="T286" s="1">
        <v>0</v>
      </c>
      <c r="U286" s="1">
        <f>Games[[#This Row],[PointsFor]]-Games[[#This Row],[PointsAgainst]]</f>
        <v>-5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0.31462425376863778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72.25</v>
      </c>
      <c r="Z286" s="4">
        <f>Games[[#This Row],[K]]*Games[[#This Row],[POMult]]</f>
        <v>72.25</v>
      </c>
      <c r="AA286" s="4">
        <f>(Games[[#This Row],[Keff]]*Games[[#This Row],[MOVMult]])*(Games[[#This Row],[Result]]-Games[[#This Row],[ExpectedWin%]])</f>
        <v>-6.7605214904718878</v>
      </c>
      <c r="AB286" s="4">
        <f>Games[[#This Row],[PreGmRate]]+Games[[#This Row],[RatingChange]]</f>
        <v>1411.1708289536614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42573</v>
      </c>
      <c r="B287" s="2">
        <v>2016</v>
      </c>
      <c r="C287" s="2">
        <f>COUNTIFS(Games[Team],Games[[#This Row],[Team]],Games[Season],Games[[#This Row],[Season]],Games[Date],"&lt;=" &amp; Games[[#This Row],[Date]])</f>
        <v>25</v>
      </c>
      <c r="D287" s="2" t="s">
        <v>81</v>
      </c>
      <c r="E287" s="2" t="s">
        <v>82</v>
      </c>
      <c r="F287" s="1" t="s">
        <v>79</v>
      </c>
      <c r="G287" s="1" t="s">
        <v>87</v>
      </c>
      <c r="H287" s="1" t="s">
        <v>84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0</v>
      </c>
      <c r="L287" s="2">
        <f>Games[[#This Row],[OppDaysOff]]-Games[[#This Row],[DaysOff]]</f>
        <v>0</v>
      </c>
      <c r="M287" s="1">
        <f>MAX(-16, MIN(16, Games[[#This Row],[RestDiff]]*8))</f>
        <v>0</v>
      </c>
      <c r="N287" s="1">
        <f>MAX(-16, MIN(16, Games[[#This Row],[OppRestDiff]]*8))</f>
        <v>0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1483.2729945954754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1417.9313504441332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0.70259371112933455</v>
      </c>
      <c r="R287" s="1">
        <v>93</v>
      </c>
      <c r="S287" s="1">
        <v>88</v>
      </c>
      <c r="T287" s="1">
        <v>0</v>
      </c>
      <c r="U287" s="1">
        <f>Games[[#This Row],[PointsFor]]-Games[[#This Row],[PointsAgainst]]</f>
        <v>5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0.31462425376863778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72.25</v>
      </c>
      <c r="Z287" s="4">
        <f>Games[[#This Row],[K]]*Games[[#This Row],[POMult]]</f>
        <v>72.25</v>
      </c>
      <c r="AA287" s="4">
        <f>(Games[[#This Row],[Keff]]*Games[[#This Row],[MOVMult]])*(Games[[#This Row],[Result]]-Games[[#This Row],[ExpectedWin%]])</f>
        <v>6.7605214904718869</v>
      </c>
      <c r="AB287" s="4">
        <f>Games[[#This Row],[PreGmRate]]+Games[[#This Row],[RatingChange]]</f>
        <v>1490.0335160859472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42573</v>
      </c>
      <c r="B288" s="2">
        <v>2016</v>
      </c>
      <c r="C288" s="2">
        <f>COUNTIFS(Games[Team],Games[[#This Row],[Team]],Games[Season],Games[[#This Row],[Season]],Games[Date],"&lt;=" &amp; Games[[#This Row],[Date]])</f>
        <v>24</v>
      </c>
      <c r="D288" s="2" t="s">
        <v>81</v>
      </c>
      <c r="E288" s="2" t="s">
        <v>82</v>
      </c>
      <c r="F288" s="1" t="s">
        <v>76</v>
      </c>
      <c r="G288" s="1" t="s">
        <v>77</v>
      </c>
      <c r="H288" s="1" t="s">
        <v>83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-1</v>
      </c>
      <c r="L288" s="2">
        <f>Games[[#This Row],[OppDaysOff]]-Games[[#This Row],[DaysOff]]</f>
        <v>1</v>
      </c>
      <c r="M288" s="1">
        <f>MAX(-16, MIN(16, Games[[#This Row],[RestDiff]]*8))</f>
        <v>-8</v>
      </c>
      <c r="N288" s="1">
        <f>MAX(-16, MIN(16, Games[[#This Row],[OppRestDiff]]*8))</f>
        <v>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1418.1021924136637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1517.1958206062768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0.24120672106257815</v>
      </c>
      <c r="R288" s="1">
        <v>94</v>
      </c>
      <c r="S288" s="1">
        <v>89</v>
      </c>
      <c r="T288" s="1">
        <v>0</v>
      </c>
      <c r="U288" s="1">
        <f>Games[[#This Row],[PointsFor]]-Games[[#This Row],[PointsAgainst]]</f>
        <v>5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0.30644994472597858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16.835328267350349</v>
      </c>
      <c r="AB288" s="4">
        <f>Games[[#This Row],[PreGmRate]]+Games[[#This Row],[RatingChange]]</f>
        <v>1434.9375206810141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42573</v>
      </c>
      <c r="B289" s="2">
        <v>2016</v>
      </c>
      <c r="C289" s="2">
        <f>COUNTIFS(Games[Team],Games[[#This Row],[Team]],Games[Season],Games[[#This Row],[Season]],Games[Date],"&lt;=" &amp; Games[[#This Row],[Date]])</f>
        <v>24</v>
      </c>
      <c r="D289" s="2" t="s">
        <v>81</v>
      </c>
      <c r="E289" s="2" t="s">
        <v>82</v>
      </c>
      <c r="F289" s="1" t="s">
        <v>77</v>
      </c>
      <c r="G289" s="1" t="s">
        <v>76</v>
      </c>
      <c r="H289" s="1" t="s">
        <v>84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1</v>
      </c>
      <c r="L289" s="2">
        <f>Games[[#This Row],[OppDaysOff]]-Games[[#This Row],[DaysOff]]</f>
        <v>-1</v>
      </c>
      <c r="M289" s="1">
        <f>MAX(-16, MIN(16, Games[[#This Row],[RestDiff]]*8))</f>
        <v>8</v>
      </c>
      <c r="N289" s="1">
        <f>MAX(-16, MIN(16, Games[[#This Row],[OppRestDiff]]*8))</f>
        <v>-8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1517.1958206062768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1418.1021924136637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0.75879327893742188</v>
      </c>
      <c r="R289" s="1">
        <v>89</v>
      </c>
      <c r="S289" s="1">
        <v>94</v>
      </c>
      <c r="T289" s="1">
        <v>0</v>
      </c>
      <c r="U289" s="1">
        <f>Games[[#This Row],[PointsFor]]-Games[[#This Row],[PointsAgainst]]</f>
        <v>-5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0.30644994472597858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-16.835328267350349</v>
      </c>
      <c r="AB289" s="4">
        <f>Games[[#This Row],[PreGmRate]]+Games[[#This Row],[RatingChange]]</f>
        <v>1500.3604923389264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42573</v>
      </c>
      <c r="B290" s="2">
        <v>2016</v>
      </c>
      <c r="C290" s="2">
        <f>COUNTIFS(Games[Team],Games[[#This Row],[Team]],Games[Season],Games[[#This Row],[Season]],Games[Date],"&lt;=" &amp; Games[[#This Row],[Date]])</f>
        <v>24</v>
      </c>
      <c r="D290" s="2" t="s">
        <v>81</v>
      </c>
      <c r="E290" s="2" t="s">
        <v>82</v>
      </c>
      <c r="F290" s="1" t="s">
        <v>71</v>
      </c>
      <c r="G290" s="1" t="s">
        <v>67</v>
      </c>
      <c r="H290" s="1" t="s">
        <v>83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1423.8955947279489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1679.0633434496815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0.12429119025349229</v>
      </c>
      <c r="R290" s="1">
        <v>72</v>
      </c>
      <c r="S290" s="1">
        <v>79</v>
      </c>
      <c r="T290" s="1">
        <v>0</v>
      </c>
      <c r="U290" s="1">
        <f>Games[[#This Row],[PointsFor]]-Games[[#This Row],[PointsAgainst]]</f>
        <v>-7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0.30520784107173982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72.400000000000006</v>
      </c>
      <c r="Z290" s="4">
        <f>Games[[#This Row],[K]]*Games[[#This Row],[POMult]]</f>
        <v>72.400000000000006</v>
      </c>
      <c r="AA290" s="4">
        <f>(Games[[#This Row],[Keff]]*Games[[#This Row],[MOVMult]])*(Games[[#This Row],[Result]]-Games[[#This Row],[ExpectedWin%]])</f>
        <v>-2.7464683589249805</v>
      </c>
      <c r="AB290" s="4">
        <f>Games[[#This Row],[PreGmRate]]+Games[[#This Row],[RatingChange]]</f>
        <v>1421.1491263690239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42573</v>
      </c>
      <c r="B291" s="2">
        <v>2016</v>
      </c>
      <c r="C291" s="2">
        <f>COUNTIFS(Games[Team],Games[[#This Row],[Team]],Games[Season],Games[[#This Row],[Season]],Games[Date],"&lt;=" &amp; Games[[#This Row],[Date]])</f>
        <v>25</v>
      </c>
      <c r="D291" s="2" t="s">
        <v>81</v>
      </c>
      <c r="E291" s="2" t="s">
        <v>82</v>
      </c>
      <c r="F291" s="1" t="s">
        <v>67</v>
      </c>
      <c r="G291" s="1" t="s">
        <v>71</v>
      </c>
      <c r="H291" s="1" t="s">
        <v>84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1679.0633434496815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1423.8955947279489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0.87570880974650778</v>
      </c>
      <c r="R291" s="1">
        <v>79</v>
      </c>
      <c r="S291" s="1">
        <v>72</v>
      </c>
      <c r="T291" s="1">
        <v>0</v>
      </c>
      <c r="U291" s="1">
        <f>Games[[#This Row],[PointsFor]]-Games[[#This Row],[PointsAgainst]]</f>
        <v>7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0.30520784107173982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72.25</v>
      </c>
      <c r="Z291" s="4">
        <f>Games[[#This Row],[K]]*Games[[#This Row],[POMult]]</f>
        <v>72.25</v>
      </c>
      <c r="AA291" s="4">
        <f>(Games[[#This Row],[Keff]]*Games[[#This Row],[MOVMult]])*(Games[[#This Row],[Result]]-Games[[#This Row],[ExpectedWin%]])</f>
        <v>2.7407781620487528</v>
      </c>
      <c r="AB291" s="4">
        <f>Games[[#This Row],[PreGmRate]]+Games[[#This Row],[RatingChange]]</f>
        <v>1681.8041216117304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42573</v>
      </c>
      <c r="B292" s="2">
        <v>2016</v>
      </c>
      <c r="C292" s="2">
        <f>COUNTIFS(Games[Team],Games[[#This Row],[Team]],Games[Season],Games[[#This Row],[Season]],Games[Date],"&lt;=" &amp; Games[[#This Row],[Date]])</f>
        <v>24</v>
      </c>
      <c r="D292" s="2" t="s">
        <v>81</v>
      </c>
      <c r="E292" s="2" t="s">
        <v>82</v>
      </c>
      <c r="F292" s="1" t="s">
        <v>63</v>
      </c>
      <c r="G292" s="1" t="s">
        <v>65</v>
      </c>
      <c r="H292" s="1" t="s">
        <v>83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1</v>
      </c>
      <c r="L292" s="2">
        <f>Games[[#This Row],[OppDaysOff]]-Games[[#This Row],[DaysOff]]</f>
        <v>-1</v>
      </c>
      <c r="M292" s="1">
        <f>MAX(-16, MIN(16, Games[[#This Row],[RestDiff]]*8))</f>
        <v>8</v>
      </c>
      <c r="N292" s="1">
        <f>MAX(-16, MIN(16, Games[[#This Row],[OppRestDiff]]*8))</f>
        <v>-8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1660.7584834578022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1447.0082079670369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0.69825583295770854</v>
      </c>
      <c r="R292" s="1">
        <v>95</v>
      </c>
      <c r="S292" s="1">
        <v>75</v>
      </c>
      <c r="T292" s="1">
        <v>0</v>
      </c>
      <c r="U292" s="1">
        <f>Games[[#This Row],[PointsFor]]-Games[[#This Row],[PointsAgainst]]</f>
        <v>20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0.48796795494248768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72.400000000000006</v>
      </c>
      <c r="Z292" s="4">
        <f>Games[[#This Row],[K]]*Games[[#This Row],[POMult]]</f>
        <v>72.400000000000006</v>
      </c>
      <c r="AA292" s="4">
        <f>(Games[[#This Row],[Keff]]*Games[[#This Row],[MOVMult]])*(Games[[#This Row],[Result]]-Games[[#This Row],[ExpectedWin%]])</f>
        <v>10.660283449379479</v>
      </c>
      <c r="AB292" s="4">
        <f>Games[[#This Row],[PreGmRate]]+Games[[#This Row],[RatingChange]]</f>
        <v>1671.4187669071816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42573</v>
      </c>
      <c r="B293" s="2">
        <v>2016</v>
      </c>
      <c r="C293" s="2">
        <f>COUNTIFS(Games[Team],Games[[#This Row],[Team]],Games[Season],Games[[#This Row],[Season]],Games[Date],"&lt;=" &amp; Games[[#This Row],[Date]])</f>
        <v>24</v>
      </c>
      <c r="D293" s="2" t="s">
        <v>81</v>
      </c>
      <c r="E293" s="2" t="s">
        <v>82</v>
      </c>
      <c r="F293" s="1" t="s">
        <v>65</v>
      </c>
      <c r="G293" s="1" t="s">
        <v>63</v>
      </c>
      <c r="H293" s="1" t="s">
        <v>84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3" s="2">
        <f>Games[[#This Row],[DaysOff]]-Games[[#This Row],[OppDaysOff]]</f>
        <v>-1</v>
      </c>
      <c r="L293" s="2">
        <f>Games[[#This Row],[OppDaysOff]]-Games[[#This Row],[DaysOff]]</f>
        <v>1</v>
      </c>
      <c r="M293" s="1">
        <f>MAX(-16, MIN(16, Games[[#This Row],[RestDiff]]*8))</f>
        <v>-8</v>
      </c>
      <c r="N293" s="1">
        <f>MAX(-16, MIN(16, Games[[#This Row],[OppRestDiff]]*8))</f>
        <v>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1447.0082079670369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1660.7584834578022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0.30174416704229146</v>
      </c>
      <c r="R293" s="1">
        <v>75</v>
      </c>
      <c r="S293" s="1">
        <v>95</v>
      </c>
      <c r="T293" s="1">
        <v>0</v>
      </c>
      <c r="U293" s="1">
        <f>Games[[#This Row],[PointsFor]]-Games[[#This Row],[PointsAgainst]]</f>
        <v>-20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0.48796795494248768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72.400000000000006</v>
      </c>
      <c r="Z293" s="4">
        <f>Games[[#This Row],[K]]*Games[[#This Row],[POMult]]</f>
        <v>72.400000000000006</v>
      </c>
      <c r="AA293" s="4">
        <f>(Games[[#This Row],[Keff]]*Games[[#This Row],[MOVMult]])*(Games[[#This Row],[Result]]-Games[[#This Row],[ExpectedWin%]])</f>
        <v>-10.660283449379479</v>
      </c>
      <c r="AB293" s="4">
        <f>Games[[#This Row],[PreGmRate]]+Games[[#This Row],[RatingChange]]</f>
        <v>1436.3479245176575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42608</v>
      </c>
      <c r="B294" s="2">
        <v>2016</v>
      </c>
      <c r="C294" s="2">
        <f>COUNTIFS(Games[Team],Games[[#This Row],[Team]],Games[Season],Games[[#This Row],[Season]],Games[Date],"&lt;=" &amp; Games[[#This Row],[Date]])</f>
        <v>26</v>
      </c>
      <c r="D294" s="2" t="s">
        <v>81</v>
      </c>
      <c r="E294" s="2" t="s">
        <v>82</v>
      </c>
      <c r="F294" s="1" t="s">
        <v>79</v>
      </c>
      <c r="G294" s="1" t="s">
        <v>77</v>
      </c>
      <c r="H294" s="1" t="s">
        <v>83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1490.0335160859472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1500.3604923389264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0.36749237087610553</v>
      </c>
      <c r="R294" s="1">
        <v>82</v>
      </c>
      <c r="S294" s="1">
        <v>90</v>
      </c>
      <c r="T294" s="1">
        <v>0</v>
      </c>
      <c r="U294" s="1">
        <f>Games[[#This Row],[PointsFor]]-Games[[#This Row],[PointsAgainst]]</f>
        <v>-8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0.38500227719142321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72.099999999999994</v>
      </c>
      <c r="Z294" s="4">
        <f>Games[[#This Row],[K]]*Games[[#This Row],[POMult]]</f>
        <v>72.099999999999994</v>
      </c>
      <c r="AA294" s="4">
        <f>(Games[[#This Row],[Keff]]*Games[[#This Row],[MOVMult]])*(Games[[#This Row],[Result]]-Games[[#This Row],[ExpectedWin%]])</f>
        <v>-10.201097313883626</v>
      </c>
      <c r="AB294" s="4">
        <f>Games[[#This Row],[PreGmRate]]+Games[[#This Row],[RatingChange]]</f>
        <v>1479.8324187720636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42608</v>
      </c>
      <c r="B295" s="2">
        <v>2016</v>
      </c>
      <c r="C295" s="2">
        <f>COUNTIFS(Games[Team],Games[[#This Row],[Team]],Games[Season],Games[[#This Row],[Season]],Games[Date],"&lt;=" &amp; Games[[#This Row],[Date]])</f>
        <v>25</v>
      </c>
      <c r="D295" s="2" t="s">
        <v>81</v>
      </c>
      <c r="E295" s="2" t="s">
        <v>82</v>
      </c>
      <c r="F295" s="1" t="s">
        <v>77</v>
      </c>
      <c r="G295" s="1" t="s">
        <v>79</v>
      </c>
      <c r="H295" s="1" t="s">
        <v>84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1500.3604923389264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1490.0335160859472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0.63250762912389447</v>
      </c>
      <c r="R295" s="1">
        <v>90</v>
      </c>
      <c r="S295" s="1">
        <v>82</v>
      </c>
      <c r="T295" s="1">
        <v>0</v>
      </c>
      <c r="U295" s="1">
        <f>Games[[#This Row],[PointsFor]]-Games[[#This Row],[PointsAgainst]]</f>
        <v>8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0.38500227719142321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10.222320123829293</v>
      </c>
      <c r="AB295" s="4">
        <f>Games[[#This Row],[PreGmRate]]+Games[[#This Row],[RatingChange]]</f>
        <v>1510.5828124627558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42608</v>
      </c>
      <c r="B296" s="2">
        <v>2016</v>
      </c>
      <c r="C296" s="2">
        <f>COUNTIFS(Games[Team],Games[[#This Row],[Team]],Games[Season],Games[[#This Row],[Season]],Games[Date],"&lt;=" &amp; Games[[#This Row],[Date]])</f>
        <v>26</v>
      </c>
      <c r="D296" s="2" t="s">
        <v>81</v>
      </c>
      <c r="E296" s="2" t="s">
        <v>82</v>
      </c>
      <c r="F296" s="1" t="s">
        <v>67</v>
      </c>
      <c r="G296" s="1" t="s">
        <v>76</v>
      </c>
      <c r="H296" s="1" t="s">
        <v>83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1681.8041216117304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1434.9375206810141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0.71860157496665866</v>
      </c>
      <c r="R296" s="1">
        <v>80</v>
      </c>
      <c r="S296" s="1">
        <v>84</v>
      </c>
      <c r="T296" s="1">
        <v>0</v>
      </c>
      <c r="U296" s="1">
        <f>Games[[#This Row],[PointsFor]]-Games[[#This Row],[PointsAgainst]]</f>
        <v>-4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0.25829560350916614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72.099999999999994</v>
      </c>
      <c r="Z296" s="4">
        <f>Games[[#This Row],[K]]*Games[[#This Row],[POMult]]</f>
        <v>72.099999999999994</v>
      </c>
      <c r="AA296" s="4">
        <f>(Games[[#This Row],[Keff]]*Games[[#This Row],[MOVMult]])*(Games[[#This Row],[Result]]-Games[[#This Row],[ExpectedWin%]])</f>
        <v>-13.382598341931692</v>
      </c>
      <c r="AB296" s="4">
        <f>Games[[#This Row],[PreGmRate]]+Games[[#This Row],[RatingChange]]</f>
        <v>1668.4215232697986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42608</v>
      </c>
      <c r="B297" s="2">
        <v>2016</v>
      </c>
      <c r="C297" s="2">
        <f>COUNTIFS(Games[Team],Games[[#This Row],[Team]],Games[Season],Games[[#This Row],[Season]],Games[Date],"&lt;=" &amp; Games[[#This Row],[Date]])</f>
        <v>25</v>
      </c>
      <c r="D297" s="2" t="s">
        <v>81</v>
      </c>
      <c r="E297" s="2" t="s">
        <v>82</v>
      </c>
      <c r="F297" s="1" t="s">
        <v>76</v>
      </c>
      <c r="G297" s="1" t="s">
        <v>67</v>
      </c>
      <c r="H297" s="1" t="s">
        <v>84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1434.9375206810141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1681.8041216117304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0.28139842503334134</v>
      </c>
      <c r="R297" s="1">
        <v>84</v>
      </c>
      <c r="S297" s="1">
        <v>80</v>
      </c>
      <c r="T297" s="1">
        <v>0</v>
      </c>
      <c r="U297" s="1">
        <f>Games[[#This Row],[PointsFor]]-Games[[#This Row],[PointsAgainst]]</f>
        <v>4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0.25829560350916614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72.25</v>
      </c>
      <c r="Z297" s="4">
        <f>Games[[#This Row],[K]]*Games[[#This Row],[POMult]]</f>
        <v>72.25</v>
      </c>
      <c r="AA297" s="4">
        <f>(Games[[#This Row],[Keff]]*Games[[#This Row],[MOVMult]])*(Games[[#This Row],[Result]]-Games[[#This Row],[ExpectedWin%]])</f>
        <v>13.410440086054992</v>
      </c>
      <c r="AB297" s="4">
        <f>Games[[#This Row],[PreGmRate]]+Games[[#This Row],[RatingChange]]</f>
        <v>1448.347960767069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42608</v>
      </c>
      <c r="B298" s="2">
        <v>2016</v>
      </c>
      <c r="C298" s="2">
        <f>COUNTIFS(Games[Team],Games[[#This Row],[Team]],Games[Season],Games[[#This Row],[Season]],Games[Date],"&lt;=" &amp; Games[[#This Row],[Date]])</f>
        <v>26</v>
      </c>
      <c r="D298" s="2" t="s">
        <v>81</v>
      </c>
      <c r="E298" s="2" t="s">
        <v>82</v>
      </c>
      <c r="F298" s="1" t="s">
        <v>87</v>
      </c>
      <c r="G298" s="1" t="s">
        <v>40</v>
      </c>
      <c r="H298" s="1" t="s">
        <v>83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37</v>
      </c>
      <c r="K298" s="2">
        <f>Games[[#This Row],[DaysOff]]-Games[[#This Row],[OppDaysOff]]</f>
        <v>-3</v>
      </c>
      <c r="L298" s="2">
        <f>Games[[#This Row],[OppDaysOff]]-Games[[#This Row],[DaysOff]]</f>
        <v>3</v>
      </c>
      <c r="M298" s="1">
        <f>MAX(-16, MIN(16, Games[[#This Row],[RestDiff]]*8))</f>
        <v>-16</v>
      </c>
      <c r="N298" s="1">
        <f>MAX(-16, MIN(16, Games[[#This Row],[OppRestDiff]]*8))</f>
        <v>16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1411.1708289536614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1481.852195306946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0.25452465995333134</v>
      </c>
      <c r="R298" s="1">
        <v>72</v>
      </c>
      <c r="S298" s="1">
        <v>98</v>
      </c>
      <c r="T298" s="1">
        <v>0</v>
      </c>
      <c r="U298" s="1">
        <f>Games[[#This Row],[PointsFor]]-Games[[#This Row],[PointsAgainst]]</f>
        <v>-26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0.61770391650016387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72.099999999999994</v>
      </c>
      <c r="Z298" s="4">
        <f>Games[[#This Row],[K]]*Games[[#This Row],[POMult]]</f>
        <v>72.099999999999994</v>
      </c>
      <c r="AA298" s="4">
        <f>(Games[[#This Row],[Keff]]*Games[[#This Row],[MOVMult]])*(Games[[#This Row],[Result]]-Games[[#This Row],[ExpectedWin%]])</f>
        <v>-11.335625397461158</v>
      </c>
      <c r="AB298" s="4">
        <f>Games[[#This Row],[PreGmRate]]+Games[[#This Row],[RatingChange]]</f>
        <v>1399.8352035562002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42608</v>
      </c>
      <c r="B299" s="2">
        <v>2016</v>
      </c>
      <c r="C299" s="2">
        <f>COUNTIFS(Games[Team],Games[[#This Row],[Team]],Games[Season],Games[[#This Row],[Season]],Games[Date],"&lt;=" &amp; Games[[#This Row],[Date]])</f>
        <v>25</v>
      </c>
      <c r="D299" s="2" t="s">
        <v>81</v>
      </c>
      <c r="E299" s="2" t="s">
        <v>82</v>
      </c>
      <c r="F299" s="1" t="s">
        <v>40</v>
      </c>
      <c r="G299" s="1" t="s">
        <v>87</v>
      </c>
      <c r="H299" s="1" t="s">
        <v>84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37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99" s="2">
        <f>Games[[#This Row],[DaysOff]]-Games[[#This Row],[OppDaysOff]]</f>
        <v>3</v>
      </c>
      <c r="L299" s="2">
        <f>Games[[#This Row],[OppDaysOff]]-Games[[#This Row],[DaysOff]]</f>
        <v>-3</v>
      </c>
      <c r="M299" s="1">
        <f>MAX(-16, MIN(16, Games[[#This Row],[RestDiff]]*8))</f>
        <v>16</v>
      </c>
      <c r="N299" s="1">
        <f>MAX(-16, MIN(16, Games[[#This Row],[OppRestDiff]]*8))</f>
        <v>-16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1481.852195306946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1411.1708289536614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0.74547534004666871</v>
      </c>
      <c r="R299" s="1">
        <v>98</v>
      </c>
      <c r="S299" s="1">
        <v>72</v>
      </c>
      <c r="T299" s="1">
        <v>0</v>
      </c>
      <c r="U299" s="1">
        <f>Games[[#This Row],[PointsFor]]-Games[[#This Row],[PointsAgainst]]</f>
        <v>26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0.61770391650016387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72.25</v>
      </c>
      <c r="Z299" s="4">
        <f>Games[[#This Row],[K]]*Games[[#This Row],[POMult]]</f>
        <v>72.25</v>
      </c>
      <c r="AA299" s="4">
        <f>(Games[[#This Row],[Keff]]*Games[[#This Row],[MOVMult]])*(Games[[#This Row],[Result]]-Games[[#This Row],[ExpectedWin%]])</f>
        <v>11.359208529356012</v>
      </c>
      <c r="AB299" s="4">
        <f>Games[[#This Row],[PreGmRate]]+Games[[#This Row],[RatingChange]]</f>
        <v>1493.211403836302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42608</v>
      </c>
      <c r="B300" s="2">
        <v>2016</v>
      </c>
      <c r="C300" s="2">
        <f>COUNTIFS(Games[Team],Games[[#This Row],[Team]],Games[Season],Games[[#This Row],[Season]],Games[Date],"&lt;=" &amp; Games[[#This Row],[Date]])</f>
        <v>27</v>
      </c>
      <c r="D300" s="2" t="s">
        <v>81</v>
      </c>
      <c r="E300" s="2" t="s">
        <v>82</v>
      </c>
      <c r="F300" s="1" t="s">
        <v>60</v>
      </c>
      <c r="G300" s="1" t="s">
        <v>74</v>
      </c>
      <c r="H300" s="1" t="s">
        <v>83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35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36</v>
      </c>
      <c r="K300" s="2">
        <f>Games[[#This Row],[DaysOff]]-Games[[#This Row],[OppDaysOff]]</f>
        <v>-1</v>
      </c>
      <c r="L300" s="2">
        <f>Games[[#This Row],[OppDaysOff]]-Games[[#This Row],[DaysOff]]</f>
        <v>1</v>
      </c>
      <c r="M300" s="1">
        <f>MAX(-16, MIN(16, Games[[#This Row],[RestDiff]]*8))</f>
        <v>-8</v>
      </c>
      <c r="N300" s="1">
        <f>MAX(-16, MIN(16, Games[[#This Row],[OppRestDiff]]*8))</f>
        <v>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1599.5623764861054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1319.6172070613727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0.73804801535419062</v>
      </c>
      <c r="R300" s="1">
        <v>84</v>
      </c>
      <c r="S300" s="1">
        <v>77</v>
      </c>
      <c r="T300" s="1">
        <v>0</v>
      </c>
      <c r="U300" s="1">
        <f>Games[[#This Row],[PointsFor]]-Games[[#This Row],[PointsAgainst]]</f>
        <v>7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0.30009801454821505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71.95</v>
      </c>
      <c r="Z300" s="4">
        <f>Games[[#This Row],[K]]*Games[[#This Row],[POMult]]</f>
        <v>71.95</v>
      </c>
      <c r="AA300" s="4">
        <f>(Games[[#This Row],[Keff]]*Games[[#This Row],[MOVMult]])*(Games[[#This Row],[Result]]-Games[[#This Row],[ExpectedWin%]])</f>
        <v>5.656080912415419</v>
      </c>
      <c r="AB300" s="4">
        <f>Games[[#This Row],[PreGmRate]]+Games[[#This Row],[RatingChange]]</f>
        <v>1605.218457398521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42608</v>
      </c>
      <c r="B301" s="2">
        <v>2016</v>
      </c>
      <c r="C301" s="2">
        <f>COUNTIFS(Games[Team],Games[[#This Row],[Team]],Games[Season],Games[[#This Row],[Season]],Games[Date],"&lt;=" &amp; Games[[#This Row],[Date]])</f>
        <v>24</v>
      </c>
      <c r="D301" s="2" t="s">
        <v>81</v>
      </c>
      <c r="E301" s="2" t="s">
        <v>82</v>
      </c>
      <c r="F301" s="1" t="s">
        <v>74</v>
      </c>
      <c r="G301" s="1" t="s">
        <v>60</v>
      </c>
      <c r="H301" s="1" t="s">
        <v>84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36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35</v>
      </c>
      <c r="K301" s="2">
        <f>Games[[#This Row],[DaysOff]]-Games[[#This Row],[OppDaysOff]]</f>
        <v>1</v>
      </c>
      <c r="L301" s="2">
        <f>Games[[#This Row],[OppDaysOff]]-Games[[#This Row],[DaysOff]]</f>
        <v>-1</v>
      </c>
      <c r="M301" s="1">
        <f>MAX(-16, MIN(16, Games[[#This Row],[RestDiff]]*8))</f>
        <v>8</v>
      </c>
      <c r="N301" s="1">
        <f>MAX(-16, MIN(16, Games[[#This Row],[OppRestDiff]]*8))</f>
        <v>-8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1319.6172070613727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1599.5623764861054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0.26195198464580943</v>
      </c>
      <c r="R301" s="1">
        <v>77</v>
      </c>
      <c r="S301" s="1">
        <v>84</v>
      </c>
      <c r="T301" s="1">
        <v>0</v>
      </c>
      <c r="U301" s="1">
        <f>Games[[#This Row],[PointsFor]]-Games[[#This Row],[PointsAgainst]]</f>
        <v>-7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0.30009801454821505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72.400000000000006</v>
      </c>
      <c r="Z301" s="4">
        <f>Games[[#This Row],[K]]*Games[[#This Row],[POMult]]</f>
        <v>72.400000000000006</v>
      </c>
      <c r="AA301" s="4">
        <f>(Games[[#This Row],[Keff]]*Games[[#This Row],[MOVMult]])*(Games[[#This Row],[Result]]-Games[[#This Row],[ExpectedWin%]])</f>
        <v>-5.6914559841400481</v>
      </c>
      <c r="AB301" s="4">
        <f>Games[[#This Row],[PreGmRate]]+Games[[#This Row],[RatingChange]]</f>
        <v>1313.9257510772327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42608</v>
      </c>
      <c r="B302" s="2">
        <v>2016</v>
      </c>
      <c r="C302" s="2">
        <f>COUNTIFS(Games[Team],Games[[#This Row],[Team]],Games[Season],Games[[#This Row],[Season]],Games[Date],"&lt;=" &amp; Games[[#This Row],[Date]])</f>
        <v>25</v>
      </c>
      <c r="D302" s="2" t="s">
        <v>81</v>
      </c>
      <c r="E302" s="2" t="s">
        <v>82</v>
      </c>
      <c r="F302" s="1" t="s">
        <v>63</v>
      </c>
      <c r="G302" s="1" t="s">
        <v>71</v>
      </c>
      <c r="H302" s="1" t="s">
        <v>83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34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1671.4187669071816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1421.1491263690239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0.72254581099409787</v>
      </c>
      <c r="R302" s="1">
        <v>72</v>
      </c>
      <c r="S302" s="1">
        <v>79</v>
      </c>
      <c r="T302" s="1">
        <v>0</v>
      </c>
      <c r="U302" s="1">
        <f>Games[[#This Row],[PointsFor]]-Games[[#This Row],[PointsAgainst]]</f>
        <v>-7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0.30623864319450228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-15.98686217613985</v>
      </c>
      <c r="AB302" s="4">
        <f>Games[[#This Row],[PreGmRate]]+Games[[#This Row],[RatingChange]]</f>
        <v>1655.4319047310419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42608</v>
      </c>
      <c r="B303" s="2">
        <v>2016</v>
      </c>
      <c r="C303" s="2">
        <f>COUNTIFS(Games[Team],Games[[#This Row],[Team]],Games[Season],Games[[#This Row],[Season]],Games[Date],"&lt;=" &amp; Games[[#This Row],[Date]])</f>
        <v>25</v>
      </c>
      <c r="D303" s="2" t="s">
        <v>81</v>
      </c>
      <c r="E303" s="2" t="s">
        <v>82</v>
      </c>
      <c r="F303" s="1" t="s">
        <v>71</v>
      </c>
      <c r="G303" s="1" t="s">
        <v>63</v>
      </c>
      <c r="H303" s="1" t="s">
        <v>84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34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1421.1491263690239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1671.4187669071816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0.27745418900590224</v>
      </c>
      <c r="R303" s="1">
        <v>79</v>
      </c>
      <c r="S303" s="1">
        <v>72</v>
      </c>
      <c r="T303" s="1">
        <v>0</v>
      </c>
      <c r="U303" s="1">
        <f>Games[[#This Row],[PointsFor]]-Games[[#This Row],[PointsAgainst]]</f>
        <v>7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0.30623864319450228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72.25</v>
      </c>
      <c r="Z303" s="4">
        <f>Games[[#This Row],[K]]*Games[[#This Row],[POMult]]</f>
        <v>72.25</v>
      </c>
      <c r="AA303" s="4">
        <f>(Games[[#This Row],[Keff]]*Games[[#This Row],[MOVMult]])*(Games[[#This Row],[Result]]-Games[[#This Row],[ExpectedWin%]])</f>
        <v>15.986862176139848</v>
      </c>
      <c r="AB303" s="4">
        <f>Games[[#This Row],[PreGmRate]]+Games[[#This Row],[RatingChange]]</f>
        <v>1437.1359885451636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42609</v>
      </c>
      <c r="B304" s="2">
        <v>2016</v>
      </c>
      <c r="C304" s="2">
        <f>COUNTIFS(Games[Team],Games[[#This Row],[Team]],Games[Season],Games[[#This Row],[Season]],Games[Date],"&lt;=" &amp; Games[[#This Row],[Date]])</f>
        <v>25</v>
      </c>
      <c r="D304" s="2" t="s">
        <v>81</v>
      </c>
      <c r="E304" s="2" t="s">
        <v>82</v>
      </c>
      <c r="F304" s="1" t="s">
        <v>65</v>
      </c>
      <c r="G304" s="1" t="s">
        <v>69</v>
      </c>
      <c r="H304" s="1" t="s">
        <v>83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35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36</v>
      </c>
      <c r="K304" s="2">
        <f>Games[[#This Row],[DaysOff]]-Games[[#This Row],[OppDaysOff]]</f>
        <v>-1</v>
      </c>
      <c r="L304" s="2">
        <f>Games[[#This Row],[OppDaysOff]]-Games[[#This Row],[DaysOff]]</f>
        <v>1</v>
      </c>
      <c r="M304" s="1">
        <f>MAX(-16, MIN(16, Games[[#This Row],[RestDiff]]*8))</f>
        <v>-8</v>
      </c>
      <c r="N304" s="1">
        <f>MAX(-16, MIN(16, Games[[#This Row],[OppRestDiff]]*8))</f>
        <v>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1436.3479245176575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1552.5621602239114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0.22363123620150016</v>
      </c>
      <c r="R304" s="1">
        <v>92</v>
      </c>
      <c r="S304" s="1">
        <v>69</v>
      </c>
      <c r="T304" s="1">
        <v>0</v>
      </c>
      <c r="U304" s="1">
        <f>Games[[#This Row],[PointsFor]]-Games[[#This Row],[PointsAgainst]]</f>
        <v>23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0.56100694175983346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72.25</v>
      </c>
      <c r="Z304" s="4">
        <f>Games[[#This Row],[K]]*Games[[#This Row],[POMult]]</f>
        <v>72.25</v>
      </c>
      <c r="AA304" s="4">
        <f>(Games[[#This Row],[Keff]]*Games[[#This Row],[MOVMult]])*(Games[[#This Row],[Result]]-Games[[#This Row],[ExpectedWin%]])</f>
        <v>31.468362208129157</v>
      </c>
      <c r="AB304" s="4">
        <f>Games[[#This Row],[PreGmRate]]+Games[[#This Row],[RatingChange]]</f>
        <v>1467.8162867257865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42609</v>
      </c>
      <c r="B305" s="2">
        <v>2016</v>
      </c>
      <c r="C305" s="2">
        <f>COUNTIFS(Games[Team],Games[[#This Row],[Team]],Games[Season],Games[[#This Row],[Season]],Games[Date],"&lt;=" &amp; Games[[#This Row],[Date]])</f>
        <v>25</v>
      </c>
      <c r="D305" s="2" t="s">
        <v>81</v>
      </c>
      <c r="E305" s="2" t="s">
        <v>82</v>
      </c>
      <c r="F305" s="1" t="s">
        <v>69</v>
      </c>
      <c r="G305" s="1" t="s">
        <v>65</v>
      </c>
      <c r="H305" s="1" t="s">
        <v>84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36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35</v>
      </c>
      <c r="K305" s="2">
        <f>Games[[#This Row],[DaysOff]]-Games[[#This Row],[OppDaysOff]]</f>
        <v>1</v>
      </c>
      <c r="L305" s="2">
        <f>Games[[#This Row],[OppDaysOff]]-Games[[#This Row],[DaysOff]]</f>
        <v>-1</v>
      </c>
      <c r="M305" s="1">
        <f>MAX(-16, MIN(16, Games[[#This Row],[RestDiff]]*8))</f>
        <v>8</v>
      </c>
      <c r="N305" s="1">
        <f>MAX(-16, MIN(16, Games[[#This Row],[OppRestDiff]]*8))</f>
        <v>-8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1552.5621602239114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1436.3479245176575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0.77636876379849984</v>
      </c>
      <c r="R305" s="1">
        <v>69</v>
      </c>
      <c r="S305" s="1">
        <v>92</v>
      </c>
      <c r="T305" s="1">
        <v>0</v>
      </c>
      <c r="U305" s="1">
        <f>Games[[#This Row],[PointsFor]]-Games[[#This Row],[PointsAgainst]]</f>
        <v>-23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0.56100694175983346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72.25</v>
      </c>
      <c r="Z305" s="4">
        <f>Games[[#This Row],[K]]*Games[[#This Row],[POMult]]</f>
        <v>72.25</v>
      </c>
      <c r="AA305" s="4">
        <f>(Games[[#This Row],[Keff]]*Games[[#This Row],[MOVMult]])*(Games[[#This Row],[Result]]-Games[[#This Row],[ExpectedWin%]])</f>
        <v>-31.468362208129157</v>
      </c>
      <c r="AB305" s="4">
        <f>Games[[#This Row],[PreGmRate]]+Games[[#This Row],[RatingChange]]</f>
        <v>1521.0937980157823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42610</v>
      </c>
      <c r="B306" s="2">
        <v>2016</v>
      </c>
      <c r="C306" s="2">
        <f>COUNTIFS(Games[Team],Games[[#This Row],[Team]],Games[Season],Games[[#This Row],[Season]],Games[Date],"&lt;=" &amp; Games[[#This Row],[Date]])</f>
        <v>26</v>
      </c>
      <c r="D306" s="2" t="s">
        <v>81</v>
      </c>
      <c r="E306" s="2" t="s">
        <v>82</v>
      </c>
      <c r="F306" s="1" t="s">
        <v>76</v>
      </c>
      <c r="G306" s="1" t="s">
        <v>79</v>
      </c>
      <c r="H306" s="1" t="s">
        <v>83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1448.347960767069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1479.8324187720636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0.3396662258832604</v>
      </c>
      <c r="R306" s="1">
        <v>73</v>
      </c>
      <c r="S306" s="1">
        <v>87</v>
      </c>
      <c r="T306" s="1">
        <v>0</v>
      </c>
      <c r="U306" s="1">
        <f>Games[[#This Row],[PointsFor]]-Games[[#This Row],[PointsAgainst]]</f>
        <v>-14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0.47514178553973135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-11.636191389572781</v>
      </c>
      <c r="AB306" s="4">
        <f>Games[[#This Row],[PreGmRate]]+Games[[#This Row],[RatingChange]]</f>
        <v>1436.7117693774962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42610</v>
      </c>
      <c r="B307" s="2">
        <v>2016</v>
      </c>
      <c r="C307" s="2">
        <f>COUNTIFS(Games[Team],Games[[#This Row],[Team]],Games[Season],Games[[#This Row],[Season]],Games[Date],"&lt;=" &amp; Games[[#This Row],[Date]])</f>
        <v>27</v>
      </c>
      <c r="D307" s="2" t="s">
        <v>81</v>
      </c>
      <c r="E307" s="2" t="s">
        <v>82</v>
      </c>
      <c r="F307" s="1" t="s">
        <v>79</v>
      </c>
      <c r="G307" s="1" t="s">
        <v>76</v>
      </c>
      <c r="H307" s="1" t="s">
        <v>84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1479.8324187720636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1448.347960767069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0.66033377411673966</v>
      </c>
      <c r="R307" s="1">
        <v>87</v>
      </c>
      <c r="S307" s="1">
        <v>73</v>
      </c>
      <c r="T307" s="1">
        <v>0</v>
      </c>
      <c r="U307" s="1">
        <f>Games[[#This Row],[PointsFor]]-Games[[#This Row],[PointsAgainst]]</f>
        <v>14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0.47514178553973135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71.95</v>
      </c>
      <c r="Z307" s="4">
        <f>Games[[#This Row],[K]]*Games[[#This Row],[POMult]]</f>
        <v>71.95</v>
      </c>
      <c r="AA307" s="4">
        <f>(Games[[#This Row],[Keff]]*Games[[#This Row],[MOVMult]])*(Games[[#This Row],[Result]]-Games[[#This Row],[ExpectedWin%]])</f>
        <v>11.611982947014726</v>
      </c>
      <c r="AB307" s="4">
        <f>Games[[#This Row],[PreGmRate]]+Games[[#This Row],[RatingChange]]</f>
        <v>1491.4444017190783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42610</v>
      </c>
      <c r="B308" s="2">
        <v>2016</v>
      </c>
      <c r="C308" s="2">
        <f>COUNTIFS(Games[Team],Games[[#This Row],[Team]],Games[Season],Games[[#This Row],[Season]],Games[Date],"&lt;=" &amp; Games[[#This Row],[Date]])</f>
        <v>26</v>
      </c>
      <c r="D308" s="2" t="s">
        <v>81</v>
      </c>
      <c r="E308" s="2" t="s">
        <v>82</v>
      </c>
      <c r="F308" s="1" t="s">
        <v>77</v>
      </c>
      <c r="G308" s="1" t="s">
        <v>87</v>
      </c>
      <c r="H308" s="1" t="s">
        <v>83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1510.5828124627558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1399.8352035562002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0.53841703655226336</v>
      </c>
      <c r="R308" s="1">
        <v>92</v>
      </c>
      <c r="S308" s="1">
        <v>85</v>
      </c>
      <c r="T308" s="1">
        <v>0</v>
      </c>
      <c r="U308" s="1">
        <f>Games[[#This Row],[PointsFor]]-Games[[#This Row],[PointsAgainst]]</f>
        <v>7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0.33883609931211889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72.099999999999994</v>
      </c>
      <c r="Z308" s="4">
        <f>Games[[#This Row],[K]]*Games[[#This Row],[POMult]]</f>
        <v>72.099999999999994</v>
      </c>
      <c r="AA308" s="4">
        <f>(Games[[#This Row],[Keff]]*Games[[#This Row],[MOVMult]])*(Games[[#This Row],[Result]]-Games[[#This Row],[ExpectedWin%]])</f>
        <v>11.276509997820634</v>
      </c>
      <c r="AB308" s="4">
        <f>Games[[#This Row],[PreGmRate]]+Games[[#This Row],[RatingChange]]</f>
        <v>1521.8593224605763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42610</v>
      </c>
      <c r="B309" s="2">
        <v>2016</v>
      </c>
      <c r="C309" s="2">
        <f>COUNTIFS(Games[Team],Games[[#This Row],[Team]],Games[Season],Games[[#This Row],[Season]],Games[Date],"&lt;=" &amp; Games[[#This Row],[Date]])</f>
        <v>27</v>
      </c>
      <c r="D309" s="2" t="s">
        <v>81</v>
      </c>
      <c r="E309" s="2" t="s">
        <v>82</v>
      </c>
      <c r="F309" s="1" t="s">
        <v>87</v>
      </c>
      <c r="G309" s="1" t="s">
        <v>77</v>
      </c>
      <c r="H309" s="1" t="s">
        <v>84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1399.8352035562002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1510.5828124627558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0.46158296344773658</v>
      </c>
      <c r="R309" s="1">
        <v>85</v>
      </c>
      <c r="S309" s="1">
        <v>92</v>
      </c>
      <c r="T309" s="1">
        <v>0</v>
      </c>
      <c r="U309" s="1">
        <f>Games[[#This Row],[PointsFor]]-Games[[#This Row],[PointsAgainst]]</f>
        <v>-7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0.33883609931211889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71.95</v>
      </c>
      <c r="Z309" s="4">
        <f>Games[[#This Row],[K]]*Games[[#This Row],[POMult]]</f>
        <v>71.95</v>
      </c>
      <c r="AA309" s="4">
        <f>(Games[[#This Row],[Keff]]*Games[[#This Row],[MOVMult]])*(Games[[#This Row],[Result]]-Games[[#This Row],[ExpectedWin%]])</f>
        <v>-11.253049852194099</v>
      </c>
      <c r="AB309" s="4">
        <f>Games[[#This Row],[PreGmRate]]+Games[[#This Row],[RatingChange]]</f>
        <v>1388.582153704006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42610</v>
      </c>
      <c r="B310" s="2">
        <v>2016</v>
      </c>
      <c r="C310" s="2">
        <f>COUNTIFS(Games[Team],Games[[#This Row],[Team]],Games[Season],Games[[#This Row],[Season]],Games[Date],"&lt;=" &amp; Games[[#This Row],[Date]])</f>
        <v>26</v>
      </c>
      <c r="D310" s="2" t="s">
        <v>81</v>
      </c>
      <c r="E310" s="2" t="s">
        <v>82</v>
      </c>
      <c r="F310" s="1" t="s">
        <v>71</v>
      </c>
      <c r="G310" s="1" t="s">
        <v>67</v>
      </c>
      <c r="H310" s="1" t="s">
        <v>83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1437.1359885451636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1668.4215232697986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0.14004341415725147</v>
      </c>
      <c r="R310" s="1">
        <v>80</v>
      </c>
      <c r="S310" s="1">
        <v>92</v>
      </c>
      <c r="T310" s="1">
        <v>0</v>
      </c>
      <c r="U310" s="1">
        <f>Games[[#This Row],[PointsFor]]-Games[[#This Row],[PointsAgainst]]</f>
        <v>-12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0.38242217811357576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72.099999999999994</v>
      </c>
      <c r="Z310" s="4">
        <f>Games[[#This Row],[K]]*Games[[#This Row],[POMult]]</f>
        <v>72.099999999999994</v>
      </c>
      <c r="AA310" s="4">
        <f>(Games[[#This Row],[Keff]]*Games[[#This Row],[MOVMult]])*(Games[[#This Row],[Result]]-Games[[#This Row],[ExpectedWin%]])</f>
        <v>-3.8613665087656406</v>
      </c>
      <c r="AB310" s="4">
        <f>Games[[#This Row],[PreGmRate]]+Games[[#This Row],[RatingChange]]</f>
        <v>1433.2746220363979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42610</v>
      </c>
      <c r="B311" s="2">
        <v>2016</v>
      </c>
      <c r="C311" s="2">
        <f>COUNTIFS(Games[Team],Games[[#This Row],[Team]],Games[Season],Games[[#This Row],[Season]],Games[Date],"&lt;=" &amp; Games[[#This Row],[Date]])</f>
        <v>27</v>
      </c>
      <c r="D311" s="2" t="s">
        <v>81</v>
      </c>
      <c r="E311" s="2" t="s">
        <v>82</v>
      </c>
      <c r="F311" s="1" t="s">
        <v>67</v>
      </c>
      <c r="G311" s="1" t="s">
        <v>71</v>
      </c>
      <c r="H311" s="1" t="s">
        <v>84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1668.4215232697986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1437.1359885451636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0.85995658584274859</v>
      </c>
      <c r="R311" s="1">
        <v>92</v>
      </c>
      <c r="S311" s="1">
        <v>80</v>
      </c>
      <c r="T311" s="1">
        <v>0</v>
      </c>
      <c r="U311" s="1">
        <f>Games[[#This Row],[PointsFor]]-Games[[#This Row],[PointsAgainst]]</f>
        <v>12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0.38242217811357576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71.95</v>
      </c>
      <c r="Z311" s="4">
        <f>Games[[#This Row],[K]]*Games[[#This Row],[POMult]]</f>
        <v>71.95</v>
      </c>
      <c r="AA311" s="4">
        <f>(Games[[#This Row],[Keff]]*Games[[#This Row],[MOVMult]])*(Games[[#This Row],[Result]]-Games[[#This Row],[ExpectedWin%]])</f>
        <v>3.8533331526447676</v>
      </c>
      <c r="AB311" s="4">
        <f>Games[[#This Row],[PreGmRate]]+Games[[#This Row],[RatingChange]]</f>
        <v>1672.2748564224435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42610</v>
      </c>
      <c r="B312" s="2">
        <v>2016</v>
      </c>
      <c r="C312" s="2">
        <f>COUNTIFS(Games[Team],Games[[#This Row],[Team]],Games[Season],Games[[#This Row],[Season]],Games[Date],"&lt;=" &amp; Games[[#This Row],[Date]])</f>
        <v>26</v>
      </c>
      <c r="D312" s="2" t="s">
        <v>81</v>
      </c>
      <c r="E312" s="2" t="s">
        <v>82</v>
      </c>
      <c r="F312" s="1" t="s">
        <v>63</v>
      </c>
      <c r="G312" s="1" t="s">
        <v>40</v>
      </c>
      <c r="H312" s="1" t="s">
        <v>83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1655.4319047310419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1493.211403836302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0.61070423488209613</v>
      </c>
      <c r="R312" s="1">
        <v>66</v>
      </c>
      <c r="S312" s="1">
        <v>70</v>
      </c>
      <c r="T312" s="1">
        <v>0</v>
      </c>
      <c r="U312" s="1">
        <f>Games[[#This Row],[PointsFor]]-Games[[#This Row],[PointsAgainst]]</f>
        <v>-4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0.27434565963380175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72.099999999999994</v>
      </c>
      <c r="Z312" s="4">
        <f>Games[[#This Row],[K]]*Games[[#This Row],[POMult]]</f>
        <v>72.099999999999994</v>
      </c>
      <c r="AA312" s="4">
        <f>(Games[[#This Row],[Keff]]*Games[[#This Row],[MOVMult]])*(Games[[#This Row],[Result]]-Games[[#This Row],[ExpectedWin%]])</f>
        <v>-12.079926449127697</v>
      </c>
      <c r="AB312" s="4">
        <f>Games[[#This Row],[PreGmRate]]+Games[[#This Row],[RatingChange]]</f>
        <v>1643.3519782819142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42610</v>
      </c>
      <c r="B313" s="2">
        <v>2016</v>
      </c>
      <c r="C313" s="2">
        <f>COUNTIFS(Games[Team],Games[[#This Row],[Team]],Games[Season],Games[[#This Row],[Season]],Games[Date],"&lt;=" &amp; Games[[#This Row],[Date]])</f>
        <v>26</v>
      </c>
      <c r="D313" s="2" t="s">
        <v>81</v>
      </c>
      <c r="E313" s="2" t="s">
        <v>82</v>
      </c>
      <c r="F313" s="1" t="s">
        <v>40</v>
      </c>
      <c r="G313" s="1" t="s">
        <v>63</v>
      </c>
      <c r="H313" s="1" t="s">
        <v>84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1493.211403836302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1655.4319047310419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0.38929576511790392</v>
      </c>
      <c r="R313" s="1">
        <v>70</v>
      </c>
      <c r="S313" s="1">
        <v>66</v>
      </c>
      <c r="T313" s="1">
        <v>0</v>
      </c>
      <c r="U313" s="1">
        <f>Games[[#This Row],[PointsFor]]-Games[[#This Row],[PointsAgainst]]</f>
        <v>4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0.27434565963380175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12.079926449127697</v>
      </c>
      <c r="AB313" s="4">
        <f>Games[[#This Row],[PreGmRate]]+Games[[#This Row],[RatingChange]]</f>
        <v>1505.2913302854297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42610</v>
      </c>
      <c r="B314" s="2">
        <v>2016</v>
      </c>
      <c r="C314" s="2">
        <f>COUNTIFS(Games[Team],Games[[#This Row],[Team]],Games[Season],Games[[#This Row],[Season]],Games[Date],"&lt;=" &amp; Games[[#This Row],[Date]])</f>
        <v>25</v>
      </c>
      <c r="D314" s="2" t="s">
        <v>81</v>
      </c>
      <c r="E314" s="2" t="s">
        <v>82</v>
      </c>
      <c r="F314" s="1" t="s">
        <v>74</v>
      </c>
      <c r="G314" s="1" t="s">
        <v>65</v>
      </c>
      <c r="H314" s="1" t="s">
        <v>83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4" s="2">
        <f>Games[[#This Row],[DaysOff]]-Games[[#This Row],[OppDaysOff]]</f>
        <v>1</v>
      </c>
      <c r="L314" s="2">
        <f>Games[[#This Row],[OppDaysOff]]-Games[[#This Row],[DaysOff]]</f>
        <v>-1</v>
      </c>
      <c r="M314" s="1">
        <f>MAX(-16, MIN(16, Games[[#This Row],[RestDiff]]*8))</f>
        <v>8</v>
      </c>
      <c r="N314" s="1">
        <f>MAX(-16, MIN(16, Games[[#This Row],[OppRestDiff]]*8))</f>
        <v>-8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1313.9257510772327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1467.8162867257865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0.21800938972596354</v>
      </c>
      <c r="R314" s="1">
        <v>85</v>
      </c>
      <c r="S314" s="1">
        <v>74</v>
      </c>
      <c r="T314" s="1">
        <v>0</v>
      </c>
      <c r="U314" s="1">
        <f>Games[[#This Row],[PointsFor]]-Games[[#This Row],[PointsAgainst]]</f>
        <v>11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0.38984183020108359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72.25</v>
      </c>
      <c r="Z314" s="4">
        <f>Games[[#This Row],[K]]*Games[[#This Row],[POMult]]</f>
        <v>72.25</v>
      </c>
      <c r="AA314" s="4">
        <f>(Games[[#This Row],[Keff]]*Games[[#This Row],[MOVMult]])*(Games[[#This Row],[Result]]-Games[[#This Row],[ExpectedWin%]])</f>
        <v>22.025604013746396</v>
      </c>
      <c r="AB314" s="4">
        <f>Games[[#This Row],[PreGmRate]]+Games[[#This Row],[RatingChange]]</f>
        <v>1335.9513550909792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42610</v>
      </c>
      <c r="B315" s="2">
        <v>2016</v>
      </c>
      <c r="C315" s="2">
        <f>COUNTIFS(Games[Team],Games[[#This Row],[Team]],Games[Season],Games[[#This Row],[Season]],Games[Date],"&lt;=" &amp; Games[[#This Row],[Date]])</f>
        <v>26</v>
      </c>
      <c r="D315" s="2" t="s">
        <v>81</v>
      </c>
      <c r="E315" s="2" t="s">
        <v>82</v>
      </c>
      <c r="F315" s="1" t="s">
        <v>65</v>
      </c>
      <c r="G315" s="1" t="s">
        <v>74</v>
      </c>
      <c r="H315" s="1" t="s">
        <v>84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-1</v>
      </c>
      <c r="L315" s="2">
        <f>Games[[#This Row],[OppDaysOff]]-Games[[#This Row],[DaysOff]]</f>
        <v>1</v>
      </c>
      <c r="M315" s="1">
        <f>MAX(-16, MIN(16, Games[[#This Row],[RestDiff]]*8))</f>
        <v>-8</v>
      </c>
      <c r="N315" s="1">
        <f>MAX(-16, MIN(16, Games[[#This Row],[OppRestDiff]]*8))</f>
        <v>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1467.8162867257865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1313.9257510772327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0.78199061027403649</v>
      </c>
      <c r="R315" s="1">
        <v>74</v>
      </c>
      <c r="S315" s="1">
        <v>85</v>
      </c>
      <c r="T315" s="1">
        <v>0</v>
      </c>
      <c r="U315" s="1">
        <f>Games[[#This Row],[PointsFor]]-Games[[#This Row],[PointsAgainst]]</f>
        <v>-11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0.38984183020108359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72.099999999999994</v>
      </c>
      <c r="Z315" s="4">
        <f>Games[[#This Row],[K]]*Games[[#This Row],[POMult]]</f>
        <v>72.099999999999994</v>
      </c>
      <c r="AA315" s="4">
        <f>(Games[[#This Row],[Keff]]*Games[[#This Row],[MOVMult]])*(Games[[#This Row],[Result]]-Games[[#This Row],[ExpectedWin%]])</f>
        <v>-21.979876116139998</v>
      </c>
      <c r="AB315" s="4">
        <f>Games[[#This Row],[PreGmRate]]+Games[[#This Row],[RatingChange]]</f>
        <v>1445.8364106096465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42612</v>
      </c>
      <c r="B316" s="2">
        <v>2016</v>
      </c>
      <c r="C316" s="2">
        <f>COUNTIFS(Games[Team],Games[[#This Row],[Team]],Games[Season],Games[[#This Row],[Season]],Games[Date],"&lt;=" &amp; Games[[#This Row],[Date]])</f>
        <v>26</v>
      </c>
      <c r="D316" s="2" t="s">
        <v>81</v>
      </c>
      <c r="E316" s="2" t="s">
        <v>82</v>
      </c>
      <c r="F316" s="1" t="s">
        <v>74</v>
      </c>
      <c r="G316" s="1" t="s">
        <v>76</v>
      </c>
      <c r="H316" s="1" t="s">
        <v>83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1335.9513550909792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1436.7117693774962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0.25662849363910356</v>
      </c>
      <c r="R316" s="1">
        <v>62</v>
      </c>
      <c r="S316" s="1">
        <v>89</v>
      </c>
      <c r="T316" s="1">
        <v>0</v>
      </c>
      <c r="U316" s="1">
        <f>Games[[#This Row],[PointsFor]]-Games[[#This Row],[PointsAgainst]]</f>
        <v>-27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0.6150248663884883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72.099999999999994</v>
      </c>
      <c r="Z316" s="4">
        <f>Games[[#This Row],[K]]*Games[[#This Row],[POMult]]</f>
        <v>72.099999999999994</v>
      </c>
      <c r="AA316" s="4">
        <f>(Games[[#This Row],[Keff]]*Games[[#This Row],[MOVMult]])*(Games[[#This Row],[Result]]-Games[[#This Row],[ExpectedWin%]])</f>
        <v>-11.379752451355731</v>
      </c>
      <c r="AB316" s="4">
        <f>Games[[#This Row],[PreGmRate]]+Games[[#This Row],[RatingChange]]</f>
        <v>1324.5716026396235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42612</v>
      </c>
      <c r="B317" s="2">
        <v>2016</v>
      </c>
      <c r="C317" s="2">
        <f>COUNTIFS(Games[Team],Games[[#This Row],[Team]],Games[Season],Games[[#This Row],[Season]],Games[Date],"&lt;=" &amp; Games[[#This Row],[Date]])</f>
        <v>27</v>
      </c>
      <c r="D317" s="2" t="s">
        <v>81</v>
      </c>
      <c r="E317" s="2" t="s">
        <v>82</v>
      </c>
      <c r="F317" s="1" t="s">
        <v>76</v>
      </c>
      <c r="G317" s="1" t="s">
        <v>74</v>
      </c>
      <c r="H317" s="1" t="s">
        <v>84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1436.7117693774962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1335.9513550909792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0.74337150636089644</v>
      </c>
      <c r="R317" s="1">
        <v>89</v>
      </c>
      <c r="S317" s="1">
        <v>62</v>
      </c>
      <c r="T317" s="1">
        <v>0</v>
      </c>
      <c r="U317" s="1">
        <f>Games[[#This Row],[PointsFor]]-Games[[#This Row],[PointsAgainst]]</f>
        <v>27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0.6150248663884883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71.95</v>
      </c>
      <c r="Z317" s="4">
        <f>Games[[#This Row],[K]]*Games[[#This Row],[POMult]]</f>
        <v>71.95</v>
      </c>
      <c r="AA317" s="4">
        <f>(Games[[#This Row],[Keff]]*Games[[#This Row],[MOVMult]])*(Games[[#This Row],[Result]]-Games[[#This Row],[ExpectedWin%]])</f>
        <v>11.356077515603952</v>
      </c>
      <c r="AB317" s="4">
        <f>Games[[#This Row],[PreGmRate]]+Games[[#This Row],[RatingChange]]</f>
        <v>1448.0678468931003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42612</v>
      </c>
      <c r="B318" s="2">
        <v>2016</v>
      </c>
      <c r="C318" s="2">
        <f>COUNTIFS(Games[Team],Games[[#This Row],[Team]],Games[Season],Games[[#This Row],[Season]],Games[Date],"&lt;=" &amp; Games[[#This Row],[Date]])</f>
        <v>27</v>
      </c>
      <c r="D318" s="2" t="s">
        <v>81</v>
      </c>
      <c r="E318" s="2" t="s">
        <v>82</v>
      </c>
      <c r="F318" s="1" t="s">
        <v>40</v>
      </c>
      <c r="G318" s="1" t="s">
        <v>69</v>
      </c>
      <c r="H318" s="1" t="s">
        <v>83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8" s="2">
        <f>Games[[#This Row],[DaysOff]]-Games[[#This Row],[OppDaysOff]]</f>
        <v>-1</v>
      </c>
      <c r="L318" s="2">
        <f>Games[[#This Row],[OppDaysOff]]-Games[[#This Row],[DaysOff]]</f>
        <v>1</v>
      </c>
      <c r="M318" s="1">
        <f>MAX(-16, MIN(16, Games[[#This Row],[RestDiff]]*8))</f>
        <v>-8</v>
      </c>
      <c r="N318" s="1">
        <f>MAX(-16, MIN(16, Games[[#This Row],[OppRestDiff]]*8))</f>
        <v>8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1505.2913302854297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1521.0937980157823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0.33925575306445321</v>
      </c>
      <c r="R318" s="1">
        <v>79</v>
      </c>
      <c r="S318" s="1">
        <v>65</v>
      </c>
      <c r="T318" s="1">
        <v>0</v>
      </c>
      <c r="U318" s="1">
        <f>Games[[#This Row],[PointsFor]]-Games[[#This Row],[PointsAgainst]]</f>
        <v>14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0.48127038706644149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71.95</v>
      </c>
      <c r="Z318" s="4">
        <f>Games[[#This Row],[K]]*Games[[#This Row],[POMult]]</f>
        <v>71.95</v>
      </c>
      <c r="AA318" s="4">
        <f>(Games[[#This Row],[Keff]]*Games[[#This Row],[MOVMult]])*(Games[[#This Row],[Result]]-Games[[#This Row],[ExpectedWin%]])</f>
        <v>22.87985821019711</v>
      </c>
      <c r="AB318" s="4">
        <f>Games[[#This Row],[PreGmRate]]+Games[[#This Row],[RatingChange]]</f>
        <v>1528.1711884956269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42612</v>
      </c>
      <c r="B319" s="2">
        <v>2016</v>
      </c>
      <c r="C319" s="2">
        <f>COUNTIFS(Games[Team],Games[[#This Row],[Team]],Games[Season],Games[[#This Row],[Season]],Games[Date],"&lt;=" &amp; Games[[#This Row],[Date]])</f>
        <v>26</v>
      </c>
      <c r="D319" s="2" t="s">
        <v>81</v>
      </c>
      <c r="E319" s="2" t="s">
        <v>82</v>
      </c>
      <c r="F319" s="1" t="s">
        <v>69</v>
      </c>
      <c r="G319" s="1" t="s">
        <v>40</v>
      </c>
      <c r="H319" s="1" t="s">
        <v>84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1</v>
      </c>
      <c r="L319" s="2">
        <f>Games[[#This Row],[OppDaysOff]]-Games[[#This Row],[DaysOff]]</f>
        <v>-1</v>
      </c>
      <c r="M319" s="1">
        <f>MAX(-16, MIN(16, Games[[#This Row],[RestDiff]]*8))</f>
        <v>8</v>
      </c>
      <c r="N319" s="1">
        <f>MAX(-16, MIN(16, Games[[#This Row],[OppRestDiff]]*8))</f>
        <v>-8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1521.0937980157823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1505.2913302854297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0.66074424693554679</v>
      </c>
      <c r="R319" s="1">
        <v>65</v>
      </c>
      <c r="S319" s="1">
        <v>79</v>
      </c>
      <c r="T319" s="1">
        <v>0</v>
      </c>
      <c r="U319" s="1">
        <f>Games[[#This Row],[PointsFor]]-Games[[#This Row],[PointsAgainst]]</f>
        <v>-14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0.48127038706644149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72.099999999999994</v>
      </c>
      <c r="Z319" s="4">
        <f>Games[[#This Row],[K]]*Games[[#This Row],[POMult]]</f>
        <v>72.099999999999994</v>
      </c>
      <c r="AA319" s="4">
        <f>(Games[[#This Row],[Keff]]*Games[[#This Row],[MOVMult]])*(Games[[#This Row],[Result]]-Games[[#This Row],[ExpectedWin%]])</f>
        <v>-22.927557706118296</v>
      </c>
      <c r="AB319" s="4">
        <f>Games[[#This Row],[PreGmRate]]+Games[[#This Row],[RatingChange]]</f>
        <v>1498.1662403096641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42613</v>
      </c>
      <c r="B320" s="2">
        <v>2016</v>
      </c>
      <c r="C320" s="2">
        <f>COUNTIFS(Games[Team],Games[[#This Row],[Team]],Games[Season],Games[[#This Row],[Season]],Games[Date],"&lt;=" &amp; Games[[#This Row],[Date]])</f>
        <v>28</v>
      </c>
      <c r="D320" s="2" t="s">
        <v>81</v>
      </c>
      <c r="E320" s="2" t="s">
        <v>82</v>
      </c>
      <c r="F320" s="1" t="s">
        <v>87</v>
      </c>
      <c r="G320" s="1" t="s">
        <v>71</v>
      </c>
      <c r="H320" s="1" t="s">
        <v>83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1388.582153704006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1433.2746220363979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0.32282630164800635</v>
      </c>
      <c r="R320" s="1">
        <v>66</v>
      </c>
      <c r="S320" s="1">
        <v>78</v>
      </c>
      <c r="T320" s="1">
        <v>0</v>
      </c>
      <c r="U320" s="1">
        <f>Games[[#This Row],[PointsFor]]-Games[[#This Row],[PointsAgainst]]</f>
        <v>-12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0.43975146119842917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71.8</v>
      </c>
      <c r="Z320" s="4">
        <f>Games[[#This Row],[K]]*Games[[#This Row],[POMult]]</f>
        <v>71.8</v>
      </c>
      <c r="AA320" s="4">
        <f>(Games[[#This Row],[Keff]]*Games[[#This Row],[MOVMult]])*(Games[[#This Row],[Result]]-Games[[#This Row],[ExpectedWin%]])</f>
        <v>-10.192967658563088</v>
      </c>
      <c r="AB320" s="4">
        <f>Games[[#This Row],[PreGmRate]]+Games[[#This Row],[RatingChange]]</f>
        <v>1378.389186045443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42613</v>
      </c>
      <c r="B321" s="2">
        <v>2016</v>
      </c>
      <c r="C321" s="2">
        <f>COUNTIFS(Games[Team],Games[[#This Row],[Team]],Games[Season],Games[[#This Row],[Season]],Games[Date],"&lt;=" &amp; Games[[#This Row],[Date]])</f>
        <v>27</v>
      </c>
      <c r="D321" s="2" t="s">
        <v>81</v>
      </c>
      <c r="E321" s="2" t="s">
        <v>82</v>
      </c>
      <c r="F321" s="1" t="s">
        <v>71</v>
      </c>
      <c r="G321" s="1" t="s">
        <v>87</v>
      </c>
      <c r="H321" s="1" t="s">
        <v>84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1433.2746220363979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1388.582153704006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0.67717369835199359</v>
      </c>
      <c r="R321" s="1">
        <v>78</v>
      </c>
      <c r="S321" s="1">
        <v>66</v>
      </c>
      <c r="T321" s="1">
        <v>0</v>
      </c>
      <c r="U321" s="1">
        <f>Games[[#This Row],[PointsFor]]-Games[[#This Row],[PointsAgainst]]</f>
        <v>12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0.43975146119842917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71.95</v>
      </c>
      <c r="Z321" s="4">
        <f>Games[[#This Row],[K]]*Games[[#This Row],[POMult]]</f>
        <v>71.95</v>
      </c>
      <c r="AA321" s="4">
        <f>(Games[[#This Row],[Keff]]*Games[[#This Row],[MOVMult]])*(Games[[#This Row],[Result]]-Games[[#This Row],[ExpectedWin%]])</f>
        <v>10.214262159242539</v>
      </c>
      <c r="AB321" s="4">
        <f>Games[[#This Row],[PreGmRate]]+Games[[#This Row],[RatingChange]]</f>
        <v>1443.4888841956404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42614</v>
      </c>
      <c r="B322" s="2">
        <v>2016</v>
      </c>
      <c r="C322" s="2">
        <f>COUNTIFS(Games[Team],Games[[#This Row],[Team]],Games[Season],Games[[#This Row],[Season]],Games[Date],"&lt;=" &amp; Games[[#This Row],[Date]])</f>
        <v>28</v>
      </c>
      <c r="D322" s="2" t="s">
        <v>81</v>
      </c>
      <c r="E322" s="2" t="s">
        <v>82</v>
      </c>
      <c r="F322" s="1" t="s">
        <v>60</v>
      </c>
      <c r="G322" s="1" t="s">
        <v>69</v>
      </c>
      <c r="H322" s="1" t="s">
        <v>83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4</v>
      </c>
      <c r="L322" s="2">
        <f>Games[[#This Row],[OppDaysOff]]-Games[[#This Row],[DaysOff]]</f>
        <v>-4</v>
      </c>
      <c r="M322" s="1">
        <f>MAX(-16, MIN(16, Games[[#This Row],[RestDiff]]*8))</f>
        <v>16</v>
      </c>
      <c r="N322" s="1">
        <f>MAX(-16, MIN(16, Games[[#This Row],[OppRestDiff]]*8))</f>
        <v>-16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1605.218457398521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1498.1662403096641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0.57857004491522335</v>
      </c>
      <c r="R322" s="1">
        <v>77</v>
      </c>
      <c r="S322" s="1">
        <v>98</v>
      </c>
      <c r="T322" s="1">
        <v>0</v>
      </c>
      <c r="U322" s="1">
        <f>Games[[#This Row],[PointsFor]]-Games[[#This Row],[PointsAgainst]]</f>
        <v>-21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0.54036980167324788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71.8</v>
      </c>
      <c r="Z322" s="4">
        <f>Games[[#This Row],[K]]*Games[[#This Row],[POMult]]</f>
        <v>71.8</v>
      </c>
      <c r="AA322" s="4">
        <f>(Games[[#This Row],[Keff]]*Games[[#This Row],[MOVMult]])*(Games[[#This Row],[Result]]-Games[[#This Row],[ExpectedWin%]])</f>
        <v>-22.447679834509355</v>
      </c>
      <c r="AB322" s="4">
        <f>Games[[#This Row],[PreGmRate]]+Games[[#This Row],[RatingChange]]</f>
        <v>1582.7707775640117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42614</v>
      </c>
      <c r="B323" s="2">
        <v>2016</v>
      </c>
      <c r="C323" s="2">
        <f>COUNTIFS(Games[Team],Games[[#This Row],[Team]],Games[Season],Games[[#This Row],[Season]],Games[Date],"&lt;=" &amp; Games[[#This Row],[Date]])</f>
        <v>27</v>
      </c>
      <c r="D323" s="2" t="s">
        <v>81</v>
      </c>
      <c r="E323" s="2" t="s">
        <v>82</v>
      </c>
      <c r="F323" s="1" t="s">
        <v>69</v>
      </c>
      <c r="G323" s="1" t="s">
        <v>60</v>
      </c>
      <c r="H323" s="1" t="s">
        <v>84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3" s="2">
        <f>Games[[#This Row],[DaysOff]]-Games[[#This Row],[OppDaysOff]]</f>
        <v>-4</v>
      </c>
      <c r="L323" s="2">
        <f>Games[[#This Row],[OppDaysOff]]-Games[[#This Row],[DaysOff]]</f>
        <v>4</v>
      </c>
      <c r="M323" s="1">
        <f>MAX(-16, MIN(16, Games[[#This Row],[RestDiff]]*8))</f>
        <v>-16</v>
      </c>
      <c r="N323" s="1">
        <f>MAX(-16, MIN(16, Games[[#This Row],[OppRestDiff]]*8))</f>
        <v>16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1498.1662403096641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1605.218457398521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0.42142995508477665</v>
      </c>
      <c r="R323" s="1">
        <v>98</v>
      </c>
      <c r="S323" s="1">
        <v>77</v>
      </c>
      <c r="T323" s="1">
        <v>0</v>
      </c>
      <c r="U323" s="1">
        <f>Games[[#This Row],[PointsFor]]-Games[[#This Row],[PointsAgainst]]</f>
        <v>21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0.54036980167324788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22.494576101573092</v>
      </c>
      <c r="AB323" s="4">
        <f>Games[[#This Row],[PreGmRate]]+Games[[#This Row],[RatingChange]]</f>
        <v>1520.6608164112372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42614</v>
      </c>
      <c r="B324" s="2">
        <v>2016</v>
      </c>
      <c r="C324" s="2">
        <f>COUNTIFS(Games[Team],Games[[#This Row],[Team]],Games[Season],Games[[#This Row],[Season]],Games[Date],"&lt;=" &amp; Games[[#This Row],[Date]])</f>
        <v>27</v>
      </c>
      <c r="D324" s="2" t="s">
        <v>81</v>
      </c>
      <c r="E324" s="2" t="s">
        <v>82</v>
      </c>
      <c r="F324" s="1" t="s">
        <v>63</v>
      </c>
      <c r="G324" s="1" t="s">
        <v>74</v>
      </c>
      <c r="H324" s="1" t="s">
        <v>83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2</v>
      </c>
      <c r="L324" s="2">
        <f>Games[[#This Row],[OppDaysOff]]-Games[[#This Row],[DaysOff]]</f>
        <v>-2</v>
      </c>
      <c r="M324" s="1">
        <f>MAX(-16, MIN(16, Games[[#This Row],[RestDiff]]*8))</f>
        <v>16</v>
      </c>
      <c r="N324" s="1">
        <f>MAX(-16, MIN(16, Games[[#This Row],[OppRestDiff]]*8))</f>
        <v>-16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1643.3519782819142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1324.5716026396235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0.82284040789283008</v>
      </c>
      <c r="R324" s="1">
        <v>70</v>
      </c>
      <c r="S324" s="1">
        <v>61</v>
      </c>
      <c r="T324" s="1">
        <v>0</v>
      </c>
      <c r="U324" s="1">
        <f>Games[[#This Row],[PointsFor]]-Games[[#This Row],[PointsAgainst]]</f>
        <v>9</v>
      </c>
      <c r="V324" s="1">
        <f>IF(Games[[#This Row],[MOV]]&gt;0,1,IF(Games[[#This Row],[MOV]]=0,0.5,0))</f>
        <v>1</v>
      </c>
      <c r="W324" s="4">
        <f>((ABS(Games[[#This Row],[MOV]])+5)^0.6)/(12+0.01*(ABS(Games[[#This Row],[PreGmRate]]-Games[[#This Row],[OppPreGmRate]])))*IF(Games[[#This Row],[OT]]=1,0.9,1)</f>
        <v>0.32076121102807209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4.0886253260210506</v>
      </c>
      <c r="AB324" s="4">
        <f>Games[[#This Row],[PreGmRate]]+Games[[#This Row],[RatingChange]]</f>
        <v>1647.4406036079351</v>
      </c>
      <c r="AC324" s="2">
        <f>IF(Games[[#This Row],[Type]]="R",IF(Games[[#This Row],[Result]]&gt;0.5,1,0),0)</f>
        <v>1</v>
      </c>
      <c r="AD324" s="2">
        <f>IF(Games[[#This Row],[Type]]="R",IF(Games[[#This Row],[Result]]&lt;0.5,1,0),0)</f>
        <v>0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42614</v>
      </c>
      <c r="B325" s="2">
        <v>2016</v>
      </c>
      <c r="C325" s="2">
        <f>COUNTIFS(Games[Team],Games[[#This Row],[Team]],Games[Season],Games[[#This Row],[Season]],Games[Date],"&lt;=" &amp; Games[[#This Row],[Date]])</f>
        <v>27</v>
      </c>
      <c r="D325" s="2" t="s">
        <v>81</v>
      </c>
      <c r="E325" s="2" t="s">
        <v>82</v>
      </c>
      <c r="F325" s="1" t="s">
        <v>74</v>
      </c>
      <c r="G325" s="1" t="s">
        <v>63</v>
      </c>
      <c r="H325" s="1" t="s">
        <v>84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5" s="2">
        <f>Games[[#This Row],[DaysOff]]-Games[[#This Row],[OppDaysOff]]</f>
        <v>-2</v>
      </c>
      <c r="L325" s="2">
        <f>Games[[#This Row],[OppDaysOff]]-Games[[#This Row],[DaysOff]]</f>
        <v>2</v>
      </c>
      <c r="M325" s="1">
        <f>MAX(-16, MIN(16, Games[[#This Row],[RestDiff]]*8))</f>
        <v>-16</v>
      </c>
      <c r="N325" s="1">
        <f>MAX(-16, MIN(16, Games[[#This Row],[OppRestDiff]]*8))</f>
        <v>16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1324.5716026396235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1643.3519782819142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0.17715959210716983</v>
      </c>
      <c r="R325" s="1">
        <v>61</v>
      </c>
      <c r="S325" s="1">
        <v>70</v>
      </c>
      <c r="T325" s="1">
        <v>0</v>
      </c>
      <c r="U325" s="1">
        <f>Games[[#This Row],[PointsFor]]-Games[[#This Row],[PointsAgainst]]</f>
        <v>-9</v>
      </c>
      <c r="V325" s="1">
        <f>IF(Games[[#This Row],[MOV]]&gt;0,1,IF(Games[[#This Row],[MOV]]=0,0.5,0))</f>
        <v>0</v>
      </c>
      <c r="W325" s="4">
        <f>((ABS(Games[[#This Row],[MOV]])+5)^0.6)/(12+0.01*(ABS(Games[[#This Row],[PreGmRate]]-Games[[#This Row],[OppPreGmRate]])))*IF(Games[[#This Row],[OT]]=1,0.9,1)</f>
        <v>0.32076121102807209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71.95</v>
      </c>
      <c r="Z325" s="4">
        <f>Games[[#This Row],[K]]*Games[[#This Row],[POMult]]</f>
        <v>71.95</v>
      </c>
      <c r="AA325" s="4">
        <f>(Games[[#This Row],[Keff]]*Games[[#This Row],[MOVMult]])*(Games[[#This Row],[Result]]-Games[[#This Row],[ExpectedWin%]])</f>
        <v>-4.0886253260210488</v>
      </c>
      <c r="AB325" s="4">
        <f>Games[[#This Row],[PreGmRate]]+Games[[#This Row],[RatingChange]]</f>
        <v>1320.4829773136025</v>
      </c>
      <c r="AC325" s="2">
        <f>IF(Games[[#This Row],[Type]]="R",IF(Games[[#This Row],[Result]]&gt;0.5,1,0),0)</f>
        <v>0</v>
      </c>
      <c r="AD325" s="2">
        <f>IF(Games[[#This Row],[Type]]="R",IF(Games[[#This Row],[Result]]&lt;0.5,1,0),0)</f>
        <v>1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42615</v>
      </c>
      <c r="B326" s="2">
        <v>2016</v>
      </c>
      <c r="C326" s="2">
        <f>COUNTIFS(Games[Team],Games[[#This Row],[Team]],Games[Season],Games[[#This Row],[Season]],Games[Date],"&lt;=" &amp; Games[[#This Row],[Date]])</f>
        <v>28</v>
      </c>
      <c r="D326" s="2" t="s">
        <v>81</v>
      </c>
      <c r="E326" s="2" t="s">
        <v>82</v>
      </c>
      <c r="F326" s="1" t="s">
        <v>71</v>
      </c>
      <c r="G326" s="1" t="s">
        <v>77</v>
      </c>
      <c r="H326" s="1" t="s">
        <v>83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6" s="2">
        <f>Games[[#This Row],[DaysOff]]-Games[[#This Row],[OppDaysOff]]</f>
        <v>-3</v>
      </c>
      <c r="L326" s="2">
        <f>Games[[#This Row],[OppDaysOff]]-Games[[#This Row],[DaysOff]]</f>
        <v>3</v>
      </c>
      <c r="M326" s="1">
        <f>MAX(-16, MIN(16, Games[[#This Row],[RestDiff]]*8))</f>
        <v>-16</v>
      </c>
      <c r="N326" s="1">
        <f>MAX(-16, MIN(16, Games[[#This Row],[OppRestDiff]]*8))</f>
        <v>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1443.4888841956404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1521.8593224605763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0.24621794339297942</v>
      </c>
      <c r="R326" s="1">
        <v>88</v>
      </c>
      <c r="S326" s="1">
        <v>92</v>
      </c>
      <c r="T326" s="1">
        <v>0</v>
      </c>
      <c r="U326" s="1">
        <f>Games[[#This Row],[PointsFor]]-Games[[#This Row],[PointsAgainst]]</f>
        <v>-4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0.29234036606156544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71.8</v>
      </c>
      <c r="Z326" s="4">
        <f>Games[[#This Row],[K]]*Games[[#This Row],[POMult]]</f>
        <v>71.8</v>
      </c>
      <c r="AA326" s="4">
        <f>(Games[[#This Row],[Keff]]*Games[[#This Row],[MOVMult]])*(Games[[#This Row],[Result]]-Games[[#This Row],[ExpectedWin%]])</f>
        <v>-5.1681240578344303</v>
      </c>
      <c r="AB326" s="4">
        <f>Games[[#This Row],[PreGmRate]]+Games[[#This Row],[RatingChange]]</f>
        <v>1438.320760137806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42615</v>
      </c>
      <c r="B327" s="2">
        <v>2016</v>
      </c>
      <c r="C327" s="2">
        <f>COUNTIFS(Games[Team],Games[[#This Row],[Team]],Games[Season],Games[[#This Row],[Season]],Games[Date],"&lt;=" &amp; Games[[#This Row],[Date]])</f>
        <v>27</v>
      </c>
      <c r="D327" s="2" t="s">
        <v>81</v>
      </c>
      <c r="E327" s="2" t="s">
        <v>82</v>
      </c>
      <c r="F327" s="1" t="s">
        <v>77</v>
      </c>
      <c r="G327" s="1" t="s">
        <v>71</v>
      </c>
      <c r="H327" s="1" t="s">
        <v>84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3</v>
      </c>
      <c r="L327" s="2">
        <f>Games[[#This Row],[OppDaysOff]]-Games[[#This Row],[DaysOff]]</f>
        <v>-3</v>
      </c>
      <c r="M327" s="1">
        <f>MAX(-16, MIN(16, Games[[#This Row],[RestDiff]]*8))</f>
        <v>16</v>
      </c>
      <c r="N327" s="1">
        <f>MAX(-16, MIN(16, Games[[#This Row],[OppRestDiff]]*8))</f>
        <v>-16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1521.8593224605763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1443.4888841956404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0.75378205660702058</v>
      </c>
      <c r="R327" s="1">
        <v>92</v>
      </c>
      <c r="S327" s="1">
        <v>88</v>
      </c>
      <c r="T327" s="1">
        <v>0</v>
      </c>
      <c r="U327" s="1">
        <f>Games[[#This Row],[PointsFor]]-Games[[#This Row],[PointsAgainst]]</f>
        <v>4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0.29234036606156544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71.95</v>
      </c>
      <c r="Z327" s="4">
        <f>Games[[#This Row],[K]]*Games[[#This Row],[POMult]]</f>
        <v>71.95</v>
      </c>
      <c r="AA327" s="4">
        <f>(Games[[#This Row],[Keff]]*Games[[#This Row],[MOVMult]])*(Games[[#This Row],[Result]]-Games[[#This Row],[ExpectedWin%]])</f>
        <v>5.1789209743897953</v>
      </c>
      <c r="AB327" s="4">
        <f>Games[[#This Row],[PreGmRate]]+Games[[#This Row],[RatingChange]]</f>
        <v>1527.038243434966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42615</v>
      </c>
      <c r="B328" s="2">
        <v>2016</v>
      </c>
      <c r="C328" s="2">
        <f>COUNTIFS(Games[Team],Games[[#This Row],[Team]],Games[Season],Games[[#This Row],[Season]],Games[Date],"&lt;=" &amp; Games[[#This Row],[Date]])</f>
        <v>28</v>
      </c>
      <c r="D328" s="2" t="s">
        <v>81</v>
      </c>
      <c r="E328" s="2" t="s">
        <v>82</v>
      </c>
      <c r="F328" s="1" t="s">
        <v>40</v>
      </c>
      <c r="G328" s="1" t="s">
        <v>76</v>
      </c>
      <c r="H328" s="1" t="s">
        <v>83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1528.1711884956269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1448.0678468931003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0.49439249290379306</v>
      </c>
      <c r="R328" s="1">
        <v>74</v>
      </c>
      <c r="S328" s="1">
        <v>87</v>
      </c>
      <c r="T328" s="1">
        <v>0</v>
      </c>
      <c r="U328" s="1">
        <f>Games[[#This Row],[PointsFor]]-Games[[#This Row],[PointsAgainst]]</f>
        <v>-13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0.44250529497705599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71.8</v>
      </c>
      <c r="Z328" s="4">
        <f>Games[[#This Row],[K]]*Games[[#This Row],[POMult]]</f>
        <v>71.8</v>
      </c>
      <c r="AA328" s="4">
        <f>(Games[[#This Row],[Keff]]*Games[[#This Row],[MOVMult]])*(Games[[#This Row],[Result]]-Games[[#This Row],[ExpectedWin%]])</f>
        <v>-15.707779046110753</v>
      </c>
      <c r="AB328" s="4">
        <f>Games[[#This Row],[PreGmRate]]+Games[[#This Row],[RatingChange]]</f>
        <v>1512.4634094495161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42615</v>
      </c>
      <c r="B329" s="2">
        <v>2016</v>
      </c>
      <c r="C329" s="2">
        <f>COUNTIFS(Games[Team],Games[[#This Row],[Team]],Games[Season],Games[[#This Row],[Season]],Games[Date],"&lt;=" &amp; Games[[#This Row],[Date]])</f>
        <v>28</v>
      </c>
      <c r="D329" s="2" t="s">
        <v>81</v>
      </c>
      <c r="E329" s="2" t="s">
        <v>82</v>
      </c>
      <c r="F329" s="1" t="s">
        <v>76</v>
      </c>
      <c r="G329" s="1" t="s">
        <v>40</v>
      </c>
      <c r="H329" s="1" t="s">
        <v>84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1448.0678468931003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1528.1711884956269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0.50560750709620694</v>
      </c>
      <c r="R329" s="1">
        <v>87</v>
      </c>
      <c r="S329" s="1">
        <v>74</v>
      </c>
      <c r="T329" s="1">
        <v>0</v>
      </c>
      <c r="U329" s="1">
        <f>Games[[#This Row],[PointsFor]]-Games[[#This Row],[PointsAgainst]]</f>
        <v>13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0.44250529497705599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71.8</v>
      </c>
      <c r="Z329" s="4">
        <f>Games[[#This Row],[K]]*Games[[#This Row],[POMult]]</f>
        <v>71.8</v>
      </c>
      <c r="AA329" s="4">
        <f>(Games[[#This Row],[Keff]]*Games[[#This Row],[MOVMult]])*(Games[[#This Row],[Result]]-Games[[#This Row],[ExpectedWin%]])</f>
        <v>15.707779046110753</v>
      </c>
      <c r="AB329" s="4">
        <f>Games[[#This Row],[PreGmRate]]+Games[[#This Row],[RatingChange]]</f>
        <v>1463.7756259392111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42615</v>
      </c>
      <c r="B330" s="2">
        <v>2016</v>
      </c>
      <c r="C330" s="2">
        <f>COUNTIFS(Games[Team],Games[[#This Row],[Team]],Games[Season],Games[[#This Row],[Season]],Games[Date],"&lt;=" &amp; Games[[#This Row],[Date]])</f>
        <v>28</v>
      </c>
      <c r="D330" s="2" t="s">
        <v>81</v>
      </c>
      <c r="E330" s="2" t="s">
        <v>82</v>
      </c>
      <c r="F330" s="1" t="s">
        <v>63</v>
      </c>
      <c r="G330" s="1" t="s">
        <v>87</v>
      </c>
      <c r="H330" s="1" t="s">
        <v>83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-1</v>
      </c>
      <c r="L330" s="2">
        <f>Games[[#This Row],[OppDaysOff]]-Games[[#This Row],[DaysOff]]</f>
        <v>1</v>
      </c>
      <c r="M330" s="1">
        <f>MAX(-16, MIN(16, Games[[#This Row],[RestDiff]]*8))</f>
        <v>-8</v>
      </c>
      <c r="N330" s="1">
        <f>MAX(-16, MIN(16, Games[[#This Row],[OppRestDiff]]*8))</f>
        <v>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1647.4406036079351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1378.389186045443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0.72574456254063313</v>
      </c>
      <c r="R330" s="1">
        <v>87</v>
      </c>
      <c r="S330" s="1">
        <v>79</v>
      </c>
      <c r="T330" s="1">
        <v>0</v>
      </c>
      <c r="U330" s="1">
        <f>Games[[#This Row],[PointsFor]]-Games[[#This Row],[PointsAgainst]]</f>
        <v>8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0.31719695882175225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6.2460967324352232</v>
      </c>
      <c r="AB330" s="4">
        <f>Games[[#This Row],[PreGmRate]]+Games[[#This Row],[RatingChange]]</f>
        <v>1653.6867003403704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42615</v>
      </c>
      <c r="B331" s="2">
        <v>2016</v>
      </c>
      <c r="C331" s="2">
        <f>COUNTIFS(Games[Team],Games[[#This Row],[Team]],Games[Season],Games[[#This Row],[Season]],Games[Date],"&lt;=" &amp; Games[[#This Row],[Date]])</f>
        <v>29</v>
      </c>
      <c r="D331" s="2" t="s">
        <v>81</v>
      </c>
      <c r="E331" s="2" t="s">
        <v>82</v>
      </c>
      <c r="F331" s="1" t="s">
        <v>87</v>
      </c>
      <c r="G331" s="1" t="s">
        <v>63</v>
      </c>
      <c r="H331" s="1" t="s">
        <v>84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1" s="2">
        <f>Games[[#This Row],[DaysOff]]-Games[[#This Row],[OppDaysOff]]</f>
        <v>1</v>
      </c>
      <c r="L331" s="2">
        <f>Games[[#This Row],[OppDaysOff]]-Games[[#This Row],[DaysOff]]</f>
        <v>-1</v>
      </c>
      <c r="M331" s="1">
        <f>MAX(-16, MIN(16, Games[[#This Row],[RestDiff]]*8))</f>
        <v>8</v>
      </c>
      <c r="N331" s="1">
        <f>MAX(-16, MIN(16, Games[[#This Row],[OppRestDiff]]*8))</f>
        <v>-8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1378.389186045443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1647.4406036079351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0.27425543745936687</v>
      </c>
      <c r="R331" s="1">
        <v>79</v>
      </c>
      <c r="S331" s="1">
        <v>87</v>
      </c>
      <c r="T331" s="1">
        <v>0</v>
      </c>
      <c r="U331" s="1">
        <f>Games[[#This Row],[PointsFor]]-Games[[#This Row],[PointsAgainst]]</f>
        <v>-8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0.31719695882175225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71.650000000000006</v>
      </c>
      <c r="Z331" s="4">
        <f>Games[[#This Row],[K]]*Games[[#This Row],[POMult]]</f>
        <v>71.650000000000006</v>
      </c>
      <c r="AA331" s="4">
        <f>(Games[[#This Row],[Keff]]*Games[[#This Row],[MOVMult]])*(Games[[#This Row],[Result]]-Games[[#This Row],[ExpectedWin%]])</f>
        <v>-6.2330477838298579</v>
      </c>
      <c r="AB331" s="4">
        <f>Games[[#This Row],[PreGmRate]]+Games[[#This Row],[RatingChange]]</f>
        <v>1372.1561382616133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42615</v>
      </c>
      <c r="B332" s="2">
        <v>2016</v>
      </c>
      <c r="C332" s="2">
        <f>COUNTIFS(Games[Team],Games[[#This Row],[Team]],Games[Season],Games[[#This Row],[Season]],Games[Date],"&lt;=" &amp; Games[[#This Row],[Date]])</f>
        <v>27</v>
      </c>
      <c r="D332" s="2" t="s">
        <v>81</v>
      </c>
      <c r="E332" s="2" t="s">
        <v>82</v>
      </c>
      <c r="F332" s="1" t="s">
        <v>65</v>
      </c>
      <c r="G332" s="1" t="s">
        <v>67</v>
      </c>
      <c r="H332" s="1" t="s">
        <v>83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1445.8364106096465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1672.2748564224435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0.14343756661523618</v>
      </c>
      <c r="R332" s="1">
        <v>69</v>
      </c>
      <c r="S332" s="1">
        <v>75</v>
      </c>
      <c r="T332" s="1">
        <v>0</v>
      </c>
      <c r="U332" s="1">
        <f>Games[[#This Row],[PointsFor]]-Games[[#This Row],[PointsAgainst]]</f>
        <v>-6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0.29551707229048679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71.95</v>
      </c>
      <c r="Z332" s="4">
        <f>Games[[#This Row],[K]]*Games[[#This Row],[POMult]]</f>
        <v>71.95</v>
      </c>
      <c r="AA332" s="4">
        <f>(Games[[#This Row],[Keff]]*Games[[#This Row],[MOVMult]])*(Games[[#This Row],[Result]]-Games[[#This Row],[ExpectedWin%]])</f>
        <v>-3.0498345689805211</v>
      </c>
      <c r="AB332" s="4">
        <f>Games[[#This Row],[PreGmRate]]+Games[[#This Row],[RatingChange]]</f>
        <v>1442.786576040666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42615</v>
      </c>
      <c r="B333" s="2">
        <v>2016</v>
      </c>
      <c r="C333" s="2">
        <f>COUNTIFS(Games[Team],Games[[#This Row],[Team]],Games[Season],Games[[#This Row],[Season]],Games[Date],"&lt;=" &amp; Games[[#This Row],[Date]])</f>
        <v>28</v>
      </c>
      <c r="D333" s="2" t="s">
        <v>81</v>
      </c>
      <c r="E333" s="2" t="s">
        <v>82</v>
      </c>
      <c r="F333" s="1" t="s">
        <v>67</v>
      </c>
      <c r="G333" s="1" t="s">
        <v>65</v>
      </c>
      <c r="H333" s="1" t="s">
        <v>84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1672.2748564224435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1445.8364106096465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0.8565624333847639</v>
      </c>
      <c r="R333" s="1">
        <v>75</v>
      </c>
      <c r="S333" s="1">
        <v>69</v>
      </c>
      <c r="T333" s="1">
        <v>0</v>
      </c>
      <c r="U333" s="1">
        <f>Games[[#This Row],[PointsFor]]-Games[[#This Row],[PointsAgainst]]</f>
        <v>6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0.29551707229048679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71.8</v>
      </c>
      <c r="Z333" s="4">
        <f>Games[[#This Row],[K]]*Games[[#This Row],[POMult]]</f>
        <v>71.8</v>
      </c>
      <c r="AA333" s="4">
        <f>(Games[[#This Row],[Keff]]*Games[[#This Row],[MOVMult]])*(Games[[#This Row],[Result]]-Games[[#This Row],[ExpectedWin%]])</f>
        <v>3.0434763315191282</v>
      </c>
      <c r="AB333" s="4">
        <f>Games[[#This Row],[PreGmRate]]+Games[[#This Row],[RatingChange]]</f>
        <v>1675.3183327539625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42616</v>
      </c>
      <c r="B334" s="2">
        <v>2016</v>
      </c>
      <c r="C334" s="2">
        <f>COUNTIFS(Games[Team],Games[[#This Row],[Team]],Games[Season],Games[[#This Row],[Season]],Games[Date],"&lt;=" &amp; Games[[#This Row],[Date]])</f>
        <v>29</v>
      </c>
      <c r="D334" s="2" t="s">
        <v>81</v>
      </c>
      <c r="E334" s="2" t="s">
        <v>82</v>
      </c>
      <c r="F334" s="1" t="s">
        <v>40</v>
      </c>
      <c r="G334" s="1" t="s">
        <v>60</v>
      </c>
      <c r="H334" s="1" t="s">
        <v>83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-1</v>
      </c>
      <c r="L334" s="2">
        <f>Games[[#This Row],[OppDaysOff]]-Games[[#This Row],[DaysOff]]</f>
        <v>1</v>
      </c>
      <c r="M334" s="1">
        <f>MAX(-16, MIN(16, Games[[#This Row],[RestDiff]]*8))</f>
        <v>-8</v>
      </c>
      <c r="N334" s="1">
        <f>MAX(-16, MIN(16, Games[[#This Row],[OppRestDiff]]*8))</f>
        <v>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1512.4634094495161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1582.7707775640117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0.27281876702270363</v>
      </c>
      <c r="R334" s="1">
        <v>70</v>
      </c>
      <c r="S334" s="1">
        <v>92</v>
      </c>
      <c r="T334" s="1">
        <v>0</v>
      </c>
      <c r="U334" s="1">
        <f>Games[[#This Row],[PointsFor]]-Games[[#This Row],[PointsAgainst]]</f>
        <v>-22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0.56873432660361467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71.650000000000006</v>
      </c>
      <c r="Z334" s="4">
        <f>Games[[#This Row],[K]]*Games[[#This Row],[POMult]]</f>
        <v>71.650000000000006</v>
      </c>
      <c r="AA334" s="4">
        <f>(Games[[#This Row],[Keff]]*Games[[#This Row],[MOVMult]])*(Games[[#This Row],[Result]]-Games[[#This Row],[ExpectedWin%]])</f>
        <v>-11.117314148607358</v>
      </c>
      <c r="AB334" s="4">
        <f>Games[[#This Row],[PreGmRate]]+Games[[#This Row],[RatingChange]]</f>
        <v>1501.3460953009087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42616</v>
      </c>
      <c r="B335" s="2">
        <v>2016</v>
      </c>
      <c r="C335" s="2">
        <f>COUNTIFS(Games[Team],Games[[#This Row],[Team]],Games[Season],Games[[#This Row],[Season]],Games[Date],"&lt;=" &amp; Games[[#This Row],[Date]])</f>
        <v>29</v>
      </c>
      <c r="D335" s="2" t="s">
        <v>81</v>
      </c>
      <c r="E335" s="2" t="s">
        <v>82</v>
      </c>
      <c r="F335" s="1" t="s">
        <v>60</v>
      </c>
      <c r="G335" s="1" t="s">
        <v>40</v>
      </c>
      <c r="H335" s="1" t="s">
        <v>84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5" s="2">
        <f>Games[[#This Row],[DaysOff]]-Games[[#This Row],[OppDaysOff]]</f>
        <v>1</v>
      </c>
      <c r="L335" s="2">
        <f>Games[[#This Row],[OppDaysOff]]-Games[[#This Row],[DaysOff]]</f>
        <v>-1</v>
      </c>
      <c r="M335" s="1">
        <f>MAX(-16, MIN(16, Games[[#This Row],[RestDiff]]*8))</f>
        <v>8</v>
      </c>
      <c r="N335" s="1">
        <f>MAX(-16, MIN(16, Games[[#This Row],[OppRestDiff]]*8))</f>
        <v>-8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1582.7707775640117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1512.4634094495161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0.72718123297729642</v>
      </c>
      <c r="R335" s="1">
        <v>92</v>
      </c>
      <c r="S335" s="1">
        <v>70</v>
      </c>
      <c r="T335" s="1">
        <v>0</v>
      </c>
      <c r="U335" s="1">
        <f>Games[[#This Row],[PointsFor]]-Games[[#This Row],[PointsAgainst]]</f>
        <v>22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0.56873432660361467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71.650000000000006</v>
      </c>
      <c r="Z335" s="4">
        <f>Games[[#This Row],[K]]*Games[[#This Row],[POMult]]</f>
        <v>71.650000000000006</v>
      </c>
      <c r="AA335" s="4">
        <f>(Games[[#This Row],[Keff]]*Games[[#This Row],[MOVMult]])*(Games[[#This Row],[Result]]-Games[[#This Row],[ExpectedWin%]])</f>
        <v>11.117314148607356</v>
      </c>
      <c r="AB335" s="4">
        <f>Games[[#This Row],[PreGmRate]]+Games[[#This Row],[RatingChange]]</f>
        <v>1593.8880917126191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42617</v>
      </c>
      <c r="B336" s="2">
        <v>2016</v>
      </c>
      <c r="C336" s="2">
        <f>COUNTIFS(Games[Team],Games[[#This Row],[Team]],Games[Season],Games[[#This Row],[Season]],Games[Date],"&lt;=" &amp; Games[[#This Row],[Date]])</f>
        <v>29</v>
      </c>
      <c r="D336" s="2" t="s">
        <v>81</v>
      </c>
      <c r="E336" s="2" t="s">
        <v>82</v>
      </c>
      <c r="F336" s="1" t="s">
        <v>71</v>
      </c>
      <c r="G336" s="1" t="s">
        <v>79</v>
      </c>
      <c r="H336" s="1" t="s">
        <v>83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36" s="2">
        <f>Games[[#This Row],[DaysOff]]-Games[[#This Row],[OppDaysOff]]</f>
        <v>-5</v>
      </c>
      <c r="L336" s="2">
        <f>Games[[#This Row],[OppDaysOff]]-Games[[#This Row],[DaysOff]]</f>
        <v>5</v>
      </c>
      <c r="M336" s="1">
        <f>MAX(-16, MIN(16, Games[[#This Row],[RestDiff]]*8))</f>
        <v>-16</v>
      </c>
      <c r="N336" s="1">
        <f>MAX(-16, MIN(16, Games[[#This Row],[OppRestDiff]]*8))</f>
        <v>16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1438.320760137806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1491.4444017190783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0.27417269362918734</v>
      </c>
      <c r="R336" s="1">
        <v>91</v>
      </c>
      <c r="S336" s="1">
        <v>82</v>
      </c>
      <c r="T336" s="1">
        <v>0</v>
      </c>
      <c r="U336" s="1">
        <f>Games[[#This Row],[PointsFor]]-Games[[#This Row],[PointsAgainst]]</f>
        <v>9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0.38876118557778871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71.650000000000006</v>
      </c>
      <c r="Z336" s="4">
        <f>Games[[#This Row],[K]]*Games[[#This Row],[POMult]]</f>
        <v>71.650000000000006</v>
      </c>
      <c r="AA336" s="4">
        <f>(Games[[#This Row],[Keff]]*Games[[#This Row],[MOVMult]])*(Games[[#This Row],[Result]]-Games[[#This Row],[ExpectedWin%]])</f>
        <v>20.217730139308095</v>
      </c>
      <c r="AB336" s="4">
        <f>Games[[#This Row],[PreGmRate]]+Games[[#This Row],[RatingChange]]</f>
        <v>1458.5384902771141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42617</v>
      </c>
      <c r="B337" s="2">
        <v>2016</v>
      </c>
      <c r="C337" s="2">
        <f>COUNTIFS(Games[Team],Games[[#This Row],[Team]],Games[Season],Games[[#This Row],[Season]],Games[Date],"&lt;=" &amp; Games[[#This Row],[Date]])</f>
        <v>28</v>
      </c>
      <c r="D337" s="2" t="s">
        <v>81</v>
      </c>
      <c r="E337" s="2" t="s">
        <v>82</v>
      </c>
      <c r="F337" s="1" t="s">
        <v>79</v>
      </c>
      <c r="G337" s="1" t="s">
        <v>71</v>
      </c>
      <c r="H337" s="1" t="s">
        <v>84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5</v>
      </c>
      <c r="L337" s="2">
        <f>Games[[#This Row],[OppDaysOff]]-Games[[#This Row],[DaysOff]]</f>
        <v>-5</v>
      </c>
      <c r="M337" s="1">
        <f>MAX(-16, MIN(16, Games[[#This Row],[RestDiff]]*8))</f>
        <v>16</v>
      </c>
      <c r="N337" s="1">
        <f>MAX(-16, MIN(16, Games[[#This Row],[OppRestDiff]]*8))</f>
        <v>-16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1491.4444017190783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1438.320760137806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0.72582730637081261</v>
      </c>
      <c r="R337" s="1">
        <v>82</v>
      </c>
      <c r="S337" s="1">
        <v>91</v>
      </c>
      <c r="T337" s="1">
        <v>0</v>
      </c>
      <c r="U337" s="1">
        <f>Games[[#This Row],[PointsFor]]-Games[[#This Row],[PointsAgainst]]</f>
        <v>-9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0.38876118557778871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71.8</v>
      </c>
      <c r="Z337" s="4">
        <f>Games[[#This Row],[K]]*Games[[#This Row],[POMult]]</f>
        <v>71.8</v>
      </c>
      <c r="AA337" s="4">
        <f>(Games[[#This Row],[Keff]]*Games[[#This Row],[MOVMult]])*(Games[[#This Row],[Result]]-Games[[#This Row],[ExpectedWin%]])</f>
        <v>-20.260056161930507</v>
      </c>
      <c r="AB337" s="4">
        <f>Games[[#This Row],[PreGmRate]]+Games[[#This Row],[RatingChange]]</f>
        <v>1471.1843455571477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42617</v>
      </c>
      <c r="B338" s="2">
        <v>2016</v>
      </c>
      <c r="C338" s="2">
        <f>COUNTIFS(Games[Team],Games[[#This Row],[Team]],Games[Season],Games[[#This Row],[Season]],Games[Date],"&lt;=" &amp; Games[[#This Row],[Date]])</f>
        <v>28</v>
      </c>
      <c r="D338" s="2" t="s">
        <v>81</v>
      </c>
      <c r="E338" s="2" t="s">
        <v>82</v>
      </c>
      <c r="F338" s="1" t="s">
        <v>74</v>
      </c>
      <c r="G338" s="1" t="s">
        <v>77</v>
      </c>
      <c r="H338" s="1" t="s">
        <v>83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1</v>
      </c>
      <c r="L338" s="2">
        <f>Games[[#This Row],[OppDaysOff]]-Games[[#This Row],[DaysOff]]</f>
        <v>-1</v>
      </c>
      <c r="M338" s="1">
        <f>MAX(-16, MIN(16, Games[[#This Row],[RestDiff]]*8))</f>
        <v>8</v>
      </c>
      <c r="N338" s="1">
        <f>MAX(-16, MIN(16, Games[[#This Row],[OppRestDiff]]*8))</f>
        <v>-8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1320.4829773136025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1527.038243434966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0.17072933131230433</v>
      </c>
      <c r="R338" s="1">
        <v>73</v>
      </c>
      <c r="S338" s="1">
        <v>97</v>
      </c>
      <c r="T338" s="1">
        <v>0</v>
      </c>
      <c r="U338" s="1">
        <f>Games[[#This Row],[PointsFor]]-Games[[#This Row],[PointsAgainst]]</f>
        <v>-24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0.53614467593390369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71.8</v>
      </c>
      <c r="Z338" s="4">
        <f>Games[[#This Row],[K]]*Games[[#This Row],[POMult]]</f>
        <v>71.8</v>
      </c>
      <c r="AA338" s="4">
        <f>(Games[[#This Row],[Keff]]*Games[[#This Row],[MOVMult]])*(Games[[#This Row],[Result]]-Games[[#This Row],[ExpectedWin%]])</f>
        <v>-6.5722576602352492</v>
      </c>
      <c r="AB338" s="4">
        <f>Games[[#This Row],[PreGmRate]]+Games[[#This Row],[RatingChange]]</f>
        <v>1313.9107196533673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42617</v>
      </c>
      <c r="B339" s="2">
        <v>2016</v>
      </c>
      <c r="C339" s="2">
        <f>COUNTIFS(Games[Team],Games[[#This Row],[Team]],Games[Season],Games[[#This Row],[Season]],Games[Date],"&lt;=" &amp; Games[[#This Row],[Date]])</f>
        <v>28</v>
      </c>
      <c r="D339" s="2" t="s">
        <v>81</v>
      </c>
      <c r="E339" s="2" t="s">
        <v>82</v>
      </c>
      <c r="F339" s="1" t="s">
        <v>77</v>
      </c>
      <c r="G339" s="1" t="s">
        <v>74</v>
      </c>
      <c r="H339" s="1" t="s">
        <v>84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9" s="2">
        <f>Games[[#This Row],[DaysOff]]-Games[[#This Row],[OppDaysOff]]</f>
        <v>-1</v>
      </c>
      <c r="L339" s="2">
        <f>Games[[#This Row],[OppDaysOff]]-Games[[#This Row],[DaysOff]]</f>
        <v>1</v>
      </c>
      <c r="M339" s="1">
        <f>MAX(-16, MIN(16, Games[[#This Row],[RestDiff]]*8))</f>
        <v>-8</v>
      </c>
      <c r="N339" s="1">
        <f>MAX(-16, MIN(16, Games[[#This Row],[OppRestDiff]]*8))</f>
        <v>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1527.038243434966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1320.4829773136025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0.82927066868769572</v>
      </c>
      <c r="R339" s="1">
        <v>97</v>
      </c>
      <c r="S339" s="1">
        <v>73</v>
      </c>
      <c r="T339" s="1">
        <v>0</v>
      </c>
      <c r="U339" s="1">
        <f>Games[[#This Row],[PointsFor]]-Games[[#This Row],[PointsAgainst]]</f>
        <v>24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0.53614467593390369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71.8</v>
      </c>
      <c r="Z339" s="4">
        <f>Games[[#This Row],[K]]*Games[[#This Row],[POMult]]</f>
        <v>71.8</v>
      </c>
      <c r="AA339" s="4">
        <f>(Games[[#This Row],[Keff]]*Games[[#This Row],[MOVMult]])*(Games[[#This Row],[Result]]-Games[[#This Row],[ExpectedWin%]])</f>
        <v>6.5722576602352465</v>
      </c>
      <c r="AB339" s="4">
        <f>Games[[#This Row],[PreGmRate]]+Games[[#This Row],[RatingChange]]</f>
        <v>1533.6105010952012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42617</v>
      </c>
      <c r="B340" s="2">
        <v>2016</v>
      </c>
      <c r="C340" s="2">
        <f>COUNTIFS(Games[Team],Games[[#This Row],[Team]],Games[Season],Games[[#This Row],[Season]],Games[Date],"&lt;=" &amp; Games[[#This Row],[Date]])</f>
        <v>28</v>
      </c>
      <c r="D340" s="2" t="s">
        <v>81</v>
      </c>
      <c r="E340" s="2" t="s">
        <v>82</v>
      </c>
      <c r="F340" s="1" t="s">
        <v>65</v>
      </c>
      <c r="G340" s="1" t="s">
        <v>87</v>
      </c>
      <c r="H340" s="1" t="s">
        <v>83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1442.786576040666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1372.1561382616133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0.48076914451242025</v>
      </c>
      <c r="R340" s="1">
        <v>88</v>
      </c>
      <c r="S340" s="1">
        <v>83</v>
      </c>
      <c r="T340" s="1">
        <v>0</v>
      </c>
      <c r="U340" s="1">
        <f>Games[[#This Row],[PointsFor]]-Games[[#This Row],[PointsAgainst]]</f>
        <v>5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0.31331468121395917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71.8</v>
      </c>
      <c r="Z340" s="4">
        <f>Games[[#This Row],[K]]*Games[[#This Row],[POMult]]</f>
        <v>71.8</v>
      </c>
      <c r="AA340" s="4">
        <f>(Games[[#This Row],[Keff]]*Games[[#This Row],[MOVMult]])*(Games[[#This Row],[Result]]-Games[[#This Row],[ExpectedWin%]])</f>
        <v>11.680614267382341</v>
      </c>
      <c r="AB340" s="4">
        <f>Games[[#This Row],[PreGmRate]]+Games[[#This Row],[RatingChange]]</f>
        <v>1454.4671903080484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42617</v>
      </c>
      <c r="B341" s="2">
        <v>2016</v>
      </c>
      <c r="C341" s="2">
        <f>COUNTIFS(Games[Team],Games[[#This Row],[Team]],Games[Season],Games[[#This Row],[Season]],Games[Date],"&lt;=" &amp; Games[[#This Row],[Date]])</f>
        <v>30</v>
      </c>
      <c r="D341" s="2" t="s">
        <v>81</v>
      </c>
      <c r="E341" s="2" t="s">
        <v>82</v>
      </c>
      <c r="F341" s="1" t="s">
        <v>87</v>
      </c>
      <c r="G341" s="1" t="s">
        <v>65</v>
      </c>
      <c r="H341" s="1" t="s">
        <v>84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1372.1561382616133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1442.786576040666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0.51923085548757963</v>
      </c>
      <c r="R341" s="1">
        <v>83</v>
      </c>
      <c r="S341" s="1">
        <v>88</v>
      </c>
      <c r="T341" s="1">
        <v>0</v>
      </c>
      <c r="U341" s="1">
        <f>Games[[#This Row],[PointsFor]]-Games[[#This Row],[PointsAgainst]]</f>
        <v>-5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0.31331468121395917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71.5</v>
      </c>
      <c r="Z341" s="4">
        <f>Games[[#This Row],[K]]*Games[[#This Row],[POMult]]</f>
        <v>71.5</v>
      </c>
      <c r="AA341" s="4">
        <f>(Games[[#This Row],[Keff]]*Games[[#This Row],[MOVMult]])*(Games[[#This Row],[Result]]-Games[[#This Row],[ExpectedWin%]])</f>
        <v>-11.631809472393275</v>
      </c>
      <c r="AB341" s="4">
        <f>Games[[#This Row],[PreGmRate]]+Games[[#This Row],[RatingChange]]</f>
        <v>1360.5243287892199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42617</v>
      </c>
      <c r="B342" s="2">
        <v>2016</v>
      </c>
      <c r="C342" s="2">
        <f>COUNTIFS(Games[Team],Games[[#This Row],[Team]],Games[Season],Games[[#This Row],[Season]],Games[Date],"&lt;=" &amp; Games[[#This Row],[Date]])</f>
        <v>28</v>
      </c>
      <c r="D342" s="2" t="s">
        <v>81</v>
      </c>
      <c r="E342" s="2" t="s">
        <v>82</v>
      </c>
      <c r="F342" s="1" t="s">
        <v>69</v>
      </c>
      <c r="G342" s="1" t="s">
        <v>63</v>
      </c>
      <c r="H342" s="1" t="s">
        <v>83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1</v>
      </c>
      <c r="L342" s="2">
        <f>Games[[#This Row],[OppDaysOff]]-Games[[#This Row],[DaysOff]]</f>
        <v>-1</v>
      </c>
      <c r="M342" s="1">
        <f>MAX(-16, MIN(16, Games[[#This Row],[RestDiff]]*8))</f>
        <v>8</v>
      </c>
      <c r="N342" s="1">
        <f>MAX(-16, MIN(16, Games[[#This Row],[OppRestDiff]]*8))</f>
        <v>-8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1520.6608164112372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1653.6867003403704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0.23917679426314342</v>
      </c>
      <c r="R342" s="1">
        <v>81</v>
      </c>
      <c r="S342" s="1">
        <v>88</v>
      </c>
      <c r="T342" s="1">
        <v>0</v>
      </c>
      <c r="U342" s="1">
        <f>Games[[#This Row],[PointsFor]]-Games[[#This Row],[PointsAgainst]]</f>
        <v>-7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0.33317328068341912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71.8</v>
      </c>
      <c r="Z342" s="4">
        <f>Games[[#This Row],[K]]*Games[[#This Row],[POMult]]</f>
        <v>71.8</v>
      </c>
      <c r="AA342" s="4">
        <f>(Games[[#This Row],[Keff]]*Games[[#This Row],[MOVMult]])*(Games[[#This Row],[Result]]-Games[[#This Row],[ExpectedWin%]])</f>
        <v>-5.7215493755340168</v>
      </c>
      <c r="AB342" s="4">
        <f>Games[[#This Row],[PreGmRate]]+Games[[#This Row],[RatingChange]]</f>
        <v>1514.9392670357031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42617</v>
      </c>
      <c r="B343" s="2">
        <v>2016</v>
      </c>
      <c r="C343" s="2">
        <f>COUNTIFS(Games[Team],Games[[#This Row],[Team]],Games[Season],Games[[#This Row],[Season]],Games[Date],"&lt;=" &amp; Games[[#This Row],[Date]])</f>
        <v>29</v>
      </c>
      <c r="D343" s="2" t="s">
        <v>81</v>
      </c>
      <c r="E343" s="2" t="s">
        <v>82</v>
      </c>
      <c r="F343" s="1" t="s">
        <v>63</v>
      </c>
      <c r="G343" s="1" t="s">
        <v>69</v>
      </c>
      <c r="H343" s="1" t="s">
        <v>84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3" s="2">
        <f>Games[[#This Row],[DaysOff]]-Games[[#This Row],[OppDaysOff]]</f>
        <v>-1</v>
      </c>
      <c r="L343" s="2">
        <f>Games[[#This Row],[OppDaysOff]]-Games[[#This Row],[DaysOff]]</f>
        <v>1</v>
      </c>
      <c r="M343" s="1">
        <f>MAX(-16, MIN(16, Games[[#This Row],[RestDiff]]*8))</f>
        <v>-8</v>
      </c>
      <c r="N343" s="1">
        <f>MAX(-16, MIN(16, Games[[#This Row],[OppRestDiff]]*8))</f>
        <v>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1653.6867003403704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1520.6608164112372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0.76082320573685658</v>
      </c>
      <c r="R343" s="1">
        <v>88</v>
      </c>
      <c r="S343" s="1">
        <v>81</v>
      </c>
      <c r="T343" s="1">
        <v>0</v>
      </c>
      <c r="U343" s="1">
        <f>Games[[#This Row],[PointsFor]]-Games[[#This Row],[PointsAgainst]]</f>
        <v>7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0.33317328068341912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71.650000000000006</v>
      </c>
      <c r="Z343" s="4">
        <f>Games[[#This Row],[K]]*Games[[#This Row],[POMult]]</f>
        <v>71.650000000000006</v>
      </c>
      <c r="AA343" s="4">
        <f>(Games[[#This Row],[Keff]]*Games[[#This Row],[MOVMult]])*(Games[[#This Row],[Result]]-Games[[#This Row],[ExpectedWin%]])</f>
        <v>5.7095962779528184</v>
      </c>
      <c r="AB343" s="4">
        <f>Games[[#This Row],[PreGmRate]]+Games[[#This Row],[RatingChange]]</f>
        <v>1659.3962966183233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42617</v>
      </c>
      <c r="B344" s="2">
        <v>2016</v>
      </c>
      <c r="C344" s="2">
        <f>COUNTIFS(Games[Team],Games[[#This Row],[Team]],Games[Season],Games[[#This Row],[Season]],Games[Date],"&lt;=" &amp; Games[[#This Row],[Date]])</f>
        <v>29</v>
      </c>
      <c r="D344" s="2" t="s">
        <v>81</v>
      </c>
      <c r="E344" s="2" t="s">
        <v>82</v>
      </c>
      <c r="F344" s="1" t="s">
        <v>76</v>
      </c>
      <c r="G344" s="1" t="s">
        <v>67</v>
      </c>
      <c r="H344" s="1" t="s">
        <v>83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1463.7756259392111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1675.3183327539625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0.15429808828063565</v>
      </c>
      <c r="R344" s="1">
        <v>79</v>
      </c>
      <c r="S344" s="1">
        <v>93</v>
      </c>
      <c r="T344" s="1">
        <v>0</v>
      </c>
      <c r="U344" s="1">
        <f>Games[[#This Row],[PointsFor]]-Games[[#This Row],[PointsAgainst]]</f>
        <v>-14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0.41453207289867211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71.650000000000006</v>
      </c>
      <c r="Z344" s="4">
        <f>Games[[#This Row],[K]]*Games[[#This Row],[POMult]]</f>
        <v>71.650000000000006</v>
      </c>
      <c r="AA344" s="4">
        <f>(Games[[#This Row],[Keff]]*Games[[#This Row],[MOVMult]])*(Games[[#This Row],[Result]]-Games[[#This Row],[ExpectedWin%]])</f>
        <v>-4.5828419320749969</v>
      </c>
      <c r="AB344" s="4">
        <f>Games[[#This Row],[PreGmRate]]+Games[[#This Row],[RatingChange]]</f>
        <v>1459.192784007136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42617</v>
      </c>
      <c r="B345" s="2">
        <v>2016</v>
      </c>
      <c r="C345" s="2">
        <f>COUNTIFS(Games[Team],Games[[#This Row],[Team]],Games[Season],Games[[#This Row],[Season]],Games[Date],"&lt;=" &amp; Games[[#This Row],[Date]])</f>
        <v>29</v>
      </c>
      <c r="D345" s="2" t="s">
        <v>81</v>
      </c>
      <c r="E345" s="2" t="s">
        <v>82</v>
      </c>
      <c r="F345" s="1" t="s">
        <v>67</v>
      </c>
      <c r="G345" s="1" t="s">
        <v>76</v>
      </c>
      <c r="H345" s="1" t="s">
        <v>84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1675.3183327539625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1463.7756259392111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0.84570191171936449</v>
      </c>
      <c r="R345" s="1">
        <v>93</v>
      </c>
      <c r="S345" s="1">
        <v>79</v>
      </c>
      <c r="T345" s="1">
        <v>0</v>
      </c>
      <c r="U345" s="1">
        <f>Games[[#This Row],[PointsFor]]-Games[[#This Row],[PointsAgainst]]</f>
        <v>14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0.41453207289867211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4.5828419320749925</v>
      </c>
      <c r="AB345" s="4">
        <f>Games[[#This Row],[PreGmRate]]+Games[[#This Row],[RatingChange]]</f>
        <v>1679.9011746860376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42619</v>
      </c>
      <c r="B346" s="2">
        <v>2016</v>
      </c>
      <c r="C346" s="2">
        <f>COUNTIFS(Games[Team],Games[[#This Row],[Team]],Games[Season],Games[[#This Row],[Season]],Games[Date],"&lt;=" &amp; Games[[#This Row],[Date]])</f>
        <v>30</v>
      </c>
      <c r="D346" s="2" t="s">
        <v>81</v>
      </c>
      <c r="E346" s="2" t="s">
        <v>82</v>
      </c>
      <c r="F346" s="1" t="s">
        <v>40</v>
      </c>
      <c r="G346" s="1" t="s">
        <v>79</v>
      </c>
      <c r="H346" s="1" t="s">
        <v>83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1</v>
      </c>
      <c r="L346" s="2">
        <f>Games[[#This Row],[OppDaysOff]]-Games[[#This Row],[DaysOff]]</f>
        <v>-1</v>
      </c>
      <c r="M346" s="1">
        <f>MAX(-16, MIN(16, Games[[#This Row],[RestDiff]]*8))</f>
        <v>8</v>
      </c>
      <c r="N346" s="1">
        <f>MAX(-16, MIN(16, Games[[#This Row],[OppRestDiff]]*8))</f>
        <v>-8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1501.3460953009087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1471.1843455571477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0.44576065170953155</v>
      </c>
      <c r="R346" s="1">
        <v>87</v>
      </c>
      <c r="S346" s="1">
        <v>91</v>
      </c>
      <c r="T346" s="1">
        <v>0</v>
      </c>
      <c r="U346" s="1">
        <f>Games[[#This Row],[PointsFor]]-Games[[#This Row],[PointsAgainst]]</f>
        <v>-4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0.30379686408108514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71.5</v>
      </c>
      <c r="Z346" s="4">
        <f>Games[[#This Row],[K]]*Games[[#This Row],[POMult]]</f>
        <v>71.5</v>
      </c>
      <c r="AA346" s="4">
        <f>(Games[[#This Row],[Keff]]*Games[[#This Row],[MOVMult]])*(Games[[#This Row],[Result]]-Games[[#This Row],[ExpectedWin%]])</f>
        <v>-9.6825792005868987</v>
      </c>
      <c r="AB346" s="4">
        <f>Games[[#This Row],[PreGmRate]]+Games[[#This Row],[RatingChange]]</f>
        <v>1491.6635161003219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42619</v>
      </c>
      <c r="B347" s="2">
        <v>2016</v>
      </c>
      <c r="C347" s="2">
        <f>COUNTIFS(Games[Team],Games[[#This Row],[Team]],Games[Season],Games[[#This Row],[Season]],Games[Date],"&lt;=" &amp; Games[[#This Row],[Date]])</f>
        <v>29</v>
      </c>
      <c r="D347" s="2" t="s">
        <v>81</v>
      </c>
      <c r="E347" s="2" t="s">
        <v>82</v>
      </c>
      <c r="F347" s="1" t="s">
        <v>79</v>
      </c>
      <c r="G347" s="1" t="s">
        <v>40</v>
      </c>
      <c r="H347" s="1" t="s">
        <v>84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7" s="2">
        <f>Games[[#This Row],[DaysOff]]-Games[[#This Row],[OppDaysOff]]</f>
        <v>-1</v>
      </c>
      <c r="L347" s="2">
        <f>Games[[#This Row],[OppDaysOff]]-Games[[#This Row],[DaysOff]]</f>
        <v>1</v>
      </c>
      <c r="M347" s="1">
        <f>MAX(-16, MIN(16, Games[[#This Row],[RestDiff]]*8))</f>
        <v>-8</v>
      </c>
      <c r="N347" s="1">
        <f>MAX(-16, MIN(16, Games[[#This Row],[OppRestDiff]]*8))</f>
        <v>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1471.1843455571477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1501.3460953009087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0.5542393482904685</v>
      </c>
      <c r="R347" s="1">
        <v>91</v>
      </c>
      <c r="S347" s="1">
        <v>87</v>
      </c>
      <c r="T347" s="1">
        <v>0</v>
      </c>
      <c r="U347" s="1">
        <f>Games[[#This Row],[PointsFor]]-Games[[#This Row],[PointsAgainst]]</f>
        <v>4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0.30379686408108514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9.702892303804914</v>
      </c>
      <c r="AB347" s="4">
        <f>Games[[#This Row],[PreGmRate]]+Games[[#This Row],[RatingChange]]</f>
        <v>1480.8872378609526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42619</v>
      </c>
      <c r="B348" s="2">
        <v>2016</v>
      </c>
      <c r="C348" s="2">
        <f>COUNTIFS(Games[Team],Games[[#This Row],[Team]],Games[Season],Games[[#This Row],[Season]],Games[Date],"&lt;=" &amp; Games[[#This Row],[Date]])</f>
        <v>30</v>
      </c>
      <c r="D348" s="2" t="s">
        <v>81</v>
      </c>
      <c r="E348" s="2" t="s">
        <v>82</v>
      </c>
      <c r="F348" s="1" t="s">
        <v>67</v>
      </c>
      <c r="G348" s="1" t="s">
        <v>63</v>
      </c>
      <c r="H348" s="1" t="s">
        <v>83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1679.9011746860376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1659.3962966183233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0.4096270599536857</v>
      </c>
      <c r="R348" s="1">
        <v>77</v>
      </c>
      <c r="S348" s="1">
        <v>74</v>
      </c>
      <c r="T348" s="1">
        <v>0</v>
      </c>
      <c r="U348" s="1">
        <f>Games[[#This Row],[PointsFor]]-Games[[#This Row],[PointsAgainst]]</f>
        <v>3</v>
      </c>
      <c r="V348" s="1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0.28530834376487446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71.5</v>
      </c>
      <c r="Z348" s="4">
        <f>Games[[#This Row],[K]]*Games[[#This Row],[POMult]]</f>
        <v>71.5</v>
      </c>
      <c r="AA348" s="4">
        <f>(Games[[#This Row],[Keff]]*Games[[#This Row],[MOVMult]])*(Games[[#This Row],[Result]]-Games[[#This Row],[ExpectedWin%]])</f>
        <v>12.043340289567261</v>
      </c>
      <c r="AB348" s="4">
        <f>Games[[#This Row],[PreGmRate]]+Games[[#This Row],[RatingChange]]</f>
        <v>1691.944514975605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42619</v>
      </c>
      <c r="B349" s="2">
        <v>2016</v>
      </c>
      <c r="C349" s="2">
        <f>COUNTIFS(Games[Team],Games[[#This Row],[Team]],Games[Season],Games[[#This Row],[Season]],Games[Date],"&lt;=" &amp; Games[[#This Row],[Date]])</f>
        <v>30</v>
      </c>
      <c r="D349" s="2" t="s">
        <v>81</v>
      </c>
      <c r="E349" s="2" t="s">
        <v>82</v>
      </c>
      <c r="F349" s="1" t="s">
        <v>63</v>
      </c>
      <c r="G349" s="1" t="s">
        <v>67</v>
      </c>
      <c r="H349" s="1" t="s">
        <v>84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1659.3962966183233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1679.9011746860376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0.59037294004631424</v>
      </c>
      <c r="R349" s="1">
        <v>74</v>
      </c>
      <c r="S349" s="1">
        <v>77</v>
      </c>
      <c r="T349" s="1">
        <v>0</v>
      </c>
      <c r="U349" s="1">
        <f>Games[[#This Row],[PointsFor]]-Games[[#This Row],[PointsAgainst]]</f>
        <v>-3</v>
      </c>
      <c r="V349" s="1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0.28530834376487446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71.5</v>
      </c>
      <c r="Z349" s="4">
        <f>Games[[#This Row],[K]]*Games[[#This Row],[POMult]]</f>
        <v>71.5</v>
      </c>
      <c r="AA349" s="4">
        <f>(Games[[#This Row],[Keff]]*Games[[#This Row],[MOVMult]])*(Games[[#This Row],[Result]]-Games[[#This Row],[ExpectedWin%]])</f>
        <v>-12.043340289567261</v>
      </c>
      <c r="AB349" s="4">
        <f>Games[[#This Row],[PreGmRate]]+Games[[#This Row],[RatingChange]]</f>
        <v>1647.3529563287559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42619</v>
      </c>
      <c r="B350" s="2">
        <v>2016</v>
      </c>
      <c r="C350" s="2">
        <f>COUNTIFS(Games[Team],Games[[#This Row],[Team]],Games[Season],Games[[#This Row],[Season]],Games[Date],"&lt;=" &amp; Games[[#This Row],[Date]])</f>
        <v>29</v>
      </c>
      <c r="D350" s="2" t="s">
        <v>81</v>
      </c>
      <c r="E350" s="2" t="s">
        <v>82</v>
      </c>
      <c r="F350" s="1" t="s">
        <v>69</v>
      </c>
      <c r="G350" s="1" t="s">
        <v>74</v>
      </c>
      <c r="H350" s="1" t="s">
        <v>83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1514.9392670357031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1313.9107196533673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0.6623245513717767</v>
      </c>
      <c r="R350" s="1">
        <v>71</v>
      </c>
      <c r="S350" s="1">
        <v>69</v>
      </c>
      <c r="T350" s="1">
        <v>0</v>
      </c>
      <c r="U350" s="1">
        <f>Games[[#This Row],[PointsFor]]-Games[[#This Row],[PointsAgainst]]</f>
        <v>2</v>
      </c>
      <c r="V350" s="1">
        <f>IF(Games[[#This Row],[MOV]]&gt;0,1,IF(Games[[#This Row],[MOV]]=0,0.5,0))</f>
        <v>1</v>
      </c>
      <c r="W350" s="4">
        <f>((ABS(Games[[#This Row],[MOV]])+5)^0.6)/(12+0.01*(ABS(Games[[#This Row],[PreGmRate]]-Games[[#This Row],[OppPreGmRate]])))*IF(Games[[#This Row],[OT]]=1,0.9,1)</f>
        <v>0.22940973299375053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71.650000000000006</v>
      </c>
      <c r="Z350" s="4">
        <f>Games[[#This Row],[K]]*Games[[#This Row],[POMult]]</f>
        <v>71.650000000000006</v>
      </c>
      <c r="AA350" s="4">
        <f>(Games[[#This Row],[Keff]]*Games[[#This Row],[MOVMult]])*(Games[[#This Row],[Result]]-Games[[#This Row],[ExpectedWin%]])</f>
        <v>5.5504413725229647</v>
      </c>
      <c r="AB350" s="4">
        <f>Games[[#This Row],[PreGmRate]]+Games[[#This Row],[RatingChange]]</f>
        <v>1520.4897084082261</v>
      </c>
      <c r="AC350" s="2">
        <f>IF(Games[[#This Row],[Type]]="R",IF(Games[[#This Row],[Result]]&gt;0.5,1,0),0)</f>
        <v>1</v>
      </c>
      <c r="AD350" s="2">
        <f>IF(Games[[#This Row],[Type]]="R",IF(Games[[#This Row],[Result]]&lt;0.5,1,0),0)</f>
        <v>0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42619</v>
      </c>
      <c r="B351" s="2">
        <v>2016</v>
      </c>
      <c r="C351" s="2">
        <f>COUNTIFS(Games[Team],Games[[#This Row],[Team]],Games[Season],Games[[#This Row],[Season]],Games[Date],"&lt;=" &amp; Games[[#This Row],[Date]])</f>
        <v>29</v>
      </c>
      <c r="D351" s="2" t="s">
        <v>81</v>
      </c>
      <c r="E351" s="2" t="s">
        <v>82</v>
      </c>
      <c r="F351" s="1" t="s">
        <v>74</v>
      </c>
      <c r="G351" s="1" t="s">
        <v>69</v>
      </c>
      <c r="H351" s="1" t="s">
        <v>84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1313.9107196533673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1514.9392670357031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0.33767544862822324</v>
      </c>
      <c r="R351" s="1">
        <v>69</v>
      </c>
      <c r="S351" s="1">
        <v>71</v>
      </c>
      <c r="T351" s="1">
        <v>0</v>
      </c>
      <c r="U351" s="1">
        <f>Games[[#This Row],[PointsFor]]-Games[[#This Row],[PointsAgainst]]</f>
        <v>-2</v>
      </c>
      <c r="V351" s="1">
        <f>IF(Games[[#This Row],[MOV]]&gt;0,1,IF(Games[[#This Row],[MOV]]=0,0.5,0))</f>
        <v>0</v>
      </c>
      <c r="W351" s="4">
        <f>((ABS(Games[[#This Row],[MOV]])+5)^0.6)/(12+0.01*(ABS(Games[[#This Row],[PreGmRate]]-Games[[#This Row],[OppPreGmRate]])))*IF(Games[[#This Row],[OT]]=1,0.9,1)</f>
        <v>0.22940973299375053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71.650000000000006</v>
      </c>
      <c r="Z351" s="4">
        <f>Games[[#This Row],[K]]*Games[[#This Row],[POMult]]</f>
        <v>71.650000000000006</v>
      </c>
      <c r="AA351" s="4">
        <f>(Games[[#This Row],[Keff]]*Games[[#This Row],[MOVMult]])*(Games[[#This Row],[Result]]-Games[[#This Row],[ExpectedWin%]])</f>
        <v>-5.5504413725229638</v>
      </c>
      <c r="AB351" s="4">
        <f>Games[[#This Row],[PreGmRate]]+Games[[#This Row],[RatingChange]]</f>
        <v>1308.3602782808443</v>
      </c>
      <c r="AC351" s="2">
        <f>IF(Games[[#This Row],[Type]]="R",IF(Games[[#This Row],[Result]]&gt;0.5,1,0),0)</f>
        <v>0</v>
      </c>
      <c r="AD351" s="2">
        <f>IF(Games[[#This Row],[Type]]="R",IF(Games[[#This Row],[Result]]&lt;0.5,1,0),0)</f>
        <v>1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42620</v>
      </c>
      <c r="B352" s="2">
        <v>2016</v>
      </c>
      <c r="C352" s="2">
        <f>COUNTIFS(Games[Team],Games[[#This Row],[Team]],Games[Season],Games[[#This Row],[Season]],Games[Date],"&lt;=" &amp; Games[[#This Row],[Date]])</f>
        <v>30</v>
      </c>
      <c r="D352" s="2" t="s">
        <v>81</v>
      </c>
      <c r="E352" s="2" t="s">
        <v>82</v>
      </c>
      <c r="F352" s="1" t="s">
        <v>71</v>
      </c>
      <c r="G352" s="1" t="s">
        <v>60</v>
      </c>
      <c r="H352" s="1" t="s">
        <v>83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2" s="2">
        <f>Games[[#This Row],[DaysOff]]-Games[[#This Row],[OppDaysOff]]</f>
        <v>-1</v>
      </c>
      <c r="L352" s="2">
        <f>Games[[#This Row],[OppDaysOff]]-Games[[#This Row],[DaysOff]]</f>
        <v>1</v>
      </c>
      <c r="M352" s="1">
        <f>MAX(-16, MIN(16, Games[[#This Row],[RestDiff]]*8))</f>
        <v>-8</v>
      </c>
      <c r="N352" s="1">
        <f>MAX(-16, MIN(16, Games[[#This Row],[OppRestDiff]]*8))</f>
        <v>8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1458.5384902771141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1593.8880917126191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0.20508980171623367</v>
      </c>
      <c r="R352" s="1">
        <v>102</v>
      </c>
      <c r="S352" s="1">
        <v>78</v>
      </c>
      <c r="T352" s="1">
        <v>0</v>
      </c>
      <c r="U352" s="1">
        <f>Games[[#This Row],[PointsFor]]-Games[[#This Row],[PointsAgainst]]</f>
        <v>24</v>
      </c>
      <c r="V352" s="1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0.5647338468720744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32.097257634916389</v>
      </c>
      <c r="AB352" s="4">
        <f>Games[[#This Row],[PreGmRate]]+Games[[#This Row],[RatingChange]]</f>
        <v>1490.6357479120304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42620</v>
      </c>
      <c r="B353" s="2">
        <v>2016</v>
      </c>
      <c r="C353" s="2">
        <f>COUNTIFS(Games[Team],Games[[#This Row],[Team]],Games[Season],Games[[#This Row],[Season]],Games[Date],"&lt;=" &amp; Games[[#This Row],[Date]])</f>
        <v>30</v>
      </c>
      <c r="D353" s="2" t="s">
        <v>81</v>
      </c>
      <c r="E353" s="2" t="s">
        <v>82</v>
      </c>
      <c r="F353" s="1" t="s">
        <v>60</v>
      </c>
      <c r="G353" s="1" t="s">
        <v>71</v>
      </c>
      <c r="H353" s="1" t="s">
        <v>84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3" s="2">
        <f>Games[[#This Row],[DaysOff]]-Games[[#This Row],[OppDaysOff]]</f>
        <v>1</v>
      </c>
      <c r="L353" s="2">
        <f>Games[[#This Row],[OppDaysOff]]-Games[[#This Row],[DaysOff]]</f>
        <v>-1</v>
      </c>
      <c r="M353" s="1">
        <f>MAX(-16, MIN(16, Games[[#This Row],[RestDiff]]*8))</f>
        <v>8</v>
      </c>
      <c r="N353" s="1">
        <f>MAX(-16, MIN(16, Games[[#This Row],[OppRestDiff]]*8))</f>
        <v>-8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1593.8880917126191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1458.5384902771141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0.79491019828376641</v>
      </c>
      <c r="R353" s="1">
        <v>78</v>
      </c>
      <c r="S353" s="1">
        <v>102</v>
      </c>
      <c r="T353" s="1">
        <v>0</v>
      </c>
      <c r="U353" s="1">
        <f>Games[[#This Row],[PointsFor]]-Games[[#This Row],[PointsAgainst]]</f>
        <v>-24</v>
      </c>
      <c r="V353" s="1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0.5647338468720744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71.5</v>
      </c>
      <c r="Z353" s="4">
        <f>Games[[#This Row],[K]]*Games[[#This Row],[POMult]]</f>
        <v>71.5</v>
      </c>
      <c r="AA353" s="4">
        <f>(Games[[#This Row],[Keff]]*Games[[#This Row],[MOVMult]])*(Games[[#This Row],[Result]]-Games[[#This Row],[ExpectedWin%]])</f>
        <v>-32.097257634916389</v>
      </c>
      <c r="AB353" s="4">
        <f>Games[[#This Row],[PreGmRate]]+Games[[#This Row],[RatingChange]]</f>
        <v>1561.7908340777028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42620</v>
      </c>
      <c r="B354" s="2">
        <v>2016</v>
      </c>
      <c r="C354" s="2">
        <f>COUNTIFS(Games[Team],Games[[#This Row],[Team]],Games[Season],Games[[#This Row],[Season]],Games[Date],"&lt;=" &amp; Games[[#This Row],[Date]])</f>
        <v>29</v>
      </c>
      <c r="D354" s="2" t="s">
        <v>81</v>
      </c>
      <c r="E354" s="2" t="s">
        <v>82</v>
      </c>
      <c r="F354" s="1" t="s">
        <v>77</v>
      </c>
      <c r="G354" s="1" t="s">
        <v>65</v>
      </c>
      <c r="H354" s="1" t="s">
        <v>83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1533.6105010952012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1454.4671903080484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0.49301111759685318</v>
      </c>
      <c r="R354" s="1">
        <v>81</v>
      </c>
      <c r="S354" s="1">
        <v>118</v>
      </c>
      <c r="T354" s="1">
        <v>0</v>
      </c>
      <c r="U354" s="1">
        <f>Games[[#This Row],[PointsFor]]-Games[[#This Row],[PointsAgainst]]</f>
        <v>-37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0.73625858220838836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71.650000000000006</v>
      </c>
      <c r="Z354" s="4">
        <f>Games[[#This Row],[K]]*Games[[#This Row],[POMult]]</f>
        <v>71.650000000000006</v>
      </c>
      <c r="AA354" s="4">
        <f>(Games[[#This Row],[Keff]]*Games[[#This Row],[MOVMult]])*(Games[[#This Row],[Result]]-Games[[#This Row],[ExpectedWin%]])</f>
        <v>-26.007779701488722</v>
      </c>
      <c r="AB354" s="4">
        <f>Games[[#This Row],[PreGmRate]]+Games[[#This Row],[RatingChange]]</f>
        <v>1507.6027213937125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42620</v>
      </c>
      <c r="B355" s="2">
        <v>2016</v>
      </c>
      <c r="C355" s="2">
        <f>COUNTIFS(Games[Team],Games[[#This Row],[Team]],Games[Season],Games[[#This Row],[Season]],Games[Date],"&lt;=" &amp; Games[[#This Row],[Date]])</f>
        <v>29</v>
      </c>
      <c r="D355" s="2" t="s">
        <v>81</v>
      </c>
      <c r="E355" s="2" t="s">
        <v>82</v>
      </c>
      <c r="F355" s="1" t="s">
        <v>65</v>
      </c>
      <c r="G355" s="1" t="s">
        <v>77</v>
      </c>
      <c r="H355" s="1" t="s">
        <v>84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1454.4671903080484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1533.6105010952012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0.50698888240314688</v>
      </c>
      <c r="R355" s="1">
        <v>118</v>
      </c>
      <c r="S355" s="1">
        <v>81</v>
      </c>
      <c r="T355" s="1">
        <v>0</v>
      </c>
      <c r="U355" s="1">
        <f>Games[[#This Row],[PointsFor]]-Games[[#This Row],[PointsAgainst]]</f>
        <v>37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0.73625858220838836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71.650000000000006</v>
      </c>
      <c r="Z355" s="4">
        <f>Games[[#This Row],[K]]*Games[[#This Row],[POMult]]</f>
        <v>71.650000000000006</v>
      </c>
      <c r="AA355" s="4">
        <f>(Games[[#This Row],[Keff]]*Games[[#This Row],[MOVMult]])*(Games[[#This Row],[Result]]-Games[[#This Row],[ExpectedWin%]])</f>
        <v>26.007779701488722</v>
      </c>
      <c r="AB355" s="4">
        <f>Games[[#This Row],[PreGmRate]]+Games[[#This Row],[RatingChange]]</f>
        <v>1480.4749700095372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42621</v>
      </c>
      <c r="B356" s="2">
        <v>2016</v>
      </c>
      <c r="C356" s="2">
        <f>COUNTIFS(Games[Team],Games[[#This Row],[Team]],Games[Season],Games[[#This Row],[Season]],Games[Date],"&lt;=" &amp; Games[[#This Row],[Date]])</f>
        <v>30</v>
      </c>
      <c r="D356" s="2" t="s">
        <v>81</v>
      </c>
      <c r="E356" s="2" t="s">
        <v>82</v>
      </c>
      <c r="F356" s="1" t="s">
        <v>79</v>
      </c>
      <c r="G356" s="1" t="s">
        <v>63</v>
      </c>
      <c r="H356" s="1" t="s">
        <v>83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1480.8872378609526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1647.3529563287559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0.19126729292997696</v>
      </c>
      <c r="R356" s="1">
        <v>86</v>
      </c>
      <c r="S356" s="1">
        <v>81</v>
      </c>
      <c r="T356" s="1">
        <v>0</v>
      </c>
      <c r="U356" s="1">
        <f>Games[[#This Row],[PointsFor]]-Games[[#This Row],[PointsAgainst]]</f>
        <v>5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0.29134076704089484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16.846601715432048</v>
      </c>
      <c r="AB356" s="4">
        <f>Games[[#This Row],[PreGmRate]]+Games[[#This Row],[RatingChange]]</f>
        <v>1497.7338395763848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42621</v>
      </c>
      <c r="B357" s="2">
        <v>2016</v>
      </c>
      <c r="C357" s="2">
        <f>COUNTIFS(Games[Team],Games[[#This Row],[Team]],Games[Season],Games[[#This Row],[Season]],Games[Date],"&lt;=" &amp; Games[[#This Row],[Date]])</f>
        <v>31</v>
      </c>
      <c r="D357" s="2" t="s">
        <v>81</v>
      </c>
      <c r="E357" s="2" t="s">
        <v>82</v>
      </c>
      <c r="F357" s="1" t="s">
        <v>63</v>
      </c>
      <c r="G357" s="1" t="s">
        <v>79</v>
      </c>
      <c r="H357" s="1" t="s">
        <v>84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1647.3529563287559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1480.8872378609526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0.80873270707002298</v>
      </c>
      <c r="R357" s="1">
        <v>81</v>
      </c>
      <c r="S357" s="1">
        <v>86</v>
      </c>
      <c r="T357" s="1">
        <v>0</v>
      </c>
      <c r="U357" s="1">
        <f>Games[[#This Row],[PointsFor]]-Games[[#This Row],[PointsAgainst]]</f>
        <v>-5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0.29134076704089484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71.349999999999994</v>
      </c>
      <c r="Z357" s="4">
        <f>Games[[#This Row],[K]]*Games[[#This Row],[POMult]]</f>
        <v>71.349999999999994</v>
      </c>
      <c r="AA357" s="4">
        <f>(Games[[#This Row],[Keff]]*Games[[#This Row],[MOVMult]])*(Games[[#This Row],[Result]]-Games[[#This Row],[ExpectedWin%]])</f>
        <v>-16.811259194350718</v>
      </c>
      <c r="AB357" s="4">
        <f>Games[[#This Row],[PreGmRate]]+Games[[#This Row],[RatingChange]]</f>
        <v>1630.5416971344052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42622</v>
      </c>
      <c r="B358" s="2">
        <v>2016</v>
      </c>
      <c r="C358" s="2">
        <f>COUNTIFS(Games[Team],Games[[#This Row],[Team]],Games[Season],Games[[#This Row],[Season]],Games[Date],"&lt;=" &amp; Games[[#This Row],[Date]])</f>
        <v>30</v>
      </c>
      <c r="D358" s="2" t="s">
        <v>81</v>
      </c>
      <c r="E358" s="2" t="s">
        <v>82</v>
      </c>
      <c r="F358" s="1" t="s">
        <v>77</v>
      </c>
      <c r="G358" s="1" t="s">
        <v>69</v>
      </c>
      <c r="H358" s="1" t="s">
        <v>83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-1</v>
      </c>
      <c r="L358" s="2">
        <f>Games[[#This Row],[OppDaysOff]]-Games[[#This Row],[DaysOff]]</f>
        <v>1</v>
      </c>
      <c r="M358" s="1">
        <f>MAX(-16, MIN(16, Games[[#This Row],[RestDiff]]*8))</f>
        <v>-8</v>
      </c>
      <c r="N358" s="1">
        <f>MAX(-16, MIN(16, Games[[#This Row],[OppRestDiff]]*8))</f>
        <v>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1507.6027213937125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1520.4897084082261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0.34302790746664408</v>
      </c>
      <c r="R358" s="1">
        <v>88</v>
      </c>
      <c r="S358" s="1">
        <v>95</v>
      </c>
      <c r="T358" s="1">
        <v>0</v>
      </c>
      <c r="U358" s="1">
        <f>Games[[#This Row],[PointsFor]]-Games[[#This Row],[PointsAgainst]]</f>
        <v>-7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0.36617476462320186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71.5</v>
      </c>
      <c r="Z358" s="4">
        <f>Games[[#This Row],[K]]*Games[[#This Row],[POMult]]</f>
        <v>71.5</v>
      </c>
      <c r="AA358" s="4">
        <f>(Games[[#This Row],[Keff]]*Games[[#This Row],[MOVMult]])*(Games[[#This Row],[Result]]-Games[[#This Row],[ExpectedWin%]])</f>
        <v>-8.980983674218832</v>
      </c>
      <c r="AB358" s="4">
        <f>Games[[#This Row],[PreGmRate]]+Games[[#This Row],[RatingChange]]</f>
        <v>1498.6217377194937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42622</v>
      </c>
      <c r="B359" s="2">
        <v>2016</v>
      </c>
      <c r="C359" s="2">
        <f>COUNTIFS(Games[Team],Games[[#This Row],[Team]],Games[Season],Games[[#This Row],[Season]],Games[Date],"&lt;=" &amp; Games[[#This Row],[Date]])</f>
        <v>30</v>
      </c>
      <c r="D359" s="2" t="s">
        <v>81</v>
      </c>
      <c r="E359" s="2" t="s">
        <v>82</v>
      </c>
      <c r="F359" s="1" t="s">
        <v>69</v>
      </c>
      <c r="G359" s="1" t="s">
        <v>77</v>
      </c>
      <c r="H359" s="1" t="s">
        <v>84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9" s="2">
        <f>Games[[#This Row],[DaysOff]]-Games[[#This Row],[OppDaysOff]]</f>
        <v>1</v>
      </c>
      <c r="L359" s="2">
        <f>Games[[#This Row],[OppDaysOff]]-Games[[#This Row],[DaysOff]]</f>
        <v>-1</v>
      </c>
      <c r="M359" s="1">
        <f>MAX(-16, MIN(16, Games[[#This Row],[RestDiff]]*8))</f>
        <v>8</v>
      </c>
      <c r="N359" s="1">
        <f>MAX(-16, MIN(16, Games[[#This Row],[OppRestDiff]]*8))</f>
        <v>-8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1520.4897084082261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1507.6027213937125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0.65697209253335598</v>
      </c>
      <c r="R359" s="1">
        <v>95</v>
      </c>
      <c r="S359" s="1">
        <v>88</v>
      </c>
      <c r="T359" s="1">
        <v>0</v>
      </c>
      <c r="U359" s="1">
        <f>Games[[#This Row],[PointsFor]]-Games[[#This Row],[PointsAgainst]]</f>
        <v>7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0.36617476462320186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8.980983674218832</v>
      </c>
      <c r="AB359" s="4">
        <f>Games[[#This Row],[PreGmRate]]+Games[[#This Row],[RatingChange]]</f>
        <v>1529.4706920824449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42622</v>
      </c>
      <c r="B360" s="2">
        <v>2016</v>
      </c>
      <c r="C360" s="2">
        <f>COUNTIFS(Games[Team],Games[[#This Row],[Team]],Games[Season],Games[[#This Row],[Season]],Games[Date],"&lt;=" &amp; Games[[#This Row],[Date]])</f>
        <v>30</v>
      </c>
      <c r="D360" s="2" t="s">
        <v>81</v>
      </c>
      <c r="E360" s="2" t="s">
        <v>82</v>
      </c>
      <c r="F360" s="1" t="s">
        <v>76</v>
      </c>
      <c r="G360" s="1" t="s">
        <v>60</v>
      </c>
      <c r="H360" s="1" t="s">
        <v>83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3</v>
      </c>
      <c r="L360" s="2">
        <f>Games[[#This Row],[OppDaysOff]]-Games[[#This Row],[DaysOff]]</f>
        <v>-3</v>
      </c>
      <c r="M360" s="1">
        <f>MAX(-16, MIN(16, Games[[#This Row],[RestDiff]]*8))</f>
        <v>16</v>
      </c>
      <c r="N360" s="1">
        <f>MAX(-16, MIN(16, Games[[#This Row],[OppRestDiff]]*8))</f>
        <v>-16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1459.192784007136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1561.7908340777028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0.29112264002336508</v>
      </c>
      <c r="R360" s="1">
        <v>82</v>
      </c>
      <c r="S360" s="1">
        <v>89</v>
      </c>
      <c r="T360" s="1">
        <v>0</v>
      </c>
      <c r="U360" s="1">
        <f>Games[[#This Row],[PointsFor]]-Games[[#This Row],[PointsAgainst]]</f>
        <v>-7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0.34095598942476835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-7.0970905557778732</v>
      </c>
      <c r="AB360" s="4">
        <f>Games[[#This Row],[PreGmRate]]+Games[[#This Row],[RatingChange]]</f>
        <v>1452.0956934513581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42622</v>
      </c>
      <c r="B361" s="2">
        <v>2016</v>
      </c>
      <c r="C361" s="2">
        <f>COUNTIFS(Games[Team],Games[[#This Row],[Team]],Games[Season],Games[[#This Row],[Season]],Games[Date],"&lt;=" &amp; Games[[#This Row],[Date]])</f>
        <v>31</v>
      </c>
      <c r="D361" s="2" t="s">
        <v>81</v>
      </c>
      <c r="E361" s="2" t="s">
        <v>82</v>
      </c>
      <c r="F361" s="1" t="s">
        <v>60</v>
      </c>
      <c r="G361" s="1" t="s">
        <v>76</v>
      </c>
      <c r="H361" s="1" t="s">
        <v>84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1" s="2">
        <f>Games[[#This Row],[DaysOff]]-Games[[#This Row],[OppDaysOff]]</f>
        <v>-3</v>
      </c>
      <c r="L361" s="2">
        <f>Games[[#This Row],[OppDaysOff]]-Games[[#This Row],[DaysOff]]</f>
        <v>3</v>
      </c>
      <c r="M361" s="1">
        <f>MAX(-16, MIN(16, Games[[#This Row],[RestDiff]]*8))</f>
        <v>-16</v>
      </c>
      <c r="N361" s="1">
        <f>MAX(-16, MIN(16, Games[[#This Row],[OppRestDiff]]*8))</f>
        <v>16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1561.7908340777028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1459.192784007136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0.70887735997663504</v>
      </c>
      <c r="R361" s="1">
        <v>89</v>
      </c>
      <c r="S361" s="1">
        <v>82</v>
      </c>
      <c r="T361" s="1">
        <v>0</v>
      </c>
      <c r="U361" s="1">
        <f>Games[[#This Row],[PointsFor]]-Games[[#This Row],[PointsAgainst]]</f>
        <v>7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0.34095598942476835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71.349999999999994</v>
      </c>
      <c r="Z361" s="4">
        <f>Games[[#This Row],[K]]*Games[[#This Row],[POMult]]</f>
        <v>71.349999999999994</v>
      </c>
      <c r="AA361" s="4">
        <f>(Games[[#This Row],[Keff]]*Games[[#This Row],[MOVMult]])*(Games[[#This Row],[Result]]-Games[[#This Row],[ExpectedWin%]])</f>
        <v>7.0822015546119017</v>
      </c>
      <c r="AB361" s="4">
        <f>Games[[#This Row],[PreGmRate]]+Games[[#This Row],[RatingChange]]</f>
        <v>1568.8730356323147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42622</v>
      </c>
      <c r="B362" s="2">
        <v>2016</v>
      </c>
      <c r="C362" s="2">
        <f>COUNTIFS(Games[Team],Games[[#This Row],[Team]],Games[Season],Games[[#This Row],[Season]],Games[Date],"&lt;=" &amp; Games[[#This Row],[Date]])</f>
        <v>31</v>
      </c>
      <c r="D362" s="2" t="s">
        <v>81</v>
      </c>
      <c r="E362" s="2" t="s">
        <v>82</v>
      </c>
      <c r="F362" s="1" t="s">
        <v>87</v>
      </c>
      <c r="G362" s="1" t="s">
        <v>74</v>
      </c>
      <c r="H362" s="1" t="s">
        <v>83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2" s="2">
        <f>Games[[#This Row],[DaysOff]]-Games[[#This Row],[OppDaysOff]]</f>
        <v>2</v>
      </c>
      <c r="L362" s="2">
        <f>Games[[#This Row],[OppDaysOff]]-Games[[#This Row],[DaysOff]]</f>
        <v>-2</v>
      </c>
      <c r="M362" s="1">
        <f>MAX(-16, MIN(16, Games[[#This Row],[RestDiff]]*8))</f>
        <v>16</v>
      </c>
      <c r="N362" s="1">
        <f>MAX(-16, MIN(16, Games[[#This Row],[OppRestDiff]]*8))</f>
        <v>-16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1360.5243287892199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1308.3602782808443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0.5002360876418821</v>
      </c>
      <c r="R362" s="1">
        <v>92</v>
      </c>
      <c r="S362" s="1">
        <v>84</v>
      </c>
      <c r="T362" s="1">
        <v>0</v>
      </c>
      <c r="U362" s="1">
        <f>Games[[#This Row],[PointsFor]]-Games[[#This Row],[PointsAgainst]]</f>
        <v>8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0.37213865213142033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71.349999999999994</v>
      </c>
      <c r="Z362" s="4">
        <f>Games[[#This Row],[K]]*Games[[#This Row],[POMult]]</f>
        <v>71.349999999999994</v>
      </c>
      <c r="AA362" s="4">
        <f>(Games[[#This Row],[Keff]]*Games[[#This Row],[MOVMult]])*(Games[[#This Row],[Result]]-Games[[#This Row],[ExpectedWin%]])</f>
        <v>13.26977779380525</v>
      </c>
      <c r="AB362" s="4">
        <f>Games[[#This Row],[PreGmRate]]+Games[[#This Row],[RatingChange]]</f>
        <v>1373.7941065830253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42622</v>
      </c>
      <c r="B363" s="2">
        <v>2016</v>
      </c>
      <c r="C363" s="2">
        <f>COUNTIFS(Games[Team],Games[[#This Row],[Team]],Games[Season],Games[[#This Row],[Season]],Games[Date],"&lt;=" &amp; Games[[#This Row],[Date]])</f>
        <v>30</v>
      </c>
      <c r="D363" s="2" t="s">
        <v>81</v>
      </c>
      <c r="E363" s="2" t="s">
        <v>82</v>
      </c>
      <c r="F363" s="1" t="s">
        <v>74</v>
      </c>
      <c r="G363" s="1" t="s">
        <v>87</v>
      </c>
      <c r="H363" s="1" t="s">
        <v>84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3" s="2">
        <f>Games[[#This Row],[DaysOff]]-Games[[#This Row],[OppDaysOff]]</f>
        <v>-2</v>
      </c>
      <c r="L363" s="2">
        <f>Games[[#This Row],[OppDaysOff]]-Games[[#This Row],[DaysOff]]</f>
        <v>2</v>
      </c>
      <c r="M363" s="1">
        <f>MAX(-16, MIN(16, Games[[#This Row],[RestDiff]]*8))</f>
        <v>-16</v>
      </c>
      <c r="N363" s="1">
        <f>MAX(-16, MIN(16, Games[[#This Row],[OppRestDiff]]*8))</f>
        <v>16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1308.3602782808443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1360.5243287892199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0.49976391235811796</v>
      </c>
      <c r="R363" s="1">
        <v>84</v>
      </c>
      <c r="S363" s="1">
        <v>92</v>
      </c>
      <c r="T363" s="1">
        <v>0</v>
      </c>
      <c r="U363" s="1">
        <f>Games[[#This Row],[PointsFor]]-Games[[#This Row],[PointsAgainst]]</f>
        <v>-8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0.37213865213142033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71.5</v>
      </c>
      <c r="Z363" s="4">
        <f>Games[[#This Row],[K]]*Games[[#This Row],[POMult]]</f>
        <v>71.5</v>
      </c>
      <c r="AA363" s="4">
        <f>(Games[[#This Row],[Keff]]*Games[[#This Row],[MOVMult]])*(Games[[#This Row],[Result]]-Games[[#This Row],[ExpectedWin%]])</f>
        <v>-13.297675014114583</v>
      </c>
      <c r="AB363" s="4">
        <f>Games[[#This Row],[PreGmRate]]+Games[[#This Row],[RatingChange]]</f>
        <v>1295.0626032667299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42622</v>
      </c>
      <c r="B364" s="2">
        <v>2016</v>
      </c>
      <c r="C364" s="2">
        <f>COUNTIFS(Games[Team],Games[[#This Row],[Team]],Games[Season],Games[[#This Row],[Season]],Games[Date],"&lt;=" &amp; Games[[#This Row],[Date]])</f>
        <v>31</v>
      </c>
      <c r="D364" s="2" t="s">
        <v>81</v>
      </c>
      <c r="E364" s="2" t="s">
        <v>82</v>
      </c>
      <c r="F364" s="1" t="s">
        <v>71</v>
      </c>
      <c r="G364" s="1" t="s">
        <v>65</v>
      </c>
      <c r="H364" s="1" t="s">
        <v>83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1490.6357479120304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1480.4749700095372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0.3953083106078516</v>
      </c>
      <c r="R364" s="1">
        <v>81</v>
      </c>
      <c r="S364" s="1">
        <v>76</v>
      </c>
      <c r="T364" s="1">
        <v>0</v>
      </c>
      <c r="U364" s="1">
        <f>Games[[#This Row],[PointsFor]]-Games[[#This Row],[PointsAgainst]]</f>
        <v>5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0.32897047881812452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71.349999999999994</v>
      </c>
      <c r="Z364" s="4">
        <f>Games[[#This Row],[K]]*Games[[#This Row],[POMult]]</f>
        <v>71.349999999999994</v>
      </c>
      <c r="AA364" s="4">
        <f>(Games[[#This Row],[Keff]]*Games[[#This Row],[MOVMult]])*(Games[[#This Row],[Result]]-Games[[#This Row],[ExpectedWin%]])</f>
        <v>14.193349736472808</v>
      </c>
      <c r="AB364" s="4">
        <f>Games[[#This Row],[PreGmRate]]+Games[[#This Row],[RatingChange]]</f>
        <v>1504.8290976485032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42622</v>
      </c>
      <c r="B365" s="2">
        <v>2016</v>
      </c>
      <c r="C365" s="2">
        <f>COUNTIFS(Games[Team],Games[[#This Row],[Team]],Games[Season],Games[[#This Row],[Season]],Games[Date],"&lt;=" &amp; Games[[#This Row],[Date]])</f>
        <v>30</v>
      </c>
      <c r="D365" s="2" t="s">
        <v>81</v>
      </c>
      <c r="E365" s="2" t="s">
        <v>82</v>
      </c>
      <c r="F365" s="1" t="s">
        <v>65</v>
      </c>
      <c r="G365" s="1" t="s">
        <v>71</v>
      </c>
      <c r="H365" s="1" t="s">
        <v>84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1480.4749700095372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1490.6357479120304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0.60469168939214835</v>
      </c>
      <c r="R365" s="1">
        <v>76</v>
      </c>
      <c r="S365" s="1">
        <v>81</v>
      </c>
      <c r="T365" s="1">
        <v>0</v>
      </c>
      <c r="U365" s="1">
        <f>Games[[#This Row],[PointsFor]]-Games[[#This Row],[PointsAgainst]]</f>
        <v>-5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0.32897047881812452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-14.223188593662311</v>
      </c>
      <c r="AB365" s="4">
        <f>Games[[#This Row],[PreGmRate]]+Games[[#This Row],[RatingChange]]</f>
        <v>1466.2517814158748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42624</v>
      </c>
      <c r="B366" s="2">
        <v>2016</v>
      </c>
      <c r="C366" s="2">
        <f>COUNTIFS(Games[Team],Games[[#This Row],[Team]],Games[Season],Games[[#This Row],[Season]],Games[Date],"&lt;=" &amp; Games[[#This Row],[Date]])</f>
        <v>31</v>
      </c>
      <c r="D366" s="2" t="s">
        <v>81</v>
      </c>
      <c r="E366" s="2" t="s">
        <v>82</v>
      </c>
      <c r="F366" s="1" t="s">
        <v>77</v>
      </c>
      <c r="G366" s="1" t="s">
        <v>76</v>
      </c>
      <c r="H366" s="1" t="s">
        <v>83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1498.6217377194937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1452.0956934513581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0.4462788030992324</v>
      </c>
      <c r="R366" s="1">
        <v>96</v>
      </c>
      <c r="S366" s="1">
        <v>86</v>
      </c>
      <c r="T366" s="1">
        <v>0</v>
      </c>
      <c r="U366" s="1">
        <f>Games[[#This Row],[PointsFor]]-Games[[#This Row],[PointsAgainst]]</f>
        <v>10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0.40733656671959539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16.093056091787982</v>
      </c>
      <c r="AB366" s="4">
        <f>Games[[#This Row],[PreGmRate]]+Games[[#This Row],[RatingChange]]</f>
        <v>1514.7147938112817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42624</v>
      </c>
      <c r="B367" s="2">
        <v>2016</v>
      </c>
      <c r="C367" s="2">
        <f>COUNTIFS(Games[Team],Games[[#This Row],[Team]],Games[Season],Games[[#This Row],[Season]],Games[Date],"&lt;=" &amp; Games[[#This Row],[Date]])</f>
        <v>31</v>
      </c>
      <c r="D367" s="2" t="s">
        <v>81</v>
      </c>
      <c r="E367" s="2" t="s">
        <v>82</v>
      </c>
      <c r="F367" s="1" t="s">
        <v>76</v>
      </c>
      <c r="G367" s="1" t="s">
        <v>77</v>
      </c>
      <c r="H367" s="1" t="s">
        <v>84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1452.0956934513581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1498.6217377194937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0.5537211969007676</v>
      </c>
      <c r="R367" s="1">
        <v>86</v>
      </c>
      <c r="S367" s="1">
        <v>96</v>
      </c>
      <c r="T367" s="1">
        <v>0</v>
      </c>
      <c r="U367" s="1">
        <f>Games[[#This Row],[PointsFor]]-Games[[#This Row],[PointsAgainst]]</f>
        <v>-10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0.40733656671959539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-16.093056091787982</v>
      </c>
      <c r="AB367" s="4">
        <f>Games[[#This Row],[PreGmRate]]+Games[[#This Row],[RatingChange]]</f>
        <v>1436.0026373595701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42624</v>
      </c>
      <c r="B368" s="2">
        <v>2016</v>
      </c>
      <c r="C368" s="2">
        <f>COUNTIFS(Games[Team],Games[[#This Row],[Team]],Games[Season],Games[[#This Row],[Season]],Games[Date],"&lt;=" &amp; Games[[#This Row],[Date]])</f>
        <v>32</v>
      </c>
      <c r="D368" s="2" t="s">
        <v>81</v>
      </c>
      <c r="E368" s="2" t="s">
        <v>82</v>
      </c>
      <c r="F368" s="1" t="s">
        <v>60</v>
      </c>
      <c r="G368" s="1" t="s">
        <v>87</v>
      </c>
      <c r="H368" s="1" t="s">
        <v>83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">
        <f>MAX(-16, MIN(16, Games[[#This Row],[RestDiff]]*8))</f>
        <v>0</v>
      </c>
      <c r="N368" s="1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1568.8730356323147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1373.7941065830253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0.65462272689465784</v>
      </c>
      <c r="R368" s="1">
        <v>81</v>
      </c>
      <c r="S368" s="1">
        <v>84</v>
      </c>
      <c r="T368" s="1">
        <v>0</v>
      </c>
      <c r="U368" s="1">
        <f>Games[[#This Row],[PointsFor]]-Games[[#This Row],[PointsAgainst]]</f>
        <v>-3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0.24960611049853132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71.2</v>
      </c>
      <c r="Z368" s="4">
        <f>Games[[#This Row],[K]]*Games[[#This Row],[POMult]]</f>
        <v>71.2</v>
      </c>
      <c r="AA368" s="4">
        <f>(Games[[#This Row],[Keff]]*Games[[#This Row],[MOVMult]])*(Games[[#This Row],[Result]]-Games[[#This Row],[ExpectedWin%]])</f>
        <v>-11.633925688533191</v>
      </c>
      <c r="AB368" s="4">
        <f>Games[[#This Row],[PreGmRate]]+Games[[#This Row],[RatingChange]]</f>
        <v>1557.2391099437814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42624</v>
      </c>
      <c r="B369" s="2">
        <v>2016</v>
      </c>
      <c r="C369" s="2">
        <f>COUNTIFS(Games[Team],Games[[#This Row],[Team]],Games[Season],Games[[#This Row],[Season]],Games[Date],"&lt;=" &amp; Games[[#This Row],[Date]])</f>
        <v>32</v>
      </c>
      <c r="D369" s="2" t="s">
        <v>81</v>
      </c>
      <c r="E369" s="2" t="s">
        <v>82</v>
      </c>
      <c r="F369" s="1" t="s">
        <v>87</v>
      </c>
      <c r="G369" s="1" t="s">
        <v>60</v>
      </c>
      <c r="H369" s="1" t="s">
        <v>84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">
        <f>MAX(-16, MIN(16, Games[[#This Row],[RestDiff]]*8))</f>
        <v>0</v>
      </c>
      <c r="N369" s="1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1373.7941065830253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1568.8730356323147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0.34537727310534222</v>
      </c>
      <c r="R369" s="1">
        <v>84</v>
      </c>
      <c r="S369" s="1">
        <v>81</v>
      </c>
      <c r="T369" s="1">
        <v>0</v>
      </c>
      <c r="U369" s="1">
        <f>Games[[#This Row],[PointsFor]]-Games[[#This Row],[PointsAgainst]]</f>
        <v>3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0.24960611049853132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71.2</v>
      </c>
      <c r="Z369" s="4">
        <f>Games[[#This Row],[K]]*Games[[#This Row],[POMult]]</f>
        <v>71.2</v>
      </c>
      <c r="AA369" s="4">
        <f>(Games[[#This Row],[Keff]]*Games[[#This Row],[MOVMult]])*(Games[[#This Row],[Result]]-Games[[#This Row],[ExpectedWin%]])</f>
        <v>11.633925688533191</v>
      </c>
      <c r="AB369" s="4">
        <f>Games[[#This Row],[PreGmRate]]+Games[[#This Row],[RatingChange]]</f>
        <v>1385.4280322715585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42624</v>
      </c>
      <c r="B370" s="2">
        <v>2016</v>
      </c>
      <c r="C370" s="2">
        <f>COUNTIFS(Games[Team],Games[[#This Row],[Team]],Games[Season],Games[[#This Row],[Season]],Games[Date],"&lt;=" &amp; Games[[#This Row],[Date]])</f>
        <v>31</v>
      </c>
      <c r="D370" s="2" t="s">
        <v>81</v>
      </c>
      <c r="E370" s="2" t="s">
        <v>82</v>
      </c>
      <c r="F370" s="1" t="s">
        <v>79</v>
      </c>
      <c r="G370" s="1" t="s">
        <v>40</v>
      </c>
      <c r="H370" s="1" t="s">
        <v>83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0" s="2">
        <f>Games[[#This Row],[DaysOff]]-Games[[#This Row],[OppDaysOff]]</f>
        <v>-2</v>
      </c>
      <c r="L370" s="2">
        <f>Games[[#This Row],[OppDaysOff]]-Games[[#This Row],[DaysOff]]</f>
        <v>2</v>
      </c>
      <c r="M370" s="1">
        <f>MAX(-16, MIN(16, Games[[#This Row],[RestDiff]]*8))</f>
        <v>-16</v>
      </c>
      <c r="N370" s="1">
        <f>MAX(-16, MIN(16, Games[[#This Row],[OppRestDiff]]*8))</f>
        <v>16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1497.7338395763848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1491.6635161003219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0.34687453886299291</v>
      </c>
      <c r="R370" s="1">
        <v>75</v>
      </c>
      <c r="S370" s="1">
        <v>86</v>
      </c>
      <c r="T370" s="1">
        <v>0</v>
      </c>
      <c r="U370" s="1">
        <f>Games[[#This Row],[PointsFor]]-Games[[#This Row],[PointsAgainst]]</f>
        <v>-11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0.43762221326195588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-10.830930244119978</v>
      </c>
      <c r="AB370" s="4">
        <f>Games[[#This Row],[PreGmRate]]+Games[[#This Row],[RatingChange]]</f>
        <v>1486.9029093322647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42624</v>
      </c>
      <c r="B371" s="2">
        <v>2016</v>
      </c>
      <c r="C371" s="2">
        <f>COUNTIFS(Games[Team],Games[[#This Row],[Team]],Games[Season],Games[[#This Row],[Season]],Games[Date],"&lt;=" &amp; Games[[#This Row],[Date]])</f>
        <v>31</v>
      </c>
      <c r="D371" s="2" t="s">
        <v>81</v>
      </c>
      <c r="E371" s="2" t="s">
        <v>82</v>
      </c>
      <c r="F371" s="1" t="s">
        <v>40</v>
      </c>
      <c r="G371" s="1" t="s">
        <v>79</v>
      </c>
      <c r="H371" s="1" t="s">
        <v>84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1" s="2">
        <f>Games[[#This Row],[DaysOff]]-Games[[#This Row],[OppDaysOff]]</f>
        <v>2</v>
      </c>
      <c r="L371" s="2">
        <f>Games[[#This Row],[OppDaysOff]]-Games[[#This Row],[DaysOff]]</f>
        <v>-2</v>
      </c>
      <c r="M371" s="1">
        <f>MAX(-16, MIN(16, Games[[#This Row],[RestDiff]]*8))</f>
        <v>16</v>
      </c>
      <c r="N371" s="1">
        <f>MAX(-16, MIN(16, Games[[#This Row],[OppRestDiff]]*8))</f>
        <v>-16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1491.6635161003219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1497.7338395763848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0.6531254611370072</v>
      </c>
      <c r="R371" s="1">
        <v>86</v>
      </c>
      <c r="S371" s="1">
        <v>75</v>
      </c>
      <c r="T371" s="1">
        <v>0</v>
      </c>
      <c r="U371" s="1">
        <f>Games[[#This Row],[PointsFor]]-Games[[#This Row],[PointsAgainst]]</f>
        <v>11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0.43762221326195588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71.349999999999994</v>
      </c>
      <c r="Z371" s="4">
        <f>Games[[#This Row],[K]]*Games[[#This Row],[POMult]]</f>
        <v>71.349999999999994</v>
      </c>
      <c r="AA371" s="4">
        <f>(Games[[#This Row],[Keff]]*Games[[#This Row],[MOVMult]])*(Games[[#This Row],[Result]]-Games[[#This Row],[ExpectedWin%]])</f>
        <v>10.830930244119974</v>
      </c>
      <c r="AB371" s="4">
        <f>Games[[#This Row],[PreGmRate]]+Games[[#This Row],[RatingChange]]</f>
        <v>1502.4944463444419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42624</v>
      </c>
      <c r="B372" s="2">
        <v>2016</v>
      </c>
      <c r="C372" s="2">
        <f>COUNTIFS(Games[Team],Games[[#This Row],[Team]],Games[Season],Games[[#This Row],[Season]],Games[Date],"&lt;=" &amp; Games[[#This Row],[Date]])</f>
        <v>31</v>
      </c>
      <c r="D372" s="2" t="s">
        <v>81</v>
      </c>
      <c r="E372" s="2" t="s">
        <v>82</v>
      </c>
      <c r="F372" s="1" t="s">
        <v>67</v>
      </c>
      <c r="G372" s="1" t="s">
        <v>74</v>
      </c>
      <c r="H372" s="1" t="s">
        <v>83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3</v>
      </c>
      <c r="L372" s="2">
        <f>Games[[#This Row],[OppDaysOff]]-Games[[#This Row],[DaysOff]]</f>
        <v>-3</v>
      </c>
      <c r="M372" s="1">
        <f>MAX(-16, MIN(16, Games[[#This Row],[RestDiff]]*8))</f>
        <v>16</v>
      </c>
      <c r="N372" s="1">
        <f>MAX(-16, MIN(16, Games[[#This Row],[OppRestDiff]]*8))</f>
        <v>-16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1691.944514975605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1295.0626032667299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0.8792449985910924</v>
      </c>
      <c r="R372" s="1">
        <v>81</v>
      </c>
      <c r="S372" s="1">
        <v>76</v>
      </c>
      <c r="T372" s="1">
        <v>0</v>
      </c>
      <c r="U372" s="1">
        <f>Games[[#This Row],[PointsFor]]-Games[[#This Row],[PointsAgainst]]</f>
        <v>5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0.24930282423167402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2.1479605622971403</v>
      </c>
      <c r="AB372" s="4">
        <f>Games[[#This Row],[PreGmRate]]+Games[[#This Row],[RatingChange]]</f>
        <v>1694.0924755379021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42624</v>
      </c>
      <c r="B373" s="2">
        <v>2016</v>
      </c>
      <c r="C373" s="2">
        <f>COUNTIFS(Games[Team],Games[[#This Row],[Team]],Games[Season],Games[[#This Row],[Season]],Games[Date],"&lt;=" &amp; Games[[#This Row],[Date]])</f>
        <v>31</v>
      </c>
      <c r="D373" s="2" t="s">
        <v>81</v>
      </c>
      <c r="E373" s="2" t="s">
        <v>82</v>
      </c>
      <c r="F373" s="1" t="s">
        <v>74</v>
      </c>
      <c r="G373" s="1" t="s">
        <v>67</v>
      </c>
      <c r="H373" s="1" t="s">
        <v>84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3" s="2">
        <f>Games[[#This Row],[DaysOff]]-Games[[#This Row],[OppDaysOff]]</f>
        <v>-3</v>
      </c>
      <c r="L373" s="2">
        <f>Games[[#This Row],[OppDaysOff]]-Games[[#This Row],[DaysOff]]</f>
        <v>3</v>
      </c>
      <c r="M373" s="1">
        <f>MAX(-16, MIN(16, Games[[#This Row],[RestDiff]]*8))</f>
        <v>-16</v>
      </c>
      <c r="N373" s="1">
        <f>MAX(-16, MIN(16, Games[[#This Row],[OppRestDiff]]*8))</f>
        <v>16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1295.0626032667299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1691.944514975605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0.12075500140890763</v>
      </c>
      <c r="R373" s="1">
        <v>76</v>
      </c>
      <c r="S373" s="1">
        <v>81</v>
      </c>
      <c r="T373" s="1">
        <v>0</v>
      </c>
      <c r="U373" s="1">
        <f>Games[[#This Row],[PointsFor]]-Games[[#This Row],[PointsAgainst]]</f>
        <v>-5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0.24930282423167402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71.349999999999994</v>
      </c>
      <c r="Z373" s="4">
        <f>Games[[#This Row],[K]]*Games[[#This Row],[POMult]]</f>
        <v>71.349999999999994</v>
      </c>
      <c r="AA373" s="4">
        <f>(Games[[#This Row],[Keff]]*Games[[#This Row],[MOVMult]])*(Games[[#This Row],[Result]]-Games[[#This Row],[ExpectedWin%]])</f>
        <v>-2.1479605622971412</v>
      </c>
      <c r="AB373" s="4">
        <f>Games[[#This Row],[PreGmRate]]+Games[[#This Row],[RatingChange]]</f>
        <v>1292.9146427044327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42624</v>
      </c>
      <c r="B374" s="2">
        <v>2016</v>
      </c>
      <c r="C374" s="2">
        <f>COUNTIFS(Games[Team],Games[[#This Row],[Team]],Games[Season],Games[[#This Row],[Season]],Games[Date],"&lt;=" &amp; Games[[#This Row],[Date]])</f>
        <v>32</v>
      </c>
      <c r="D374" s="2" t="s">
        <v>81</v>
      </c>
      <c r="E374" s="2" t="s">
        <v>82</v>
      </c>
      <c r="F374" s="1" t="s">
        <v>63</v>
      </c>
      <c r="G374" s="1" t="s">
        <v>71</v>
      </c>
      <c r="H374" s="1" t="s">
        <v>83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4" s="2">
        <f>Games[[#This Row],[DaysOff]]-Games[[#This Row],[OppDaysOff]]</f>
        <v>1</v>
      </c>
      <c r="L374" s="2">
        <f>Games[[#This Row],[OppDaysOff]]-Games[[#This Row],[DaysOff]]</f>
        <v>-1</v>
      </c>
      <c r="M374" s="1">
        <f>MAX(-16, MIN(16, Games[[#This Row],[RestDiff]]*8))</f>
        <v>8</v>
      </c>
      <c r="N374" s="1">
        <f>MAX(-16, MIN(16, Games[[#This Row],[OppRestDiff]]*8))</f>
        <v>-8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1630.5416971344052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1504.8290976485032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0.58229954292719899</v>
      </c>
      <c r="R374" s="1">
        <v>60</v>
      </c>
      <c r="S374" s="1">
        <v>78</v>
      </c>
      <c r="T374" s="1">
        <v>0</v>
      </c>
      <c r="U374" s="1">
        <f>Games[[#This Row],[PointsFor]]-Games[[#This Row],[PointsAgainst]]</f>
        <v>-18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0.49497961987089317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71.2</v>
      </c>
      <c r="Z374" s="4">
        <f>Games[[#This Row],[K]]*Games[[#This Row],[POMult]]</f>
        <v>71.2</v>
      </c>
      <c r="AA374" s="4">
        <f>(Games[[#This Row],[Keff]]*Games[[#This Row],[MOVMult]])*(Games[[#This Row],[Result]]-Games[[#This Row],[ExpectedWin%]])</f>
        <v>-20.521720136327907</v>
      </c>
      <c r="AB374" s="4">
        <f>Games[[#This Row],[PreGmRate]]+Games[[#This Row],[RatingChange]]</f>
        <v>1610.0199769980773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42624</v>
      </c>
      <c r="B375" s="2">
        <v>2016</v>
      </c>
      <c r="C375" s="2">
        <f>COUNTIFS(Games[Team],Games[[#This Row],[Team]],Games[Season],Games[[#This Row],[Season]],Games[Date],"&lt;=" &amp; Games[[#This Row],[Date]])</f>
        <v>32</v>
      </c>
      <c r="D375" s="2" t="s">
        <v>81</v>
      </c>
      <c r="E375" s="2" t="s">
        <v>82</v>
      </c>
      <c r="F375" s="1" t="s">
        <v>71</v>
      </c>
      <c r="G375" s="1" t="s">
        <v>63</v>
      </c>
      <c r="H375" s="1" t="s">
        <v>84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5" s="2">
        <f>Games[[#This Row],[DaysOff]]-Games[[#This Row],[OppDaysOff]]</f>
        <v>-1</v>
      </c>
      <c r="L375" s="2">
        <f>Games[[#This Row],[OppDaysOff]]-Games[[#This Row],[DaysOff]]</f>
        <v>1</v>
      </c>
      <c r="M375" s="1">
        <f>MAX(-16, MIN(16, Games[[#This Row],[RestDiff]]*8))</f>
        <v>-8</v>
      </c>
      <c r="N375" s="1">
        <f>MAX(-16, MIN(16, Games[[#This Row],[OppRestDiff]]*8))</f>
        <v>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1504.8290976485032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1630.5416971344052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0.41770045707280112</v>
      </c>
      <c r="R375" s="1">
        <v>78</v>
      </c>
      <c r="S375" s="1">
        <v>60</v>
      </c>
      <c r="T375" s="1">
        <v>0</v>
      </c>
      <c r="U375" s="1">
        <f>Games[[#This Row],[PointsFor]]-Games[[#This Row],[PointsAgainst]]</f>
        <v>18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0.49497961987089317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71.2</v>
      </c>
      <c r="Z375" s="4">
        <f>Games[[#This Row],[K]]*Games[[#This Row],[POMult]]</f>
        <v>71.2</v>
      </c>
      <c r="AA375" s="4">
        <f>(Games[[#This Row],[Keff]]*Games[[#This Row],[MOVMult]])*(Games[[#This Row],[Result]]-Games[[#This Row],[ExpectedWin%]])</f>
        <v>20.5217201363279</v>
      </c>
      <c r="AB375" s="4">
        <f>Games[[#This Row],[PreGmRate]]+Games[[#This Row],[RatingChange]]</f>
        <v>1525.3508177848312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42624</v>
      </c>
      <c r="B376" s="2">
        <v>2016</v>
      </c>
      <c r="C376" s="2">
        <f>COUNTIFS(Games[Team],Games[[#This Row],[Team]],Games[Season],Games[[#This Row],[Season]],Games[Date],"&lt;=" &amp; Games[[#This Row],[Date]])</f>
        <v>31</v>
      </c>
      <c r="D376" s="2" t="s">
        <v>81</v>
      </c>
      <c r="E376" s="2" t="s">
        <v>82</v>
      </c>
      <c r="F376" s="1" t="s">
        <v>69</v>
      </c>
      <c r="G376" s="1" t="s">
        <v>65</v>
      </c>
      <c r="H376" s="1" t="s">
        <v>83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1529.4706920824449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1466.2517814158748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0.47012922152552916</v>
      </c>
      <c r="R376" s="1">
        <v>80</v>
      </c>
      <c r="S376" s="1">
        <v>73</v>
      </c>
      <c r="T376" s="1">
        <v>0</v>
      </c>
      <c r="U376" s="1">
        <f>Games[[#This Row],[PointsFor]]-Games[[#This Row],[PointsAgainst]]</f>
        <v>7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0.35158483081149261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71.349999999999994</v>
      </c>
      <c r="Z376" s="4">
        <f>Games[[#This Row],[K]]*Games[[#This Row],[POMult]]</f>
        <v>71.349999999999994</v>
      </c>
      <c r="AA376" s="4">
        <f>(Games[[#This Row],[Keff]]*Games[[#This Row],[MOVMult]])*(Games[[#This Row],[Result]]-Games[[#This Row],[ExpectedWin%]])</f>
        <v>13.292114572935615</v>
      </c>
      <c r="AB376" s="4">
        <f>Games[[#This Row],[PreGmRate]]+Games[[#This Row],[RatingChange]]</f>
        <v>1542.7628066553805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42624</v>
      </c>
      <c r="B377" s="2">
        <v>2016</v>
      </c>
      <c r="C377" s="2">
        <f>COUNTIFS(Games[Team],Games[[#This Row],[Team]],Games[Season],Games[[#This Row],[Season]],Games[Date],"&lt;=" &amp; Games[[#This Row],[Date]])</f>
        <v>31</v>
      </c>
      <c r="D377" s="2" t="s">
        <v>81</v>
      </c>
      <c r="E377" s="2" t="s">
        <v>82</v>
      </c>
      <c r="F377" s="1" t="s">
        <v>65</v>
      </c>
      <c r="G377" s="1" t="s">
        <v>69</v>
      </c>
      <c r="H377" s="1" t="s">
        <v>84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1466.2517814158748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1529.4706920824449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0.52987077847447084</v>
      </c>
      <c r="R377" s="1">
        <v>73</v>
      </c>
      <c r="S377" s="1">
        <v>80</v>
      </c>
      <c r="T377" s="1">
        <v>0</v>
      </c>
      <c r="U377" s="1">
        <f>Games[[#This Row],[PointsFor]]-Games[[#This Row],[PointsAgainst]]</f>
        <v>-7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0.35158483081149261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71.349999999999994</v>
      </c>
      <c r="Z377" s="4">
        <f>Games[[#This Row],[K]]*Games[[#This Row],[POMult]]</f>
        <v>71.349999999999994</v>
      </c>
      <c r="AA377" s="4">
        <f>(Games[[#This Row],[Keff]]*Games[[#This Row],[MOVMult]])*(Games[[#This Row],[Result]]-Games[[#This Row],[ExpectedWin%]])</f>
        <v>-13.292114572935615</v>
      </c>
      <c r="AB377" s="4">
        <f>Games[[#This Row],[PreGmRate]]+Games[[#This Row],[RatingChange]]</f>
        <v>1452.9596668429392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42626</v>
      </c>
      <c r="B378" s="2">
        <v>2016</v>
      </c>
      <c r="C378" s="2">
        <f>COUNTIFS(Games[Team],Games[[#This Row],[Team]],Games[Season],Games[[#This Row],[Season]],Games[Date],"&lt;=" &amp; Games[[#This Row],[Date]])</f>
        <v>32</v>
      </c>
      <c r="D378" s="2" t="s">
        <v>81</v>
      </c>
      <c r="E378" s="2" t="s">
        <v>82</v>
      </c>
      <c r="F378" s="1" t="s">
        <v>74</v>
      </c>
      <c r="G378" s="1" t="s">
        <v>79</v>
      </c>
      <c r="H378" s="1" t="s">
        <v>83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1292.9146427044327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1486.9029093322647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0.16794959784853386</v>
      </c>
      <c r="R378" s="1">
        <v>71</v>
      </c>
      <c r="S378" s="1">
        <v>67</v>
      </c>
      <c r="T378" s="1">
        <v>0</v>
      </c>
      <c r="U378" s="1">
        <f>Games[[#This Row],[PointsFor]]-Games[[#This Row],[PointsAgainst]]</f>
        <v>4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0.26809356350517338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71.2</v>
      </c>
      <c r="Z378" s="4">
        <f>Games[[#This Row],[K]]*Games[[#This Row],[POMult]]</f>
        <v>71.2</v>
      </c>
      <c r="AA378" s="4">
        <f>(Games[[#This Row],[Keff]]*Games[[#This Row],[MOVMult]])*(Games[[#This Row],[Result]]-Games[[#This Row],[ExpectedWin%]])</f>
        <v>15.882395841803376</v>
      </c>
      <c r="AB378" s="4">
        <f>Games[[#This Row],[PreGmRate]]+Games[[#This Row],[RatingChange]]</f>
        <v>1308.7970385462361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42626</v>
      </c>
      <c r="B379" s="2">
        <v>2016</v>
      </c>
      <c r="C379" s="2">
        <f>COUNTIFS(Games[Team],Games[[#This Row],[Team]],Games[Season],Games[[#This Row],[Season]],Games[Date],"&lt;=" &amp; Games[[#This Row],[Date]])</f>
        <v>32</v>
      </c>
      <c r="D379" s="2" t="s">
        <v>81</v>
      </c>
      <c r="E379" s="2" t="s">
        <v>82</v>
      </c>
      <c r="F379" s="1" t="s">
        <v>79</v>
      </c>
      <c r="G379" s="1" t="s">
        <v>74</v>
      </c>
      <c r="H379" s="1" t="s">
        <v>84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1486.9029093322647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1292.9146427044327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0.8320504021514662</v>
      </c>
      <c r="R379" s="1">
        <v>67</v>
      </c>
      <c r="S379" s="1">
        <v>71</v>
      </c>
      <c r="T379" s="1">
        <v>0</v>
      </c>
      <c r="U379" s="1">
        <f>Games[[#This Row],[PointsFor]]-Games[[#This Row],[PointsAgainst]]</f>
        <v>-4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0.26809356350517338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-15.88239584180338</v>
      </c>
      <c r="AB379" s="4">
        <f>Games[[#This Row],[PreGmRate]]+Games[[#This Row],[RatingChange]]</f>
        <v>1471.0205134904613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42626</v>
      </c>
      <c r="B380" s="2">
        <v>2016</v>
      </c>
      <c r="C380" s="2">
        <f>COUNTIFS(Games[Team],Games[[#This Row],[Team]],Games[Season],Games[[#This Row],[Season]],Games[Date],"&lt;=" &amp; Games[[#This Row],[Date]])</f>
        <v>32</v>
      </c>
      <c r="D380" s="2" t="s">
        <v>81</v>
      </c>
      <c r="E380" s="2" t="s">
        <v>82</v>
      </c>
      <c r="F380" s="1" t="s">
        <v>67</v>
      </c>
      <c r="G380" s="1" t="s">
        <v>77</v>
      </c>
      <c r="H380" s="1" t="s">
        <v>83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1694.0924755379021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1514.7147938112817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0.63391238720187093</v>
      </c>
      <c r="R380" s="1">
        <v>97</v>
      </c>
      <c r="S380" s="1">
        <v>98</v>
      </c>
      <c r="T380" s="1">
        <v>1</v>
      </c>
      <c r="U380" s="1">
        <f>Games[[#This Row],[PointsFor]]-Games[[#This Row],[PointsAgainst]]</f>
        <v>-1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0.19118334893777303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-8.6289767100295087</v>
      </c>
      <c r="AB380" s="4">
        <f>Games[[#This Row],[PreGmRate]]+Games[[#This Row],[RatingChange]]</f>
        <v>1685.4634988278726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42626</v>
      </c>
      <c r="B381" s="2">
        <v>2016</v>
      </c>
      <c r="C381" s="2">
        <f>COUNTIFS(Games[Team],Games[[#This Row],[Team]],Games[Season],Games[[#This Row],[Season]],Games[Date],"&lt;=" &amp; Games[[#This Row],[Date]])</f>
        <v>32</v>
      </c>
      <c r="D381" s="2" t="s">
        <v>81</v>
      </c>
      <c r="E381" s="2" t="s">
        <v>82</v>
      </c>
      <c r="F381" s="1" t="s">
        <v>77</v>
      </c>
      <c r="G381" s="1" t="s">
        <v>67</v>
      </c>
      <c r="H381" s="1" t="s">
        <v>84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1514.7147938112817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1694.0924755379021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0.36608761279812896</v>
      </c>
      <c r="R381" s="1">
        <v>98</v>
      </c>
      <c r="S381" s="1">
        <v>97</v>
      </c>
      <c r="T381" s="1">
        <v>1</v>
      </c>
      <c r="U381" s="1">
        <f>Games[[#This Row],[PointsFor]]-Games[[#This Row],[PointsAgainst]]</f>
        <v>1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0.19118334893777303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8.6289767100295105</v>
      </c>
      <c r="AB381" s="4">
        <f>Games[[#This Row],[PreGmRate]]+Games[[#This Row],[RatingChange]]</f>
        <v>1523.3437705213112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42626</v>
      </c>
      <c r="B382" s="2">
        <v>2016</v>
      </c>
      <c r="C382" s="2">
        <f>COUNTIFS(Games[Team],Games[[#This Row],[Team]],Games[Season],Games[[#This Row],[Season]],Games[Date],"&lt;=" &amp; Games[[#This Row],[Date]])</f>
        <v>32</v>
      </c>
      <c r="D382" s="2" t="s">
        <v>81</v>
      </c>
      <c r="E382" s="2" t="s">
        <v>82</v>
      </c>
      <c r="F382" s="1" t="s">
        <v>69</v>
      </c>
      <c r="G382" s="1" t="s">
        <v>76</v>
      </c>
      <c r="H382" s="1" t="s">
        <v>83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1542.7628066553805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1436.0026373595701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0.53270774226489226</v>
      </c>
      <c r="R382" s="1">
        <v>87</v>
      </c>
      <c r="S382" s="1">
        <v>89</v>
      </c>
      <c r="T382" s="1">
        <v>0</v>
      </c>
      <c r="U382" s="1">
        <f>Games[[#This Row],[PointsFor]]-Games[[#This Row],[PointsAgainst]]</f>
        <v>-2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0.24595912281654997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-9.3289322251601074</v>
      </c>
      <c r="AB382" s="4">
        <f>Games[[#This Row],[PreGmRate]]+Games[[#This Row],[RatingChange]]</f>
        <v>1533.4338744302204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42626</v>
      </c>
      <c r="B383" s="2">
        <v>2016</v>
      </c>
      <c r="C383" s="2">
        <f>COUNTIFS(Games[Team],Games[[#This Row],[Team]],Games[Season],Games[[#This Row],[Season]],Games[Date],"&lt;=" &amp; Games[[#This Row],[Date]])</f>
        <v>32</v>
      </c>
      <c r="D383" s="2" t="s">
        <v>81</v>
      </c>
      <c r="E383" s="2" t="s">
        <v>82</v>
      </c>
      <c r="F383" s="1" t="s">
        <v>76</v>
      </c>
      <c r="G383" s="1" t="s">
        <v>69</v>
      </c>
      <c r="H383" s="1" t="s">
        <v>84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1436.0026373595701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1542.7628066553805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0.46729225773510774</v>
      </c>
      <c r="R383" s="1">
        <v>89</v>
      </c>
      <c r="S383" s="1">
        <v>87</v>
      </c>
      <c r="T383" s="1">
        <v>0</v>
      </c>
      <c r="U383" s="1">
        <f>Games[[#This Row],[PointsFor]]-Games[[#This Row],[PointsAgainst]]</f>
        <v>2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0.24595912281654997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9.3289322251601074</v>
      </c>
      <c r="AB383" s="4">
        <f>Games[[#This Row],[PreGmRate]]+Games[[#This Row],[RatingChange]]</f>
        <v>1445.3315695847302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42626</v>
      </c>
      <c r="B384" s="2">
        <v>2016</v>
      </c>
      <c r="C384" s="2">
        <f>COUNTIFS(Games[Team],Games[[#This Row],[Team]],Games[Season],Games[[#This Row],[Season]],Games[Date],"&lt;=" &amp; Games[[#This Row],[Date]])</f>
        <v>32</v>
      </c>
      <c r="D384" s="2" t="s">
        <v>81</v>
      </c>
      <c r="E384" s="2" t="s">
        <v>82</v>
      </c>
      <c r="F384" s="1" t="s">
        <v>40</v>
      </c>
      <c r="G384" s="1" t="s">
        <v>63</v>
      </c>
      <c r="H384" s="1" t="s">
        <v>83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1502.4944463444419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1610.0199769980773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0.24926997017261249</v>
      </c>
      <c r="R384" s="1">
        <v>85</v>
      </c>
      <c r="S384" s="1">
        <v>90</v>
      </c>
      <c r="T384" s="1">
        <v>0</v>
      </c>
      <c r="U384" s="1">
        <f>Games[[#This Row],[PointsFor]]-Games[[#This Row],[PointsAgainst]]</f>
        <v>-5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0.30447372630229441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-5.4038063551686584</v>
      </c>
      <c r="AB384" s="4">
        <f>Games[[#This Row],[PreGmRate]]+Games[[#This Row],[RatingChange]]</f>
        <v>1497.0906399892733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42626</v>
      </c>
      <c r="B385" s="2">
        <v>2016</v>
      </c>
      <c r="C385" s="2">
        <f>COUNTIFS(Games[Team],Games[[#This Row],[Team]],Games[Season],Games[[#This Row],[Season]],Games[Date],"&lt;=" &amp; Games[[#This Row],[Date]])</f>
        <v>33</v>
      </c>
      <c r="D385" s="2" t="s">
        <v>81</v>
      </c>
      <c r="E385" s="2" t="s">
        <v>82</v>
      </c>
      <c r="F385" s="1" t="s">
        <v>63</v>
      </c>
      <c r="G385" s="1" t="s">
        <v>40</v>
      </c>
      <c r="H385" s="1" t="s">
        <v>84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1610.0199769980773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1502.4944463444419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0.75073002982738757</v>
      </c>
      <c r="R385" s="1">
        <v>90</v>
      </c>
      <c r="S385" s="1">
        <v>85</v>
      </c>
      <c r="T385" s="1">
        <v>0</v>
      </c>
      <c r="U385" s="1">
        <f>Games[[#This Row],[PointsFor]]-Games[[#This Row],[PointsAgainst]]</f>
        <v>5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0.30447372630229441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71.05</v>
      </c>
      <c r="Z385" s="4">
        <f>Games[[#This Row],[K]]*Games[[#This Row],[POMult]]</f>
        <v>71.05</v>
      </c>
      <c r="AA385" s="4">
        <f>(Games[[#This Row],[Keff]]*Games[[#This Row],[MOVMult]])*(Games[[#This Row],[Result]]-Games[[#This Row],[ExpectedWin%]])</f>
        <v>5.3924219316675988</v>
      </c>
      <c r="AB385" s="4">
        <f>Games[[#This Row],[PreGmRate]]+Games[[#This Row],[RatingChange]]</f>
        <v>1615.4123989297448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42626</v>
      </c>
      <c r="B386" s="2">
        <v>2016</v>
      </c>
      <c r="C386" s="2">
        <f>COUNTIFS(Games[Team],Games[[#This Row],[Team]],Games[Season],Games[[#This Row],[Season]],Games[Date],"&lt;=" &amp; Games[[#This Row],[Date]])</f>
        <v>32</v>
      </c>
      <c r="D386" s="2" t="s">
        <v>81</v>
      </c>
      <c r="E386" s="2" t="s">
        <v>82</v>
      </c>
      <c r="F386" s="1" t="s">
        <v>65</v>
      </c>
      <c r="G386" s="1" t="s">
        <v>60</v>
      </c>
      <c r="H386" s="1" t="s">
        <v>83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1452.9596668429392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1557.2391099437814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0.25278311854019064</v>
      </c>
      <c r="R386" s="1">
        <v>75</v>
      </c>
      <c r="S386" s="1">
        <v>62</v>
      </c>
      <c r="T386" s="1">
        <v>0</v>
      </c>
      <c r="U386" s="1">
        <f>Games[[#This Row],[PointsFor]]-Games[[#This Row],[PointsAgainst]]</f>
        <v>13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0.43430302438121382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71.2</v>
      </c>
      <c r="Z386" s="4">
        <f>Games[[#This Row],[K]]*Games[[#This Row],[POMult]]</f>
        <v>71.2</v>
      </c>
      <c r="AA386" s="4">
        <f>(Games[[#This Row],[Keff]]*Games[[#This Row],[MOVMult]])*(Games[[#This Row],[Result]]-Games[[#This Row],[ExpectedWin%]])</f>
        <v>23.105720865852625</v>
      </c>
      <c r="AB386" s="4">
        <f>Games[[#This Row],[PreGmRate]]+Games[[#This Row],[RatingChange]]</f>
        <v>1476.0653877087918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42626</v>
      </c>
      <c r="B387" s="2">
        <v>2016</v>
      </c>
      <c r="C387" s="2">
        <f>COUNTIFS(Games[Team],Games[[#This Row],[Team]],Games[Season],Games[[#This Row],[Season]],Games[Date],"&lt;=" &amp; Games[[#This Row],[Date]])</f>
        <v>33</v>
      </c>
      <c r="D387" s="2" t="s">
        <v>81</v>
      </c>
      <c r="E387" s="2" t="s">
        <v>82</v>
      </c>
      <c r="F387" s="1" t="s">
        <v>60</v>
      </c>
      <c r="G387" s="1" t="s">
        <v>65</v>
      </c>
      <c r="H387" s="1" t="s">
        <v>84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1557.2391099437814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1452.9596668429392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0.74721688145980936</v>
      </c>
      <c r="R387" s="1">
        <v>62</v>
      </c>
      <c r="S387" s="1">
        <v>75</v>
      </c>
      <c r="T387" s="1">
        <v>0</v>
      </c>
      <c r="U387" s="1">
        <f>Games[[#This Row],[PointsFor]]-Games[[#This Row],[PointsAgainst]]</f>
        <v>-13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0.43430302438121382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71.05</v>
      </c>
      <c r="Z387" s="4">
        <f>Games[[#This Row],[K]]*Games[[#This Row],[POMult]]</f>
        <v>71.05</v>
      </c>
      <c r="AA387" s="4">
        <f>(Games[[#This Row],[Keff]]*Games[[#This Row],[MOVMult]])*(Games[[#This Row],[Result]]-Games[[#This Row],[ExpectedWin%]])</f>
        <v>-23.057043083129621</v>
      </c>
      <c r="AB387" s="4">
        <f>Games[[#This Row],[PreGmRate]]+Games[[#This Row],[RatingChange]]</f>
        <v>1534.1820668606517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42628</v>
      </c>
      <c r="B388" s="2">
        <v>2016</v>
      </c>
      <c r="C388" s="2">
        <f>COUNTIFS(Games[Team],Games[[#This Row],[Team]],Games[Season],Games[[#This Row],[Season]],Games[Date],"&lt;=" &amp; Games[[#This Row],[Date]])</f>
        <v>33</v>
      </c>
      <c r="D388" s="2" t="s">
        <v>81</v>
      </c>
      <c r="E388" s="2" t="s">
        <v>82</v>
      </c>
      <c r="F388" s="1" t="s">
        <v>65</v>
      </c>
      <c r="G388" s="1" t="s">
        <v>79</v>
      </c>
      <c r="H388" s="1" t="s">
        <v>83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1476.0653877087918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1471.0205134904613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0.38829085312177508</v>
      </c>
      <c r="R388" s="1">
        <v>91</v>
      </c>
      <c r="S388" s="1">
        <v>94</v>
      </c>
      <c r="T388" s="1">
        <v>0</v>
      </c>
      <c r="U388" s="1">
        <f>Games[[#This Row],[PointsFor]]-Games[[#This Row],[PointsAgainst]]</f>
        <v>-3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0.28896867890030042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71.05</v>
      </c>
      <c r="Z388" s="4">
        <f>Games[[#This Row],[K]]*Games[[#This Row],[POMult]]</f>
        <v>71.05</v>
      </c>
      <c r="AA388" s="4">
        <f>(Games[[#This Row],[Keff]]*Games[[#This Row],[MOVMult]])*(Games[[#This Row],[Result]]-Games[[#This Row],[ExpectedWin%]])</f>
        <v>-7.9720867294953486</v>
      </c>
      <c r="AB388" s="4">
        <f>Games[[#This Row],[PreGmRate]]+Games[[#This Row],[RatingChange]]</f>
        <v>1468.0933009792964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42628</v>
      </c>
      <c r="B389" s="2">
        <v>2016</v>
      </c>
      <c r="C389" s="2">
        <f>COUNTIFS(Games[Team],Games[[#This Row],[Team]],Games[Season],Games[[#This Row],[Season]],Games[Date],"&lt;=" &amp; Games[[#This Row],[Date]])</f>
        <v>33</v>
      </c>
      <c r="D389" s="2" t="s">
        <v>81</v>
      </c>
      <c r="E389" s="2" t="s">
        <v>82</v>
      </c>
      <c r="F389" s="1" t="s">
        <v>79</v>
      </c>
      <c r="G389" s="1" t="s">
        <v>65</v>
      </c>
      <c r="H389" s="1" t="s">
        <v>84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1471.0205134904613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1476.0653877087918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0.61170914687822497</v>
      </c>
      <c r="R389" s="1">
        <v>94</v>
      </c>
      <c r="S389" s="1">
        <v>91</v>
      </c>
      <c r="T389" s="1">
        <v>0</v>
      </c>
      <c r="U389" s="1">
        <f>Games[[#This Row],[PointsFor]]-Games[[#This Row],[PointsAgainst]]</f>
        <v>3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0.28896867890030042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7.9720867294953477</v>
      </c>
      <c r="AB389" s="4">
        <f>Games[[#This Row],[PreGmRate]]+Games[[#This Row],[RatingChange]]</f>
        <v>1478.9926002199568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42628</v>
      </c>
      <c r="B390" s="2">
        <v>2016</v>
      </c>
      <c r="C390" s="2">
        <f>COUNTIFS(Games[Team],Games[[#This Row],[Team]],Games[Season],Games[[#This Row],[Season]],Games[Date],"&lt;=" &amp; Games[[#This Row],[Date]])</f>
        <v>33</v>
      </c>
      <c r="D390" s="2" t="s">
        <v>81</v>
      </c>
      <c r="E390" s="2" t="s">
        <v>82</v>
      </c>
      <c r="F390" s="1" t="s">
        <v>71</v>
      </c>
      <c r="G390" s="1" t="s">
        <v>40</v>
      </c>
      <c r="H390" s="1" t="s">
        <v>83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2</v>
      </c>
      <c r="L390" s="2">
        <f>Games[[#This Row],[OppDaysOff]]-Games[[#This Row],[DaysOff]]</f>
        <v>-2</v>
      </c>
      <c r="M390" s="1">
        <f>MAX(-16, MIN(16, Games[[#This Row],[RestDiff]]*8))</f>
        <v>16</v>
      </c>
      <c r="N390" s="1">
        <f>MAX(-16, MIN(16, Games[[#This Row],[OppRestDiff]]*8))</f>
        <v>-16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1525.3508177848312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1497.0906399892733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0.46588871941324295</v>
      </c>
      <c r="R390" s="1">
        <v>62</v>
      </c>
      <c r="S390" s="1">
        <v>86</v>
      </c>
      <c r="T390" s="1">
        <v>0</v>
      </c>
      <c r="U390" s="1">
        <f>Games[[#This Row],[PointsFor]]-Games[[#This Row],[PointsAgainst]]</f>
        <v>-24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0.61397180415897656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-20.323322296157716</v>
      </c>
      <c r="AB390" s="4">
        <f>Games[[#This Row],[PreGmRate]]+Games[[#This Row],[RatingChange]]</f>
        <v>1505.0274954886734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42628</v>
      </c>
      <c r="B391" s="2">
        <v>2016</v>
      </c>
      <c r="C391" s="2">
        <f>COUNTIFS(Games[Team],Games[[#This Row],[Team]],Games[Season],Games[[#This Row],[Season]],Games[Date],"&lt;=" &amp; Games[[#This Row],[Date]])</f>
        <v>33</v>
      </c>
      <c r="D391" s="2" t="s">
        <v>81</v>
      </c>
      <c r="E391" s="2" t="s">
        <v>82</v>
      </c>
      <c r="F391" s="1" t="s">
        <v>40</v>
      </c>
      <c r="G391" s="1" t="s">
        <v>71</v>
      </c>
      <c r="H391" s="1" t="s">
        <v>84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1" s="2">
        <f>Games[[#This Row],[DaysOff]]-Games[[#This Row],[OppDaysOff]]</f>
        <v>-2</v>
      </c>
      <c r="L391" s="2">
        <f>Games[[#This Row],[OppDaysOff]]-Games[[#This Row],[DaysOff]]</f>
        <v>2</v>
      </c>
      <c r="M391" s="1">
        <f>MAX(-16, MIN(16, Games[[#This Row],[RestDiff]]*8))</f>
        <v>-16</v>
      </c>
      <c r="N391" s="1">
        <f>MAX(-16, MIN(16, Games[[#This Row],[OppRestDiff]]*8))</f>
        <v>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1497.0906399892733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1525.3508177848312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0.53411128058675705</v>
      </c>
      <c r="R391" s="1">
        <v>86</v>
      </c>
      <c r="S391" s="1">
        <v>62</v>
      </c>
      <c r="T391" s="1">
        <v>0</v>
      </c>
      <c r="U391" s="1">
        <f>Games[[#This Row],[PointsFor]]-Games[[#This Row],[PointsAgainst]]</f>
        <v>24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0.61397180415897656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20.323322296157716</v>
      </c>
      <c r="AB391" s="4">
        <f>Games[[#This Row],[PreGmRate]]+Games[[#This Row],[RatingChange]]</f>
        <v>1517.4139622854311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42629</v>
      </c>
      <c r="B392" s="2">
        <v>2016</v>
      </c>
      <c r="C392" s="2">
        <f>COUNTIFS(Games[Team],Games[[#This Row],[Team]],Games[Season],Games[[#This Row],[Season]],Games[Date],"&lt;=" &amp; Games[[#This Row],[Date]])</f>
        <v>34</v>
      </c>
      <c r="D392" s="2" t="s">
        <v>81</v>
      </c>
      <c r="E392" s="2" t="s">
        <v>82</v>
      </c>
      <c r="F392" s="1" t="s">
        <v>60</v>
      </c>
      <c r="G392" s="1" t="s">
        <v>77</v>
      </c>
      <c r="H392" s="1" t="s">
        <v>83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1534.1820668606517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1523.3437705213112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0.39624097108149969</v>
      </c>
      <c r="R392" s="1">
        <v>68</v>
      </c>
      <c r="S392" s="1">
        <v>92</v>
      </c>
      <c r="T392" s="1">
        <v>0</v>
      </c>
      <c r="U392" s="1">
        <f>Games[[#This Row],[PointsFor]]-Games[[#This Row],[PointsAgainst]]</f>
        <v>-24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0.62280580290336374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70.900000000000006</v>
      </c>
      <c r="Z392" s="4">
        <f>Games[[#This Row],[K]]*Games[[#This Row],[POMult]]</f>
        <v>70.900000000000006</v>
      </c>
      <c r="AA392" s="4">
        <f>(Games[[#This Row],[Keff]]*Games[[#This Row],[MOVMult]])*(Games[[#This Row],[Result]]-Games[[#This Row],[ExpectedWin%]])</f>
        <v>-17.496785388157395</v>
      </c>
      <c r="AB392" s="4">
        <f>Games[[#This Row],[PreGmRate]]+Games[[#This Row],[RatingChange]]</f>
        <v>1516.6852814724944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42629</v>
      </c>
      <c r="B393" s="2">
        <v>2016</v>
      </c>
      <c r="C393" s="2">
        <f>COUNTIFS(Games[Team],Games[[#This Row],[Team]],Games[Season],Games[[#This Row],[Season]],Games[Date],"&lt;=" &amp; Games[[#This Row],[Date]])</f>
        <v>33</v>
      </c>
      <c r="D393" s="2" t="s">
        <v>81</v>
      </c>
      <c r="E393" s="2" t="s">
        <v>82</v>
      </c>
      <c r="F393" s="1" t="s">
        <v>77</v>
      </c>
      <c r="G393" s="1" t="s">
        <v>60</v>
      </c>
      <c r="H393" s="1" t="s">
        <v>84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1523.3437705213112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1534.1820668606517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0.60375902891850031</v>
      </c>
      <c r="R393" s="1">
        <v>92</v>
      </c>
      <c r="S393" s="1">
        <v>68</v>
      </c>
      <c r="T393" s="1">
        <v>0</v>
      </c>
      <c r="U393" s="1">
        <f>Games[[#This Row],[PointsFor]]-Games[[#This Row],[PointsAgainst]]</f>
        <v>24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0.62280580290336374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17.533802564578039</v>
      </c>
      <c r="AB393" s="4">
        <f>Games[[#This Row],[PreGmRate]]+Games[[#This Row],[RatingChange]]</f>
        <v>1540.8775730858893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42629</v>
      </c>
      <c r="B394" s="2">
        <v>2016</v>
      </c>
      <c r="C394" s="2">
        <f>COUNTIFS(Games[Team],Games[[#This Row],[Team]],Games[Season],Games[[#This Row],[Season]],Games[Date],"&lt;=" &amp; Games[[#This Row],[Date]])</f>
        <v>33</v>
      </c>
      <c r="D394" s="2" t="s">
        <v>81</v>
      </c>
      <c r="E394" s="2" t="s">
        <v>82</v>
      </c>
      <c r="F394" s="1" t="s">
        <v>87</v>
      </c>
      <c r="G394" s="1" t="s">
        <v>76</v>
      </c>
      <c r="H394" s="1" t="s">
        <v>83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4" s="2">
        <f>Games[[#This Row],[DaysOff]]-Games[[#This Row],[OppDaysOff]]</f>
        <v>2</v>
      </c>
      <c r="L394" s="2">
        <f>Games[[#This Row],[OppDaysOff]]-Games[[#This Row],[DaysOff]]</f>
        <v>-2</v>
      </c>
      <c r="M394" s="1">
        <f>MAX(-16, MIN(16, Games[[#This Row],[RestDiff]]*8))</f>
        <v>16</v>
      </c>
      <c r="N394" s="1">
        <f>MAX(-16, MIN(16, Games[[#This Row],[OppRestDiff]]*8))</f>
        <v>-16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1385.4280322715585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1445.3315695847302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0.34430484358679364</v>
      </c>
      <c r="R394" s="1">
        <v>74</v>
      </c>
      <c r="S394" s="1">
        <v>107</v>
      </c>
      <c r="T394" s="1">
        <v>0</v>
      </c>
      <c r="U394" s="1">
        <f>Games[[#This Row],[PointsFor]]-Games[[#This Row],[PointsAgainst]]</f>
        <v>-33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0.70393549214170759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-17.22027478568592</v>
      </c>
      <c r="AB394" s="4">
        <f>Games[[#This Row],[PreGmRate]]+Games[[#This Row],[RatingChange]]</f>
        <v>1368.2077574858727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42629</v>
      </c>
      <c r="B395" s="2">
        <v>2016</v>
      </c>
      <c r="C395" s="2">
        <f>COUNTIFS(Games[Team],Games[[#This Row],[Team]],Games[Season],Games[[#This Row],[Season]],Games[Date],"&lt;=" &amp; Games[[#This Row],[Date]])</f>
        <v>33</v>
      </c>
      <c r="D395" s="2" t="s">
        <v>81</v>
      </c>
      <c r="E395" s="2" t="s">
        <v>82</v>
      </c>
      <c r="F395" s="1" t="s">
        <v>76</v>
      </c>
      <c r="G395" s="1" t="s">
        <v>87</v>
      </c>
      <c r="H395" s="1" t="s">
        <v>84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5" s="2">
        <f>Games[[#This Row],[DaysOff]]-Games[[#This Row],[OppDaysOff]]</f>
        <v>-2</v>
      </c>
      <c r="L395" s="2">
        <f>Games[[#This Row],[OppDaysOff]]-Games[[#This Row],[DaysOff]]</f>
        <v>2</v>
      </c>
      <c r="M395" s="1">
        <f>MAX(-16, MIN(16, Games[[#This Row],[RestDiff]]*8))</f>
        <v>-16</v>
      </c>
      <c r="N395" s="1">
        <f>MAX(-16, MIN(16, Games[[#This Row],[OppRestDiff]]*8))</f>
        <v>16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1445.3315695847302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1385.4280322715585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0.65569515641320641</v>
      </c>
      <c r="R395" s="1">
        <v>107</v>
      </c>
      <c r="S395" s="1">
        <v>74</v>
      </c>
      <c r="T395" s="1">
        <v>0</v>
      </c>
      <c r="U395" s="1">
        <f>Games[[#This Row],[PointsFor]]-Games[[#This Row],[PointsAgainst]]</f>
        <v>33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0.70393549214170759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17.22027478568592</v>
      </c>
      <c r="AB395" s="4">
        <f>Games[[#This Row],[PreGmRate]]+Games[[#This Row],[RatingChange]]</f>
        <v>1462.5518443704161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42629</v>
      </c>
      <c r="B396" s="2">
        <v>2016</v>
      </c>
      <c r="C396" s="2">
        <f>COUNTIFS(Games[Team],Games[[#This Row],[Team]],Games[Season],Games[[#This Row],[Season]],Games[Date],"&lt;=" &amp; Games[[#This Row],[Date]])</f>
        <v>33</v>
      </c>
      <c r="D396" s="2" t="s">
        <v>81</v>
      </c>
      <c r="E396" s="2" t="s">
        <v>82</v>
      </c>
      <c r="F396" s="1" t="s">
        <v>67</v>
      </c>
      <c r="G396" s="1" t="s">
        <v>69</v>
      </c>
      <c r="H396" s="1" t="s">
        <v>83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1685.4634988278726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1533.4338744302204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0.59667021327618441</v>
      </c>
      <c r="R396" s="1">
        <v>82</v>
      </c>
      <c r="S396" s="1">
        <v>75</v>
      </c>
      <c r="T396" s="1">
        <v>0</v>
      </c>
      <c r="U396" s="1">
        <f>Games[[#This Row],[PointsFor]]-Games[[#This Row],[PointsAgainst]]</f>
        <v>7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0.32849029264610191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9.4134087928232084</v>
      </c>
      <c r="AB396" s="4">
        <f>Games[[#This Row],[PreGmRate]]+Games[[#This Row],[RatingChange]]</f>
        <v>1694.8769076206959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42629</v>
      </c>
      <c r="B397" s="2">
        <v>2016</v>
      </c>
      <c r="C397" s="2">
        <f>COUNTIFS(Games[Team],Games[[#This Row],[Team]],Games[Season],Games[[#This Row],[Season]],Games[Date],"&lt;=" &amp; Games[[#This Row],[Date]])</f>
        <v>33</v>
      </c>
      <c r="D397" s="2" t="s">
        <v>81</v>
      </c>
      <c r="E397" s="2" t="s">
        <v>82</v>
      </c>
      <c r="F397" s="1" t="s">
        <v>69</v>
      </c>
      <c r="G397" s="1" t="s">
        <v>67</v>
      </c>
      <c r="H397" s="1" t="s">
        <v>84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1533.4338744302204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1685.4634988278726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0.40332978672381559</v>
      </c>
      <c r="R397" s="1">
        <v>75</v>
      </c>
      <c r="S397" s="1">
        <v>82</v>
      </c>
      <c r="T397" s="1">
        <v>0</v>
      </c>
      <c r="U397" s="1">
        <f>Games[[#This Row],[PointsFor]]-Games[[#This Row],[PointsAgainst]]</f>
        <v>-7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0.32849029264610191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-9.4134087928232084</v>
      </c>
      <c r="AB397" s="4">
        <f>Games[[#This Row],[PreGmRate]]+Games[[#This Row],[RatingChange]]</f>
        <v>1524.0204656373971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42629</v>
      </c>
      <c r="B398" s="2">
        <v>2016</v>
      </c>
      <c r="C398" s="2">
        <f>COUNTIFS(Games[Team],Games[[#This Row],[Team]],Games[Season],Games[[#This Row],[Season]],Games[Date],"&lt;=" &amp; Games[[#This Row],[Date]])</f>
        <v>33</v>
      </c>
      <c r="D398" s="2" t="s">
        <v>81</v>
      </c>
      <c r="E398" s="2" t="s">
        <v>82</v>
      </c>
      <c r="F398" s="1" t="s">
        <v>74</v>
      </c>
      <c r="G398" s="1" t="s">
        <v>63</v>
      </c>
      <c r="H398" s="1" t="s">
        <v>83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1308.7970385462361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1615.4123989297448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9.5473509975064194E-2</v>
      </c>
      <c r="R398" s="1">
        <v>65</v>
      </c>
      <c r="S398" s="1">
        <v>71</v>
      </c>
      <c r="T398" s="1">
        <v>0</v>
      </c>
      <c r="U398" s="1">
        <f>Games[[#This Row],[PointsFor]]-Games[[#This Row],[PointsAgainst]]</f>
        <v>-6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0.27979066481964437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71.05</v>
      </c>
      <c r="Z398" s="4">
        <f>Games[[#This Row],[K]]*Games[[#This Row],[POMult]]</f>
        <v>71.05</v>
      </c>
      <c r="AA398" s="4">
        <f>(Games[[#This Row],[Keff]]*Games[[#This Row],[MOVMult]])*(Games[[#This Row],[Result]]-Games[[#This Row],[ExpectedWin%]])</f>
        <v>-1.8979300046711887</v>
      </c>
      <c r="AB398" s="4">
        <f>Games[[#This Row],[PreGmRate]]+Games[[#This Row],[RatingChange]]</f>
        <v>1306.8991085415648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42629</v>
      </c>
      <c r="B399" s="2">
        <v>2016</v>
      </c>
      <c r="C399" s="2">
        <f>COUNTIFS(Games[Team],Games[[#This Row],[Team]],Games[Season],Games[[#This Row],[Season]],Games[Date],"&lt;=" &amp; Games[[#This Row],[Date]])</f>
        <v>34</v>
      </c>
      <c r="D399" s="2" t="s">
        <v>81</v>
      </c>
      <c r="E399" s="2" t="s">
        <v>82</v>
      </c>
      <c r="F399" s="1" t="s">
        <v>63</v>
      </c>
      <c r="G399" s="1" t="s">
        <v>74</v>
      </c>
      <c r="H399" s="1" t="s">
        <v>84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1615.4123989297448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1308.7970385462361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0.90452649002493579</v>
      </c>
      <c r="R399" s="1">
        <v>71</v>
      </c>
      <c r="S399" s="1">
        <v>65</v>
      </c>
      <c r="T399" s="1">
        <v>0</v>
      </c>
      <c r="U399" s="1">
        <f>Games[[#This Row],[PointsFor]]-Games[[#This Row],[PointsAgainst]]</f>
        <v>6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0.27979066481964437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1.8939231151469009</v>
      </c>
      <c r="AB399" s="4">
        <f>Games[[#This Row],[PreGmRate]]+Games[[#This Row],[RatingChange]]</f>
        <v>1617.3063220448917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42630</v>
      </c>
      <c r="B400" s="2">
        <v>2016</v>
      </c>
      <c r="C400" s="2">
        <f>COUNTIFS(Games[Team],Games[[#This Row],[Team]],Games[Season],Games[[#This Row],[Season]],Games[Date],"&lt;=" &amp; Games[[#This Row],[Date]])</f>
        <v>34</v>
      </c>
      <c r="D400" s="2" t="s">
        <v>81</v>
      </c>
      <c r="E400" s="2" t="s">
        <v>82</v>
      </c>
      <c r="F400" s="1" t="s">
        <v>79</v>
      </c>
      <c r="G400" s="1" t="s">
        <v>67</v>
      </c>
      <c r="H400" s="1" t="s">
        <v>83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0" s="2">
        <f>Games[[#This Row],[DaysOff]]-Games[[#This Row],[OppDaysOff]]</f>
        <v>1</v>
      </c>
      <c r="L400" s="2">
        <f>Games[[#This Row],[OppDaysOff]]-Games[[#This Row],[DaysOff]]</f>
        <v>-1</v>
      </c>
      <c r="M400" s="1">
        <f>MAX(-16, MIN(16, Games[[#This Row],[RestDiff]]*8))</f>
        <v>8</v>
      </c>
      <c r="N400" s="1">
        <f>MAX(-16, MIN(16, Games[[#This Row],[OppRestDiff]]*8))</f>
        <v>-8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1478.9926002199568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1694.8769076206959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0.16325999058868365</v>
      </c>
      <c r="R400" s="1">
        <v>87</v>
      </c>
      <c r="S400" s="1">
        <v>95</v>
      </c>
      <c r="T400" s="1">
        <v>0</v>
      </c>
      <c r="U400" s="1">
        <f>Games[[#This Row],[PointsFor]]-Games[[#This Row],[PointsAgainst]]</f>
        <v>-8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0.32910785123330011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-3.8094672588762428</v>
      </c>
      <c r="AB400" s="4">
        <f>Games[[#This Row],[PreGmRate]]+Games[[#This Row],[RatingChange]]</f>
        <v>1475.1831329610804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42630</v>
      </c>
      <c r="B401" s="2">
        <v>2016</v>
      </c>
      <c r="C401" s="2">
        <f>COUNTIFS(Games[Team],Games[[#This Row],[Team]],Games[Season],Games[[#This Row],[Season]],Games[Date],"&lt;=" &amp; Games[[#This Row],[Date]])</f>
        <v>34</v>
      </c>
      <c r="D401" s="2" t="s">
        <v>81</v>
      </c>
      <c r="E401" s="2" t="s">
        <v>82</v>
      </c>
      <c r="F401" s="1" t="s">
        <v>67</v>
      </c>
      <c r="G401" s="1" t="s">
        <v>79</v>
      </c>
      <c r="H401" s="1" t="s">
        <v>84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-1</v>
      </c>
      <c r="L401" s="2">
        <f>Games[[#This Row],[OppDaysOff]]-Games[[#This Row],[DaysOff]]</f>
        <v>1</v>
      </c>
      <c r="M401" s="1">
        <f>MAX(-16, MIN(16, Games[[#This Row],[RestDiff]]*8))</f>
        <v>-8</v>
      </c>
      <c r="N401" s="1">
        <f>MAX(-16, MIN(16, Games[[#This Row],[OppRestDiff]]*8))</f>
        <v>8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1694.8769076206959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1478.9926002199568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0.83674000941131643</v>
      </c>
      <c r="R401" s="1">
        <v>95</v>
      </c>
      <c r="S401" s="1">
        <v>87</v>
      </c>
      <c r="T401" s="1">
        <v>0</v>
      </c>
      <c r="U401" s="1">
        <f>Games[[#This Row],[PointsFor]]-Games[[#This Row],[PointsAgainst]]</f>
        <v>8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0.32910785123330011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3.809467258876241</v>
      </c>
      <c r="AB401" s="4">
        <f>Games[[#This Row],[PreGmRate]]+Games[[#This Row],[RatingChange]]</f>
        <v>1698.6863748795722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42631</v>
      </c>
      <c r="B402" s="2">
        <v>2016</v>
      </c>
      <c r="C402" s="2">
        <f>COUNTIFS(Games[Team],Games[[#This Row],[Team]],Games[Season],Games[[#This Row],[Season]],Games[Date],"&lt;=" &amp; Games[[#This Row],[Date]])</f>
        <v>34</v>
      </c>
      <c r="D402" s="2" t="s">
        <v>81</v>
      </c>
      <c r="E402" s="2" t="s">
        <v>82</v>
      </c>
      <c r="F402" s="1" t="s">
        <v>87</v>
      </c>
      <c r="G402" s="1" t="s">
        <v>69</v>
      </c>
      <c r="H402" s="1" t="s">
        <v>83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1368.2077574858727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1524.0204656373971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0.20093305790731195</v>
      </c>
      <c r="R402" s="1">
        <v>60</v>
      </c>
      <c r="S402" s="1">
        <v>83</v>
      </c>
      <c r="T402" s="1">
        <v>0</v>
      </c>
      <c r="U402" s="1">
        <f>Games[[#This Row],[PointsFor]]-Games[[#This Row],[PointsAgainst]]</f>
        <v>-23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0.54462192206550586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-7.7587676676621706</v>
      </c>
      <c r="AB402" s="4">
        <f>Games[[#This Row],[PreGmRate]]+Games[[#This Row],[RatingChange]]</f>
        <v>1360.4489898182105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42631</v>
      </c>
      <c r="B403" s="2">
        <v>2016</v>
      </c>
      <c r="C403" s="2">
        <f>COUNTIFS(Games[Team],Games[[#This Row],[Team]],Games[Season],Games[[#This Row],[Season]],Games[Date],"&lt;=" &amp; Games[[#This Row],[Date]])</f>
        <v>34</v>
      </c>
      <c r="D403" s="2" t="s">
        <v>81</v>
      </c>
      <c r="E403" s="2" t="s">
        <v>82</v>
      </c>
      <c r="F403" s="1" t="s">
        <v>69</v>
      </c>
      <c r="G403" s="1" t="s">
        <v>87</v>
      </c>
      <c r="H403" s="1" t="s">
        <v>84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1524.0204656373971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1368.2077574858727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0.79906694209268803</v>
      </c>
      <c r="R403" s="1">
        <v>83</v>
      </c>
      <c r="S403" s="1">
        <v>60</v>
      </c>
      <c r="T403" s="1">
        <v>0</v>
      </c>
      <c r="U403" s="1">
        <f>Games[[#This Row],[PointsFor]]-Games[[#This Row],[PointsAgainst]]</f>
        <v>23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0.54462192206550586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7.7587676676621715</v>
      </c>
      <c r="AB403" s="4">
        <f>Games[[#This Row],[PreGmRate]]+Games[[#This Row],[RatingChange]]</f>
        <v>1531.7792333050593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42631</v>
      </c>
      <c r="B404" s="2">
        <v>2016</v>
      </c>
      <c r="C404" s="2">
        <f>COUNTIFS(Games[Team],Games[[#This Row],[Team]],Games[Season],Games[[#This Row],[Season]],Games[Date],"&lt;=" &amp; Games[[#This Row],[Date]])</f>
        <v>34</v>
      </c>
      <c r="D404" s="2" t="s">
        <v>81</v>
      </c>
      <c r="E404" s="2" t="s">
        <v>82</v>
      </c>
      <c r="F404" s="1" t="s">
        <v>40</v>
      </c>
      <c r="G404" s="1" t="s">
        <v>74</v>
      </c>
      <c r="H404" s="1" t="s">
        <v>83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1</v>
      </c>
      <c r="L404" s="2">
        <f>Games[[#This Row],[OppDaysOff]]-Games[[#This Row],[DaysOff]]</f>
        <v>-1</v>
      </c>
      <c r="M404" s="1">
        <f>MAX(-16, MIN(16, Games[[#This Row],[RestDiff]]*8))</f>
        <v>8</v>
      </c>
      <c r="N404" s="1">
        <f>MAX(-16, MIN(16, Games[[#This Row],[OppRestDiff]]*8))</f>
        <v>-8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1517.4139622854311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1306.8991085415648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0.69431730416766346</v>
      </c>
      <c r="R404" s="1">
        <v>81</v>
      </c>
      <c r="S404" s="1">
        <v>65</v>
      </c>
      <c r="T404" s="1">
        <v>0</v>
      </c>
      <c r="U404" s="1">
        <f>Games[[#This Row],[PointsFor]]-Games[[#This Row],[PointsAgainst]]</f>
        <v>16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0.44050811452773492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9.5470896961264096</v>
      </c>
      <c r="AB404" s="4">
        <f>Games[[#This Row],[PreGmRate]]+Games[[#This Row],[RatingChange]]</f>
        <v>1526.9610519815576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42631</v>
      </c>
      <c r="B405" s="2">
        <v>2016</v>
      </c>
      <c r="C405" s="2">
        <f>COUNTIFS(Games[Team],Games[[#This Row],[Team]],Games[Season],Games[[#This Row],[Season]],Games[Date],"&lt;=" &amp; Games[[#This Row],[Date]])</f>
        <v>34</v>
      </c>
      <c r="D405" s="2" t="s">
        <v>81</v>
      </c>
      <c r="E405" s="2" t="s">
        <v>82</v>
      </c>
      <c r="F405" s="1" t="s">
        <v>74</v>
      </c>
      <c r="G405" s="1" t="s">
        <v>40</v>
      </c>
      <c r="H405" s="1" t="s">
        <v>84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5" s="2">
        <f>Games[[#This Row],[DaysOff]]-Games[[#This Row],[OppDaysOff]]</f>
        <v>-1</v>
      </c>
      <c r="L405" s="2">
        <f>Games[[#This Row],[OppDaysOff]]-Games[[#This Row],[DaysOff]]</f>
        <v>1</v>
      </c>
      <c r="M405" s="1">
        <f>MAX(-16, MIN(16, Games[[#This Row],[RestDiff]]*8))</f>
        <v>-8</v>
      </c>
      <c r="N405" s="1">
        <f>MAX(-16, MIN(16, Games[[#This Row],[OppRestDiff]]*8))</f>
        <v>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1306.8991085415648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1517.4139622854311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0.30568269583233659</v>
      </c>
      <c r="R405" s="1">
        <v>65</v>
      </c>
      <c r="S405" s="1">
        <v>81</v>
      </c>
      <c r="T405" s="1">
        <v>0</v>
      </c>
      <c r="U405" s="1">
        <f>Games[[#This Row],[PointsFor]]-Games[[#This Row],[PointsAgainst]]</f>
        <v>-16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0.44050811452773492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-9.5470896961264113</v>
      </c>
      <c r="AB405" s="4">
        <f>Games[[#This Row],[PreGmRate]]+Games[[#This Row],[RatingChange]]</f>
        <v>1297.3520188454384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42631</v>
      </c>
      <c r="B406" s="2">
        <v>2016</v>
      </c>
      <c r="C406" s="2">
        <f>COUNTIFS(Games[Team],Games[[#This Row],[Team]],Games[Season],Games[[#This Row],[Season]],Games[Date],"&lt;=" &amp; Games[[#This Row],[Date]])</f>
        <v>34</v>
      </c>
      <c r="D406" s="2" t="s">
        <v>81</v>
      </c>
      <c r="E406" s="2" t="s">
        <v>82</v>
      </c>
      <c r="F406" s="1" t="s">
        <v>77</v>
      </c>
      <c r="G406" s="1" t="s">
        <v>71</v>
      </c>
      <c r="H406" s="1" t="s">
        <v>83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6" s="2">
        <f>Games[[#This Row],[DaysOff]]-Games[[#This Row],[OppDaysOff]]</f>
        <v>-1</v>
      </c>
      <c r="L406" s="2">
        <f>Games[[#This Row],[OppDaysOff]]-Games[[#This Row],[DaysOff]]</f>
        <v>1</v>
      </c>
      <c r="M406" s="1">
        <f>MAX(-16, MIN(16, Games[[#This Row],[RestDiff]]*8))</f>
        <v>-8</v>
      </c>
      <c r="N406" s="1">
        <f>MAX(-16, MIN(16, Games[[#This Row],[OppRestDiff]]*8))</f>
        <v>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1540.8775730858893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1505.0274954886734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0.40871582298144876</v>
      </c>
      <c r="R406" s="1">
        <v>75</v>
      </c>
      <c r="S406" s="1">
        <v>88</v>
      </c>
      <c r="T406" s="1">
        <v>0</v>
      </c>
      <c r="U406" s="1">
        <f>Games[[#This Row],[PointsFor]]-Games[[#This Row],[PointsAgainst]]</f>
        <v>-13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0.45835050468116523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-13.282058854791991</v>
      </c>
      <c r="AB406" s="4">
        <f>Games[[#This Row],[PreGmRate]]+Games[[#This Row],[RatingChange]]</f>
        <v>1527.5955142310972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42631</v>
      </c>
      <c r="B407" s="2">
        <v>2016</v>
      </c>
      <c r="C407" s="2">
        <f>COUNTIFS(Games[Team],Games[[#This Row],[Team]],Games[Season],Games[[#This Row],[Season]],Games[Date],"&lt;=" &amp; Games[[#This Row],[Date]])</f>
        <v>34</v>
      </c>
      <c r="D407" s="2" t="s">
        <v>81</v>
      </c>
      <c r="E407" s="2" t="s">
        <v>82</v>
      </c>
      <c r="F407" s="1" t="s">
        <v>71</v>
      </c>
      <c r="G407" s="1" t="s">
        <v>77</v>
      </c>
      <c r="H407" s="1" t="s">
        <v>84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1</v>
      </c>
      <c r="L407" s="2">
        <f>Games[[#This Row],[OppDaysOff]]-Games[[#This Row],[DaysOff]]</f>
        <v>-1</v>
      </c>
      <c r="M407" s="1">
        <f>MAX(-16, MIN(16, Games[[#This Row],[RestDiff]]*8))</f>
        <v>8</v>
      </c>
      <c r="N407" s="1">
        <f>MAX(-16, MIN(16, Games[[#This Row],[OppRestDiff]]*8))</f>
        <v>-8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1505.0274954886734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1540.8775730858893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0.59128417701855118</v>
      </c>
      <c r="R407" s="1">
        <v>88</v>
      </c>
      <c r="S407" s="1">
        <v>75</v>
      </c>
      <c r="T407" s="1">
        <v>0</v>
      </c>
      <c r="U407" s="1">
        <f>Games[[#This Row],[PointsFor]]-Games[[#This Row],[PointsAgainst]]</f>
        <v>13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0.45835050468116523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13.282058854791993</v>
      </c>
      <c r="AB407" s="4">
        <f>Games[[#This Row],[PreGmRate]]+Games[[#This Row],[RatingChange]]</f>
        <v>1518.3095543434654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42631</v>
      </c>
      <c r="B408" s="2">
        <v>2016</v>
      </c>
      <c r="C408" s="2">
        <f>COUNTIFS(Games[Team],Games[[#This Row],[Team]],Games[Season],Games[[#This Row],[Season]],Games[Date],"&lt;=" &amp; Games[[#This Row],[Date]])</f>
        <v>34</v>
      </c>
      <c r="D408" s="2" t="s">
        <v>81</v>
      </c>
      <c r="E408" s="2" t="s">
        <v>82</v>
      </c>
      <c r="F408" s="1" t="s">
        <v>76</v>
      </c>
      <c r="G408" s="1" t="s">
        <v>65</v>
      </c>
      <c r="H408" s="1" t="s">
        <v>83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8" s="2">
        <f>Games[[#This Row],[DaysOff]]-Games[[#This Row],[OppDaysOff]]</f>
        <v>-1</v>
      </c>
      <c r="L408" s="2">
        <f>Games[[#This Row],[OppDaysOff]]-Games[[#This Row],[DaysOff]]</f>
        <v>1</v>
      </c>
      <c r="M408" s="1">
        <f>MAX(-16, MIN(16, Games[[#This Row],[RestDiff]]*8))</f>
        <v>-8</v>
      </c>
      <c r="N408" s="1">
        <f>MAX(-16, MIN(16, Games[[#This Row],[OppRestDiff]]*8))</f>
        <v>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1462.5518443704161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1468.0933009792964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0.35261931440024946</v>
      </c>
      <c r="R408" s="1">
        <v>87</v>
      </c>
      <c r="S408" s="1">
        <v>78</v>
      </c>
      <c r="T408" s="1">
        <v>0</v>
      </c>
      <c r="U408" s="1">
        <f>Games[[#This Row],[PointsFor]]-Games[[#This Row],[PointsAgainst]]</f>
        <v>9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0.40410541662089433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18.548151954162467</v>
      </c>
      <c r="AB408" s="4">
        <f>Games[[#This Row],[PreGmRate]]+Games[[#This Row],[RatingChange]]</f>
        <v>1481.0999963245786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42631</v>
      </c>
      <c r="B409" s="2">
        <v>2016</v>
      </c>
      <c r="C409" s="2">
        <f>COUNTIFS(Games[Team],Games[[#This Row],[Team]],Games[Season],Games[[#This Row],[Season]],Games[Date],"&lt;=" &amp; Games[[#This Row],[Date]])</f>
        <v>34</v>
      </c>
      <c r="D409" s="2" t="s">
        <v>81</v>
      </c>
      <c r="E409" s="2" t="s">
        <v>82</v>
      </c>
      <c r="F409" s="1" t="s">
        <v>65</v>
      </c>
      <c r="G409" s="1" t="s">
        <v>76</v>
      </c>
      <c r="H409" s="1" t="s">
        <v>84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1</v>
      </c>
      <c r="L409" s="2">
        <f>Games[[#This Row],[OppDaysOff]]-Games[[#This Row],[DaysOff]]</f>
        <v>-1</v>
      </c>
      <c r="M409" s="1">
        <f>MAX(-16, MIN(16, Games[[#This Row],[RestDiff]]*8))</f>
        <v>8</v>
      </c>
      <c r="N409" s="1">
        <f>MAX(-16, MIN(16, Games[[#This Row],[OppRestDiff]]*8))</f>
        <v>-8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1468.0933009792964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1462.5518443704161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0.64738068559975059</v>
      </c>
      <c r="R409" s="1">
        <v>78</v>
      </c>
      <c r="S409" s="1">
        <v>87</v>
      </c>
      <c r="T409" s="1">
        <v>0</v>
      </c>
      <c r="U409" s="1">
        <f>Games[[#This Row],[PointsFor]]-Games[[#This Row],[PointsAgainst]]</f>
        <v>-9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0.40410541662089433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-18.548151954162467</v>
      </c>
      <c r="AB409" s="4">
        <f>Games[[#This Row],[PreGmRate]]+Games[[#This Row],[RatingChange]]</f>
        <v>1449.5451490251339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42634</v>
      </c>
      <c r="B410" s="2">
        <v>2016</v>
      </c>
      <c r="C410" s="2">
        <f>COUNTIFS(Games[Team],Games[[#This Row],[Team]],Games[Season],Games[[#This Row],[Season]],Games[Date],"&lt;=" &amp; Games[[#This Row],[Date]])</f>
        <v>35</v>
      </c>
      <c r="D410" s="2" t="s">
        <v>85</v>
      </c>
      <c r="E410" s="2">
        <v>0.5</v>
      </c>
      <c r="F410" s="1" t="s">
        <v>71</v>
      </c>
      <c r="G410" s="1" t="s">
        <v>79</v>
      </c>
      <c r="H410" s="1" t="s">
        <v>83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0" s="2">
        <f>Games[[#This Row],[DaysOff]]-Games[[#This Row],[OppDaysOff]]</f>
        <v>-1</v>
      </c>
      <c r="L410" s="2">
        <f>Games[[#This Row],[OppDaysOff]]-Games[[#This Row],[DaysOff]]</f>
        <v>1</v>
      </c>
      <c r="M410" s="1">
        <f>MAX(-16, MIN(16, Games[[#This Row],[RestDiff]]*8))</f>
        <v>-8</v>
      </c>
      <c r="N410" s="1">
        <f>MAX(-16, MIN(16, Games[[#This Row],[OppRestDiff]]*8))</f>
        <v>8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1518.3095543434654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1475.1831329610804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0.41887565678719596</v>
      </c>
      <c r="R410" s="1">
        <v>85</v>
      </c>
      <c r="S410" s="1">
        <v>94</v>
      </c>
      <c r="T410" s="1">
        <v>0</v>
      </c>
      <c r="U410" s="1">
        <f>Games[[#This Row],[PointsFor]]-Games[[#This Row],[PointsAgainst]]</f>
        <v>-9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0.39188760225605362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0" s="9">
        <f>MAX(kmin, kmax - 0.15 * MIN(Games[[#This Row],[GamesPlayed]], 82))</f>
        <v>70.75</v>
      </c>
      <c r="Z410" s="4">
        <f>Games[[#This Row],[K]]*Games[[#This Row],[POMult]]</f>
        <v>74.287500000000009</v>
      </c>
      <c r="AA410" s="4">
        <f>(Games[[#This Row],[Keff]]*Games[[#This Row],[MOVMult]])*(Games[[#This Row],[Result]]-Games[[#This Row],[ExpectedWin%]])</f>
        <v>-12.194454832675286</v>
      </c>
      <c r="AB410" s="4">
        <f>Games[[#This Row],[PreGmRate]]+Games[[#This Row],[RatingChange]]</f>
        <v>1506.1150995107901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42634</v>
      </c>
      <c r="B411" s="2">
        <v>2016</v>
      </c>
      <c r="C411" s="2">
        <f>COUNTIFS(Games[Team],Games[[#This Row],[Team]],Games[Season],Games[[#This Row],[Season]],Games[Date],"&lt;=" &amp; Games[[#This Row],[Date]])</f>
        <v>35</v>
      </c>
      <c r="D411" s="2" t="s">
        <v>85</v>
      </c>
      <c r="E411" s="2">
        <v>0.5</v>
      </c>
      <c r="F411" s="1" t="s">
        <v>79</v>
      </c>
      <c r="G411" s="1" t="s">
        <v>71</v>
      </c>
      <c r="H411" s="1" t="s">
        <v>84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1" s="2">
        <f>Games[[#This Row],[DaysOff]]-Games[[#This Row],[OppDaysOff]]</f>
        <v>1</v>
      </c>
      <c r="L411" s="2">
        <f>Games[[#This Row],[OppDaysOff]]-Games[[#This Row],[DaysOff]]</f>
        <v>-1</v>
      </c>
      <c r="M411" s="1">
        <f>MAX(-16, MIN(16, Games[[#This Row],[RestDiff]]*8))</f>
        <v>8</v>
      </c>
      <c r="N411" s="1">
        <f>MAX(-16, MIN(16, Games[[#This Row],[OppRestDiff]]*8))</f>
        <v>-8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1475.1831329610804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1518.3095543434654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0.58112434321280404</v>
      </c>
      <c r="R411" s="1">
        <v>94</v>
      </c>
      <c r="S411" s="1">
        <v>85</v>
      </c>
      <c r="T411" s="1">
        <v>0</v>
      </c>
      <c r="U411" s="1">
        <f>Games[[#This Row],[PointsFor]]-Games[[#This Row],[PointsAgainst]]</f>
        <v>9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0.39188760225605362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1" s="9">
        <f>MAX(kmin, kmax - 0.15 * MIN(Games[[#This Row],[GamesPlayed]], 82))</f>
        <v>70.75</v>
      </c>
      <c r="Z411" s="4">
        <f>Games[[#This Row],[K]]*Games[[#This Row],[POMult]]</f>
        <v>74.287500000000009</v>
      </c>
      <c r="AA411" s="4">
        <f>(Games[[#This Row],[Keff]]*Games[[#This Row],[MOVMult]])*(Games[[#This Row],[Result]]-Games[[#This Row],[ExpectedWin%]])</f>
        <v>12.194454832675286</v>
      </c>
      <c r="AB411" s="4">
        <f>Games[[#This Row],[PreGmRate]]+Games[[#This Row],[RatingChange]]</f>
        <v>1487.3775877937558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42634</v>
      </c>
      <c r="B412" s="2">
        <v>2016</v>
      </c>
      <c r="C412" s="2">
        <f>COUNTIFS(Games[Team],Games[[#This Row],[Team]],Games[Season],Games[[#This Row],[Season]],Games[Date],"&lt;=" &amp; Games[[#This Row],[Date]])</f>
        <v>35</v>
      </c>
      <c r="D412" s="2" t="s">
        <v>85</v>
      </c>
      <c r="E412" s="2">
        <v>0.5</v>
      </c>
      <c r="F412" s="1" t="s">
        <v>40</v>
      </c>
      <c r="G412" s="1" t="s">
        <v>69</v>
      </c>
      <c r="H412" s="1" t="s">
        <v>83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1526.9610519815576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1531.7792333050593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0.37489385124827235</v>
      </c>
      <c r="R412" s="1">
        <v>89</v>
      </c>
      <c r="S412" s="1">
        <v>78</v>
      </c>
      <c r="T412" s="1">
        <v>0</v>
      </c>
      <c r="U412" s="1">
        <f>Games[[#This Row],[PointsFor]]-Games[[#This Row],[PointsAgainst]]</f>
        <v>11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0.43807702480830923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2" s="9">
        <f>MAX(kmin, kmax - 0.15 * MIN(Games[[#This Row],[GamesPlayed]], 82))</f>
        <v>70.75</v>
      </c>
      <c r="Z412" s="4">
        <f>Games[[#This Row],[K]]*Games[[#This Row],[POMult]]</f>
        <v>74.287500000000009</v>
      </c>
      <c r="AA412" s="4">
        <f>(Games[[#This Row],[Keff]]*Games[[#This Row],[MOVMult]])*(Games[[#This Row],[Result]]-Games[[#This Row],[ExpectedWin%]])</f>
        <v>20.343233830283189</v>
      </c>
      <c r="AB412" s="4">
        <f>Games[[#This Row],[PreGmRate]]+Games[[#This Row],[RatingChange]]</f>
        <v>1547.3042858118408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42634</v>
      </c>
      <c r="B413" s="2">
        <v>2016</v>
      </c>
      <c r="C413" s="2">
        <f>COUNTIFS(Games[Team],Games[[#This Row],[Team]],Games[Season],Games[[#This Row],[Season]],Games[Date],"&lt;=" &amp; Games[[#This Row],[Date]])</f>
        <v>35</v>
      </c>
      <c r="D413" s="2" t="s">
        <v>85</v>
      </c>
      <c r="E413" s="2">
        <v>0.5</v>
      </c>
      <c r="F413" s="1" t="s">
        <v>69</v>
      </c>
      <c r="G413" s="1" t="s">
        <v>40</v>
      </c>
      <c r="H413" s="1" t="s">
        <v>84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1531.7792333050593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1526.9610519815576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0.62510614875172765</v>
      </c>
      <c r="R413" s="1">
        <v>78</v>
      </c>
      <c r="S413" s="1">
        <v>89</v>
      </c>
      <c r="T413" s="1">
        <v>0</v>
      </c>
      <c r="U413" s="1">
        <f>Games[[#This Row],[PointsFor]]-Games[[#This Row],[PointsAgainst]]</f>
        <v>-11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0.43807702480830923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3" s="9">
        <f>MAX(kmin, kmax - 0.15 * MIN(Games[[#This Row],[GamesPlayed]], 82))</f>
        <v>70.75</v>
      </c>
      <c r="Z413" s="4">
        <f>Games[[#This Row],[K]]*Games[[#This Row],[POMult]]</f>
        <v>74.287500000000009</v>
      </c>
      <c r="AA413" s="4">
        <f>(Games[[#This Row],[Keff]]*Games[[#This Row],[MOVMult]])*(Games[[#This Row],[Result]]-Games[[#This Row],[ExpectedWin%]])</f>
        <v>-20.343233830283189</v>
      </c>
      <c r="AB413" s="4">
        <f>Games[[#This Row],[PreGmRate]]+Games[[#This Row],[RatingChange]]</f>
        <v>1511.4359994747761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42637</v>
      </c>
      <c r="B414" s="2">
        <v>2016</v>
      </c>
      <c r="C414" s="2">
        <f>COUNTIFS(Games[Team],Games[[#This Row],[Team]],Games[Season],Games[[#This Row],[Season]],Games[Date],"&lt;=" &amp; Games[[#This Row],[Date]])</f>
        <v>36</v>
      </c>
      <c r="D414" s="2" t="s">
        <v>85</v>
      </c>
      <c r="E414" s="2">
        <v>1</v>
      </c>
      <c r="F414" s="1" t="s">
        <v>40</v>
      </c>
      <c r="G414" s="1" t="s">
        <v>60</v>
      </c>
      <c r="H414" s="1" t="s">
        <v>83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414" s="2">
        <f>Games[[#This Row],[DaysOff]]-Games[[#This Row],[OppDaysOff]]</f>
        <v>-5</v>
      </c>
      <c r="L414" s="2">
        <f>Games[[#This Row],[OppDaysOff]]-Games[[#This Row],[DaysOff]]</f>
        <v>5</v>
      </c>
      <c r="M414" s="1">
        <f>MAX(-16, MIN(16, Games[[#This Row],[RestDiff]]*8))</f>
        <v>-16</v>
      </c>
      <c r="N414" s="1">
        <f>MAX(-16, MIN(16, Games[[#This Row],[OppRestDiff]]*8))</f>
        <v>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1547.3042858118408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1516.6852814724944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0.37954203126671493</v>
      </c>
      <c r="R414" s="1">
        <v>101</v>
      </c>
      <c r="S414" s="1">
        <v>94</v>
      </c>
      <c r="T414" s="1">
        <v>0</v>
      </c>
      <c r="U414" s="1">
        <f>Games[[#This Row],[PointsFor]]-Games[[#This Row],[PointsAgainst]]</f>
        <v>7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0.36089854408108457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70.599999999999994</v>
      </c>
      <c r="Z414" s="4">
        <f>Games[[#This Row],[K]]*Games[[#This Row],[POMult]]</f>
        <v>77.66</v>
      </c>
      <c r="AA414" s="4">
        <f>(Games[[#This Row],[Keff]]*Games[[#This Row],[MOVMult]])*(Games[[#This Row],[Result]]-Games[[#This Row],[ExpectedWin%]])</f>
        <v>17.389811842812296</v>
      </c>
      <c r="AB414" s="4">
        <f>Games[[#This Row],[PreGmRate]]+Games[[#This Row],[RatingChange]]</f>
        <v>1564.6940976546532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1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42637</v>
      </c>
      <c r="B415" s="2">
        <v>2016</v>
      </c>
      <c r="C415" s="2">
        <f>COUNTIFS(Games[Team],Games[[#This Row],[Team]],Games[Season],Games[[#This Row],[Season]],Games[Date],"&lt;=" &amp; Games[[#This Row],[Date]])</f>
        <v>35</v>
      </c>
      <c r="D415" s="2" t="s">
        <v>85</v>
      </c>
      <c r="E415" s="2">
        <v>1</v>
      </c>
      <c r="F415" s="1" t="s">
        <v>60</v>
      </c>
      <c r="G415" s="1" t="s">
        <v>40</v>
      </c>
      <c r="H415" s="1" t="s">
        <v>84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7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5" s="2">
        <f>Games[[#This Row],[DaysOff]]-Games[[#This Row],[OppDaysOff]]</f>
        <v>5</v>
      </c>
      <c r="L415" s="2">
        <f>Games[[#This Row],[OppDaysOff]]-Games[[#This Row],[DaysOff]]</f>
        <v>-5</v>
      </c>
      <c r="M415" s="1">
        <f>MAX(-16, MIN(16, Games[[#This Row],[RestDiff]]*8))</f>
        <v>16</v>
      </c>
      <c r="N415" s="1">
        <f>MAX(-16, MIN(16, Games[[#This Row],[OppRestDiff]]*8))</f>
        <v>-16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1516.6852814724944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1547.3042858118408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0.62045796873328507</v>
      </c>
      <c r="R415" s="1">
        <v>94</v>
      </c>
      <c r="S415" s="1">
        <v>101</v>
      </c>
      <c r="T415" s="1">
        <v>0</v>
      </c>
      <c r="U415" s="1">
        <f>Games[[#This Row],[PointsFor]]-Games[[#This Row],[PointsAgainst]]</f>
        <v>-7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0.36089854408108457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-17.426759035112887</v>
      </c>
      <c r="AB415" s="4">
        <f>Games[[#This Row],[PreGmRate]]+Games[[#This Row],[RatingChange]]</f>
        <v>1499.2585224373815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1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42638</v>
      </c>
      <c r="B416" s="2">
        <v>2016</v>
      </c>
      <c r="C416" s="2">
        <f>COUNTIFS(Games[Team],Games[[#This Row],[Team]],Games[Season],Games[[#This Row],[Season]],Games[Date],"&lt;=" &amp; Games[[#This Row],[Date]])</f>
        <v>36</v>
      </c>
      <c r="D416" s="2" t="s">
        <v>85</v>
      </c>
      <c r="E416" s="2">
        <v>1</v>
      </c>
      <c r="F416" s="1" t="s">
        <v>79</v>
      </c>
      <c r="G416" s="1" t="s">
        <v>77</v>
      </c>
      <c r="H416" s="1" t="s">
        <v>83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6" s="2">
        <f>Games[[#This Row],[DaysOff]]-Games[[#This Row],[OppDaysOff]]</f>
        <v>-3</v>
      </c>
      <c r="L416" s="2">
        <f>Games[[#This Row],[OppDaysOff]]-Games[[#This Row],[DaysOff]]</f>
        <v>3</v>
      </c>
      <c r="M416" s="1">
        <f>MAX(-16, MIN(16, Games[[#This Row],[RestDiff]]*8))</f>
        <v>-16</v>
      </c>
      <c r="N416" s="1">
        <f>MAX(-16, MIN(16, Games[[#This Row],[OppRestDiff]]*8))</f>
        <v>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1487.3775877937558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1527.5955142310972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0.28920204213508321</v>
      </c>
      <c r="R416" s="1">
        <v>98</v>
      </c>
      <c r="S416" s="1">
        <v>108</v>
      </c>
      <c r="T416" s="1">
        <v>0</v>
      </c>
      <c r="U416" s="1">
        <f>Games[[#This Row],[PointsFor]]-Games[[#This Row],[PointsAgainst]]</f>
        <v>-10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0.40940840184218519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70.599999999999994</v>
      </c>
      <c r="Z416" s="4">
        <f>Games[[#This Row],[K]]*Games[[#This Row],[POMult]]</f>
        <v>77.66</v>
      </c>
      <c r="AA416" s="4">
        <f>(Games[[#This Row],[Keff]]*Games[[#This Row],[MOVMult]])*(Games[[#This Row],[Result]]-Games[[#This Row],[ExpectedWin%]])</f>
        <v>-9.195079585042409</v>
      </c>
      <c r="AB416" s="4">
        <f>Games[[#This Row],[PreGmRate]]+Games[[#This Row],[RatingChange]]</f>
        <v>1478.1825082087134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1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42638</v>
      </c>
      <c r="B417" s="2">
        <v>2016</v>
      </c>
      <c r="C417" s="2">
        <f>COUNTIFS(Games[Team],Games[[#This Row],[Team]],Games[Season],Games[[#This Row],[Season]],Games[Date],"&lt;=" &amp; Games[[#This Row],[Date]])</f>
        <v>35</v>
      </c>
      <c r="D417" s="2" t="s">
        <v>85</v>
      </c>
      <c r="E417" s="2">
        <v>1</v>
      </c>
      <c r="F417" s="1" t="s">
        <v>77</v>
      </c>
      <c r="G417" s="1" t="s">
        <v>79</v>
      </c>
      <c r="H417" s="1" t="s">
        <v>84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7" s="2">
        <f>Games[[#This Row],[DaysOff]]-Games[[#This Row],[OppDaysOff]]</f>
        <v>3</v>
      </c>
      <c r="L417" s="2">
        <f>Games[[#This Row],[OppDaysOff]]-Games[[#This Row],[DaysOff]]</f>
        <v>-3</v>
      </c>
      <c r="M417" s="1">
        <f>MAX(-16, MIN(16, Games[[#This Row],[RestDiff]]*8))</f>
        <v>16</v>
      </c>
      <c r="N417" s="1">
        <f>MAX(-16, MIN(16, Games[[#This Row],[OppRestDiff]]*8))</f>
        <v>-16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1527.5955142310972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1487.3775877937558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0.71079795786491673</v>
      </c>
      <c r="R417" s="1">
        <v>108</v>
      </c>
      <c r="S417" s="1">
        <v>98</v>
      </c>
      <c r="T417" s="1">
        <v>0</v>
      </c>
      <c r="U417" s="1">
        <f>Games[[#This Row],[PointsFor]]-Games[[#This Row],[PointsAgainst]]</f>
        <v>10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0.40940840184218519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9.2146158731126153</v>
      </c>
      <c r="AB417" s="4">
        <f>Games[[#This Row],[PreGmRate]]+Games[[#This Row],[RatingChange]]</f>
        <v>1536.8101301042097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1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42641</v>
      </c>
      <c r="B418" s="2">
        <v>2016</v>
      </c>
      <c r="C418" s="2">
        <f>COUNTIFS(Games[Team],Games[[#This Row],[Team]],Games[Season],Games[[#This Row],[Season]],Games[Date],"&lt;=" &amp; Games[[#This Row],[Date]])</f>
        <v>36</v>
      </c>
      <c r="D418" s="2" t="s">
        <v>85</v>
      </c>
      <c r="E418" s="2">
        <v>2</v>
      </c>
      <c r="F418" s="1" t="s">
        <v>77</v>
      </c>
      <c r="G418" s="1" t="s">
        <v>63</v>
      </c>
      <c r="H418" s="1" t="s">
        <v>83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11</v>
      </c>
      <c r="K418" s="2">
        <f>Games[[#This Row],[DaysOff]]-Games[[#This Row],[OppDaysOff]]</f>
        <v>-9</v>
      </c>
      <c r="L418" s="2">
        <f>Games[[#This Row],[OppDaysOff]]-Games[[#This Row],[DaysOff]]</f>
        <v>9</v>
      </c>
      <c r="M418" s="1">
        <f>MAX(-16, MIN(16, Games[[#This Row],[RestDiff]]*8))</f>
        <v>-16</v>
      </c>
      <c r="N418" s="1">
        <f>MAX(-16, MIN(16, Games[[#This Row],[OppRestDiff]]*8))</f>
        <v>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1536.8101301042097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1617.3063220448917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0.2439539136777284</v>
      </c>
      <c r="R418" s="1">
        <v>75</v>
      </c>
      <c r="S418" s="1">
        <v>95</v>
      </c>
      <c r="T418" s="1">
        <v>0</v>
      </c>
      <c r="U418" s="1">
        <f>Games[[#This Row],[PointsFor]]-Games[[#This Row],[PointsAgainst]]</f>
        <v>-20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0.53874805335037246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18" s="9">
        <f>MAX(kmin, kmax - 0.15 * MIN(Games[[#This Row],[GamesPlayed]], 82))</f>
        <v>70.599999999999994</v>
      </c>
      <c r="Z418" s="4">
        <f>Games[[#This Row],[K]]*Games[[#This Row],[POMult]]</f>
        <v>84.719999999999985</v>
      </c>
      <c r="AA418" s="4">
        <f>(Games[[#This Row],[Keff]]*Games[[#This Row],[MOVMult]])*(Games[[#This Row],[Result]]-Games[[#This Row],[ExpectedWin%]])</f>
        <v>-11.134723853683578</v>
      </c>
      <c r="AB418" s="4">
        <f>Games[[#This Row],[PreGmRate]]+Games[[#This Row],[RatingChange]]</f>
        <v>1525.6754062505261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1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42641</v>
      </c>
      <c r="B419" s="2">
        <v>2016</v>
      </c>
      <c r="C419" s="2">
        <f>COUNTIFS(Games[Team],Games[[#This Row],[Team]],Games[Season],Games[[#This Row],[Season]],Games[Date],"&lt;=" &amp; Games[[#This Row],[Date]])</f>
        <v>35</v>
      </c>
      <c r="D419" s="2" t="s">
        <v>85</v>
      </c>
      <c r="E419" s="2">
        <v>2</v>
      </c>
      <c r="F419" s="1" t="s">
        <v>63</v>
      </c>
      <c r="G419" s="1" t="s">
        <v>77</v>
      </c>
      <c r="H419" s="1" t="s">
        <v>84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9" s="2">
        <f>Games[[#This Row],[DaysOff]]-Games[[#This Row],[OppDaysOff]]</f>
        <v>9</v>
      </c>
      <c r="L419" s="2">
        <f>Games[[#This Row],[OppDaysOff]]-Games[[#This Row],[DaysOff]]</f>
        <v>-9</v>
      </c>
      <c r="M419" s="1">
        <f>MAX(-16, MIN(16, Games[[#This Row],[RestDiff]]*8))</f>
        <v>16</v>
      </c>
      <c r="N419" s="1">
        <f>MAX(-16, MIN(16, Games[[#This Row],[OppRestDiff]]*8))</f>
        <v>-16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1617.3063220448917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1536.8101301042097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0.75604608632227155</v>
      </c>
      <c r="R419" s="1">
        <v>95</v>
      </c>
      <c r="S419" s="1">
        <v>75</v>
      </c>
      <c r="T419" s="1">
        <v>0</v>
      </c>
      <c r="U419" s="1">
        <f>Games[[#This Row],[PointsFor]]-Games[[#This Row],[PointsAgainst]]</f>
        <v>20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0.53874805335037246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19" s="9">
        <f>MAX(kmin, kmax - 0.15 * MIN(Games[[#This Row],[GamesPlayed]], 82))</f>
        <v>70.75</v>
      </c>
      <c r="Z419" s="4">
        <f>Games[[#This Row],[K]]*Games[[#This Row],[POMult]]</f>
        <v>84.899999999999991</v>
      </c>
      <c r="AA419" s="4">
        <f>(Games[[#This Row],[Keff]]*Games[[#This Row],[MOVMult]])*(Games[[#This Row],[Result]]-Games[[#This Row],[ExpectedWin%]])</f>
        <v>11.158381198981775</v>
      </c>
      <c r="AB419" s="4">
        <f>Games[[#This Row],[PreGmRate]]+Games[[#This Row],[RatingChange]]</f>
        <v>1628.4647032438734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1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42641</v>
      </c>
      <c r="B420" s="2">
        <v>2016</v>
      </c>
      <c r="C420" s="2">
        <f>COUNTIFS(Games[Team],Games[[#This Row],[Team]],Games[Season],Games[[#This Row],[Season]],Games[Date],"&lt;=" &amp; Games[[#This Row],[Date]])</f>
        <v>37</v>
      </c>
      <c r="D420" s="2" t="s">
        <v>85</v>
      </c>
      <c r="E420" s="2">
        <v>2</v>
      </c>
      <c r="F420" s="1" t="s">
        <v>40</v>
      </c>
      <c r="G420" s="1" t="s">
        <v>67</v>
      </c>
      <c r="H420" s="1" t="s">
        <v>83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10</v>
      </c>
      <c r="K420" s="2">
        <f>Games[[#This Row],[DaysOff]]-Games[[#This Row],[OppDaysOff]]</f>
        <v>-7</v>
      </c>
      <c r="L420" s="2">
        <f>Games[[#This Row],[OppDaysOff]]-Games[[#This Row],[DaysOff]]</f>
        <v>7</v>
      </c>
      <c r="M420" s="1">
        <f>MAX(-16, MIN(16, Games[[#This Row],[RestDiff]]*8))</f>
        <v>-16</v>
      </c>
      <c r="N420" s="1">
        <f>MAX(-16, MIN(16, Games[[#This Row],[OppRestDiff]]*8))</f>
        <v>16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1564.6940976546532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1698.6863748795722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0.19168921554643656</v>
      </c>
      <c r="R420" s="1">
        <v>95</v>
      </c>
      <c r="S420" s="1">
        <v>113</v>
      </c>
      <c r="T420" s="1">
        <v>0</v>
      </c>
      <c r="U420" s="1">
        <f>Games[[#This Row],[PointsFor]]-Games[[#This Row],[PointsAgainst]]</f>
        <v>-18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0.49190743436436407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0" s="9">
        <f>MAX(kmin, kmax - 0.15 * MIN(Games[[#This Row],[GamesPlayed]], 82))</f>
        <v>70.45</v>
      </c>
      <c r="Z420" s="4">
        <f>Games[[#This Row],[K]]*Games[[#This Row],[POMult]]</f>
        <v>84.54</v>
      </c>
      <c r="AA420" s="4">
        <f>(Games[[#This Row],[Keff]]*Games[[#This Row],[MOVMult]])*(Games[[#This Row],[Result]]-Games[[#This Row],[ExpectedWin%]])</f>
        <v>-7.9715598271562484</v>
      </c>
      <c r="AB420" s="4">
        <f>Games[[#This Row],[PreGmRate]]+Games[[#This Row],[RatingChange]]</f>
        <v>1556.722537827497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1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42641</v>
      </c>
      <c r="B421" s="2">
        <v>2016</v>
      </c>
      <c r="C421" s="2">
        <f>COUNTIFS(Games[Team],Games[[#This Row],[Team]],Games[Season],Games[[#This Row],[Season]],Games[Date],"&lt;=" &amp; Games[[#This Row],[Date]])</f>
        <v>35</v>
      </c>
      <c r="D421" s="2" t="s">
        <v>85</v>
      </c>
      <c r="E421" s="2">
        <v>2</v>
      </c>
      <c r="F421" s="1" t="s">
        <v>67</v>
      </c>
      <c r="G421" s="1" t="s">
        <v>40</v>
      </c>
      <c r="H421" s="1" t="s">
        <v>84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10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1" s="2">
        <f>Games[[#This Row],[DaysOff]]-Games[[#This Row],[OppDaysOff]]</f>
        <v>7</v>
      </c>
      <c r="L421" s="2">
        <f>Games[[#This Row],[OppDaysOff]]-Games[[#This Row],[DaysOff]]</f>
        <v>-7</v>
      </c>
      <c r="M421" s="1">
        <f>MAX(-16, MIN(16, Games[[#This Row],[RestDiff]]*8))</f>
        <v>16</v>
      </c>
      <c r="N421" s="1">
        <f>MAX(-16, MIN(16, Games[[#This Row],[OppRestDiff]]*8))</f>
        <v>-16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1698.6863748795722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1564.6940976546532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0.80831078445356352</v>
      </c>
      <c r="R421" s="1">
        <v>113</v>
      </c>
      <c r="S421" s="1">
        <v>95</v>
      </c>
      <c r="T421" s="1">
        <v>0</v>
      </c>
      <c r="U421" s="1">
        <f>Games[[#This Row],[PointsFor]]-Games[[#This Row],[PointsAgainst]]</f>
        <v>18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0.49190743436436407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1" s="9">
        <f>MAX(kmin, kmax - 0.15 * MIN(Games[[#This Row],[GamesPlayed]], 82))</f>
        <v>70.75</v>
      </c>
      <c r="Z421" s="4">
        <f>Games[[#This Row],[K]]*Games[[#This Row],[POMult]]</f>
        <v>84.899999999999991</v>
      </c>
      <c r="AA421" s="4">
        <f>(Games[[#This Row],[Keff]]*Games[[#This Row],[MOVMult]])*(Games[[#This Row],[Result]]-Games[[#This Row],[ExpectedWin%]])</f>
        <v>8.0055054332335605</v>
      </c>
      <c r="AB421" s="4">
        <f>Games[[#This Row],[PreGmRate]]+Games[[#This Row],[RatingChange]]</f>
        <v>1706.6918803128058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1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42643</v>
      </c>
      <c r="B422" s="2">
        <v>2016</v>
      </c>
      <c r="C422" s="2">
        <f>COUNTIFS(Games[Team],Games[[#This Row],[Team]],Games[Season],Games[[#This Row],[Season]],Games[Date],"&lt;=" &amp; Games[[#This Row],[Date]])</f>
        <v>37</v>
      </c>
      <c r="D422" s="2" t="s">
        <v>85</v>
      </c>
      <c r="E422" s="2">
        <v>2</v>
      </c>
      <c r="F422" s="1" t="s">
        <v>77</v>
      </c>
      <c r="G422" s="1" t="s">
        <v>63</v>
      </c>
      <c r="H422" s="1" t="s">
        <v>83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1525.6754062505261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1628.4647032438734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0.25440679156291995</v>
      </c>
      <c r="R422" s="1">
        <v>84</v>
      </c>
      <c r="S422" s="1">
        <v>99</v>
      </c>
      <c r="T422" s="1">
        <v>0</v>
      </c>
      <c r="U422" s="1">
        <f>Games[[#This Row],[PointsFor]]-Games[[#This Row],[PointsAgainst]]</f>
        <v>-15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0.46317361913174937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2" s="9">
        <f>MAX(kmin, kmax - 0.15 * MIN(Games[[#This Row],[GamesPlayed]], 82))</f>
        <v>70.45</v>
      </c>
      <c r="Z422" s="4">
        <f>Games[[#This Row],[K]]*Games[[#This Row],[POMult]]</f>
        <v>84.54</v>
      </c>
      <c r="AA422" s="4">
        <f>(Games[[#This Row],[Keff]]*Games[[#This Row],[MOVMult]])*(Games[[#This Row],[Result]]-Games[[#This Row],[ExpectedWin%]])</f>
        <v>-9.9617298456762597</v>
      </c>
      <c r="AB422" s="4">
        <f>Games[[#This Row],[PreGmRate]]+Games[[#This Row],[RatingChange]]</f>
        <v>1515.7136764048498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1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42643</v>
      </c>
      <c r="B423" s="2">
        <v>2016</v>
      </c>
      <c r="C423" s="2">
        <f>COUNTIFS(Games[Team],Games[[#This Row],[Team]],Games[Season],Games[[#This Row],[Season]],Games[Date],"&lt;=" &amp; Games[[#This Row],[Date]])</f>
        <v>36</v>
      </c>
      <c r="D423" s="2" t="s">
        <v>85</v>
      </c>
      <c r="E423" s="2">
        <v>2</v>
      </c>
      <c r="F423" s="1" t="s">
        <v>63</v>
      </c>
      <c r="G423" s="1" t="s">
        <v>77</v>
      </c>
      <c r="H423" s="1" t="s">
        <v>84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1628.4647032438734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1525.6754062505261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0.7455932084370801</v>
      </c>
      <c r="R423" s="1">
        <v>99</v>
      </c>
      <c r="S423" s="1">
        <v>84</v>
      </c>
      <c r="T423" s="1">
        <v>0</v>
      </c>
      <c r="U423" s="1">
        <f>Games[[#This Row],[PointsFor]]-Games[[#This Row],[PointsAgainst]]</f>
        <v>15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0.46317361913174937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3" s="9">
        <f>MAX(kmin, kmax - 0.15 * MIN(Games[[#This Row],[GamesPlayed]], 82))</f>
        <v>70.599999999999994</v>
      </c>
      <c r="Z423" s="4">
        <f>Games[[#This Row],[K]]*Games[[#This Row],[POMult]]</f>
        <v>84.719999999999985</v>
      </c>
      <c r="AA423" s="4">
        <f>(Games[[#This Row],[Keff]]*Games[[#This Row],[MOVMult]])*(Games[[#This Row],[Result]]-Games[[#This Row],[ExpectedWin%]])</f>
        <v>9.9829400582646368</v>
      </c>
      <c r="AB423" s="4">
        <f>Games[[#This Row],[PreGmRate]]+Games[[#This Row],[RatingChange]]</f>
        <v>1638.447643302138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1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42643</v>
      </c>
      <c r="B424" s="2">
        <v>2016</v>
      </c>
      <c r="C424" s="2">
        <f>COUNTIFS(Games[Team],Games[[#This Row],[Team]],Games[Season],Games[[#This Row],[Season]],Games[Date],"&lt;=" &amp; Games[[#This Row],[Date]])</f>
        <v>38</v>
      </c>
      <c r="D424" s="2" t="s">
        <v>85</v>
      </c>
      <c r="E424" s="2">
        <v>2</v>
      </c>
      <c r="F424" s="1" t="s">
        <v>40</v>
      </c>
      <c r="G424" s="1" t="s">
        <v>67</v>
      </c>
      <c r="H424" s="1" t="s">
        <v>83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1556.722537827497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1706.6918803128058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0.20638816115187728</v>
      </c>
      <c r="R424" s="1">
        <v>86</v>
      </c>
      <c r="S424" s="1">
        <v>96</v>
      </c>
      <c r="T424" s="1">
        <v>0</v>
      </c>
      <c r="U424" s="1">
        <f>Games[[#This Row],[PointsFor]]-Games[[#This Row],[PointsAgainst]]</f>
        <v>-10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0.37612382979302095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4" s="9">
        <f>MAX(kmin, kmax - 0.15 * MIN(Games[[#This Row],[GamesPlayed]], 82))</f>
        <v>70.3</v>
      </c>
      <c r="Z424" s="4">
        <f>Games[[#This Row],[K]]*Games[[#This Row],[POMult]]</f>
        <v>84.36</v>
      </c>
      <c r="AA424" s="4">
        <f>(Games[[#This Row],[Keff]]*Games[[#This Row],[MOVMult]])*(Games[[#This Row],[Result]]-Games[[#This Row],[ExpectedWin%]])</f>
        <v>-6.5486563721108926</v>
      </c>
      <c r="AB424" s="4">
        <f>Games[[#This Row],[PreGmRate]]+Games[[#This Row],[RatingChange]]</f>
        <v>1550.1738814553862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1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42643</v>
      </c>
      <c r="B425" s="2">
        <v>2016</v>
      </c>
      <c r="C425" s="2">
        <f>COUNTIFS(Games[Team],Games[[#This Row],[Team]],Games[Season],Games[[#This Row],[Season]],Games[Date],"&lt;=" &amp; Games[[#This Row],[Date]])</f>
        <v>36</v>
      </c>
      <c r="D425" s="2" t="s">
        <v>85</v>
      </c>
      <c r="E425" s="2">
        <v>2</v>
      </c>
      <c r="F425" s="1" t="s">
        <v>67</v>
      </c>
      <c r="G425" s="1" t="s">
        <v>40</v>
      </c>
      <c r="H425" s="1" t="s">
        <v>84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1706.6918803128058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1556.722537827497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0.7936118388481227</v>
      </c>
      <c r="R425" s="1">
        <v>96</v>
      </c>
      <c r="S425" s="1">
        <v>86</v>
      </c>
      <c r="T425" s="1">
        <v>0</v>
      </c>
      <c r="U425" s="1">
        <f>Games[[#This Row],[PointsFor]]-Games[[#This Row],[PointsAgainst]]</f>
        <v>10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0.37612382979302095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5" s="9">
        <f>MAX(kmin, kmax - 0.15 * MIN(Games[[#This Row],[GamesPlayed]], 82))</f>
        <v>70.599999999999994</v>
      </c>
      <c r="Z425" s="4">
        <f>Games[[#This Row],[K]]*Games[[#This Row],[POMult]]</f>
        <v>84.719999999999985</v>
      </c>
      <c r="AA425" s="4">
        <f>(Games[[#This Row],[Keff]]*Games[[#This Row],[MOVMult]])*(Games[[#This Row],[Result]]-Games[[#This Row],[ExpectedWin%]])</f>
        <v>6.5766022741255901</v>
      </c>
      <c r="AB425" s="4">
        <f>Games[[#This Row],[PreGmRate]]+Games[[#This Row],[RatingChange]]</f>
        <v>1713.2684825869314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1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42645</v>
      </c>
      <c r="B426" s="2">
        <v>2016</v>
      </c>
      <c r="C426" s="2">
        <f>COUNTIFS(Games[Team],Games[[#This Row],[Team]],Games[Season],Games[[#This Row],[Season]],Games[Date],"&lt;=" &amp; Games[[#This Row],[Date]])</f>
        <v>37</v>
      </c>
      <c r="D426" s="2" t="s">
        <v>85</v>
      </c>
      <c r="E426" s="2">
        <v>2</v>
      </c>
      <c r="F426" s="1" t="s">
        <v>63</v>
      </c>
      <c r="G426" s="1" t="s">
        <v>77</v>
      </c>
      <c r="H426" s="1" t="s">
        <v>83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1638.447643302138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1515.7136764048498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0.55551286023473567</v>
      </c>
      <c r="R426" s="1">
        <v>66</v>
      </c>
      <c r="S426" s="1">
        <v>70</v>
      </c>
      <c r="T426" s="1">
        <v>0</v>
      </c>
      <c r="U426" s="1">
        <f>Games[[#This Row],[PointsFor]]-Games[[#This Row],[PointsAgainst]]</f>
        <v>-4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0.28253548426013542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6" s="9">
        <f>MAX(kmin, kmax - 0.15 * MIN(Games[[#This Row],[GamesPlayed]], 82))</f>
        <v>70.45</v>
      </c>
      <c r="Z426" s="4">
        <f>Games[[#This Row],[K]]*Games[[#This Row],[POMult]]</f>
        <v>84.54</v>
      </c>
      <c r="AA426" s="4">
        <f>(Games[[#This Row],[Keff]]*Games[[#This Row],[MOVMult]])*(Games[[#This Row],[Result]]-Games[[#This Row],[ExpectedWin%]])</f>
        <v>-13.268730109537676</v>
      </c>
      <c r="AB426" s="4">
        <f>Games[[#This Row],[PreGmRate]]+Games[[#This Row],[RatingChange]]</f>
        <v>1625.1789131926002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1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42645</v>
      </c>
      <c r="B427" s="2">
        <v>2016</v>
      </c>
      <c r="C427" s="2">
        <f>COUNTIFS(Games[Team],Games[[#This Row],[Team]],Games[Season],Games[[#This Row],[Season]],Games[Date],"&lt;=" &amp; Games[[#This Row],[Date]])</f>
        <v>38</v>
      </c>
      <c r="D427" s="2" t="s">
        <v>85</v>
      </c>
      <c r="E427" s="2">
        <v>2</v>
      </c>
      <c r="F427" s="1" t="s">
        <v>77</v>
      </c>
      <c r="G427" s="1" t="s">
        <v>63</v>
      </c>
      <c r="H427" s="1" t="s">
        <v>84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1515.7136764048498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1638.447643302138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0.44448713976526427</v>
      </c>
      <c r="R427" s="1">
        <v>70</v>
      </c>
      <c r="S427" s="1">
        <v>66</v>
      </c>
      <c r="T427" s="1">
        <v>0</v>
      </c>
      <c r="U427" s="1">
        <f>Games[[#This Row],[PointsFor]]-Games[[#This Row],[PointsAgainst]]</f>
        <v>4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0.28253548426013542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7" s="9">
        <f>MAX(kmin, kmax - 0.15 * MIN(Games[[#This Row],[GamesPlayed]], 82))</f>
        <v>70.3</v>
      </c>
      <c r="Z427" s="4">
        <f>Games[[#This Row],[K]]*Games[[#This Row],[POMult]]</f>
        <v>84.36</v>
      </c>
      <c r="AA427" s="4">
        <f>(Games[[#This Row],[Keff]]*Games[[#This Row],[MOVMult]])*(Games[[#This Row],[Result]]-Games[[#This Row],[ExpectedWin%]])</f>
        <v>13.24047873244143</v>
      </c>
      <c r="AB427" s="4">
        <f>Games[[#This Row],[PreGmRate]]+Games[[#This Row],[RatingChange]]</f>
        <v>1528.9541551372913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1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42645</v>
      </c>
      <c r="B428" s="2">
        <v>2016</v>
      </c>
      <c r="C428" s="2">
        <f>COUNTIFS(Games[Team],Games[[#This Row],[Team]],Games[Season],Games[[#This Row],[Season]],Games[Date],"&lt;=" &amp; Games[[#This Row],[Date]])</f>
        <v>37</v>
      </c>
      <c r="D428" s="2" t="s">
        <v>85</v>
      </c>
      <c r="E428" s="2">
        <v>2</v>
      </c>
      <c r="F428" s="1" t="s">
        <v>67</v>
      </c>
      <c r="G428" s="1" t="s">
        <v>40</v>
      </c>
      <c r="H428" s="1" t="s">
        <v>83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1713.2684825869314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1550.1738814553862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0.61189983178475305</v>
      </c>
      <c r="R428" s="1">
        <v>82</v>
      </c>
      <c r="S428" s="1">
        <v>67</v>
      </c>
      <c r="T428" s="1">
        <v>0</v>
      </c>
      <c r="U428" s="1">
        <f>Games[[#This Row],[PointsFor]]-Games[[#This Row],[PointsAgainst]]</f>
        <v>15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0.44268213897524161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8" s="9">
        <f>MAX(kmin, kmax - 0.15 * MIN(Games[[#This Row],[GamesPlayed]], 82))</f>
        <v>70.45</v>
      </c>
      <c r="Z428" s="4">
        <f>Games[[#This Row],[K]]*Games[[#This Row],[POMult]]</f>
        <v>84.54</v>
      </c>
      <c r="AA428" s="4">
        <f>(Games[[#This Row],[Keff]]*Games[[#This Row],[MOVMult]])*(Games[[#This Row],[Result]]-Games[[#This Row],[ExpectedWin%]])</f>
        <v>14.524395765388013</v>
      </c>
      <c r="AB428" s="4">
        <f>Games[[#This Row],[PreGmRate]]+Games[[#This Row],[RatingChange]]</f>
        <v>1727.7928783523193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1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42645</v>
      </c>
      <c r="B429" s="2">
        <v>2016</v>
      </c>
      <c r="C429" s="2">
        <f>COUNTIFS(Games[Team],Games[[#This Row],[Team]],Games[Season],Games[[#This Row],[Season]],Games[Date],"&lt;=" &amp; Games[[#This Row],[Date]])</f>
        <v>39</v>
      </c>
      <c r="D429" s="2" t="s">
        <v>85</v>
      </c>
      <c r="E429" s="2">
        <v>2</v>
      </c>
      <c r="F429" s="1" t="s">
        <v>40</v>
      </c>
      <c r="G429" s="1" t="s">
        <v>67</v>
      </c>
      <c r="H429" s="1" t="s">
        <v>84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1550.1738814553862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1713.2684825869314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0.3881001682152469</v>
      </c>
      <c r="R429" s="1">
        <v>67</v>
      </c>
      <c r="S429" s="1">
        <v>82</v>
      </c>
      <c r="T429" s="1">
        <v>0</v>
      </c>
      <c r="U429" s="1">
        <f>Games[[#This Row],[PointsFor]]-Games[[#This Row],[PointsAgainst]]</f>
        <v>-15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0.44268213897524161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9" s="9">
        <f>MAX(kmin, kmax - 0.15 * MIN(Games[[#This Row],[GamesPlayed]], 82))</f>
        <v>70.150000000000006</v>
      </c>
      <c r="Z429" s="4">
        <f>Games[[#This Row],[K]]*Games[[#This Row],[POMult]]</f>
        <v>84.18</v>
      </c>
      <c r="AA429" s="4">
        <f>(Games[[#This Row],[Keff]]*Games[[#This Row],[MOVMult]])*(Games[[#This Row],[Result]]-Games[[#This Row],[ExpectedWin%]])</f>
        <v>-14.462545960851225</v>
      </c>
      <c r="AB429" s="4">
        <f>Games[[#This Row],[PreGmRate]]+Games[[#This Row],[RatingChange]]</f>
        <v>1535.711335494535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1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42647</v>
      </c>
      <c r="B430" s="2">
        <v>2016</v>
      </c>
      <c r="C430" s="2">
        <f>COUNTIFS(Games[Team],Games[[#This Row],[Team]],Games[Season],Games[[#This Row],[Season]],Games[Date],"&lt;=" &amp; Games[[#This Row],[Date]])</f>
        <v>38</v>
      </c>
      <c r="D430" s="2" t="s">
        <v>85</v>
      </c>
      <c r="E430" s="2">
        <v>2</v>
      </c>
      <c r="F430" s="1" t="s">
        <v>63</v>
      </c>
      <c r="G430" s="1" t="s">
        <v>77</v>
      </c>
      <c r="H430" s="1" t="s">
        <v>83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1625.1789131926002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1528.9541551372913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0.51758558446525016</v>
      </c>
      <c r="R430" s="1">
        <v>95</v>
      </c>
      <c r="S430" s="1">
        <v>75</v>
      </c>
      <c r="T430" s="1">
        <v>0</v>
      </c>
      <c r="U430" s="1">
        <f>Games[[#This Row],[PointsFor]]-Games[[#This Row],[PointsAgainst]]</f>
        <v>20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0.53221081177742113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0" s="9">
        <f>MAX(kmin, kmax - 0.15 * MIN(Games[[#This Row],[GamesPlayed]], 82))</f>
        <v>70.3</v>
      </c>
      <c r="Z430" s="4">
        <f>Games[[#This Row],[K]]*Games[[#This Row],[POMult]]</f>
        <v>84.36</v>
      </c>
      <c r="AA430" s="4">
        <f>(Games[[#This Row],[Keff]]*Games[[#This Row],[MOVMult]])*(Games[[#This Row],[Result]]-Games[[#This Row],[ExpectedWin%]])</f>
        <v>21.659106707583625</v>
      </c>
      <c r="AB430" s="4">
        <f>Games[[#This Row],[PreGmRate]]+Games[[#This Row],[RatingChange]]</f>
        <v>1646.8380199001838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1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42647</v>
      </c>
      <c r="B431" s="2">
        <v>2016</v>
      </c>
      <c r="C431" s="2">
        <f>COUNTIFS(Games[Team],Games[[#This Row],[Team]],Games[Season],Games[[#This Row],[Season]],Games[Date],"&lt;=" &amp; Games[[#This Row],[Date]])</f>
        <v>39</v>
      </c>
      <c r="D431" s="2" t="s">
        <v>85</v>
      </c>
      <c r="E431" s="2">
        <v>2</v>
      </c>
      <c r="F431" s="1" t="s">
        <v>77</v>
      </c>
      <c r="G431" s="1" t="s">
        <v>63</v>
      </c>
      <c r="H431" s="1" t="s">
        <v>84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1528.9541551372913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1625.1789131926002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0.48241441553474979</v>
      </c>
      <c r="R431" s="1">
        <v>75</v>
      </c>
      <c r="S431" s="1">
        <v>95</v>
      </c>
      <c r="T431" s="1">
        <v>0</v>
      </c>
      <c r="U431" s="1">
        <f>Games[[#This Row],[PointsFor]]-Games[[#This Row],[PointsAgainst]]</f>
        <v>-20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0.53221081177742113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1" s="9">
        <f>MAX(kmin, kmax - 0.15 * MIN(Games[[#This Row],[GamesPlayed]], 82))</f>
        <v>70.150000000000006</v>
      </c>
      <c r="Z431" s="4">
        <f>Games[[#This Row],[K]]*Games[[#This Row],[POMult]]</f>
        <v>84.18</v>
      </c>
      <c r="AA431" s="4">
        <f>(Games[[#This Row],[Keff]]*Games[[#This Row],[MOVMult]])*(Games[[#This Row],[Result]]-Games[[#This Row],[ExpectedWin%]])</f>
        <v>-21.612892397396745</v>
      </c>
      <c r="AB431" s="4">
        <f>Games[[#This Row],[PreGmRate]]+Games[[#This Row],[RatingChange]]</f>
        <v>1507.3412627398945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1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42652</v>
      </c>
      <c r="B432" s="2">
        <v>2016</v>
      </c>
      <c r="C432" s="2">
        <f>COUNTIFS(Games[Team],Games[[#This Row],[Team]],Games[Season],Games[[#This Row],[Season]],Games[Date],"&lt;=" &amp; Games[[#This Row],[Date]])</f>
        <v>39</v>
      </c>
      <c r="D432" s="2" t="s">
        <v>85</v>
      </c>
      <c r="E432" s="2">
        <v>3</v>
      </c>
      <c r="F432" s="1" t="s">
        <v>63</v>
      </c>
      <c r="G432" s="1" t="s">
        <v>67</v>
      </c>
      <c r="H432" s="1" t="s">
        <v>83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2" s="2">
        <f>Games[[#This Row],[DaysOff]]-Games[[#This Row],[OppDaysOff]]</f>
        <v>-2</v>
      </c>
      <c r="L432" s="2">
        <f>Games[[#This Row],[OppDaysOff]]-Games[[#This Row],[DaysOff]]</f>
        <v>2</v>
      </c>
      <c r="M432" s="1">
        <f>MAX(-16, MIN(16, Games[[#This Row],[RestDiff]]*8))</f>
        <v>-16</v>
      </c>
      <c r="N432" s="1">
        <f>MAX(-16, MIN(16, Games[[#This Row],[OppRestDiff]]*8))</f>
        <v>16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1646.8380199001838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1727.7928783523193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0.24346726557269127</v>
      </c>
      <c r="R432" s="1">
        <v>78</v>
      </c>
      <c r="S432" s="1">
        <v>76</v>
      </c>
      <c r="T432" s="1">
        <v>0</v>
      </c>
      <c r="U432" s="1">
        <f>Games[[#This Row],[PointsFor]]-Games[[#This Row],[PointsAgainst]]</f>
        <v>2</v>
      </c>
      <c r="V432" s="1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0.25091406059381732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2" s="9">
        <f>MAX(kmin, kmax - 0.15 * MIN(Games[[#This Row],[GamesPlayed]], 82))</f>
        <v>70.150000000000006</v>
      </c>
      <c r="Z432" s="4">
        <f>Games[[#This Row],[K]]*Games[[#This Row],[POMult]]</f>
        <v>94.702500000000015</v>
      </c>
      <c r="AA432" s="4">
        <f>(Games[[#This Row],[Keff]]*Games[[#This Row],[MOVMult]])*(Games[[#This Row],[Result]]-Games[[#This Row],[ExpectedWin%]])</f>
        <v>17.976873686534233</v>
      </c>
      <c r="AB432" s="4">
        <f>Games[[#This Row],[PreGmRate]]+Games[[#This Row],[RatingChange]]</f>
        <v>1664.814893586718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1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42652</v>
      </c>
      <c r="B433" s="2">
        <v>2016</v>
      </c>
      <c r="C433" s="2">
        <f>COUNTIFS(Games[Team],Games[[#This Row],[Team]],Games[Season],Games[[#This Row],[Season]],Games[Date],"&lt;=" &amp; Games[[#This Row],[Date]])</f>
        <v>38</v>
      </c>
      <c r="D433" s="2" t="s">
        <v>85</v>
      </c>
      <c r="E433" s="2">
        <v>3</v>
      </c>
      <c r="F433" s="1" t="s">
        <v>67</v>
      </c>
      <c r="G433" s="1" t="s">
        <v>63</v>
      </c>
      <c r="H433" s="1" t="s">
        <v>84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3" s="2">
        <f>Games[[#This Row],[DaysOff]]-Games[[#This Row],[OppDaysOff]]</f>
        <v>2</v>
      </c>
      <c r="L433" s="2">
        <f>Games[[#This Row],[OppDaysOff]]-Games[[#This Row],[DaysOff]]</f>
        <v>-2</v>
      </c>
      <c r="M433" s="1">
        <f>MAX(-16, MIN(16, Games[[#This Row],[RestDiff]]*8))</f>
        <v>16</v>
      </c>
      <c r="N433" s="1">
        <f>MAX(-16, MIN(16, Games[[#This Row],[OppRestDiff]]*8))</f>
        <v>-16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1727.7928783523193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1646.8380199001838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0.75653273442730873</v>
      </c>
      <c r="R433" s="1">
        <v>76</v>
      </c>
      <c r="S433" s="1">
        <v>78</v>
      </c>
      <c r="T433" s="1">
        <v>0</v>
      </c>
      <c r="U433" s="1">
        <f>Games[[#This Row],[PointsFor]]-Games[[#This Row],[PointsAgainst]]</f>
        <v>-2</v>
      </c>
      <c r="V433" s="1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0.25091406059381732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3" s="9">
        <f>MAX(kmin, kmax - 0.15 * MIN(Games[[#This Row],[GamesPlayed]], 82))</f>
        <v>70.3</v>
      </c>
      <c r="Z433" s="4">
        <f>Games[[#This Row],[K]]*Games[[#This Row],[POMult]]</f>
        <v>94.905000000000001</v>
      </c>
      <c r="AA433" s="4">
        <f>(Games[[#This Row],[Keff]]*Games[[#This Row],[MOVMult]])*(Games[[#This Row],[Result]]-Games[[#This Row],[ExpectedWin%]])</f>
        <v>-18.015313188358611</v>
      </c>
      <c r="AB433" s="4">
        <f>Games[[#This Row],[PreGmRate]]+Games[[#This Row],[RatingChange]]</f>
        <v>1709.7775651639608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1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42654</v>
      </c>
      <c r="B434" s="2">
        <v>2016</v>
      </c>
      <c r="C434" s="2">
        <f>COUNTIFS(Games[Team],Games[[#This Row],[Team]],Games[Season],Games[[#This Row],[Season]],Games[Date],"&lt;=" &amp; Games[[#This Row],[Date]])</f>
        <v>40</v>
      </c>
      <c r="D434" s="2" t="s">
        <v>85</v>
      </c>
      <c r="E434" s="2">
        <v>3</v>
      </c>
      <c r="F434" s="1" t="s">
        <v>63</v>
      </c>
      <c r="G434" s="1" t="s">
        <v>67</v>
      </c>
      <c r="H434" s="1" t="s">
        <v>83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1664.814893586718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1709.7775651639608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0.32248636694983995</v>
      </c>
      <c r="R434" s="1">
        <v>60</v>
      </c>
      <c r="S434" s="1">
        <v>79</v>
      </c>
      <c r="T434" s="1">
        <v>0</v>
      </c>
      <c r="U434" s="1">
        <f>Games[[#This Row],[PointsFor]]-Games[[#This Row],[PointsAgainst]]</f>
        <v>-19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0.54071748706720413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4" s="9">
        <f>MAX(kmin, kmax - 0.15 * MIN(Games[[#This Row],[GamesPlayed]], 82))</f>
        <v>70</v>
      </c>
      <c r="Z434" s="4">
        <f>Games[[#This Row],[K]]*Games[[#This Row],[POMult]]</f>
        <v>94.5</v>
      </c>
      <c r="AA434" s="4">
        <f>(Games[[#This Row],[Keff]]*Games[[#This Row],[MOVMult]])*(Games[[#This Row],[Result]]-Games[[#This Row],[ExpectedWin%]])</f>
        <v>-16.47834469632695</v>
      </c>
      <c r="AB434" s="4">
        <f>Games[[#This Row],[PreGmRate]]+Games[[#This Row],[RatingChange]]</f>
        <v>1648.336548890391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1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42654</v>
      </c>
      <c r="B435" s="2">
        <v>2016</v>
      </c>
      <c r="C435" s="2">
        <f>COUNTIFS(Games[Team],Games[[#This Row],[Team]],Games[Season],Games[[#This Row],[Season]],Games[Date],"&lt;=" &amp; Games[[#This Row],[Date]])</f>
        <v>39</v>
      </c>
      <c r="D435" s="2" t="s">
        <v>85</v>
      </c>
      <c r="E435" s="2">
        <v>3</v>
      </c>
      <c r="F435" s="1" t="s">
        <v>67</v>
      </c>
      <c r="G435" s="1" t="s">
        <v>63</v>
      </c>
      <c r="H435" s="1" t="s">
        <v>84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1709.7775651639608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1664.814893586718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0.67751363305015999</v>
      </c>
      <c r="R435" s="1">
        <v>79</v>
      </c>
      <c r="S435" s="1">
        <v>60</v>
      </c>
      <c r="T435" s="1">
        <v>0</v>
      </c>
      <c r="U435" s="1">
        <f>Games[[#This Row],[PointsFor]]-Games[[#This Row],[PointsAgainst]]</f>
        <v>19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0.54071748706720413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5" s="9">
        <f>MAX(kmin, kmax - 0.15 * MIN(Games[[#This Row],[GamesPlayed]], 82))</f>
        <v>70.150000000000006</v>
      </c>
      <c r="Z435" s="4">
        <f>Games[[#This Row],[K]]*Games[[#This Row],[POMult]]</f>
        <v>94.702500000000015</v>
      </c>
      <c r="AA435" s="4">
        <f>(Games[[#This Row],[Keff]]*Games[[#This Row],[MOVMult]])*(Games[[#This Row],[Result]]-Games[[#This Row],[ExpectedWin%]])</f>
        <v>16.51365543496194</v>
      </c>
      <c r="AB435" s="4">
        <f>Games[[#This Row],[PreGmRate]]+Games[[#This Row],[RatingChange]]</f>
        <v>1726.2912205989228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1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42657</v>
      </c>
      <c r="B436" s="2">
        <v>2016</v>
      </c>
      <c r="C436" s="2">
        <f>COUNTIFS(Games[Team],Games[[#This Row],[Team]],Games[Season],Games[[#This Row],[Season]],Games[Date],"&lt;=" &amp; Games[[#This Row],[Date]])</f>
        <v>40</v>
      </c>
      <c r="D436" s="2" t="s">
        <v>85</v>
      </c>
      <c r="E436" s="2">
        <v>3</v>
      </c>
      <c r="F436" s="1" t="s">
        <v>67</v>
      </c>
      <c r="G436" s="1" t="s">
        <v>63</v>
      </c>
      <c r="H436" s="1" t="s">
        <v>83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1726.2912205989228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1648.336548890391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0.49130095112164329</v>
      </c>
      <c r="R436" s="1">
        <v>75</v>
      </c>
      <c r="S436" s="1">
        <v>92</v>
      </c>
      <c r="T436" s="1">
        <v>0</v>
      </c>
      <c r="U436" s="1">
        <f>Games[[#This Row],[PointsFor]]-Games[[#This Row],[PointsAgainst]]</f>
        <v>-17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0.49996333754482353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6" s="9">
        <f>MAX(kmin, kmax - 0.15 * MIN(Games[[#This Row],[GamesPlayed]], 82))</f>
        <v>70</v>
      </c>
      <c r="Z436" s="4">
        <f>Games[[#This Row],[K]]*Games[[#This Row],[POMult]]</f>
        <v>94.5</v>
      </c>
      <c r="AA436" s="4">
        <f>(Games[[#This Row],[Keff]]*Games[[#This Row],[MOVMult]])*(Games[[#This Row],[Result]]-Games[[#This Row],[ExpectedWin%]])</f>
        <v>-23.212267778232821</v>
      </c>
      <c r="AB436" s="4">
        <f>Games[[#This Row],[PreGmRate]]+Games[[#This Row],[RatingChange]]</f>
        <v>1703.0789528206899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1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42657</v>
      </c>
      <c r="B437" s="2">
        <v>2016</v>
      </c>
      <c r="C437" s="2">
        <f>COUNTIFS(Games[Team],Games[[#This Row],[Team]],Games[Season],Games[[#This Row],[Season]],Games[Date],"&lt;=" &amp; Games[[#This Row],[Date]])</f>
        <v>41</v>
      </c>
      <c r="D437" s="2" t="s">
        <v>85</v>
      </c>
      <c r="E437" s="2">
        <v>3</v>
      </c>
      <c r="F437" s="1" t="s">
        <v>63</v>
      </c>
      <c r="G437" s="1" t="s">
        <v>67</v>
      </c>
      <c r="H437" s="1" t="s">
        <v>84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1648.336548890391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1726.2912205989228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0.50869904887835671</v>
      </c>
      <c r="R437" s="1">
        <v>92</v>
      </c>
      <c r="S437" s="1">
        <v>75</v>
      </c>
      <c r="T437" s="1">
        <v>0</v>
      </c>
      <c r="U437" s="1">
        <f>Games[[#This Row],[PointsFor]]-Games[[#This Row],[PointsAgainst]]</f>
        <v>17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0.49996333754482353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7" s="9">
        <f>MAX(kmin, kmax - 0.15 * MIN(Games[[#This Row],[GamesPlayed]], 82))</f>
        <v>69.849999999999994</v>
      </c>
      <c r="Z437" s="4">
        <f>Games[[#This Row],[K]]*Games[[#This Row],[POMult]]</f>
        <v>94.297499999999999</v>
      </c>
      <c r="AA437" s="4">
        <f>(Games[[#This Row],[Keff]]*Games[[#This Row],[MOVMult]])*(Games[[#This Row],[Result]]-Games[[#This Row],[ExpectedWin%]])</f>
        <v>23.162527204422322</v>
      </c>
      <c r="AB437" s="4">
        <f>Games[[#This Row],[PreGmRate]]+Games[[#This Row],[RatingChange]]</f>
        <v>1671.4990760948133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1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42659</v>
      </c>
      <c r="B438" s="2">
        <v>2016</v>
      </c>
      <c r="C438" s="2">
        <f>COUNTIFS(Games[Team],Games[[#This Row],[Team]],Games[Season],Games[[#This Row],[Season]],Games[Date],"&lt;=" &amp; Games[[#This Row],[Date]])</f>
        <v>41</v>
      </c>
      <c r="D438" s="2" t="s">
        <v>85</v>
      </c>
      <c r="E438" s="2">
        <v>3</v>
      </c>
      <c r="F438" s="1" t="s">
        <v>67</v>
      </c>
      <c r="G438" s="1" t="s">
        <v>63</v>
      </c>
      <c r="H438" s="1" t="s">
        <v>83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1703.0789528206899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1671.4990760948133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0.42512864060871663</v>
      </c>
      <c r="R438" s="1">
        <v>85</v>
      </c>
      <c r="S438" s="1">
        <v>79</v>
      </c>
      <c r="T438" s="1">
        <v>0</v>
      </c>
      <c r="U438" s="1">
        <f>Games[[#This Row],[PointsFor]]-Games[[#This Row],[PointsAgainst]]</f>
        <v>6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0.34227330380700521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8" s="9">
        <f>MAX(kmin, kmax - 0.15 * MIN(Games[[#This Row],[GamesPlayed]], 82))</f>
        <v>69.849999999999994</v>
      </c>
      <c r="Z438" s="4">
        <f>Games[[#This Row],[K]]*Games[[#This Row],[POMult]]</f>
        <v>94.297499999999999</v>
      </c>
      <c r="AA438" s="4">
        <f>(Games[[#This Row],[Keff]]*Games[[#This Row],[MOVMult]])*(Games[[#This Row],[Result]]-Games[[#This Row],[ExpectedWin%]])</f>
        <v>18.554270255664864</v>
      </c>
      <c r="AB438" s="4">
        <f>Games[[#This Row],[PreGmRate]]+Games[[#This Row],[RatingChange]]</f>
        <v>1721.6332230763549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1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42659</v>
      </c>
      <c r="B439" s="2">
        <v>2016</v>
      </c>
      <c r="C439" s="2">
        <f>COUNTIFS(Games[Team],Games[[#This Row],[Team]],Games[Season],Games[[#This Row],[Season]],Games[Date],"&lt;=" &amp; Games[[#This Row],[Date]])</f>
        <v>42</v>
      </c>
      <c r="D439" s="2" t="s">
        <v>85</v>
      </c>
      <c r="E439" s="2">
        <v>3</v>
      </c>
      <c r="F439" s="1" t="s">
        <v>63</v>
      </c>
      <c r="G439" s="1" t="s">
        <v>67</v>
      </c>
      <c r="H439" s="1" t="s">
        <v>84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1671.4990760948133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1703.0789528206899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0.57487135939128331</v>
      </c>
      <c r="R439" s="1">
        <v>79</v>
      </c>
      <c r="S439" s="1">
        <v>85</v>
      </c>
      <c r="T439" s="1">
        <v>0</v>
      </c>
      <c r="U439" s="1">
        <f>Games[[#This Row],[PointsFor]]-Games[[#This Row],[PointsAgainst]]</f>
        <v>-6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0.34227330380700521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9" s="9">
        <f>MAX(kmin, kmax - 0.15 * MIN(Games[[#This Row],[GamesPlayed]], 82))</f>
        <v>69.7</v>
      </c>
      <c r="Z439" s="4">
        <f>Games[[#This Row],[K]]*Games[[#This Row],[POMult]]</f>
        <v>94.095000000000013</v>
      </c>
      <c r="AA439" s="4">
        <f>(Games[[#This Row],[Keff]]*Games[[#This Row],[MOVMult]])*(Games[[#This Row],[Result]]-Games[[#This Row],[ExpectedWin%]])</f>
        <v>-18.514425723977684</v>
      </c>
      <c r="AB439" s="4">
        <f>Games[[#This Row],[PreGmRate]]+Games[[#This Row],[RatingChange]]</f>
        <v>1652.9846503708357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1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42663</v>
      </c>
      <c r="B440" s="2">
        <v>2016</v>
      </c>
      <c r="C440" s="2">
        <f>COUNTIFS(Games[Team],Games[[#This Row],[Team]],Games[Season],Games[[#This Row],[Season]],Games[Date],"&lt;=" &amp; Games[[#This Row],[Date]])</f>
        <v>43</v>
      </c>
      <c r="D440" s="2" t="s">
        <v>85</v>
      </c>
      <c r="E440" s="2">
        <v>3</v>
      </c>
      <c r="F440" s="1" t="s">
        <v>63</v>
      </c>
      <c r="G440" s="1" t="s">
        <v>67</v>
      </c>
      <c r="H440" s="1" t="s">
        <v>83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1652.9846503708357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1721.6332230763549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0.29344396322555599</v>
      </c>
      <c r="R440" s="1">
        <v>77</v>
      </c>
      <c r="S440" s="1">
        <v>76</v>
      </c>
      <c r="T440" s="1">
        <v>0</v>
      </c>
      <c r="U440" s="1">
        <f>Games[[#This Row],[PointsFor]]-Games[[#This Row],[PointsAgainst]]</f>
        <v>1</v>
      </c>
      <c r="V440" s="1">
        <f>IF(Games[[#This Row],[MOV]]&gt;0,1,IF(Games[[#This Row],[MOV]]=0,0.5,0))</f>
        <v>1</v>
      </c>
      <c r="W440" s="4">
        <f>((ABS(Games[[#This Row],[MOV]])+5)^0.6)/(12+0.01*(ABS(Games[[#This Row],[PreGmRate]]-Games[[#This Row],[OppPreGmRate]])))*IF(Games[[#This Row],[OT]]=1,0.9,1)</f>
        <v>0.23096672432576595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0" s="9">
        <f>MAX(kmin, kmax - 0.15 * MIN(Games[[#This Row],[GamesPlayed]], 82))</f>
        <v>69.55</v>
      </c>
      <c r="Z440" s="4">
        <f>Games[[#This Row],[K]]*Games[[#This Row],[POMult]]</f>
        <v>93.892499999999998</v>
      </c>
      <c r="AA440" s="4">
        <f>(Games[[#This Row],[Keff]]*Games[[#This Row],[MOVMult]])*(Games[[#This Row],[Result]]-Games[[#This Row],[ExpectedWin%]])</f>
        <v>15.322404711103658</v>
      </c>
      <c r="AB440" s="4">
        <f>Games[[#This Row],[PreGmRate]]+Games[[#This Row],[RatingChange]]</f>
        <v>1668.3070550819393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1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42663</v>
      </c>
      <c r="B441" s="2">
        <v>2016</v>
      </c>
      <c r="C441" s="2">
        <f>COUNTIFS(Games[Team],Games[[#This Row],[Team]],Games[Season],Games[[#This Row],[Season]],Games[Date],"&lt;=" &amp; Games[[#This Row],[Date]])</f>
        <v>42</v>
      </c>
      <c r="D441" s="2" t="s">
        <v>85</v>
      </c>
      <c r="E441" s="2">
        <v>3</v>
      </c>
      <c r="F441" s="1" t="s">
        <v>67</v>
      </c>
      <c r="G441" s="1" t="s">
        <v>63</v>
      </c>
      <c r="H441" s="1" t="s">
        <v>84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1721.6332230763549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1652.9846503708357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0.70655603677444401</v>
      </c>
      <c r="R441" s="1">
        <v>76</v>
      </c>
      <c r="S441" s="1">
        <v>77</v>
      </c>
      <c r="T441" s="1">
        <v>0</v>
      </c>
      <c r="U441" s="1">
        <f>Games[[#This Row],[PointsFor]]-Games[[#This Row],[PointsAgainst]]</f>
        <v>-1</v>
      </c>
      <c r="V441" s="1">
        <f>IF(Games[[#This Row],[MOV]]&gt;0,1,IF(Games[[#This Row],[MOV]]=0,0.5,0))</f>
        <v>0</v>
      </c>
      <c r="W441" s="4">
        <f>((ABS(Games[[#This Row],[MOV]])+5)^0.6)/(12+0.01*(ABS(Games[[#This Row],[PreGmRate]]-Games[[#This Row],[OppPreGmRate]])))*IF(Games[[#This Row],[OT]]=1,0.9,1)</f>
        <v>0.23096672432576595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1" s="9">
        <f>MAX(kmin, kmax - 0.15 * MIN(Games[[#This Row],[GamesPlayed]], 82))</f>
        <v>69.7</v>
      </c>
      <c r="Z441" s="4">
        <f>Games[[#This Row],[K]]*Games[[#This Row],[POMult]]</f>
        <v>94.095000000000013</v>
      </c>
      <c r="AA441" s="4">
        <f>(Games[[#This Row],[Keff]]*Games[[#This Row],[MOVMult]])*(Games[[#This Row],[Result]]-Games[[#This Row],[ExpectedWin%]])</f>
        <v>-15.355450875110352</v>
      </c>
      <c r="AB441" s="4">
        <f>Games[[#This Row],[PreGmRate]]+Games[[#This Row],[RatingChange]]</f>
        <v>1706.2777722012445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1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2026-07-28T21:45:53Z</dcterms:modified>
</cp:coreProperties>
</file>
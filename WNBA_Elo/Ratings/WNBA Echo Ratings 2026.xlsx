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atings\"/>
    </mc:Choice>
  </mc:AlternateContent>
  <xr:revisionPtr revIDLastSave="0" documentId="13_ncr:1_{B6D8DE73-DE20-4C14-B43C-0559D3264B47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6" i="2" l="1" a="1"/>
  <c r="J416" i="2" a="1"/>
  <c r="I417" i="2" a="1"/>
  <c r="J417" i="2" a="1"/>
  <c r="I418" i="2" a="1"/>
  <c r="J418" i="2" a="1"/>
  <c r="I419" i="2" a="1"/>
  <c r="J419" i="2" a="1"/>
  <c r="C416" i="2"/>
  <c r="C417" i="2"/>
  <c r="C418" i="2"/>
  <c r="C419" i="2"/>
  <c r="K416" i="2"/>
  <c r="K417" i="2"/>
  <c r="M417" i="2" s="1"/>
  <c r="K418" i="2"/>
  <c r="K419" i="2"/>
  <c r="L416" i="2"/>
  <c r="L417" i="2"/>
  <c r="L418" i="2"/>
  <c r="L419" i="2"/>
  <c r="M416" i="2"/>
  <c r="M418" i="2"/>
  <c r="M419" i="2"/>
  <c r="N416" i="2"/>
  <c r="N417" i="2"/>
  <c r="N418" i="2"/>
  <c r="N419" i="2"/>
  <c r="U416" i="2"/>
  <c r="U417" i="2"/>
  <c r="U418" i="2"/>
  <c r="U419" i="2"/>
  <c r="V416" i="2"/>
  <c r="V417" i="2"/>
  <c r="AC417" i="2" s="1"/>
  <c r="V418" i="2"/>
  <c r="V419" i="2"/>
  <c r="X416" i="2" a="1"/>
  <c r="X417" i="2" a="1"/>
  <c r="X418" i="2" a="1"/>
  <c r="X419" i="2" a="1"/>
  <c r="Y416" i="2"/>
  <c r="Y417" i="2"/>
  <c r="Y418" i="2"/>
  <c r="Y419" i="2"/>
  <c r="Z416" i="2"/>
  <c r="Z417" i="2"/>
  <c r="Z418" i="2"/>
  <c r="Z419" i="2"/>
  <c r="AC416" i="2"/>
  <c r="AC418" i="2"/>
  <c r="AC419" i="2"/>
  <c r="AD416" i="2"/>
  <c r="AD417" i="2"/>
  <c r="AD418" i="2"/>
  <c r="AD419" i="2"/>
  <c r="AE416" i="2"/>
  <c r="AE417" i="2"/>
  <c r="AE418" i="2"/>
  <c r="AE419" i="2"/>
  <c r="AF416" i="2"/>
  <c r="AF417" i="2"/>
  <c r="AF418" i="2"/>
  <c r="AF419" i="2"/>
  <c r="AG416" i="2"/>
  <c r="AG417" i="2"/>
  <c r="AG418" i="2"/>
  <c r="AG419" i="2"/>
  <c r="AH416" i="2"/>
  <c r="AH417" i="2"/>
  <c r="AH418" i="2"/>
  <c r="AH419" i="2"/>
  <c r="AI416" i="2"/>
  <c r="AI417" i="2"/>
  <c r="AI418" i="2"/>
  <c r="AI419" i="2"/>
  <c r="AJ416" i="2"/>
  <c r="AJ417" i="2"/>
  <c r="AJ418" i="2"/>
  <c r="AJ419" i="2"/>
  <c r="AK416" i="2"/>
  <c r="AK417" i="2"/>
  <c r="AK418" i="2"/>
  <c r="AK419" i="2"/>
  <c r="AL416" i="2"/>
  <c r="AL417" i="2"/>
  <c r="AL418" i="2"/>
  <c r="AL419" i="2"/>
  <c r="C406" i="2"/>
  <c r="C407" i="2"/>
  <c r="C408" i="2"/>
  <c r="C409" i="2"/>
  <c r="C410" i="2"/>
  <c r="C411" i="2"/>
  <c r="C412" i="2"/>
  <c r="C413" i="2"/>
  <c r="C414" i="2"/>
  <c r="C415" i="2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K406" i="2"/>
  <c r="K407" i="2"/>
  <c r="K408" i="2"/>
  <c r="K409" i="2"/>
  <c r="K410" i="2"/>
  <c r="K411" i="2"/>
  <c r="K412" i="2"/>
  <c r="K413" i="2"/>
  <c r="K414" i="2"/>
  <c r="L406" i="2"/>
  <c r="L407" i="2"/>
  <c r="L408" i="2"/>
  <c r="L409" i="2"/>
  <c r="L410" i="2"/>
  <c r="L411" i="2"/>
  <c r="L412" i="2"/>
  <c r="L413" i="2"/>
  <c r="L414" i="2"/>
  <c r="M406" i="2"/>
  <c r="M407" i="2"/>
  <c r="M408" i="2"/>
  <c r="M409" i="2"/>
  <c r="M410" i="2"/>
  <c r="M411" i="2"/>
  <c r="M412" i="2"/>
  <c r="M413" i="2"/>
  <c r="M414" i="2"/>
  <c r="N406" i="2"/>
  <c r="N407" i="2"/>
  <c r="N408" i="2"/>
  <c r="N409" i="2"/>
  <c r="N410" i="2"/>
  <c r="N411" i="2"/>
  <c r="N412" i="2"/>
  <c r="N413" i="2"/>
  <c r="N414" i="2"/>
  <c r="U406" i="2"/>
  <c r="U407" i="2"/>
  <c r="U408" i="2"/>
  <c r="U409" i="2"/>
  <c r="U410" i="2"/>
  <c r="U411" i="2"/>
  <c r="U412" i="2"/>
  <c r="U413" i="2"/>
  <c r="U414" i="2"/>
  <c r="U415" i="2"/>
  <c r="V406" i="2"/>
  <c r="V407" i="2"/>
  <c r="V408" i="2"/>
  <c r="V409" i="2"/>
  <c r="V410" i="2"/>
  <c r="V411" i="2"/>
  <c r="V412" i="2"/>
  <c r="V413" i="2"/>
  <c r="V414" i="2"/>
  <c r="V415" i="2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Y406" i="2"/>
  <c r="Y407" i="2"/>
  <c r="Y408" i="2"/>
  <c r="Y409" i="2"/>
  <c r="Y410" i="2"/>
  <c r="Y411" i="2"/>
  <c r="Y412" i="2"/>
  <c r="Y413" i="2"/>
  <c r="Y414" i="2"/>
  <c r="Y415" i="2"/>
  <c r="Z406" i="2"/>
  <c r="Z407" i="2"/>
  <c r="Z408" i="2"/>
  <c r="Z409" i="2"/>
  <c r="Z410" i="2"/>
  <c r="Z411" i="2"/>
  <c r="Z412" i="2"/>
  <c r="Z413" i="2"/>
  <c r="Z414" i="2"/>
  <c r="Z415" i="2"/>
  <c r="AC406" i="2"/>
  <c r="AC407" i="2"/>
  <c r="AC408" i="2"/>
  <c r="AC409" i="2"/>
  <c r="AC410" i="2"/>
  <c r="AC411" i="2"/>
  <c r="AC412" i="2"/>
  <c r="AC413" i="2"/>
  <c r="AC414" i="2"/>
  <c r="AC415" i="2"/>
  <c r="AD406" i="2"/>
  <c r="AD407" i="2"/>
  <c r="AD408" i="2"/>
  <c r="AD409" i="2"/>
  <c r="AD410" i="2"/>
  <c r="AD411" i="2"/>
  <c r="AD412" i="2"/>
  <c r="AD413" i="2"/>
  <c r="AD414" i="2"/>
  <c r="AD415" i="2"/>
  <c r="AE406" i="2"/>
  <c r="AE407" i="2"/>
  <c r="AE408" i="2"/>
  <c r="AE409" i="2"/>
  <c r="AE410" i="2"/>
  <c r="AE411" i="2"/>
  <c r="AE412" i="2"/>
  <c r="AE413" i="2"/>
  <c r="AE414" i="2"/>
  <c r="AE415" i="2"/>
  <c r="AF406" i="2"/>
  <c r="AF407" i="2"/>
  <c r="AF408" i="2"/>
  <c r="AF409" i="2"/>
  <c r="AF410" i="2"/>
  <c r="AF411" i="2"/>
  <c r="AF412" i="2"/>
  <c r="AF413" i="2"/>
  <c r="AF414" i="2"/>
  <c r="AF415" i="2"/>
  <c r="AG406" i="2"/>
  <c r="AG407" i="2"/>
  <c r="AG408" i="2"/>
  <c r="AG409" i="2"/>
  <c r="AG410" i="2"/>
  <c r="AG411" i="2"/>
  <c r="AG412" i="2"/>
  <c r="AG413" i="2"/>
  <c r="AG414" i="2"/>
  <c r="AG415" i="2"/>
  <c r="AH406" i="2"/>
  <c r="AH407" i="2"/>
  <c r="AH408" i="2"/>
  <c r="AH409" i="2"/>
  <c r="AH410" i="2"/>
  <c r="AH411" i="2"/>
  <c r="AH412" i="2"/>
  <c r="AH413" i="2"/>
  <c r="AH414" i="2"/>
  <c r="AH415" i="2"/>
  <c r="AI406" i="2"/>
  <c r="AI407" i="2"/>
  <c r="AI408" i="2"/>
  <c r="AI409" i="2"/>
  <c r="AI410" i="2"/>
  <c r="AI411" i="2"/>
  <c r="AI412" i="2"/>
  <c r="AI413" i="2"/>
  <c r="AI414" i="2"/>
  <c r="AI415" i="2"/>
  <c r="AJ406" i="2"/>
  <c r="AJ407" i="2"/>
  <c r="AJ408" i="2"/>
  <c r="AJ409" i="2"/>
  <c r="AJ410" i="2"/>
  <c r="AJ411" i="2"/>
  <c r="AJ412" i="2"/>
  <c r="AJ413" i="2"/>
  <c r="AJ414" i="2"/>
  <c r="AJ415" i="2"/>
  <c r="AK406" i="2"/>
  <c r="AK407" i="2"/>
  <c r="AK408" i="2"/>
  <c r="AK409" i="2"/>
  <c r="AK410" i="2"/>
  <c r="AK411" i="2"/>
  <c r="AK412" i="2"/>
  <c r="AK413" i="2"/>
  <c r="AK414" i="2"/>
  <c r="AK415" i="2"/>
  <c r="AL406" i="2"/>
  <c r="AL407" i="2"/>
  <c r="AL408" i="2"/>
  <c r="AL409" i="2"/>
  <c r="AL410" i="2"/>
  <c r="AL411" i="2"/>
  <c r="AL412" i="2"/>
  <c r="AL413" i="2"/>
  <c r="AL414" i="2"/>
  <c r="AL415" i="2"/>
  <c r="H39" i="3"/>
  <c r="E38" i="3"/>
  <c r="D38" i="3"/>
  <c r="F38" i="3" s="1"/>
  <c r="C38" i="3"/>
  <c r="B38" i="3"/>
  <c r="H38" i="3"/>
  <c r="E36" i="3"/>
  <c r="D36" i="3"/>
  <c r="C36" i="3"/>
  <c r="B36" i="3"/>
  <c r="H37" i="3"/>
  <c r="E29" i="3"/>
  <c r="D29" i="3"/>
  <c r="C29" i="3"/>
  <c r="B29" i="3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J296" i="2" a="1"/>
  <c r="L296" i="2" s="1"/>
  <c r="N296" i="2" s="1"/>
  <c r="J297" i="2" a="1"/>
  <c r="L297" i="2" s="1"/>
  <c r="N297" i="2" s="1"/>
  <c r="J298" i="2" a="1"/>
  <c r="L298" i="2" s="1"/>
  <c r="N298" i="2" s="1"/>
  <c r="J299" i="2" a="1"/>
  <c r="L299" i="2" s="1"/>
  <c r="N299" i="2" s="1"/>
  <c r="J300" i="2" a="1"/>
  <c r="L300" i="2" s="1"/>
  <c r="N300" i="2" s="1"/>
  <c r="J301" i="2" a="1"/>
  <c r="L301" i="2" s="1"/>
  <c r="N301" i="2" s="1"/>
  <c r="J302" i="2" a="1"/>
  <c r="L302" i="2" s="1"/>
  <c r="N302" i="2" s="1"/>
  <c r="J303" i="2" a="1"/>
  <c r="L303" i="2" s="1"/>
  <c r="N303" i="2" s="1"/>
  <c r="J304" i="2" a="1"/>
  <c r="L304" i="2" s="1"/>
  <c r="N304" i="2" s="1"/>
  <c r="J305" i="2" a="1"/>
  <c r="L305" i="2" s="1"/>
  <c r="N305" i="2" s="1"/>
  <c r="J306" i="2" a="1"/>
  <c r="L306" i="2" s="1"/>
  <c r="N306" i="2" s="1"/>
  <c r="J307" i="2" a="1"/>
  <c r="L307" i="2" s="1"/>
  <c r="N307" i="2" s="1"/>
  <c r="J308" i="2" a="1"/>
  <c r="L308" i="2" s="1"/>
  <c r="N308" i="2" s="1"/>
  <c r="J309" i="2" a="1"/>
  <c r="L309" i="2" s="1"/>
  <c r="N309" i="2" s="1"/>
  <c r="J310" i="2" a="1"/>
  <c r="L310" i="2" s="1"/>
  <c r="N310" i="2" s="1"/>
  <c r="J311" i="2" a="1"/>
  <c r="L311" i="2" s="1"/>
  <c r="N311" i="2" s="1"/>
  <c r="J312" i="2" a="1"/>
  <c r="L312" i="2" s="1"/>
  <c r="N312" i="2" s="1"/>
  <c r="J313" i="2" a="1"/>
  <c r="L313" i="2" s="1"/>
  <c r="N313" i="2" s="1"/>
  <c r="J314" i="2" a="1"/>
  <c r="L314" i="2" s="1"/>
  <c r="N314" i="2" s="1"/>
  <c r="J315" i="2" a="1"/>
  <c r="L315" i="2" s="1"/>
  <c r="N315" i="2" s="1"/>
  <c r="J316" i="2" a="1"/>
  <c r="L316" i="2" s="1"/>
  <c r="N316" i="2" s="1"/>
  <c r="J317" i="2" a="1"/>
  <c r="L317" i="2" s="1"/>
  <c r="N317" i="2" s="1"/>
  <c r="J318" i="2" a="1"/>
  <c r="L318" i="2" s="1"/>
  <c r="N318" i="2" s="1"/>
  <c r="J319" i="2" a="1"/>
  <c r="L319" i="2" s="1"/>
  <c r="N319" i="2" s="1"/>
  <c r="J320" i="2" a="1"/>
  <c r="L320" i="2" s="1"/>
  <c r="N320" i="2" s="1"/>
  <c r="J321" i="2" a="1"/>
  <c r="L321" i="2" s="1"/>
  <c r="N321" i="2" s="1"/>
  <c r="J322" i="2" a="1"/>
  <c r="J323" i="2" a="1"/>
  <c r="L323" i="2" s="1"/>
  <c r="N323" i="2" s="1"/>
  <c r="J324" i="2" a="1"/>
  <c r="L324" i="2" s="1"/>
  <c r="N324" i="2" s="1"/>
  <c r="J325" i="2" a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30" i="3"/>
  <c r="D30" i="3"/>
  <c r="C30" i="3"/>
  <c r="B30" i="3"/>
  <c r="E37" i="3"/>
  <c r="D37" i="3"/>
  <c r="C37" i="3"/>
  <c r="B37" i="3"/>
  <c r="E33" i="3"/>
  <c r="D33" i="3"/>
  <c r="C33" i="3"/>
  <c r="B33" i="3"/>
  <c r="E27" i="3"/>
  <c r="D27" i="3"/>
  <c r="C27" i="3"/>
  <c r="B27" i="3"/>
  <c r="E28" i="3"/>
  <c r="D28" i="3"/>
  <c r="C28" i="3"/>
  <c r="B28" i="3"/>
  <c r="E39" i="3"/>
  <c r="D39" i="3"/>
  <c r="C39" i="3"/>
  <c r="B39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04" i="2" l="1"/>
  <c r="M404" i="2" s="1"/>
  <c r="K405" i="2"/>
  <c r="M405" i="2" s="1"/>
  <c r="K334" i="2"/>
  <c r="M334" i="2" s="1"/>
  <c r="K341" i="2"/>
  <c r="M341" i="2" s="1"/>
  <c r="K347" i="2"/>
  <c r="M347" i="2" s="1"/>
  <c r="K353" i="2"/>
  <c r="M353" i="2" s="1"/>
  <c r="K360" i="2"/>
  <c r="M360" i="2" s="1"/>
  <c r="K377" i="2"/>
  <c r="M377" i="2" s="1"/>
  <c r="K398" i="2"/>
  <c r="M398" i="2" s="1"/>
  <c r="K337" i="2"/>
  <c r="M337" i="2" s="1"/>
  <c r="K348" i="2"/>
  <c r="M348" i="2" s="1"/>
  <c r="K354" i="2"/>
  <c r="M354" i="2" s="1"/>
  <c r="K369" i="2"/>
  <c r="M369" i="2" s="1"/>
  <c r="K374" i="2"/>
  <c r="M374" i="2" s="1"/>
  <c r="K395" i="2"/>
  <c r="M395" i="2" s="1"/>
  <c r="K402" i="2"/>
  <c r="M402" i="2" s="1"/>
  <c r="K339" i="2"/>
  <c r="M339" i="2" s="1"/>
  <c r="K346" i="2"/>
  <c r="M346" i="2" s="1"/>
  <c r="K351" i="2"/>
  <c r="M351" i="2" s="1"/>
  <c r="K357" i="2"/>
  <c r="M357" i="2" s="1"/>
  <c r="K359" i="2"/>
  <c r="M359" i="2" s="1"/>
  <c r="K366" i="2"/>
  <c r="M366" i="2" s="1"/>
  <c r="K372" i="2"/>
  <c r="M372" i="2" s="1"/>
  <c r="K394" i="2"/>
  <c r="M394" i="2" s="1"/>
  <c r="K401" i="2"/>
  <c r="M401" i="2" s="1"/>
  <c r="K335" i="2"/>
  <c r="M335" i="2" s="1"/>
  <c r="K345" i="2"/>
  <c r="M345" i="2" s="1"/>
  <c r="K352" i="2"/>
  <c r="M352" i="2" s="1"/>
  <c r="K358" i="2"/>
  <c r="M358" i="2" s="1"/>
  <c r="K362" i="2"/>
  <c r="M362" i="2" s="1"/>
  <c r="K373" i="2"/>
  <c r="M373" i="2" s="1"/>
  <c r="K400" i="2"/>
  <c r="M400" i="2" s="1"/>
  <c r="K338" i="2"/>
  <c r="M338" i="2" s="1"/>
  <c r="K344" i="2"/>
  <c r="M344" i="2" s="1"/>
  <c r="K350" i="2"/>
  <c r="M350" i="2" s="1"/>
  <c r="K356" i="2"/>
  <c r="M356" i="2" s="1"/>
  <c r="K364" i="2"/>
  <c r="M364" i="2" s="1"/>
  <c r="K371" i="2"/>
  <c r="M371" i="2" s="1"/>
  <c r="K375" i="2"/>
  <c r="M375" i="2" s="1"/>
  <c r="K397" i="2"/>
  <c r="M397" i="2" s="1"/>
  <c r="K336" i="2"/>
  <c r="M336" i="2" s="1"/>
  <c r="K343" i="2"/>
  <c r="M343" i="2" s="1"/>
  <c r="K349" i="2"/>
  <c r="M349" i="2" s="1"/>
  <c r="K355" i="2"/>
  <c r="M355" i="2" s="1"/>
  <c r="K363" i="2"/>
  <c r="M363" i="2" s="1"/>
  <c r="K370" i="2"/>
  <c r="M370" i="2" s="1"/>
  <c r="K376" i="2"/>
  <c r="M376" i="2" s="1"/>
  <c r="K396" i="2"/>
  <c r="M396" i="2" s="1"/>
  <c r="K340" i="2"/>
  <c r="M340" i="2" s="1"/>
  <c r="K365" i="2"/>
  <c r="M365" i="2" s="1"/>
  <c r="K399" i="2"/>
  <c r="M399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2" i="2"/>
  <c r="N362" i="2" s="1"/>
  <c r="L363" i="2"/>
  <c r="N363" i="2" s="1"/>
  <c r="L364" i="2"/>
  <c r="N364" i="2" s="1"/>
  <c r="L365" i="2"/>
  <c r="N365" i="2" s="1"/>
  <c r="L366" i="2"/>
  <c r="N366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3" i="2"/>
  <c r="M323" i="2" s="1"/>
  <c r="K324" i="2"/>
  <c r="M324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78" i="2"/>
  <c r="M378" i="2" s="1"/>
  <c r="K380" i="2"/>
  <c r="M380" i="2" s="1"/>
  <c r="K382" i="2"/>
  <c r="M382" i="2" s="1"/>
  <c r="K384" i="2"/>
  <c r="M384" i="2" s="1"/>
  <c r="K386" i="2"/>
  <c r="M386" i="2" s="1"/>
  <c r="K388" i="2"/>
  <c r="M388" i="2" s="1"/>
  <c r="K390" i="2"/>
  <c r="M390" i="2" s="1"/>
  <c r="K392" i="2"/>
  <c r="M392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4" i="2"/>
  <c r="N404" i="2" s="1"/>
  <c r="L405" i="2"/>
  <c r="N405" i="2" s="1"/>
  <c r="K379" i="2"/>
  <c r="M379" i="2" s="1"/>
  <c r="K381" i="2"/>
  <c r="M381" i="2" s="1"/>
  <c r="K383" i="2"/>
  <c r="M383" i="2" s="1"/>
  <c r="K385" i="2"/>
  <c r="M385" i="2" s="1"/>
  <c r="K387" i="2"/>
  <c r="M387" i="2" s="1"/>
  <c r="K389" i="2"/>
  <c r="M389" i="2" s="1"/>
  <c r="K391" i="2"/>
  <c r="M391" i="2" s="1"/>
  <c r="K393" i="2"/>
  <c r="M393" i="2" s="1"/>
  <c r="K415" i="2"/>
  <c r="M415" i="2" s="1"/>
  <c r="L415" i="2"/>
  <c r="N415" i="2" s="1"/>
  <c r="F29" i="3"/>
  <c r="K361" i="2"/>
  <c r="M361" i="2" s="1"/>
  <c r="L361" i="2"/>
  <c r="N361" i="2" s="1"/>
  <c r="L368" i="2"/>
  <c r="N368" i="2" s="1"/>
  <c r="K368" i="2"/>
  <c r="M368" i="2" s="1"/>
  <c r="F36" i="3"/>
  <c r="AC311" i="2"/>
  <c r="AD311" i="2"/>
  <c r="AC312" i="2"/>
  <c r="AD312" i="2"/>
  <c r="AC313" i="2"/>
  <c r="AD313" i="2"/>
  <c r="AC314" i="2"/>
  <c r="AD314" i="2"/>
  <c r="AC315" i="2"/>
  <c r="AD315" i="2"/>
  <c r="AC316" i="2"/>
  <c r="AD316" i="2"/>
  <c r="AC317" i="2"/>
  <c r="AD317" i="2"/>
  <c r="AC318" i="2"/>
  <c r="AD318" i="2"/>
  <c r="AC319" i="2"/>
  <c r="AD319" i="2"/>
  <c r="AC320" i="2"/>
  <c r="AD320" i="2"/>
  <c r="AC321" i="2"/>
  <c r="AD321" i="2"/>
  <c r="AC322" i="2"/>
  <c r="AD322" i="2"/>
  <c r="AC323" i="2"/>
  <c r="AD323" i="2"/>
  <c r="AC324" i="2"/>
  <c r="AD324" i="2"/>
  <c r="AC325" i="2"/>
  <c r="AD325" i="2"/>
  <c r="AC326" i="2"/>
  <c r="AD326" i="2"/>
  <c r="AC327" i="2"/>
  <c r="AD327" i="2"/>
  <c r="AC328" i="2"/>
  <c r="AD328" i="2"/>
  <c r="AC329" i="2"/>
  <c r="AD329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C337" i="2"/>
  <c r="AD337" i="2"/>
  <c r="AC338" i="2"/>
  <c r="AD338" i="2"/>
  <c r="AC339" i="2"/>
  <c r="AD339" i="2"/>
  <c r="AC340" i="2"/>
  <c r="AD340" i="2"/>
  <c r="AC341" i="2"/>
  <c r="AD341" i="2"/>
  <c r="AC342" i="2"/>
  <c r="AD342" i="2"/>
  <c r="AC343" i="2"/>
  <c r="AD343" i="2"/>
  <c r="AC344" i="2"/>
  <c r="AD344" i="2"/>
  <c r="AC345" i="2"/>
  <c r="AD345" i="2"/>
  <c r="AC346" i="2"/>
  <c r="AD346" i="2"/>
  <c r="AC347" i="2"/>
  <c r="AD347" i="2"/>
  <c r="AC348" i="2"/>
  <c r="AD348" i="2"/>
  <c r="AC349" i="2"/>
  <c r="AD349" i="2"/>
  <c r="AC350" i="2"/>
  <c r="AD350" i="2"/>
  <c r="AC351" i="2"/>
  <c r="AD351" i="2"/>
  <c r="AC352" i="2"/>
  <c r="AD352" i="2"/>
  <c r="AC353" i="2"/>
  <c r="AD353" i="2"/>
  <c r="AC354" i="2"/>
  <c r="AD354" i="2"/>
  <c r="AC355" i="2"/>
  <c r="AD355" i="2"/>
  <c r="AC356" i="2"/>
  <c r="AD356" i="2"/>
  <c r="AC357" i="2"/>
  <c r="AD357" i="2"/>
  <c r="AC358" i="2"/>
  <c r="AD358" i="2"/>
  <c r="AC359" i="2"/>
  <c r="AD359" i="2"/>
  <c r="AC360" i="2"/>
  <c r="AD360" i="2"/>
  <c r="AC361" i="2"/>
  <c r="AD361" i="2"/>
  <c r="AC362" i="2"/>
  <c r="AD362" i="2"/>
  <c r="AC363" i="2"/>
  <c r="AD363" i="2"/>
  <c r="AC364" i="2"/>
  <c r="AD364" i="2"/>
  <c r="AC365" i="2"/>
  <c r="AD365" i="2"/>
  <c r="L325" i="2"/>
  <c r="N325" i="2" s="1"/>
  <c r="K325" i="2"/>
  <c r="M325" i="2" s="1"/>
  <c r="L322" i="2"/>
  <c r="N322" i="2" s="1"/>
  <c r="K322" i="2"/>
  <c r="M322" i="2" s="1"/>
  <c r="L403" i="2"/>
  <c r="N403" i="2" s="1"/>
  <c r="K403" i="2"/>
  <c r="M403" i="2" s="1"/>
  <c r="AC296" i="2"/>
  <c r="AD296" i="2"/>
  <c r="AC297" i="2"/>
  <c r="AD297" i="2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K367" i="2"/>
  <c r="M367" i="2" s="1"/>
  <c r="L367" i="2"/>
  <c r="N367" i="2" s="1"/>
  <c r="Z306" i="2"/>
  <c r="Z309" i="2"/>
  <c r="Z312" i="2"/>
  <c r="Z315" i="2"/>
  <c r="Z317" i="2"/>
  <c r="Z319" i="2"/>
  <c r="Z322" i="2"/>
  <c r="Z325" i="2"/>
  <c r="Z328" i="2"/>
  <c r="Z331" i="2"/>
  <c r="Z334" i="2"/>
  <c r="Z337" i="2"/>
  <c r="Z340" i="2"/>
  <c r="Z304" i="2"/>
  <c r="Z307" i="2"/>
  <c r="Z310" i="2"/>
  <c r="Z313" i="2"/>
  <c r="Z316" i="2"/>
  <c r="Z318" i="2"/>
  <c r="Z321" i="2"/>
  <c r="Z324" i="2"/>
  <c r="Z327" i="2"/>
  <c r="Z329" i="2"/>
  <c r="Z332" i="2"/>
  <c r="Z335" i="2"/>
  <c r="Z338" i="2"/>
  <c r="Z305" i="2"/>
  <c r="Z308" i="2"/>
  <c r="Z311" i="2"/>
  <c r="Z314" i="2"/>
  <c r="Z320" i="2"/>
  <c r="Z323" i="2"/>
  <c r="Z326" i="2"/>
  <c r="Z330" i="2"/>
  <c r="Z333" i="2"/>
  <c r="Z336" i="2"/>
  <c r="Z339" i="2"/>
  <c r="Z296" i="2"/>
  <c r="Z299" i="2"/>
  <c r="Z301" i="2"/>
  <c r="Z302" i="2"/>
  <c r="Z297" i="2"/>
  <c r="Z300" i="2"/>
  <c r="Z303" i="2"/>
  <c r="Z298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8" i="2"/>
  <c r="Z390" i="2"/>
  <c r="Z392" i="2"/>
  <c r="Z394" i="2"/>
  <c r="Z396" i="2"/>
  <c r="Z399" i="2"/>
  <c r="Z401" i="2"/>
  <c r="Z403" i="2"/>
  <c r="Z342" i="2"/>
  <c r="Z344" i="2"/>
  <c r="Z346" i="2"/>
  <c r="Z348" i="2"/>
  <c r="Z350" i="2"/>
  <c r="Z352" i="2"/>
  <c r="Z354" i="2"/>
  <c r="Z356" i="2"/>
  <c r="Z358" i="2"/>
  <c r="Z360" i="2"/>
  <c r="Z362" i="2"/>
  <c r="Z364" i="2"/>
  <c r="Z366" i="2"/>
  <c r="Z368" i="2"/>
  <c r="Z370" i="2"/>
  <c r="Z372" i="2"/>
  <c r="Z374" i="2"/>
  <c r="Z376" i="2"/>
  <c r="Z378" i="2"/>
  <c r="Z380" i="2"/>
  <c r="Z382" i="2"/>
  <c r="Z384" i="2"/>
  <c r="Z386" i="2"/>
  <c r="Z387" i="2"/>
  <c r="Z389" i="2"/>
  <c r="Z391" i="2"/>
  <c r="Z393" i="2"/>
  <c r="Z395" i="2"/>
  <c r="Z397" i="2"/>
  <c r="Z398" i="2"/>
  <c r="Z400" i="2"/>
  <c r="Z402" i="2"/>
  <c r="Z404" i="2"/>
  <c r="Z405" i="2"/>
  <c r="L342" i="2"/>
  <c r="N342" i="2" s="1"/>
  <c r="K342" i="2"/>
  <c r="M342" i="2" s="1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F26" i="3"/>
  <c r="F30" i="3"/>
  <c r="Z19" i="2"/>
  <c r="Z20" i="2"/>
  <c r="Z21" i="2"/>
  <c r="Z22" i="2"/>
  <c r="Z23" i="2"/>
  <c r="Z24" i="2"/>
  <c r="Z25" i="2"/>
  <c r="Z26" i="2"/>
  <c r="F25" i="3"/>
  <c r="F28" i="3"/>
  <c r="F37" i="3"/>
  <c r="F39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3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AC366" i="2" l="1"/>
  <c r="AD366" i="2"/>
  <c r="AC367" i="2"/>
  <c r="AD367" i="2"/>
  <c r="AD368" i="2"/>
  <c r="AC368" i="2"/>
  <c r="AD369" i="2"/>
  <c r="AC369" i="2"/>
  <c r="AC370" i="2"/>
  <c r="AD370" i="2"/>
  <c r="AC371" i="2"/>
  <c r="AD371" i="2"/>
  <c r="AD372" i="2"/>
  <c r="AC372" i="2"/>
  <c r="AD373" i="2"/>
  <c r="AC373" i="2"/>
  <c r="AD374" i="2"/>
  <c r="AC374" i="2"/>
  <c r="AD375" i="2"/>
  <c r="AC375" i="2"/>
  <c r="AD376" i="2"/>
  <c r="AC376" i="2"/>
  <c r="AD377" i="2"/>
  <c r="AC377" i="2"/>
  <c r="AD378" i="2"/>
  <c r="AC378" i="2"/>
  <c r="AC379" i="2"/>
  <c r="AD379" i="2"/>
  <c r="AC380" i="2"/>
  <c r="AD380" i="2"/>
  <c r="AD381" i="2"/>
  <c r="AC381" i="2"/>
  <c r="AD382" i="2"/>
  <c r="AC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C391" i="2"/>
  <c r="AD391" i="2"/>
  <c r="AC392" i="2"/>
  <c r="AD392" i="2"/>
  <c r="AD393" i="2"/>
  <c r="AC393" i="2"/>
  <c r="AC394" i="2"/>
  <c r="AD394" i="2"/>
  <c r="AC395" i="2"/>
  <c r="AD395" i="2"/>
  <c r="AC396" i="2"/>
  <c r="AD396" i="2"/>
  <c r="AC397" i="2"/>
  <c r="AD397" i="2"/>
  <c r="AC398" i="2"/>
  <c r="AD398" i="2"/>
  <c r="AC399" i="2"/>
  <c r="AD399" i="2"/>
  <c r="AC400" i="2"/>
  <c r="AD400" i="2"/>
  <c r="AD401" i="2"/>
  <c r="AC401" i="2"/>
  <c r="AC402" i="2"/>
  <c r="AD402" i="2"/>
  <c r="AC403" i="2"/>
  <c r="AD403" i="2"/>
  <c r="AD404" i="2"/>
  <c r="AC404" i="2"/>
  <c r="AD405" i="2"/>
  <c r="AC405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5" i="3"/>
  <c r="B35" i="3"/>
  <c r="C32" i="3"/>
  <c r="B32" i="3"/>
  <c r="C31" i="3"/>
  <c r="B31" i="3"/>
  <c r="C34" i="3"/>
  <c r="B34" i="3"/>
  <c r="Q16" i="2" l="1"/>
  <c r="Q17" i="2"/>
  <c r="W16" i="2"/>
  <c r="W17" i="2"/>
  <c r="AA16" i="2" l="1"/>
  <c r="AB16" i="2" s="1"/>
  <c r="AA17" i="2"/>
  <c r="AB17" i="2" s="1"/>
  <c r="E35" i="3"/>
  <c r="D35" i="3"/>
  <c r="E32" i="3"/>
  <c r="D32" i="3"/>
  <c r="E31" i="3"/>
  <c r="D31" i="3"/>
  <c r="E34" i="3"/>
  <c r="D34" i="3"/>
  <c r="O19" i="2" l="1" a="1"/>
  <c r="O18" i="2" a="1"/>
  <c r="P19" i="2" a="1"/>
  <c r="P18" i="2" a="1"/>
  <c r="F31" i="3"/>
  <c r="F35" i="3"/>
  <c r="F32" i="3"/>
  <c r="F34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1" i="2" l="1" a="1"/>
  <c r="O31" i="2" a="1"/>
  <c r="P30" i="2" a="1"/>
  <c r="O30" i="2" a="1"/>
  <c r="W30" i="2" l="1"/>
  <c r="Q31" i="2"/>
  <c r="W31" i="2"/>
  <c r="Q30" i="2"/>
  <c r="AA31" i="2" l="1"/>
  <c r="AB31" i="2" s="1"/>
  <c r="AA30" i="2"/>
  <c r="AB30" i="2" s="1"/>
  <c r="P32" i="2" l="1" a="1"/>
  <c r="P33" i="2" a="1"/>
  <c r="O33" i="2" a="1"/>
  <c r="O32" i="2" a="1"/>
  <c r="W33" i="2" l="1"/>
  <c r="Q33" i="2"/>
  <c r="Q32" i="2"/>
  <c r="W32" i="2"/>
  <c r="AA33" i="2" l="1"/>
  <c r="AB33" i="2" s="1"/>
  <c r="AA32" i="2"/>
  <c r="AB32" i="2" s="1"/>
  <c r="P35" i="2" a="1"/>
  <c r="O35" i="2" a="1"/>
  <c r="O34" i="2" a="1"/>
  <c r="P34" i="2" a="1"/>
  <c r="P36" i="2" a="1"/>
  <c r="O37" i="2" a="1"/>
  <c r="O36" i="2" a="1"/>
  <c r="P37" i="2" a="1"/>
  <c r="W34" i="2" l="1"/>
  <c r="Q35" i="2"/>
  <c r="Q34" i="2"/>
  <c r="W35" i="2"/>
  <c r="Q37" i="2"/>
  <c r="Q36" i="2"/>
  <c r="W37" i="2"/>
  <c r="W36" i="2"/>
  <c r="AA35" i="2" l="1"/>
  <c r="AB35" i="2" s="1"/>
  <c r="AA34" i="2"/>
  <c r="AB34" i="2" s="1"/>
  <c r="AA36" i="2"/>
  <c r="AB36" i="2" s="1"/>
  <c r="AA37" i="2"/>
  <c r="AB37" i="2" s="1"/>
  <c r="P40" i="2" a="1"/>
  <c r="O41" i="2" a="1"/>
  <c r="P41" i="2" a="1"/>
  <c r="O40" i="2" a="1"/>
  <c r="O38" i="2" l="1" a="1"/>
  <c r="P39" i="2" a="1"/>
  <c r="O39" i="2" a="1"/>
  <c r="P38" i="2" a="1"/>
  <c r="W41" i="2"/>
  <c r="W40" i="2"/>
  <c r="Q41" i="2"/>
  <c r="Q40" i="2"/>
  <c r="Q39" i="2" l="1"/>
  <c r="Q38" i="2"/>
  <c r="W38" i="2"/>
  <c r="W39" i="2"/>
  <c r="AA41" i="2"/>
  <c r="AB41" i="2" s="1"/>
  <c r="AA40" i="2"/>
  <c r="AB40" i="2" s="1"/>
  <c r="AA39" i="2" l="1"/>
  <c r="AB39" i="2" s="1"/>
  <c r="AA38" i="2"/>
  <c r="AB38" i="2" s="1"/>
  <c r="O43" i="2" a="1"/>
  <c r="P43" i="2" a="1"/>
  <c r="O42" i="2" a="1"/>
  <c r="P42" i="2" a="1"/>
  <c r="P45" i="2" a="1"/>
  <c r="O44" i="2" a="1"/>
  <c r="P44" i="2" a="1"/>
  <c r="O45" i="2" a="1"/>
  <c r="Q42" i="2" l="1"/>
  <c r="Q43" i="2"/>
  <c r="W42" i="2"/>
  <c r="W43" i="2"/>
  <c r="W44" i="2"/>
  <c r="W45" i="2"/>
  <c r="Q44" i="2"/>
  <c r="Q45" i="2"/>
  <c r="AA42" i="2" l="1"/>
  <c r="AB42" i="2" s="1"/>
  <c r="AA43" i="2"/>
  <c r="AB43" i="2" s="1"/>
  <c r="AA44" i="2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W58" i="2" l="1"/>
  <c r="Q59" i="2"/>
  <c r="W59" i="2"/>
  <c r="Q58" i="2"/>
  <c r="AA58" i="2" l="1"/>
  <c r="AB58" i="2" s="1"/>
  <c r="AA59" i="2"/>
  <c r="AB59" i="2" s="1"/>
  <c r="O61" i="2" l="1" a="1"/>
  <c r="O60" i="2" a="1"/>
  <c r="P60" i="2" a="1"/>
  <c r="P61" i="2" a="1"/>
  <c r="W60" i="2" l="1"/>
  <c r="W61" i="2"/>
  <c r="Q60" i="2"/>
  <c r="Q61" i="2"/>
  <c r="AA60" i="2" l="1"/>
  <c r="AB60" i="2" s="1"/>
  <c r="AA61" i="2"/>
  <c r="AB61" i="2" s="1"/>
  <c r="P63" i="2" l="1" a="1"/>
  <c r="O63" i="2" a="1"/>
  <c r="P62" i="2" a="1"/>
  <c r="O62" i="2" a="1"/>
  <c r="W62" i="2" l="1"/>
  <c r="W63" i="2"/>
  <c r="Q62" i="2"/>
  <c r="Q63" i="2"/>
  <c r="AA62" i="2" l="1"/>
  <c r="AB62" i="2" s="1"/>
  <c r="AA63" i="2"/>
  <c r="AB63" i="2" s="1"/>
  <c r="O65" i="2" a="1"/>
  <c r="P65" i="2" a="1"/>
  <c r="O64" i="2" a="1"/>
  <c r="P64" i="2" a="1"/>
  <c r="P68" i="2" a="1"/>
  <c r="O68" i="2" a="1"/>
  <c r="P69" i="2" a="1"/>
  <c r="O69" i="2" a="1"/>
  <c r="Q65" i="2" l="1"/>
  <c r="W65" i="2"/>
  <c r="W64" i="2"/>
  <c r="Q64" i="2"/>
  <c r="O67" i="2" a="1"/>
  <c r="P67" i="2" a="1"/>
  <c r="O66" i="2" a="1"/>
  <c r="P66" i="2" a="1"/>
  <c r="W68" i="2"/>
  <c r="Q69" i="2"/>
  <c r="W69" i="2"/>
  <c r="Q68" i="2"/>
  <c r="AA65" i="2" l="1"/>
  <c r="AB65" i="2" s="1"/>
  <c r="AA64" i="2"/>
  <c r="AB64" i="2" s="1"/>
  <c r="W66" i="2"/>
  <c r="W67" i="2"/>
  <c r="Q67" i="2"/>
  <c r="Q66" i="2"/>
  <c r="AA69" i="2"/>
  <c r="AB69" i="2" s="1"/>
  <c r="AA68" i="2"/>
  <c r="AB68" i="2" s="1"/>
  <c r="AA67" i="2" l="1"/>
  <c r="AB67" i="2" s="1"/>
  <c r="AA66" i="2"/>
  <c r="AB66" i="2" s="1"/>
  <c r="O70" i="2" a="1"/>
  <c r="P70" i="2" a="1"/>
  <c r="O71" i="2" a="1"/>
  <c r="P71" i="2" a="1"/>
  <c r="W71" i="2" l="1"/>
  <c r="W70" i="2"/>
  <c r="Q70" i="2"/>
  <c r="Q71" i="2"/>
  <c r="AA71" i="2" l="1"/>
  <c r="AB71" i="2" s="1"/>
  <c r="AA70" i="2"/>
  <c r="AB70" i="2" s="1"/>
  <c r="P73" i="2" l="1" a="1"/>
  <c r="O73" i="2" a="1"/>
  <c r="P72" i="2" a="1"/>
  <c r="O72" i="2" a="1"/>
  <c r="P75" i="2" a="1"/>
  <c r="O74" i="2" a="1"/>
  <c r="P74" i="2" a="1"/>
  <c r="O75" i="2" a="1"/>
  <c r="Q72" i="2" l="1"/>
  <c r="Q73" i="2"/>
  <c r="W73" i="2"/>
  <c r="W72" i="2"/>
  <c r="W74" i="2"/>
  <c r="Q75" i="2"/>
  <c r="Q74" i="2"/>
  <c r="W75" i="2"/>
  <c r="AA72" i="2" l="1"/>
  <c r="AB72" i="2" s="1"/>
  <c r="AA73" i="2"/>
  <c r="AB73" i="2" s="1"/>
  <c r="AA74" i="2"/>
  <c r="AB74" i="2" s="1"/>
  <c r="AA75" i="2"/>
  <c r="AB75" i="2" s="1"/>
  <c r="P76" i="2" l="1" a="1"/>
  <c r="P77" i="2" a="1"/>
  <c r="O77" i="2" a="1"/>
  <c r="O76" i="2" a="1"/>
  <c r="Q76" i="2" l="1"/>
  <c r="W77" i="2"/>
  <c r="W76" i="2"/>
  <c r="Q77" i="2"/>
  <c r="AA76" i="2" l="1"/>
  <c r="AB76" i="2" s="1"/>
  <c r="AA77" i="2"/>
  <c r="AB77" i="2" s="1"/>
  <c r="O78" i="2" l="1" a="1"/>
  <c r="O79" i="2" a="1"/>
  <c r="P78" i="2" a="1"/>
  <c r="P79" i="2" a="1"/>
  <c r="W78" i="2" l="1"/>
  <c r="Q79" i="2"/>
  <c r="W79" i="2"/>
  <c r="Q78" i="2"/>
  <c r="AA79" i="2" l="1"/>
  <c r="AB79" i="2" s="1"/>
  <c r="AA78" i="2"/>
  <c r="AB78" i="2" s="1"/>
  <c r="P80" i="2" l="1" a="1"/>
  <c r="P81" i="2" a="1"/>
  <c r="O81" i="2" a="1"/>
  <c r="O80" i="2" a="1"/>
  <c r="Q81" i="2" l="1"/>
  <c r="W80" i="2"/>
  <c r="Q80" i="2"/>
  <c r="W81" i="2"/>
  <c r="AA81" i="2" l="1"/>
  <c r="AB81" i="2" s="1"/>
  <c r="AA80" i="2"/>
  <c r="AB80" i="2" s="1"/>
  <c r="O86" i="2" l="1" a="1"/>
  <c r="P86" i="2" a="1"/>
  <c r="P87" i="2" a="1"/>
  <c r="O87" i="2" a="1"/>
  <c r="P84" i="2" a="1"/>
  <c r="O84" i="2" a="1"/>
  <c r="P83" i="2" a="1"/>
  <c r="P85" i="2" a="1"/>
  <c r="O83" i="2" a="1"/>
  <c r="O82" i="2" a="1"/>
  <c r="P82" i="2" a="1"/>
  <c r="O85" i="2" a="1"/>
  <c r="W87" i="2" l="1"/>
  <c r="W84" i="2"/>
  <c r="Q85" i="2"/>
  <c r="W83" i="2"/>
  <c r="Q86" i="2"/>
  <c r="W82" i="2"/>
  <c r="W86" i="2"/>
  <c r="Q87" i="2"/>
  <c r="Q84" i="2"/>
  <c r="Q83" i="2"/>
  <c r="Q82" i="2"/>
  <c r="W85" i="2"/>
  <c r="O91" i="2" a="1"/>
  <c r="O90" i="2" a="1"/>
  <c r="P90" i="2" a="1"/>
  <c r="AA87" i="2" l="1"/>
  <c r="AB87" i="2" s="1"/>
  <c r="P89" i="2" a="1"/>
  <c r="P88" i="2" a="1"/>
  <c r="O89" i="2" a="1"/>
  <c r="O88" i="2" a="1"/>
  <c r="AA86" i="2"/>
  <c r="AB86" i="2" s="1"/>
  <c r="AA85" i="2"/>
  <c r="AB85" i="2" s="1"/>
  <c r="AA84" i="2"/>
  <c r="AB84" i="2" s="1"/>
  <c r="O92" i="2" s="1" a="1"/>
  <c r="AA83" i="2"/>
  <c r="AB83" i="2" s="1"/>
  <c r="AA82" i="2"/>
  <c r="AB82" i="2" s="1"/>
  <c r="P93" i="2" a="1"/>
  <c r="P91" i="2" a="1"/>
  <c r="Q90" i="2"/>
  <c r="W90" i="2"/>
  <c r="Q88" i="2" l="1"/>
  <c r="W89" i="2"/>
  <c r="Q89" i="2"/>
  <c r="W88" i="2"/>
  <c r="O93" i="2" a="1"/>
  <c r="P92" i="2" a="1"/>
  <c r="W91" i="2"/>
  <c r="Q91" i="2"/>
  <c r="AA90" i="2"/>
  <c r="AB90" i="2" s="1"/>
  <c r="AA88" i="2" l="1"/>
  <c r="AB88" i="2" s="1"/>
  <c r="AA89" i="2"/>
  <c r="AB89" i="2" s="1"/>
  <c r="AA91" i="2"/>
  <c r="AB91" i="2" s="1"/>
  <c r="Q92" i="2"/>
  <c r="W92" i="2"/>
  <c r="W93" i="2"/>
  <c r="Q93" i="2"/>
  <c r="AA92" i="2" l="1"/>
  <c r="AB92" i="2" s="1"/>
  <c r="AA93" i="2"/>
  <c r="AB93" i="2" s="1"/>
  <c r="O96" i="2" a="1"/>
  <c r="P97" i="2" a="1"/>
  <c r="O97" i="2" a="1"/>
  <c r="P96" i="2" a="1"/>
  <c r="O94" i="2" l="1" a="1"/>
  <c r="P94" i="2" a="1"/>
  <c r="O95" i="2" a="1"/>
  <c r="P95" i="2" a="1"/>
  <c r="Q97" i="2"/>
  <c r="W96" i="2"/>
  <c r="W97" i="2"/>
  <c r="Q96" i="2"/>
  <c r="W95" i="2" l="1"/>
  <c r="W94" i="2"/>
  <c r="Q94" i="2"/>
  <c r="Q95" i="2"/>
  <c r="AA97" i="2"/>
  <c r="AB97" i="2" s="1"/>
  <c r="AA96" i="2"/>
  <c r="AB96" i="2" s="1"/>
  <c r="AA94" i="2" l="1"/>
  <c r="AB94" i="2" s="1"/>
  <c r="AA95" i="2"/>
  <c r="AB95" i="2" s="1"/>
  <c r="O98" i="2" a="1"/>
  <c r="O99" i="2" a="1"/>
  <c r="P98" i="2" a="1"/>
  <c r="P99" i="2" a="1"/>
  <c r="O101" i="2" a="1"/>
  <c r="P100" i="2" a="1"/>
  <c r="P101" i="2" a="1"/>
  <c r="O100" i="2" a="1"/>
  <c r="Q98" i="2" l="1"/>
  <c r="W98" i="2"/>
  <c r="W99" i="2"/>
  <c r="Q99" i="2"/>
  <c r="W101" i="2"/>
  <c r="Q100" i="2"/>
  <c r="Q101" i="2"/>
  <c r="W100" i="2"/>
  <c r="P102" i="2" a="1"/>
  <c r="O102" i="2" a="1"/>
  <c r="P103" i="2" a="1"/>
  <c r="O103" i="2" a="1"/>
  <c r="AA98" i="2" l="1"/>
  <c r="AB98" i="2" s="1"/>
  <c r="AA99" i="2"/>
  <c r="AB99" i="2" s="1"/>
  <c r="AA101" i="2"/>
  <c r="AB101" i="2" s="1"/>
  <c r="AA100" i="2"/>
  <c r="AB100" i="2" s="1"/>
  <c r="Q103" i="2"/>
  <c r="W102" i="2"/>
  <c r="Q102" i="2"/>
  <c r="W103" i="2"/>
  <c r="AA102" i="2" l="1"/>
  <c r="AB102" i="2" s="1"/>
  <c r="AA103" i="2"/>
  <c r="AB103" i="2" s="1"/>
  <c r="P104" i="2" l="1" a="1"/>
  <c r="O106" i="2" a="1"/>
  <c r="O107" i="2" a="1"/>
  <c r="P106" i="2" a="1"/>
  <c r="P107" i="2" a="1"/>
  <c r="O105" i="2" a="1"/>
  <c r="P105" i="2" a="1"/>
  <c r="O104" i="2" a="1"/>
  <c r="Q104" i="2" l="1"/>
  <c r="W106" i="2"/>
  <c r="W107" i="2"/>
  <c r="W105" i="2"/>
  <c r="W104" i="2"/>
  <c r="Q106" i="2"/>
  <c r="Q107" i="2"/>
  <c r="Q105" i="2"/>
  <c r="AA104" i="2" l="1"/>
  <c r="AB104" i="2" s="1"/>
  <c r="AA106" i="2"/>
  <c r="AB106" i="2" s="1"/>
  <c r="AA107" i="2"/>
  <c r="AB107" i="2" s="1"/>
  <c r="AA105" i="2"/>
  <c r="AB105" i="2" s="1"/>
  <c r="O108" i="2" a="1"/>
  <c r="P109" i="2" a="1"/>
  <c r="P108" i="2" a="1"/>
  <c r="O109" i="2" a="1"/>
  <c r="Q109" i="2" l="1"/>
  <c r="W108" i="2"/>
  <c r="Q108" i="2"/>
  <c r="W109" i="2"/>
  <c r="AA108" i="2" l="1"/>
  <c r="AB108" i="2" s="1"/>
  <c r="AA109" i="2"/>
  <c r="AB109" i="2" s="1"/>
  <c r="P110" i="2" l="1" a="1"/>
  <c r="O110" i="2" a="1"/>
  <c r="O111" i="2" a="1"/>
  <c r="P111" i="2" a="1"/>
  <c r="W110" i="2" l="1"/>
  <c r="Q111" i="2"/>
  <c r="Q110" i="2"/>
  <c r="W111" i="2"/>
  <c r="AA110" i="2" l="1"/>
  <c r="AB110" i="2" s="1"/>
  <c r="AA111" i="2"/>
  <c r="AB111" i="2" s="1"/>
  <c r="O114" i="2" a="1"/>
  <c r="P114" i="2" a="1"/>
  <c r="P115" i="2" a="1"/>
  <c r="O115" i="2" a="1"/>
  <c r="O113" i="2" l="1" a="1"/>
  <c r="P112" i="2" a="1"/>
  <c r="O112" i="2" a="1"/>
  <c r="P113" i="2" a="1"/>
  <c r="W115" i="2"/>
  <c r="W114" i="2"/>
  <c r="Q114" i="2"/>
  <c r="Q115" i="2"/>
  <c r="W112" i="2" l="1"/>
  <c r="Q113" i="2"/>
  <c r="W113" i="2"/>
  <c r="Q112" i="2"/>
  <c r="AA115" i="2"/>
  <c r="AB115" i="2" s="1"/>
  <c r="AA114" i="2"/>
  <c r="AB114" i="2" s="1"/>
  <c r="O116" i="2" a="1"/>
  <c r="P116" i="2" a="1"/>
  <c r="P117" i="2" a="1"/>
  <c r="O117" i="2" a="1"/>
  <c r="O119" i="2" a="1"/>
  <c r="P119" i="2" a="1"/>
  <c r="O118" i="2" a="1"/>
  <c r="P118" i="2" a="1"/>
  <c r="AA112" i="2" l="1"/>
  <c r="AB112" i="2" s="1"/>
  <c r="AA113" i="2"/>
  <c r="AB113" i="2" s="1"/>
  <c r="W116" i="2"/>
  <c r="Q117" i="2"/>
  <c r="W118" i="2"/>
  <c r="W119" i="2"/>
  <c r="Q116" i="2"/>
  <c r="W117" i="2"/>
  <c r="Q119" i="2"/>
  <c r="Q118" i="2"/>
  <c r="AA116" i="2" l="1"/>
  <c r="AB116" i="2" s="1"/>
  <c r="AA119" i="2"/>
  <c r="AB119" i="2" s="1"/>
  <c r="AA117" i="2"/>
  <c r="AB117" i="2" s="1"/>
  <c r="AA118" i="2"/>
  <c r="AB118" i="2" s="1"/>
  <c r="O123" i="2" a="1"/>
  <c r="P122" i="2" a="1"/>
  <c r="P123" i="2" a="1"/>
  <c r="O122" i="2" a="1"/>
  <c r="O120" i="2" l="1" a="1"/>
  <c r="P120" i="2" a="1"/>
  <c r="O121" i="2" a="1"/>
  <c r="P121" i="2" a="1"/>
  <c r="Q122" i="2"/>
  <c r="Q123" i="2"/>
  <c r="W123" i="2"/>
  <c r="W122" i="2"/>
  <c r="Q121" i="2" l="1"/>
  <c r="W120" i="2"/>
  <c r="Q120" i="2"/>
  <c r="W121" i="2"/>
  <c r="AA123" i="2"/>
  <c r="AB123" i="2" s="1"/>
  <c r="AA122" i="2"/>
  <c r="AB122" i="2" s="1"/>
  <c r="AA121" i="2" l="1"/>
  <c r="AB121" i="2" s="1"/>
  <c r="AA120" i="2"/>
  <c r="AB120" i="2" s="1"/>
  <c r="P124" i="2" a="1"/>
  <c r="O124" i="2" a="1"/>
  <c r="P125" i="2" a="1"/>
  <c r="O125" i="2" a="1"/>
  <c r="W124" i="2" l="1"/>
  <c r="W125" i="2"/>
  <c r="Q124" i="2"/>
  <c r="Q125" i="2"/>
  <c r="AA125" i="2" l="1"/>
  <c r="AB125" i="2" s="1"/>
  <c r="AA124" i="2"/>
  <c r="AB124" i="2" s="1"/>
  <c r="O126" i="2" l="1" a="1"/>
  <c r="P127" i="2" a="1"/>
  <c r="O127" i="2" a="1"/>
  <c r="P126" i="2" a="1"/>
  <c r="W126" i="2" l="1"/>
  <c r="W127" i="2"/>
  <c r="Q127" i="2"/>
  <c r="Q126" i="2"/>
  <c r="AA126" i="2" l="1"/>
  <c r="AB126" i="2" s="1"/>
  <c r="AA127" i="2"/>
  <c r="AB127" i="2" s="1"/>
  <c r="O131" i="2" a="1"/>
  <c r="O130" i="2" a="1"/>
  <c r="P130" i="2" a="1"/>
  <c r="P131" i="2" a="1"/>
  <c r="P129" i="2" l="1" a="1"/>
  <c r="P128" i="2" a="1"/>
  <c r="O128" i="2" a="1"/>
  <c r="O129" i="2" a="1"/>
  <c r="W131" i="2"/>
  <c r="W130" i="2"/>
  <c r="Q131" i="2"/>
  <c r="Q130" i="2"/>
  <c r="W129" i="2" l="1"/>
  <c r="Q128" i="2"/>
  <c r="Q129" i="2"/>
  <c r="W128" i="2"/>
  <c r="AA131" i="2"/>
  <c r="AB131" i="2" s="1"/>
  <c r="AA130" i="2"/>
  <c r="AB130" i="2" s="1"/>
  <c r="P137" i="2" a="1"/>
  <c r="P139" i="2" a="1"/>
  <c r="O137" i="2" a="1"/>
  <c r="O138" i="2" a="1"/>
  <c r="P138" i="2" a="1"/>
  <c r="O136" i="2" a="1"/>
  <c r="O139" i="2" a="1"/>
  <c r="P136" i="2" a="1"/>
  <c r="AA129" i="2" l="1"/>
  <c r="AB129" i="2" s="1"/>
  <c r="AA128" i="2"/>
  <c r="AB128" i="2" s="1"/>
  <c r="P134" i="2" a="1"/>
  <c r="O135" i="2" a="1"/>
  <c r="P135" i="2" a="1"/>
  <c r="O134" i="2" a="1"/>
  <c r="O133" i="2" a="1"/>
  <c r="P133" i="2" a="1"/>
  <c r="O132" i="2" a="1"/>
  <c r="P132" i="2" a="1"/>
  <c r="W137" i="2"/>
  <c r="Q138" i="2"/>
  <c r="W136" i="2"/>
  <c r="Q139" i="2"/>
  <c r="Q137" i="2"/>
  <c r="W138" i="2"/>
  <c r="W139" i="2"/>
  <c r="Q136" i="2"/>
  <c r="W134" i="2" l="1"/>
  <c r="W135" i="2"/>
  <c r="Q133" i="2"/>
  <c r="Q132" i="2"/>
  <c r="Q134" i="2"/>
  <c r="Q135" i="2"/>
  <c r="W133" i="2"/>
  <c r="W132" i="2"/>
  <c r="AA137" i="2"/>
  <c r="AB137" i="2" s="1"/>
  <c r="AA138" i="2"/>
  <c r="AB138" i="2" s="1"/>
  <c r="AA136" i="2"/>
  <c r="AB136" i="2" s="1"/>
  <c r="AA139" i="2"/>
  <c r="AB139" i="2" s="1"/>
  <c r="AA133" i="2" l="1"/>
  <c r="AB133" i="2" s="1"/>
  <c r="AA134" i="2"/>
  <c r="AB134" i="2" s="1"/>
  <c r="AA135" i="2"/>
  <c r="AB135" i="2" s="1"/>
  <c r="AA132" i="2"/>
  <c r="AB132" i="2" s="1"/>
  <c r="P140" i="2" a="1"/>
  <c r="O140" i="2" a="1"/>
  <c r="P141" i="2" a="1"/>
  <c r="O141" i="2" a="1"/>
  <c r="P143" i="2" a="1"/>
  <c r="O142" i="2" a="1"/>
  <c r="O143" i="2" a="1"/>
  <c r="P142" i="2" a="1"/>
  <c r="W140" i="2" l="1"/>
  <c r="W141" i="2"/>
  <c r="Q140" i="2"/>
  <c r="Q141" i="2"/>
  <c r="W143" i="2"/>
  <c r="Q143" i="2"/>
  <c r="W142" i="2"/>
  <c r="Q142" i="2"/>
  <c r="AA140" i="2" l="1"/>
  <c r="AB140" i="2" s="1"/>
  <c r="AA141" i="2"/>
  <c r="AB141" i="2" s="1"/>
  <c r="AA143" i="2"/>
  <c r="AB143" i="2" s="1"/>
  <c r="AA142" i="2"/>
  <c r="AB142" i="2" s="1"/>
  <c r="P147" i="2" l="1" a="1"/>
  <c r="O146" i="2" a="1"/>
  <c r="O145" i="2" a="1"/>
  <c r="O147" i="2" a="1"/>
  <c r="P146" i="2" a="1"/>
  <c r="P145" i="2" a="1"/>
  <c r="O144" i="2" a="1"/>
  <c r="P144" i="2" a="1"/>
  <c r="W146" i="2" l="1"/>
  <c r="Q145" i="2"/>
  <c r="W144" i="2"/>
  <c r="Q147" i="2"/>
  <c r="W145" i="2"/>
  <c r="W147" i="2"/>
  <c r="Q146" i="2"/>
  <c r="Q144" i="2"/>
  <c r="AA144" i="2" l="1"/>
  <c r="AB144" i="2" s="1"/>
  <c r="AA146" i="2"/>
  <c r="AB146" i="2" s="1"/>
  <c r="AA145" i="2"/>
  <c r="AB145" i="2" s="1"/>
  <c r="AA147" i="2"/>
  <c r="AB147" i="2" s="1"/>
  <c r="O151" i="2" a="1"/>
  <c r="P148" i="2" a="1"/>
  <c r="P150" i="2" a="1"/>
  <c r="P149" i="2" a="1"/>
  <c r="O148" i="2" a="1"/>
  <c r="P151" i="2" a="1"/>
  <c r="O150" i="2" a="1"/>
  <c r="O149" i="2" a="1"/>
  <c r="O152" i="2" a="1"/>
  <c r="P152" i="2" a="1"/>
  <c r="O153" i="2" a="1"/>
  <c r="P153" i="2" a="1"/>
  <c r="Q151" i="2" l="1"/>
  <c r="Q153" i="2"/>
  <c r="W152" i="2"/>
  <c r="Q149" i="2"/>
  <c r="Q148" i="2"/>
  <c r="W150" i="2"/>
  <c r="W151" i="2"/>
  <c r="Q150" i="2"/>
  <c r="W148" i="2"/>
  <c r="W149" i="2"/>
  <c r="Q152" i="2"/>
  <c r="W153" i="2"/>
  <c r="AA151" i="2" l="1"/>
  <c r="AB151" i="2" s="1"/>
  <c r="AA153" i="2"/>
  <c r="AB153" i="2" s="1"/>
  <c r="AA152" i="2"/>
  <c r="AB152" i="2" s="1"/>
  <c r="AA148" i="2"/>
  <c r="AB148" i="2" s="1"/>
  <c r="AA149" i="2"/>
  <c r="AB149" i="2" s="1"/>
  <c r="AA150" i="2"/>
  <c r="AB150" i="2" s="1"/>
  <c r="O154" i="2" a="1"/>
  <c r="P154" i="2" a="1"/>
  <c r="O155" i="2" a="1"/>
  <c r="P155" i="2" a="1"/>
  <c r="O156" i="2" a="1"/>
  <c r="P156" i="2" a="1"/>
  <c r="P158" i="2" a="1"/>
  <c r="O157" i="2" a="1"/>
  <c r="P157" i="2" a="1"/>
  <c r="P159" i="2" a="1"/>
  <c r="O159" i="2" a="1"/>
  <c r="W155" i="2" l="1"/>
  <c r="W154" i="2"/>
  <c r="Q154" i="2"/>
  <c r="Q155" i="2"/>
  <c r="W157" i="2"/>
  <c r="W156" i="2"/>
  <c r="W159" i="2"/>
  <c r="Q157" i="2"/>
  <c r="Q159" i="2"/>
  <c r="Q156" i="2"/>
  <c r="AA155" i="2" l="1"/>
  <c r="AB155" i="2" s="1"/>
  <c r="AA154" i="2"/>
  <c r="AB154" i="2" s="1"/>
  <c r="O158" i="2" s="1" a="1"/>
  <c r="AA157" i="2"/>
  <c r="AB157" i="2" s="1"/>
  <c r="AA156" i="2"/>
  <c r="AB156" i="2" s="1"/>
  <c r="AA159" i="2"/>
  <c r="AB159" i="2" s="1"/>
  <c r="P160" i="2" a="1"/>
  <c r="P161" i="2" a="1"/>
  <c r="O160" i="2" a="1"/>
  <c r="O161" i="2" a="1"/>
  <c r="W158" i="2" l="1"/>
  <c r="Q158" i="2"/>
  <c r="W160" i="2"/>
  <c r="Q161" i="2"/>
  <c r="W161" i="2"/>
  <c r="Q160" i="2"/>
  <c r="AA158" i="2" l="1"/>
  <c r="AB158" i="2" s="1"/>
  <c r="AA160" i="2"/>
  <c r="AB160" i="2" s="1"/>
  <c r="AA161" i="2"/>
  <c r="AB161" i="2" s="1"/>
  <c r="O165" i="2" l="1" a="1"/>
  <c r="P164" i="2" a="1"/>
  <c r="P165" i="2" a="1"/>
  <c r="O164" i="2" a="1"/>
  <c r="O162" i="2" a="1"/>
  <c r="P163" i="2" a="1"/>
  <c r="O163" i="2" a="1"/>
  <c r="P162" i="2" a="1"/>
  <c r="W165" i="2" l="1"/>
  <c r="Q163" i="2"/>
  <c r="Q164" i="2"/>
  <c r="W162" i="2"/>
  <c r="Q165" i="2"/>
  <c r="W164" i="2"/>
  <c r="W163" i="2"/>
  <c r="Q162" i="2"/>
  <c r="AA165" i="2" l="1"/>
  <c r="AB165" i="2" s="1"/>
  <c r="AA164" i="2"/>
  <c r="AB164" i="2" s="1"/>
  <c r="AA163" i="2"/>
  <c r="AB163" i="2" s="1"/>
  <c r="AA162" i="2"/>
  <c r="AB162" i="2" s="1"/>
  <c r="P168" i="2" a="1"/>
  <c r="O169" i="2" a="1"/>
  <c r="O168" i="2" a="1"/>
  <c r="P169" i="2" a="1"/>
  <c r="O166" i="2" a="1"/>
  <c r="P166" i="2" a="1"/>
  <c r="P167" i="2" a="1"/>
  <c r="O167" i="2" a="1"/>
  <c r="P170" i="2" a="1"/>
  <c r="O171" i="2" a="1"/>
  <c r="O170" i="2" a="1"/>
  <c r="P171" i="2" a="1"/>
  <c r="Q166" i="2" l="1"/>
  <c r="Q168" i="2"/>
  <c r="W169" i="2"/>
  <c r="W167" i="2"/>
  <c r="W168" i="2"/>
  <c r="Q169" i="2"/>
  <c r="W166" i="2"/>
  <c r="Q167" i="2"/>
  <c r="W170" i="2"/>
  <c r="Q170" i="2"/>
  <c r="Q171" i="2"/>
  <c r="W171" i="2"/>
  <c r="AA168" i="2" l="1"/>
  <c r="AB168" i="2" s="1"/>
  <c r="AA166" i="2"/>
  <c r="AB166" i="2" s="1"/>
  <c r="AA169" i="2"/>
  <c r="AB169" i="2" s="1"/>
  <c r="AA167" i="2"/>
  <c r="AB167" i="2" s="1"/>
  <c r="AA171" i="2"/>
  <c r="AB171" i="2" s="1"/>
  <c r="AA170" i="2"/>
  <c r="AB170" i="2" s="1"/>
  <c r="O176" i="2" l="1" a="1"/>
  <c r="O175" i="2" a="1"/>
  <c r="O172" i="2" a="1"/>
  <c r="P177" i="2" a="1"/>
  <c r="P173" i="2" a="1"/>
  <c r="P174" i="2" a="1"/>
  <c r="P172" i="2" a="1"/>
  <c r="O173" i="2" a="1"/>
  <c r="O177" i="2" a="1"/>
  <c r="P175" i="2" a="1"/>
  <c r="O174" i="2" a="1"/>
  <c r="P176" i="2" a="1"/>
  <c r="W174" i="2" l="1"/>
  <c r="W177" i="2"/>
  <c r="Q172" i="2"/>
  <c r="Q173" i="2"/>
  <c r="Q175" i="2"/>
  <c r="Q176" i="2"/>
  <c r="W175" i="2"/>
  <c r="W172" i="2"/>
  <c r="Q174" i="2"/>
  <c r="W173" i="2"/>
  <c r="W176" i="2"/>
  <c r="Q177" i="2"/>
  <c r="AA174" i="2" l="1"/>
  <c r="AB174" i="2" s="1"/>
  <c r="AA175" i="2"/>
  <c r="AB175" i="2" s="1"/>
  <c r="AA173" i="2"/>
  <c r="AB173" i="2" s="1"/>
  <c r="AA172" i="2"/>
  <c r="AB172" i="2" s="1"/>
  <c r="AA177" i="2"/>
  <c r="AB177" i="2" s="1"/>
  <c r="AA176" i="2"/>
  <c r="AB176" i="2" s="1"/>
  <c r="O178" i="2" a="1"/>
  <c r="P179" i="2" a="1"/>
  <c r="O179" i="2" a="1"/>
  <c r="P178" i="2" a="1"/>
  <c r="O180" i="2" a="1"/>
  <c r="P181" i="2" a="1"/>
  <c r="O181" i="2" a="1"/>
  <c r="P180" i="2" a="1"/>
  <c r="W179" i="2" l="1"/>
  <c r="W178" i="2"/>
  <c r="Q180" i="2"/>
  <c r="W181" i="2"/>
  <c r="Q179" i="2"/>
  <c r="Q178" i="2"/>
  <c r="W180" i="2"/>
  <c r="Q181" i="2"/>
  <c r="P188" i="2" a="1"/>
  <c r="O189" i="2" a="1"/>
  <c r="O188" i="2" a="1"/>
  <c r="P187" i="2" a="1"/>
  <c r="O186" i="2" a="1"/>
  <c r="P186" i="2" a="1"/>
  <c r="O183" i="2" a="1"/>
  <c r="O184" i="2" a="1"/>
  <c r="P183" i="2" a="1"/>
  <c r="P182" i="2" a="1"/>
  <c r="O187" i="2" a="1"/>
  <c r="O185" i="2" a="1"/>
  <c r="P184" i="2" a="1"/>
  <c r="O182" i="2" a="1"/>
  <c r="P185" i="2" a="1"/>
  <c r="W187" i="2" l="1"/>
  <c r="AA179" i="2"/>
  <c r="AB179" i="2" s="1"/>
  <c r="AA178" i="2"/>
  <c r="AB178" i="2" s="1"/>
  <c r="AA180" i="2"/>
  <c r="AB180" i="2" s="1"/>
  <c r="AA181" i="2"/>
  <c r="AB181" i="2" s="1"/>
  <c r="W184" i="2"/>
  <c r="W182" i="2"/>
  <c r="Q185" i="2"/>
  <c r="Q188" i="2"/>
  <c r="W186" i="2"/>
  <c r="W183" i="2"/>
  <c r="Q187" i="2"/>
  <c r="Q182" i="2"/>
  <c r="W188" i="2"/>
  <c r="Q186" i="2"/>
  <c r="Q183" i="2"/>
  <c r="W185" i="2"/>
  <c r="Q184" i="2"/>
  <c r="AA187" i="2" l="1"/>
  <c r="AB187" i="2" s="1"/>
  <c r="AA185" i="2"/>
  <c r="AB185" i="2" s="1"/>
  <c r="P189" i="2" s="1" a="1"/>
  <c r="AA184" i="2"/>
  <c r="AB184" i="2" s="1"/>
  <c r="AA182" i="2"/>
  <c r="AB182" i="2" s="1"/>
  <c r="AA188" i="2"/>
  <c r="AB188" i="2" s="1"/>
  <c r="AA186" i="2"/>
  <c r="AB186" i="2" s="1"/>
  <c r="AA183" i="2"/>
  <c r="AB183" i="2" s="1"/>
  <c r="W189" i="2" l="1"/>
  <c r="Q189" i="2"/>
  <c r="AA189" i="2" l="1"/>
  <c r="AB189" i="2" s="1"/>
  <c r="O191" i="2" a="1"/>
  <c r="P190" i="2" a="1"/>
  <c r="O190" i="2" a="1"/>
  <c r="P191" i="2" a="1"/>
  <c r="P193" i="2" a="1"/>
  <c r="P192" i="2" a="1"/>
  <c r="O193" i="2" a="1"/>
  <c r="O192" i="2" a="1"/>
  <c r="Q193" i="2" l="1"/>
  <c r="Q190" i="2"/>
  <c r="Q191" i="2"/>
  <c r="W193" i="2"/>
  <c r="W192" i="2"/>
  <c r="O199" i="2" a="1"/>
  <c r="O198" i="2" a="1"/>
  <c r="P197" i="2" a="1"/>
  <c r="P201" i="2" a="1"/>
  <c r="P200" i="2" a="1"/>
  <c r="O196" i="2" a="1"/>
  <c r="P199" i="2" a="1"/>
  <c r="O200" i="2" a="1"/>
  <c r="P196" i="2" a="1"/>
  <c r="O197" i="2" a="1"/>
  <c r="O201" i="2" a="1"/>
  <c r="W201" i="2" s="1"/>
  <c r="P198" i="2" a="1"/>
  <c r="P195" i="2" a="1"/>
  <c r="O195" i="2" a="1"/>
  <c r="P194" i="2" a="1"/>
  <c r="O194" i="2" a="1"/>
  <c r="W191" i="2"/>
  <c r="AA191" i="2" s="1"/>
  <c r="AB191" i="2" s="1"/>
  <c r="W190" i="2"/>
  <c r="Q192" i="2"/>
  <c r="AA193" i="2" l="1"/>
  <c r="AB193" i="2" s="1"/>
  <c r="P203" i="2" s="1" a="1"/>
  <c r="AA190" i="2"/>
  <c r="AB190" i="2" s="1"/>
  <c r="Q199" i="2"/>
  <c r="W200" i="2"/>
  <c r="Q198" i="2"/>
  <c r="W195" i="2"/>
  <c r="AA192" i="2"/>
  <c r="AB192" i="2" s="1"/>
  <c r="W196" i="2"/>
  <c r="W197" i="2"/>
  <c r="Q194" i="2"/>
  <c r="Q197" i="2"/>
  <c r="Q200" i="2"/>
  <c r="Q196" i="2"/>
  <c r="Q195" i="2"/>
  <c r="W194" i="2"/>
  <c r="W199" i="2"/>
  <c r="Q201" i="2"/>
  <c r="AA201" i="2" s="1"/>
  <c r="AB201" i="2" s="1"/>
  <c r="W198" i="2"/>
  <c r="O205" i="2" a="1"/>
  <c r="P205" i="2" a="1"/>
  <c r="O204" i="2" a="1"/>
  <c r="P204" i="2" a="1"/>
  <c r="P202" i="2" a="1"/>
  <c r="O202" i="2" a="1"/>
  <c r="O203" i="2" a="1"/>
  <c r="AA197" i="2" l="1"/>
  <c r="AB197" i="2" s="1"/>
  <c r="AA200" i="2"/>
  <c r="AB200" i="2" s="1"/>
  <c r="AA195" i="2"/>
  <c r="AB195" i="2" s="1"/>
  <c r="AA199" i="2"/>
  <c r="AB199" i="2" s="1"/>
  <c r="AA198" i="2"/>
  <c r="AB198" i="2" s="1"/>
  <c r="AA196" i="2"/>
  <c r="AB196" i="2" s="1"/>
  <c r="AA194" i="2"/>
  <c r="AB194" i="2" s="1"/>
  <c r="W204" i="2"/>
  <c r="Q202" i="2"/>
  <c r="W205" i="2"/>
  <c r="Q203" i="2"/>
  <c r="Q205" i="2"/>
  <c r="Q204" i="2"/>
  <c r="W202" i="2"/>
  <c r="W203" i="2"/>
  <c r="AA202" i="2" l="1"/>
  <c r="AB202" i="2" s="1"/>
  <c r="AA205" i="2"/>
  <c r="AB205" i="2" s="1"/>
  <c r="AA204" i="2"/>
  <c r="AB204" i="2" s="1"/>
  <c r="AA203" i="2"/>
  <c r="AB203" i="2" s="1"/>
  <c r="P207" i="2" a="1"/>
  <c r="P206" i="2" a="1"/>
  <c r="O206" i="2" a="1"/>
  <c r="O207" i="2" a="1"/>
  <c r="O210" i="2" a="1"/>
  <c r="O211" i="2" a="1"/>
  <c r="P211" i="2" a="1"/>
  <c r="P210" i="2" a="1"/>
  <c r="P209" i="2" a="1"/>
  <c r="P208" i="2" a="1"/>
  <c r="O209" i="2" a="1"/>
  <c r="O208" i="2" a="1"/>
  <c r="Q206" i="2" l="1"/>
  <c r="Q207" i="2"/>
  <c r="W206" i="2"/>
  <c r="W207" i="2"/>
  <c r="W211" i="2"/>
  <c r="Q208" i="2"/>
  <c r="W209" i="2"/>
  <c r="W210" i="2"/>
  <c r="Q211" i="2"/>
  <c r="Q209" i="2"/>
  <c r="Q210" i="2"/>
  <c r="W208" i="2"/>
  <c r="AA206" i="2" l="1"/>
  <c r="AB206" i="2" s="1"/>
  <c r="AA207" i="2"/>
  <c r="AB207" i="2" s="1"/>
  <c r="AA211" i="2"/>
  <c r="AB211" i="2" s="1"/>
  <c r="AA208" i="2"/>
  <c r="AB208" i="2" s="1"/>
  <c r="AA209" i="2"/>
  <c r="AB209" i="2" s="1"/>
  <c r="AA210" i="2"/>
  <c r="AB210" i="2" s="1"/>
  <c r="P212" i="2" l="1" a="1"/>
  <c r="P213" i="2" a="1"/>
  <c r="O212" i="2" a="1"/>
  <c r="O213" i="2" a="1"/>
  <c r="W212" i="2" l="1"/>
  <c r="W213" i="2"/>
  <c r="Q212" i="2"/>
  <c r="Q213" i="2"/>
  <c r="AA212" i="2" l="1"/>
  <c r="AB212" i="2" s="1"/>
  <c r="AA213" i="2"/>
  <c r="AB213" i="2" s="1"/>
  <c r="P217" i="2" a="1"/>
  <c r="O216" i="2" a="1"/>
  <c r="O214" i="2" a="1"/>
  <c r="P215" i="2" a="1"/>
  <c r="P214" i="2" a="1"/>
  <c r="P216" i="2" a="1"/>
  <c r="O217" i="2" a="1"/>
  <c r="O215" i="2" a="1"/>
  <c r="O220" i="2" a="1"/>
  <c r="P221" i="2" a="1"/>
  <c r="P220" i="2" a="1"/>
  <c r="O221" i="2" a="1"/>
  <c r="W216" i="2" l="1"/>
  <c r="Q215" i="2"/>
  <c r="Q214" i="2"/>
  <c r="W217" i="2"/>
  <c r="Q217" i="2"/>
  <c r="W214" i="2"/>
  <c r="Q216" i="2"/>
  <c r="W215" i="2"/>
  <c r="P218" i="2" a="1"/>
  <c r="O219" i="2" a="1"/>
  <c r="P219" i="2" a="1"/>
  <c r="O218" i="2" a="1"/>
  <c r="W220" i="2"/>
  <c r="Q221" i="2"/>
  <c r="W221" i="2"/>
  <c r="Q220" i="2"/>
  <c r="AA217" i="2" l="1"/>
  <c r="AB217" i="2" s="1"/>
  <c r="AA214" i="2"/>
  <c r="AB214" i="2" s="1"/>
  <c r="AA216" i="2"/>
  <c r="AB216" i="2" s="1"/>
  <c r="AA215" i="2"/>
  <c r="AB215" i="2" s="1"/>
  <c r="W219" i="2"/>
  <c r="W218" i="2"/>
  <c r="Q219" i="2"/>
  <c r="Q218" i="2"/>
  <c r="AA221" i="2"/>
  <c r="AB221" i="2" s="1"/>
  <c r="AA220" i="2"/>
  <c r="AB220" i="2" s="1"/>
  <c r="O224" i="2" a="1"/>
  <c r="P225" i="2" a="1"/>
  <c r="O225" i="2" a="1"/>
  <c r="P224" i="2" a="1"/>
  <c r="AA219" i="2" l="1"/>
  <c r="AB219" i="2" s="1"/>
  <c r="AA218" i="2"/>
  <c r="AB218" i="2" s="1"/>
  <c r="O223" i="2" a="1"/>
  <c r="P222" i="2" a="1"/>
  <c r="O222" i="2" a="1"/>
  <c r="P223" i="2" a="1"/>
  <c r="W224" i="2"/>
  <c r="W225" i="2"/>
  <c r="Q225" i="2"/>
  <c r="Q224" i="2"/>
  <c r="W222" i="2" l="1"/>
  <c r="W223" i="2"/>
  <c r="Q222" i="2"/>
  <c r="Q223" i="2"/>
  <c r="AA225" i="2"/>
  <c r="AB225" i="2" s="1"/>
  <c r="AA224" i="2"/>
  <c r="AB224" i="2" s="1"/>
  <c r="P227" i="2" l="1" a="1"/>
  <c r="O227" i="2" a="1"/>
  <c r="O226" i="2" a="1"/>
  <c r="P226" i="2" a="1"/>
  <c r="AA222" i="2"/>
  <c r="AB222" i="2" s="1"/>
  <c r="AA223" i="2"/>
  <c r="AB223" i="2" s="1"/>
  <c r="Q226" i="2" l="1"/>
  <c r="Q227" i="2"/>
  <c r="W227" i="2"/>
  <c r="W226" i="2"/>
  <c r="AA226" i="2" l="1"/>
  <c r="AB226" i="2" s="1"/>
  <c r="AA227" i="2"/>
  <c r="AB227" i="2" s="1"/>
  <c r="P228" i="2" a="1"/>
  <c r="P229" i="2" a="1"/>
  <c r="O228" i="2" a="1"/>
  <c r="O229" i="2" a="1"/>
  <c r="Q228" i="2" l="1"/>
  <c r="Q229" i="2"/>
  <c r="W228" i="2"/>
  <c r="W229" i="2"/>
  <c r="P231" i="2" a="1"/>
  <c r="O230" i="2" a="1"/>
  <c r="P230" i="2" a="1"/>
  <c r="O231" i="2" a="1"/>
  <c r="AA228" i="2" l="1"/>
  <c r="AB228" i="2" s="1"/>
  <c r="AA229" i="2"/>
  <c r="AB229" i="2" s="1"/>
  <c r="W230" i="2"/>
  <c r="W231" i="2"/>
  <c r="Q231" i="2"/>
  <c r="Q230" i="2"/>
  <c r="AA231" i="2" l="1"/>
  <c r="AB231" i="2" s="1"/>
  <c r="AA230" i="2"/>
  <c r="AB230" i="2" s="1"/>
  <c r="O233" i="2" a="1"/>
  <c r="P232" i="2" a="1"/>
  <c r="P233" i="2" a="1"/>
  <c r="O232" i="2" a="1"/>
  <c r="W232" i="2" l="1"/>
  <c r="W233" i="2"/>
  <c r="Q232" i="2"/>
  <c r="Q233" i="2"/>
  <c r="AA233" i="2" l="1"/>
  <c r="AB233" i="2" s="1"/>
  <c r="AA232" i="2"/>
  <c r="AB232" i="2" s="1"/>
  <c r="P235" i="2" l="1" a="1"/>
  <c r="P234" i="2" a="1"/>
  <c r="O235" i="2" a="1"/>
  <c r="O234" i="2" a="1"/>
  <c r="O236" i="2" a="1"/>
  <c r="O237" i="2" a="1"/>
  <c r="P236" i="2" a="1"/>
  <c r="P237" i="2" a="1"/>
  <c r="Q236" i="2" l="1"/>
  <c r="W235" i="2"/>
  <c r="W237" i="2"/>
  <c r="Q234" i="2"/>
  <c r="W234" i="2"/>
  <c r="W236" i="2"/>
  <c r="Q237" i="2"/>
  <c r="Q235" i="2"/>
  <c r="P239" i="2" a="1"/>
  <c r="P238" i="2" a="1"/>
  <c r="O239" i="2" a="1"/>
  <c r="O238" i="2" a="1"/>
  <c r="AA236" i="2" l="1"/>
  <c r="AB236" i="2" s="1"/>
  <c r="AA234" i="2"/>
  <c r="AB234" i="2" s="1"/>
  <c r="AA237" i="2"/>
  <c r="AB237" i="2" s="1"/>
  <c r="AA235" i="2"/>
  <c r="AB235" i="2" s="1"/>
  <c r="Q238" i="2"/>
  <c r="W239" i="2"/>
  <c r="W238" i="2"/>
  <c r="Q239" i="2"/>
  <c r="AA238" i="2" l="1"/>
  <c r="AB238" i="2" s="1"/>
  <c r="AA239" i="2"/>
  <c r="AB239" i="2" s="1"/>
  <c r="O240" i="2" a="1"/>
  <c r="P240" i="2" a="1"/>
  <c r="O241" i="2" a="1"/>
  <c r="P241" i="2" a="1"/>
  <c r="W240" i="2" l="1"/>
  <c r="Q241" i="2"/>
  <c r="W241" i="2"/>
  <c r="Q240" i="2"/>
  <c r="AA240" i="2" l="1"/>
  <c r="AB240" i="2" s="1"/>
  <c r="AA241" i="2"/>
  <c r="AB241" i="2" s="1"/>
  <c r="P242" i="2" l="1" a="1"/>
  <c r="O242" i="2" a="1"/>
  <c r="O245" i="2" a="1"/>
  <c r="O243" i="2" a="1"/>
  <c r="P245" i="2" a="1"/>
  <c r="O244" i="2" a="1"/>
  <c r="P244" i="2" a="1"/>
  <c r="P243" i="2" a="1"/>
  <c r="W242" i="2" l="1"/>
  <c r="Q245" i="2"/>
  <c r="Q244" i="2"/>
  <c r="Q243" i="2"/>
  <c r="W245" i="2"/>
  <c r="W243" i="2"/>
  <c r="W244" i="2"/>
  <c r="Q242" i="2"/>
  <c r="AA242" i="2" l="1"/>
  <c r="AB242" i="2" s="1"/>
  <c r="AA245" i="2"/>
  <c r="AB245" i="2" s="1"/>
  <c r="AA244" i="2"/>
  <c r="AB244" i="2" s="1"/>
  <c r="AA243" i="2"/>
  <c r="AB243" i="2" s="1"/>
  <c r="P246" i="2" a="1"/>
  <c r="P247" i="2" a="1"/>
  <c r="O247" i="2" a="1"/>
  <c r="O246" i="2" a="1"/>
  <c r="O248" i="2" a="1"/>
  <c r="P250" i="2" a="1"/>
  <c r="P249" i="2" a="1"/>
  <c r="O249" i="2" a="1"/>
  <c r="O250" i="2" a="1"/>
  <c r="P248" i="2" a="1"/>
  <c r="P251" i="2" a="1"/>
  <c r="P253" i="2" a="1"/>
  <c r="O253" i="2" l="1" a="1"/>
  <c r="O251" i="2" a="1"/>
  <c r="O252" i="2" a="1"/>
  <c r="P252" i="2" a="1"/>
  <c r="Q249" i="2"/>
  <c r="W250" i="2"/>
  <c r="W247" i="2"/>
  <c r="W246" i="2"/>
  <c r="Q250" i="2"/>
  <c r="W249" i="2"/>
  <c r="Q246" i="2"/>
  <c r="Q247" i="2"/>
  <c r="W248" i="2"/>
  <c r="Q248" i="2"/>
  <c r="AA250" i="2" l="1"/>
  <c r="AB250" i="2" s="1"/>
  <c r="Q252" i="2"/>
  <c r="W252" i="2"/>
  <c r="Q253" i="2"/>
  <c r="W253" i="2"/>
  <c r="Q251" i="2"/>
  <c r="W251" i="2"/>
  <c r="AA249" i="2"/>
  <c r="AB249" i="2" s="1"/>
  <c r="AA246" i="2"/>
  <c r="AB246" i="2" s="1"/>
  <c r="AA247" i="2"/>
  <c r="AB247" i="2" s="1"/>
  <c r="AA248" i="2"/>
  <c r="AB248" i="2" s="1"/>
  <c r="AA252" i="2" l="1"/>
  <c r="AB252" i="2" s="1"/>
  <c r="AA251" i="2"/>
  <c r="AB251" i="2" s="1"/>
  <c r="AA253" i="2"/>
  <c r="AB253" i="2" s="1"/>
  <c r="P254" i="2" l="1" a="1"/>
  <c r="P255" i="2" a="1"/>
  <c r="O254" i="2" a="1"/>
  <c r="O255" i="2" a="1"/>
  <c r="Q254" i="2" l="1"/>
  <c r="W255" i="2"/>
  <c r="Q255" i="2"/>
  <c r="W254" i="2"/>
  <c r="AA255" i="2" l="1"/>
  <c r="AB255" i="2" s="1"/>
  <c r="AA254" i="2"/>
  <c r="AB254" i="2" s="1"/>
  <c r="O256" i="2" l="1" a="1"/>
  <c r="P256" i="2" a="1"/>
  <c r="O257" i="2" a="1"/>
  <c r="P257" i="2" a="1"/>
  <c r="P258" i="2" a="1"/>
  <c r="P261" i="2" a="1"/>
  <c r="O260" i="2" a="1"/>
  <c r="O261" i="2" a="1"/>
  <c r="O259" i="2" a="1"/>
  <c r="P259" i="2" a="1"/>
  <c r="P260" i="2" a="1"/>
  <c r="O258" i="2" a="1"/>
  <c r="Q256" i="2" l="1"/>
  <c r="W257" i="2"/>
  <c r="Q257" i="2"/>
  <c r="AA257" i="2" s="1"/>
  <c r="AB257" i="2" s="1"/>
  <c r="W256" i="2"/>
  <c r="Q261" i="2"/>
  <c r="W260" i="2"/>
  <c r="Q259" i="2"/>
  <c r="W258" i="2"/>
  <c r="Q260" i="2"/>
  <c r="W259" i="2"/>
  <c r="W261" i="2"/>
  <c r="Q258" i="2"/>
  <c r="AA256" i="2" l="1"/>
  <c r="AB256" i="2" s="1"/>
  <c r="AA261" i="2"/>
  <c r="AB261" i="2" s="1"/>
  <c r="AA260" i="2"/>
  <c r="AB260" i="2" s="1"/>
  <c r="AA259" i="2"/>
  <c r="AB259" i="2" s="1"/>
  <c r="AA258" i="2"/>
  <c r="AB258" i="2" s="1"/>
  <c r="P263" i="2" a="1"/>
  <c r="P262" i="2" a="1"/>
  <c r="O263" i="2" a="1"/>
  <c r="O262" i="2" a="1"/>
  <c r="W263" i="2" l="1"/>
  <c r="W262" i="2"/>
  <c r="Q262" i="2"/>
  <c r="Q263" i="2"/>
  <c r="AA263" i="2" l="1"/>
  <c r="AB263" i="2" s="1"/>
  <c r="AA262" i="2"/>
  <c r="AB262" i="2" s="1"/>
  <c r="P266" i="2" a="1"/>
  <c r="O266" i="2" a="1"/>
  <c r="P267" i="2" a="1"/>
  <c r="O267" i="2" a="1"/>
  <c r="P265" i="2" l="1" a="1"/>
  <c r="O265" i="2" a="1"/>
  <c r="O264" i="2" a="1"/>
  <c r="P264" i="2" a="1"/>
  <c r="W266" i="2"/>
  <c r="W267" i="2"/>
  <c r="Q267" i="2"/>
  <c r="P269" i="2" a="1"/>
  <c r="P268" i="2" a="1"/>
  <c r="O269" i="2" a="1"/>
  <c r="O268" i="2" a="1"/>
  <c r="Q266" i="2"/>
  <c r="W265" i="2" l="1"/>
  <c r="W264" i="2"/>
  <c r="Q265" i="2"/>
  <c r="Q264" i="2"/>
  <c r="AA266" i="2"/>
  <c r="AB266" i="2" s="1"/>
  <c r="W269" i="2"/>
  <c r="AA267" i="2"/>
  <c r="AB267" i="2" s="1"/>
  <c r="Q268" i="2"/>
  <c r="W268" i="2"/>
  <c r="Q269" i="2"/>
  <c r="AA264" i="2" l="1"/>
  <c r="AB264" i="2" s="1"/>
  <c r="AA265" i="2"/>
  <c r="AB265" i="2" s="1"/>
  <c r="AA269" i="2"/>
  <c r="AB269" i="2" s="1"/>
  <c r="AA268" i="2"/>
  <c r="AB268" i="2" s="1"/>
  <c r="P274" i="2" a="1"/>
  <c r="P275" i="2" a="1"/>
  <c r="O274" i="2" a="1"/>
  <c r="O275" i="2" a="1"/>
  <c r="O272" i="2" l="1" a="1"/>
  <c r="O273" i="2" a="1"/>
  <c r="O270" i="2" a="1"/>
  <c r="P272" i="2" a="1"/>
  <c r="P273" i="2" a="1"/>
  <c r="P270" i="2" a="1"/>
  <c r="P271" i="2" a="1"/>
  <c r="O271" i="2" a="1"/>
  <c r="W274" i="2"/>
  <c r="Q275" i="2"/>
  <c r="Q274" i="2"/>
  <c r="W275" i="2"/>
  <c r="W273" i="2" l="1"/>
  <c r="Q272" i="2"/>
  <c r="Q273" i="2"/>
  <c r="Q270" i="2"/>
  <c r="Q271" i="2"/>
  <c r="W271" i="2"/>
  <c r="W272" i="2"/>
  <c r="W270" i="2"/>
  <c r="AA274" i="2"/>
  <c r="AB274" i="2" s="1"/>
  <c r="AA275" i="2"/>
  <c r="AB275" i="2" s="1"/>
  <c r="P279" i="2" a="1"/>
  <c r="O279" i="2" a="1"/>
  <c r="O278" i="2" a="1"/>
  <c r="P278" i="2" a="1"/>
  <c r="AA272" i="2" l="1"/>
  <c r="AB272" i="2" s="1"/>
  <c r="AA273" i="2"/>
  <c r="AB273" i="2" s="1"/>
  <c r="AA271" i="2"/>
  <c r="AB271" i="2" s="1"/>
  <c r="AA270" i="2"/>
  <c r="AB270" i="2" s="1"/>
  <c r="O276" i="2" a="1"/>
  <c r="P277" i="2" a="1"/>
  <c r="P276" i="2" a="1"/>
  <c r="O277" i="2" a="1"/>
  <c r="P281" i="2" a="1"/>
  <c r="O281" i="2" a="1"/>
  <c r="O280" i="2" a="1"/>
  <c r="P280" i="2" a="1"/>
  <c r="W279" i="2"/>
  <c r="W278" i="2"/>
  <c r="Q279" i="2"/>
  <c r="Q278" i="2"/>
  <c r="Q276" i="2" l="1"/>
  <c r="Q277" i="2"/>
  <c r="W276" i="2"/>
  <c r="W277" i="2"/>
  <c r="W281" i="2"/>
  <c r="W280" i="2"/>
  <c r="Q281" i="2"/>
  <c r="Q280" i="2"/>
  <c r="AA279" i="2"/>
  <c r="AB279" i="2" s="1"/>
  <c r="AA278" i="2"/>
  <c r="AB278" i="2" s="1"/>
  <c r="AA276" i="2" l="1"/>
  <c r="AB276" i="2" s="1"/>
  <c r="AA277" i="2"/>
  <c r="AB277" i="2" s="1"/>
  <c r="AA281" i="2"/>
  <c r="AB281" i="2" s="1"/>
  <c r="AA280" i="2"/>
  <c r="AB280" i="2" s="1"/>
  <c r="P284" i="2" l="1" a="1"/>
  <c r="O285" i="2" a="1"/>
  <c r="O282" i="2" a="1"/>
  <c r="P283" i="2" a="1"/>
  <c r="O283" i="2" a="1"/>
  <c r="P282" i="2" a="1"/>
  <c r="P285" i="2" a="1"/>
  <c r="O284" i="2" a="1"/>
  <c r="O288" i="2" a="1"/>
  <c r="P288" i="2" a="1"/>
  <c r="O289" i="2" a="1"/>
  <c r="O287" i="2" a="1"/>
  <c r="P286" i="2" a="1"/>
  <c r="O286" i="2" a="1"/>
  <c r="P287" i="2" a="1"/>
  <c r="P289" i="2" a="1"/>
  <c r="W285" i="2" l="1"/>
  <c r="Q283" i="2"/>
  <c r="W284" i="2"/>
  <c r="Q282" i="2"/>
  <c r="Q284" i="2"/>
  <c r="W282" i="2"/>
  <c r="W283" i="2"/>
  <c r="Q285" i="2"/>
  <c r="W289" i="2"/>
  <c r="Q288" i="2"/>
  <c r="W286" i="2"/>
  <c r="Q287" i="2"/>
  <c r="W288" i="2"/>
  <c r="W287" i="2"/>
  <c r="Q286" i="2"/>
  <c r="Q289" i="2"/>
  <c r="AA285" i="2" l="1"/>
  <c r="AB285" i="2" s="1"/>
  <c r="AA284" i="2"/>
  <c r="AB284" i="2" s="1"/>
  <c r="AA283" i="2"/>
  <c r="AB283" i="2" s="1"/>
  <c r="AA282" i="2"/>
  <c r="AB282" i="2" s="1"/>
  <c r="AA287" i="2"/>
  <c r="AB287" i="2" s="1"/>
  <c r="AA289" i="2"/>
  <c r="AB289" i="2" s="1"/>
  <c r="AA288" i="2"/>
  <c r="AB288" i="2" s="1"/>
  <c r="AA286" i="2"/>
  <c r="AB286" i="2" s="1"/>
  <c r="O291" i="2" l="1" a="1"/>
  <c r="P290" i="2" a="1"/>
  <c r="O290" i="2" a="1"/>
  <c r="P291" i="2" a="1"/>
  <c r="W290" i="2" l="1"/>
  <c r="Q291" i="2"/>
  <c r="W291" i="2"/>
  <c r="Q290" i="2"/>
  <c r="P295" i="2" l="1" a="1"/>
  <c r="O295" i="2" a="1"/>
  <c r="P294" i="2" a="1"/>
  <c r="O294" i="2" a="1"/>
  <c r="AA290" i="2"/>
  <c r="AB290" i="2" s="1"/>
  <c r="AA291" i="2"/>
  <c r="AB291" i="2" s="1"/>
  <c r="P292" i="2" l="1" a="1"/>
  <c r="O293" i="2" a="1"/>
  <c r="O292" i="2" a="1"/>
  <c r="P293" i="2" a="1"/>
  <c r="Q295" i="2"/>
  <c r="Q294" i="2"/>
  <c r="W295" i="2"/>
  <c r="W294" i="2"/>
  <c r="W293" i="2" l="1"/>
  <c r="W292" i="2"/>
  <c r="Q292" i="2"/>
  <c r="Q293" i="2"/>
  <c r="AA295" i="2"/>
  <c r="AB295" i="2" s="1"/>
  <c r="AA294" i="2"/>
  <c r="AB294" i="2" s="1"/>
  <c r="O297" i="2" l="1" a="1"/>
  <c r="P296" i="2" a="1"/>
  <c r="P297" i="2" a="1"/>
  <c r="O296" i="2" a="1"/>
  <c r="P298" i="2" a="1"/>
  <c r="O298" i="2" a="1"/>
  <c r="P299" i="2" a="1"/>
  <c r="O299" i="2" a="1"/>
  <c r="AA293" i="2"/>
  <c r="AB293" i="2" s="1"/>
  <c r="AA292" i="2"/>
  <c r="AB292" i="2" s="1"/>
  <c r="Q298" i="2" l="1"/>
  <c r="Q297" i="2"/>
  <c r="W296" i="2"/>
  <c r="W299" i="2"/>
  <c r="W297" i="2"/>
  <c r="Q299" i="2"/>
  <c r="W298" i="2"/>
  <c r="Q296" i="2"/>
  <c r="P300" i="2" a="1"/>
  <c r="O301" i="2" a="1"/>
  <c r="O300" i="2" a="1"/>
  <c r="P301" i="2" a="1"/>
  <c r="AA299" i="2" l="1"/>
  <c r="AB299" i="2" s="1"/>
  <c r="AA297" i="2"/>
  <c r="AB297" i="2" s="1"/>
  <c r="Q300" i="2"/>
  <c r="AA298" i="2"/>
  <c r="AB298" i="2" s="1"/>
  <c r="Q301" i="2"/>
  <c r="W300" i="2"/>
  <c r="AA296" i="2"/>
  <c r="AB296" i="2" s="1"/>
  <c r="W301" i="2"/>
  <c r="O302" i="2" a="1"/>
  <c r="O303" i="2" a="1"/>
  <c r="P302" i="2" a="1"/>
  <c r="P303" i="2" a="1"/>
  <c r="AA301" i="2" l="1"/>
  <c r="AB301" i="2" s="1"/>
  <c r="AA300" i="2"/>
  <c r="AB300" i="2" s="1"/>
  <c r="W302" i="2"/>
  <c r="Q303" i="2"/>
  <c r="W303" i="2"/>
  <c r="Q302" i="2"/>
  <c r="AA303" i="2" l="1"/>
  <c r="AB303" i="2" s="1"/>
  <c r="AA302" i="2"/>
  <c r="AB302" i="2" s="1"/>
  <c r="P304" i="2" l="1" a="1"/>
  <c r="P305" i="2" a="1"/>
  <c r="O307" i="2" a="1"/>
  <c r="P307" i="2" a="1"/>
  <c r="O304" i="2" a="1"/>
  <c r="O306" i="2" a="1"/>
  <c r="O305" i="2" a="1"/>
  <c r="P306" i="2" a="1"/>
  <c r="Q304" i="2" l="1"/>
  <c r="W307" i="2"/>
  <c r="W305" i="2"/>
  <c r="Q306" i="2"/>
  <c r="Q305" i="2"/>
  <c r="Q307" i="2"/>
  <c r="W304" i="2"/>
  <c r="W306" i="2"/>
  <c r="AA305" i="2" l="1"/>
  <c r="AB305" i="2" s="1"/>
  <c r="AA304" i="2"/>
  <c r="AB304" i="2" s="1"/>
  <c r="AA307" i="2"/>
  <c r="AB307" i="2" s="1"/>
  <c r="AA306" i="2"/>
  <c r="AB306" i="2" s="1"/>
  <c r="O311" i="2" a="1"/>
  <c r="P311" i="2" a="1"/>
  <c r="O313" i="2" a="1"/>
  <c r="P309" i="2" l="1" a="1"/>
  <c r="O308" i="2" a="1"/>
  <c r="P308" i="2" a="1"/>
  <c r="O309" i="2" a="1"/>
  <c r="P312" i="2" a="1"/>
  <c r="P310" i="2" a="1"/>
  <c r="O310" i="2" a="1"/>
  <c r="O312" i="2" a="1"/>
  <c r="P313" i="2" a="1"/>
  <c r="Q311" i="2"/>
  <c r="W311" i="2"/>
  <c r="Q308" i="2" l="1"/>
  <c r="W309" i="2"/>
  <c r="W310" i="2"/>
  <c r="Q309" i="2"/>
  <c r="Q310" i="2"/>
  <c r="W308" i="2"/>
  <c r="W312" i="2"/>
  <c r="Q312" i="2"/>
  <c r="Q313" i="2"/>
  <c r="W313" i="2"/>
  <c r="AA311" i="2"/>
  <c r="AB311" i="2" s="1"/>
  <c r="AA309" i="2" l="1"/>
  <c r="AB309" i="2" s="1"/>
  <c r="AA308" i="2"/>
  <c r="AB308" i="2" s="1"/>
  <c r="AA310" i="2"/>
  <c r="AB310" i="2" s="1"/>
  <c r="AA312" i="2"/>
  <c r="AB312" i="2" s="1"/>
  <c r="AA313" i="2"/>
  <c r="AB313" i="2" s="1"/>
  <c r="O316" i="2" a="1"/>
  <c r="P317" i="2" a="1"/>
  <c r="O317" i="2" a="1"/>
  <c r="P316" i="2" a="1"/>
  <c r="O315" i="2" l="1" a="1"/>
  <c r="P314" i="2" a="1"/>
  <c r="O314" i="2" a="1"/>
  <c r="P315" i="2" a="1"/>
  <c r="Q316" i="2"/>
  <c r="Q317" i="2"/>
  <c r="W316" i="2"/>
  <c r="W317" i="2"/>
  <c r="W314" i="2" l="1"/>
  <c r="W315" i="2"/>
  <c r="Q314" i="2"/>
  <c r="Q315" i="2"/>
  <c r="AA316" i="2"/>
  <c r="AB316" i="2" s="1"/>
  <c r="AA317" i="2"/>
  <c r="AB317" i="2" s="1"/>
  <c r="AA314" i="2" l="1"/>
  <c r="AB314" i="2" s="1"/>
  <c r="AA315" i="2"/>
  <c r="AB315" i="2" s="1"/>
  <c r="P319" i="2" a="1"/>
  <c r="O318" i="2" a="1"/>
  <c r="P318" i="2" a="1"/>
  <c r="O319" i="2" a="1"/>
  <c r="O322" i="2" a="1"/>
  <c r="P322" i="2" a="1"/>
  <c r="O323" i="2" a="1"/>
  <c r="P323" i="2" a="1"/>
  <c r="P320" i="2" a="1"/>
  <c r="O320" i="2" a="1"/>
  <c r="P321" i="2" a="1"/>
  <c r="O321" i="2" a="1"/>
  <c r="Q318" i="2" l="1"/>
  <c r="W318" i="2"/>
  <c r="W319" i="2"/>
  <c r="Q319" i="2"/>
  <c r="W321" i="2"/>
  <c r="W323" i="2"/>
  <c r="Q320" i="2"/>
  <c r="W322" i="2"/>
  <c r="Q322" i="2"/>
  <c r="Q323" i="2"/>
  <c r="W320" i="2"/>
  <c r="Q321" i="2"/>
  <c r="AA318" i="2" l="1"/>
  <c r="AB318" i="2" s="1"/>
  <c r="AA319" i="2"/>
  <c r="AB319" i="2" s="1"/>
  <c r="AA321" i="2"/>
  <c r="AB321" i="2" s="1"/>
  <c r="AA323" i="2"/>
  <c r="AB323" i="2" s="1"/>
  <c r="AA320" i="2"/>
  <c r="AB320" i="2" s="1"/>
  <c r="AA322" i="2"/>
  <c r="AB322" i="2" s="1"/>
  <c r="O325" i="2" l="1" a="1"/>
  <c r="O329" i="2" a="1"/>
  <c r="P324" i="2" a="1"/>
  <c r="O328" i="2" a="1"/>
  <c r="P327" i="2" a="1"/>
  <c r="P326" i="2" a="1"/>
  <c r="O324" i="2" a="1"/>
  <c r="P325" i="2" a="1"/>
  <c r="O327" i="2" a="1"/>
  <c r="O326" i="2" a="1"/>
  <c r="P328" i="2" a="1"/>
  <c r="P329" i="2" a="1"/>
  <c r="Q325" i="2" l="1"/>
  <c r="W328" i="2"/>
  <c r="W327" i="2"/>
  <c r="W326" i="2"/>
  <c r="W329" i="2"/>
  <c r="Q326" i="2"/>
  <c r="W324" i="2"/>
  <c r="Q329" i="2"/>
  <c r="W325" i="2"/>
  <c r="Q324" i="2"/>
  <c r="Q327" i="2"/>
  <c r="Q328" i="2"/>
  <c r="AA325" i="2" l="1"/>
  <c r="AB325" i="2" s="1"/>
  <c r="AA329" i="2"/>
  <c r="AB329" i="2" s="1"/>
  <c r="AA328" i="2"/>
  <c r="AB328" i="2" s="1"/>
  <c r="AA326" i="2"/>
  <c r="AB326" i="2" s="1"/>
  <c r="AA327" i="2"/>
  <c r="AB327" i="2" s="1"/>
  <c r="AA324" i="2"/>
  <c r="AB324" i="2" s="1"/>
  <c r="P331" i="2" a="1"/>
  <c r="O330" i="2" a="1"/>
  <c r="P333" i="2" a="1"/>
  <c r="O332" i="2" a="1"/>
  <c r="O333" i="2" a="1"/>
  <c r="P332" i="2" a="1"/>
  <c r="O331" i="2" a="1"/>
  <c r="P330" i="2" a="1"/>
  <c r="O334" i="2" a="1"/>
  <c r="P334" i="2" a="1"/>
  <c r="O335" i="2" a="1"/>
  <c r="P335" i="2" a="1"/>
  <c r="W330" i="2" l="1"/>
  <c r="Q333" i="2"/>
  <c r="W332" i="2"/>
  <c r="W331" i="2"/>
  <c r="Q331" i="2"/>
  <c r="Q332" i="2"/>
  <c r="W333" i="2"/>
  <c r="Q330" i="2"/>
  <c r="Q334" i="2"/>
  <c r="Q335" i="2"/>
  <c r="W334" i="2"/>
  <c r="W335" i="2"/>
  <c r="AA331" i="2" l="1"/>
  <c r="AB331" i="2" s="1"/>
  <c r="AA330" i="2"/>
  <c r="AB330" i="2" s="1"/>
  <c r="AA332" i="2"/>
  <c r="AB332" i="2" s="1"/>
  <c r="AA333" i="2"/>
  <c r="AB333" i="2" s="1"/>
  <c r="AA334" i="2"/>
  <c r="AB334" i="2" s="1"/>
  <c r="AA335" i="2"/>
  <c r="AB335" i="2" s="1"/>
  <c r="P336" i="2" a="1"/>
  <c r="O336" i="2" a="1"/>
  <c r="O337" i="2" a="1"/>
  <c r="P337" i="2" a="1"/>
  <c r="P339" i="2" a="1"/>
  <c r="P338" i="2" a="1"/>
  <c r="O339" i="2" a="1"/>
  <c r="O338" i="2" a="1"/>
  <c r="W336" i="2" l="1"/>
  <c r="Q337" i="2"/>
  <c r="Q338" i="2"/>
  <c r="W339" i="2"/>
  <c r="W337" i="2"/>
  <c r="Q339" i="2"/>
  <c r="W338" i="2"/>
  <c r="Q336" i="2"/>
  <c r="AA336" i="2" l="1"/>
  <c r="AB336" i="2" s="1"/>
  <c r="AA337" i="2"/>
  <c r="AB337" i="2" s="1"/>
  <c r="AA338" i="2"/>
  <c r="AB338" i="2" s="1"/>
  <c r="AA339" i="2"/>
  <c r="AB339" i="2" s="1"/>
  <c r="O340" i="2" l="1" a="1"/>
  <c r="O341" i="2" a="1"/>
  <c r="P341" i="2" a="1"/>
  <c r="P340" i="2" a="1"/>
  <c r="Q341" i="2" l="1"/>
  <c r="Q340" i="2"/>
  <c r="W341" i="2"/>
  <c r="W340" i="2"/>
  <c r="AA341" i="2" l="1"/>
  <c r="AB341" i="2" s="1"/>
  <c r="AA340" i="2"/>
  <c r="AB340" i="2" s="1"/>
  <c r="P343" i="2" l="1" a="1"/>
  <c r="P342" i="2" a="1"/>
  <c r="O343" i="2" a="1"/>
  <c r="O342" i="2" a="1"/>
  <c r="O344" i="2" a="1"/>
  <c r="P345" i="2" a="1"/>
  <c r="P344" i="2" a="1"/>
  <c r="O345" i="2" a="1"/>
  <c r="P346" i="2" a="1"/>
  <c r="O347" i="2" a="1"/>
  <c r="O346" i="2" a="1"/>
  <c r="P347" i="2" a="1"/>
  <c r="Q343" i="2" l="1"/>
  <c r="W345" i="2"/>
  <c r="Q342" i="2"/>
  <c r="W343" i="2"/>
  <c r="W344" i="2"/>
  <c r="W342" i="2"/>
  <c r="Q345" i="2"/>
  <c r="Q344" i="2"/>
  <c r="Q346" i="2"/>
  <c r="W347" i="2"/>
  <c r="Q347" i="2"/>
  <c r="W346" i="2"/>
  <c r="AA343" i="2" l="1"/>
  <c r="AB343" i="2" s="1"/>
  <c r="AA344" i="2"/>
  <c r="AB344" i="2" s="1"/>
  <c r="AA345" i="2"/>
  <c r="AB345" i="2" s="1"/>
  <c r="AA342" i="2"/>
  <c r="AB342" i="2" s="1"/>
  <c r="AA347" i="2"/>
  <c r="AB347" i="2" s="1"/>
  <c r="AA346" i="2"/>
  <c r="AB346" i="2" s="1"/>
  <c r="P348" i="2" a="1"/>
  <c r="O348" i="2" a="1"/>
  <c r="P349" i="2" a="1"/>
  <c r="O349" i="2" a="1"/>
  <c r="Q348" i="2" l="1"/>
  <c r="Q349" i="2"/>
  <c r="W348" i="2"/>
  <c r="W349" i="2"/>
  <c r="AA349" i="2" l="1"/>
  <c r="AB349" i="2" s="1"/>
  <c r="AA348" i="2"/>
  <c r="AB348" i="2" s="1"/>
  <c r="O353" i="2" l="1" a="1"/>
  <c r="P353" i="2" a="1"/>
  <c r="P351" i="2" a="1"/>
  <c r="O350" i="2" a="1"/>
  <c r="O351" i="2" a="1"/>
  <c r="P350" i="2" a="1"/>
  <c r="P352" i="2" a="1"/>
  <c r="O352" i="2" a="1"/>
  <c r="Q350" i="2" l="1"/>
  <c r="Q353" i="2"/>
  <c r="W350" i="2"/>
  <c r="W351" i="2"/>
  <c r="Q352" i="2"/>
  <c r="Q351" i="2"/>
  <c r="W352" i="2"/>
  <c r="W353" i="2"/>
  <c r="AA351" i="2" l="1"/>
  <c r="AB351" i="2" s="1"/>
  <c r="AA350" i="2"/>
  <c r="AB350" i="2" s="1"/>
  <c r="AA352" i="2"/>
  <c r="AB352" i="2" s="1"/>
  <c r="AA353" i="2"/>
  <c r="AB353" i="2" s="1"/>
  <c r="O356" i="2" a="1"/>
  <c r="P357" i="2" a="1"/>
  <c r="P356" i="2" a="1"/>
  <c r="O357" i="2" a="1"/>
  <c r="O354" i="2" a="1"/>
  <c r="P355" i="2" a="1"/>
  <c r="P354" i="2" a="1"/>
  <c r="O355" i="2" a="1"/>
  <c r="W357" i="2" l="1"/>
  <c r="Q356" i="2"/>
  <c r="W354" i="2"/>
  <c r="Q355" i="2"/>
  <c r="W356" i="2"/>
  <c r="Q357" i="2"/>
  <c r="Q354" i="2"/>
  <c r="W355" i="2"/>
  <c r="AA357" i="2" l="1"/>
  <c r="AB357" i="2" s="1"/>
  <c r="AA354" i="2"/>
  <c r="AB354" i="2" s="1"/>
  <c r="AA356" i="2"/>
  <c r="AB356" i="2" s="1"/>
  <c r="AA355" i="2"/>
  <c r="AB355" i="2" s="1"/>
  <c r="P358" i="2" a="1"/>
  <c r="O359" i="2" a="1"/>
  <c r="O358" i="2" a="1"/>
  <c r="P359" i="2" a="1"/>
  <c r="P360" i="2" a="1"/>
  <c r="O362" i="2" a="1"/>
  <c r="O360" i="2" a="1"/>
  <c r="O363" i="2" a="1"/>
  <c r="P361" i="2" a="1"/>
  <c r="P362" i="2" a="1"/>
  <c r="P363" i="2" a="1"/>
  <c r="O361" i="2" a="1"/>
  <c r="Q360" i="2" l="1"/>
  <c r="Q358" i="2"/>
  <c r="W361" i="2"/>
  <c r="W362" i="2"/>
  <c r="W359" i="2"/>
  <c r="W360" i="2"/>
  <c r="W363" i="2"/>
  <c r="W358" i="2"/>
  <c r="Q359" i="2"/>
  <c r="Q361" i="2"/>
  <c r="Q362" i="2"/>
  <c r="Q363" i="2"/>
  <c r="AA362" i="2" l="1"/>
  <c r="AB362" i="2" s="1"/>
  <c r="AA360" i="2"/>
  <c r="AB360" i="2" s="1"/>
  <c r="AA358" i="2"/>
  <c r="AB358" i="2" s="1"/>
  <c r="AA361" i="2"/>
  <c r="AB361" i="2" s="1"/>
  <c r="AA359" i="2"/>
  <c r="AB359" i="2" s="1"/>
  <c r="AA363" i="2"/>
  <c r="AB363" i="2" s="1"/>
  <c r="O365" i="2" a="1"/>
  <c r="P364" i="2" a="1"/>
  <c r="O364" i="2" a="1"/>
  <c r="P365" i="2" a="1"/>
  <c r="Q364" i="2" l="1"/>
  <c r="W365" i="2"/>
  <c r="W364" i="2"/>
  <c r="Q365" i="2"/>
  <c r="P370" i="2" a="1"/>
  <c r="O370" i="2" a="1"/>
  <c r="P371" i="2" a="1"/>
  <c r="O371" i="2" a="1"/>
  <c r="O373" i="2" a="1"/>
  <c r="P372" i="2" a="1"/>
  <c r="O372" i="2" a="1"/>
  <c r="P373" i="2" a="1"/>
  <c r="AA364" i="2" l="1"/>
  <c r="AB364" i="2" s="1"/>
  <c r="AA365" i="2"/>
  <c r="AB365" i="2" s="1"/>
  <c r="P368" i="2" a="1"/>
  <c r="O368" i="2" a="1"/>
  <c r="P369" i="2" a="1"/>
  <c r="O369" i="2" a="1"/>
  <c r="O367" i="2" a="1"/>
  <c r="O366" i="2" a="1"/>
  <c r="P367" i="2" a="1"/>
  <c r="P366" i="2" a="1"/>
  <c r="W371" i="2"/>
  <c r="W370" i="2"/>
  <c r="Q370" i="2"/>
  <c r="Q371" i="2"/>
  <c r="Q372" i="2"/>
  <c r="W373" i="2"/>
  <c r="W372" i="2"/>
  <c r="Q373" i="2"/>
  <c r="W369" i="2" l="1"/>
  <c r="W368" i="2"/>
  <c r="W367" i="2"/>
  <c r="Q368" i="2"/>
  <c r="W366" i="2"/>
  <c r="Q369" i="2"/>
  <c r="Q367" i="2"/>
  <c r="Q366" i="2"/>
  <c r="AA370" i="2"/>
  <c r="AB370" i="2" s="1"/>
  <c r="AA371" i="2"/>
  <c r="AB371" i="2" s="1"/>
  <c r="P377" i="2" a="1"/>
  <c r="O376" i="2" a="1"/>
  <c r="AA372" i="2"/>
  <c r="AB372" i="2" s="1"/>
  <c r="AA373" i="2"/>
  <c r="AB373" i="2" s="1"/>
  <c r="AA369" i="2" l="1"/>
  <c r="AB369" i="2" s="1"/>
  <c r="AA368" i="2"/>
  <c r="AB368" i="2" s="1"/>
  <c r="AA367" i="2"/>
  <c r="AB367" i="2" s="1"/>
  <c r="AA366" i="2"/>
  <c r="AB366" i="2" s="1"/>
  <c r="P375" i="2" a="1"/>
  <c r="O375" i="2" a="1"/>
  <c r="O374" i="2" a="1"/>
  <c r="P374" i="2" a="1"/>
  <c r="P376" i="2" l="1" a="1"/>
  <c r="O377" i="2" a="1"/>
  <c r="Q374" i="2"/>
  <c r="Q375" i="2"/>
  <c r="W375" i="2"/>
  <c r="W374" i="2"/>
  <c r="O379" i="2" a="1"/>
  <c r="P379" i="2" a="1"/>
  <c r="P378" i="2" a="1"/>
  <c r="O378" i="2" a="1"/>
  <c r="W376" i="2" l="1"/>
  <c r="Q376" i="2"/>
  <c r="Q377" i="2"/>
  <c r="W377" i="2"/>
  <c r="AA375" i="2"/>
  <c r="AB375" i="2" s="1"/>
  <c r="AA374" i="2"/>
  <c r="AB374" i="2" s="1"/>
  <c r="Q378" i="2"/>
  <c r="W379" i="2"/>
  <c r="Q379" i="2"/>
  <c r="W378" i="2"/>
  <c r="AA377" i="2" l="1"/>
  <c r="AB377" i="2" s="1"/>
  <c r="AA376" i="2"/>
  <c r="AB376" i="2" s="1"/>
  <c r="AA378" i="2"/>
  <c r="AB378" i="2" s="1"/>
  <c r="AA379" i="2"/>
  <c r="AB379" i="2" s="1"/>
  <c r="O380" i="2" l="1" a="1"/>
  <c r="P381" i="2" a="1"/>
  <c r="O381" i="2" a="1"/>
  <c r="P380" i="2" a="1"/>
  <c r="W381" i="2" l="1"/>
  <c r="W380" i="2"/>
  <c r="Q381" i="2"/>
  <c r="Q380" i="2"/>
  <c r="AA381" i="2" l="1"/>
  <c r="AB381" i="2" s="1"/>
  <c r="AA380" i="2"/>
  <c r="AB380" i="2" s="1"/>
  <c r="O416" i="2" l="1" a="1"/>
  <c r="P417" i="2" a="1"/>
  <c r="O384" i="2" a="1"/>
  <c r="P385" i="2" a="1"/>
  <c r="P384" i="2" a="1"/>
  <c r="O382" i="2" a="1"/>
  <c r="P383" i="2" a="1"/>
  <c r="O385" i="2" a="1"/>
  <c r="O383" i="2" a="1"/>
  <c r="P382" i="2" a="1"/>
  <c r="Q382" i="2" l="1"/>
  <c r="Q384" i="2"/>
  <c r="W385" i="2"/>
  <c r="W383" i="2"/>
  <c r="W384" i="2"/>
  <c r="Q385" i="2"/>
  <c r="W382" i="2"/>
  <c r="Q383" i="2"/>
  <c r="AA384" i="2" l="1"/>
  <c r="AB384" i="2" s="1"/>
  <c r="AA382" i="2"/>
  <c r="AB382" i="2" s="1"/>
  <c r="AA383" i="2"/>
  <c r="AB383" i="2" s="1"/>
  <c r="AA385" i="2"/>
  <c r="AB385" i="2" s="1"/>
  <c r="P393" i="2" a="1"/>
  <c r="O393" i="2" a="1"/>
  <c r="P389" i="2" a="1"/>
  <c r="O389" i="2" a="1"/>
  <c r="O388" i="2" a="1"/>
  <c r="P388" i="2" a="1"/>
  <c r="P392" i="2" a="1"/>
  <c r="O392" i="2" a="1"/>
  <c r="O390" i="2" a="1"/>
  <c r="P390" i="2" a="1"/>
  <c r="O391" i="2" a="1"/>
  <c r="P391" i="2" a="1"/>
  <c r="P386" i="2" l="1" a="1"/>
  <c r="P387" i="2" a="1"/>
  <c r="O386" i="2" a="1"/>
  <c r="O387" i="2" a="1"/>
  <c r="W389" i="2"/>
  <c r="Q391" i="2"/>
  <c r="W388" i="2"/>
  <c r="W393" i="2"/>
  <c r="Q390" i="2"/>
  <c r="Q392" i="2"/>
  <c r="Q388" i="2"/>
  <c r="Q393" i="2"/>
  <c r="Q389" i="2"/>
  <c r="W392" i="2"/>
  <c r="W390" i="2"/>
  <c r="W391" i="2"/>
  <c r="W386" i="2" l="1"/>
  <c r="AA393" i="2"/>
  <c r="AB393" i="2" s="1"/>
  <c r="Q386" i="2"/>
  <c r="W387" i="2"/>
  <c r="AA389" i="2"/>
  <c r="AB389" i="2" s="1"/>
  <c r="Q387" i="2"/>
  <c r="AA390" i="2"/>
  <c r="AB390" i="2" s="1"/>
  <c r="AA391" i="2"/>
  <c r="AB391" i="2" s="1"/>
  <c r="AA388" i="2"/>
  <c r="AB388" i="2" s="1"/>
  <c r="AA392" i="2"/>
  <c r="AB392" i="2" s="1"/>
  <c r="O395" i="2" a="1"/>
  <c r="O394" i="2" a="1"/>
  <c r="P394" i="2" a="1"/>
  <c r="P395" i="2" a="1"/>
  <c r="P397" i="2" a="1"/>
  <c r="O397" i="2" a="1"/>
  <c r="P396" i="2" a="1"/>
  <c r="O396" i="2" a="1"/>
  <c r="O418" i="2" l="1" a="1"/>
  <c r="P419" i="2" a="1"/>
  <c r="P411" i="2" a="1"/>
  <c r="O410" i="2" a="1"/>
  <c r="AA386" i="2"/>
  <c r="AB386" i="2" s="1"/>
  <c r="AA387" i="2"/>
  <c r="AB387" i="2" s="1"/>
  <c r="Q394" i="2"/>
  <c r="W395" i="2"/>
  <c r="Q397" i="2"/>
  <c r="W396" i="2"/>
  <c r="W394" i="2"/>
  <c r="Q395" i="2"/>
  <c r="W397" i="2"/>
  <c r="Q396" i="2"/>
  <c r="O402" i="2" a="1"/>
  <c r="P402" i="2" a="1"/>
  <c r="O403" i="2" a="1"/>
  <c r="O400" i="2" a="1"/>
  <c r="P403" i="2" a="1"/>
  <c r="P401" i="2" a="1"/>
  <c r="AA394" i="2" l="1"/>
  <c r="AB394" i="2" s="1"/>
  <c r="AA395" i="2"/>
  <c r="AB395" i="2" s="1"/>
  <c r="AA397" i="2"/>
  <c r="AB397" i="2" s="1"/>
  <c r="AA396" i="2"/>
  <c r="AB396" i="2" s="1"/>
  <c r="O398" i="2" a="1"/>
  <c r="P399" i="2" a="1"/>
  <c r="P398" i="2" a="1"/>
  <c r="O399" i="2" a="1"/>
  <c r="W402" i="2"/>
  <c r="Q403" i="2"/>
  <c r="Q402" i="2"/>
  <c r="W403" i="2"/>
  <c r="O419" i="2" l="1" a="1"/>
  <c r="P418" i="2" a="1"/>
  <c r="P415" i="2" a="1"/>
  <c r="O414" i="2" a="1"/>
  <c r="P413" i="2" a="1"/>
  <c r="O412" i="2" a="1"/>
  <c r="O407" i="2" a="1"/>
  <c r="P406" i="2" a="1"/>
  <c r="O401" i="2" a="1"/>
  <c r="P400" i="2" a="1"/>
  <c r="W399" i="2"/>
  <c r="Q398" i="2"/>
  <c r="W398" i="2"/>
  <c r="Q399" i="2"/>
  <c r="AA402" i="2"/>
  <c r="AB402" i="2" s="1"/>
  <c r="AA403" i="2"/>
  <c r="AB403" i="2" s="1"/>
  <c r="P404" i="2" a="1"/>
  <c r="O405" i="2" a="1"/>
  <c r="P405" i="2" a="1"/>
  <c r="O404" i="2" a="1"/>
  <c r="Q419" i="2" l="1"/>
  <c r="W419" i="2"/>
  <c r="AA419" i="2" s="1"/>
  <c r="AB419" i="2" s="1"/>
  <c r="W418" i="2"/>
  <c r="Q418" i="2"/>
  <c r="O411" i="2" a="1"/>
  <c r="P410" i="2" a="1"/>
  <c r="O413" i="2" a="1"/>
  <c r="P412" i="2" a="1"/>
  <c r="W401" i="2"/>
  <c r="Q401" i="2"/>
  <c r="Q400" i="2"/>
  <c r="W400" i="2"/>
  <c r="AA398" i="2"/>
  <c r="AB398" i="2" s="1"/>
  <c r="AA399" i="2"/>
  <c r="AB399" i="2" s="1"/>
  <c r="W404" i="2"/>
  <c r="W405" i="2"/>
  <c r="Q404" i="2"/>
  <c r="Q405" i="2"/>
  <c r="AA418" i="2" l="1"/>
  <c r="AB418" i="2" s="1"/>
  <c r="Q411" i="2"/>
  <c r="W411" i="2"/>
  <c r="AA411" i="2" s="1"/>
  <c r="AB411" i="2" s="1"/>
  <c r="W410" i="2"/>
  <c r="Q410" i="2"/>
  <c r="Q413" i="2"/>
  <c r="W413" i="2"/>
  <c r="Q412" i="2"/>
  <c r="W412" i="2"/>
  <c r="P407" i="2" a="1"/>
  <c r="O406" i="2" a="1"/>
  <c r="AA400" i="2"/>
  <c r="AB400" i="2" s="1"/>
  <c r="AA401" i="2"/>
  <c r="AB401" i="2" s="1"/>
  <c r="AA404" i="2"/>
  <c r="AB404" i="2" s="1"/>
  <c r="AA405" i="2"/>
  <c r="AB405" i="2" s="1"/>
  <c r="P416" i="2" l="1" a="1"/>
  <c r="O417" i="2" a="1"/>
  <c r="AA412" i="2"/>
  <c r="AB412" i="2" s="1"/>
  <c r="AA410" i="2"/>
  <c r="AB410" i="2" s="1"/>
  <c r="G38" i="3" s="1" a="1"/>
  <c r="W407" i="2"/>
  <c r="Q407" i="2"/>
  <c r="Q406" i="2"/>
  <c r="W406" i="2"/>
  <c r="AA413" i="2"/>
  <c r="AB413" i="2" s="1"/>
  <c r="P409" i="2" a="1"/>
  <c r="O408" i="2" a="1"/>
  <c r="O409" i="2" a="1"/>
  <c r="P408" i="2" a="1"/>
  <c r="Q408" i="2" s="1"/>
  <c r="O415" i="2" a="1"/>
  <c r="P414" i="2" a="1"/>
  <c r="AX5" i="3" a="1"/>
  <c r="Q416" i="2" l="1"/>
  <c r="W416" i="2"/>
  <c r="Q417" i="2"/>
  <c r="W417" i="2"/>
  <c r="AA417" i="2" s="1"/>
  <c r="AB417" i="2" s="1"/>
  <c r="AA407" i="2"/>
  <c r="AB407" i="2" s="1"/>
  <c r="Q409" i="2"/>
  <c r="W409" i="2"/>
  <c r="AA409" i="2" s="1"/>
  <c r="AB409" i="2" s="1"/>
  <c r="Q415" i="2"/>
  <c r="W415" i="2"/>
  <c r="W414" i="2"/>
  <c r="Q414" i="2"/>
  <c r="W408" i="2"/>
  <c r="AA408" i="2" s="1"/>
  <c r="AB408" i="2" s="1"/>
  <c r="G36" i="3" s="1" a="1"/>
  <c r="AA406" i="2"/>
  <c r="AB406" i="2" s="1"/>
  <c r="AX2" i="3" a="1"/>
  <c r="AA416" i="2" l="1"/>
  <c r="AB416" i="2" s="1"/>
  <c r="AA415" i="2"/>
  <c r="AB415" i="2" s="1"/>
  <c r="AA414" i="2"/>
  <c r="AB414" i="2" s="1"/>
  <c r="AX9" i="3" a="1"/>
  <c r="AX4" i="3" l="1" a="1"/>
  <c r="AX8" i="3" l="1" a="1"/>
  <c r="G39" i="3" l="1" a="1"/>
  <c r="G27" i="3" l="1" a="1"/>
  <c r="G26" i="3" l="1" a="1"/>
  <c r="G28" i="3" a="1"/>
  <c r="G31" i="3" l="1" a="1"/>
  <c r="AX7" i="3" a="1"/>
  <c r="G29" i="3" l="1" a="1"/>
  <c r="G37" i="3" l="1" a="1"/>
  <c r="G25" i="3" a="1"/>
  <c r="AX3" i="3" l="1" a="1"/>
  <c r="G34" i="3" a="1"/>
  <c r="G33" i="3" l="1" a="1"/>
  <c r="G30" i="3" l="1" a="1"/>
  <c r="G32" i="3" l="1" a="1"/>
  <c r="AX6" i="3" l="1" a="1"/>
  <c r="G35" i="3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<sst xmlns="http://schemas.openxmlformats.org/spreadsheetml/2006/main" count="2214" uniqueCount="93">
  <si>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</si>
  <si>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</si>
  <si>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</si>
  <si>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</si>
  <si>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</si>
  <si>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</si>
  <si>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</si>
  <si>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</si>
  <si>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</si>
  <si>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</si>
  <si>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</si>
  <si>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</si>
  <si>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</si>
  <si>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</si>
  <si>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</si>
  <si>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</si>
  <si>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</si>
  <si>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</si>
  <si>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</si>
  <si>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</si>
  <si>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</si>
  <si>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</si>
  <si>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</si>
  <si>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</si>
  <si>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</si>
  <si>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</si>
  <si>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</si>
  <si>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</si>
  <si>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</si>
  <si>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</si>
  <si>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</si>
  <si>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</si>
  <si>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</si>
  <si>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</si>
  <si>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</si>
  <si>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</si>
  <si>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</si>
  <si>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</si>
  <si>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</si>
  <si>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</si>
  <si>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</si>
  <si>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</si>
  <si>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</si>
  <si>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</si>
  <si>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</si>
  <si>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</si>
  <si>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</si>
  <si>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</si>
  <si>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</si>
  <si>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</si>
  <si>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</si>
  <si>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</si>
  <si>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</si>
  <si>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</si>
  <si>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</si>
  <si>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</si>
  <si>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</si>
  <si>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</si>
  <si>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</si>
  <si>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</si>
  <si>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</si>
  <si>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</si>
  <si>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</si>
  <si>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</si>
  <si>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</si>
  <si>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</si>
  <si>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</si>
  <si>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</si>
  <si>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</si>
  <si>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</si>
  <si>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</si>
  <si>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</si>
  <si>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</si>
  <si>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</si>
  <si>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</si>
  <si>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</si>
  <si>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</si>
  <si>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</si>
  <si>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</si>
  <si>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</si>
  <si>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</si>
  <si>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</si>
  <si>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</si>
  <si>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Dallas Wings</t>
  </si>
  <si>
    <t>DAL</t>
  </si>
  <si>
    <t>LVA</t>
  </si>
  <si>
    <t>Las Vegas Aces</t>
  </si>
  <si>
    <t>GSV</t>
  </si>
  <si>
    <t>Golden State Valkyries</t>
  </si>
  <si>
    <t>POR</t>
  </si>
  <si>
    <t>TOR</t>
  </si>
  <si>
    <t>Portland Fire</t>
  </si>
  <si>
    <t>Toronto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</si>
</sst>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3.552818865741" createdVersion="8" refreshedVersion="8" minRefreshableVersion="3" recordCount="41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6-05-08T00:00:00" maxDate="2026-07-30T00:00:00"/>
    </cacheField>
    <cacheField name="Season" numFmtId="1">
      <sharedItems containsSemiMixedTypes="0" containsString="0" containsNumber="1" containsInteger="1" minValue="2026" maxValue="2026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/>
    </cacheField>
    <cacheField name="Team" numFmtId="0">
      <sharedItems containsBlank="1" count="60">
        <s v="CON"/>
        <s v="NYL"/>
        <s v="GSV"/>
        <s v="SEA"/>
        <s v="WAS"/>
        <s v="TOR"/>
        <s v="DAL"/>
        <s v="IND"/>
        <s v="PHX"/>
        <s v="LVA"/>
        <s v="ATL"/>
        <s v="MIN"/>
        <s v="CHI"/>
        <s v="POR"/>
        <s v="LAS"/>
        <s v="SAS" u="1"/>
        <s v="TUL" u="1"/>
        <s v="DET" u="1"/>
        <s v="SAC" u="1"/>
        <s v="HOU" u="1"/>
        <s v="CHA" u="1"/>
        <s v="CLE" u="1"/>
        <s v="UTA" u="1"/>
        <s v="MIA" u="1"/>
        <s v="ORL" u="1"/>
        <s v="NO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15.6588597928999" maxValue="1685.2810705647025"/>
    </cacheField>
    <cacheField name="OppPreGmRate" numFmtId="165">
      <sharedItems containsSemiMixedTypes="0" containsString="0" containsNumber="1" minValue="1315.6588597928999" maxValue="1685.2810705647025"/>
    </cacheField>
    <cacheField name="ExpectedWin%" numFmtId="165">
      <sharedItems containsSemiMixedTypes="0" containsString="0" containsNumber="1" minValue="9.5527422730019129E-2" maxValue="0.90447257726998087"/>
    </cacheField>
    <cacheField name="PointsFor" numFmtId="0">
      <sharedItems containsSemiMixedTypes="0" containsString="0" containsNumber="1" containsInteger="1" minValue="49" maxValue="125"/>
    </cacheField>
    <cacheField name="PointsAgainst" numFmtId="0">
      <sharedItems containsSemiMixedTypes="0" containsString="0" containsNumber="1" containsInteger="1" minValue="49" maxValue="125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8" maxValue="48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245600659771842" maxValue="0.78822867300739108"/>
    </cacheField>
    <cacheField name="POMult" numFmtId="166">
      <sharedItems containsSemiMixedTypes="0" containsString="0" containsNumber="1" containsInteger="1" minValue="1" maxValue="1"/>
    </cacheField>
    <cacheField name="K" numFmtId="2">
      <sharedItems containsSemiMixedTypes="0" containsString="0" containsNumber="1" minValue="71.5" maxValue="75.849999999999994"/>
    </cacheField>
    <cacheField name="Keff" numFmtId="165">
      <sharedItems containsSemiMixedTypes="0" containsString="0" containsNumber="1" minValue="71.5" maxValue="75.849999999999994"/>
    </cacheField>
    <cacheField name="RatingChange" numFmtId="165">
      <sharedItems containsSemiMixedTypes="0" containsString="0" containsNumber="1" minValue="-37.700293777805229" maxValue="37.700293777805236"/>
    </cacheField>
    <cacheField name="PostGmRate" numFmtId="165">
      <sharedItems containsSemiMixedTypes="0" containsString="0" containsNumber="1" minValue="1315.6588597928999" maxValue="1685.2810705647025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0"/>
    </cacheField>
    <cacheField name="R1L" numFmtId="1">
      <sharedItems containsSemiMixedTypes="0" containsString="0" containsNumber="1" containsInteger="1" minValue="0" maxValue="0"/>
    </cacheField>
    <cacheField name="R2W" numFmtId="1">
      <sharedItems containsSemiMixedTypes="0" containsString="0" containsNumber="1" containsInteger="1" minValue="0" maxValue="0"/>
    </cacheField>
    <cacheField name="R2L" numFmtId="1">
      <sharedItems containsSemiMixedTypes="0" containsString="0" containsNumber="1" containsInteger="1" minValue="0" maxValue="0"/>
    </cacheField>
    <cacheField name="R3W" numFmtId="1">
      <sharedItems containsSemiMixedTypes="0" containsString="0" containsNumber="1" containsInteger="1" minValue="0" maxValue="0"/>
    </cacheField>
    <cacheField name="R3L" numFmtId="1">
      <sharedItems containsSemiMixedTypes="0" containsString="0" containsNumber="1" containsInteger="1" minValue="0" maxValue="0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d v="2026-05-08T00:00:00"/>
    <n v="2026"/>
    <x v="0"/>
    <s v="R"/>
    <s v="RS"/>
    <x v="0"/>
    <s v="NYL"/>
    <s v="A"/>
    <n v="0"/>
    <n v="0"/>
    <n v="0"/>
    <n v="0"/>
    <n v="0"/>
    <n v="0"/>
    <n v="1430.4783633226239"/>
    <n v="1526.6615204882949"/>
    <n v="0.26168721090108854"/>
    <n v="75"/>
    <n v="106"/>
    <n v="0"/>
    <n v="-31"/>
    <n v="0"/>
    <n v="0.66239207315468451"/>
    <n v="1"/>
    <n v="75.849999999999994"/>
    <n v="75.849999999999994"/>
    <n v="-13.147803665037753"/>
    <n v="1417.330559657586"/>
    <n v="0"/>
    <n v="1"/>
    <n v="0"/>
    <n v="0"/>
    <n v="0"/>
    <n v="0"/>
    <n v="0"/>
    <n v="0"/>
    <n v="0"/>
    <n v="0"/>
  </r>
  <r>
    <d v="2026-05-08T00:00:00"/>
    <n v="2026"/>
    <x v="0"/>
    <s v="R"/>
    <s v="RS"/>
    <x v="1"/>
    <s v="CON"/>
    <s v="H"/>
    <n v="0"/>
    <n v="0"/>
    <n v="0"/>
    <n v="0"/>
    <n v="0"/>
    <n v="0"/>
    <n v="1526.6615204882949"/>
    <n v="1430.4783633226239"/>
    <n v="0.7383127890989114"/>
    <n v="106"/>
    <n v="75"/>
    <n v="0"/>
    <n v="31"/>
    <n v="1"/>
    <n v="0.66239207315468451"/>
    <n v="1"/>
    <n v="75.849999999999994"/>
    <n v="75.849999999999994"/>
    <n v="13.147803665037754"/>
    <n v="1539.8093241533327"/>
    <n v="1"/>
    <n v="0"/>
    <n v="0"/>
    <n v="0"/>
    <n v="0"/>
    <n v="0"/>
    <n v="0"/>
    <n v="0"/>
    <n v="0"/>
    <n v="0"/>
  </r>
  <r>
    <d v="2026-05-08T00:00:00"/>
    <n v="2026"/>
    <x v="0"/>
    <s v="R"/>
    <s v="RS"/>
    <x v="2"/>
    <s v="SEA"/>
    <s v="A"/>
    <n v="0"/>
    <n v="0"/>
    <n v="0"/>
    <n v="0"/>
    <n v="0"/>
    <n v="0"/>
    <n v="1502.9140045261238"/>
    <n v="1504.5716043886844"/>
    <n v="0.37916714171803673"/>
    <n v="91"/>
    <n v="80"/>
    <n v="0"/>
    <n v="11"/>
    <n v="1"/>
    <n v="0.43922924830627719"/>
    <n v="1"/>
    <n v="75.849999999999994"/>
    <n v="75.849999999999994"/>
    <n v="20.68338098224379"/>
    <n v="1523.5973855083676"/>
    <n v="1"/>
    <n v="0"/>
    <n v="0"/>
    <n v="0"/>
    <n v="0"/>
    <n v="0"/>
    <n v="0"/>
    <n v="0"/>
    <n v="0"/>
    <n v="0"/>
  </r>
  <r>
    <d v="2026-05-08T00:00:00"/>
    <n v="2026"/>
    <x v="0"/>
    <s v="R"/>
    <s v="RS"/>
    <x v="3"/>
    <s v="GSV"/>
    <s v="H"/>
    <n v="0"/>
    <n v="0"/>
    <n v="0"/>
    <n v="0"/>
    <n v="0"/>
    <n v="0"/>
    <n v="1504.5716043886844"/>
    <n v="1502.9140045261238"/>
    <n v="0.62083285828196333"/>
    <n v="80"/>
    <n v="91"/>
    <n v="0"/>
    <n v="-11"/>
    <n v="0"/>
    <n v="0.43922924830627719"/>
    <n v="1"/>
    <n v="75.849999999999994"/>
    <n v="75.849999999999994"/>
    <n v="-20.68338098224379"/>
    <n v="1483.8882234064406"/>
    <n v="0"/>
    <n v="1"/>
    <n v="0"/>
    <n v="0"/>
    <n v="0"/>
    <n v="0"/>
    <n v="0"/>
    <n v="0"/>
    <n v="0"/>
    <n v="0"/>
  </r>
  <r>
    <d v="2026-05-08T00:00:00"/>
    <n v="2026"/>
    <x v="0"/>
    <s v="R"/>
    <s v="RS"/>
    <x v="4"/>
    <s v="TOR"/>
    <s v="A"/>
    <n v="0"/>
    <n v="0"/>
    <n v="0"/>
    <n v="0"/>
    <n v="0"/>
    <n v="0"/>
    <n v="1426.5148784337621"/>
    <n v="1500"/>
    <n v="0.28770485011515723"/>
    <n v="68"/>
    <n v="65"/>
    <n v="0"/>
    <n v="3"/>
    <n v="1"/>
    <n v="0.27343878575525049"/>
    <n v="1"/>
    <n v="75.849999999999994"/>
    <n v="75.849999999999994"/>
    <n v="14.773237819041201"/>
    <n v="1441.2881162528033"/>
    <n v="1"/>
    <n v="0"/>
    <n v="0"/>
    <n v="0"/>
    <n v="0"/>
    <n v="0"/>
    <n v="0"/>
    <n v="0"/>
    <n v="0"/>
    <n v="0"/>
  </r>
  <r>
    <d v="2026-05-08T00:00:00"/>
    <n v="2026"/>
    <x v="0"/>
    <s v="R"/>
    <s v="RS"/>
    <x v="5"/>
    <s v="WAS"/>
    <s v="H"/>
    <n v="0"/>
    <n v="0"/>
    <n v="0"/>
    <n v="0"/>
    <n v="0"/>
    <n v="0"/>
    <n v="1500"/>
    <n v="1426.5148784337621"/>
    <n v="0.71229514988484277"/>
    <n v="65"/>
    <n v="68"/>
    <n v="0"/>
    <n v="-3"/>
    <n v="0"/>
    <n v="0.27343878575525049"/>
    <n v="1"/>
    <n v="75.849999999999994"/>
    <n v="75.849999999999994"/>
    <n v="-14.773237819041201"/>
    <n v="1485.2267621809588"/>
    <n v="0"/>
    <n v="1"/>
    <n v="0"/>
    <n v="0"/>
    <n v="0"/>
    <n v="0"/>
    <n v="0"/>
    <n v="0"/>
    <n v="0"/>
    <n v="0"/>
  </r>
  <r>
    <d v="2026-05-09T00:00:00"/>
    <n v="2026"/>
    <x v="0"/>
    <s v="R"/>
    <s v="RS"/>
    <x v="6"/>
    <s v="IND"/>
    <s v="A"/>
    <n v="1"/>
    <n v="1"/>
    <n v="0"/>
    <n v="0"/>
    <n v="0"/>
    <n v="0"/>
    <n v="1404.1375917368582"/>
    <n v="1539.8459882162938"/>
    <n v="0.22015845811885618"/>
    <n v="107"/>
    <n v="104"/>
    <n v="0"/>
    <n v="3"/>
    <n v="1"/>
    <n v="0.26070078337177754"/>
    <n v="1"/>
    <n v="75.849999999999994"/>
    <n v="75.849999999999994"/>
    <n v="15.420707071313309"/>
    <n v="1419.5582988081715"/>
    <n v="1"/>
    <n v="0"/>
    <n v="0"/>
    <n v="0"/>
    <n v="0"/>
    <n v="0"/>
    <n v="0"/>
    <n v="0"/>
    <n v="0"/>
    <n v="0"/>
  </r>
  <r>
    <d v="2026-05-09T00:00:00"/>
    <n v="2026"/>
    <x v="0"/>
    <s v="R"/>
    <s v="RS"/>
    <x v="7"/>
    <s v="DAL"/>
    <s v="H"/>
    <n v="1"/>
    <n v="1"/>
    <n v="0"/>
    <n v="0"/>
    <n v="0"/>
    <n v="0"/>
    <n v="1539.8459882162938"/>
    <n v="1404.1375917368582"/>
    <n v="0.77984154188114385"/>
    <n v="104"/>
    <n v="107"/>
    <n v="0"/>
    <n v="-3"/>
    <n v="0"/>
    <n v="0.26070078337177754"/>
    <n v="1"/>
    <n v="75.849999999999994"/>
    <n v="75.849999999999994"/>
    <n v="-15.420707071313309"/>
    <n v="1524.4252811449805"/>
    <n v="0"/>
    <n v="1"/>
    <n v="0"/>
    <n v="0"/>
    <n v="0"/>
    <n v="0"/>
    <n v="0"/>
    <n v="0"/>
    <n v="0"/>
    <n v="0"/>
  </r>
  <r>
    <d v="2026-05-09T00:00:00"/>
    <n v="2026"/>
    <x v="0"/>
    <s v="R"/>
    <s v="RS"/>
    <x v="8"/>
    <s v="LVA"/>
    <s v="A"/>
    <n v="1"/>
    <n v="1"/>
    <n v="0"/>
    <n v="0"/>
    <n v="0"/>
    <n v="0"/>
    <n v="1535.3002995811814"/>
    <n v="1611.0586025774878"/>
    <n v="0.28503069868360092"/>
    <n v="99"/>
    <n v="66"/>
    <n v="0"/>
    <n v="33"/>
    <n v="1"/>
    <n v="0.69518717966140764"/>
    <n v="1"/>
    <n v="75.849999999999994"/>
    <n v="75.849999999999994"/>
    <n v="37.700293777805236"/>
    <n v="1573.0005933589866"/>
    <n v="1"/>
    <n v="0"/>
    <n v="0"/>
    <n v="0"/>
    <n v="0"/>
    <n v="0"/>
    <n v="0"/>
    <n v="0"/>
    <n v="0"/>
    <n v="0"/>
  </r>
  <r>
    <d v="2026-05-09T00:00:00"/>
    <n v="2026"/>
    <x v="0"/>
    <s v="R"/>
    <s v="RS"/>
    <x v="9"/>
    <s v="PHX"/>
    <s v="H"/>
    <n v="1"/>
    <n v="1"/>
    <n v="0"/>
    <n v="0"/>
    <n v="0"/>
    <n v="0"/>
    <n v="1611.0586025774878"/>
    <n v="1535.3002995811814"/>
    <n v="0.71496930131639902"/>
    <n v="66"/>
    <n v="99"/>
    <n v="0"/>
    <n v="-33"/>
    <n v="0"/>
    <n v="0.69518717966140764"/>
    <n v="1"/>
    <n v="75.849999999999994"/>
    <n v="75.849999999999994"/>
    <n v="-37.700293777805229"/>
    <n v="1573.3583087996826"/>
    <n v="0"/>
    <n v="1"/>
    <n v="0"/>
    <n v="0"/>
    <n v="0"/>
    <n v="0"/>
    <n v="0"/>
    <n v="0"/>
    <n v="0"/>
    <n v="0"/>
  </r>
  <r>
    <d v="2026-05-09T00:00:00"/>
    <n v="2026"/>
    <x v="0"/>
    <s v="R"/>
    <s v="RS"/>
    <x v="10"/>
    <s v="MIN"/>
    <s v="A"/>
    <n v="1"/>
    <n v="1"/>
    <n v="0"/>
    <n v="0"/>
    <n v="0"/>
    <n v="0"/>
    <n v="1564.7599122661518"/>
    <n v="1582.8467667301729"/>
    <n v="0.35717212873028431"/>
    <n v="91"/>
    <n v="90"/>
    <n v="0"/>
    <n v="1"/>
    <n v="1"/>
    <n v="0.24055395071748306"/>
    <n v="1"/>
    <n v="75.849999999999994"/>
    <n v="75.849999999999994"/>
    <n v="11.729048371348433"/>
    <n v="1576.4889606375002"/>
    <n v="1"/>
    <n v="0"/>
    <n v="0"/>
    <n v="0"/>
    <n v="0"/>
    <n v="0"/>
    <n v="0"/>
    <n v="0"/>
    <n v="0"/>
    <n v="0"/>
  </r>
  <r>
    <d v="2026-05-09T00:00:00"/>
    <n v="2026"/>
    <x v="0"/>
    <s v="R"/>
    <s v="RS"/>
    <x v="11"/>
    <s v="ATL"/>
    <s v="H"/>
    <n v="1"/>
    <n v="1"/>
    <n v="0"/>
    <n v="0"/>
    <n v="0"/>
    <n v="0"/>
    <n v="1582.8467667301729"/>
    <n v="1564.7599122661518"/>
    <n v="0.64282787126971563"/>
    <n v="90"/>
    <n v="91"/>
    <n v="0"/>
    <n v="-1"/>
    <n v="0"/>
    <n v="0.24055395071748306"/>
    <n v="1"/>
    <n v="75.849999999999994"/>
    <n v="75.849999999999994"/>
    <n v="-11.729048371348432"/>
    <n v="1571.1177183588245"/>
    <n v="0"/>
    <n v="1"/>
    <n v="0"/>
    <n v="0"/>
    <n v="0"/>
    <n v="0"/>
    <n v="0"/>
    <n v="0"/>
    <n v="0"/>
    <n v="0"/>
  </r>
  <r>
    <d v="2026-05-09T00:00:00"/>
    <n v="2026"/>
    <x v="0"/>
    <s v="R"/>
    <s v="RS"/>
    <x v="12"/>
    <s v="POR"/>
    <s v="A"/>
    <n v="1"/>
    <n v="1"/>
    <n v="0"/>
    <n v="0"/>
    <n v="0"/>
    <n v="0"/>
    <n v="1392.1434422998605"/>
    <n v="1500"/>
    <n v="0.24891354747836036"/>
    <n v="98"/>
    <n v="83"/>
    <n v="0"/>
    <n v="15"/>
    <n v="1"/>
    <n v="0.46137906340097701"/>
    <n v="1"/>
    <n v="75.849999999999994"/>
    <n v="75.849999999999994"/>
    <n v="26.284722529217689"/>
    <n v="1418.4281648290782"/>
    <n v="1"/>
    <n v="0"/>
    <n v="0"/>
    <n v="0"/>
    <n v="0"/>
    <n v="0"/>
    <n v="0"/>
    <n v="0"/>
    <n v="0"/>
    <n v="0"/>
  </r>
  <r>
    <d v="2026-05-09T00:00:00"/>
    <n v="2026"/>
    <x v="0"/>
    <s v="R"/>
    <s v="RS"/>
    <x v="13"/>
    <s v="CHI"/>
    <s v="H"/>
    <n v="1"/>
    <n v="1"/>
    <n v="0"/>
    <n v="0"/>
    <n v="0"/>
    <n v="0"/>
    <n v="1500"/>
    <n v="1392.1434422998605"/>
    <n v="0.75108645252163964"/>
    <n v="83"/>
    <n v="98"/>
    <n v="0"/>
    <n v="-15"/>
    <n v="0"/>
    <n v="0.46137906340097701"/>
    <n v="1"/>
    <n v="75.849999999999994"/>
    <n v="75.849999999999994"/>
    <n v="-26.284722529217689"/>
    <n v="1473.7152774707822"/>
    <n v="0"/>
    <n v="1"/>
    <n v="0"/>
    <n v="0"/>
    <n v="0"/>
    <n v="0"/>
    <n v="0"/>
    <n v="0"/>
    <n v="0"/>
    <n v="0"/>
  </r>
  <r>
    <d v="2026-05-10T00:00:00"/>
    <n v="2026"/>
    <x v="1"/>
    <s v="R"/>
    <s v="RS"/>
    <x v="3"/>
    <s v="CON"/>
    <s v="A"/>
    <n v="1"/>
    <n v="1"/>
    <n v="0"/>
    <n v="0"/>
    <n v="0"/>
    <n v="0"/>
    <n v="1483.8882234064406"/>
    <n v="1417.330559657586"/>
    <n v="0.47491952732738435"/>
    <n v="89"/>
    <n v="82"/>
    <n v="0"/>
    <n v="7"/>
    <n v="1"/>
    <n v="0.3506580234728659"/>
    <n v="1"/>
    <n v="75.7"/>
    <n v="75.7"/>
    <n v="13.938162629866426"/>
    <n v="1497.826386036307"/>
    <n v="1"/>
    <n v="0"/>
    <n v="0"/>
    <n v="0"/>
    <n v="0"/>
    <n v="0"/>
    <n v="0"/>
    <n v="0"/>
    <n v="0"/>
    <n v="0"/>
  </r>
  <r>
    <d v="2026-05-10T00:00:00"/>
    <n v="2026"/>
    <x v="1"/>
    <s v="R"/>
    <s v="RS"/>
    <x v="0"/>
    <s v="SEA"/>
    <s v="H"/>
    <n v="1"/>
    <n v="1"/>
    <n v="0"/>
    <n v="0"/>
    <n v="0"/>
    <n v="0"/>
    <n v="1417.330559657586"/>
    <n v="1483.8882234064406"/>
    <n v="0.52508047267261571"/>
    <n v="82"/>
    <n v="89"/>
    <n v="0"/>
    <n v="-7"/>
    <n v="0"/>
    <n v="0.3506580234728659"/>
    <n v="1"/>
    <n v="75.7"/>
    <n v="75.7"/>
    <n v="-13.938162629866426"/>
    <n v="1403.3923970277197"/>
    <n v="0"/>
    <n v="1"/>
    <n v="0"/>
    <n v="0"/>
    <n v="0"/>
    <n v="0"/>
    <n v="0"/>
    <n v="0"/>
    <n v="0"/>
    <n v="0"/>
  </r>
  <r>
    <d v="2026-05-10T00:00:00"/>
    <n v="2026"/>
    <x v="1"/>
    <s v="R"/>
    <s v="RS"/>
    <x v="8"/>
    <s v="GSV"/>
    <s v="A"/>
    <n v="0"/>
    <n v="1"/>
    <n v="-1"/>
    <n v="1"/>
    <n v="-8"/>
    <n v="8"/>
    <n v="1573.0005933589866"/>
    <n v="1523.5973855083676"/>
    <n v="0.42769578154121157"/>
    <n v="79"/>
    <n v="95"/>
    <n v="0"/>
    <n v="-16"/>
    <n v="0"/>
    <n v="0.49731202451847972"/>
    <n v="1"/>
    <n v="75.7"/>
    <n v="75.7"/>
    <n v="-16.101257903217892"/>
    <n v="1556.8993354557688"/>
    <n v="0"/>
    <n v="1"/>
    <n v="0"/>
    <n v="0"/>
    <n v="0"/>
    <n v="0"/>
    <n v="0"/>
    <n v="0"/>
    <n v="0"/>
    <n v="0"/>
  </r>
  <r>
    <d v="2026-05-10T00:00:00"/>
    <n v="2026"/>
    <x v="1"/>
    <s v="R"/>
    <s v="RS"/>
    <x v="2"/>
    <s v="PHX"/>
    <s v="H"/>
    <n v="1"/>
    <n v="0"/>
    <n v="1"/>
    <n v="-1"/>
    <n v="8"/>
    <n v="-8"/>
    <n v="1523.5973855083676"/>
    <n v="1573.0005933589866"/>
    <n v="0.57230421845878843"/>
    <n v="95"/>
    <n v="79"/>
    <n v="0"/>
    <n v="16"/>
    <n v="1"/>
    <n v="0.49731202451847972"/>
    <n v="1"/>
    <n v="75.7"/>
    <n v="75.7"/>
    <n v="16.101257903217892"/>
    <n v="1539.6986434115854"/>
    <n v="1"/>
    <n v="0"/>
    <n v="0"/>
    <n v="0"/>
    <n v="0"/>
    <n v="0"/>
    <n v="0"/>
    <n v="0"/>
    <n v="0"/>
    <n v="0"/>
  </r>
  <r>
    <d v="2026-05-10T00:00:00"/>
    <n v="2026"/>
    <x v="1"/>
    <s v="R"/>
    <s v="RS"/>
    <x v="9"/>
    <s v="LAS"/>
    <s v="A"/>
    <n v="0"/>
    <n v="2"/>
    <n v="-2"/>
    <n v="2"/>
    <n v="-16"/>
    <n v="16"/>
    <n v="1573.3583087996826"/>
    <n v="1478.2122392751603"/>
    <n v="0.47002477013799693"/>
    <n v="105"/>
    <n v="78"/>
    <n v="0"/>
    <n v="27"/>
    <n v="1"/>
    <n v="0.61769094531066915"/>
    <n v="1"/>
    <n v="75.7"/>
    <n v="75.7"/>
    <n v="24.78122018485978"/>
    <n v="1598.1395289845425"/>
    <n v="1"/>
    <n v="0"/>
    <n v="0"/>
    <n v="0"/>
    <n v="0"/>
    <n v="0"/>
    <n v="0"/>
    <n v="0"/>
    <n v="0"/>
    <n v="0"/>
  </r>
  <r>
    <d v="2026-05-10T00:00:00"/>
    <n v="2026"/>
    <x v="0"/>
    <s v="R"/>
    <s v="RS"/>
    <x v="14"/>
    <s v="LVA"/>
    <s v="H"/>
    <n v="2"/>
    <n v="0"/>
    <n v="2"/>
    <n v="-2"/>
    <n v="16"/>
    <n v="-16"/>
    <n v="1478.2122392751603"/>
    <n v="1573.3583087996826"/>
    <n v="0.52997522986200307"/>
    <n v="78"/>
    <n v="105"/>
    <n v="0"/>
    <n v="-27"/>
    <n v="0"/>
    <n v="0.61769094531066915"/>
    <n v="1"/>
    <n v="75.849999999999994"/>
    <n v="75.849999999999994"/>
    <n v="-24.830324319968483"/>
    <n v="1453.3819149551919"/>
    <n v="0"/>
    <n v="1"/>
    <n v="0"/>
    <n v="0"/>
    <n v="0"/>
    <n v="0"/>
    <n v="0"/>
    <n v="0"/>
    <n v="0"/>
    <n v="0"/>
  </r>
  <r>
    <d v="2026-05-10T00:00:00"/>
    <n v="2026"/>
    <x v="1"/>
    <s v="R"/>
    <s v="RS"/>
    <x v="1"/>
    <s v="WAS"/>
    <s v="A"/>
    <n v="1"/>
    <n v="1"/>
    <n v="0"/>
    <n v="0"/>
    <n v="0"/>
    <n v="0"/>
    <n v="1539.8093241533327"/>
    <n v="1441.2881162528033"/>
    <n v="0.52088553810708227"/>
    <n v="98"/>
    <n v="93"/>
    <n v="1"/>
    <n v="5"/>
    <n v="1"/>
    <n v="0.27592653190273819"/>
    <n v="1"/>
    <n v="75.7"/>
    <n v="75.7"/>
    <n v="10.007569663390147"/>
    <n v="1549.8168938167228"/>
    <n v="1"/>
    <n v="0"/>
    <n v="0"/>
    <n v="0"/>
    <n v="0"/>
    <n v="0"/>
    <n v="0"/>
    <n v="0"/>
    <n v="0"/>
    <n v="0"/>
  </r>
  <r>
    <d v="2026-05-10T00:00:00"/>
    <n v="2026"/>
    <x v="1"/>
    <s v="R"/>
    <s v="RS"/>
    <x v="4"/>
    <s v="NYL"/>
    <s v="H"/>
    <n v="1"/>
    <n v="1"/>
    <n v="0"/>
    <n v="0"/>
    <n v="0"/>
    <n v="0"/>
    <n v="1441.2881162528033"/>
    <n v="1539.8093241533327"/>
    <n v="0.47911446189291768"/>
    <n v="93"/>
    <n v="98"/>
    <n v="1"/>
    <n v="-5"/>
    <n v="0"/>
    <n v="0.27592653190273819"/>
    <n v="1"/>
    <n v="75.7"/>
    <n v="75.7"/>
    <n v="-10.007569663390145"/>
    <n v="1431.2805465894132"/>
    <n v="0"/>
    <n v="1"/>
    <n v="0"/>
    <n v="0"/>
    <n v="0"/>
    <n v="0"/>
    <n v="0"/>
    <n v="0"/>
    <n v="0"/>
    <n v="0"/>
  </r>
  <r>
    <d v="2026-05-12T00:00:00"/>
    <n v="2026"/>
    <x v="1"/>
    <s v="R"/>
    <s v="RS"/>
    <x v="10"/>
    <s v="DAL"/>
    <s v="A"/>
    <n v="2"/>
    <n v="2"/>
    <n v="0"/>
    <n v="0"/>
    <n v="0"/>
    <n v="0"/>
    <n v="1576.4889606375002"/>
    <n v="1419.5582988081715"/>
    <n v="0.6034408076480573"/>
    <n v="77"/>
    <n v="72"/>
    <n v="0"/>
    <n v="5"/>
    <n v="1"/>
    <n v="0.29338799818761124"/>
    <n v="1"/>
    <n v="75.7"/>
    <n v="75.7"/>
    <n v="8.8073700658523482"/>
    <n v="1585.2963307033526"/>
    <n v="1"/>
    <n v="0"/>
    <n v="0"/>
    <n v="0"/>
    <n v="0"/>
    <n v="0"/>
    <n v="0"/>
    <n v="0"/>
    <n v="0"/>
    <n v="0"/>
  </r>
  <r>
    <d v="2026-05-12T00:00:00"/>
    <n v="2026"/>
    <x v="1"/>
    <s v="R"/>
    <s v="RS"/>
    <x v="6"/>
    <s v="ATL"/>
    <s v="H"/>
    <n v="2"/>
    <n v="2"/>
    <n v="0"/>
    <n v="0"/>
    <n v="0"/>
    <n v="0"/>
    <n v="1419.5582988081715"/>
    <n v="1576.4889606375002"/>
    <n v="0.3965591923519427"/>
    <n v="72"/>
    <n v="77"/>
    <n v="0"/>
    <n v="-5"/>
    <n v="0"/>
    <n v="0.29338799818761124"/>
    <n v="1"/>
    <n v="75.7"/>
    <n v="75.7"/>
    <n v="-8.8073700658523482"/>
    <n v="1410.750928742319"/>
    <n v="0"/>
    <n v="1"/>
    <n v="0"/>
    <n v="0"/>
    <n v="0"/>
    <n v="0"/>
    <n v="0"/>
    <n v="0"/>
    <n v="0"/>
    <n v="0"/>
  </r>
  <r>
    <d v="2026-05-12T00:00:00"/>
    <n v="2026"/>
    <x v="1"/>
    <s v="R"/>
    <s v="RS"/>
    <x v="11"/>
    <s v="PHX"/>
    <s v="A"/>
    <n v="2"/>
    <n v="1"/>
    <n v="1"/>
    <n v="-1"/>
    <n v="8"/>
    <n v="-8"/>
    <n v="1571.1177183588245"/>
    <n v="1556.8993354557688"/>
    <n v="0.42321436079484953"/>
    <n v="88"/>
    <n v="84"/>
    <n v="0"/>
    <n v="4"/>
    <n v="1"/>
    <n v="0.30778588691033948"/>
    <n v="1"/>
    <n v="75.7"/>
    <n v="75.7"/>
    <n v="13.438754499656756"/>
    <n v="1584.5564728584814"/>
    <n v="1"/>
    <n v="0"/>
    <n v="0"/>
    <n v="0"/>
    <n v="0"/>
    <n v="0"/>
    <n v="0"/>
    <n v="0"/>
    <n v="0"/>
    <n v="0"/>
  </r>
  <r>
    <d v="2026-05-12T00:00:00"/>
    <n v="2026"/>
    <x v="2"/>
    <s v="R"/>
    <s v="RS"/>
    <x v="8"/>
    <s v="MIN"/>
    <s v="H"/>
    <n v="1"/>
    <n v="2"/>
    <n v="-1"/>
    <n v="1"/>
    <n v="-8"/>
    <n v="8"/>
    <n v="1556.8993354557688"/>
    <n v="1571.1177183588245"/>
    <n v="0.57678563920515047"/>
    <n v="84"/>
    <n v="88"/>
    <n v="0"/>
    <n v="-4"/>
    <n v="0"/>
    <n v="0.30778588691033948"/>
    <n v="1"/>
    <n v="75.55"/>
    <n v="75.55"/>
    <n v="-13.412125527728771"/>
    <n v="1543.4872099280401"/>
    <n v="0"/>
    <n v="1"/>
    <n v="0"/>
    <n v="0"/>
    <n v="0"/>
    <n v="0"/>
    <n v="0"/>
    <n v="0"/>
    <n v="0"/>
    <n v="0"/>
  </r>
  <r>
    <d v="2026-05-12T00:00:00"/>
    <n v="2026"/>
    <x v="2"/>
    <s v="R"/>
    <s v="RS"/>
    <x v="1"/>
    <s v="POR"/>
    <s v="A"/>
    <n v="1"/>
    <n v="2"/>
    <n v="-1"/>
    <n v="1"/>
    <n v="-8"/>
    <n v="8"/>
    <n v="1549.8168938167228"/>
    <n v="1473.7152774707822"/>
    <n v="0.4656616002922559"/>
    <n v="96"/>
    <n v="98"/>
    <n v="0"/>
    <n v="-2"/>
    <n v="0"/>
    <n v="0.25186833152985549"/>
    <n v="1"/>
    <n v="75.55"/>
    <n v="75.55"/>
    <n v="-8.8609127499126945"/>
    <n v="1540.9559810668102"/>
    <n v="0"/>
    <n v="1"/>
    <n v="0"/>
    <n v="0"/>
    <n v="0"/>
    <n v="0"/>
    <n v="0"/>
    <n v="0"/>
    <n v="0"/>
    <n v="0"/>
  </r>
  <r>
    <d v="2026-05-12T00:00:00"/>
    <n v="2026"/>
    <x v="1"/>
    <s v="R"/>
    <s v="RS"/>
    <x v="13"/>
    <s v="NYL"/>
    <s v="H"/>
    <n v="2"/>
    <n v="1"/>
    <n v="1"/>
    <n v="-1"/>
    <n v="8"/>
    <n v="-8"/>
    <n v="1473.7152774707822"/>
    <n v="1549.8168938167228"/>
    <n v="0.5343383997077441"/>
    <n v="98"/>
    <n v="96"/>
    <n v="0"/>
    <n v="2"/>
    <n v="1"/>
    <n v="0.25186833152985549"/>
    <n v="1"/>
    <n v="75.7"/>
    <n v="75.7"/>
    <n v="8.8785055614611661"/>
    <n v="1482.5937830322434"/>
    <n v="1"/>
    <n v="0"/>
    <n v="0"/>
    <n v="0"/>
    <n v="0"/>
    <n v="0"/>
    <n v="0"/>
    <n v="0"/>
    <n v="0"/>
    <n v="0"/>
  </r>
  <r>
    <d v="2026-05-13T00:00:00"/>
    <n v="2026"/>
    <x v="2"/>
    <s v="R"/>
    <s v="RS"/>
    <x v="9"/>
    <s v="CON"/>
    <s v="A"/>
    <n v="2"/>
    <n v="2"/>
    <n v="0"/>
    <n v="0"/>
    <n v="0"/>
    <n v="0"/>
    <n v="1598.1395289845425"/>
    <n v="1403.3923970277197"/>
    <n v="0.65419076916111696"/>
    <n v="98"/>
    <n v="69"/>
    <n v="0"/>
    <n v="29"/>
    <n v="1"/>
    <n v="0.59482864313128569"/>
    <n v="1"/>
    <n v="75.55"/>
    <n v="75.55"/>
    <n v="15.540426146721668"/>
    <n v="1613.6799551312643"/>
    <n v="1"/>
    <n v="0"/>
    <n v="0"/>
    <n v="0"/>
    <n v="0"/>
    <n v="0"/>
    <n v="0"/>
    <n v="0"/>
    <n v="0"/>
    <n v="0"/>
  </r>
  <r>
    <d v="2026-05-13T00:00:00"/>
    <n v="2026"/>
    <x v="2"/>
    <s v="R"/>
    <s v="RS"/>
    <x v="0"/>
    <s v="LVA"/>
    <s v="H"/>
    <n v="2"/>
    <n v="2"/>
    <n v="0"/>
    <n v="0"/>
    <n v="0"/>
    <n v="0"/>
    <n v="1403.3923970277197"/>
    <n v="1598.1395289845425"/>
    <n v="0.3458092308388831"/>
    <n v="69"/>
    <n v="98"/>
    <n v="0"/>
    <n v="-29"/>
    <n v="0"/>
    <n v="0.59482864313128569"/>
    <n v="1"/>
    <n v="75.55"/>
    <n v="75.55"/>
    <n v="-15.54042614672167"/>
    <n v="1387.8519708809979"/>
    <n v="0"/>
    <n v="1"/>
    <n v="0"/>
    <n v="0"/>
    <n v="0"/>
    <n v="0"/>
    <n v="0"/>
    <n v="0"/>
    <n v="0"/>
    <n v="0"/>
  </r>
  <r>
    <d v="2026-05-13T00:00:00"/>
    <n v="2026"/>
    <x v="1"/>
    <s v="R"/>
    <s v="RS"/>
    <x v="12"/>
    <s v="GSV"/>
    <s v="A"/>
    <n v="3"/>
    <n v="2"/>
    <n v="1"/>
    <n v="-1"/>
    <n v="8"/>
    <n v="-8"/>
    <n v="1418.4281648290782"/>
    <n v="1539.6986434115854"/>
    <n v="0.25170708354201776"/>
    <n v="69"/>
    <n v="63"/>
    <n v="0"/>
    <n v="6"/>
    <n v="1"/>
    <n v="0.31903907651174168"/>
    <n v="1"/>
    <n v="75.7"/>
    <n v="75.7"/>
    <n v="18.072215353746362"/>
    <n v="1436.5003801828245"/>
    <n v="1"/>
    <n v="0"/>
    <n v="0"/>
    <n v="0"/>
    <n v="0"/>
    <n v="0"/>
    <n v="0"/>
    <n v="0"/>
    <n v="0"/>
    <n v="0"/>
  </r>
  <r>
    <d v="2026-05-13T00:00:00"/>
    <n v="2026"/>
    <x v="2"/>
    <s v="R"/>
    <s v="RS"/>
    <x v="2"/>
    <s v="CHI"/>
    <s v="H"/>
    <n v="2"/>
    <n v="3"/>
    <n v="-1"/>
    <n v="1"/>
    <n v="-8"/>
    <n v="8"/>
    <n v="1539.6986434115854"/>
    <n v="1418.4281648290782"/>
    <n v="0.74829291645798224"/>
    <n v="63"/>
    <n v="69"/>
    <n v="0"/>
    <n v="-6"/>
    <n v="0"/>
    <n v="0.31903907651174168"/>
    <n v="1"/>
    <n v="75.55"/>
    <n v="75.55"/>
    <n v="-18.036405151592309"/>
    <n v="1521.662238259993"/>
    <n v="0"/>
    <n v="1"/>
    <n v="0"/>
    <n v="0"/>
    <n v="0"/>
    <n v="0"/>
    <n v="0"/>
    <n v="0"/>
    <n v="0"/>
    <n v="0"/>
  </r>
  <r>
    <d v="2026-05-13T00:00:00"/>
    <n v="2026"/>
    <x v="1"/>
    <s v="R"/>
    <s v="RS"/>
    <x v="7"/>
    <s v="LAS"/>
    <s v="A"/>
    <n v="3"/>
    <n v="2"/>
    <n v="1"/>
    <n v="-1"/>
    <n v="8"/>
    <n v="-8"/>
    <n v="1524.4252811449805"/>
    <n v="1453.3819149551919"/>
    <n v="0.5043796439984698"/>
    <n v="87"/>
    <n v="78"/>
    <n v="0"/>
    <n v="9"/>
    <n v="1"/>
    <n v="0.38328026056032233"/>
    <n v="1"/>
    <n v="75.7"/>
    <n v="75.7"/>
    <n v="14.380085488476054"/>
    <n v="1538.8053666334565"/>
    <n v="1"/>
    <n v="0"/>
    <n v="0"/>
    <n v="0"/>
    <n v="0"/>
    <n v="0"/>
    <n v="0"/>
    <n v="0"/>
    <n v="0"/>
    <n v="0"/>
  </r>
  <r>
    <d v="2026-05-13T00:00:00"/>
    <n v="2026"/>
    <x v="1"/>
    <s v="R"/>
    <s v="RS"/>
    <x v="14"/>
    <s v="IND"/>
    <s v="H"/>
    <n v="2"/>
    <n v="3"/>
    <n v="-1"/>
    <n v="1"/>
    <n v="-8"/>
    <n v="8"/>
    <n v="1453.3819149551919"/>
    <n v="1524.4252811449805"/>
    <n v="0.49562035600153026"/>
    <n v="78"/>
    <n v="87"/>
    <n v="0"/>
    <n v="-9"/>
    <n v="0"/>
    <n v="0.38328026056032233"/>
    <n v="1"/>
    <n v="75.7"/>
    <n v="75.7"/>
    <n v="-14.380085488476055"/>
    <n v="1439.0018294667159"/>
    <n v="0"/>
    <n v="1"/>
    <n v="0"/>
    <n v="0"/>
    <n v="0"/>
    <n v="0"/>
    <n v="0"/>
    <n v="0"/>
    <n v="0"/>
    <n v="0"/>
  </r>
  <r>
    <d v="2026-05-13T00:00:00"/>
    <n v="2026"/>
    <x v="2"/>
    <s v="R"/>
    <s v="RS"/>
    <x v="3"/>
    <s v="TOR"/>
    <s v="A"/>
    <n v="2"/>
    <n v="4"/>
    <n v="-2"/>
    <n v="2"/>
    <n v="-16"/>
    <n v="16"/>
    <n v="1497.826386036307"/>
    <n v="1485.2267621809588"/>
    <n v="0.35543794794148842"/>
    <n v="73"/>
    <n v="86"/>
    <n v="0"/>
    <n v="-13"/>
    <n v="0"/>
    <n v="0.46713894317067145"/>
    <n v="1"/>
    <n v="75.55"/>
    <n v="75.55"/>
    <n v="-12.544239451360703"/>
    <n v="1485.2821465849463"/>
    <n v="0"/>
    <n v="1"/>
    <n v="0"/>
    <n v="0"/>
    <n v="0"/>
    <n v="0"/>
    <n v="0"/>
    <n v="0"/>
    <n v="0"/>
    <n v="0"/>
  </r>
  <r>
    <d v="2026-05-13T00:00:00"/>
    <n v="2026"/>
    <x v="1"/>
    <s v="R"/>
    <s v="RS"/>
    <x v="5"/>
    <s v="SEA"/>
    <s v="H"/>
    <n v="4"/>
    <n v="2"/>
    <n v="2"/>
    <n v="-2"/>
    <n v="16"/>
    <n v="-16"/>
    <n v="1485.2267621809588"/>
    <n v="1497.826386036307"/>
    <n v="0.64456205205851158"/>
    <n v="86"/>
    <n v="73"/>
    <n v="0"/>
    <n v="13"/>
    <n v="1"/>
    <n v="0.46713894317067145"/>
    <n v="1"/>
    <n v="75.7"/>
    <n v="75.7"/>
    <n v="12.569145287465325"/>
    <n v="1497.795907468424"/>
    <n v="1"/>
    <n v="0"/>
    <n v="0"/>
    <n v="0"/>
    <n v="0"/>
    <n v="0"/>
    <n v="0"/>
    <n v="0"/>
    <n v="0"/>
    <n v="0"/>
  </r>
  <r>
    <d v="2026-05-14T00:00:00"/>
    <n v="2026"/>
    <x v="2"/>
    <s v="R"/>
    <s v="RS"/>
    <x v="11"/>
    <s v="DAL"/>
    <s v="A"/>
    <n v="1"/>
    <n v="1"/>
    <n v="0"/>
    <n v="0"/>
    <n v="0"/>
    <n v="0"/>
    <n v="1584.5564728584814"/>
    <n v="1410.750928742319"/>
    <n v="0.62643716902862656"/>
    <n v="90"/>
    <n v="86"/>
    <n v="0"/>
    <n v="4"/>
    <n v="1"/>
    <n v="0.27203215439422868"/>
    <n v="1"/>
    <n v="75.55"/>
    <n v="75.55"/>
    <n v="7.677474234247148"/>
    <n v="1592.2339470927286"/>
    <n v="1"/>
    <n v="0"/>
    <n v="0"/>
    <n v="0"/>
    <n v="0"/>
    <n v="0"/>
    <n v="0"/>
    <n v="0"/>
    <n v="0"/>
    <n v="0"/>
  </r>
  <r>
    <d v="2026-05-14T00:00:00"/>
    <n v="2026"/>
    <x v="2"/>
    <s v="R"/>
    <s v="RS"/>
    <x v="6"/>
    <s v="MIN"/>
    <s v="H"/>
    <n v="1"/>
    <n v="1"/>
    <n v="0"/>
    <n v="0"/>
    <n v="0"/>
    <n v="0"/>
    <n v="1410.750928742319"/>
    <n v="1584.5564728584814"/>
    <n v="0.37356283097137338"/>
    <n v="86"/>
    <n v="90"/>
    <n v="0"/>
    <n v="-4"/>
    <n v="0"/>
    <n v="0.27203215439422868"/>
    <n v="1"/>
    <n v="75.55"/>
    <n v="75.55"/>
    <n v="-7.6774742342471471"/>
    <n v="1403.0734545080718"/>
    <n v="0"/>
    <n v="1"/>
    <n v="0"/>
    <n v="0"/>
    <n v="0"/>
    <n v="0"/>
    <n v="0"/>
    <n v="0"/>
    <n v="0"/>
    <n v="0"/>
  </r>
  <r>
    <d v="2026-05-14T00:00:00"/>
    <n v="2026"/>
    <x v="3"/>
    <s v="R"/>
    <s v="RS"/>
    <x v="1"/>
    <s v="POR"/>
    <s v="A"/>
    <n v="1"/>
    <n v="1"/>
    <n v="0"/>
    <n v="0"/>
    <n v="0"/>
    <n v="0"/>
    <n v="1540.9559810668102"/>
    <n v="1482.5937830322434"/>
    <n v="0.46317105970736605"/>
    <n v="100"/>
    <n v="82"/>
    <n v="0"/>
    <n v="18"/>
    <n v="1"/>
    <n v="0.52147205278138842"/>
    <n v="1"/>
    <n v="75.400000000000006"/>
    <n v="75.400000000000006"/>
    <n v="21.107573227309036"/>
    <n v="1562.0635542941193"/>
    <n v="1"/>
    <n v="0"/>
    <n v="0"/>
    <n v="0"/>
    <n v="0"/>
    <n v="0"/>
    <n v="0"/>
    <n v="0"/>
    <n v="0"/>
    <n v="0"/>
  </r>
  <r>
    <d v="2026-05-14T00:00:00"/>
    <n v="2026"/>
    <x v="2"/>
    <s v="R"/>
    <s v="RS"/>
    <x v="13"/>
    <s v="NYL"/>
    <s v="H"/>
    <n v="1"/>
    <n v="1"/>
    <n v="0"/>
    <n v="0"/>
    <n v="0"/>
    <n v="0"/>
    <n v="1482.5937830322434"/>
    <n v="1540.9559810668102"/>
    <n v="0.53682894029263395"/>
    <n v="82"/>
    <n v="100"/>
    <n v="0"/>
    <n v="-18"/>
    <n v="0"/>
    <n v="0.52147205278138842"/>
    <n v="1"/>
    <n v="75.55"/>
    <n v="75.55"/>
    <n v="-21.149564420732062"/>
    <n v="1461.4442186115114"/>
    <n v="0"/>
    <n v="1"/>
    <n v="0"/>
    <n v="0"/>
    <n v="0"/>
    <n v="0"/>
    <n v="0"/>
    <n v="0"/>
    <n v="0"/>
    <n v="0"/>
  </r>
  <r>
    <d v="2026-05-15T00:00:00"/>
    <n v="2026"/>
    <x v="3"/>
    <s v="R"/>
    <s v="RS"/>
    <x v="9"/>
    <s v="CON"/>
    <s v="A"/>
    <n v="1"/>
    <n v="1"/>
    <n v="0"/>
    <n v="0"/>
    <n v="0"/>
    <n v="0"/>
    <n v="1613.6799551312643"/>
    <n v="1387.8519708809979"/>
    <n v="0.69347747296137074"/>
    <n v="101"/>
    <n v="94"/>
    <n v="0"/>
    <n v="7"/>
    <n v="1"/>
    <n v="0.31148821028233448"/>
    <n v="1"/>
    <n v="75.400000000000006"/>
    <n v="75.400000000000006"/>
    <n v="7.1990527632294752"/>
    <n v="1620.8790078944937"/>
    <n v="1"/>
    <n v="0"/>
    <n v="0"/>
    <n v="0"/>
    <n v="0"/>
    <n v="0"/>
    <n v="0"/>
    <n v="0"/>
    <n v="0"/>
    <n v="0"/>
  </r>
  <r>
    <d v="2026-05-15T00:00:00"/>
    <n v="2026"/>
    <x v="3"/>
    <s v="R"/>
    <s v="RS"/>
    <x v="0"/>
    <s v="LVA"/>
    <s v="H"/>
    <n v="1"/>
    <n v="1"/>
    <n v="0"/>
    <n v="0"/>
    <n v="0"/>
    <n v="0"/>
    <n v="1387.8519708809979"/>
    <n v="1613.6799551312643"/>
    <n v="0.3065225270386292"/>
    <n v="94"/>
    <n v="101"/>
    <n v="0"/>
    <n v="-7"/>
    <n v="0"/>
    <n v="0.31148821028233448"/>
    <n v="1"/>
    <n v="75.400000000000006"/>
    <n v="75.400000000000006"/>
    <n v="-7.1990527632294743"/>
    <n v="1380.6529181177684"/>
    <n v="0"/>
    <n v="1"/>
    <n v="0"/>
    <n v="0"/>
    <n v="0"/>
    <n v="0"/>
    <n v="0"/>
    <n v="0"/>
    <n v="0"/>
    <n v="0"/>
  </r>
  <r>
    <d v="2026-05-15T00:00:00"/>
    <n v="2026"/>
    <x v="2"/>
    <s v="R"/>
    <s v="RS"/>
    <x v="4"/>
    <s v="IND"/>
    <s v="A"/>
    <n v="4"/>
    <n v="1"/>
    <n v="3"/>
    <n v="-3"/>
    <n v="16"/>
    <n v="-16"/>
    <n v="1431.2805465894132"/>
    <n v="1538.8053666334565"/>
    <n v="0.28530467646062524"/>
    <n v="104"/>
    <n v="102"/>
    <n v="1"/>
    <n v="2"/>
    <n v="1"/>
    <n v="0.22123375559685329"/>
    <n v="1"/>
    <n v="75.55"/>
    <n v="75.55"/>
    <n v="11.945567891853068"/>
    <n v="1443.2261144812662"/>
    <n v="1"/>
    <n v="0"/>
    <n v="0"/>
    <n v="0"/>
    <n v="0"/>
    <n v="0"/>
    <n v="0"/>
    <n v="0"/>
    <n v="0"/>
    <n v="0"/>
  </r>
  <r>
    <d v="2026-05-15T00:00:00"/>
    <n v="2026"/>
    <x v="2"/>
    <s v="R"/>
    <s v="RS"/>
    <x v="7"/>
    <s v="WAS"/>
    <s v="H"/>
    <n v="1"/>
    <n v="4"/>
    <n v="-3"/>
    <n v="3"/>
    <n v="-16"/>
    <n v="16"/>
    <n v="1538.8053666334565"/>
    <n v="1431.2805465894132"/>
    <n v="0.71469532353937471"/>
    <n v="102"/>
    <n v="104"/>
    <n v="1"/>
    <n v="-2"/>
    <n v="0"/>
    <n v="0.22123375559685329"/>
    <n v="1"/>
    <n v="75.55"/>
    <n v="75.55"/>
    <n v="-11.945567891853068"/>
    <n v="1526.8597987416035"/>
    <n v="0"/>
    <n v="1"/>
    <n v="0"/>
    <n v="0"/>
    <n v="0"/>
    <n v="0"/>
    <n v="0"/>
    <n v="0"/>
    <n v="0"/>
    <n v="0"/>
  </r>
  <r>
    <d v="2026-05-15T00:00:00"/>
    <n v="2026"/>
    <x v="2"/>
    <s v="R"/>
    <s v="RS"/>
    <x v="5"/>
    <s v="LAS"/>
    <s v="A"/>
    <n v="1"/>
    <n v="1"/>
    <n v="0"/>
    <n v="0"/>
    <n v="0"/>
    <n v="0"/>
    <n v="1497.795907468424"/>
    <n v="1439.0018294667159"/>
    <n v="0.46378926915161206"/>
    <n v="95"/>
    <n v="99"/>
    <n v="0"/>
    <n v="-4"/>
    <n v="0"/>
    <n v="0.29688674932274989"/>
    <n v="1"/>
    <n v="75.55"/>
    <n v="75.55"/>
    <n v="-10.40269772535876"/>
    <n v="1487.3932097430652"/>
    <n v="0"/>
    <n v="1"/>
    <n v="0"/>
    <n v="0"/>
    <n v="0"/>
    <n v="0"/>
    <n v="0"/>
    <n v="0"/>
    <n v="0"/>
    <n v="0"/>
  </r>
  <r>
    <d v="2026-05-15T00:00:00"/>
    <n v="2026"/>
    <x v="2"/>
    <s v="R"/>
    <s v="RS"/>
    <x v="14"/>
    <s v="TOR"/>
    <s v="H"/>
    <n v="1"/>
    <n v="1"/>
    <n v="0"/>
    <n v="0"/>
    <n v="0"/>
    <n v="0"/>
    <n v="1439.0018294667159"/>
    <n v="1497.795907468424"/>
    <n v="0.536210730848388"/>
    <n v="99"/>
    <n v="95"/>
    <n v="0"/>
    <n v="4"/>
    <n v="1"/>
    <n v="0.29688674932274989"/>
    <n v="1"/>
    <n v="75.55"/>
    <n v="75.55"/>
    <n v="10.402697725358758"/>
    <n v="1449.4045271920747"/>
    <n v="1"/>
    <n v="0"/>
    <n v="0"/>
    <n v="0"/>
    <n v="0"/>
    <n v="0"/>
    <n v="0"/>
    <n v="0"/>
    <n v="0"/>
    <n v="0"/>
  </r>
  <r>
    <d v="2026-05-15T00:00:00"/>
    <n v="2026"/>
    <x v="2"/>
    <s v="R"/>
    <s v="RS"/>
    <x v="12"/>
    <s v="PHX"/>
    <s v="A"/>
    <n v="1"/>
    <n v="2"/>
    <n v="-1"/>
    <n v="1"/>
    <n v="-8"/>
    <n v="8"/>
    <n v="1436.5003801828245"/>
    <n v="1543.4872099280401"/>
    <n v="0.23298862993059333"/>
    <n v="83"/>
    <n v="91"/>
    <n v="0"/>
    <n v="-8"/>
    <n v="0"/>
    <n v="0.35652894994698958"/>
    <n v="1"/>
    <n v="75.55"/>
    <n v="75.55"/>
    <n v="-6.2757263237739727"/>
    <n v="1430.2246538590505"/>
    <n v="0"/>
    <n v="1"/>
    <n v="0"/>
    <n v="0"/>
    <n v="0"/>
    <n v="0"/>
    <n v="0"/>
    <n v="0"/>
    <n v="0"/>
    <n v="0"/>
  </r>
  <r>
    <d v="2026-05-15T00:00:00"/>
    <n v="2026"/>
    <x v="3"/>
    <s v="R"/>
    <s v="RS"/>
    <x v="8"/>
    <s v="CHI"/>
    <s v="H"/>
    <n v="2"/>
    <n v="1"/>
    <n v="1"/>
    <n v="-1"/>
    <n v="8"/>
    <n v="-8"/>
    <n v="1543.4872099280401"/>
    <n v="1436.5003801828245"/>
    <n v="0.76701137006940667"/>
    <n v="91"/>
    <n v="83"/>
    <n v="0"/>
    <n v="8"/>
    <n v="1"/>
    <n v="0.35652894994698958"/>
    <n v="1"/>
    <n v="75.400000000000006"/>
    <n v="75.400000000000006"/>
    <n v="6.2632662450371619"/>
    <n v="1549.7504761730772"/>
    <n v="1"/>
    <n v="0"/>
    <n v="0"/>
    <n v="0"/>
    <n v="0"/>
    <n v="0"/>
    <n v="0"/>
    <n v="0"/>
    <n v="0"/>
    <n v="0"/>
  </r>
  <r>
    <d v="2026-05-17T00:00:00"/>
    <n v="2026"/>
    <x v="4"/>
    <s v="R"/>
    <s v="RS"/>
    <x v="9"/>
    <s v="ATL"/>
    <s v="A"/>
    <n v="1"/>
    <n v="4"/>
    <n v="-3"/>
    <n v="3"/>
    <n v="-16"/>
    <n v="16"/>
    <n v="1620.8790078944937"/>
    <n v="1585.2963307033526"/>
    <n v="0.38629350848900551"/>
    <n v="85"/>
    <n v="84"/>
    <n v="0"/>
    <n v="1"/>
    <n v="1"/>
    <n v="0.23714771222308373"/>
    <n v="1"/>
    <n v="75.25"/>
    <n v="75.25"/>
    <n v="10.951816555481148"/>
    <n v="1631.8308244499749"/>
    <n v="1"/>
    <n v="0"/>
    <n v="0"/>
    <n v="0"/>
    <n v="0"/>
    <n v="0"/>
    <n v="0"/>
    <n v="0"/>
    <n v="0"/>
    <n v="0"/>
  </r>
  <r>
    <d v="2026-05-17T00:00:00"/>
    <n v="2026"/>
    <x v="2"/>
    <s v="R"/>
    <s v="RS"/>
    <x v="10"/>
    <s v="LVA"/>
    <s v="H"/>
    <n v="4"/>
    <n v="1"/>
    <n v="3"/>
    <n v="-3"/>
    <n v="16"/>
    <n v="-16"/>
    <n v="1585.2963307033526"/>
    <n v="1620.8790078944937"/>
    <n v="0.61370649151099455"/>
    <n v="84"/>
    <n v="85"/>
    <n v="0"/>
    <n v="-1"/>
    <n v="0"/>
    <n v="0.23714771222308373"/>
    <n v="1"/>
    <n v="75.55"/>
    <n v="75.55"/>
    <n v="-10.995478282612636"/>
    <n v="1574.3008524207401"/>
    <n v="0"/>
    <n v="1"/>
    <n v="0"/>
    <n v="0"/>
    <n v="0"/>
    <n v="0"/>
    <n v="0"/>
    <n v="0"/>
    <n v="0"/>
    <n v="0"/>
  </r>
  <r>
    <d v="2026-05-17T00:00:00"/>
    <n v="2026"/>
    <x v="3"/>
    <s v="R"/>
    <s v="RS"/>
    <x v="3"/>
    <s v="IND"/>
    <s v="A"/>
    <n v="3"/>
    <n v="1"/>
    <n v="2"/>
    <n v="-2"/>
    <n v="16"/>
    <n v="-16"/>
    <n v="1485.2821465849463"/>
    <n v="1526.8597987416035"/>
    <n v="0.36849556993687577"/>
    <n v="78"/>
    <n v="89"/>
    <n v="0"/>
    <n v="-11"/>
    <n v="0"/>
    <n v="0.42510684965402518"/>
    <n v="1"/>
    <n v="75.400000000000006"/>
    <n v="75.400000000000006"/>
    <n v="-11.811409309888665"/>
    <n v="1473.4707372750577"/>
    <n v="0"/>
    <n v="1"/>
    <n v="0"/>
    <n v="0"/>
    <n v="0"/>
    <n v="0"/>
    <n v="0"/>
    <n v="0"/>
    <n v="0"/>
    <n v="0"/>
  </r>
  <r>
    <d v="2026-05-17T00:00:00"/>
    <n v="2026"/>
    <x v="3"/>
    <s v="R"/>
    <s v="RS"/>
    <x v="7"/>
    <s v="SEA"/>
    <s v="H"/>
    <n v="1"/>
    <n v="3"/>
    <n v="-2"/>
    <n v="2"/>
    <n v="-16"/>
    <n v="16"/>
    <n v="1526.8597987416035"/>
    <n v="1485.2821465849463"/>
    <n v="0.63150443006312429"/>
    <n v="89"/>
    <n v="78"/>
    <n v="0"/>
    <n v="11"/>
    <n v="1"/>
    <n v="0.42510684965402518"/>
    <n v="1"/>
    <n v="75.400000000000006"/>
    <n v="75.400000000000006"/>
    <n v="11.811409309888663"/>
    <n v="1538.6712080514922"/>
    <n v="1"/>
    <n v="0"/>
    <n v="0"/>
    <n v="0"/>
    <n v="0"/>
    <n v="0"/>
    <n v="0"/>
    <n v="0"/>
    <n v="0"/>
    <n v="0"/>
  </r>
  <r>
    <d v="2026-05-17T00:00:00"/>
    <n v="2026"/>
    <x v="3"/>
    <s v="R"/>
    <s v="RS"/>
    <x v="5"/>
    <s v="LAS"/>
    <s v="A"/>
    <n v="1"/>
    <n v="1"/>
    <n v="0"/>
    <n v="0"/>
    <n v="0"/>
    <n v="0"/>
    <n v="1487.3932097430652"/>
    <n v="1449.4045271920747"/>
    <n v="0.43416879208083065"/>
    <n v="106"/>
    <n v="96"/>
    <n v="0"/>
    <n v="10"/>
    <n v="1"/>
    <n v="0.4101456227794128"/>
    <n v="1"/>
    <n v="75.400000000000006"/>
    <n v="75.400000000000006"/>
    <n v="17.498318764266653"/>
    <n v="1504.8915285073319"/>
    <n v="1"/>
    <n v="0"/>
    <n v="0"/>
    <n v="0"/>
    <n v="0"/>
    <n v="0"/>
    <n v="0"/>
    <n v="0"/>
    <n v="0"/>
    <n v="0"/>
  </r>
  <r>
    <d v="2026-05-17T00:00:00"/>
    <n v="2026"/>
    <x v="3"/>
    <s v="R"/>
    <s v="RS"/>
    <x v="14"/>
    <s v="TOR"/>
    <s v="H"/>
    <n v="1"/>
    <n v="1"/>
    <n v="0"/>
    <n v="0"/>
    <n v="0"/>
    <n v="0"/>
    <n v="1449.4045271920747"/>
    <n v="1487.3932097430652"/>
    <n v="0.56583120791916941"/>
    <n v="96"/>
    <n v="106"/>
    <n v="0"/>
    <n v="-10"/>
    <n v="0"/>
    <n v="0.4101456227794128"/>
    <n v="1"/>
    <n v="75.400000000000006"/>
    <n v="75.400000000000006"/>
    <n v="-17.498318764266653"/>
    <n v="1431.906208427808"/>
    <n v="0"/>
    <n v="1"/>
    <n v="0"/>
    <n v="0"/>
    <n v="0"/>
    <n v="0"/>
    <n v="0"/>
    <n v="0"/>
    <n v="0"/>
    <n v="0"/>
  </r>
  <r>
    <d v="2026-05-17T00:00:00"/>
    <n v="2026"/>
    <x v="3"/>
    <s v="R"/>
    <s v="RS"/>
    <x v="12"/>
    <s v="MIN"/>
    <s v="A"/>
    <n v="1"/>
    <n v="2"/>
    <n v="-1"/>
    <n v="1"/>
    <n v="-8"/>
    <n v="8"/>
    <n v="1430.2246538590505"/>
    <n v="1592.2339470927286"/>
    <n v="0.18119877273193963"/>
    <n v="86"/>
    <n v="79"/>
    <n v="0"/>
    <n v="7"/>
    <n v="1"/>
    <n v="0.32608338958549632"/>
    <n v="1"/>
    <n v="75.400000000000006"/>
    <n v="75.400000000000006"/>
    <n v="20.131609960658743"/>
    <n v="1450.3562638197093"/>
    <n v="1"/>
    <n v="0"/>
    <n v="0"/>
    <n v="0"/>
    <n v="0"/>
    <n v="0"/>
    <n v="0"/>
    <n v="0"/>
    <n v="0"/>
    <n v="0"/>
  </r>
  <r>
    <d v="2026-05-17T00:00:00"/>
    <n v="2026"/>
    <x v="3"/>
    <s v="R"/>
    <s v="RS"/>
    <x v="11"/>
    <s v="CHI"/>
    <s v="H"/>
    <n v="2"/>
    <n v="1"/>
    <n v="1"/>
    <n v="-1"/>
    <n v="8"/>
    <n v="-8"/>
    <n v="1592.2339470927286"/>
    <n v="1430.2246538590505"/>
    <n v="0.81880122726806037"/>
    <n v="79"/>
    <n v="86"/>
    <n v="0"/>
    <n v="-7"/>
    <n v="0"/>
    <n v="0.32608338958549632"/>
    <n v="1"/>
    <n v="75.400000000000006"/>
    <n v="75.400000000000006"/>
    <n v="-20.131609960658743"/>
    <n v="1572.1023371320698"/>
    <n v="0"/>
    <n v="1"/>
    <n v="0"/>
    <n v="0"/>
    <n v="0"/>
    <n v="0"/>
    <n v="0"/>
    <n v="0"/>
    <n v="0"/>
    <n v="0"/>
  </r>
  <r>
    <d v="2026-05-18T00:00:00"/>
    <n v="2026"/>
    <x v="3"/>
    <s v="R"/>
    <s v="RS"/>
    <x v="4"/>
    <s v="DAL"/>
    <s v="A"/>
    <n v="2"/>
    <n v="3"/>
    <n v="-1"/>
    <n v="1"/>
    <n v="-8"/>
    <n v="8"/>
    <n v="1443.2261144812662"/>
    <n v="1403.0734545080718"/>
    <n v="0.41471460878784033"/>
    <n v="69"/>
    <n v="92"/>
    <n v="0"/>
    <n v="-23"/>
    <n v="0"/>
    <n v="0.59541486053038217"/>
    <n v="1"/>
    <n v="75.400000000000006"/>
    <n v="75.400000000000006"/>
    <n v="-18.618313967729829"/>
    <n v="1424.6078005135364"/>
    <n v="0"/>
    <n v="1"/>
    <n v="0"/>
    <n v="0"/>
    <n v="0"/>
    <n v="0"/>
    <n v="0"/>
    <n v="0"/>
    <n v="0"/>
    <n v="0"/>
  </r>
  <r>
    <d v="2026-05-18T00:00:00"/>
    <n v="2026"/>
    <x v="3"/>
    <s v="R"/>
    <s v="RS"/>
    <x v="6"/>
    <s v="WAS"/>
    <s v="H"/>
    <n v="3"/>
    <n v="2"/>
    <n v="1"/>
    <n v="-1"/>
    <n v="8"/>
    <n v="-8"/>
    <n v="1403.0734545080718"/>
    <n v="1443.2261144812662"/>
    <n v="0.58528539121215961"/>
    <n v="92"/>
    <n v="69"/>
    <n v="0"/>
    <n v="23"/>
    <n v="1"/>
    <n v="0.59541486053038217"/>
    <n v="1"/>
    <n v="75.400000000000006"/>
    <n v="75.400000000000006"/>
    <n v="18.618313967729829"/>
    <n v="1421.6917684758016"/>
    <n v="1"/>
    <n v="0"/>
    <n v="0"/>
    <n v="0"/>
    <n v="0"/>
    <n v="0"/>
    <n v="0"/>
    <n v="0"/>
    <n v="0"/>
    <n v="0"/>
  </r>
  <r>
    <d v="2026-05-18T00:00:00"/>
    <n v="2026"/>
    <x v="4"/>
    <s v="R"/>
    <s v="RS"/>
    <x v="0"/>
    <s v="POR"/>
    <s v="A"/>
    <n v="2"/>
    <n v="3"/>
    <n v="-1"/>
    <n v="1"/>
    <n v="-8"/>
    <n v="8"/>
    <n v="1380.6529181177684"/>
    <n v="1461.4442186115114"/>
    <n v="0.26101140509176868"/>
    <n v="82"/>
    <n v="83"/>
    <n v="0"/>
    <n v="-1"/>
    <n v="0"/>
    <n v="0.22877701077872334"/>
    <n v="1"/>
    <n v="75.25"/>
    <n v="75.25"/>
    <n v="-4.4934340299627085"/>
    <n v="1376.1594840878058"/>
    <n v="0"/>
    <n v="1"/>
    <n v="0"/>
    <n v="0"/>
    <n v="0"/>
    <n v="0"/>
    <n v="0"/>
    <n v="0"/>
    <n v="0"/>
    <n v="0"/>
  </r>
  <r>
    <d v="2026-05-18T00:00:00"/>
    <n v="2026"/>
    <x v="3"/>
    <s v="R"/>
    <s v="RS"/>
    <x v="13"/>
    <s v="CON"/>
    <s v="H"/>
    <n v="3"/>
    <n v="2"/>
    <n v="1"/>
    <n v="-1"/>
    <n v="8"/>
    <n v="-8"/>
    <n v="1461.4442186115114"/>
    <n v="1380.6529181177684"/>
    <n v="0.73898859490823143"/>
    <n v="83"/>
    <n v="82"/>
    <n v="0"/>
    <n v="1"/>
    <n v="1"/>
    <n v="0.22877701077872334"/>
    <n v="1"/>
    <n v="75.400000000000006"/>
    <n v="75.400000000000006"/>
    <n v="4.5023910413181145"/>
    <n v="1465.9466096528295"/>
    <n v="1"/>
    <n v="0"/>
    <n v="0"/>
    <n v="0"/>
    <n v="0"/>
    <n v="0"/>
    <n v="0"/>
    <n v="0"/>
    <n v="0"/>
    <n v="0"/>
  </r>
  <r>
    <d v="2026-05-19T00:00:00"/>
    <n v="2026"/>
    <x v="4"/>
    <s v="R"/>
    <s v="RS"/>
    <x v="5"/>
    <s v="PHX"/>
    <s v="A"/>
    <n v="1"/>
    <n v="3"/>
    <n v="-2"/>
    <n v="2"/>
    <n v="-16"/>
    <n v="16"/>
    <n v="1504.8915285073319"/>
    <n v="1549.7504761730772"/>
    <n v="0.28374129382068375"/>
    <n v="98"/>
    <n v="90"/>
    <n v="0"/>
    <n v="8"/>
    <n v="1"/>
    <n v="0.37432244261678843"/>
    <n v="1"/>
    <n v="75.25"/>
    <n v="75.25"/>
    <n v="20.175406060304311"/>
    <n v="1525.0669345676363"/>
    <n v="1"/>
    <n v="0"/>
    <n v="0"/>
    <n v="0"/>
    <n v="0"/>
    <n v="0"/>
    <n v="0"/>
    <n v="0"/>
    <n v="0"/>
    <n v="0"/>
  </r>
  <r>
    <d v="2026-05-19T00:00:00"/>
    <n v="2026"/>
    <x v="4"/>
    <s v="R"/>
    <s v="RS"/>
    <x v="8"/>
    <s v="TOR"/>
    <s v="H"/>
    <n v="3"/>
    <n v="1"/>
    <n v="2"/>
    <n v="-2"/>
    <n v="16"/>
    <n v="-16"/>
    <n v="1549.7504761730772"/>
    <n v="1504.8915285073319"/>
    <n v="0.7162587061793162"/>
    <n v="90"/>
    <n v="98"/>
    <n v="0"/>
    <n v="-8"/>
    <n v="0"/>
    <n v="0.37432244261678843"/>
    <n v="1"/>
    <n v="75.25"/>
    <n v="75.25"/>
    <n v="-20.175406060304311"/>
    <n v="1529.5750701127729"/>
    <n v="0"/>
    <n v="1"/>
    <n v="0"/>
    <n v="0"/>
    <n v="0"/>
    <n v="0"/>
    <n v="0"/>
    <n v="0"/>
    <n v="0"/>
    <n v="0"/>
  </r>
  <r>
    <d v="2026-05-20T00:00:00"/>
    <n v="2026"/>
    <x v="4"/>
    <s v="R"/>
    <s v="RS"/>
    <x v="6"/>
    <s v="CHI"/>
    <s v="A"/>
    <n v="1"/>
    <n v="2"/>
    <n v="-1"/>
    <n v="1"/>
    <n v="-8"/>
    <n v="8"/>
    <n v="1421.6917684758016"/>
    <n v="1450.3562638197093"/>
    <n v="0.3228615043456724"/>
    <n v="99"/>
    <n v="89"/>
    <n v="0"/>
    <n v="10"/>
    <n v="1"/>
    <n v="0.41325816862366332"/>
    <n v="1"/>
    <n v="75.25"/>
    <n v="75.25"/>
    <n v="21.057434350056408"/>
    <n v="1442.749202825858"/>
    <n v="1"/>
    <n v="0"/>
    <n v="0"/>
    <n v="0"/>
    <n v="0"/>
    <n v="0"/>
    <n v="0"/>
    <n v="0"/>
    <n v="0"/>
    <n v="0"/>
  </r>
  <r>
    <d v="2026-05-20T00:00:00"/>
    <n v="2026"/>
    <x v="4"/>
    <s v="R"/>
    <s v="RS"/>
    <x v="12"/>
    <s v="DAL"/>
    <s v="H"/>
    <n v="2"/>
    <n v="1"/>
    <n v="1"/>
    <n v="-1"/>
    <n v="8"/>
    <n v="-8"/>
    <n v="1450.3562638197093"/>
    <n v="1421.6917684758016"/>
    <n v="0.6771384956543276"/>
    <n v="89"/>
    <n v="99"/>
    <n v="0"/>
    <n v="-10"/>
    <n v="0"/>
    <n v="0.41325816862366332"/>
    <n v="1"/>
    <n v="75.25"/>
    <n v="75.25"/>
    <n v="-21.057434350056408"/>
    <n v="1429.2988294696529"/>
    <n v="0"/>
    <n v="1"/>
    <n v="0"/>
    <n v="0"/>
    <n v="0"/>
    <n v="0"/>
    <n v="0"/>
    <n v="0"/>
    <n v="0"/>
    <n v="0"/>
  </r>
  <r>
    <d v="2026-05-20T00:00:00"/>
    <n v="2026"/>
    <x v="4"/>
    <s v="R"/>
    <s v="RS"/>
    <x v="13"/>
    <s v="IND"/>
    <s v="A"/>
    <n v="1"/>
    <n v="2"/>
    <n v="-1"/>
    <n v="1"/>
    <n v="-8"/>
    <n v="8"/>
    <n v="1465.9466096528295"/>
    <n v="1538.6712080514922"/>
    <n v="0.27006699193344219"/>
    <n v="73"/>
    <n v="90"/>
    <n v="0"/>
    <n v="-17"/>
    <n v="0"/>
    <n v="0.50201786286074512"/>
    <n v="1"/>
    <n v="75.25"/>
    <n v="75.25"/>
    <n v="-10.202278672504169"/>
    <n v="1455.7443309803252"/>
    <n v="0"/>
    <n v="1"/>
    <n v="0"/>
    <n v="0"/>
    <n v="0"/>
    <n v="0"/>
    <n v="0"/>
    <n v="0"/>
    <n v="0"/>
    <n v="0"/>
  </r>
  <r>
    <d v="2026-05-20T00:00:00"/>
    <n v="2026"/>
    <x v="4"/>
    <s v="R"/>
    <s v="RS"/>
    <x v="7"/>
    <s v="POR"/>
    <s v="H"/>
    <n v="2"/>
    <n v="1"/>
    <n v="1"/>
    <n v="-1"/>
    <n v="8"/>
    <n v="-8"/>
    <n v="1538.6712080514922"/>
    <n v="1465.9466096528295"/>
    <n v="0.72993300806655781"/>
    <n v="90"/>
    <n v="73"/>
    <n v="0"/>
    <n v="17"/>
    <n v="1"/>
    <n v="0.50201786286074512"/>
    <n v="1"/>
    <n v="75.25"/>
    <n v="75.25"/>
    <n v="10.202278672504169"/>
    <n v="1548.8734867239964"/>
    <n v="1"/>
    <n v="0"/>
    <n v="0"/>
    <n v="0"/>
    <n v="0"/>
    <n v="0"/>
    <n v="0"/>
    <n v="0"/>
    <n v="0"/>
    <n v="0"/>
  </r>
  <r>
    <d v="2026-05-20T00:00:00"/>
    <n v="2026"/>
    <x v="5"/>
    <s v="R"/>
    <s v="RS"/>
    <x v="0"/>
    <s v="SEA"/>
    <s v="A"/>
    <n v="1"/>
    <n v="2"/>
    <n v="-1"/>
    <n v="1"/>
    <n v="-8"/>
    <n v="8"/>
    <n v="1376.1594840878058"/>
    <n v="1473.4707372750577"/>
    <n v="0.24308958328320476"/>
    <n v="80"/>
    <n v="78"/>
    <n v="0"/>
    <n v="2"/>
    <n v="1"/>
    <n v="0.24775055653141098"/>
    <n v="1"/>
    <n v="75.099999999999994"/>
    <n v="75.099999999999994"/>
    <n v="14.083125771649216"/>
    <n v="1390.2426098594551"/>
    <n v="1"/>
    <n v="0"/>
    <n v="0"/>
    <n v="0"/>
    <n v="0"/>
    <n v="0"/>
    <n v="0"/>
    <n v="0"/>
    <n v="0"/>
    <n v="0"/>
  </r>
  <r>
    <d v="2026-05-20T00:00:00"/>
    <n v="2026"/>
    <x v="4"/>
    <s v="R"/>
    <s v="RS"/>
    <x v="3"/>
    <s v="CON"/>
    <s v="H"/>
    <n v="2"/>
    <n v="1"/>
    <n v="1"/>
    <n v="-1"/>
    <n v="8"/>
    <n v="-8"/>
    <n v="1473.4707372750577"/>
    <n v="1376.1594840878058"/>
    <n v="0.75691041671679515"/>
    <n v="78"/>
    <n v="80"/>
    <n v="0"/>
    <n v="-2"/>
    <n v="0"/>
    <n v="0.24775055653141098"/>
    <n v="1"/>
    <n v="75.25"/>
    <n v="75.25"/>
    <n v="-14.111254518197116"/>
    <n v="1459.3594827568606"/>
    <n v="0"/>
    <n v="1"/>
    <n v="0"/>
    <n v="0"/>
    <n v="0"/>
    <n v="0"/>
    <n v="0"/>
    <n v="0"/>
    <n v="0"/>
    <n v="0"/>
  </r>
  <r>
    <d v="2026-05-21T00:00:00"/>
    <n v="2026"/>
    <x v="5"/>
    <s v="R"/>
    <s v="RS"/>
    <x v="5"/>
    <s v="MIN"/>
    <s v="A"/>
    <n v="1"/>
    <n v="3"/>
    <n v="-2"/>
    <n v="2"/>
    <n v="-16"/>
    <n v="16"/>
    <n v="1525.0669345676363"/>
    <n v="1572.1023371320698"/>
    <n v="0.28120197600055657"/>
    <n v="72"/>
    <n v="100"/>
    <n v="0"/>
    <n v="-28"/>
    <n v="0"/>
    <n v="0.6534759080692395"/>
    <n v="1"/>
    <n v="75.099999999999994"/>
    <n v="75.099999999999994"/>
    <n v="-13.800279617998898"/>
    <n v="1511.2666549496373"/>
    <n v="0"/>
    <n v="1"/>
    <n v="0"/>
    <n v="0"/>
    <n v="0"/>
    <n v="0"/>
    <n v="0"/>
    <n v="0"/>
    <n v="0"/>
    <n v="0"/>
  </r>
  <r>
    <d v="2026-05-21T00:00:00"/>
    <n v="2026"/>
    <x v="4"/>
    <s v="R"/>
    <s v="RS"/>
    <x v="11"/>
    <s v="TOR"/>
    <s v="H"/>
    <n v="3"/>
    <n v="1"/>
    <n v="2"/>
    <n v="-2"/>
    <n v="16"/>
    <n v="-16"/>
    <n v="1572.1023371320698"/>
    <n v="1525.0669345676363"/>
    <n v="0.71879802399944348"/>
    <n v="100"/>
    <n v="72"/>
    <n v="0"/>
    <n v="28"/>
    <n v="1"/>
    <n v="0.6534759080692395"/>
    <n v="1"/>
    <n v="75.25"/>
    <n v="75.25"/>
    <n v="13.827843425491569"/>
    <n v="1585.9301805575615"/>
    <n v="1"/>
    <n v="0"/>
    <n v="0"/>
    <n v="0"/>
    <n v="0"/>
    <n v="0"/>
    <n v="0"/>
    <n v="0"/>
    <n v="0"/>
    <n v="0"/>
  </r>
  <r>
    <d v="2026-05-21T00:00:00"/>
    <n v="2026"/>
    <x v="3"/>
    <s v="R"/>
    <s v="RS"/>
    <x v="2"/>
    <s v="NYL"/>
    <s v="A"/>
    <n v="7"/>
    <n v="6"/>
    <n v="1"/>
    <n v="-1"/>
    <n v="8"/>
    <n v="-8"/>
    <n v="1521.662238259993"/>
    <n v="1562.0635542941193"/>
    <n v="0.34887041324388163"/>
    <n v="87"/>
    <n v="70"/>
    <n v="0"/>
    <n v="17"/>
    <n v="1"/>
    <n v="0.51509981055261822"/>
    <n v="1"/>
    <n v="75.400000000000006"/>
    <n v="75.400000000000006"/>
    <n v="25.288913199459405"/>
    <n v="1546.9511514594524"/>
    <n v="1"/>
    <n v="0"/>
    <n v="0"/>
    <n v="0"/>
    <n v="0"/>
    <n v="0"/>
    <n v="0"/>
    <n v="0"/>
    <n v="0"/>
    <n v="0"/>
  </r>
  <r>
    <d v="2026-05-21T00:00:00"/>
    <n v="2026"/>
    <x v="4"/>
    <s v="R"/>
    <s v="RS"/>
    <x v="1"/>
    <s v="GSV"/>
    <s v="H"/>
    <n v="6"/>
    <n v="7"/>
    <n v="-1"/>
    <n v="1"/>
    <n v="-8"/>
    <n v="8"/>
    <n v="1562.0635542941193"/>
    <n v="1521.662238259993"/>
    <n v="0.65112958675611843"/>
    <n v="70"/>
    <n v="87"/>
    <n v="0"/>
    <n v="-17"/>
    <n v="0"/>
    <n v="0.51509981055261822"/>
    <n v="1"/>
    <n v="75.25"/>
    <n v="75.25"/>
    <n v="-25.238603690441913"/>
    <n v="1536.8249506036773"/>
    <n v="0"/>
    <n v="1"/>
    <n v="0"/>
    <n v="0"/>
    <n v="0"/>
    <n v="0"/>
    <n v="0"/>
    <n v="0"/>
    <n v="0"/>
    <n v="0"/>
  </r>
  <r>
    <d v="2026-05-21T00:00:00"/>
    <n v="2026"/>
    <x v="4"/>
    <s v="R"/>
    <s v="RS"/>
    <x v="14"/>
    <s v="PHX"/>
    <s v="A"/>
    <n v="3"/>
    <n v="1"/>
    <n v="2"/>
    <n v="-2"/>
    <n v="16"/>
    <n v="-16"/>
    <n v="1431.906208427808"/>
    <n v="1529.5750701127729"/>
    <n v="0.29701284675854217"/>
    <n v="97"/>
    <n v="88"/>
    <n v="0"/>
    <n v="9"/>
    <n v="1"/>
    <n v="0.37541613809252411"/>
    <n v="1"/>
    <n v="75.25"/>
    <n v="75.25"/>
    <n v="19.859432345442055"/>
    <n v="1451.76564077325"/>
    <n v="1"/>
    <n v="0"/>
    <n v="0"/>
    <n v="0"/>
    <n v="0"/>
    <n v="0"/>
    <n v="0"/>
    <n v="0"/>
    <n v="0"/>
    <n v="0"/>
  </r>
  <r>
    <d v="2026-05-21T00:00:00"/>
    <n v="2026"/>
    <x v="5"/>
    <s v="R"/>
    <s v="RS"/>
    <x v="8"/>
    <s v="LAS"/>
    <s v="H"/>
    <n v="1"/>
    <n v="3"/>
    <n v="-2"/>
    <n v="2"/>
    <n v="-16"/>
    <n v="16"/>
    <n v="1529.5750701127729"/>
    <n v="1431.906208427808"/>
    <n v="0.70298715324145777"/>
    <n v="88"/>
    <n v="97"/>
    <n v="0"/>
    <n v="-9"/>
    <n v="0"/>
    <n v="0.37541613809252411"/>
    <n v="1"/>
    <n v="75.099999999999994"/>
    <n v="75.099999999999994"/>
    <n v="-19.819845437112267"/>
    <n v="1509.7552246756607"/>
    <n v="0"/>
    <n v="1"/>
    <n v="0"/>
    <n v="0"/>
    <n v="0"/>
    <n v="0"/>
    <n v="0"/>
    <n v="0"/>
    <n v="0"/>
    <n v="0"/>
  </r>
  <r>
    <d v="2026-05-22T00:00:00"/>
    <n v="2026"/>
    <x v="5"/>
    <s v="R"/>
    <s v="RS"/>
    <x v="6"/>
    <s v="ATL"/>
    <s v="A"/>
    <n v="1"/>
    <n v="4"/>
    <n v="-3"/>
    <n v="3"/>
    <n v="-16"/>
    <n v="16"/>
    <n v="1442.749202825858"/>
    <n v="1574.3008524207401"/>
    <n v="0.19387552365358229"/>
    <n v="69"/>
    <n v="86"/>
    <n v="0"/>
    <n v="-17"/>
    <n v="0"/>
    <n v="0.47983905325248793"/>
    <n v="1"/>
    <n v="75.099999999999994"/>
    <n v="75.099999999999994"/>
    <n v="-6.9864814836792695"/>
    <n v="1435.7627213421788"/>
    <n v="0"/>
    <n v="1"/>
    <n v="0"/>
    <n v="0"/>
    <n v="0"/>
    <n v="0"/>
    <n v="0"/>
    <n v="0"/>
    <n v="0"/>
    <n v="0"/>
  </r>
  <r>
    <d v="2026-05-22T00:00:00"/>
    <n v="2026"/>
    <x v="3"/>
    <s v="R"/>
    <s v="RS"/>
    <x v="10"/>
    <s v="DAL"/>
    <s v="H"/>
    <n v="4"/>
    <n v="1"/>
    <n v="3"/>
    <n v="-3"/>
    <n v="16"/>
    <n v="-16"/>
    <n v="1574.3008524207401"/>
    <n v="1442.749202825858"/>
    <n v="0.80612447634641771"/>
    <n v="86"/>
    <n v="69"/>
    <n v="0"/>
    <n v="17"/>
    <n v="1"/>
    <n v="0.47983905325248793"/>
    <n v="1"/>
    <n v="75.400000000000006"/>
    <n v="75.400000000000006"/>
    <n v="7.0143901979949002"/>
    <n v="1581.3152426187351"/>
    <n v="1"/>
    <n v="0"/>
    <n v="0"/>
    <n v="0"/>
    <n v="0"/>
    <n v="0"/>
    <n v="0"/>
    <n v="0"/>
    <n v="0"/>
    <n v="0"/>
  </r>
  <r>
    <d v="2026-05-22T00:00:00"/>
    <n v="2026"/>
    <x v="4"/>
    <s v="R"/>
    <s v="RS"/>
    <x v="2"/>
    <s v="IND"/>
    <s v="A"/>
    <n v="0"/>
    <n v="1"/>
    <n v="-1"/>
    <n v="1"/>
    <n v="-8"/>
    <n v="8"/>
    <n v="1546.9511514594524"/>
    <n v="1548.8734867239964"/>
    <n v="0.35738960068687731"/>
    <n v="82"/>
    <n v="90"/>
    <n v="0"/>
    <n v="-8"/>
    <n v="0"/>
    <n v="0.38769446937771096"/>
    <n v="1"/>
    <n v="75.25"/>
    <n v="75.25"/>
    <n v="-10.426487362855671"/>
    <n v="1536.5246640965968"/>
    <n v="0"/>
    <n v="1"/>
    <n v="0"/>
    <n v="0"/>
    <n v="0"/>
    <n v="0"/>
    <n v="0"/>
    <n v="0"/>
    <n v="0"/>
    <n v="0"/>
  </r>
  <r>
    <d v="2026-05-22T00:00:00"/>
    <n v="2026"/>
    <x v="5"/>
    <s v="R"/>
    <s v="RS"/>
    <x v="7"/>
    <s v="GSV"/>
    <s v="H"/>
    <n v="1"/>
    <n v="0"/>
    <n v="1"/>
    <n v="-1"/>
    <n v="8"/>
    <n v="-8"/>
    <n v="1548.8734867239964"/>
    <n v="1546.9511514594524"/>
    <n v="0.6426103993131228"/>
    <n v="90"/>
    <n v="82"/>
    <n v="0"/>
    <n v="8"/>
    <n v="1"/>
    <n v="0.38769446937771096"/>
    <n v="1"/>
    <n v="75.099999999999994"/>
    <n v="75.099999999999994"/>
    <n v="10.405703667115754"/>
    <n v="1559.2791903911123"/>
    <n v="1"/>
    <n v="0"/>
    <n v="0"/>
    <n v="0"/>
    <n v="0"/>
    <n v="0"/>
    <n v="0"/>
    <n v="0"/>
    <n v="0"/>
    <n v="0"/>
  </r>
  <r>
    <d v="2026-05-22T00:00:00"/>
    <n v="2026"/>
    <x v="6"/>
    <s v="R"/>
    <s v="RS"/>
    <x v="0"/>
    <s v="SEA"/>
    <s v="A"/>
    <n v="1"/>
    <n v="1"/>
    <n v="0"/>
    <n v="0"/>
    <n v="0"/>
    <n v="0"/>
    <n v="1390.2426098594551"/>
    <n v="1459.3594827568606"/>
    <n v="0.29288535181469411"/>
    <n v="59"/>
    <n v="77"/>
    <n v="0"/>
    <n v="-18"/>
    <n v="0"/>
    <n v="0.51705302526903862"/>
    <n v="1"/>
    <n v="74.95"/>
    <n v="74.95"/>
    <n v="-11.350222428097435"/>
    <n v="1378.8923874313577"/>
    <n v="0"/>
    <n v="1"/>
    <n v="0"/>
    <n v="0"/>
    <n v="0"/>
    <n v="0"/>
    <n v="0"/>
    <n v="0"/>
    <n v="0"/>
    <n v="0"/>
  </r>
  <r>
    <d v="2026-05-22T00:00:00"/>
    <n v="2026"/>
    <x v="5"/>
    <s v="R"/>
    <s v="RS"/>
    <x v="3"/>
    <s v="CON"/>
    <s v="H"/>
    <n v="1"/>
    <n v="1"/>
    <n v="0"/>
    <n v="0"/>
    <n v="0"/>
    <n v="0"/>
    <n v="1459.3594827568606"/>
    <n v="1390.2426098594551"/>
    <n v="0.70711464818530578"/>
    <n v="77"/>
    <n v="59"/>
    <n v="0"/>
    <n v="18"/>
    <n v="1"/>
    <n v="0.51705302526903862"/>
    <n v="1"/>
    <n v="75.099999999999994"/>
    <n v="75.099999999999994"/>
    <n v="11.372938016679353"/>
    <n v="1470.7324207735401"/>
    <n v="1"/>
    <n v="0"/>
    <n v="0"/>
    <n v="0"/>
    <n v="0"/>
    <n v="0"/>
    <n v="0"/>
    <n v="0"/>
    <n v="0"/>
    <n v="0"/>
  </r>
  <r>
    <d v="2026-05-23T00:00:00"/>
    <n v="2026"/>
    <x v="5"/>
    <s v="R"/>
    <s v="RS"/>
    <x v="11"/>
    <s v="CHI"/>
    <s v="A"/>
    <n v="1"/>
    <n v="2"/>
    <n v="-1"/>
    <n v="1"/>
    <n v="-8"/>
    <n v="8"/>
    <n v="1585.9301805575615"/>
    <n v="1429.2988294696529"/>
    <n v="0.58078488802796902"/>
    <n v="85"/>
    <n v="75"/>
    <n v="0"/>
    <n v="10"/>
    <n v="1"/>
    <n v="0.37427679877187109"/>
    <n v="1"/>
    <n v="75.099999999999994"/>
    <n v="75.099999999999994"/>
    <n v="11.783377006936812"/>
    <n v="1597.7135575644984"/>
    <n v="1"/>
    <n v="0"/>
    <n v="0"/>
    <n v="0"/>
    <n v="0"/>
    <n v="0"/>
    <n v="0"/>
    <n v="0"/>
    <n v="0"/>
    <n v="0"/>
  </r>
  <r>
    <d v="2026-05-23T00:00:00"/>
    <n v="2026"/>
    <x v="5"/>
    <s v="R"/>
    <s v="RS"/>
    <x v="12"/>
    <s v="MIN"/>
    <s v="H"/>
    <n v="2"/>
    <n v="1"/>
    <n v="1"/>
    <n v="-1"/>
    <n v="8"/>
    <n v="-8"/>
    <n v="1429.2988294696529"/>
    <n v="1585.9301805575615"/>
    <n v="0.41921511197203104"/>
    <n v="75"/>
    <n v="85"/>
    <n v="0"/>
    <n v="-10"/>
    <n v="0"/>
    <n v="0.37427679877187109"/>
    <n v="1"/>
    <n v="75.099999999999994"/>
    <n v="75.099999999999994"/>
    <n v="-11.783377006936814"/>
    <n v="1417.515452462716"/>
    <n v="0"/>
    <n v="1"/>
    <n v="0"/>
    <n v="0"/>
    <n v="0"/>
    <n v="0"/>
    <n v="0"/>
    <n v="0"/>
    <n v="0"/>
    <n v="0"/>
  </r>
  <r>
    <d v="2026-05-23T00:00:00"/>
    <n v="2026"/>
    <x v="5"/>
    <s v="R"/>
    <s v="RS"/>
    <x v="14"/>
    <s v="LVA"/>
    <s v="A"/>
    <n v="1"/>
    <n v="5"/>
    <n v="-4"/>
    <n v="4"/>
    <n v="-16"/>
    <n v="16"/>
    <n v="1451.76564077325"/>
    <n v="1631.8308244499749"/>
    <n v="0.15390603149786372"/>
    <n v="101"/>
    <n v="95"/>
    <n v="0"/>
    <n v="6"/>
    <n v="1"/>
    <n v="0.30544710372748118"/>
    <n v="1"/>
    <n v="75.099999999999994"/>
    <n v="75.099999999999994"/>
    <n v="19.408615107236141"/>
    <n v="1471.174255880486"/>
    <n v="1"/>
    <n v="0"/>
    <n v="0"/>
    <n v="0"/>
    <n v="0"/>
    <n v="0"/>
    <n v="0"/>
    <n v="0"/>
    <n v="0"/>
    <n v="0"/>
  </r>
  <r>
    <d v="2026-05-23T00:00:00"/>
    <n v="2026"/>
    <x v="5"/>
    <s v="R"/>
    <s v="RS"/>
    <x v="9"/>
    <s v="LAS"/>
    <s v="H"/>
    <n v="5"/>
    <n v="1"/>
    <n v="4"/>
    <n v="-4"/>
    <n v="16"/>
    <n v="-16"/>
    <n v="1631.8308244499749"/>
    <n v="1451.76564077325"/>
    <n v="0.84609396850213625"/>
    <n v="95"/>
    <n v="101"/>
    <n v="0"/>
    <n v="-6"/>
    <n v="0"/>
    <n v="0.30544710372748118"/>
    <n v="1"/>
    <n v="75.099999999999994"/>
    <n v="75.099999999999994"/>
    <n v="-19.408615107236141"/>
    <n v="1612.4222093427388"/>
    <n v="0"/>
    <n v="1"/>
    <n v="0"/>
    <n v="0"/>
    <n v="0"/>
    <n v="0"/>
    <n v="0"/>
    <n v="0"/>
    <n v="0"/>
    <n v="0"/>
  </r>
  <r>
    <d v="2026-05-23T00:00:00"/>
    <n v="2026"/>
    <x v="5"/>
    <s v="R"/>
    <s v="RS"/>
    <x v="13"/>
    <s v="TOR"/>
    <s v="A"/>
    <n v="2"/>
    <n v="1"/>
    <n v="1"/>
    <n v="-1"/>
    <n v="8"/>
    <n v="-8"/>
    <n v="1455.7443309803252"/>
    <n v="1511.2666549496373"/>
    <n v="0.32936650463371531"/>
    <n v="99"/>
    <n v="80"/>
    <n v="0"/>
    <n v="19"/>
    <n v="1"/>
    <n v="0.53616974737613166"/>
    <n v="1"/>
    <n v="75.099999999999994"/>
    <n v="75.099999999999994"/>
    <n v="27.003961723617728"/>
    <n v="1482.748292703943"/>
    <n v="1"/>
    <n v="0"/>
    <n v="0"/>
    <n v="0"/>
    <n v="0"/>
    <n v="0"/>
    <n v="0"/>
    <n v="0"/>
    <n v="0"/>
    <n v="0"/>
  </r>
  <r>
    <d v="2026-05-23T00:00:00"/>
    <n v="2026"/>
    <x v="6"/>
    <s v="R"/>
    <s v="RS"/>
    <x v="5"/>
    <s v="POR"/>
    <s v="H"/>
    <n v="1"/>
    <n v="2"/>
    <n v="-1"/>
    <n v="1"/>
    <n v="-8"/>
    <n v="8"/>
    <n v="1511.2666549496373"/>
    <n v="1455.7443309803252"/>
    <n v="0.67063349536628469"/>
    <n v="80"/>
    <n v="99"/>
    <n v="0"/>
    <n v="-19"/>
    <n v="0"/>
    <n v="0.53616974737613166"/>
    <n v="1"/>
    <n v="74.95"/>
    <n v="74.95"/>
    <n v="-26.950025714848852"/>
    <n v="1484.3166292347885"/>
    <n v="0"/>
    <n v="1"/>
    <n v="0"/>
    <n v="0"/>
    <n v="0"/>
    <n v="0"/>
    <n v="0"/>
    <n v="0"/>
    <n v="0"/>
    <n v="0"/>
  </r>
  <r>
    <d v="2026-05-24T00:00:00"/>
    <n v="2026"/>
    <x v="6"/>
    <s v="R"/>
    <s v="RS"/>
    <x v="8"/>
    <s v="ATL"/>
    <s v="A"/>
    <n v="2"/>
    <n v="1"/>
    <n v="1"/>
    <n v="-1"/>
    <n v="8"/>
    <n v="-8"/>
    <n v="1509.7552246756607"/>
    <n v="1581.3152426187351"/>
    <n v="0.30930466880242613"/>
    <n v="80"/>
    <n v="82"/>
    <n v="0"/>
    <n v="-2"/>
    <n v="0"/>
    <n v="0.25276792320942004"/>
    <n v="1"/>
    <n v="74.95"/>
    <n v="74.95"/>
    <n v="-5.8597632929738976"/>
    <n v="1503.8954613826868"/>
    <n v="0"/>
    <n v="1"/>
    <n v="0"/>
    <n v="0"/>
    <n v="0"/>
    <n v="0"/>
    <n v="0"/>
    <n v="0"/>
    <n v="0"/>
    <n v="0"/>
  </r>
  <r>
    <d v="2026-05-24T00:00:00"/>
    <n v="2026"/>
    <x v="4"/>
    <s v="R"/>
    <s v="RS"/>
    <x v="10"/>
    <s v="PHX"/>
    <s v="H"/>
    <n v="1"/>
    <n v="2"/>
    <n v="-1"/>
    <n v="1"/>
    <n v="-8"/>
    <n v="8"/>
    <n v="1581.3152426187351"/>
    <n v="1509.7552246756607"/>
    <n v="0.69069533119757387"/>
    <n v="82"/>
    <n v="80"/>
    <n v="0"/>
    <n v="2"/>
    <n v="1"/>
    <n v="0.25276792320942004"/>
    <n v="1"/>
    <n v="75.25"/>
    <n v="75.25"/>
    <n v="5.8832179826055473"/>
    <n v="1587.1984606013407"/>
    <n v="1"/>
    <n v="0"/>
    <n v="0"/>
    <n v="0"/>
    <n v="0"/>
    <n v="0"/>
    <n v="0"/>
    <n v="0"/>
    <n v="0"/>
    <n v="0"/>
  </r>
  <r>
    <d v="2026-05-24T00:00:00"/>
    <n v="2026"/>
    <x v="6"/>
    <s v="R"/>
    <s v="RS"/>
    <x v="6"/>
    <s v="NYL"/>
    <s v="A"/>
    <n v="1"/>
    <n v="2"/>
    <n v="-1"/>
    <n v="1"/>
    <n v="-8"/>
    <n v="8"/>
    <n v="1435.7627213421788"/>
    <n v="1536.8249506036773"/>
    <n v="0.239138724214391"/>
    <n v="91"/>
    <n v="76"/>
    <n v="0"/>
    <n v="15"/>
    <n v="1"/>
    <n v="0.46378844922508028"/>
    <n v="1"/>
    <n v="74.95"/>
    <n v="74.95"/>
    <n v="26.44825640434318"/>
    <n v="1462.2109777465221"/>
    <n v="1"/>
    <n v="0"/>
    <n v="0"/>
    <n v="0"/>
    <n v="0"/>
    <n v="0"/>
    <n v="0"/>
    <n v="0"/>
    <n v="0"/>
    <n v="0"/>
  </r>
  <r>
    <d v="2026-05-24T00:00:00"/>
    <n v="2026"/>
    <x v="5"/>
    <s v="R"/>
    <s v="RS"/>
    <x v="1"/>
    <s v="DAL"/>
    <s v="H"/>
    <n v="2"/>
    <n v="1"/>
    <n v="1"/>
    <n v="-1"/>
    <n v="8"/>
    <n v="-8"/>
    <n v="1536.8249506036773"/>
    <n v="1435.7627213421788"/>
    <n v="0.76086127578560903"/>
    <n v="76"/>
    <n v="91"/>
    <n v="0"/>
    <n v="-15"/>
    <n v="0"/>
    <n v="0.46378844922508028"/>
    <n v="1"/>
    <n v="75.099999999999994"/>
    <n v="75.099999999999994"/>
    <n v="-26.50118820501898"/>
    <n v="1510.3237623986583"/>
    <n v="0"/>
    <n v="1"/>
    <n v="0"/>
    <n v="0"/>
    <n v="0"/>
    <n v="0"/>
    <n v="0"/>
    <n v="0"/>
    <n v="0"/>
    <n v="0"/>
  </r>
  <r>
    <d v="2026-05-24T00:00:00"/>
    <n v="2026"/>
    <x v="4"/>
    <s v="R"/>
    <s v="RS"/>
    <x v="4"/>
    <s v="SEA"/>
    <s v="A"/>
    <n v="5"/>
    <n v="1"/>
    <n v="4"/>
    <n v="-4"/>
    <n v="16"/>
    <n v="-16"/>
    <n v="1424.6078005135364"/>
    <n v="1470.7324207735401"/>
    <n v="0.36242584137660944"/>
    <n v="85"/>
    <n v="97"/>
    <n v="0"/>
    <n v="-12"/>
    <n v="0"/>
    <n v="0.43924606158382717"/>
    <n v="1"/>
    <n v="75.25"/>
    <n v="75.25"/>
    <n v="-11.979357788926263"/>
    <n v="1412.6284427246101"/>
    <n v="0"/>
    <n v="1"/>
    <n v="0"/>
    <n v="0"/>
    <n v="0"/>
    <n v="0"/>
    <n v="0"/>
    <n v="0"/>
    <n v="0"/>
    <n v="0"/>
  </r>
  <r>
    <d v="2026-05-24T00:00:00"/>
    <n v="2026"/>
    <x v="6"/>
    <s v="R"/>
    <s v="RS"/>
    <x v="3"/>
    <s v="WAS"/>
    <s v="H"/>
    <n v="1"/>
    <n v="5"/>
    <n v="-4"/>
    <n v="4"/>
    <n v="-16"/>
    <n v="16"/>
    <n v="1470.7324207735401"/>
    <n v="1424.6078005135364"/>
    <n v="0.63757415862339062"/>
    <n v="97"/>
    <n v="85"/>
    <n v="0"/>
    <n v="12"/>
    <n v="1"/>
    <n v="0.43924606158382717"/>
    <n v="1"/>
    <n v="74.95"/>
    <n v="74.95"/>
    <n v="11.931599551893996"/>
    <n v="1482.664020325434"/>
    <n v="1"/>
    <n v="0"/>
    <n v="0"/>
    <n v="0"/>
    <n v="0"/>
    <n v="0"/>
    <n v="0"/>
    <n v="0"/>
    <n v="0"/>
    <n v="0"/>
  </r>
  <r>
    <d v="2026-05-25T00:00:00"/>
    <n v="2026"/>
    <x v="7"/>
    <s v="R"/>
    <s v="RS"/>
    <x v="0"/>
    <s v="GSV"/>
    <s v="A"/>
    <n v="2"/>
    <n v="2"/>
    <n v="0"/>
    <n v="0"/>
    <n v="0"/>
    <n v="0"/>
    <n v="1378.8923874313577"/>
    <n v="1536.5246640965968"/>
    <n v="0.19925658552147171"/>
    <n v="70"/>
    <n v="97"/>
    <n v="0"/>
    <n v="-27"/>
    <n v="0"/>
    <n v="0.58926118194909527"/>
    <n v="1"/>
    <n v="74.8"/>
    <n v="74.8"/>
    <n v="-8.7825799979451507"/>
    <n v="1370.1098074334127"/>
    <n v="0"/>
    <n v="1"/>
    <n v="0"/>
    <n v="0"/>
    <n v="0"/>
    <n v="0"/>
    <n v="0"/>
    <n v="0"/>
    <n v="0"/>
    <n v="0"/>
  </r>
  <r>
    <d v="2026-05-25T00:00:00"/>
    <n v="2026"/>
    <x v="5"/>
    <s v="R"/>
    <s v="RS"/>
    <x v="2"/>
    <s v="CON"/>
    <s v="H"/>
    <n v="2"/>
    <n v="2"/>
    <n v="0"/>
    <n v="0"/>
    <n v="0"/>
    <n v="0"/>
    <n v="1536.5246640965968"/>
    <n v="1378.8923874313577"/>
    <n v="0.80074341447852826"/>
    <n v="97"/>
    <n v="70"/>
    <n v="0"/>
    <n v="27"/>
    <n v="1"/>
    <n v="0.58926118194909527"/>
    <n v="1"/>
    <n v="75.099999999999994"/>
    <n v="75.099999999999994"/>
    <n v="8.8178042492738076"/>
    <n v="1545.3424683458707"/>
    <n v="1"/>
    <n v="0"/>
    <n v="0"/>
    <n v="0"/>
    <n v="0"/>
    <n v="0"/>
    <n v="0"/>
    <n v="0"/>
    <n v="0"/>
    <n v="0"/>
  </r>
  <r>
    <d v="2026-05-25T00:00:00"/>
    <n v="2026"/>
    <x v="6"/>
    <s v="R"/>
    <s v="RS"/>
    <x v="13"/>
    <s v="NYL"/>
    <s v="A"/>
    <n v="1"/>
    <n v="0"/>
    <n v="1"/>
    <n v="-1"/>
    <n v="8"/>
    <n v="-8"/>
    <n v="1482.748292703943"/>
    <n v="1510.3237623986583"/>
    <n v="0.36582343058068562"/>
    <n v="81"/>
    <n v="74"/>
    <n v="0"/>
    <n v="7"/>
    <n v="1"/>
    <n v="0.36179332183546642"/>
    <n v="1"/>
    <n v="74.95"/>
    <n v="74.95"/>
    <n v="17.19659153364853"/>
    <n v="1499.9448842375914"/>
    <n v="1"/>
    <n v="0"/>
    <n v="0"/>
    <n v="0"/>
    <n v="0"/>
    <n v="0"/>
    <n v="0"/>
    <n v="0"/>
    <n v="0"/>
    <n v="0"/>
  </r>
  <r>
    <d v="2026-05-25T00:00:00"/>
    <n v="2026"/>
    <x v="6"/>
    <s v="R"/>
    <s v="RS"/>
    <x v="1"/>
    <s v="POR"/>
    <s v="H"/>
    <n v="0"/>
    <n v="1"/>
    <n v="-1"/>
    <n v="1"/>
    <n v="-8"/>
    <n v="8"/>
    <n v="1510.3237623986583"/>
    <n v="1482.748292703943"/>
    <n v="0.63417656941931433"/>
    <n v="74"/>
    <n v="81"/>
    <n v="0"/>
    <n v="-7"/>
    <n v="0"/>
    <n v="0.36179332183546642"/>
    <n v="1"/>
    <n v="74.95"/>
    <n v="74.95"/>
    <n v="-17.19659153364853"/>
    <n v="1493.1271708650097"/>
    <n v="0"/>
    <n v="1"/>
    <n v="0"/>
    <n v="0"/>
    <n v="0"/>
    <n v="0"/>
    <n v="0"/>
    <n v="0"/>
    <n v="0"/>
    <n v="0"/>
  </r>
  <r>
    <d v="2026-05-27T00:00:00"/>
    <n v="2026"/>
    <x v="7"/>
    <s v="R"/>
    <s v="RS"/>
    <x v="5"/>
    <s v="CHI"/>
    <s v="A"/>
    <n v="3"/>
    <n v="3"/>
    <n v="0"/>
    <n v="0"/>
    <n v="0"/>
    <n v="0"/>
    <n v="1484.3166292347885"/>
    <n v="1417.515452462716"/>
    <n v="0.47526910121309146"/>
    <n v="111"/>
    <n v="104"/>
    <n v="0"/>
    <n v="7"/>
    <n v="1"/>
    <n v="0.35059061763446187"/>
    <n v="1"/>
    <n v="74.8"/>
    <n v="74.8"/>
    <n v="13.760636596339625"/>
    <n v="1498.0772658311282"/>
    <n v="1"/>
    <n v="0"/>
    <n v="0"/>
    <n v="0"/>
    <n v="0"/>
    <n v="0"/>
    <n v="0"/>
    <n v="0"/>
    <n v="0"/>
    <n v="0"/>
  </r>
  <r>
    <d v="2026-05-27T00:00:00"/>
    <n v="2026"/>
    <x v="6"/>
    <s v="R"/>
    <s v="RS"/>
    <x v="12"/>
    <s v="TOR"/>
    <s v="H"/>
    <n v="3"/>
    <n v="3"/>
    <n v="0"/>
    <n v="0"/>
    <n v="0"/>
    <n v="0"/>
    <n v="1417.515452462716"/>
    <n v="1484.3166292347885"/>
    <n v="0.52473089878690859"/>
    <n v="104"/>
    <n v="111"/>
    <n v="0"/>
    <n v="-7"/>
    <n v="0"/>
    <n v="0.35059061763446187"/>
    <n v="1"/>
    <n v="74.95"/>
    <n v="74.95"/>
    <n v="-13.788231455824265"/>
    <n v="1403.7272210068918"/>
    <n v="0"/>
    <n v="1"/>
    <n v="0"/>
    <n v="0"/>
    <n v="0"/>
    <n v="0"/>
    <n v="0"/>
    <n v="0"/>
    <n v="0"/>
    <n v="0"/>
  </r>
  <r>
    <d v="2026-05-27T00:00:00"/>
    <n v="2026"/>
    <x v="5"/>
    <s v="R"/>
    <s v="RS"/>
    <x v="10"/>
    <s v="MIN"/>
    <s v="A"/>
    <n v="2"/>
    <n v="3"/>
    <n v="-1"/>
    <n v="1"/>
    <n v="-8"/>
    <n v="8"/>
    <n v="1587.1984606013407"/>
    <n v="1597.7135575644984"/>
    <n v="0.34611146222747308"/>
    <n v="81"/>
    <n v="96"/>
    <n v="0"/>
    <n v="-15"/>
    <n v="0"/>
    <n v="0.49848005627383046"/>
    <n v="1"/>
    <n v="75.099999999999994"/>
    <n v="75.099999999999994"/>
    <n v="-12.956977553729455"/>
    <n v="1574.2414830476112"/>
    <n v="0"/>
    <n v="1"/>
    <n v="0"/>
    <n v="0"/>
    <n v="0"/>
    <n v="0"/>
    <n v="0"/>
    <n v="0"/>
    <n v="0"/>
    <n v="0"/>
  </r>
  <r>
    <d v="2026-05-27T00:00:00"/>
    <n v="2026"/>
    <x v="6"/>
    <s v="R"/>
    <s v="RS"/>
    <x v="11"/>
    <s v="ATL"/>
    <s v="H"/>
    <n v="3"/>
    <n v="2"/>
    <n v="1"/>
    <n v="-1"/>
    <n v="8"/>
    <n v="-8"/>
    <n v="1597.7135575644984"/>
    <n v="1587.1984606013407"/>
    <n v="0.65388853777252698"/>
    <n v="96"/>
    <n v="81"/>
    <n v="0"/>
    <n v="15"/>
    <n v="1"/>
    <n v="0.49848005627383046"/>
    <n v="1"/>
    <n v="74.95"/>
    <n v="74.95"/>
    <n v="12.931098104554231"/>
    <n v="1610.6446556690526"/>
    <n v="1"/>
    <n v="0"/>
    <n v="0"/>
    <n v="0"/>
    <n v="0"/>
    <n v="0"/>
    <n v="0"/>
    <n v="0"/>
    <n v="0"/>
    <n v="0"/>
  </r>
  <r>
    <d v="2026-05-27T00:00:00"/>
    <n v="2026"/>
    <x v="7"/>
    <s v="R"/>
    <s v="RS"/>
    <x v="8"/>
    <s v="NYL"/>
    <s v="A"/>
    <n v="2"/>
    <n v="1"/>
    <n v="1"/>
    <n v="-1"/>
    <n v="8"/>
    <n v="-8"/>
    <n v="1503.8954613826868"/>
    <n v="1493.1271708650097"/>
    <n v="0.41837391663373535"/>
    <n v="74"/>
    <n v="84"/>
    <n v="0"/>
    <n v="-10"/>
    <n v="0"/>
    <n v="0.41936648256756404"/>
    <n v="1"/>
    <n v="74.8"/>
    <n v="74.8"/>
    <n v="-13.123809436689523"/>
    <n v="1490.7716519459973"/>
    <n v="0"/>
    <n v="1"/>
    <n v="0"/>
    <n v="0"/>
    <n v="0"/>
    <n v="0"/>
    <n v="0"/>
    <n v="0"/>
    <n v="0"/>
    <n v="0"/>
  </r>
  <r>
    <d v="2026-05-27T00:00:00"/>
    <n v="2026"/>
    <x v="7"/>
    <s v="R"/>
    <s v="RS"/>
    <x v="1"/>
    <s v="PHX"/>
    <s v="H"/>
    <n v="1"/>
    <n v="2"/>
    <n v="-1"/>
    <n v="1"/>
    <n v="-8"/>
    <n v="8"/>
    <n v="1493.1271708650097"/>
    <n v="1503.8954613826868"/>
    <n v="0.58162608336626465"/>
    <n v="84"/>
    <n v="74"/>
    <n v="0"/>
    <n v="10"/>
    <n v="1"/>
    <n v="0.41936648256756404"/>
    <n v="1"/>
    <n v="74.8"/>
    <n v="74.8"/>
    <n v="13.123809436689523"/>
    <n v="1506.2509803016992"/>
    <n v="1"/>
    <n v="0"/>
    <n v="0"/>
    <n v="0"/>
    <n v="0"/>
    <n v="0"/>
    <n v="0"/>
    <n v="0"/>
    <n v="0"/>
    <n v="0"/>
  </r>
  <r>
    <d v="2026-05-27T00:00:00"/>
    <n v="2026"/>
    <x v="8"/>
    <s v="R"/>
    <s v="RS"/>
    <x v="0"/>
    <s v="POR"/>
    <s v="A"/>
    <n v="1"/>
    <n v="1"/>
    <n v="0"/>
    <n v="0"/>
    <n v="0"/>
    <n v="0"/>
    <n v="1370.1098074334127"/>
    <n v="1499.9448842375914"/>
    <n v="0.22601805682999909"/>
    <n v="61"/>
    <n v="71"/>
    <n v="0"/>
    <n v="-10"/>
    <n v="0"/>
    <n v="0.381818503704207"/>
    <n v="1"/>
    <n v="74.650000000000006"/>
    <n v="74.650000000000006"/>
    <n v="-6.4421364634780645"/>
    <n v="1363.6676709699345"/>
    <n v="0"/>
    <n v="1"/>
    <n v="0"/>
    <n v="0"/>
    <n v="0"/>
    <n v="0"/>
    <n v="0"/>
    <n v="0"/>
    <n v="0"/>
    <n v="0"/>
  </r>
  <r>
    <d v="2026-05-27T00:00:00"/>
    <n v="2026"/>
    <x v="7"/>
    <s v="R"/>
    <s v="RS"/>
    <x v="13"/>
    <s v="CON"/>
    <s v="H"/>
    <n v="1"/>
    <n v="1"/>
    <n v="0"/>
    <n v="0"/>
    <n v="0"/>
    <n v="0"/>
    <n v="1499.9448842375914"/>
    <n v="1370.1098074334127"/>
    <n v="0.77398194317000102"/>
    <n v="71"/>
    <n v="61"/>
    <n v="0"/>
    <n v="10"/>
    <n v="1"/>
    <n v="0.381818503704207"/>
    <n v="1"/>
    <n v="74.8"/>
    <n v="74.8"/>
    <n v="6.4550811449184051"/>
    <n v="1506.3999653825099"/>
    <n v="1"/>
    <n v="0"/>
    <n v="0"/>
    <n v="0"/>
    <n v="0"/>
    <n v="0"/>
    <n v="0"/>
    <n v="0"/>
    <n v="0"/>
    <n v="0"/>
  </r>
  <r>
    <d v="2026-05-27T00:00:00"/>
    <n v="2026"/>
    <x v="5"/>
    <s v="R"/>
    <s v="RS"/>
    <x v="4"/>
    <s v="SEA"/>
    <s v="A"/>
    <n v="2"/>
    <n v="2"/>
    <n v="0"/>
    <n v="0"/>
    <n v="0"/>
    <n v="0"/>
    <n v="1412.6284427246101"/>
    <n v="1482.664020325434"/>
    <n v="0.29179128793773801"/>
    <n v="78"/>
    <n v="64"/>
    <n v="0"/>
    <n v="14"/>
    <n v="1"/>
    <n v="0.46071915980989125"/>
    <n v="1"/>
    <n v="75.099999999999994"/>
    <n v="75.099999999999994"/>
    <n v="24.504027741631926"/>
    <n v="1437.132470466242"/>
    <n v="1"/>
    <n v="0"/>
    <n v="0"/>
    <n v="0"/>
    <n v="0"/>
    <n v="0"/>
    <n v="0"/>
    <n v="0"/>
    <n v="0"/>
    <n v="0"/>
  </r>
  <r>
    <d v="2026-05-27T00:00:00"/>
    <n v="2026"/>
    <x v="7"/>
    <s v="R"/>
    <s v="RS"/>
    <x v="3"/>
    <s v="WAS"/>
    <s v="H"/>
    <n v="2"/>
    <n v="2"/>
    <n v="0"/>
    <n v="0"/>
    <n v="0"/>
    <n v="0"/>
    <n v="1482.664020325434"/>
    <n v="1412.6284427246101"/>
    <n v="0.70820871206226199"/>
    <n v="64"/>
    <n v="78"/>
    <n v="0"/>
    <n v="-14"/>
    <n v="0"/>
    <n v="0.46071915980989125"/>
    <n v="1"/>
    <n v="74.8"/>
    <n v="74.8"/>
    <n v="-24.406142144794515"/>
    <n v="1458.2578781806394"/>
    <n v="0"/>
    <n v="1"/>
    <n v="0"/>
    <n v="0"/>
    <n v="0"/>
    <n v="0"/>
    <n v="0"/>
    <n v="0"/>
    <n v="0"/>
    <n v="0"/>
  </r>
  <r>
    <d v="2026-05-28T00:00:00"/>
    <n v="2026"/>
    <x v="6"/>
    <s v="R"/>
    <s v="RS"/>
    <x v="9"/>
    <s v="DAL"/>
    <s v="A"/>
    <n v="4"/>
    <n v="3"/>
    <n v="1"/>
    <n v="-1"/>
    <n v="8"/>
    <n v="-8"/>
    <n v="1612.4222093427388"/>
    <n v="1462.2109777465221"/>
    <n v="0.61615172693299336"/>
    <n v="87"/>
    <n v="95"/>
    <n v="0"/>
    <n v="-8"/>
    <n v="0"/>
    <n v="0.34511536498828238"/>
    <n v="1"/>
    <n v="74.95"/>
    <n v="74.95"/>
    <n v="-15.937624938241607"/>
    <n v="1596.4845844044971"/>
    <n v="0"/>
    <n v="1"/>
    <n v="0"/>
    <n v="0"/>
    <n v="0"/>
    <n v="0"/>
    <n v="0"/>
    <n v="0"/>
    <n v="0"/>
    <n v="0"/>
  </r>
  <r>
    <d v="2026-05-28T00:00:00"/>
    <n v="2026"/>
    <x v="7"/>
    <s v="R"/>
    <s v="RS"/>
    <x v="6"/>
    <s v="LVA"/>
    <s v="H"/>
    <n v="3"/>
    <n v="4"/>
    <n v="-1"/>
    <n v="1"/>
    <n v="-8"/>
    <n v="8"/>
    <n v="1462.2109777465221"/>
    <n v="1612.4222093427388"/>
    <n v="0.38384827306700653"/>
    <n v="95"/>
    <n v="87"/>
    <n v="0"/>
    <n v="8"/>
    <n v="1"/>
    <n v="0.34511536498828238"/>
    <n v="1"/>
    <n v="74.8"/>
    <n v="74.8"/>
    <n v="15.905728424022312"/>
    <n v="1478.1167061705444"/>
    <n v="1"/>
    <n v="0"/>
    <n v="0"/>
    <n v="0"/>
    <n v="0"/>
    <n v="0"/>
    <n v="0"/>
    <n v="0"/>
    <n v="0"/>
    <n v="0"/>
  </r>
  <r>
    <d v="2026-05-28T00:00:00"/>
    <n v="2026"/>
    <x v="6"/>
    <s v="R"/>
    <s v="RS"/>
    <x v="7"/>
    <s v="GSV"/>
    <s v="A"/>
    <n v="5"/>
    <n v="2"/>
    <n v="3"/>
    <n v="-3"/>
    <n v="16"/>
    <n v="-16"/>
    <n v="1559.2791903911123"/>
    <n v="1545.3424683458707"/>
    <n v="0.44544064418682688"/>
    <n v="88"/>
    <n v="90"/>
    <n v="0"/>
    <n v="-2"/>
    <n v="0"/>
    <n v="0.26476634171680113"/>
    <n v="1"/>
    <n v="74.95"/>
    <n v="74.95"/>
    <n v="-8.8394298515084415"/>
    <n v="1550.4397605396039"/>
    <n v="0"/>
    <n v="1"/>
    <n v="0"/>
    <n v="0"/>
    <n v="0"/>
    <n v="0"/>
    <n v="0"/>
    <n v="0"/>
    <n v="0"/>
    <n v="0"/>
  </r>
  <r>
    <d v="2026-05-28T00:00:00"/>
    <n v="2026"/>
    <x v="6"/>
    <s v="R"/>
    <s v="RS"/>
    <x v="2"/>
    <s v="IND"/>
    <s v="H"/>
    <n v="2"/>
    <n v="5"/>
    <n v="-3"/>
    <n v="3"/>
    <n v="-16"/>
    <n v="16"/>
    <n v="1545.3424683458707"/>
    <n v="1559.2791903911123"/>
    <n v="0.55455935581317306"/>
    <n v="90"/>
    <n v="88"/>
    <n v="0"/>
    <n v="2"/>
    <n v="1"/>
    <n v="0.26476634171680113"/>
    <n v="1"/>
    <n v="74.95"/>
    <n v="74.95"/>
    <n v="8.8394298515084433"/>
    <n v="1554.181898197379"/>
    <n v="1"/>
    <n v="0"/>
    <n v="0"/>
    <n v="0"/>
    <n v="0"/>
    <n v="0"/>
    <n v="0"/>
    <n v="0"/>
    <n v="0"/>
    <n v="0"/>
  </r>
  <r>
    <d v="2026-05-29T00:00:00"/>
    <n v="2026"/>
    <x v="7"/>
    <s v="R"/>
    <s v="RS"/>
    <x v="11"/>
    <s v="CHI"/>
    <s v="A"/>
    <n v="1"/>
    <n v="1"/>
    <n v="0"/>
    <n v="0"/>
    <n v="0"/>
    <n v="0"/>
    <n v="1610.6446556690526"/>
    <n v="1403.7272210068918"/>
    <n v="0.66986391505182652"/>
    <n v="79"/>
    <n v="58"/>
    <n v="0"/>
    <n v="21"/>
    <n v="1"/>
    <n v="0.5020135012361151"/>
    <n v="1"/>
    <n v="74.8"/>
    <n v="74.8"/>
    <n v="12.396811337313363"/>
    <n v="1623.041467006366"/>
    <n v="1"/>
    <n v="0"/>
    <n v="0"/>
    <n v="0"/>
    <n v="0"/>
    <n v="0"/>
    <n v="0"/>
    <n v="0"/>
    <n v="0"/>
    <n v="0"/>
  </r>
  <r>
    <d v="2026-05-29T00:00:00"/>
    <n v="2026"/>
    <x v="7"/>
    <s v="R"/>
    <s v="RS"/>
    <x v="12"/>
    <s v="MIN"/>
    <s v="H"/>
    <n v="1"/>
    <n v="1"/>
    <n v="0"/>
    <n v="0"/>
    <n v="0"/>
    <n v="0"/>
    <n v="1403.7272210068918"/>
    <n v="1610.6446556690526"/>
    <n v="0.33013608494817348"/>
    <n v="58"/>
    <n v="79"/>
    <n v="0"/>
    <n v="-21"/>
    <n v="0"/>
    <n v="0.5020135012361151"/>
    <n v="1"/>
    <n v="74.8"/>
    <n v="74.8"/>
    <n v="-12.396811337313363"/>
    <n v="1391.3304096695783"/>
    <n v="0"/>
    <n v="1"/>
    <n v="0"/>
    <n v="0"/>
    <n v="0"/>
    <n v="0"/>
    <n v="0"/>
    <n v="0"/>
    <n v="0"/>
    <n v="0"/>
  </r>
  <r>
    <d v="2026-05-29T00:00:00"/>
    <n v="2026"/>
    <x v="8"/>
    <s v="R"/>
    <s v="RS"/>
    <x v="8"/>
    <s v="NYL"/>
    <s v="A"/>
    <n v="1"/>
    <n v="1"/>
    <n v="0"/>
    <n v="0"/>
    <n v="0"/>
    <n v="0"/>
    <n v="1490.7716519459973"/>
    <n v="1506.2509803016992"/>
    <n v="0.36062579620016755"/>
    <n v="68"/>
    <n v="75"/>
    <n v="0"/>
    <n v="-7"/>
    <n v="0"/>
    <n v="0.36539379701784014"/>
    <n v="1"/>
    <n v="74.650000000000006"/>
    <n v="74.650000000000006"/>
    <n v="-9.8366625230704194"/>
    <n v="1480.9349894229269"/>
    <n v="0"/>
    <n v="1"/>
    <n v="0"/>
    <n v="0"/>
    <n v="0"/>
    <n v="0"/>
    <n v="0"/>
    <n v="0"/>
    <n v="0"/>
    <n v="0"/>
  </r>
  <r>
    <d v="2026-05-29T00:00:00"/>
    <n v="2026"/>
    <x v="8"/>
    <s v="R"/>
    <s v="RS"/>
    <x v="1"/>
    <s v="PHX"/>
    <s v="H"/>
    <n v="1"/>
    <n v="1"/>
    <n v="0"/>
    <n v="0"/>
    <n v="0"/>
    <n v="0"/>
    <n v="1506.2509803016992"/>
    <n v="1490.7716519459973"/>
    <n v="0.63937420379983256"/>
    <n v="75"/>
    <n v="68"/>
    <n v="0"/>
    <n v="7"/>
    <n v="1"/>
    <n v="0.36539379701784014"/>
    <n v="1"/>
    <n v="74.650000000000006"/>
    <n v="74.650000000000006"/>
    <n v="9.8366625230704159"/>
    <n v="1516.0876428247695"/>
    <n v="1"/>
    <n v="0"/>
    <n v="0"/>
    <n v="0"/>
    <n v="0"/>
    <n v="0"/>
    <n v="0"/>
    <n v="0"/>
    <n v="0"/>
    <n v="0"/>
  </r>
  <r>
    <d v="2026-05-29T00:00:00"/>
    <n v="2026"/>
    <x v="6"/>
    <s v="R"/>
    <s v="RS"/>
    <x v="10"/>
    <s v="POR"/>
    <s v="A"/>
    <n v="1"/>
    <n v="1"/>
    <n v="0"/>
    <n v="0"/>
    <n v="0"/>
    <n v="0"/>
    <n v="1574.2414830476112"/>
    <n v="1506.3999653825099"/>
    <n v="0.4767628260898582"/>
    <n v="86"/>
    <n v="66"/>
    <n v="0"/>
    <n v="20"/>
    <n v="1"/>
    <n v="0.54412544558493803"/>
    <n v="1"/>
    <n v="74.95"/>
    <n v="74.95"/>
    <n v="21.338764197014449"/>
    <n v="1595.5802472446255"/>
    <n v="1"/>
    <n v="0"/>
    <n v="0"/>
    <n v="0"/>
    <n v="0"/>
    <n v="0"/>
    <n v="0"/>
    <n v="0"/>
    <n v="0"/>
    <n v="0"/>
  </r>
  <r>
    <d v="2026-05-29T00:00:00"/>
    <n v="2026"/>
    <x v="8"/>
    <s v="R"/>
    <s v="RS"/>
    <x v="13"/>
    <s v="ATL"/>
    <s v="H"/>
    <n v="1"/>
    <n v="1"/>
    <n v="0"/>
    <n v="0"/>
    <n v="0"/>
    <n v="0"/>
    <n v="1506.3999653825099"/>
    <n v="1574.2414830476112"/>
    <n v="0.5232371739101418"/>
    <n v="66"/>
    <n v="86"/>
    <n v="0"/>
    <n v="-20"/>
    <n v="0"/>
    <n v="0.54412544558493803"/>
    <n v="1"/>
    <n v="74.650000000000006"/>
    <n v="74.650000000000006"/>
    <n v="-21.253352198894312"/>
    <n v="1485.1466131836155"/>
    <n v="0"/>
    <n v="1"/>
    <n v="0"/>
    <n v="0"/>
    <n v="0"/>
    <n v="0"/>
    <n v="0"/>
    <n v="0"/>
    <n v="0"/>
    <n v="0"/>
  </r>
  <r>
    <d v="2026-05-29T00:00:00"/>
    <n v="2026"/>
    <x v="6"/>
    <s v="R"/>
    <s v="RS"/>
    <x v="14"/>
    <s v="WAS"/>
    <s v="A"/>
    <n v="5"/>
    <n v="1"/>
    <n v="4"/>
    <n v="-4"/>
    <n v="16"/>
    <n v="-16"/>
    <n v="1471.174255880486"/>
    <n v="1437.132470466242"/>
    <n v="0.47417904241029235"/>
    <n v="92"/>
    <n v="87"/>
    <n v="0"/>
    <n v="5"/>
    <n v="1"/>
    <n v="0.32260428719588319"/>
    <n v="1"/>
    <n v="74.95"/>
    <n v="74.95"/>
    <n v="12.713925536430533"/>
    <n v="1483.8881814169165"/>
    <n v="1"/>
    <n v="0"/>
    <n v="0"/>
    <n v="0"/>
    <n v="0"/>
    <n v="0"/>
    <n v="0"/>
    <n v="0"/>
    <n v="0"/>
    <n v="0"/>
  </r>
  <r>
    <d v="2026-05-29T00:00:00"/>
    <n v="2026"/>
    <x v="6"/>
    <s v="R"/>
    <s v="RS"/>
    <x v="4"/>
    <s v="LAS"/>
    <s v="H"/>
    <n v="1"/>
    <n v="5"/>
    <n v="-4"/>
    <n v="4"/>
    <n v="-16"/>
    <n v="16"/>
    <n v="1437.132470466242"/>
    <n v="1471.174255880486"/>
    <n v="0.52582095758970759"/>
    <n v="87"/>
    <n v="92"/>
    <n v="0"/>
    <n v="-5"/>
    <n v="0"/>
    <n v="0.32260428719588319"/>
    <n v="1"/>
    <n v="74.95"/>
    <n v="74.95"/>
    <n v="-12.713925536430532"/>
    <n v="1424.4185449298116"/>
    <n v="0"/>
    <n v="1"/>
    <n v="0"/>
    <n v="0"/>
    <n v="0"/>
    <n v="0"/>
    <n v="0"/>
    <n v="0"/>
    <n v="0"/>
    <n v="0"/>
  </r>
  <r>
    <d v="2026-05-30T00:00:00"/>
    <n v="2026"/>
    <x v="7"/>
    <s v="R"/>
    <s v="RS"/>
    <x v="14"/>
    <s v="CON"/>
    <s v="A"/>
    <n v="0"/>
    <n v="2"/>
    <n v="-2"/>
    <n v="2"/>
    <n v="-16"/>
    <n v="16"/>
    <n v="1483.8881814169165"/>
    <n v="1363.6676709699345"/>
    <n v="0.50607350403380236"/>
    <n v="81"/>
    <n v="84"/>
    <n v="0"/>
    <n v="-3"/>
    <n v="0"/>
    <n v="0.26375913914604621"/>
    <n v="1"/>
    <n v="74.8"/>
    <n v="74.8"/>
    <n v="-9.9844170802896972"/>
    <n v="1473.9037643366269"/>
    <n v="0"/>
    <n v="1"/>
    <n v="0"/>
    <n v="0"/>
    <n v="0"/>
    <n v="0"/>
    <n v="0"/>
    <n v="0"/>
    <n v="0"/>
    <n v="0"/>
  </r>
  <r>
    <d v="2026-05-30T00:00:00"/>
    <n v="2026"/>
    <x v="9"/>
    <s v="R"/>
    <s v="RS"/>
    <x v="0"/>
    <s v="LAS"/>
    <s v="H"/>
    <n v="2"/>
    <n v="0"/>
    <n v="2"/>
    <n v="-2"/>
    <n v="16"/>
    <n v="-16"/>
    <n v="1363.6676709699345"/>
    <n v="1483.8881814169165"/>
    <n v="0.49392649596619764"/>
    <n v="84"/>
    <n v="81"/>
    <n v="0"/>
    <n v="3"/>
    <n v="1"/>
    <n v="0.26375913914604621"/>
    <n v="1"/>
    <n v="74.5"/>
    <n v="74.5"/>
    <n v="9.9443726267591241"/>
    <n v="1373.6120435966936"/>
    <n v="1"/>
    <n v="0"/>
    <n v="0"/>
    <n v="0"/>
    <n v="0"/>
    <n v="0"/>
    <n v="0"/>
    <n v="0"/>
    <n v="0"/>
    <n v="0"/>
  </r>
  <r>
    <d v="2026-05-30T00:00:00"/>
    <n v="2026"/>
    <x v="7"/>
    <s v="R"/>
    <s v="RS"/>
    <x v="7"/>
    <s v="POR"/>
    <s v="A"/>
    <n v="1"/>
    <n v="0"/>
    <n v="1"/>
    <n v="-1"/>
    <n v="8"/>
    <n v="-8"/>
    <n v="1550.4397605396039"/>
    <n v="1485.1466131836155"/>
    <n v="0.4961046047231541"/>
    <n v="84"/>
    <n v="100"/>
    <n v="0"/>
    <n v="-16"/>
    <n v="0"/>
    <n v="0.49106662755145725"/>
    <n v="1"/>
    <n v="74.8"/>
    <n v="74.8"/>
    <n v="-18.222807053530275"/>
    <n v="1532.2169534860736"/>
    <n v="0"/>
    <n v="1"/>
    <n v="0"/>
    <n v="0"/>
    <n v="0"/>
    <n v="0"/>
    <n v="0"/>
    <n v="0"/>
    <n v="0"/>
    <n v="0"/>
  </r>
  <r>
    <d v="2026-05-30T00:00:00"/>
    <n v="2026"/>
    <x v="9"/>
    <s v="R"/>
    <s v="RS"/>
    <x v="13"/>
    <s v="IND"/>
    <s v="H"/>
    <n v="0"/>
    <n v="1"/>
    <n v="-1"/>
    <n v="1"/>
    <n v="-8"/>
    <n v="8"/>
    <n v="1485.1466131836155"/>
    <n v="1550.4397605396039"/>
    <n v="0.5038953952768459"/>
    <n v="100"/>
    <n v="84"/>
    <n v="0"/>
    <n v="16"/>
    <n v="1"/>
    <n v="0.49106662755145725"/>
    <n v="1"/>
    <n v="74.5"/>
    <n v="74.5"/>
    <n v="18.149720928984028"/>
    <n v="1503.2963341125994"/>
    <n v="1"/>
    <n v="0"/>
    <n v="0"/>
    <n v="0"/>
    <n v="0"/>
    <n v="0"/>
    <n v="0"/>
    <n v="0"/>
    <n v="0"/>
    <n v="0"/>
  </r>
  <r>
    <d v="2026-05-30T00:00:00"/>
    <n v="2026"/>
    <x v="8"/>
    <s v="R"/>
    <s v="RS"/>
    <x v="3"/>
    <s v="TOR"/>
    <s v="A"/>
    <n v="2"/>
    <n v="2"/>
    <n v="0"/>
    <n v="0"/>
    <n v="0"/>
    <n v="0"/>
    <n v="1458.2578781806394"/>
    <n v="1498.0772658311282"/>
    <n v="0.32898889495468858"/>
    <n v="72"/>
    <n v="93"/>
    <n v="0"/>
    <n v="-21"/>
    <n v="0"/>
    <n v="0.56967293329985547"/>
    <n v="1"/>
    <n v="74.650000000000006"/>
    <n v="74.650000000000006"/>
    <n v="-13.99060953680949"/>
    <n v="1444.26726864383"/>
    <n v="0"/>
    <n v="1"/>
    <n v="0"/>
    <n v="0"/>
    <n v="0"/>
    <n v="0"/>
    <n v="0"/>
    <n v="0"/>
    <n v="0"/>
    <n v="0"/>
  </r>
  <r>
    <d v="2026-05-30T00:00:00"/>
    <n v="2026"/>
    <x v="8"/>
    <s v="R"/>
    <s v="RS"/>
    <x v="5"/>
    <s v="SEA"/>
    <s v="H"/>
    <n v="2"/>
    <n v="2"/>
    <n v="0"/>
    <n v="0"/>
    <n v="0"/>
    <n v="0"/>
    <n v="1498.0772658311282"/>
    <n v="1458.2578781806394"/>
    <n v="0.67101110504531147"/>
    <n v="93"/>
    <n v="72"/>
    <n v="0"/>
    <n v="21"/>
    <n v="1"/>
    <n v="0.56967293329985547"/>
    <n v="1"/>
    <n v="74.650000000000006"/>
    <n v="74.650000000000006"/>
    <n v="13.990609536809488"/>
    <n v="1512.0678753679376"/>
    <n v="1"/>
    <n v="0"/>
    <n v="0"/>
    <n v="0"/>
    <n v="0"/>
    <n v="0"/>
    <n v="0"/>
    <n v="0"/>
    <n v="0"/>
    <n v="0"/>
  </r>
  <r>
    <d v="2026-05-31T00:00:00"/>
    <n v="2026"/>
    <x v="7"/>
    <s v="R"/>
    <s v="RS"/>
    <x v="9"/>
    <s v="GSV"/>
    <s v="A"/>
    <n v="2"/>
    <n v="2"/>
    <n v="0"/>
    <n v="0"/>
    <n v="0"/>
    <n v="0"/>
    <n v="1596.4845844044971"/>
    <n v="1554.181898197379"/>
    <n v="0.44027919604501203"/>
    <n v="91"/>
    <n v="81"/>
    <n v="0"/>
    <n v="10"/>
    <n v="1"/>
    <n v="0.40872135658739706"/>
    <n v="1"/>
    <n v="74.8"/>
    <n v="74.8"/>
    <n v="17.111984503439803"/>
    <n v="1613.5965689079369"/>
    <n v="1"/>
    <n v="0"/>
    <n v="0"/>
    <n v="0"/>
    <n v="0"/>
    <n v="0"/>
    <n v="0"/>
    <n v="0"/>
    <n v="0"/>
    <n v="0"/>
  </r>
  <r>
    <d v="2026-05-31T00:00:00"/>
    <n v="2026"/>
    <x v="7"/>
    <s v="R"/>
    <s v="RS"/>
    <x v="2"/>
    <s v="LVA"/>
    <s v="H"/>
    <n v="2"/>
    <n v="2"/>
    <n v="0"/>
    <n v="0"/>
    <n v="0"/>
    <n v="0"/>
    <n v="1554.181898197379"/>
    <n v="1596.4845844044971"/>
    <n v="0.55972080395498802"/>
    <n v="81"/>
    <n v="91"/>
    <n v="0"/>
    <n v="-10"/>
    <n v="0"/>
    <n v="0.40872135658739706"/>
    <n v="1"/>
    <n v="74.8"/>
    <n v="74.8"/>
    <n v="-17.111984503439807"/>
    <n v="1537.0699136939393"/>
    <n v="0"/>
    <n v="1"/>
    <n v="0"/>
    <n v="0"/>
    <n v="0"/>
    <n v="0"/>
    <n v="0"/>
    <n v="0"/>
    <n v="0"/>
    <n v="0"/>
  </r>
  <r>
    <d v="2026-06-01T00:00:00"/>
    <n v="2026"/>
    <x v="9"/>
    <s v="R"/>
    <s v="RS"/>
    <x v="3"/>
    <s v="DAL"/>
    <s v="A"/>
    <n v="1"/>
    <n v="3"/>
    <n v="-2"/>
    <n v="2"/>
    <n v="-16"/>
    <n v="16"/>
    <n v="1444.26726864383"/>
    <n v="1478.1167061705444"/>
    <n v="0.29679585346960452"/>
    <n v="56"/>
    <n v="79"/>
    <n v="0"/>
    <n v="-23"/>
    <n v="0"/>
    <n v="0.59845658685428926"/>
    <n v="1"/>
    <n v="74.5"/>
    <n v="74.5"/>
    <n v="-13.232647792764434"/>
    <n v="1431.0346208510655"/>
    <n v="0"/>
    <n v="1"/>
    <n v="0"/>
    <n v="0"/>
    <n v="0"/>
    <n v="0"/>
    <n v="0"/>
    <n v="0"/>
    <n v="0"/>
    <n v="0"/>
  </r>
  <r>
    <d v="2026-06-01T00:00:00"/>
    <n v="2026"/>
    <x v="8"/>
    <s v="R"/>
    <s v="RS"/>
    <x v="6"/>
    <s v="SEA"/>
    <s v="H"/>
    <n v="3"/>
    <n v="1"/>
    <n v="2"/>
    <n v="-2"/>
    <n v="16"/>
    <n v="-16"/>
    <n v="1478.1167061705444"/>
    <n v="1444.26726864383"/>
    <n v="0.70320414653039542"/>
    <n v="79"/>
    <n v="56"/>
    <n v="0"/>
    <n v="23"/>
    <n v="1"/>
    <n v="0.59845658685428926"/>
    <n v="1"/>
    <n v="74.650000000000006"/>
    <n v="74.650000000000006"/>
    <n v="13.259290707783427"/>
    <n v="1491.3759968783279"/>
    <n v="1"/>
    <n v="0"/>
    <n v="0"/>
    <n v="0"/>
    <n v="0"/>
    <n v="0"/>
    <n v="0"/>
    <n v="0"/>
    <n v="0"/>
    <n v="0"/>
  </r>
  <r>
    <d v="2026-06-01T00:00:00"/>
    <n v="2026"/>
    <x v="8"/>
    <s v="R"/>
    <s v="RS"/>
    <x v="11"/>
    <s v="PHX"/>
    <s v="A"/>
    <n v="2"/>
    <n v="2"/>
    <n v="0"/>
    <n v="0"/>
    <n v="0"/>
    <n v="0"/>
    <n v="1623.041467006366"/>
    <n v="1480.9349894229269"/>
    <n v="0.58285091873902539"/>
    <n v="111"/>
    <n v="77"/>
    <n v="0"/>
    <n v="34"/>
    <n v="1"/>
    <n v="0.67119975880382687"/>
    <n v="1"/>
    <n v="74.650000000000006"/>
    <n v="74.650000000000006"/>
    <n v="20.901280577615651"/>
    <n v="1643.9427475839816"/>
    <n v="1"/>
    <n v="0"/>
    <n v="0"/>
    <n v="0"/>
    <n v="0"/>
    <n v="0"/>
    <n v="0"/>
    <n v="0"/>
    <n v="0"/>
    <n v="0"/>
  </r>
  <r>
    <d v="2026-06-01T00:00:00"/>
    <n v="2026"/>
    <x v="9"/>
    <s v="R"/>
    <s v="RS"/>
    <x v="8"/>
    <s v="MIN"/>
    <s v="H"/>
    <n v="2"/>
    <n v="2"/>
    <n v="0"/>
    <n v="0"/>
    <n v="0"/>
    <n v="0"/>
    <n v="1480.9349894229269"/>
    <n v="1623.041467006366"/>
    <n v="0.41714908126097461"/>
    <n v="77"/>
    <n v="111"/>
    <n v="0"/>
    <n v="-34"/>
    <n v="0"/>
    <n v="0.67119975880382687"/>
    <n v="1"/>
    <n v="74.5"/>
    <n v="74.5"/>
    <n v="-20.859282023206507"/>
    <n v="1460.0757073997204"/>
    <n v="0"/>
    <n v="1"/>
    <n v="0"/>
    <n v="0"/>
    <n v="0"/>
    <n v="0"/>
    <n v="0"/>
    <n v="0"/>
    <n v="0"/>
    <n v="0"/>
  </r>
  <r>
    <d v="2026-06-02T00:00:00"/>
    <n v="2026"/>
    <x v="10"/>
    <s v="R"/>
    <s v="RS"/>
    <x v="0"/>
    <s v="ATL"/>
    <s v="A"/>
    <n v="2"/>
    <n v="3"/>
    <n v="-1"/>
    <n v="1"/>
    <n v="-8"/>
    <n v="8"/>
    <n v="1373.6120435966936"/>
    <n v="1595.5802472446255"/>
    <n v="0.13547443036390461"/>
    <n v="75"/>
    <n v="91"/>
    <n v="0"/>
    <n v="-16"/>
    <n v="0"/>
    <n v="0.43696000876958702"/>
    <n v="1"/>
    <n v="74.349999999999994"/>
    <n v="74.349999999999994"/>
    <n v="-4.4012901306080785"/>
    <n v="1369.2107534660856"/>
    <n v="0"/>
    <n v="1"/>
    <n v="0"/>
    <n v="0"/>
    <n v="0"/>
    <n v="0"/>
    <n v="0"/>
    <n v="0"/>
    <n v="0"/>
    <n v="0"/>
  </r>
  <r>
    <d v="2026-06-02T00:00:00"/>
    <n v="2026"/>
    <x v="7"/>
    <s v="R"/>
    <s v="RS"/>
    <x v="10"/>
    <s v="CON"/>
    <s v="H"/>
    <n v="3"/>
    <n v="2"/>
    <n v="1"/>
    <n v="-1"/>
    <n v="8"/>
    <n v="-8"/>
    <n v="1595.5802472446255"/>
    <n v="1373.6120435966936"/>
    <n v="0.86452556963609528"/>
    <n v="91"/>
    <n v="75"/>
    <n v="0"/>
    <n v="16"/>
    <n v="1"/>
    <n v="0.43696000876958702"/>
    <n v="1"/>
    <n v="74.8"/>
    <n v="74.8"/>
    <n v="4.4279287393340221"/>
    <n v="1600.0081759839595"/>
    <n v="1"/>
    <n v="0"/>
    <n v="0"/>
    <n v="0"/>
    <n v="0"/>
    <n v="0"/>
    <n v="0"/>
    <n v="0"/>
    <n v="0"/>
    <n v="0"/>
  </r>
  <r>
    <d v="2026-06-02T00:00:00"/>
    <n v="2026"/>
    <x v="10"/>
    <s v="R"/>
    <s v="RS"/>
    <x v="13"/>
    <s v="GSV"/>
    <s v="A"/>
    <n v="2"/>
    <n v="1"/>
    <n v="1"/>
    <n v="-1"/>
    <n v="8"/>
    <n v="-8"/>
    <n v="1503.2963341125994"/>
    <n v="1537.0699136939393"/>
    <n v="0.35758628600246145"/>
    <n v="77"/>
    <n v="95"/>
    <n v="0"/>
    <n v="-18"/>
    <n v="0"/>
    <n v="0.53186478411562033"/>
    <n v="1"/>
    <n v="74.349999999999994"/>
    <n v="74.349999999999994"/>
    <n v="-14.140444551230608"/>
    <n v="1489.1558895613689"/>
    <n v="0"/>
    <n v="1"/>
    <n v="0"/>
    <n v="0"/>
    <n v="0"/>
    <n v="0"/>
    <n v="0"/>
    <n v="0"/>
    <n v="0"/>
    <n v="0"/>
  </r>
  <r>
    <d v="2026-06-02T00:00:00"/>
    <n v="2026"/>
    <x v="8"/>
    <s v="R"/>
    <s v="RS"/>
    <x v="2"/>
    <s v="POR"/>
    <s v="H"/>
    <n v="1"/>
    <n v="2"/>
    <n v="-1"/>
    <n v="1"/>
    <n v="-8"/>
    <n v="8"/>
    <n v="1537.0699136939393"/>
    <n v="1503.2963341125994"/>
    <n v="0.64241371399753855"/>
    <n v="95"/>
    <n v="77"/>
    <n v="0"/>
    <n v="18"/>
    <n v="1"/>
    <n v="0.53186478411562033"/>
    <n v="1"/>
    <n v="74.650000000000006"/>
    <n v="74.650000000000006"/>
    <n v="14.197500817072832"/>
    <n v="1551.267414511012"/>
    <n v="1"/>
    <n v="0"/>
    <n v="0"/>
    <n v="0"/>
    <n v="0"/>
    <n v="0"/>
    <n v="0"/>
    <n v="0"/>
    <n v="0"/>
    <n v="0"/>
  </r>
  <r>
    <d v="2026-06-02T00:00:00"/>
    <n v="2026"/>
    <x v="8"/>
    <s v="R"/>
    <s v="RS"/>
    <x v="9"/>
    <s v="LAS"/>
    <s v="A"/>
    <n v="1"/>
    <n v="2"/>
    <n v="-1"/>
    <n v="1"/>
    <n v="-8"/>
    <n v="8"/>
    <n v="1613.5965689079369"/>
    <n v="1473.9037643366269"/>
    <n v="0.55687530828967802"/>
    <n v="79"/>
    <n v="69"/>
    <n v="0"/>
    <n v="10"/>
    <n v="1"/>
    <n v="0.37900900674107757"/>
    <n v="1"/>
    <n v="74.650000000000006"/>
    <n v="74.650000000000006"/>
    <n v="12.5373368078245"/>
    <n v="1626.1339057157613"/>
    <n v="1"/>
    <n v="0"/>
    <n v="0"/>
    <n v="0"/>
    <n v="0"/>
    <n v="0"/>
    <n v="0"/>
    <n v="0"/>
    <n v="0"/>
    <n v="0"/>
  </r>
  <r>
    <d v="2026-06-02T00:00:00"/>
    <n v="2026"/>
    <x v="8"/>
    <s v="R"/>
    <s v="RS"/>
    <x v="14"/>
    <s v="LVA"/>
    <s v="H"/>
    <n v="2"/>
    <n v="1"/>
    <n v="1"/>
    <n v="-1"/>
    <n v="8"/>
    <n v="-8"/>
    <n v="1473.9037643366269"/>
    <n v="1613.5965689079369"/>
    <n v="0.44312469171032204"/>
    <n v="69"/>
    <n v="79"/>
    <n v="0"/>
    <n v="-10"/>
    <n v="0"/>
    <n v="0.37900900674107757"/>
    <n v="1"/>
    <n v="74.650000000000006"/>
    <n v="74.650000000000006"/>
    <n v="-12.537336807824502"/>
    <n v="1461.3664275288024"/>
    <n v="0"/>
    <n v="1"/>
    <n v="0"/>
    <n v="0"/>
    <n v="0"/>
    <n v="0"/>
    <n v="0"/>
    <n v="0"/>
    <n v="0"/>
    <n v="0"/>
  </r>
  <r>
    <d v="2026-06-02T00:00:00"/>
    <n v="2026"/>
    <x v="8"/>
    <s v="R"/>
    <s v="RS"/>
    <x v="12"/>
    <s v="WAS"/>
    <s v="A"/>
    <n v="3"/>
    <n v="3"/>
    <n v="0"/>
    <n v="0"/>
    <n v="0"/>
    <n v="0"/>
    <n v="1391.3304096695783"/>
    <n v="1424.4185449298116"/>
    <n v="0.33759873725255446"/>
    <n v="72"/>
    <n v="90"/>
    <n v="0"/>
    <n v="-18"/>
    <n v="0"/>
    <n v="0.53216043507960575"/>
    <n v="1"/>
    <n v="74.650000000000006"/>
    <n v="74.650000000000006"/>
    <n v="-13.411371975583842"/>
    <n v="1377.9190376939946"/>
    <n v="0"/>
    <n v="1"/>
    <n v="0"/>
    <n v="0"/>
    <n v="0"/>
    <n v="0"/>
    <n v="0"/>
    <n v="0"/>
    <n v="0"/>
    <n v="0"/>
  </r>
  <r>
    <d v="2026-06-02T00:00:00"/>
    <n v="2026"/>
    <x v="7"/>
    <s v="R"/>
    <s v="RS"/>
    <x v="4"/>
    <s v="CHI"/>
    <s v="H"/>
    <n v="3"/>
    <n v="3"/>
    <n v="0"/>
    <n v="0"/>
    <n v="0"/>
    <n v="0"/>
    <n v="1424.4185449298116"/>
    <n v="1391.3304096695783"/>
    <n v="0.66240126274744549"/>
    <n v="90"/>
    <n v="72"/>
    <n v="0"/>
    <n v="18"/>
    <n v="1"/>
    <n v="0.53216043507960575"/>
    <n v="1"/>
    <n v="74.8"/>
    <n v="74.8"/>
    <n v="13.438320479218641"/>
    <n v="1437.8568654090302"/>
    <n v="1"/>
    <n v="0"/>
    <n v="0"/>
    <n v="0"/>
    <n v="0"/>
    <n v="0"/>
    <n v="0"/>
    <n v="0"/>
    <n v="0"/>
    <n v="0"/>
  </r>
  <r>
    <d v="2026-06-03T00:00:00"/>
    <n v="2026"/>
    <x v="9"/>
    <s v="R"/>
    <s v="RS"/>
    <x v="5"/>
    <s v="NYL"/>
    <s v="A"/>
    <n v="3"/>
    <n v="4"/>
    <n v="-1"/>
    <n v="1"/>
    <n v="-8"/>
    <n v="8"/>
    <n v="1512.0678753679376"/>
    <n v="1516.0876428247695"/>
    <n v="0.35462150642696266"/>
    <n v="82"/>
    <n v="97"/>
    <n v="0"/>
    <n v="-15"/>
    <n v="0"/>
    <n v="0.50116920831713063"/>
    <n v="1"/>
    <n v="74.5"/>
    <n v="74.5"/>
    <n v="-13.240540782303071"/>
    <n v="1498.8273345856346"/>
    <n v="0"/>
    <n v="1"/>
    <n v="0"/>
    <n v="0"/>
    <n v="0"/>
    <n v="0"/>
    <n v="0"/>
    <n v="0"/>
    <n v="0"/>
    <n v="0"/>
  </r>
  <r>
    <d v="2026-06-03T00:00:00"/>
    <n v="2026"/>
    <x v="9"/>
    <s v="R"/>
    <s v="RS"/>
    <x v="1"/>
    <s v="TOR"/>
    <s v="H"/>
    <n v="4"/>
    <n v="3"/>
    <n v="1"/>
    <n v="-1"/>
    <n v="8"/>
    <n v="-8"/>
    <n v="1516.0876428247695"/>
    <n v="1512.0678753679376"/>
    <n v="0.64537849357303734"/>
    <n v="97"/>
    <n v="82"/>
    <n v="0"/>
    <n v="15"/>
    <n v="1"/>
    <n v="0.50116920831713063"/>
    <n v="1"/>
    <n v="74.5"/>
    <n v="74.5"/>
    <n v="13.240540782303071"/>
    <n v="1529.3281836070726"/>
    <n v="1"/>
    <n v="0"/>
    <n v="0"/>
    <n v="0"/>
    <n v="0"/>
    <n v="0"/>
    <n v="0"/>
    <n v="0"/>
    <n v="0"/>
    <n v="0"/>
  </r>
  <r>
    <d v="2026-06-03T00:00:00"/>
    <n v="2026"/>
    <x v="10"/>
    <s v="R"/>
    <s v="RS"/>
    <x v="8"/>
    <s v="SEA"/>
    <s v="A"/>
    <n v="1"/>
    <n v="1"/>
    <n v="0"/>
    <n v="0"/>
    <n v="0"/>
    <n v="0"/>
    <n v="1460.0757073997204"/>
    <n v="1431.0346208510655"/>
    <n v="0.42156091968944409"/>
    <n v="72"/>
    <n v="68"/>
    <n v="0"/>
    <n v="4"/>
    <n v="1"/>
    <n v="0.30407387187853829"/>
    <n v="1"/>
    <n v="74.349999999999994"/>
    <n v="74.349999999999994"/>
    <n v="13.077288472674532"/>
    <n v="1473.152995872395"/>
    <n v="1"/>
    <n v="0"/>
    <n v="0"/>
    <n v="0"/>
    <n v="0"/>
    <n v="0"/>
    <n v="0"/>
    <n v="0"/>
    <n v="0"/>
    <n v="0"/>
  </r>
  <r>
    <d v="2026-06-03T00:00:00"/>
    <n v="2026"/>
    <x v="10"/>
    <s v="R"/>
    <s v="RS"/>
    <x v="3"/>
    <s v="PHX"/>
    <s v="H"/>
    <n v="1"/>
    <n v="1"/>
    <n v="0"/>
    <n v="0"/>
    <n v="0"/>
    <n v="0"/>
    <n v="1431.0346208510655"/>
    <n v="1460.0757073997204"/>
    <n v="0.57843908031055591"/>
    <n v="68"/>
    <n v="72"/>
    <n v="0"/>
    <n v="-4"/>
    <n v="0"/>
    <n v="0.30407387187853829"/>
    <n v="1"/>
    <n v="74.349999999999994"/>
    <n v="74.349999999999994"/>
    <n v="-13.077288472674532"/>
    <n v="1417.9573323783909"/>
    <n v="0"/>
    <n v="1"/>
    <n v="0"/>
    <n v="0"/>
    <n v="0"/>
    <n v="0"/>
    <n v="0"/>
    <n v="0"/>
    <n v="0"/>
    <n v="0"/>
  </r>
  <r>
    <d v="2026-06-04T00:00:00"/>
    <n v="2026"/>
    <x v="8"/>
    <s v="R"/>
    <s v="RS"/>
    <x v="10"/>
    <s v="IND"/>
    <s v="A"/>
    <n v="1"/>
    <n v="4"/>
    <n v="-3"/>
    <n v="3"/>
    <n v="-16"/>
    <n v="16"/>
    <n v="1600.0081759839595"/>
    <n v="1532.2169534860736"/>
    <n v="0.4310638400345882"/>
    <n v="71"/>
    <n v="83"/>
    <n v="0"/>
    <n v="-12"/>
    <n v="0"/>
    <n v="0.43173932898305861"/>
    <n v="1"/>
    <n v="74.650000000000006"/>
    <n v="74.650000000000006"/>
    <n v="-13.892903453838635"/>
    <n v="1586.1152725301208"/>
    <n v="0"/>
    <n v="1"/>
    <n v="0"/>
    <n v="0"/>
    <n v="0"/>
    <n v="0"/>
    <n v="0"/>
    <n v="0"/>
    <n v="0"/>
    <n v="0"/>
  </r>
  <r>
    <d v="2026-06-04T00:00:00"/>
    <n v="2026"/>
    <x v="8"/>
    <s v="R"/>
    <s v="RS"/>
    <x v="7"/>
    <s v="ATL"/>
    <s v="H"/>
    <n v="4"/>
    <n v="1"/>
    <n v="3"/>
    <n v="-3"/>
    <n v="16"/>
    <n v="-16"/>
    <n v="1532.2169534860736"/>
    <n v="1600.0081759839595"/>
    <n v="0.5689361599654118"/>
    <n v="83"/>
    <n v="71"/>
    <n v="0"/>
    <n v="12"/>
    <n v="1"/>
    <n v="0.43173932898305861"/>
    <n v="1"/>
    <n v="74.650000000000006"/>
    <n v="74.650000000000006"/>
    <n v="13.892903453838635"/>
    <n v="1546.1098569399123"/>
    <n v="1"/>
    <n v="0"/>
    <n v="0"/>
    <n v="0"/>
    <n v="0"/>
    <n v="0"/>
    <n v="0"/>
    <n v="0"/>
    <n v="0"/>
    <n v="0"/>
  </r>
  <r>
    <d v="2026-06-04T00:00:00"/>
    <n v="2026"/>
    <x v="9"/>
    <s v="R"/>
    <s v="RS"/>
    <x v="2"/>
    <s v="MIN"/>
    <s v="A"/>
    <n v="1"/>
    <n v="2"/>
    <n v="-1"/>
    <n v="1"/>
    <n v="-8"/>
    <n v="8"/>
    <n v="1551.267414511012"/>
    <n v="1643.9427475839816"/>
    <n v="0.24803342224165567"/>
    <n v="84"/>
    <n v="87"/>
    <n v="0"/>
    <n v="-3"/>
    <n v="0"/>
    <n v="0.26937949259900756"/>
    <n v="1"/>
    <n v="74.5"/>
    <n v="74.5"/>
    <n v="-4.9777262486134193"/>
    <n v="1546.2896882623986"/>
    <n v="0"/>
    <n v="1"/>
    <n v="0"/>
    <n v="0"/>
    <n v="0"/>
    <n v="0"/>
    <n v="0"/>
    <n v="0"/>
    <n v="0"/>
    <n v="0"/>
  </r>
  <r>
    <d v="2026-06-04T00:00:00"/>
    <n v="2026"/>
    <x v="9"/>
    <s v="R"/>
    <s v="RS"/>
    <x v="11"/>
    <s v="GSV"/>
    <s v="H"/>
    <n v="2"/>
    <n v="1"/>
    <n v="1"/>
    <n v="-1"/>
    <n v="8"/>
    <n v="-8"/>
    <n v="1643.9427475839816"/>
    <n v="1551.267414511012"/>
    <n v="0.75196657775834441"/>
    <n v="87"/>
    <n v="84"/>
    <n v="0"/>
    <n v="3"/>
    <n v="1"/>
    <n v="0.26937949259900756"/>
    <n v="1"/>
    <n v="74.5"/>
    <n v="74.5"/>
    <n v="4.9777262486134175"/>
    <n v="1648.920473832595"/>
    <n v="1"/>
    <n v="0"/>
    <n v="0"/>
    <n v="0"/>
    <n v="0"/>
    <n v="0"/>
    <n v="0"/>
    <n v="0"/>
    <n v="0"/>
    <n v="0"/>
  </r>
  <r>
    <d v="2026-06-05T00:00:00"/>
    <n v="2026"/>
    <x v="11"/>
    <s v="R"/>
    <s v="RS"/>
    <x v="0"/>
    <s v="CHI"/>
    <s v="A"/>
    <n v="2"/>
    <n v="2"/>
    <n v="0"/>
    <n v="0"/>
    <n v="0"/>
    <n v="0"/>
    <n v="1369.2107534660856"/>
    <n v="1377.9190376939946"/>
    <n v="0.36966091082928082"/>
    <n v="80"/>
    <n v="85"/>
    <n v="0"/>
    <n v="-5"/>
    <n v="0"/>
    <n v="0.32936579962947604"/>
    <n v="1"/>
    <n v="74.2"/>
    <n v="74.2"/>
    <n v="-9.0341216823388528"/>
    <n v="1360.1766317837469"/>
    <n v="0"/>
    <n v="1"/>
    <n v="0"/>
    <n v="0"/>
    <n v="0"/>
    <n v="0"/>
    <n v="0"/>
    <n v="0"/>
    <n v="0"/>
    <n v="0"/>
  </r>
  <r>
    <d v="2026-06-05T00:00:00"/>
    <n v="2026"/>
    <x v="9"/>
    <s v="R"/>
    <s v="RS"/>
    <x v="12"/>
    <s v="CON"/>
    <s v="H"/>
    <n v="2"/>
    <n v="2"/>
    <n v="0"/>
    <n v="0"/>
    <n v="0"/>
    <n v="0"/>
    <n v="1377.9190376939946"/>
    <n v="1369.2107534660856"/>
    <n v="0.63033908917071924"/>
    <n v="85"/>
    <n v="80"/>
    <n v="0"/>
    <n v="5"/>
    <n v="1"/>
    <n v="0.32936579962947604"/>
    <n v="1"/>
    <n v="74.5"/>
    <n v="74.5"/>
    <n v="9.070647780784963"/>
    <n v="1386.9896854747797"/>
    <n v="1"/>
    <n v="0"/>
    <n v="0"/>
    <n v="0"/>
    <n v="0"/>
    <n v="0"/>
    <n v="0"/>
    <n v="0"/>
    <n v="0"/>
    <n v="0"/>
  </r>
  <r>
    <d v="2026-06-05T00:00:00"/>
    <n v="2026"/>
    <x v="9"/>
    <s v="R"/>
    <s v="RS"/>
    <x v="6"/>
    <s v="LAS"/>
    <s v="A"/>
    <n v="3"/>
    <n v="2"/>
    <n v="1"/>
    <n v="-1"/>
    <n v="8"/>
    <n v="-8"/>
    <n v="1491.3759968783279"/>
    <n v="1461.3664275288024"/>
    <n v="0.44554423398595222"/>
    <n v="104"/>
    <n v="96"/>
    <n v="0"/>
    <n v="8"/>
    <n v="1"/>
    <n v="0.37884147702203108"/>
    <n v="1"/>
    <n v="74.5"/>
    <n v="74.5"/>
    <n v="15.648787679840693"/>
    <n v="1507.0247845581687"/>
    <n v="1"/>
    <n v="0"/>
    <n v="0"/>
    <n v="0"/>
    <n v="0"/>
    <n v="0"/>
    <n v="0"/>
    <n v="0"/>
    <n v="0"/>
    <n v="0"/>
  </r>
  <r>
    <d v="2026-06-05T00:00:00"/>
    <n v="2026"/>
    <x v="9"/>
    <s v="R"/>
    <s v="RS"/>
    <x v="14"/>
    <s v="DAL"/>
    <s v="H"/>
    <n v="2"/>
    <n v="3"/>
    <n v="-1"/>
    <n v="1"/>
    <n v="-8"/>
    <n v="8"/>
    <n v="1461.3664275288024"/>
    <n v="1491.3759968783279"/>
    <n v="0.55445576601404778"/>
    <n v="96"/>
    <n v="104"/>
    <n v="0"/>
    <n v="-8"/>
    <n v="0"/>
    <n v="0.37884147702203108"/>
    <n v="1"/>
    <n v="74.5"/>
    <n v="74.5"/>
    <n v="-15.648787679840693"/>
    <n v="1445.7176398489617"/>
    <n v="0"/>
    <n v="1"/>
    <n v="0"/>
    <n v="0"/>
    <n v="0"/>
    <n v="0"/>
    <n v="0"/>
    <n v="0"/>
    <n v="0"/>
    <n v="0"/>
  </r>
  <r>
    <d v="2026-06-05T00:00:00"/>
    <n v="2026"/>
    <x v="11"/>
    <s v="R"/>
    <s v="RS"/>
    <x v="8"/>
    <s v="POR"/>
    <s v="A"/>
    <n v="1"/>
    <n v="2"/>
    <n v="-1"/>
    <n v="1"/>
    <n v="-8"/>
    <n v="8"/>
    <n v="1473.152995872395"/>
    <n v="1489.1558895613689"/>
    <n v="0.33899717618238878"/>
    <n v="78"/>
    <n v="72"/>
    <n v="0"/>
    <n v="6"/>
    <n v="1"/>
    <n v="0.34665782087933883"/>
    <n v="1"/>
    <n v="74.2"/>
    <n v="74.2"/>
    <n v="17.002321448677936"/>
    <n v="1490.155317321073"/>
    <n v="1"/>
    <n v="0"/>
    <n v="0"/>
    <n v="0"/>
    <n v="0"/>
    <n v="0"/>
    <n v="0"/>
    <n v="0"/>
    <n v="0"/>
    <n v="0"/>
  </r>
  <r>
    <d v="2026-06-05T00:00:00"/>
    <n v="2026"/>
    <x v="11"/>
    <s v="R"/>
    <s v="RS"/>
    <x v="13"/>
    <s v="PHX"/>
    <s v="H"/>
    <n v="2"/>
    <n v="1"/>
    <n v="1"/>
    <n v="-1"/>
    <n v="8"/>
    <n v="-8"/>
    <n v="1489.1558895613689"/>
    <n v="1473.152995872395"/>
    <n v="0.66100282381761111"/>
    <n v="72"/>
    <n v="78"/>
    <n v="0"/>
    <n v="-6"/>
    <n v="0"/>
    <n v="0.34665782087933883"/>
    <n v="1"/>
    <n v="74.2"/>
    <n v="74.2"/>
    <n v="-17.002321448677932"/>
    <n v="1472.1535681126909"/>
    <n v="0"/>
    <n v="1"/>
    <n v="0"/>
    <n v="0"/>
    <n v="0"/>
    <n v="0"/>
    <n v="0"/>
    <n v="0"/>
    <n v="0"/>
    <n v="0"/>
  </r>
  <r>
    <d v="2026-06-06T00:00:00"/>
    <n v="2026"/>
    <x v="8"/>
    <s v="R"/>
    <s v="RS"/>
    <x v="4"/>
    <s v="ATL"/>
    <s v="A"/>
    <n v="3"/>
    <n v="1"/>
    <n v="2"/>
    <n v="-2"/>
    <n v="16"/>
    <n v="-16"/>
    <n v="1437.8568654090302"/>
    <n v="1586.1152725301208"/>
    <n v="0.23998166061161905"/>
    <n v="77"/>
    <n v="109"/>
    <n v="0"/>
    <n v="-32"/>
    <n v="0"/>
    <n v="0.64736303534818107"/>
    <n v="1"/>
    <n v="74.650000000000006"/>
    <n v="74.650000000000006"/>
    <n v="-11.597269878423104"/>
    <n v="1426.2595955306072"/>
    <n v="0"/>
    <n v="1"/>
    <n v="0"/>
    <n v="0"/>
    <n v="0"/>
    <n v="0"/>
    <n v="0"/>
    <n v="0"/>
    <n v="0"/>
    <n v="0"/>
  </r>
  <r>
    <d v="2026-06-06T00:00:00"/>
    <n v="2026"/>
    <x v="9"/>
    <s v="R"/>
    <s v="RS"/>
    <x v="10"/>
    <s v="WAS"/>
    <s v="H"/>
    <n v="1"/>
    <n v="3"/>
    <n v="-2"/>
    <n v="2"/>
    <n v="-16"/>
    <n v="16"/>
    <n v="1586.1152725301208"/>
    <n v="1437.8568654090302"/>
    <n v="0.76001833938838093"/>
    <n v="109"/>
    <n v="77"/>
    <n v="0"/>
    <n v="32"/>
    <n v="1"/>
    <n v="0.64736303534818107"/>
    <n v="1"/>
    <n v="74.5"/>
    <n v="74.5"/>
    <n v="11.573966589986888"/>
    <n v="1597.6892391201077"/>
    <n v="1"/>
    <n v="0"/>
    <n v="0"/>
    <n v="0"/>
    <n v="0"/>
    <n v="0"/>
    <n v="0"/>
    <n v="0"/>
    <n v="0"/>
    <n v="0"/>
  </r>
  <r>
    <d v="2026-06-06T00:00:00"/>
    <n v="2026"/>
    <x v="10"/>
    <s v="R"/>
    <s v="RS"/>
    <x v="2"/>
    <s v="LVA"/>
    <s v="A"/>
    <n v="1"/>
    <n v="3"/>
    <n v="-2"/>
    <n v="2"/>
    <n v="-16"/>
    <n v="16"/>
    <n v="1546.2896882623986"/>
    <n v="1626.1339057157613"/>
    <n v="0.24464679585042171"/>
    <n v="79"/>
    <n v="84"/>
    <n v="0"/>
    <n v="-5"/>
    <n v="0"/>
    <n v="0.31105908447643099"/>
    <n v="1"/>
    <n v="74.349999999999994"/>
    <n v="74.349999999999994"/>
    <n v="-5.6580058798800756"/>
    <n v="1540.6316823825186"/>
    <n v="0"/>
    <n v="1"/>
    <n v="0"/>
    <n v="0"/>
    <n v="0"/>
    <n v="0"/>
    <n v="0"/>
    <n v="0"/>
    <n v="0"/>
    <n v="0"/>
  </r>
  <r>
    <d v="2026-06-06T00:00:00"/>
    <n v="2026"/>
    <x v="9"/>
    <s v="R"/>
    <s v="RS"/>
    <x v="9"/>
    <s v="GSV"/>
    <s v="H"/>
    <n v="3"/>
    <n v="1"/>
    <n v="2"/>
    <n v="-2"/>
    <n v="16"/>
    <n v="-16"/>
    <n v="1626.1339057157613"/>
    <n v="1546.2896882623986"/>
    <n v="0.75535320414957841"/>
    <n v="84"/>
    <n v="79"/>
    <n v="0"/>
    <n v="5"/>
    <n v="1"/>
    <n v="0.31105908447643099"/>
    <n v="1"/>
    <n v="74.5"/>
    <n v="74.5"/>
    <n v="5.6694208211306725"/>
    <n v="1631.803326536892"/>
    <n v="1"/>
    <n v="0"/>
    <n v="0"/>
    <n v="0"/>
    <n v="0"/>
    <n v="0"/>
    <n v="0"/>
    <n v="0"/>
    <n v="0"/>
    <n v="0"/>
  </r>
  <r>
    <d v="2026-06-06T00:00:00"/>
    <n v="2026"/>
    <x v="11"/>
    <s v="R"/>
    <s v="RS"/>
    <x v="3"/>
    <s v="MIN"/>
    <s v="A"/>
    <n v="2"/>
    <n v="1"/>
    <n v="1"/>
    <n v="-1"/>
    <n v="8"/>
    <n v="-8"/>
    <n v="1417.9573323783909"/>
    <n v="1648.920473832595"/>
    <n v="0.15174624027086034"/>
    <n v="68"/>
    <n v="88"/>
    <n v="0"/>
    <n v="-20"/>
    <n v="0"/>
    <n v="0.48209825308955057"/>
    <n v="1"/>
    <n v="74.2"/>
    <n v="74.2"/>
    <n v="-5.4282195231836825"/>
    <n v="1412.5291128552071"/>
    <n v="0"/>
    <n v="1"/>
    <n v="0"/>
    <n v="0"/>
    <n v="0"/>
    <n v="0"/>
    <n v="0"/>
    <n v="0"/>
    <n v="0"/>
    <n v="0"/>
  </r>
  <r>
    <d v="2026-06-06T00:00:00"/>
    <n v="2026"/>
    <x v="10"/>
    <s v="R"/>
    <s v="RS"/>
    <x v="11"/>
    <s v="SEA"/>
    <s v="H"/>
    <n v="1"/>
    <n v="2"/>
    <n v="-1"/>
    <n v="1"/>
    <n v="-8"/>
    <n v="8"/>
    <n v="1648.920473832595"/>
    <n v="1417.9573323783909"/>
    <n v="0.84825375972913974"/>
    <n v="88"/>
    <n v="68"/>
    <n v="0"/>
    <n v="20"/>
    <n v="1"/>
    <n v="0.48209825308955057"/>
    <n v="1"/>
    <n v="74.349999999999994"/>
    <n v="74.349999999999994"/>
    <n v="5.4391930127858021"/>
    <n v="1654.3596668453808"/>
    <n v="1"/>
    <n v="0"/>
    <n v="0"/>
    <n v="0"/>
    <n v="0"/>
    <n v="0"/>
    <n v="0"/>
    <n v="0"/>
    <n v="0"/>
    <n v="0"/>
  </r>
  <r>
    <d v="2026-06-06T00:00:00"/>
    <n v="2026"/>
    <x v="9"/>
    <s v="R"/>
    <s v="RS"/>
    <x v="7"/>
    <s v="NYL"/>
    <s v="A"/>
    <n v="1"/>
    <n v="2"/>
    <n v="-1"/>
    <n v="1"/>
    <n v="-8"/>
    <n v="8"/>
    <n v="1546.1098569399123"/>
    <n v="1529.3281836070726"/>
    <n v="0.38247808597405863"/>
    <n v="75"/>
    <n v="83"/>
    <n v="0"/>
    <n v="-8"/>
    <n v="0"/>
    <n v="0.38295994443050946"/>
    <n v="1"/>
    <n v="74.5"/>
    <n v="74.5"/>
    <n v="-10.912297098013228"/>
    <n v="1535.1975598418992"/>
    <n v="0"/>
    <n v="1"/>
    <n v="0"/>
    <n v="0"/>
    <n v="0"/>
    <n v="0"/>
    <n v="0"/>
    <n v="0"/>
    <n v="0"/>
    <n v="0"/>
  </r>
  <r>
    <d v="2026-06-06T00:00:00"/>
    <n v="2026"/>
    <x v="10"/>
    <s v="R"/>
    <s v="RS"/>
    <x v="1"/>
    <s v="IND"/>
    <s v="H"/>
    <n v="2"/>
    <n v="1"/>
    <n v="1"/>
    <n v="-1"/>
    <n v="8"/>
    <n v="-8"/>
    <n v="1529.3281836070726"/>
    <n v="1546.1098569399123"/>
    <n v="0.61752191402594148"/>
    <n v="83"/>
    <n v="75"/>
    <n v="0"/>
    <n v="8"/>
    <n v="1"/>
    <n v="0.38295994443050946"/>
    <n v="1"/>
    <n v="74.349999999999994"/>
    <n v="74.349999999999994"/>
    <n v="10.890326030030646"/>
    <n v="1540.2185096371031"/>
    <n v="1"/>
    <n v="0"/>
    <n v="0"/>
    <n v="0"/>
    <n v="0"/>
    <n v="0"/>
    <n v="0"/>
    <n v="0"/>
    <n v="0"/>
    <n v="0"/>
  </r>
  <r>
    <d v="2026-06-07T00:00:00"/>
    <n v="2026"/>
    <x v="12"/>
    <s v="R"/>
    <s v="RS"/>
    <x v="13"/>
    <s v="LAS"/>
    <s v="A"/>
    <n v="1"/>
    <n v="1"/>
    <n v="0"/>
    <n v="0"/>
    <n v="0"/>
    <n v="0"/>
    <n v="1472.1535681126909"/>
    <n v="1445.7176398489617"/>
    <n v="0.41790842924703198"/>
    <n v="72"/>
    <n v="89"/>
    <n v="0"/>
    <n v="-17"/>
    <n v="0"/>
    <n v="0.52096523607469125"/>
    <n v="1"/>
    <n v="74.05"/>
    <n v="74.05"/>
    <n v="-16.121852287195985"/>
    <n v="1456.031715825495"/>
    <n v="0"/>
    <n v="1"/>
    <n v="0"/>
    <n v="0"/>
    <n v="0"/>
    <n v="0"/>
    <n v="0"/>
    <n v="0"/>
    <n v="0"/>
    <n v="0"/>
  </r>
  <r>
    <d v="2026-06-07T00:00:00"/>
    <n v="2026"/>
    <x v="10"/>
    <s v="R"/>
    <s v="RS"/>
    <x v="14"/>
    <s v="POR"/>
    <s v="H"/>
    <n v="1"/>
    <n v="1"/>
    <n v="0"/>
    <n v="0"/>
    <n v="0"/>
    <n v="0"/>
    <n v="1445.7176398489617"/>
    <n v="1472.1535681126909"/>
    <n v="0.58209157075296802"/>
    <n v="89"/>
    <n v="72"/>
    <n v="0"/>
    <n v="17"/>
    <n v="1"/>
    <n v="0.52096523607469125"/>
    <n v="1"/>
    <n v="74.349999999999994"/>
    <n v="74.349999999999994"/>
    <n v="16.187167016246072"/>
    <n v="1461.9048068652078"/>
    <n v="1"/>
    <n v="0"/>
    <n v="0"/>
    <n v="0"/>
    <n v="0"/>
    <n v="0"/>
    <n v="0"/>
    <n v="0"/>
    <n v="0"/>
    <n v="0"/>
  </r>
  <r>
    <d v="2026-06-07T00:00:00"/>
    <n v="2026"/>
    <x v="10"/>
    <s v="R"/>
    <s v="RS"/>
    <x v="12"/>
    <s v="TOR"/>
    <s v="A"/>
    <n v="1"/>
    <n v="3"/>
    <n v="-2"/>
    <n v="2"/>
    <n v="-16"/>
    <n v="16"/>
    <n v="1386.9896854747797"/>
    <n v="1498.8273345856346"/>
    <n v="0.21222943835933702"/>
    <n v="68"/>
    <n v="85"/>
    <n v="0"/>
    <n v="-17"/>
    <n v="0"/>
    <n v="0.48704996638223857"/>
    <n v="1"/>
    <n v="74.349999999999994"/>
    <n v="74.349999999999994"/>
    <n v="-7.6852874398358813"/>
    <n v="1379.3043980349437"/>
    <n v="0"/>
    <n v="1"/>
    <n v="0"/>
    <n v="0"/>
    <n v="0"/>
    <n v="0"/>
    <n v="0"/>
    <n v="0"/>
    <n v="0"/>
    <n v="0"/>
  </r>
  <r>
    <d v="2026-06-07T00:00:00"/>
    <n v="2026"/>
    <x v="10"/>
    <s v="R"/>
    <s v="RS"/>
    <x v="5"/>
    <s v="CHI"/>
    <s v="H"/>
    <n v="3"/>
    <n v="1"/>
    <n v="2"/>
    <n v="-2"/>
    <n v="16"/>
    <n v="-16"/>
    <n v="1498.8273345856346"/>
    <n v="1386.9896854747797"/>
    <n v="0.78777056164066295"/>
    <n v="85"/>
    <n v="68"/>
    <n v="0"/>
    <n v="17"/>
    <n v="1"/>
    <n v="0.48704996638223857"/>
    <n v="1"/>
    <n v="74.349999999999994"/>
    <n v="74.349999999999994"/>
    <n v="7.6852874398358821"/>
    <n v="1506.5126220254706"/>
    <n v="1"/>
    <n v="0"/>
    <n v="0"/>
    <n v="0"/>
    <n v="0"/>
    <n v="0"/>
    <n v="0"/>
    <n v="0"/>
    <n v="0"/>
    <n v="0"/>
  </r>
  <r>
    <d v="2026-06-08T00:00:00"/>
    <n v="2026"/>
    <x v="11"/>
    <s v="R"/>
    <s v="RS"/>
    <x v="1"/>
    <s v="CON"/>
    <s v="A"/>
    <n v="1"/>
    <n v="2"/>
    <n v="-1"/>
    <n v="1"/>
    <n v="-8"/>
    <n v="8"/>
    <n v="1540.2185096371031"/>
    <n v="1360.1766317837469"/>
    <n v="0.61319400000907875"/>
    <n v="89"/>
    <n v="80"/>
    <n v="0"/>
    <n v="9"/>
    <n v="1"/>
    <n v="0.35300800678199262"/>
    <n v="1"/>
    <n v="74.2"/>
    <n v="74.2"/>
    <n v="10.131684638053803"/>
    <n v="1550.350194275157"/>
    <n v="1"/>
    <n v="0"/>
    <n v="0"/>
    <n v="0"/>
    <n v="0"/>
    <n v="0"/>
    <n v="0"/>
    <n v="0"/>
    <n v="0"/>
    <n v="0"/>
  </r>
  <r>
    <d v="2026-06-08T00:00:00"/>
    <n v="2026"/>
    <x v="12"/>
    <s v="R"/>
    <s v="RS"/>
    <x v="0"/>
    <s v="NYL"/>
    <s v="H"/>
    <n v="2"/>
    <n v="1"/>
    <n v="1"/>
    <n v="-1"/>
    <n v="8"/>
    <n v="-8"/>
    <n v="1360.1766317837469"/>
    <n v="1540.2185096371031"/>
    <n v="0.38680599999092119"/>
    <n v="80"/>
    <n v="89"/>
    <n v="0"/>
    <n v="-9"/>
    <n v="0"/>
    <n v="0.35300800678199262"/>
    <n v="1"/>
    <n v="74.05"/>
    <n v="74.05"/>
    <n v="-10.111202795793584"/>
    <n v="1350.0654289879533"/>
    <n v="0"/>
    <n v="1"/>
    <n v="0"/>
    <n v="0"/>
    <n v="0"/>
    <n v="0"/>
    <n v="0"/>
    <n v="0"/>
    <n v="0"/>
    <n v="0"/>
  </r>
  <r>
    <d v="2026-06-08T00:00:00"/>
    <n v="2026"/>
    <x v="12"/>
    <s v="R"/>
    <s v="RS"/>
    <x v="3"/>
    <s v="LVA"/>
    <s v="A"/>
    <n v="1"/>
    <n v="1"/>
    <n v="0"/>
    <n v="0"/>
    <n v="0"/>
    <n v="0"/>
    <n v="1412.5291128552071"/>
    <n v="1631.803326536892"/>
    <n v="0.14857940560092736"/>
    <n v="91"/>
    <n v="101"/>
    <n v="0"/>
    <n v="-10"/>
    <n v="0"/>
    <n v="0.35775724965902911"/>
    <n v="1"/>
    <n v="74.05"/>
    <n v="74.05"/>
    <n v="-3.9361543712535108"/>
    <n v="1408.5929584839537"/>
    <n v="0"/>
    <n v="1"/>
    <n v="0"/>
    <n v="0"/>
    <n v="0"/>
    <n v="0"/>
    <n v="0"/>
    <n v="0"/>
    <n v="0"/>
    <n v="0"/>
  </r>
  <r>
    <d v="2026-06-08T00:00:00"/>
    <n v="2026"/>
    <x v="10"/>
    <s v="R"/>
    <s v="RS"/>
    <x v="9"/>
    <s v="SEA"/>
    <s v="H"/>
    <n v="1"/>
    <n v="1"/>
    <n v="0"/>
    <n v="0"/>
    <n v="0"/>
    <n v="0"/>
    <n v="1631.803326536892"/>
    <n v="1412.5291128552071"/>
    <n v="0.85142059439907258"/>
    <n v="101"/>
    <n v="91"/>
    <n v="0"/>
    <n v="10"/>
    <n v="1"/>
    <n v="0.35775724965902911"/>
    <n v="1"/>
    <n v="74.349999999999994"/>
    <n v="74.349999999999994"/>
    <n v="3.9521009791046402"/>
    <n v="1635.7554275159966"/>
    <n v="1"/>
    <n v="0"/>
    <n v="0"/>
    <n v="0"/>
    <n v="0"/>
    <n v="0"/>
    <n v="0"/>
    <n v="0"/>
    <n v="0"/>
    <n v="0"/>
  </r>
  <r>
    <d v="2026-06-08T00:00:00"/>
    <n v="2026"/>
    <x v="10"/>
    <s v="R"/>
    <s v="RS"/>
    <x v="7"/>
    <s v="WAS"/>
    <s v="A"/>
    <n v="1"/>
    <n v="1"/>
    <n v="0"/>
    <n v="0"/>
    <n v="0"/>
    <n v="0"/>
    <n v="1535.1975598418992"/>
    <n v="1426.2595955306072"/>
    <n v="0.53582710992477667"/>
    <n v="78"/>
    <n v="76"/>
    <n v="0"/>
    <n v="2"/>
    <n v="1"/>
    <n v="0.24554989902880234"/>
    <n v="1"/>
    <n v="74.349999999999994"/>
    <n v="74.349999999999994"/>
    <n v="8.4742350276524618"/>
    <n v="1543.6717948695516"/>
    <n v="1"/>
    <n v="0"/>
    <n v="0"/>
    <n v="0"/>
    <n v="0"/>
    <n v="0"/>
    <n v="0"/>
    <n v="0"/>
    <n v="0"/>
    <n v="0"/>
  </r>
  <r>
    <d v="2026-06-08T00:00:00"/>
    <n v="2026"/>
    <x v="9"/>
    <s v="R"/>
    <s v="RS"/>
    <x v="4"/>
    <s v="IND"/>
    <s v="H"/>
    <n v="1"/>
    <n v="1"/>
    <n v="0"/>
    <n v="0"/>
    <n v="0"/>
    <n v="0"/>
    <n v="1426.2595955306072"/>
    <n v="1535.1975598418992"/>
    <n v="0.46417289007522333"/>
    <n v="76"/>
    <n v="78"/>
    <n v="0"/>
    <n v="-2"/>
    <n v="0"/>
    <n v="0.24554989902880234"/>
    <n v="1"/>
    <n v="74.5"/>
    <n v="74.5"/>
    <n v="-8.4913316685959437"/>
    <n v="1417.7682638620113"/>
    <n v="0"/>
    <n v="1"/>
    <n v="0"/>
    <n v="0"/>
    <n v="0"/>
    <n v="0"/>
    <n v="0"/>
    <n v="0"/>
    <n v="0"/>
    <n v="0"/>
  </r>
  <r>
    <d v="2026-06-09T00:00:00"/>
    <n v="2026"/>
    <x v="10"/>
    <s v="R"/>
    <s v="RS"/>
    <x v="10"/>
    <s v="CHI"/>
    <s v="A"/>
    <n v="2"/>
    <n v="1"/>
    <n v="1"/>
    <n v="-1"/>
    <n v="8"/>
    <n v="-8"/>
    <n v="1597.6892391201077"/>
    <n v="1379.3043980349437"/>
    <n v="0.70384698810139934"/>
    <n v="82"/>
    <n v="75"/>
    <n v="0"/>
    <n v="7"/>
    <n v="1"/>
    <n v="0.31312278171613456"/>
    <n v="1"/>
    <n v="74.349999999999994"/>
    <n v="74.349999999999994"/>
    <n v="6.894643151763054"/>
    <n v="1604.5838822718708"/>
    <n v="1"/>
    <n v="0"/>
    <n v="0"/>
    <n v="0"/>
    <n v="0"/>
    <n v="0"/>
    <n v="0"/>
    <n v="0"/>
    <n v="0"/>
    <n v="0"/>
  </r>
  <r>
    <d v="2026-06-09T00:00:00"/>
    <n v="2026"/>
    <x v="11"/>
    <s v="R"/>
    <s v="RS"/>
    <x v="12"/>
    <s v="ATL"/>
    <s v="H"/>
    <n v="1"/>
    <n v="2"/>
    <n v="-1"/>
    <n v="1"/>
    <n v="-8"/>
    <n v="8"/>
    <n v="1379.3043980349437"/>
    <n v="1597.6892391201077"/>
    <n v="0.29615301189860066"/>
    <n v="75"/>
    <n v="82"/>
    <n v="0"/>
    <n v="-7"/>
    <n v="0"/>
    <n v="0.31312278171613456"/>
    <n v="1"/>
    <n v="74.2"/>
    <n v="74.2"/>
    <n v="-6.8807333135281592"/>
    <n v="1372.4236647214154"/>
    <n v="0"/>
    <n v="1"/>
    <n v="0"/>
    <n v="0"/>
    <n v="0"/>
    <n v="0"/>
    <n v="0"/>
    <n v="0"/>
    <n v="0"/>
    <n v="0"/>
  </r>
  <r>
    <d v="2026-06-09T00:00:00"/>
    <n v="2026"/>
    <x v="12"/>
    <s v="R"/>
    <s v="RS"/>
    <x v="8"/>
    <s v="GSV"/>
    <s v="A"/>
    <n v="3"/>
    <n v="2"/>
    <n v="1"/>
    <n v="-1"/>
    <n v="8"/>
    <n v="-8"/>
    <n v="1490.155317321073"/>
    <n v="1540.6316823825186"/>
    <n v="0.33581400341657885"/>
    <n v="81"/>
    <n v="87"/>
    <n v="0"/>
    <n v="-6"/>
    <n v="0"/>
    <n v="0.3371010641120567"/>
    <n v="1"/>
    <n v="74.05"/>
    <n v="74.05"/>
    <n v="-8.3827012471587068"/>
    <n v="1481.7726160739144"/>
    <n v="0"/>
    <n v="1"/>
    <n v="0"/>
    <n v="0"/>
    <n v="0"/>
    <n v="0"/>
    <n v="0"/>
    <n v="0"/>
    <n v="0"/>
    <n v="0"/>
  </r>
  <r>
    <d v="2026-06-09T00:00:00"/>
    <n v="2026"/>
    <x v="11"/>
    <s v="R"/>
    <s v="RS"/>
    <x v="2"/>
    <s v="PHX"/>
    <s v="H"/>
    <n v="2"/>
    <n v="3"/>
    <n v="-1"/>
    <n v="1"/>
    <n v="-8"/>
    <n v="8"/>
    <n v="1540.6316823825186"/>
    <n v="1490.155317321073"/>
    <n v="0.66418599658342115"/>
    <n v="87"/>
    <n v="81"/>
    <n v="0"/>
    <n v="6"/>
    <n v="1"/>
    <n v="0.3371010641120567"/>
    <n v="1"/>
    <n v="74.2"/>
    <n v="74.2"/>
    <n v="8.3996817358430267"/>
    <n v="1549.0313641183616"/>
    <n v="1"/>
    <n v="0"/>
    <n v="0"/>
    <n v="0"/>
    <n v="0"/>
    <n v="0"/>
    <n v="0"/>
    <n v="0"/>
    <n v="0"/>
    <n v="0"/>
  </r>
  <r>
    <d v="2026-06-09T00:00:00"/>
    <n v="2026"/>
    <x v="10"/>
    <s v="R"/>
    <s v="RS"/>
    <x v="6"/>
    <s v="MIN"/>
    <s v="A"/>
    <n v="3"/>
    <n v="2"/>
    <n v="1"/>
    <n v="-1"/>
    <n v="8"/>
    <n v="-8"/>
    <n v="1507.0247845581687"/>
    <n v="1654.3596668453808"/>
    <n v="0.22451132548639149"/>
    <n v="76"/>
    <n v="100"/>
    <n v="0"/>
    <n v="-24"/>
    <n v="0"/>
    <n v="0.55971023036053813"/>
    <n v="1"/>
    <n v="74.349999999999994"/>
    <n v="74.349999999999994"/>
    <n v="-9.3429165922810959"/>
    <n v="1497.6818679658875"/>
    <n v="0"/>
    <n v="1"/>
    <n v="0"/>
    <n v="0"/>
    <n v="0"/>
    <n v="0"/>
    <n v="0"/>
    <n v="0"/>
    <n v="0"/>
    <n v="0"/>
  </r>
  <r>
    <d v="2026-06-09T00:00:00"/>
    <n v="2026"/>
    <x v="11"/>
    <s v="R"/>
    <s v="RS"/>
    <x v="11"/>
    <s v="DAL"/>
    <s v="H"/>
    <n v="2"/>
    <n v="3"/>
    <n v="-1"/>
    <n v="1"/>
    <n v="-8"/>
    <n v="8"/>
    <n v="1654.3596668453808"/>
    <n v="1507.0247845581687"/>
    <n v="0.77548867451360859"/>
    <n v="100"/>
    <n v="76"/>
    <n v="0"/>
    <n v="24"/>
    <n v="1"/>
    <n v="0.55971023036053813"/>
    <n v="1"/>
    <n v="74.2"/>
    <n v="74.2"/>
    <n v="9.3240673994251129"/>
    <n v="1663.6837342448059"/>
    <n v="1"/>
    <n v="0"/>
    <n v="0"/>
    <n v="0"/>
    <n v="0"/>
    <n v="0"/>
    <n v="0"/>
    <n v="0"/>
    <n v="0"/>
    <n v="0"/>
  </r>
  <r>
    <d v="2026-06-10T00:00:00"/>
    <n v="2026"/>
    <x v="11"/>
    <s v="R"/>
    <s v="RS"/>
    <x v="14"/>
    <s v="SEA"/>
    <s v="A"/>
    <n v="2"/>
    <n v="1"/>
    <n v="1"/>
    <n v="-1"/>
    <n v="8"/>
    <n v="-8"/>
    <n v="1461.9048068652078"/>
    <n v="1408.5929584839537"/>
    <n v="0.47887463459787993"/>
    <n v="88"/>
    <n v="83"/>
    <n v="0"/>
    <n v="5"/>
    <n v="1"/>
    <n v="0.31764414504473282"/>
    <n v="1"/>
    <n v="74.2"/>
    <n v="74.2"/>
    <n v="12.282505649647607"/>
    <n v="1474.1873125148554"/>
    <n v="1"/>
    <n v="0"/>
    <n v="0"/>
    <n v="0"/>
    <n v="0"/>
    <n v="0"/>
    <n v="0"/>
    <n v="0"/>
    <n v="0"/>
    <n v="0"/>
  </r>
  <r>
    <d v="2026-06-10T00:00:00"/>
    <n v="2026"/>
    <x v="13"/>
    <s v="R"/>
    <s v="RS"/>
    <x v="3"/>
    <s v="LAS"/>
    <s v="H"/>
    <n v="1"/>
    <n v="2"/>
    <n v="-1"/>
    <n v="1"/>
    <n v="-8"/>
    <n v="8"/>
    <n v="1408.5929584839537"/>
    <n v="1461.9048068652078"/>
    <n v="0.52112536540212007"/>
    <n v="83"/>
    <n v="88"/>
    <n v="0"/>
    <n v="-5"/>
    <n v="0"/>
    <n v="0.31764414504473282"/>
    <n v="1"/>
    <n v="73.900000000000006"/>
    <n v="73.900000000000006"/>
    <n v="-12.232845923301323"/>
    <n v="1396.3601125606524"/>
    <n v="0"/>
    <n v="1"/>
    <n v="0"/>
    <n v="0"/>
    <n v="0"/>
    <n v="0"/>
    <n v="0"/>
    <n v="0"/>
    <n v="0"/>
    <n v="0"/>
  </r>
  <r>
    <d v="2026-06-10T00:00:00"/>
    <n v="2026"/>
    <x v="13"/>
    <s v="R"/>
    <s v="RS"/>
    <x v="0"/>
    <s v="TOR"/>
    <s v="A"/>
    <n v="1"/>
    <n v="2"/>
    <n v="-1"/>
    <n v="1"/>
    <n v="-8"/>
    <n v="8"/>
    <n v="1350.0654289879533"/>
    <n v="1506.5126220254706"/>
    <n v="0.18599772633422623"/>
    <n v="102"/>
    <n v="106"/>
    <n v="1"/>
    <n v="-4"/>
    <n v="0"/>
    <n v="0.2479619961784143"/>
    <n v="1"/>
    <n v="73.900000000000006"/>
    <n v="73.900000000000006"/>
    <n v="-3.4082951587289574"/>
    <n v="1346.6571338292242"/>
    <n v="0"/>
    <n v="1"/>
    <n v="0"/>
    <n v="0"/>
    <n v="0"/>
    <n v="0"/>
    <n v="0"/>
    <n v="0"/>
    <n v="0"/>
    <n v="0"/>
  </r>
  <r>
    <d v="2026-06-10T00:00:00"/>
    <n v="2026"/>
    <x v="11"/>
    <s v="R"/>
    <s v="RS"/>
    <x v="5"/>
    <s v="CON"/>
    <s v="H"/>
    <n v="2"/>
    <n v="1"/>
    <n v="1"/>
    <n v="-1"/>
    <n v="8"/>
    <n v="-8"/>
    <n v="1506.5126220254706"/>
    <n v="1350.0654289879533"/>
    <n v="0.81400227366577371"/>
    <n v="106"/>
    <n v="102"/>
    <n v="1"/>
    <n v="4"/>
    <n v="1"/>
    <n v="0.2479619961784143"/>
    <n v="1"/>
    <n v="74.2"/>
    <n v="74.2"/>
    <n v="3.4221312689809027"/>
    <n v="1509.9347532944514"/>
    <n v="1"/>
    <n v="0"/>
    <n v="0"/>
    <n v="0"/>
    <n v="0"/>
    <n v="0"/>
    <n v="0"/>
    <n v="0"/>
    <n v="0"/>
    <n v="0"/>
  </r>
  <r>
    <d v="2026-06-11T00:00:00"/>
    <n v="2026"/>
    <x v="12"/>
    <s v="R"/>
    <s v="RS"/>
    <x v="1"/>
    <s v="ATL"/>
    <s v="A"/>
    <n v="2"/>
    <n v="1"/>
    <n v="1"/>
    <n v="-1"/>
    <n v="8"/>
    <n v="-8"/>
    <n v="1550.350194275157"/>
    <n v="1604.5838822718708"/>
    <n v="0.33100708943980056"/>
    <n v="104"/>
    <n v="90"/>
    <n v="0"/>
    <n v="14"/>
    <n v="1"/>
    <n v="0.4665236868063255"/>
    <n v="1"/>
    <n v="74.05"/>
    <n v="74.05"/>
    <n v="23.111081944010152"/>
    <n v="1573.4612762191673"/>
    <n v="1"/>
    <n v="0"/>
    <n v="0"/>
    <n v="0"/>
    <n v="0"/>
    <n v="0"/>
    <n v="0"/>
    <n v="0"/>
    <n v="0"/>
    <n v="0"/>
  </r>
  <r>
    <d v="2026-06-11T00:00:00"/>
    <n v="2026"/>
    <x v="11"/>
    <s v="R"/>
    <s v="RS"/>
    <x v="10"/>
    <s v="NYL"/>
    <s v="H"/>
    <n v="1"/>
    <n v="2"/>
    <n v="-1"/>
    <n v="1"/>
    <n v="-8"/>
    <n v="8"/>
    <n v="1604.5838822718708"/>
    <n v="1550.350194275157"/>
    <n v="0.66899291056019938"/>
    <n v="90"/>
    <n v="104"/>
    <n v="0"/>
    <n v="-14"/>
    <n v="0"/>
    <n v="0.4665236868063255"/>
    <n v="1"/>
    <n v="74.2"/>
    <n v="74.2"/>
    <n v="-23.157897099872422"/>
    <n v="1581.4259851719985"/>
    <n v="0"/>
    <n v="1"/>
    <n v="0"/>
    <n v="0"/>
    <n v="0"/>
    <n v="0"/>
    <n v="0"/>
    <n v="0"/>
    <n v="0"/>
    <n v="0"/>
  </r>
  <r>
    <d v="2026-06-11T00:00:00"/>
    <n v="2026"/>
    <x v="13"/>
    <s v="R"/>
    <s v="RS"/>
    <x v="8"/>
    <s v="DAL"/>
    <s v="A"/>
    <n v="1"/>
    <n v="1"/>
    <n v="0"/>
    <n v="0"/>
    <n v="0"/>
    <n v="0"/>
    <n v="1481.7726160739144"/>
    <n v="1497.6818679658875"/>
    <n v="0.36005535770976738"/>
    <n v="70"/>
    <n v="85"/>
    <n v="0"/>
    <n v="-15"/>
    <n v="0"/>
    <n v="0.49626864234776508"/>
    <n v="1"/>
    <n v="73.900000000000006"/>
    <n v="73.900000000000006"/>
    <n v="-13.204761163655157"/>
    <n v="1468.5678549102593"/>
    <n v="0"/>
    <n v="1"/>
    <n v="0"/>
    <n v="0"/>
    <n v="0"/>
    <n v="0"/>
    <n v="0"/>
    <n v="0"/>
    <n v="0"/>
    <n v="0"/>
  </r>
  <r>
    <d v="2026-06-11T00:00:00"/>
    <n v="2026"/>
    <x v="11"/>
    <s v="R"/>
    <s v="RS"/>
    <x v="6"/>
    <s v="PHX"/>
    <s v="H"/>
    <n v="1"/>
    <n v="1"/>
    <n v="0"/>
    <n v="0"/>
    <n v="0"/>
    <n v="0"/>
    <n v="1497.6818679658875"/>
    <n v="1481.7726160739144"/>
    <n v="0.63994464229023262"/>
    <n v="85"/>
    <n v="70"/>
    <n v="0"/>
    <n v="15"/>
    <n v="1"/>
    <n v="0.49626864234776508"/>
    <n v="1"/>
    <n v="74.2"/>
    <n v="74.2"/>
    <n v="13.258366418717356"/>
    <n v="1510.9402343846048"/>
    <n v="1"/>
    <n v="0"/>
    <n v="0"/>
    <n v="0"/>
    <n v="0"/>
    <n v="0"/>
    <n v="0"/>
    <n v="0"/>
    <n v="0"/>
    <n v="0"/>
  </r>
  <r>
    <d v="2026-06-11T00:00:00"/>
    <n v="2026"/>
    <x v="12"/>
    <s v="R"/>
    <s v="RS"/>
    <x v="12"/>
    <s v="IND"/>
    <s v="A"/>
    <n v="1"/>
    <n v="2"/>
    <n v="-1"/>
    <n v="1"/>
    <n v="-8"/>
    <n v="8"/>
    <n v="1372.4236647214154"/>
    <n v="1543.6717948695516"/>
    <n v="0.17344158256990327"/>
    <n v="106"/>
    <n v="114"/>
    <n v="1"/>
    <n v="-8"/>
    <n v="0"/>
    <n v="0.30583872355613728"/>
    <n v="1"/>
    <n v="74.05"/>
    <n v="74.05"/>
    <n v="-3.9279935222416715"/>
    <n v="1368.4956711991738"/>
    <n v="0"/>
    <n v="1"/>
    <n v="0"/>
    <n v="0"/>
    <n v="0"/>
    <n v="0"/>
    <n v="0"/>
    <n v="0"/>
    <n v="0"/>
    <n v="0"/>
  </r>
  <r>
    <d v="2026-06-11T00:00:00"/>
    <n v="2026"/>
    <x v="11"/>
    <s v="R"/>
    <s v="RS"/>
    <x v="7"/>
    <s v="CHI"/>
    <s v="H"/>
    <n v="2"/>
    <n v="1"/>
    <n v="1"/>
    <n v="-1"/>
    <n v="8"/>
    <n v="-8"/>
    <n v="1543.6717948695516"/>
    <n v="1372.4236647214154"/>
    <n v="0.82655841743009661"/>
    <n v="114"/>
    <n v="106"/>
    <n v="1"/>
    <n v="8"/>
    <n v="1"/>
    <n v="0.30583872355613728"/>
    <n v="1"/>
    <n v="74.2"/>
    <n v="74.2"/>
    <n v="3.9359502950753846"/>
    <n v="1547.607745164627"/>
    <n v="1"/>
    <n v="0"/>
    <n v="0"/>
    <n v="0"/>
    <n v="0"/>
    <n v="0"/>
    <n v="0"/>
    <n v="0"/>
    <n v="0"/>
    <n v="0"/>
  </r>
  <r>
    <d v="2026-06-11T00:00:00"/>
    <n v="2026"/>
    <x v="11"/>
    <s v="R"/>
    <s v="RS"/>
    <x v="9"/>
    <s v="POR"/>
    <s v="A"/>
    <n v="2"/>
    <n v="3"/>
    <n v="-1"/>
    <n v="1"/>
    <n v="-8"/>
    <n v="8"/>
    <n v="1635.7554275159966"/>
    <n v="1456.031715825495"/>
    <n v="0.61275949907879146"/>
    <n v="105"/>
    <n v="89"/>
    <n v="0"/>
    <n v="16"/>
    <n v="1"/>
    <n v="0.45033888558367652"/>
    <n v="1"/>
    <n v="74.2"/>
    <n v="74.2"/>
    <n v="12.939697608318953"/>
    <n v="1648.6951251243156"/>
    <n v="1"/>
    <n v="0"/>
    <n v="0"/>
    <n v="0"/>
    <n v="0"/>
    <n v="0"/>
    <n v="0"/>
    <n v="0"/>
    <n v="0"/>
    <n v="0"/>
  </r>
  <r>
    <d v="2026-06-11T00:00:00"/>
    <n v="2026"/>
    <x v="13"/>
    <s v="R"/>
    <s v="RS"/>
    <x v="13"/>
    <s v="LVA"/>
    <s v="H"/>
    <n v="3"/>
    <n v="2"/>
    <n v="1"/>
    <n v="-1"/>
    <n v="8"/>
    <n v="-8"/>
    <n v="1456.031715825495"/>
    <n v="1635.7554275159966"/>
    <n v="0.38724050092120854"/>
    <n v="89"/>
    <n v="105"/>
    <n v="0"/>
    <n v="-16"/>
    <n v="0"/>
    <n v="0.45033888558367652"/>
    <n v="1"/>
    <n v="73.900000000000006"/>
    <n v="73.900000000000006"/>
    <n v="-12.887380771627637"/>
    <n v="1443.1443350538673"/>
    <n v="0"/>
    <n v="1"/>
    <n v="0"/>
    <n v="0"/>
    <n v="0"/>
    <n v="0"/>
    <n v="0"/>
    <n v="0"/>
    <n v="0"/>
    <n v="0"/>
  </r>
  <r>
    <d v="2026-06-12T00:00:00"/>
    <n v="2026"/>
    <x v="12"/>
    <s v="R"/>
    <s v="RS"/>
    <x v="2"/>
    <s v="SEA"/>
    <s v="A"/>
    <n v="2"/>
    <n v="1"/>
    <n v="1"/>
    <n v="-1"/>
    <n v="8"/>
    <n v="-8"/>
    <n v="1549.0313641183616"/>
    <n v="1396.3601125606524"/>
    <n v="0.61949537524718667"/>
    <n v="76"/>
    <n v="72"/>
    <n v="0"/>
    <n v="4"/>
    <n v="1"/>
    <n v="0.27628241633307987"/>
    <n v="1"/>
    <n v="74.05"/>
    <n v="74.05"/>
    <n v="7.7846348861514443"/>
    <n v="1556.8159990045131"/>
    <n v="1"/>
    <n v="0"/>
    <n v="0"/>
    <n v="0"/>
    <n v="0"/>
    <n v="0"/>
    <n v="0"/>
    <n v="0"/>
    <n v="0"/>
    <n v="0"/>
  </r>
  <r>
    <d v="2026-06-12T00:00:00"/>
    <n v="2026"/>
    <x v="14"/>
    <s v="R"/>
    <s v="RS"/>
    <x v="3"/>
    <s v="GSV"/>
    <s v="H"/>
    <n v="1"/>
    <n v="2"/>
    <n v="-1"/>
    <n v="1"/>
    <n v="-8"/>
    <n v="8"/>
    <n v="1396.3601125606524"/>
    <n v="1549.0313641183616"/>
    <n v="0.38050462475281333"/>
    <n v="72"/>
    <n v="76"/>
    <n v="0"/>
    <n v="-4"/>
    <n v="0"/>
    <n v="0.27628241633307987"/>
    <n v="1"/>
    <n v="73.75"/>
    <n v="73.75"/>
    <n v="-7.7530968650056584"/>
    <n v="1388.6070156956469"/>
    <n v="0"/>
    <n v="1"/>
    <n v="0"/>
    <n v="0"/>
    <n v="0"/>
    <n v="0"/>
    <n v="0"/>
    <n v="0"/>
    <n v="0"/>
    <n v="0"/>
  </r>
  <r>
    <d v="2026-06-12T00:00:00"/>
    <n v="2026"/>
    <x v="12"/>
    <s v="R"/>
    <s v="RS"/>
    <x v="5"/>
    <s v="WAS"/>
    <s v="A"/>
    <n v="1"/>
    <n v="3"/>
    <n v="-2"/>
    <n v="2"/>
    <n v="-16"/>
    <n v="16"/>
    <n v="1509.9347532944514"/>
    <n v="1417.7682638620113"/>
    <n v="0.46575452102680653"/>
    <n v="85"/>
    <n v="86"/>
    <n v="0"/>
    <n v="-1"/>
    <n v="0"/>
    <n v="0.22676304296287217"/>
    <n v="1"/>
    <n v="74.05"/>
    <n v="74.05"/>
    <n v="-7.820858317792859"/>
    <n v="1502.1138949766585"/>
    <n v="0"/>
    <n v="1"/>
    <n v="0"/>
    <n v="0"/>
    <n v="0"/>
    <n v="0"/>
    <n v="0"/>
    <n v="0"/>
    <n v="0"/>
    <n v="0"/>
  </r>
  <r>
    <d v="2026-06-12T00:00:00"/>
    <n v="2026"/>
    <x v="10"/>
    <s v="R"/>
    <s v="RS"/>
    <x v="4"/>
    <s v="TOR"/>
    <s v="H"/>
    <n v="3"/>
    <n v="1"/>
    <n v="2"/>
    <n v="-2"/>
    <n v="16"/>
    <n v="-16"/>
    <n v="1417.7682638620113"/>
    <n v="1509.9347532944514"/>
    <n v="0.53424547897319352"/>
    <n v="86"/>
    <n v="85"/>
    <n v="0"/>
    <n v="1"/>
    <n v="1"/>
    <n v="0.22676304296287217"/>
    <n v="1"/>
    <n v="74.349999999999994"/>
    <n v="74.349999999999994"/>
    <n v="7.852543091531385"/>
    <n v="1425.6208069535426"/>
    <n v="1"/>
    <n v="0"/>
    <n v="0"/>
    <n v="0"/>
    <n v="0"/>
    <n v="0"/>
    <n v="0"/>
    <n v="0"/>
    <n v="0"/>
    <n v="0"/>
  </r>
  <r>
    <d v="2026-06-13T00:00:00"/>
    <n v="2026"/>
    <x v="12"/>
    <s v="R"/>
    <s v="RS"/>
    <x v="7"/>
    <s v="CON"/>
    <s v="A"/>
    <n v="1"/>
    <n v="2"/>
    <n v="-1"/>
    <n v="1"/>
    <n v="-8"/>
    <n v="8"/>
    <n v="1547.607745164627"/>
    <n v="1346.6571338292242"/>
    <n v="0.64132471689349657"/>
    <n v="85"/>
    <n v="75"/>
    <n v="0"/>
    <n v="10"/>
    <n v="1"/>
    <n v="0.36243650210819495"/>
    <n v="1"/>
    <n v="74.05"/>
    <n v="74.05"/>
    <n v="9.6262789608823738"/>
    <n v="1557.2340241255094"/>
    <n v="1"/>
    <n v="0"/>
    <n v="0"/>
    <n v="0"/>
    <n v="0"/>
    <n v="0"/>
    <n v="0"/>
    <n v="0"/>
    <n v="0"/>
    <n v="0"/>
  </r>
  <r>
    <d v="2026-06-13T00:00:00"/>
    <n v="2026"/>
    <x v="14"/>
    <s v="R"/>
    <s v="RS"/>
    <x v="0"/>
    <s v="IND"/>
    <s v="H"/>
    <n v="2"/>
    <n v="1"/>
    <n v="1"/>
    <n v="-1"/>
    <n v="8"/>
    <n v="-8"/>
    <n v="1346.6571338292242"/>
    <n v="1547.607745164627"/>
    <n v="0.35867528310650348"/>
    <n v="75"/>
    <n v="85"/>
    <n v="0"/>
    <n v="-10"/>
    <n v="0"/>
    <n v="0.36243650210819495"/>
    <n v="1"/>
    <n v="73.75"/>
    <n v="73.75"/>
    <n v="-9.5872798563818407"/>
    <n v="1337.0698539728423"/>
    <n v="0"/>
    <n v="1"/>
    <n v="0"/>
    <n v="0"/>
    <n v="0"/>
    <n v="0"/>
    <n v="0"/>
    <n v="0"/>
    <n v="0"/>
    <n v="0"/>
  </r>
  <r>
    <d v="2026-06-13T00:00:00"/>
    <n v="2026"/>
    <x v="12"/>
    <s v="R"/>
    <s v="RS"/>
    <x v="11"/>
    <s v="LVA"/>
    <s v="A"/>
    <n v="3"/>
    <n v="1"/>
    <n v="2"/>
    <n v="-2"/>
    <n v="16"/>
    <n v="-16"/>
    <n v="1663.6837342448059"/>
    <n v="1648.6951251243156"/>
    <n v="0.44693689660909136"/>
    <n v="97"/>
    <n v="100"/>
    <n v="0"/>
    <n v="-3"/>
    <n v="0"/>
    <n v="0.28660369546223186"/>
    <n v="1"/>
    <n v="74.05"/>
    <n v="74.05"/>
    <n v="-9.4853433875977675"/>
    <n v="1654.1983908572081"/>
    <n v="0"/>
    <n v="1"/>
    <n v="0"/>
    <n v="0"/>
    <n v="0"/>
    <n v="0"/>
    <n v="0"/>
    <n v="0"/>
    <n v="0"/>
    <n v="0"/>
  </r>
  <r>
    <d v="2026-06-13T00:00:00"/>
    <n v="2026"/>
    <x v="12"/>
    <s v="R"/>
    <s v="RS"/>
    <x v="9"/>
    <s v="MIN"/>
    <s v="H"/>
    <n v="1"/>
    <n v="3"/>
    <n v="-2"/>
    <n v="2"/>
    <n v="-16"/>
    <n v="16"/>
    <n v="1648.6951251243156"/>
    <n v="1663.6837342448059"/>
    <n v="0.55306310339090858"/>
    <n v="100"/>
    <n v="97"/>
    <n v="0"/>
    <n v="3"/>
    <n v="1"/>
    <n v="0.28660369546223186"/>
    <n v="1"/>
    <n v="74.05"/>
    <n v="74.05"/>
    <n v="9.4853433875977693"/>
    <n v="1658.1804685119134"/>
    <n v="1"/>
    <n v="0"/>
    <n v="0"/>
    <n v="0"/>
    <n v="0"/>
    <n v="0"/>
    <n v="0"/>
    <n v="0"/>
    <n v="0"/>
    <n v="0"/>
  </r>
  <r>
    <d v="2026-06-13T00:00:00"/>
    <n v="2026"/>
    <x v="12"/>
    <s v="R"/>
    <s v="RS"/>
    <x v="14"/>
    <s v="PHX"/>
    <s v="A"/>
    <n v="2"/>
    <n v="1"/>
    <n v="1"/>
    <n v="-1"/>
    <n v="8"/>
    <n v="-8"/>
    <n v="1474.1873125148554"/>
    <n v="1468.5678549102593"/>
    <n v="0.4111795622323674"/>
    <n v="111"/>
    <n v="102"/>
    <n v="1"/>
    <n v="9"/>
    <n v="1"/>
    <n v="0.36367134467965706"/>
    <n v="1"/>
    <n v="74.05"/>
    <n v="74.05"/>
    <n v="15.856853763977517"/>
    <n v="1490.044166278833"/>
    <n v="1"/>
    <n v="0"/>
    <n v="0"/>
    <n v="0"/>
    <n v="0"/>
    <n v="0"/>
    <n v="0"/>
    <n v="0"/>
    <n v="0"/>
    <n v="0"/>
  </r>
  <r>
    <d v="2026-06-13T00:00:00"/>
    <n v="2026"/>
    <x v="14"/>
    <s v="R"/>
    <s v="RS"/>
    <x v="8"/>
    <s v="LAS"/>
    <s v="H"/>
    <n v="1"/>
    <n v="2"/>
    <n v="-1"/>
    <n v="1"/>
    <n v="-8"/>
    <n v="8"/>
    <n v="1468.5678549102593"/>
    <n v="1474.1873125148554"/>
    <n v="0.58882043776763249"/>
    <n v="102"/>
    <n v="111"/>
    <n v="1"/>
    <n v="-9"/>
    <n v="0"/>
    <n v="0.36367134467965706"/>
    <n v="1"/>
    <n v="73.75"/>
    <n v="73.75"/>
    <n v="-15.792612627864168"/>
    <n v="1452.7752422823951"/>
    <n v="0"/>
    <n v="1"/>
    <n v="0"/>
    <n v="0"/>
    <n v="0"/>
    <n v="0"/>
    <n v="0"/>
    <n v="0"/>
    <n v="0"/>
    <n v="0"/>
  </r>
  <r>
    <d v="2026-06-13T00:00:00"/>
    <n v="2026"/>
    <x v="12"/>
    <s v="R"/>
    <s v="RS"/>
    <x v="6"/>
    <s v="POR"/>
    <s v="A"/>
    <n v="1"/>
    <n v="1"/>
    <n v="0"/>
    <n v="0"/>
    <n v="0"/>
    <n v="0"/>
    <n v="1510.9402343846048"/>
    <n v="1443.1443350538673"/>
    <n v="0.4766973182248167"/>
    <n v="83"/>
    <n v="84"/>
    <n v="0"/>
    <n v="-1"/>
    <n v="0"/>
    <n v="0.23112206413747943"/>
    <n v="1"/>
    <n v="74.05"/>
    <n v="74.05"/>
    <n v="-8.1584786070199637"/>
    <n v="1502.7817557775847"/>
    <n v="0"/>
    <n v="1"/>
    <n v="0"/>
    <n v="0"/>
    <n v="0"/>
    <n v="0"/>
    <n v="0"/>
    <n v="0"/>
    <n v="0"/>
    <n v="0"/>
  </r>
  <r>
    <d v="2026-06-13T00:00:00"/>
    <n v="2026"/>
    <x v="14"/>
    <s v="R"/>
    <s v="RS"/>
    <x v="13"/>
    <s v="DAL"/>
    <s v="H"/>
    <n v="1"/>
    <n v="1"/>
    <n v="0"/>
    <n v="0"/>
    <n v="0"/>
    <n v="0"/>
    <n v="1443.1443350538673"/>
    <n v="1510.9402343846048"/>
    <n v="0.52330268177518335"/>
    <n v="84"/>
    <n v="83"/>
    <n v="0"/>
    <n v="1"/>
    <n v="1"/>
    <n v="0.23112206413747943"/>
    <n v="1"/>
    <n v="73.75"/>
    <n v="73.75"/>
    <n v="8.1254260265728888"/>
    <n v="1451.2697610804403"/>
    <n v="1"/>
    <n v="0"/>
    <n v="0"/>
    <n v="0"/>
    <n v="0"/>
    <n v="0"/>
    <n v="0"/>
    <n v="0"/>
    <n v="0"/>
    <n v="0"/>
  </r>
  <r>
    <d v="2026-06-14T00:00:00"/>
    <n v="2026"/>
    <x v="11"/>
    <s v="R"/>
    <s v="RS"/>
    <x v="4"/>
    <s v="NYL"/>
    <s v="A"/>
    <n v="1"/>
    <n v="2"/>
    <n v="-1"/>
    <n v="1"/>
    <n v="-8"/>
    <n v="8"/>
    <n v="1425.6208069535426"/>
    <n v="1573.4612762191673"/>
    <n v="0.19361581496639246"/>
    <n v="64"/>
    <n v="86"/>
    <n v="0"/>
    <n v="-22"/>
    <n v="0"/>
    <n v="0.53601848442631073"/>
    <n v="1"/>
    <n v="74.2"/>
    <n v="74.2"/>
    <n v="-7.7005988528844025"/>
    <n v="1417.9202081006581"/>
    <n v="0"/>
    <n v="1"/>
    <n v="0"/>
    <n v="0"/>
    <n v="0"/>
    <n v="0"/>
    <n v="0"/>
    <n v="0"/>
    <n v="0"/>
    <n v="0"/>
  </r>
  <r>
    <d v="2026-06-14T00:00:00"/>
    <n v="2026"/>
    <x v="13"/>
    <s v="R"/>
    <s v="RS"/>
    <x v="1"/>
    <s v="WAS"/>
    <s v="H"/>
    <n v="2"/>
    <n v="1"/>
    <n v="1"/>
    <n v="-1"/>
    <n v="8"/>
    <n v="-8"/>
    <n v="1573.4612762191673"/>
    <n v="1425.6208069535426"/>
    <n v="0.80638418503360754"/>
    <n v="86"/>
    <n v="64"/>
    <n v="0"/>
    <n v="22"/>
    <n v="1"/>
    <n v="0.53601848442631073"/>
    <n v="1"/>
    <n v="73.900000000000006"/>
    <n v="73.900000000000006"/>
    <n v="7.6694643561746272"/>
    <n v="1581.1307405753419"/>
    <n v="1"/>
    <n v="0"/>
    <n v="0"/>
    <n v="0"/>
    <n v="0"/>
    <n v="0"/>
    <n v="0"/>
    <n v="0"/>
    <n v="0"/>
    <n v="0"/>
  </r>
  <r>
    <d v="2026-06-14T00:00:00"/>
    <n v="2026"/>
    <x v="12"/>
    <s v="R"/>
    <s v="RS"/>
    <x v="10"/>
    <s v="TOR"/>
    <s v="A"/>
    <n v="2"/>
    <n v="1"/>
    <n v="1"/>
    <n v="-1"/>
    <n v="8"/>
    <n v="-8"/>
    <n v="1581.4259851719985"/>
    <n v="1502.1138949766585"/>
    <n v="0.51627365637624534"/>
    <n v="102"/>
    <n v="77"/>
    <n v="0"/>
    <n v="25"/>
    <n v="1"/>
    <n v="0.60158396060737174"/>
    <n v="1"/>
    <n v="74.05"/>
    <n v="74.05"/>
    <n v="21.548698814382622"/>
    <n v="1602.974683986381"/>
    <n v="1"/>
    <n v="0"/>
    <n v="0"/>
    <n v="0"/>
    <n v="0"/>
    <n v="0"/>
    <n v="0"/>
    <n v="0"/>
    <n v="0"/>
    <n v="0"/>
  </r>
  <r>
    <d v="2026-06-14T00:00:00"/>
    <n v="2026"/>
    <x v="13"/>
    <s v="R"/>
    <s v="RS"/>
    <x v="5"/>
    <s v="ATL"/>
    <s v="H"/>
    <n v="1"/>
    <n v="2"/>
    <n v="-1"/>
    <n v="1"/>
    <n v="-8"/>
    <n v="8"/>
    <n v="1502.1138949766585"/>
    <n v="1581.4259851719985"/>
    <n v="0.48372634362375461"/>
    <n v="77"/>
    <n v="102"/>
    <n v="0"/>
    <n v="-25"/>
    <n v="0"/>
    <n v="0.60158396060737174"/>
    <n v="1"/>
    <n v="73.900000000000006"/>
    <n v="73.900000000000006"/>
    <n v="-21.505048512935527"/>
    <n v="1480.608846463723"/>
    <n v="0"/>
    <n v="1"/>
    <n v="0"/>
    <n v="0"/>
    <n v="0"/>
    <n v="0"/>
    <n v="0"/>
    <n v="0"/>
    <n v="0"/>
    <n v="0"/>
  </r>
  <r>
    <d v="2026-06-15T00:00:00"/>
    <n v="2026"/>
    <x v="13"/>
    <s v="R"/>
    <s v="RS"/>
    <x v="9"/>
    <s v="DAL"/>
    <s v="A"/>
    <n v="1"/>
    <n v="1"/>
    <n v="0"/>
    <n v="0"/>
    <n v="0"/>
    <n v="0"/>
    <n v="1658.1804685119134"/>
    <n v="1502.7817557775847"/>
    <n v="0.60132860171592706"/>
    <n v="66"/>
    <n v="96"/>
    <n v="0"/>
    <n v="-30"/>
    <n v="0"/>
    <n v="0.62283607295653531"/>
    <n v="1"/>
    <n v="73.900000000000006"/>
    <n v="73.900000000000006"/>
    <n v="-27.677703804355328"/>
    <n v="1630.5027647075581"/>
    <n v="0"/>
    <n v="1"/>
    <n v="0"/>
    <n v="0"/>
    <n v="0"/>
    <n v="0"/>
    <n v="0"/>
    <n v="0"/>
    <n v="0"/>
    <n v="0"/>
  </r>
  <r>
    <d v="2026-06-15T00:00:00"/>
    <n v="2026"/>
    <x v="13"/>
    <s v="R"/>
    <s v="RS"/>
    <x v="6"/>
    <s v="LVA"/>
    <s v="H"/>
    <n v="1"/>
    <n v="1"/>
    <n v="0"/>
    <n v="0"/>
    <n v="0"/>
    <n v="0"/>
    <n v="1502.7817557775847"/>
    <n v="1658.1804685119134"/>
    <n v="0.39867139828407289"/>
    <n v="96"/>
    <n v="66"/>
    <n v="0"/>
    <n v="30"/>
    <n v="1"/>
    <n v="0.62283607295653531"/>
    <n v="1"/>
    <n v="73.900000000000006"/>
    <n v="73.900000000000006"/>
    <n v="27.677703804355335"/>
    <n v="1530.4594595819401"/>
    <n v="1"/>
    <n v="0"/>
    <n v="0"/>
    <n v="0"/>
    <n v="0"/>
    <n v="0"/>
    <n v="0"/>
    <n v="0"/>
    <n v="0"/>
    <n v="0"/>
  </r>
  <r>
    <d v="2026-06-15T00:00:00"/>
    <n v="2026"/>
    <x v="13"/>
    <s v="R"/>
    <s v="RS"/>
    <x v="14"/>
    <s v="GSV"/>
    <s v="A"/>
    <n v="1"/>
    <n v="2"/>
    <n v="-1"/>
    <n v="1"/>
    <n v="-8"/>
    <n v="8"/>
    <n v="1490.044166278833"/>
    <n v="1556.8159990045131"/>
    <n v="0.2768750234722181"/>
    <n v="58"/>
    <n v="78"/>
    <n v="0"/>
    <n v="-20"/>
    <n v="0"/>
    <n v="0.54458491490629612"/>
    <n v="1"/>
    <n v="73.900000000000006"/>
    <n v="73.900000000000006"/>
    <n v="-11.142786925090222"/>
    <n v="1478.9013793537429"/>
    <n v="0"/>
    <n v="1"/>
    <n v="0"/>
    <n v="0"/>
    <n v="0"/>
    <n v="0"/>
    <n v="0"/>
    <n v="0"/>
    <n v="0"/>
    <n v="0"/>
  </r>
  <r>
    <d v="2026-06-15T00:00:00"/>
    <n v="2026"/>
    <x v="13"/>
    <s v="R"/>
    <s v="RS"/>
    <x v="2"/>
    <s v="LAS"/>
    <s v="H"/>
    <n v="2"/>
    <n v="1"/>
    <n v="1"/>
    <n v="-1"/>
    <n v="8"/>
    <n v="-8"/>
    <n v="1556.8159990045131"/>
    <n v="1490.044166278833"/>
    <n v="0.72312497652778185"/>
    <n v="78"/>
    <n v="58"/>
    <n v="0"/>
    <n v="20"/>
    <n v="1"/>
    <n v="0.54458491490629612"/>
    <n v="1"/>
    <n v="73.900000000000006"/>
    <n v="73.900000000000006"/>
    <n v="11.142786925090226"/>
    <n v="1567.9587859296032"/>
    <n v="1"/>
    <n v="0"/>
    <n v="0"/>
    <n v="0"/>
    <n v="0"/>
    <n v="0"/>
    <n v="0"/>
    <n v="0"/>
    <n v="0"/>
    <n v="0"/>
  </r>
  <r>
    <d v="2026-06-15T00:00:00"/>
    <n v="2026"/>
    <x v="15"/>
    <s v="R"/>
    <s v="RS"/>
    <x v="13"/>
    <s v="MIN"/>
    <s v="A"/>
    <n v="1"/>
    <n v="1"/>
    <n v="0"/>
    <n v="0"/>
    <n v="0"/>
    <n v="0"/>
    <n v="1451.2697610804403"/>
    <n v="1654.1983908572081"/>
    <n v="0.16088013688709524"/>
    <n v="74"/>
    <n v="107"/>
    <n v="0"/>
    <n v="-33"/>
    <n v="0"/>
    <n v="0.6321710155211151"/>
    <n v="1"/>
    <n v="73.599999999999994"/>
    <n v="73.599999999999994"/>
    <n v="-7.4853967001634976"/>
    <n v="1443.7843643802769"/>
    <n v="0"/>
    <n v="1"/>
    <n v="0"/>
    <n v="0"/>
    <n v="0"/>
    <n v="0"/>
    <n v="0"/>
    <n v="0"/>
    <n v="0"/>
    <n v="0"/>
  </r>
  <r>
    <d v="2026-06-15T00:00:00"/>
    <n v="2026"/>
    <x v="13"/>
    <s v="R"/>
    <s v="RS"/>
    <x v="11"/>
    <s v="POR"/>
    <s v="H"/>
    <n v="1"/>
    <n v="1"/>
    <n v="0"/>
    <n v="0"/>
    <n v="0"/>
    <n v="0"/>
    <n v="1654.1983908572081"/>
    <n v="1451.2697610804403"/>
    <n v="0.83911986311290476"/>
    <n v="107"/>
    <n v="74"/>
    <n v="0"/>
    <n v="33"/>
    <n v="1"/>
    <n v="0.6321710155211151"/>
    <n v="1"/>
    <n v="73.900000000000006"/>
    <n v="73.900000000000006"/>
    <n v="7.5159078280174265"/>
    <n v="1661.7142986852255"/>
    <n v="1"/>
    <n v="0"/>
    <n v="0"/>
    <n v="0"/>
    <n v="0"/>
    <n v="0"/>
    <n v="0"/>
    <n v="0"/>
    <n v="0"/>
    <n v="0"/>
  </r>
  <r>
    <d v="2026-06-16T00:00:00"/>
    <n v="2026"/>
    <x v="14"/>
    <s v="R"/>
    <s v="RS"/>
    <x v="5"/>
    <s v="IND"/>
    <s v="A"/>
    <n v="1"/>
    <n v="2"/>
    <n v="-1"/>
    <n v="1"/>
    <n v="-8"/>
    <n v="8"/>
    <n v="1480.608846463723"/>
    <n v="1557.2340241255094"/>
    <n v="0.26566362626881912"/>
    <n v="91"/>
    <n v="113"/>
    <n v="0"/>
    <n v="-22"/>
    <n v="0"/>
    <n v="0.56591975328847022"/>
    <n v="1"/>
    <n v="73.75"/>
    <n v="73.75"/>
    <n v="-11.087891670388071"/>
    <n v="1469.520954793335"/>
    <n v="0"/>
    <n v="1"/>
    <n v="0"/>
    <n v="0"/>
    <n v="0"/>
    <n v="0"/>
    <n v="0"/>
    <n v="0"/>
    <n v="0"/>
    <n v="0"/>
  </r>
  <r>
    <d v="2026-06-16T00:00:00"/>
    <n v="2026"/>
    <x v="13"/>
    <s v="R"/>
    <s v="RS"/>
    <x v="7"/>
    <s v="TOR"/>
    <s v="H"/>
    <n v="2"/>
    <n v="1"/>
    <n v="1"/>
    <n v="-1"/>
    <n v="8"/>
    <n v="-8"/>
    <n v="1557.2340241255094"/>
    <n v="1480.608846463723"/>
    <n v="0.73433637373118088"/>
    <n v="113"/>
    <n v="91"/>
    <n v="0"/>
    <n v="22"/>
    <n v="1"/>
    <n v="0.56591975328847022"/>
    <n v="1"/>
    <n v="73.900000000000006"/>
    <n v="73.900000000000006"/>
    <n v="11.11044331446344"/>
    <n v="1568.344467439973"/>
    <n v="1"/>
    <n v="0"/>
    <n v="0"/>
    <n v="0"/>
    <n v="0"/>
    <n v="0"/>
    <n v="0"/>
    <n v="0"/>
    <n v="0"/>
    <n v="0"/>
  </r>
  <r>
    <d v="2026-06-17T00:00:00"/>
    <n v="2026"/>
    <x v="14"/>
    <s v="R"/>
    <s v="RS"/>
    <x v="1"/>
    <s v="CHI"/>
    <s v="A"/>
    <n v="2"/>
    <n v="5"/>
    <n v="-3"/>
    <n v="3"/>
    <n v="-16"/>
    <n v="16"/>
    <n v="1581.1307405753419"/>
    <n v="1368.4956711991738"/>
    <n v="0.63559048211232227"/>
    <n v="96"/>
    <n v="95"/>
    <n v="0"/>
    <n v="1"/>
    <n v="1"/>
    <n v="0.20742484135534758"/>
    <n v="1"/>
    <n v="73.75"/>
    <n v="73.75"/>
    <n v="5.5745844996719809"/>
    <n v="1586.7053250750139"/>
    <n v="1"/>
    <n v="0"/>
    <n v="0"/>
    <n v="0"/>
    <n v="0"/>
    <n v="0"/>
    <n v="0"/>
    <n v="0"/>
    <n v="0"/>
    <n v="0"/>
  </r>
  <r>
    <d v="2026-06-17T00:00:00"/>
    <n v="2026"/>
    <x v="13"/>
    <s v="R"/>
    <s v="RS"/>
    <x v="12"/>
    <s v="NYL"/>
    <s v="H"/>
    <n v="5"/>
    <n v="2"/>
    <n v="3"/>
    <n v="-3"/>
    <n v="16"/>
    <n v="-16"/>
    <n v="1368.4956711991738"/>
    <n v="1581.1307405753419"/>
    <n v="0.36440951788767773"/>
    <n v="95"/>
    <n v="96"/>
    <n v="0"/>
    <n v="-1"/>
    <n v="0"/>
    <n v="0.20742484135534758"/>
    <n v="1"/>
    <n v="73.900000000000006"/>
    <n v="73.900000000000006"/>
    <n v="-5.5859226376374158"/>
    <n v="1362.9097485615364"/>
    <n v="0"/>
    <n v="1"/>
    <n v="0"/>
    <n v="0"/>
    <n v="0"/>
    <n v="0"/>
    <n v="0"/>
    <n v="0"/>
    <n v="0"/>
    <n v="0"/>
  </r>
  <r>
    <d v="2026-06-17T00:00:00"/>
    <n v="2026"/>
    <x v="12"/>
    <s v="R"/>
    <s v="RS"/>
    <x v="4"/>
    <s v="CON"/>
    <s v="A"/>
    <n v="2"/>
    <n v="3"/>
    <n v="-1"/>
    <n v="1"/>
    <n v="-8"/>
    <n v="8"/>
    <n v="1417.9202081006581"/>
    <n v="1337.0698539728423"/>
    <n v="0.47246931710483159"/>
    <n v="88"/>
    <n v="81"/>
    <n v="0"/>
    <n v="7"/>
    <n v="1"/>
    <n v="0.34674511784556566"/>
    <n v="1"/>
    <n v="74.05"/>
    <n v="74.05"/>
    <n v="13.545128906205514"/>
    <n v="1431.4653370068636"/>
    <n v="1"/>
    <n v="0"/>
    <n v="0"/>
    <n v="0"/>
    <n v="0"/>
    <n v="0"/>
    <n v="0"/>
    <n v="0"/>
    <n v="0"/>
    <n v="0"/>
  </r>
  <r>
    <d v="2026-06-17T00:00:00"/>
    <n v="2026"/>
    <x v="15"/>
    <s v="R"/>
    <s v="RS"/>
    <x v="0"/>
    <s v="WAS"/>
    <s v="H"/>
    <n v="3"/>
    <n v="2"/>
    <n v="1"/>
    <n v="-1"/>
    <n v="8"/>
    <n v="-8"/>
    <n v="1337.0698539728423"/>
    <n v="1417.9202081006581"/>
    <n v="0.52753068289516847"/>
    <n v="81"/>
    <n v="88"/>
    <n v="0"/>
    <n v="-7"/>
    <n v="0"/>
    <n v="0.34674511784556566"/>
    <n v="1"/>
    <n v="73.599999999999994"/>
    <n v="73.599999999999994"/>
    <n v="-13.462815496242076"/>
    <n v="1323.6070384766003"/>
    <n v="0"/>
    <n v="1"/>
    <n v="0"/>
    <n v="0"/>
    <n v="0"/>
    <n v="0"/>
    <n v="0"/>
    <n v="0"/>
    <n v="0"/>
    <n v="0"/>
  </r>
  <r>
    <d v="2026-06-17T00:00:00"/>
    <n v="2026"/>
    <x v="14"/>
    <s v="R"/>
    <s v="RS"/>
    <x v="6"/>
    <s v="GSV"/>
    <s v="A"/>
    <n v="1"/>
    <n v="1"/>
    <n v="0"/>
    <n v="0"/>
    <n v="0"/>
    <n v="0"/>
    <n v="1530.4594595819401"/>
    <n v="1567.9587859296032"/>
    <n v="0.33194386211702209"/>
    <n v="80"/>
    <n v="91"/>
    <n v="0"/>
    <n v="-11"/>
    <n v="0"/>
    <n v="0.42650783969871564"/>
    <n v="1"/>
    <n v="73.75"/>
    <n v="73.75"/>
    <n v="-10.441278640542484"/>
    <n v="1520.0181809413975"/>
    <n v="0"/>
    <n v="1"/>
    <n v="0"/>
    <n v="0"/>
    <n v="0"/>
    <n v="0"/>
    <n v="0"/>
    <n v="0"/>
    <n v="0"/>
    <n v="0"/>
  </r>
  <r>
    <d v="2026-06-17T00:00:00"/>
    <n v="2026"/>
    <x v="14"/>
    <s v="R"/>
    <s v="RS"/>
    <x v="2"/>
    <s v="DAL"/>
    <s v="H"/>
    <n v="1"/>
    <n v="1"/>
    <n v="0"/>
    <n v="0"/>
    <n v="0"/>
    <n v="0"/>
    <n v="1567.9587859296032"/>
    <n v="1530.4594595819401"/>
    <n v="0.66805613788297791"/>
    <n v="91"/>
    <n v="80"/>
    <n v="0"/>
    <n v="11"/>
    <n v="1"/>
    <n v="0.42650783969871564"/>
    <n v="1"/>
    <n v="73.75"/>
    <n v="73.75"/>
    <n v="10.441278640542484"/>
    <n v="1578.4000645701458"/>
    <n v="1"/>
    <n v="0"/>
    <n v="0"/>
    <n v="0"/>
    <n v="0"/>
    <n v="0"/>
    <n v="0"/>
    <n v="0"/>
    <n v="0"/>
    <n v="0"/>
  </r>
  <r>
    <d v="2026-06-17T00:00:00"/>
    <n v="2026"/>
    <x v="14"/>
    <s v="R"/>
    <s v="RS"/>
    <x v="11"/>
    <s v="LAS"/>
    <s v="A"/>
    <n v="1"/>
    <n v="1"/>
    <n v="0"/>
    <n v="0"/>
    <n v="0"/>
    <n v="0"/>
    <n v="1661.7142986852255"/>
    <n v="1478.9013793537429"/>
    <n v="0.63848921006496639"/>
    <n v="99"/>
    <n v="83"/>
    <n v="0"/>
    <n v="16"/>
    <n v="1"/>
    <n v="0.44933282734765095"/>
    <n v="1"/>
    <n v="73.75"/>
    <n v="73.75"/>
    <n v="11.979851570166613"/>
    <n v="1673.6941502553921"/>
    <n v="1"/>
    <n v="0"/>
    <n v="0"/>
    <n v="0"/>
    <n v="0"/>
    <n v="0"/>
    <n v="0"/>
    <n v="0"/>
    <n v="0"/>
    <n v="0"/>
  </r>
  <r>
    <d v="2026-06-17T00:00:00"/>
    <n v="2026"/>
    <x v="14"/>
    <s v="R"/>
    <s v="RS"/>
    <x v="14"/>
    <s v="MIN"/>
    <s v="H"/>
    <n v="1"/>
    <n v="1"/>
    <n v="0"/>
    <n v="0"/>
    <n v="0"/>
    <n v="0"/>
    <n v="1478.9013793537429"/>
    <n v="1661.7142986852255"/>
    <n v="0.36151078993503366"/>
    <n v="83"/>
    <n v="99"/>
    <n v="0"/>
    <n v="-16"/>
    <n v="0"/>
    <n v="0.44933282734765095"/>
    <n v="1"/>
    <n v="73.75"/>
    <n v="73.75"/>
    <n v="-11.979851570166614"/>
    <n v="1466.9215277835763"/>
    <n v="0"/>
    <n v="1"/>
    <n v="0"/>
    <n v="0"/>
    <n v="0"/>
    <n v="0"/>
    <n v="0"/>
    <n v="0"/>
    <n v="0"/>
    <n v="0"/>
  </r>
  <r>
    <d v="2026-06-17T00:00:00"/>
    <n v="2026"/>
    <x v="14"/>
    <s v="R"/>
    <s v="RS"/>
    <x v="9"/>
    <s v="PHX"/>
    <s v="A"/>
    <n v="1"/>
    <n v="3"/>
    <n v="-2"/>
    <n v="2"/>
    <n v="-16"/>
    <n v="16"/>
    <n v="1630.5027647075581"/>
    <n v="1452.7752422823951"/>
    <n v="0.58791001927163411"/>
    <n v="86"/>
    <n v="76"/>
    <n v="0"/>
    <n v="10"/>
    <n v="1"/>
    <n v="0.36854576172286752"/>
    <n v="1"/>
    <n v="73.75"/>
    <n v="73.75"/>
    <n v="11.200708668634933"/>
    <n v="1641.703473376193"/>
    <n v="1"/>
    <n v="0"/>
    <n v="0"/>
    <n v="0"/>
    <n v="0"/>
    <n v="0"/>
    <n v="0"/>
    <n v="0"/>
    <n v="0"/>
    <n v="0"/>
  </r>
  <r>
    <d v="2026-06-17T00:00:00"/>
    <n v="2026"/>
    <x v="15"/>
    <s v="R"/>
    <s v="RS"/>
    <x v="8"/>
    <s v="LVA"/>
    <s v="H"/>
    <n v="3"/>
    <n v="1"/>
    <n v="2"/>
    <n v="-2"/>
    <n v="16"/>
    <n v="-16"/>
    <n v="1452.7752422823951"/>
    <n v="1630.5027647075581"/>
    <n v="0.41208998072836595"/>
    <n v="76"/>
    <n v="86"/>
    <n v="0"/>
    <n v="-10"/>
    <n v="0"/>
    <n v="0.36854576172286752"/>
    <n v="1"/>
    <n v="73.599999999999994"/>
    <n v="73.599999999999994"/>
    <n v="-11.177927566258049"/>
    <n v="1441.5973147161371"/>
    <n v="0"/>
    <n v="1"/>
    <n v="0"/>
    <n v="0"/>
    <n v="0"/>
    <n v="0"/>
    <n v="0"/>
    <n v="0"/>
    <n v="0"/>
    <n v="0"/>
  </r>
  <r>
    <d v="2026-06-17T00:00:00"/>
    <n v="2026"/>
    <x v="15"/>
    <s v="R"/>
    <s v="RS"/>
    <x v="3"/>
    <s v="POR"/>
    <s v="A"/>
    <n v="4"/>
    <n v="1"/>
    <n v="3"/>
    <n v="-3"/>
    <n v="16"/>
    <n v="-16"/>
    <n v="1388.6070156956469"/>
    <n v="1443.7843643802769"/>
    <n v="0.35047261790777567"/>
    <n v="89"/>
    <n v="94"/>
    <n v="0"/>
    <n v="-5"/>
    <n v="0"/>
    <n v="0.31717204821350214"/>
    <n v="1"/>
    <n v="73.599999999999994"/>
    <n v="73.599999999999994"/>
    <n v="-8.18138468955142"/>
    <n v="1380.4256310060955"/>
    <n v="0"/>
    <n v="1"/>
    <n v="0"/>
    <n v="0"/>
    <n v="0"/>
    <n v="0"/>
    <n v="0"/>
    <n v="0"/>
    <n v="0"/>
    <n v="0"/>
  </r>
  <r>
    <d v="2026-06-17T00:00:00"/>
    <n v="2026"/>
    <x v="16"/>
    <s v="R"/>
    <s v="RS"/>
    <x v="13"/>
    <s v="SEA"/>
    <s v="H"/>
    <n v="1"/>
    <n v="4"/>
    <n v="-3"/>
    <n v="3"/>
    <n v="-16"/>
    <n v="16"/>
    <n v="1443.7843643802769"/>
    <n v="1388.6070156956469"/>
    <n v="0.64952738209222438"/>
    <n v="94"/>
    <n v="89"/>
    <n v="0"/>
    <n v="5"/>
    <n v="1"/>
    <n v="0.31717204821350214"/>
    <n v="1"/>
    <n v="73.45"/>
    <n v="73.45"/>
    <n v="8.1647106718417355"/>
    <n v="1451.9490750521186"/>
    <n v="1"/>
    <n v="0"/>
    <n v="0"/>
    <n v="0"/>
    <n v="0"/>
    <n v="0"/>
    <n v="0"/>
    <n v="0"/>
    <n v="0"/>
    <n v="0"/>
  </r>
  <r>
    <d v="2026-06-18T00:00:00"/>
    <n v="2026"/>
    <x v="13"/>
    <s v="R"/>
    <s v="RS"/>
    <x v="10"/>
    <s v="IND"/>
    <s v="A"/>
    <n v="3"/>
    <n v="1"/>
    <n v="2"/>
    <n v="-2"/>
    <n v="16"/>
    <n v="-16"/>
    <n v="1602.974683986381"/>
    <n v="1568.344467439973"/>
    <n v="0.4750236775727994"/>
    <n v="108"/>
    <n v="101"/>
    <n v="0"/>
    <n v="7"/>
    <n v="1"/>
    <n v="0.35972601434211682"/>
    <n v="1"/>
    <n v="73.900000000000006"/>
    <n v="73.900000000000006"/>
    <n v="13.955840602704129"/>
    <n v="1616.9305245890851"/>
    <n v="1"/>
    <n v="0"/>
    <n v="0"/>
    <n v="0"/>
    <n v="0"/>
    <n v="0"/>
    <n v="0"/>
    <n v="0"/>
    <n v="0"/>
    <n v="0"/>
  </r>
  <r>
    <d v="2026-06-18T00:00:00"/>
    <n v="2026"/>
    <x v="14"/>
    <s v="R"/>
    <s v="RS"/>
    <x v="7"/>
    <s v="ATL"/>
    <s v="H"/>
    <n v="1"/>
    <n v="3"/>
    <n v="-2"/>
    <n v="2"/>
    <n v="-16"/>
    <n v="16"/>
    <n v="1568.344467439973"/>
    <n v="1602.974683986381"/>
    <n v="0.5249763224272006"/>
    <n v="101"/>
    <n v="108"/>
    <n v="0"/>
    <n v="-7"/>
    <n v="0"/>
    <n v="0.35972601434211682"/>
    <n v="1"/>
    <n v="73.75"/>
    <n v="73.75"/>
    <n v="-13.927513456690519"/>
    <n v="1554.4169539832824"/>
    <n v="0"/>
    <n v="1"/>
    <n v="0"/>
    <n v="0"/>
    <n v="0"/>
    <n v="0"/>
    <n v="0"/>
    <n v="0"/>
    <n v="0"/>
    <n v="0"/>
  </r>
  <r>
    <d v="2026-06-19T00:00:00"/>
    <n v="2026"/>
    <x v="15"/>
    <s v="R"/>
    <s v="RS"/>
    <x v="5"/>
    <s v="CON"/>
    <s v="A"/>
    <n v="2"/>
    <n v="1"/>
    <n v="1"/>
    <n v="-1"/>
    <n v="8"/>
    <n v="-8"/>
    <n v="1469.520954793335"/>
    <n v="1323.6070384766003"/>
    <n v="0.61028457122653301"/>
    <n v="101"/>
    <n v="97"/>
    <n v="0"/>
    <n v="4"/>
    <n v="1"/>
    <n v="0.27766952800918038"/>
    <n v="1"/>
    <n v="73.599999999999994"/>
    <n v="73.599999999999994"/>
    <n v="7.9644104985752007"/>
    <n v="1477.4853652919103"/>
    <n v="1"/>
    <n v="0"/>
    <n v="0"/>
    <n v="0"/>
    <n v="0"/>
    <n v="0"/>
    <n v="0"/>
    <n v="0"/>
    <n v="0"/>
    <n v="0"/>
  </r>
  <r>
    <d v="2026-06-19T00:00:00"/>
    <n v="2026"/>
    <x v="16"/>
    <s v="R"/>
    <s v="RS"/>
    <x v="0"/>
    <s v="TOR"/>
    <s v="H"/>
    <n v="1"/>
    <n v="2"/>
    <n v="-1"/>
    <n v="1"/>
    <n v="-8"/>
    <n v="8"/>
    <n v="1323.6070384766003"/>
    <n v="1469.520954793335"/>
    <n v="0.38971542877346699"/>
    <n v="97"/>
    <n v="101"/>
    <n v="0"/>
    <n v="-4"/>
    <n v="0"/>
    <n v="0.27766952800918038"/>
    <n v="1"/>
    <n v="73.45"/>
    <n v="73.45"/>
    <n v="-7.9481786837003892"/>
    <n v="1315.6588597928999"/>
    <n v="0"/>
    <n v="1"/>
    <n v="0"/>
    <n v="0"/>
    <n v="0"/>
    <n v="0"/>
    <n v="0"/>
    <n v="0"/>
    <n v="0"/>
    <n v="0"/>
  </r>
  <r>
    <d v="2026-06-19T00:00:00"/>
    <n v="2026"/>
    <x v="15"/>
    <s v="R"/>
    <s v="RS"/>
    <x v="11"/>
    <s v="GSV"/>
    <s v="A"/>
    <n v="1"/>
    <n v="1"/>
    <n v="0"/>
    <n v="0"/>
    <n v="0"/>
    <n v="0"/>
    <n v="1673.6941502553921"/>
    <n v="1578.4000645701458"/>
    <n v="0.51624777320755422"/>
    <n v="81"/>
    <n v="75"/>
    <n v="0"/>
    <n v="6"/>
    <n v="1"/>
    <n v="0.32543722538977343"/>
    <n v="1"/>
    <n v="73.599999999999994"/>
    <n v="73.599999999999994"/>
    <n v="11.586920309310507"/>
    <n v="1685.2810705647025"/>
    <n v="1"/>
    <n v="0"/>
    <n v="0"/>
    <n v="0"/>
    <n v="0"/>
    <n v="0"/>
    <n v="0"/>
    <n v="0"/>
    <n v="0"/>
    <n v="0"/>
  </r>
  <r>
    <d v="2026-06-19T00:00:00"/>
    <n v="2026"/>
    <x v="15"/>
    <s v="R"/>
    <s v="RS"/>
    <x v="2"/>
    <s v="MIN"/>
    <s v="H"/>
    <n v="1"/>
    <n v="1"/>
    <n v="0"/>
    <n v="0"/>
    <n v="0"/>
    <n v="0"/>
    <n v="1578.4000645701458"/>
    <n v="1673.6941502553921"/>
    <n v="0.48375222679244578"/>
    <n v="75"/>
    <n v="81"/>
    <n v="0"/>
    <n v="-6"/>
    <n v="0"/>
    <n v="0.32543722538977343"/>
    <n v="1"/>
    <n v="73.599999999999994"/>
    <n v="73.599999999999994"/>
    <n v="-11.586920309310507"/>
    <n v="1566.8131442608353"/>
    <n v="0"/>
    <n v="1"/>
    <n v="0"/>
    <n v="0"/>
    <n v="0"/>
    <n v="0"/>
    <n v="0"/>
    <n v="0"/>
    <n v="0"/>
    <n v="0"/>
  </r>
  <r>
    <d v="2026-06-19T00:00:00"/>
    <n v="2026"/>
    <x v="13"/>
    <s v="R"/>
    <s v="RS"/>
    <x v="4"/>
    <s v="NYL"/>
    <s v="A"/>
    <n v="1"/>
    <n v="1"/>
    <n v="0"/>
    <n v="0"/>
    <n v="0"/>
    <n v="0"/>
    <n v="1431.4653370068636"/>
    <n v="1586.7053250750139"/>
    <n v="0.20146291736325253"/>
    <n v="86"/>
    <n v="83"/>
    <n v="0"/>
    <n v="3"/>
    <n v="1"/>
    <n v="0.25694358813513618"/>
    <n v="1"/>
    <n v="73.900000000000006"/>
    <n v="73.900000000000006"/>
    <n v="15.16272686377491"/>
    <n v="1446.6280638706385"/>
    <n v="1"/>
    <n v="0"/>
    <n v="0"/>
    <n v="0"/>
    <n v="0"/>
    <n v="0"/>
    <n v="0"/>
    <n v="0"/>
    <n v="0"/>
    <n v="0"/>
  </r>
  <r>
    <d v="2026-06-19T00:00:00"/>
    <n v="2026"/>
    <x v="15"/>
    <s v="R"/>
    <s v="RS"/>
    <x v="1"/>
    <s v="WAS"/>
    <s v="H"/>
    <n v="1"/>
    <n v="1"/>
    <n v="0"/>
    <n v="0"/>
    <n v="0"/>
    <n v="0"/>
    <n v="1586.7053250750139"/>
    <n v="1431.4653370068636"/>
    <n v="0.79853708263674739"/>
    <n v="83"/>
    <n v="86"/>
    <n v="0"/>
    <n v="-3"/>
    <n v="0"/>
    <n v="0.25694358813513618"/>
    <n v="1"/>
    <n v="73.599999999999994"/>
    <n v="73.599999999999994"/>
    <n v="-15.101173168793411"/>
    <n v="1571.6041519062205"/>
    <n v="0"/>
    <n v="1"/>
    <n v="0"/>
    <n v="0"/>
    <n v="0"/>
    <n v="0"/>
    <n v="0"/>
    <n v="0"/>
    <n v="0"/>
    <n v="0"/>
  </r>
  <r>
    <d v="2026-06-20T00:00:00"/>
    <n v="2026"/>
    <x v="15"/>
    <s v="R"/>
    <s v="RS"/>
    <x v="7"/>
    <s v="ATL"/>
    <s v="A"/>
    <n v="1"/>
    <n v="1"/>
    <n v="0"/>
    <n v="0"/>
    <n v="0"/>
    <n v="0"/>
    <n v="1554.4169539832824"/>
    <n v="1616.9305245890851"/>
    <n v="0.3008192074011018"/>
    <n v="96"/>
    <n v="113"/>
    <n v="0"/>
    <n v="-17"/>
    <n v="0"/>
    <n v="0.50607811097968103"/>
    <n v="1"/>
    <n v="73.599999999999994"/>
    <n v="73.599999999999994"/>
    <n v="-11.204717994377448"/>
    <n v="1543.2122359889049"/>
    <n v="0"/>
    <n v="1"/>
    <n v="0"/>
    <n v="0"/>
    <n v="0"/>
    <n v="0"/>
    <n v="0"/>
    <n v="0"/>
    <n v="0"/>
    <n v="0"/>
  </r>
  <r>
    <d v="2026-06-20T00:00:00"/>
    <n v="2026"/>
    <x v="14"/>
    <s v="R"/>
    <s v="RS"/>
    <x v="10"/>
    <s v="IND"/>
    <s v="H"/>
    <n v="1"/>
    <n v="1"/>
    <n v="0"/>
    <n v="0"/>
    <n v="0"/>
    <n v="0"/>
    <n v="1616.9305245890851"/>
    <n v="1554.4169539832824"/>
    <n v="0.69918079259889809"/>
    <n v="113"/>
    <n v="96"/>
    <n v="0"/>
    <n v="17"/>
    <n v="1"/>
    <n v="0.50607811097968103"/>
    <n v="1"/>
    <n v="73.75"/>
    <n v="73.75"/>
    <n v="11.227553696811647"/>
    <n v="1628.1580782858966"/>
    <n v="1"/>
    <n v="0"/>
    <n v="0"/>
    <n v="0"/>
    <n v="0"/>
    <n v="0"/>
    <n v="0"/>
    <n v="0"/>
    <n v="0"/>
    <n v="0"/>
  </r>
  <r>
    <d v="2026-06-20T00:00:00"/>
    <n v="2026"/>
    <x v="14"/>
    <s v="R"/>
    <s v="RS"/>
    <x v="12"/>
    <s v="DAL"/>
    <s v="A"/>
    <n v="2"/>
    <n v="2"/>
    <n v="0"/>
    <n v="0"/>
    <n v="0"/>
    <n v="0"/>
    <n v="1362.9097485615364"/>
    <n v="1520.0181809413975"/>
    <n v="0.1997381535802964"/>
    <n v="92"/>
    <n v="93"/>
    <n v="0"/>
    <n v="-1"/>
    <n v="0"/>
    <n v="0.21591171211316712"/>
    <n v="1"/>
    <n v="73.75"/>
    <n v="73.75"/>
    <n v="-3.1805282451460331"/>
    <n v="1359.7292203163904"/>
    <n v="0"/>
    <n v="1"/>
    <n v="0"/>
    <n v="0"/>
    <n v="0"/>
    <n v="0"/>
    <n v="0"/>
    <n v="0"/>
    <n v="0"/>
    <n v="0"/>
  </r>
  <r>
    <d v="2026-06-20T00:00:00"/>
    <n v="2026"/>
    <x v="15"/>
    <s v="R"/>
    <s v="RS"/>
    <x v="6"/>
    <s v="CHI"/>
    <s v="H"/>
    <n v="2"/>
    <n v="2"/>
    <n v="0"/>
    <n v="0"/>
    <n v="0"/>
    <n v="0"/>
    <n v="1520.0181809413975"/>
    <n v="1362.9097485615364"/>
    <n v="0.80026184641970355"/>
    <n v="93"/>
    <n v="92"/>
    <n v="0"/>
    <n v="1"/>
    <n v="1"/>
    <n v="0.21591171211316712"/>
    <n v="1"/>
    <n v="73.599999999999994"/>
    <n v="73.599999999999994"/>
    <n v="3.1740593741389573"/>
    <n v="1523.1922403155365"/>
    <n v="1"/>
    <n v="0"/>
    <n v="0"/>
    <n v="0"/>
    <n v="0"/>
    <n v="0"/>
    <n v="0"/>
    <n v="0"/>
    <n v="0"/>
    <n v="0"/>
  </r>
  <r>
    <d v="2026-06-20T00:00:00"/>
    <n v="2026"/>
    <x v="16"/>
    <s v="R"/>
    <s v="RS"/>
    <x v="3"/>
    <s v="PHX"/>
    <s v="A"/>
    <n v="2"/>
    <n v="2"/>
    <n v="0"/>
    <n v="0"/>
    <n v="0"/>
    <n v="0"/>
    <n v="1380.4256310060955"/>
    <n v="1441.5973147161371"/>
    <n v="0.30244637844787731"/>
    <n v="73"/>
    <n v="93"/>
    <n v="0"/>
    <n v="-20"/>
    <n v="0"/>
    <n v="0.54700310801555818"/>
    <n v="1"/>
    <n v="73.45"/>
    <n v="73.45"/>
    <n v="-12.151502557448387"/>
    <n v="1368.2741284486472"/>
    <n v="0"/>
    <n v="1"/>
    <n v="0"/>
    <n v="0"/>
    <n v="0"/>
    <n v="0"/>
    <n v="0"/>
    <n v="0"/>
    <n v="0"/>
    <n v="0"/>
  </r>
  <r>
    <d v="2026-06-20T00:00:00"/>
    <n v="2026"/>
    <x v="16"/>
    <s v="R"/>
    <s v="RS"/>
    <x v="8"/>
    <s v="SEA"/>
    <s v="H"/>
    <n v="2"/>
    <n v="2"/>
    <n v="0"/>
    <n v="0"/>
    <n v="0"/>
    <n v="0"/>
    <n v="1441.5973147161371"/>
    <n v="1380.4256310060955"/>
    <n v="0.69755362155212275"/>
    <n v="93"/>
    <n v="73"/>
    <n v="0"/>
    <n v="20"/>
    <n v="1"/>
    <n v="0.54700310801555818"/>
    <n v="1"/>
    <n v="73.45"/>
    <n v="73.45"/>
    <n v="12.151502557448383"/>
    <n v="1453.7488172735855"/>
    <n v="1"/>
    <n v="0"/>
    <n v="0"/>
    <n v="0"/>
    <n v="0"/>
    <n v="0"/>
    <n v="0"/>
    <n v="0"/>
    <n v="0"/>
    <n v="0"/>
  </r>
  <r>
    <d v="2026-06-21T00:00:00"/>
    <n v="2026"/>
    <x v="16"/>
    <s v="R"/>
    <s v="RS"/>
    <x v="1"/>
    <s v="LAS"/>
    <s v="A"/>
    <n v="1"/>
    <n v="3"/>
    <n v="-2"/>
    <n v="2"/>
    <n v="-16"/>
    <n v="16"/>
    <n v="1571.6041519062205"/>
    <n v="1466.9215277835763"/>
    <n v="0.48371874497762835"/>
    <n v="97"/>
    <n v="98"/>
    <n v="0"/>
    <n v="-1"/>
    <n v="0"/>
    <n v="0.22458765046817067"/>
    <n v="1"/>
    <n v="73.45"/>
    <n v="73.45"/>
    <n v="-7.9794064841913297"/>
    <n v="1563.6247454220293"/>
    <n v="0"/>
    <n v="1"/>
    <n v="0"/>
    <n v="0"/>
    <n v="0"/>
    <n v="0"/>
    <n v="0"/>
    <n v="0"/>
    <n v="0"/>
    <n v="0"/>
  </r>
  <r>
    <d v="2026-06-21T00:00:00"/>
    <n v="2026"/>
    <x v="15"/>
    <s v="R"/>
    <s v="RS"/>
    <x v="14"/>
    <s v="NYL"/>
    <s v="H"/>
    <n v="3"/>
    <n v="1"/>
    <n v="2"/>
    <n v="-2"/>
    <n v="16"/>
    <n v="-16"/>
    <n v="1466.9215277835763"/>
    <n v="1571.6041519062205"/>
    <n v="0.51628125502237165"/>
    <n v="98"/>
    <n v="97"/>
    <n v="0"/>
    <n v="1"/>
    <n v="1"/>
    <n v="0.22458765046817067"/>
    <n v="1"/>
    <n v="73.599999999999994"/>
    <n v="73.599999999999994"/>
    <n v="7.9957020726546197"/>
    <n v="1474.917229856231"/>
    <n v="1"/>
    <n v="0"/>
    <n v="0"/>
    <n v="0"/>
    <n v="0"/>
    <n v="0"/>
    <n v="0"/>
    <n v="0"/>
    <n v="0"/>
    <n v="0"/>
  </r>
  <r>
    <d v="2026-06-21T00:00:00"/>
    <n v="2026"/>
    <x v="16"/>
    <s v="R"/>
    <s v="RS"/>
    <x v="2"/>
    <s v="LVA"/>
    <s v="A"/>
    <n v="1"/>
    <n v="3"/>
    <n v="-2"/>
    <n v="2"/>
    <n v="-16"/>
    <n v="16"/>
    <n v="1566.8131442608353"/>
    <n v="1641.703473376193"/>
    <n v="0.24995485705326287"/>
    <n v="73"/>
    <n v="92"/>
    <n v="0"/>
    <n v="-19"/>
    <n v="0"/>
    <n v="0.52802431071450073"/>
    <n v="1"/>
    <n v="73.45"/>
    <n v="73.45"/>
    <n v="-9.6940956091836021"/>
    <n v="1557.1190486516516"/>
    <n v="0"/>
    <n v="1"/>
    <n v="0"/>
    <n v="0"/>
    <n v="0"/>
    <n v="0"/>
    <n v="0"/>
    <n v="0"/>
    <n v="0"/>
    <n v="0"/>
  </r>
  <r>
    <d v="2026-06-21T00:00:00"/>
    <n v="2026"/>
    <x v="15"/>
    <s v="R"/>
    <s v="RS"/>
    <x v="9"/>
    <s v="GSV"/>
    <s v="H"/>
    <n v="3"/>
    <n v="1"/>
    <n v="2"/>
    <n v="-2"/>
    <n v="16"/>
    <n v="-16"/>
    <n v="1641.703473376193"/>
    <n v="1566.8131442608353"/>
    <n v="0.75004514294673708"/>
    <n v="92"/>
    <n v="73"/>
    <n v="0"/>
    <n v="19"/>
    <n v="1"/>
    <n v="0.52802431071450073"/>
    <n v="1"/>
    <n v="73.599999999999994"/>
    <n v="73.599999999999994"/>
    <n v="9.7138929453493965"/>
    <n v="1651.4173663215424"/>
    <n v="1"/>
    <n v="0"/>
    <n v="0"/>
    <n v="0"/>
    <n v="0"/>
    <n v="0"/>
    <n v="0"/>
    <n v="0"/>
    <n v="0"/>
    <n v="0"/>
  </r>
  <r>
    <d v="2026-06-21T00:00:00"/>
    <n v="2026"/>
    <x v="14"/>
    <s v="R"/>
    <s v="RS"/>
    <x v="4"/>
    <s v="MIN"/>
    <s v="A"/>
    <n v="1"/>
    <n v="1"/>
    <n v="0"/>
    <n v="0"/>
    <n v="0"/>
    <n v="0"/>
    <n v="1446.6280638706385"/>
    <n v="1685.2810705647025"/>
    <n v="0.13501339698134038"/>
    <n v="84"/>
    <n v="79"/>
    <n v="0"/>
    <n v="5"/>
    <n v="1"/>
    <n v="0.27672216212047063"/>
    <n v="1"/>
    <n v="73.75"/>
    <n v="73.75"/>
    <n v="17.652871020701646"/>
    <n v="1464.2809348913402"/>
    <n v="1"/>
    <n v="0"/>
    <n v="0"/>
    <n v="0"/>
    <n v="0"/>
    <n v="0"/>
    <n v="0"/>
    <n v="0"/>
    <n v="0"/>
    <n v="0"/>
  </r>
  <r>
    <d v="2026-06-21T00:00:00"/>
    <n v="2026"/>
    <x v="16"/>
    <s v="R"/>
    <s v="RS"/>
    <x v="11"/>
    <s v="WAS"/>
    <s v="H"/>
    <n v="1"/>
    <n v="1"/>
    <n v="0"/>
    <n v="0"/>
    <n v="0"/>
    <n v="0"/>
    <n v="1685.2810705647025"/>
    <n v="1446.6280638706385"/>
    <n v="0.86498660301865959"/>
    <n v="79"/>
    <n v="84"/>
    <n v="0"/>
    <n v="-5"/>
    <n v="0"/>
    <n v="0.27672216212047063"/>
    <n v="1"/>
    <n v="73.45"/>
    <n v="73.45"/>
    <n v="-17.581062731803879"/>
    <n v="1667.7000078328986"/>
    <n v="0"/>
    <n v="1"/>
    <n v="0"/>
    <n v="0"/>
    <n v="0"/>
    <n v="0"/>
    <n v="0"/>
    <n v="0"/>
    <n v="0"/>
    <n v="0"/>
  </r>
  <r>
    <d v="2026-06-22T00:00:00"/>
    <n v="2026"/>
    <x v="16"/>
    <s v="R"/>
    <s v="RS"/>
    <x v="5"/>
    <s v="ATL"/>
    <s v="A"/>
    <n v="2"/>
    <n v="1"/>
    <n v="1"/>
    <n v="-1"/>
    <n v="8"/>
    <n v="-8"/>
    <n v="1477.4853652919103"/>
    <n v="1628.1580782858966"/>
    <n v="0.22118375202112669"/>
    <n v="87"/>
    <n v="94"/>
    <n v="0"/>
    <n v="-7"/>
    <n v="0"/>
    <n v="0.32882030021921488"/>
    <n v="1"/>
    <n v="73.45"/>
    <n v="73.45"/>
    <n v="-5.3419970337379858"/>
    <n v="1472.1433682581724"/>
    <n v="0"/>
    <n v="1"/>
    <n v="0"/>
    <n v="0"/>
    <n v="0"/>
    <n v="0"/>
    <n v="0"/>
    <n v="0"/>
    <n v="0"/>
    <n v="0"/>
  </r>
  <r>
    <d v="2026-06-22T00:00:00"/>
    <n v="2026"/>
    <x v="15"/>
    <s v="R"/>
    <s v="RS"/>
    <x v="10"/>
    <s v="TOR"/>
    <s v="H"/>
    <n v="1"/>
    <n v="2"/>
    <n v="-1"/>
    <n v="1"/>
    <n v="-8"/>
    <n v="8"/>
    <n v="1628.1580782858966"/>
    <n v="1477.4853652919103"/>
    <n v="0.77881624797887328"/>
    <n v="94"/>
    <n v="87"/>
    <n v="0"/>
    <n v="7"/>
    <n v="1"/>
    <n v="0.32882030021921488"/>
    <n v="1"/>
    <n v="73.599999999999994"/>
    <n v="73.599999999999994"/>
    <n v="5.3529064898994658"/>
    <n v="1633.510984775796"/>
    <n v="1"/>
    <n v="0"/>
    <n v="0"/>
    <n v="0"/>
    <n v="0"/>
    <n v="0"/>
    <n v="0"/>
    <n v="0"/>
    <n v="0"/>
    <n v="0"/>
  </r>
  <r>
    <d v="2026-06-22T00:00:00"/>
    <n v="2026"/>
    <x v="15"/>
    <s v="R"/>
    <s v="RS"/>
    <x v="12"/>
    <s v="CON"/>
    <s v="A"/>
    <n v="1"/>
    <n v="2"/>
    <n v="-1"/>
    <n v="1"/>
    <n v="-8"/>
    <n v="8"/>
    <n v="1359.7292203163904"/>
    <n v="1315.6588597928999"/>
    <n v="0.42019891408128546"/>
    <n v="63"/>
    <n v="92"/>
    <n v="0"/>
    <n v="-29"/>
    <n v="0"/>
    <n v="0.66687188308547762"/>
    <n v="1"/>
    <n v="73.599999999999994"/>
    <n v="73.599999999999994"/>
    <n v="-20.624106705244071"/>
    <n v="1339.1051136111464"/>
    <n v="0"/>
    <n v="1"/>
    <n v="0"/>
    <n v="0"/>
    <n v="0"/>
    <n v="0"/>
    <n v="0"/>
    <n v="0"/>
    <n v="0"/>
    <n v="0"/>
  </r>
  <r>
    <d v="2026-06-22T00:00:00"/>
    <n v="2026"/>
    <x v="17"/>
    <s v="R"/>
    <s v="RS"/>
    <x v="0"/>
    <s v="CHI"/>
    <s v="H"/>
    <n v="2"/>
    <n v="1"/>
    <n v="1"/>
    <n v="-1"/>
    <n v="8"/>
    <n v="-8"/>
    <n v="1315.6588597928999"/>
    <n v="1359.7292203163904"/>
    <n v="0.57980108591871449"/>
    <n v="92"/>
    <n v="63"/>
    <n v="0"/>
    <n v="29"/>
    <n v="1"/>
    <n v="0.66687188308547762"/>
    <n v="1"/>
    <n v="73.3"/>
    <n v="73.3"/>
    <n v="20.540041052912915"/>
    <n v="1336.1989008458129"/>
    <n v="1"/>
    <n v="0"/>
    <n v="0"/>
    <n v="0"/>
    <n v="0"/>
    <n v="0"/>
    <n v="0"/>
    <n v="0"/>
    <n v="0"/>
    <n v="0"/>
  </r>
  <r>
    <d v="2026-06-22T00:00:00"/>
    <n v="2026"/>
    <x v="17"/>
    <s v="R"/>
    <s v="RS"/>
    <x v="8"/>
    <s v="IND"/>
    <s v="A"/>
    <n v="1"/>
    <n v="1"/>
    <n v="0"/>
    <n v="0"/>
    <n v="0"/>
    <n v="0"/>
    <n v="1453.7488172735855"/>
    <n v="1543.2122359889049"/>
    <n v="0.26922941657312488"/>
    <n v="77"/>
    <n v="86"/>
    <n v="0"/>
    <n v="-9"/>
    <n v="0"/>
    <n v="0.3778050819480015"/>
    <n v="1"/>
    <n v="73.3"/>
    <n v="73.3"/>
    <n v="-7.4558005232965785"/>
    <n v="1446.2930167502889"/>
    <n v="0"/>
    <n v="1"/>
    <n v="0"/>
    <n v="0"/>
    <n v="0"/>
    <n v="0"/>
    <n v="0"/>
    <n v="0"/>
    <n v="0"/>
    <n v="0"/>
  </r>
  <r>
    <d v="2026-06-22T00:00:00"/>
    <n v="2026"/>
    <x v="16"/>
    <s v="R"/>
    <s v="RS"/>
    <x v="7"/>
    <s v="PHX"/>
    <s v="H"/>
    <n v="1"/>
    <n v="1"/>
    <n v="0"/>
    <n v="0"/>
    <n v="0"/>
    <n v="0"/>
    <n v="1543.2122359889049"/>
    <n v="1453.7488172735855"/>
    <n v="0.73077058342687506"/>
    <n v="86"/>
    <n v="77"/>
    <n v="0"/>
    <n v="9"/>
    <n v="1"/>
    <n v="0.3778050819480015"/>
    <n v="1"/>
    <n v="73.45"/>
    <n v="73.45"/>
    <n v="7.4710579595652638"/>
    <n v="1550.6832939484702"/>
    <n v="1"/>
    <n v="0"/>
    <n v="0"/>
    <n v="0"/>
    <n v="0"/>
    <n v="0"/>
    <n v="0"/>
    <n v="0"/>
    <n v="0"/>
    <n v="0"/>
  </r>
  <r>
    <d v="2026-06-22T00:00:00"/>
    <n v="2026"/>
    <x v="16"/>
    <s v="R"/>
    <s v="RS"/>
    <x v="6"/>
    <s v="SEA"/>
    <s v="A"/>
    <n v="1"/>
    <n v="1"/>
    <n v="0"/>
    <n v="0"/>
    <n v="0"/>
    <n v="0"/>
    <n v="1523.1922403155365"/>
    <n v="1368.2741284486472"/>
    <n v="0.6006651815405194"/>
    <n v="112"/>
    <n v="110"/>
    <n v="1"/>
    <n v="2"/>
    <n v="1"/>
    <n v="0.21349528354586048"/>
    <n v="1"/>
    <n v="73.45"/>
    <n v="73.45"/>
    <n v="6.2620605667956655"/>
    <n v="1529.4543008823323"/>
    <n v="1"/>
    <n v="0"/>
    <n v="0"/>
    <n v="0"/>
    <n v="0"/>
    <n v="0"/>
    <n v="0"/>
    <n v="0"/>
    <n v="0"/>
    <n v="0"/>
  </r>
  <r>
    <d v="2026-06-22T00:00:00"/>
    <n v="2026"/>
    <x v="17"/>
    <s v="R"/>
    <s v="RS"/>
    <x v="3"/>
    <s v="DAL"/>
    <s v="H"/>
    <n v="1"/>
    <n v="1"/>
    <n v="0"/>
    <n v="0"/>
    <n v="0"/>
    <n v="0"/>
    <n v="1368.2741284486472"/>
    <n v="1523.1922403155365"/>
    <n v="0.39933481845948055"/>
    <n v="110"/>
    <n v="112"/>
    <n v="1"/>
    <n v="-2"/>
    <n v="0"/>
    <n v="0.21349528354586048"/>
    <n v="1"/>
    <n v="73.3"/>
    <n v="73.3"/>
    <n v="-6.2492721517511534"/>
    <n v="1362.0248562968959"/>
    <n v="0"/>
    <n v="1"/>
    <n v="0"/>
    <n v="0"/>
    <n v="0"/>
    <n v="0"/>
    <n v="0"/>
    <n v="0"/>
    <n v="0"/>
    <n v="0"/>
  </r>
  <r>
    <d v="2026-06-23T00:00:00"/>
    <n v="2026"/>
    <x v="17"/>
    <s v="R"/>
    <s v="RS"/>
    <x v="1"/>
    <s v="LVA"/>
    <s v="A"/>
    <n v="1"/>
    <n v="1"/>
    <n v="0"/>
    <n v="0"/>
    <n v="0"/>
    <n v="0"/>
    <n v="1563.6247454220293"/>
    <n v="1651.4173663215424"/>
    <n v="0.27112588146243988"/>
    <n v="87"/>
    <n v="76"/>
    <n v="0"/>
    <n v="11"/>
    <n v="1"/>
    <n v="0.4098510550095335"/>
    <n v="1"/>
    <n v="73.3"/>
    <n v="73.3"/>
    <n v="21.896896278914213"/>
    <n v="1585.5216417009435"/>
    <n v="1"/>
    <n v="0"/>
    <n v="0"/>
    <n v="0"/>
    <n v="0"/>
    <n v="0"/>
    <n v="0"/>
    <n v="0"/>
    <n v="0"/>
    <n v="0"/>
  </r>
  <r>
    <d v="2026-06-23T00:00:00"/>
    <n v="2026"/>
    <x v="16"/>
    <s v="R"/>
    <s v="RS"/>
    <x v="9"/>
    <s v="NYL"/>
    <s v="H"/>
    <n v="1"/>
    <n v="1"/>
    <n v="0"/>
    <n v="0"/>
    <n v="0"/>
    <n v="0"/>
    <n v="1651.4173663215424"/>
    <n v="1563.6247454220293"/>
    <n v="0.72887411853756012"/>
    <n v="76"/>
    <n v="87"/>
    <n v="0"/>
    <n v="-11"/>
    <n v="0"/>
    <n v="0.4098510550095335"/>
    <n v="1"/>
    <n v="73.45"/>
    <n v="73.45"/>
    <n v="-21.941705752881976"/>
    <n v="1629.4756605686605"/>
    <n v="0"/>
    <n v="1"/>
    <n v="0"/>
    <n v="0"/>
    <n v="0"/>
    <n v="0"/>
    <n v="0"/>
    <n v="0"/>
    <n v="0"/>
    <n v="0"/>
  </r>
  <r>
    <d v="2026-06-24T00:00:00"/>
    <n v="2026"/>
    <x v="17"/>
    <s v="R"/>
    <s v="RS"/>
    <x v="13"/>
    <s v="CHI"/>
    <s v="A"/>
    <n v="6"/>
    <n v="1"/>
    <n v="5"/>
    <n v="-5"/>
    <n v="16"/>
    <n v="-16"/>
    <n v="1451.9490750521186"/>
    <n v="1339.1051136111464"/>
    <n v="0.58667723116410775"/>
    <n v="78"/>
    <n v="101"/>
    <n v="0"/>
    <n v="-23"/>
    <n v="0"/>
    <n v="0.56244713367447829"/>
    <n v="1"/>
    <n v="73.3"/>
    <n v="73.3"/>
    <n v="-24.187162153522312"/>
    <n v="1427.7619128985962"/>
    <n v="0"/>
    <n v="1"/>
    <n v="0"/>
    <n v="0"/>
    <n v="0"/>
    <n v="0"/>
    <n v="0"/>
    <n v="0"/>
    <n v="0"/>
    <n v="0"/>
  </r>
  <r>
    <d v="2026-06-24T00:00:00"/>
    <n v="2026"/>
    <x v="16"/>
    <s v="R"/>
    <s v="RS"/>
    <x v="12"/>
    <s v="POR"/>
    <s v="H"/>
    <n v="1"/>
    <n v="6"/>
    <n v="-5"/>
    <n v="5"/>
    <n v="-16"/>
    <n v="16"/>
    <n v="1339.1051136111464"/>
    <n v="1451.9490750521186"/>
    <n v="0.41332276883589231"/>
    <n v="101"/>
    <n v="78"/>
    <n v="0"/>
    <n v="23"/>
    <n v="1"/>
    <n v="0.56244713367447829"/>
    <n v="1"/>
    <n v="73.45"/>
    <n v="73.45"/>
    <n v="24.236658392581369"/>
    <n v="1363.3417720037278"/>
    <n v="1"/>
    <n v="0"/>
    <n v="0"/>
    <n v="0"/>
    <n v="0"/>
    <n v="0"/>
    <n v="0"/>
    <n v="0"/>
    <n v="0"/>
    <n v="0"/>
  </r>
  <r>
    <d v="2026-06-24T00:00:00"/>
    <n v="2026"/>
    <x v="16"/>
    <s v="R"/>
    <s v="RS"/>
    <x v="10"/>
    <s v="GSV"/>
    <s v="A"/>
    <n v="1"/>
    <n v="2"/>
    <n v="-1"/>
    <n v="1"/>
    <n v="-8"/>
    <n v="8"/>
    <n v="1633.510984775796"/>
    <n v="1557.1190486516516"/>
    <n v="0.46607745723359095"/>
    <n v="66"/>
    <n v="77"/>
    <n v="0"/>
    <n v="-11"/>
    <n v="0"/>
    <n v="0.41351182922063096"/>
    <n v="1"/>
    <n v="73.45"/>
    <n v="73.45"/>
    <n v="-14.155911402493492"/>
    <n v="1619.3550733733025"/>
    <n v="0"/>
    <n v="1"/>
    <n v="0"/>
    <n v="0"/>
    <n v="0"/>
    <n v="0"/>
    <n v="0"/>
    <n v="0"/>
    <n v="0"/>
    <n v="0"/>
  </r>
  <r>
    <d v="2026-06-24T00:00:00"/>
    <n v="2026"/>
    <x v="17"/>
    <s v="R"/>
    <s v="RS"/>
    <x v="2"/>
    <s v="ATL"/>
    <s v="H"/>
    <n v="2"/>
    <n v="1"/>
    <n v="1"/>
    <n v="-1"/>
    <n v="8"/>
    <n v="-8"/>
    <n v="1557.1190486516516"/>
    <n v="1633.510984775796"/>
    <n v="0.53392254276640905"/>
    <n v="77"/>
    <n v="66"/>
    <n v="0"/>
    <n v="11"/>
    <n v="1"/>
    <n v="0.41351182922063096"/>
    <n v="1"/>
    <n v="73.3"/>
    <n v="73.3"/>
    <n v="14.127002121208617"/>
    <n v="1571.2460507728601"/>
    <n v="1"/>
    <n v="0"/>
    <n v="0"/>
    <n v="0"/>
    <n v="0"/>
    <n v="0"/>
    <n v="0"/>
    <n v="0"/>
    <n v="0"/>
    <n v="0"/>
  </r>
  <r>
    <d v="2026-06-24T00:00:00"/>
    <n v="2026"/>
    <x v="18"/>
    <s v="R"/>
    <s v="RS"/>
    <x v="8"/>
    <s v="IND"/>
    <s v="A"/>
    <n v="1"/>
    <n v="1"/>
    <n v="0"/>
    <n v="0"/>
    <n v="0"/>
    <n v="0"/>
    <n v="1446.2930167502889"/>
    <n v="1550.6832939484702"/>
    <n v="0.25266262734314715"/>
    <n v="111"/>
    <n v="109"/>
    <n v="0"/>
    <n v="2"/>
    <n v="1"/>
    <n v="0.2464059956518449"/>
    <n v="1"/>
    <n v="73.150000000000006"/>
    <n v="73.150000000000006"/>
    <n v="13.470456147415836"/>
    <n v="1459.7634728977048"/>
    <n v="1"/>
    <n v="0"/>
    <n v="0"/>
    <n v="0"/>
    <n v="0"/>
    <n v="0"/>
    <n v="0"/>
    <n v="0"/>
    <n v="0"/>
    <n v="0"/>
  </r>
  <r>
    <d v="2026-06-24T00:00:00"/>
    <n v="2026"/>
    <x v="17"/>
    <s v="R"/>
    <s v="RS"/>
    <x v="7"/>
    <s v="PHX"/>
    <s v="H"/>
    <n v="1"/>
    <n v="1"/>
    <n v="0"/>
    <n v="0"/>
    <n v="0"/>
    <n v="0"/>
    <n v="1550.6832939484702"/>
    <n v="1446.2930167502889"/>
    <n v="0.74733737265685274"/>
    <n v="109"/>
    <n v="111"/>
    <n v="0"/>
    <n v="-2"/>
    <n v="0"/>
    <n v="0.2464059956518449"/>
    <n v="1"/>
    <n v="73.3"/>
    <n v="73.3"/>
    <n v="-13.498078408825435"/>
    <n v="1537.1852155396448"/>
    <n v="0"/>
    <n v="1"/>
    <n v="0"/>
    <n v="0"/>
    <n v="0"/>
    <n v="0"/>
    <n v="0"/>
    <n v="0"/>
    <n v="0"/>
    <n v="0"/>
  </r>
  <r>
    <d v="2026-06-24T00:00:00"/>
    <n v="2026"/>
    <x v="17"/>
    <s v="R"/>
    <s v="RS"/>
    <x v="11"/>
    <s v="WAS"/>
    <s v="A"/>
    <n v="2"/>
    <n v="2"/>
    <n v="0"/>
    <n v="0"/>
    <n v="0"/>
    <n v="0"/>
    <n v="1667.7000078328986"/>
    <n v="1464.2809348913402"/>
    <n v="0.6653952950737646"/>
    <n v="78"/>
    <n v="76"/>
    <n v="0"/>
    <n v="2"/>
    <n v="1"/>
    <n v="0.22901896601556879"/>
    <n v="1"/>
    <n v="73.3"/>
    <n v="73.3"/>
    <n v="5.6170393659328628"/>
    <n v="1673.3170471988315"/>
    <n v="1"/>
    <n v="0"/>
    <n v="0"/>
    <n v="0"/>
    <n v="0"/>
    <n v="0"/>
    <n v="0"/>
    <n v="0"/>
    <n v="0"/>
    <n v="0"/>
  </r>
  <r>
    <d v="2026-06-24T00:00:00"/>
    <n v="2026"/>
    <x v="15"/>
    <s v="R"/>
    <s v="RS"/>
    <x v="4"/>
    <s v="MIN"/>
    <s v="H"/>
    <n v="2"/>
    <n v="2"/>
    <n v="0"/>
    <n v="0"/>
    <n v="0"/>
    <n v="0"/>
    <n v="1464.2809348913402"/>
    <n v="1667.7000078328986"/>
    <n v="0.33460470492623545"/>
    <n v="76"/>
    <n v="78"/>
    <n v="0"/>
    <n v="-2"/>
    <n v="0"/>
    <n v="0.22901896601556879"/>
    <n v="1"/>
    <n v="73.599999999999994"/>
    <n v="73.599999999999994"/>
    <n v="-5.6400286129967085"/>
    <n v="1458.6409062783434"/>
    <n v="0"/>
    <n v="1"/>
    <n v="0"/>
    <n v="0"/>
    <n v="0"/>
    <n v="0"/>
    <n v="0"/>
    <n v="0"/>
    <n v="0"/>
    <n v="0"/>
  </r>
  <r>
    <d v="2026-06-25T00:00:00"/>
    <n v="2026"/>
    <x v="17"/>
    <s v="R"/>
    <s v="RS"/>
    <x v="6"/>
    <s v="LVA"/>
    <s v="A"/>
    <n v="2"/>
    <n v="1"/>
    <n v="1"/>
    <n v="-1"/>
    <n v="8"/>
    <n v="-8"/>
    <n v="1529.4543008823323"/>
    <n v="1629.4756605686605"/>
    <n v="0.27543721791201869"/>
    <n v="84"/>
    <n v="99"/>
    <n v="0"/>
    <n v="-15"/>
    <n v="0"/>
    <n v="0.46415978411317027"/>
    <n v="1"/>
    <n v="73.3"/>
    <n v="73.3"/>
    <n v="-9.3711762748833944"/>
    <n v="1520.083124607449"/>
    <n v="0"/>
    <n v="1"/>
    <n v="0"/>
    <n v="0"/>
    <n v="0"/>
    <n v="0"/>
    <n v="0"/>
    <n v="0"/>
    <n v="0"/>
    <n v="0"/>
  </r>
  <r>
    <d v="2026-06-25T00:00:00"/>
    <n v="2026"/>
    <x v="17"/>
    <s v="R"/>
    <s v="RS"/>
    <x v="9"/>
    <s v="DAL"/>
    <s v="H"/>
    <n v="1"/>
    <n v="2"/>
    <n v="-1"/>
    <n v="1"/>
    <n v="-8"/>
    <n v="8"/>
    <n v="1629.4756605686605"/>
    <n v="1529.4543008823323"/>
    <n v="0.72456278208798131"/>
    <n v="99"/>
    <n v="84"/>
    <n v="0"/>
    <n v="15"/>
    <n v="1"/>
    <n v="0.46415978411317027"/>
    <n v="1"/>
    <n v="73.3"/>
    <n v="73.3"/>
    <n v="9.3711762748833944"/>
    <n v="1638.8468368435438"/>
    <n v="1"/>
    <n v="0"/>
    <n v="0"/>
    <n v="0"/>
    <n v="0"/>
    <n v="0"/>
    <n v="0"/>
    <n v="0"/>
    <n v="0"/>
    <n v="0"/>
  </r>
  <r>
    <d v="2026-06-25T00:00:00"/>
    <n v="2026"/>
    <x v="18"/>
    <s v="R"/>
    <s v="RS"/>
    <x v="1"/>
    <s v="SEA"/>
    <s v="A"/>
    <n v="1"/>
    <n v="2"/>
    <n v="-1"/>
    <n v="1"/>
    <n v="-8"/>
    <n v="8"/>
    <n v="1585.5216417009435"/>
    <n v="1362.0248562968959"/>
    <n v="0.67060102196658145"/>
    <n v="88"/>
    <n v="99"/>
    <n v="0"/>
    <n v="-11"/>
    <n v="0"/>
    <n v="0.37077931592191488"/>
    <n v="1"/>
    <n v="73.150000000000006"/>
    <n v="73.150000000000006"/>
    <n v="-18.188380885462539"/>
    <n v="1567.333260815481"/>
    <n v="0"/>
    <n v="1"/>
    <n v="0"/>
    <n v="0"/>
    <n v="0"/>
    <n v="0"/>
    <n v="0"/>
    <n v="0"/>
    <n v="0"/>
    <n v="0"/>
  </r>
  <r>
    <d v="2026-06-25T00:00:00"/>
    <n v="2026"/>
    <x v="18"/>
    <s v="R"/>
    <s v="RS"/>
    <x v="3"/>
    <s v="NYL"/>
    <s v="H"/>
    <n v="2"/>
    <n v="1"/>
    <n v="1"/>
    <n v="-1"/>
    <n v="8"/>
    <n v="-8"/>
    <n v="1362.0248562968959"/>
    <n v="1585.5216417009435"/>
    <n v="0.3293989780334185"/>
    <n v="99"/>
    <n v="88"/>
    <n v="0"/>
    <n v="11"/>
    <n v="1"/>
    <n v="0.37077931592191488"/>
    <n v="1"/>
    <n v="73.150000000000006"/>
    <n v="73.150000000000006"/>
    <n v="18.188380885462539"/>
    <n v="1380.2132371823584"/>
    <n v="1"/>
    <n v="0"/>
    <n v="0"/>
    <n v="0"/>
    <n v="0"/>
    <n v="0"/>
    <n v="0"/>
    <n v="0"/>
    <n v="0"/>
    <n v="0"/>
  </r>
  <r>
    <d v="2026-06-25T00:00:00"/>
    <n v="2026"/>
    <x v="16"/>
    <s v="R"/>
    <s v="RS"/>
    <x v="14"/>
    <s v="TOR"/>
    <s v="A"/>
    <n v="3"/>
    <n v="2"/>
    <n v="1"/>
    <n v="-1"/>
    <n v="8"/>
    <n v="-8"/>
    <n v="1474.917229856231"/>
    <n v="1472.1433682581724"/>
    <n v="0.40721949799738094"/>
    <n v="97"/>
    <n v="125"/>
    <n v="0"/>
    <n v="-28"/>
    <n v="0"/>
    <n v="0.67752352965382912"/>
    <n v="1"/>
    <n v="73.45"/>
    <n v="73.45"/>
    <n v="-20.264913145006524"/>
    <n v="1454.6523167112243"/>
    <n v="0"/>
    <n v="1"/>
    <n v="0"/>
    <n v="0"/>
    <n v="0"/>
    <n v="0"/>
    <n v="0"/>
    <n v="0"/>
    <n v="0"/>
    <n v="0"/>
  </r>
  <r>
    <d v="2026-06-25T00:00:00"/>
    <n v="2026"/>
    <x v="17"/>
    <s v="R"/>
    <s v="RS"/>
    <x v="5"/>
    <s v="LAS"/>
    <s v="H"/>
    <n v="2"/>
    <n v="3"/>
    <n v="-1"/>
    <n v="1"/>
    <n v="-8"/>
    <n v="8"/>
    <n v="1472.1433682581724"/>
    <n v="1474.917229856231"/>
    <n v="0.59278050200261911"/>
    <n v="125"/>
    <n v="97"/>
    <n v="0"/>
    <n v="28"/>
    <n v="1"/>
    <n v="0.67752352965382912"/>
    <n v="1"/>
    <n v="73.3"/>
    <n v="73.3"/>
    <n v="20.223528026262464"/>
    <n v="1492.3668962844349"/>
    <n v="1"/>
    <n v="0"/>
    <n v="0"/>
    <n v="0"/>
    <n v="0"/>
    <n v="0"/>
    <n v="0"/>
    <n v="0"/>
    <n v="0"/>
    <n v="0"/>
  </r>
  <r>
    <d v="2026-06-26T00:00:00"/>
    <n v="2026"/>
    <x v="18"/>
    <s v="R"/>
    <s v="RS"/>
    <x v="13"/>
    <s v="CHI"/>
    <s v="A"/>
    <n v="1"/>
    <n v="1"/>
    <n v="0"/>
    <n v="0"/>
    <n v="0"/>
    <n v="0"/>
    <n v="1427.7619128985962"/>
    <n v="1363.3417720037278"/>
    <n v="0.47185210993037086"/>
    <n v="94"/>
    <n v="124"/>
    <n v="0"/>
    <n v="-30"/>
    <n v="0"/>
    <n v="0.66765087349236052"/>
    <n v="1"/>
    <n v="73.150000000000006"/>
    <n v="73.150000000000006"/>
    <n v="-23.044625425861593"/>
    <n v="1404.7172874727346"/>
    <n v="0"/>
    <n v="1"/>
    <n v="0"/>
    <n v="0"/>
    <n v="0"/>
    <n v="0"/>
    <n v="0"/>
    <n v="0"/>
    <n v="0"/>
    <n v="0"/>
  </r>
  <r>
    <d v="2026-06-26T00:00:00"/>
    <n v="2026"/>
    <x v="17"/>
    <s v="R"/>
    <s v="RS"/>
    <x v="12"/>
    <s v="POR"/>
    <s v="H"/>
    <n v="1"/>
    <n v="1"/>
    <n v="0"/>
    <n v="0"/>
    <n v="0"/>
    <n v="0"/>
    <n v="1363.3417720037278"/>
    <n v="1427.7619128985962"/>
    <n v="0.52814789006962903"/>
    <n v="124"/>
    <n v="94"/>
    <n v="0"/>
    <n v="30"/>
    <n v="1"/>
    <n v="0.66765087349236052"/>
    <n v="1"/>
    <n v="73.3"/>
    <n v="73.3"/>
    <n v="23.091880296864726"/>
    <n v="1386.4336523005925"/>
    <n v="1"/>
    <n v="0"/>
    <n v="0"/>
    <n v="0"/>
    <n v="0"/>
    <n v="0"/>
    <n v="0"/>
    <n v="0"/>
    <n v="0"/>
    <n v="0"/>
  </r>
  <r>
    <d v="2026-06-26T00:00:00"/>
    <n v="2026"/>
    <x v="16"/>
    <s v="R"/>
    <s v="RS"/>
    <x v="4"/>
    <s v="CON"/>
    <s v="A"/>
    <n v="1"/>
    <n v="3"/>
    <n v="-2"/>
    <n v="2"/>
    <n v="-16"/>
    <n v="16"/>
    <n v="1458.6409062783434"/>
    <n v="1336.1989008458129"/>
    <n v="0.50926972879220866"/>
    <n v="57"/>
    <n v="68"/>
    <n v="0"/>
    <n v="-11"/>
    <n v="0"/>
    <n v="0.3991125222436725"/>
    <n v="1"/>
    <n v="73.45"/>
    <n v="73.45"/>
    <n v="-14.929147761806764"/>
    <n v="1443.7117585165367"/>
    <n v="0"/>
    <n v="1"/>
    <n v="0"/>
    <n v="0"/>
    <n v="0"/>
    <n v="0"/>
    <n v="0"/>
    <n v="0"/>
    <n v="0"/>
    <n v="0"/>
  </r>
  <r>
    <d v="2026-06-26T00:00:00"/>
    <n v="2026"/>
    <x v="18"/>
    <s v="R"/>
    <s v="RS"/>
    <x v="0"/>
    <s v="WAS"/>
    <s v="H"/>
    <n v="3"/>
    <n v="1"/>
    <n v="2"/>
    <n v="-2"/>
    <n v="16"/>
    <n v="-16"/>
    <n v="1336.1989008458129"/>
    <n v="1458.6409062783434"/>
    <n v="0.49073027120779128"/>
    <n v="68"/>
    <n v="57"/>
    <n v="0"/>
    <n v="11"/>
    <n v="1"/>
    <n v="0.3991125222436725"/>
    <n v="1"/>
    <n v="73.150000000000006"/>
    <n v="73.150000000000006"/>
    <n v="14.868170984018585"/>
    <n v="1351.0670718298315"/>
    <n v="1"/>
    <n v="0"/>
    <n v="0"/>
    <n v="0"/>
    <n v="0"/>
    <n v="0"/>
    <n v="0"/>
    <n v="0"/>
    <n v="0"/>
    <n v="0"/>
  </r>
  <r>
    <d v="2026-06-26T00:00:00"/>
    <n v="2026"/>
    <x v="17"/>
    <s v="R"/>
    <s v="RS"/>
    <x v="10"/>
    <s v="GSV"/>
    <s v="A"/>
    <n v="1"/>
    <n v="1"/>
    <n v="0"/>
    <n v="0"/>
    <n v="0"/>
    <n v="0"/>
    <n v="1619.3550733733025"/>
    <n v="1571.2460507728601"/>
    <n v="0.44853168134026195"/>
    <n v="75"/>
    <n v="78"/>
    <n v="0"/>
    <n v="-3"/>
    <n v="0"/>
    <n v="0.27899824375352306"/>
    <n v="1"/>
    <n v="73.3"/>
    <n v="73.3"/>
    <n v="-9.1727291148161232"/>
    <n v="1610.1823442584864"/>
    <n v="0"/>
    <n v="1"/>
    <n v="0"/>
    <n v="0"/>
    <n v="0"/>
    <n v="0"/>
    <n v="0"/>
    <n v="0"/>
    <n v="0"/>
    <n v="0"/>
  </r>
  <r>
    <d v="2026-06-26T00:00:00"/>
    <n v="2026"/>
    <x v="18"/>
    <s v="R"/>
    <s v="RS"/>
    <x v="2"/>
    <s v="ATL"/>
    <s v="H"/>
    <n v="1"/>
    <n v="1"/>
    <n v="0"/>
    <n v="0"/>
    <n v="0"/>
    <n v="0"/>
    <n v="1571.2460507728601"/>
    <n v="1619.3550733733025"/>
    <n v="0.55146831865973811"/>
    <n v="78"/>
    <n v="75"/>
    <n v="0"/>
    <n v="3"/>
    <n v="1"/>
    <n v="0.27899824375352306"/>
    <n v="1"/>
    <n v="73.150000000000006"/>
    <n v="73.150000000000006"/>
    <n v="9.1539581821118592"/>
    <n v="1580.400008954972"/>
    <n v="1"/>
    <n v="0"/>
    <n v="0"/>
    <n v="0"/>
    <n v="0"/>
    <n v="0"/>
    <n v="0"/>
    <n v="0"/>
    <n v="0"/>
    <n v="0"/>
  </r>
  <r>
    <d v="2026-06-27T00:00:00"/>
    <n v="2026"/>
    <x v="17"/>
    <s v="R"/>
    <s v="RS"/>
    <x v="14"/>
    <s v="IND"/>
    <s v="A"/>
    <n v="1"/>
    <n v="2"/>
    <n v="-1"/>
    <n v="1"/>
    <n v="-8"/>
    <n v="8"/>
    <n v="1454.6523167112243"/>
    <n v="1537.1852155396448"/>
    <n v="0.25908229070930999"/>
    <n v="87"/>
    <n v="111"/>
    <n v="0"/>
    <n v="-24"/>
    <n v="0"/>
    <n v="0.5879904663861969"/>
    <n v="1"/>
    <n v="73.3"/>
    <n v="73.3"/>
    <n v="-11.166369312183686"/>
    <n v="1443.4859473990407"/>
    <n v="0"/>
    <n v="1"/>
    <n v="0"/>
    <n v="0"/>
    <n v="0"/>
    <n v="0"/>
    <n v="0"/>
    <n v="0"/>
    <n v="0"/>
    <n v="0"/>
  </r>
  <r>
    <d v="2026-06-27T00:00:00"/>
    <n v="2026"/>
    <x v="18"/>
    <s v="R"/>
    <s v="RS"/>
    <x v="7"/>
    <s v="LAS"/>
    <s v="H"/>
    <n v="2"/>
    <n v="1"/>
    <n v="1"/>
    <n v="-1"/>
    <n v="8"/>
    <n v="-8"/>
    <n v="1537.1852155396448"/>
    <n v="1454.6523167112243"/>
    <n v="0.74091770929069001"/>
    <n v="111"/>
    <n v="87"/>
    <n v="0"/>
    <n v="24"/>
    <n v="1"/>
    <n v="0.5879904663861969"/>
    <n v="1"/>
    <n v="73.150000000000006"/>
    <n v="73.150000000000006"/>
    <n v="11.143518624641702"/>
    <n v="1548.3287341642865"/>
    <n v="1"/>
    <n v="0"/>
    <n v="0"/>
    <n v="0"/>
    <n v="0"/>
    <n v="0"/>
    <n v="0"/>
    <n v="0"/>
    <n v="0"/>
    <n v="0"/>
  </r>
  <r>
    <d v="2026-06-27T00:00:00"/>
    <n v="2026"/>
    <x v="18"/>
    <s v="R"/>
    <s v="RS"/>
    <x v="10"/>
    <s v="SEA"/>
    <s v="A"/>
    <n v="0"/>
    <n v="1"/>
    <n v="-1"/>
    <n v="1"/>
    <n v="-8"/>
    <n v="8"/>
    <n v="1610.1823442584864"/>
    <n v="1380.2132371823584"/>
    <n v="0.67877814639894551"/>
    <n v="90"/>
    <n v="105"/>
    <n v="0"/>
    <n v="-15"/>
    <n v="0"/>
    <n v="0.4219794893949354"/>
    <n v="1"/>
    <n v="73.150000000000006"/>
    <n v="73.150000000000006"/>
    <n v="-20.952387829324827"/>
    <n v="1589.2299564291616"/>
    <n v="0"/>
    <n v="1"/>
    <n v="0"/>
    <n v="0"/>
    <n v="0"/>
    <n v="0"/>
    <n v="0"/>
    <n v="0"/>
    <n v="0"/>
    <n v="0"/>
  </r>
  <r>
    <d v="2026-06-27T00:00:00"/>
    <n v="2026"/>
    <x v="19"/>
    <s v="R"/>
    <s v="RS"/>
    <x v="3"/>
    <s v="ATL"/>
    <s v="H"/>
    <n v="1"/>
    <n v="0"/>
    <n v="1"/>
    <n v="-1"/>
    <n v="8"/>
    <n v="-8"/>
    <n v="1380.2132371823584"/>
    <n v="1610.1823442584864"/>
    <n v="0.32122185360105449"/>
    <n v="105"/>
    <n v="90"/>
    <n v="0"/>
    <n v="15"/>
    <n v="1"/>
    <n v="0.4219794893949354"/>
    <n v="1"/>
    <n v="73"/>
    <n v="73"/>
    <n v="20.909423260980347"/>
    <n v="1401.1226604433386"/>
    <n v="1"/>
    <n v="0"/>
    <n v="0"/>
    <n v="0"/>
    <n v="0"/>
    <n v="0"/>
    <n v="0"/>
    <n v="0"/>
    <n v="0"/>
    <n v="0"/>
  </r>
  <r>
    <d v="2026-06-27T00:00:00"/>
    <n v="2026"/>
    <x v="19"/>
    <s v="R"/>
    <s v="RS"/>
    <x v="8"/>
    <s v="TOR"/>
    <s v="A"/>
    <n v="2"/>
    <n v="1"/>
    <n v="1"/>
    <n v="-1"/>
    <n v="8"/>
    <n v="-8"/>
    <n v="1459.7634728977048"/>
    <n v="1492.3668962844349"/>
    <n v="0.35913513958097587"/>
    <n v="89"/>
    <n v="80"/>
    <n v="0"/>
    <n v="9"/>
    <n v="1"/>
    <n v="0.39523323019673523"/>
    <n v="1"/>
    <n v="73"/>
    <n v="73"/>
    <n v="18.490249489918327"/>
    <n v="1478.2537223876232"/>
    <n v="1"/>
    <n v="0"/>
    <n v="0"/>
    <n v="0"/>
    <n v="0"/>
    <n v="0"/>
    <n v="0"/>
    <n v="0"/>
    <n v="0"/>
    <n v="0"/>
  </r>
  <r>
    <d v="2026-06-27T00:00:00"/>
    <n v="2026"/>
    <x v="18"/>
    <s v="R"/>
    <s v="RS"/>
    <x v="5"/>
    <s v="PHX"/>
    <s v="H"/>
    <n v="1"/>
    <n v="2"/>
    <n v="-1"/>
    <n v="1"/>
    <n v="-8"/>
    <n v="8"/>
    <n v="1492.3668962844349"/>
    <n v="1459.7634728977048"/>
    <n v="0.64086486041902413"/>
    <n v="80"/>
    <n v="89"/>
    <n v="0"/>
    <n v="-9"/>
    <n v="0"/>
    <n v="0.39523323019673523"/>
    <n v="1"/>
    <n v="73.150000000000006"/>
    <n v="73.150000000000006"/>
    <n v="-18.528243153253776"/>
    <n v="1473.8386531311812"/>
    <n v="0"/>
    <n v="1"/>
    <n v="0"/>
    <n v="0"/>
    <n v="0"/>
    <n v="0"/>
    <n v="0"/>
    <n v="0"/>
    <n v="0"/>
    <n v="0"/>
  </r>
  <r>
    <d v="2026-06-28T00:00:00"/>
    <n v="2026"/>
    <x v="18"/>
    <s v="R"/>
    <s v="RS"/>
    <x v="9"/>
    <s v="CHI"/>
    <s v="A"/>
    <n v="2"/>
    <n v="1"/>
    <n v="1"/>
    <n v="-1"/>
    <n v="8"/>
    <n v="-8"/>
    <n v="1638.8468368435438"/>
    <n v="1386.4336523005925"/>
    <n v="0.74299000633352397"/>
    <n v="107"/>
    <n v="99"/>
    <n v="0"/>
    <n v="8"/>
    <n v="1"/>
    <n v="0.3208306334331727"/>
    <n v="1"/>
    <n v="73.150000000000006"/>
    <n v="73.150000000000006"/>
    <n v="6.0317060737269994"/>
    <n v="1644.8785429172708"/>
    <n v="1"/>
    <n v="0"/>
    <n v="0"/>
    <n v="0"/>
    <n v="0"/>
    <n v="0"/>
    <n v="0"/>
    <n v="0"/>
    <n v="0"/>
    <n v="0"/>
  </r>
  <r>
    <d v="2026-06-28T00:00:00"/>
    <n v="2026"/>
    <x v="18"/>
    <s v="R"/>
    <s v="RS"/>
    <x v="12"/>
    <s v="LVA"/>
    <s v="H"/>
    <n v="1"/>
    <n v="2"/>
    <n v="-1"/>
    <n v="1"/>
    <n v="-8"/>
    <n v="8"/>
    <n v="1386.4336523005925"/>
    <n v="1638.8468368435438"/>
    <n v="0.25700999366647603"/>
    <n v="99"/>
    <n v="107"/>
    <n v="0"/>
    <n v="-8"/>
    <n v="0"/>
    <n v="0.3208306334331727"/>
    <n v="1"/>
    <n v="73.150000000000006"/>
    <n v="73.150000000000006"/>
    <n v="-6.0317060737269994"/>
    <n v="1380.4019462268654"/>
    <n v="0"/>
    <n v="1"/>
    <n v="0"/>
    <n v="0"/>
    <n v="0"/>
    <n v="0"/>
    <n v="0"/>
    <n v="0"/>
    <n v="0"/>
    <n v="0"/>
  </r>
  <r>
    <d v="2026-06-28T00:00:00"/>
    <n v="2026"/>
    <x v="18"/>
    <s v="R"/>
    <s v="RS"/>
    <x v="11"/>
    <s v="DAL"/>
    <s v="A"/>
    <n v="3"/>
    <n v="2"/>
    <n v="1"/>
    <n v="-1"/>
    <n v="8"/>
    <n v="-8"/>
    <n v="1673.3170471988315"/>
    <n v="1520.083124607449"/>
    <n v="0.62025857781931948"/>
    <n v="85"/>
    <n v="77"/>
    <n v="0"/>
    <n v="8"/>
    <n v="1"/>
    <n v="0.34434448784085925"/>
    <n v="1"/>
    <n v="73.150000000000006"/>
    <n v="73.150000000000006"/>
    <n v="9.5652304637218286"/>
    <n v="1682.8822776625532"/>
    <n v="1"/>
    <n v="0"/>
    <n v="0"/>
    <n v="0"/>
    <n v="0"/>
    <n v="0"/>
    <n v="0"/>
    <n v="0"/>
    <n v="0"/>
    <n v="0"/>
  </r>
  <r>
    <d v="2026-06-28T00:00:00"/>
    <n v="2026"/>
    <x v="18"/>
    <s v="R"/>
    <s v="RS"/>
    <x v="6"/>
    <s v="MIN"/>
    <s v="H"/>
    <n v="2"/>
    <n v="3"/>
    <n v="-1"/>
    <n v="1"/>
    <n v="-8"/>
    <n v="8"/>
    <n v="1520.083124607449"/>
    <n v="1673.3170471988315"/>
    <n v="0.37974142218068052"/>
    <n v="77"/>
    <n v="85"/>
    <n v="0"/>
    <n v="-8"/>
    <n v="0"/>
    <n v="0.34434448784085925"/>
    <n v="1"/>
    <n v="73.150000000000006"/>
    <n v="73.150000000000006"/>
    <n v="-9.5652304637218286"/>
    <n v="1510.5178941437273"/>
    <n v="0"/>
    <n v="1"/>
    <n v="0"/>
    <n v="0"/>
    <n v="0"/>
    <n v="0"/>
    <n v="0"/>
    <n v="0"/>
    <n v="0"/>
    <n v="0"/>
  </r>
  <r>
    <d v="2026-06-28T00:00:00"/>
    <n v="2026"/>
    <x v="19"/>
    <s v="R"/>
    <s v="RS"/>
    <x v="1"/>
    <s v="GSV"/>
    <s v="A"/>
    <n v="2"/>
    <n v="1"/>
    <n v="1"/>
    <n v="-1"/>
    <n v="8"/>
    <n v="-8"/>
    <n v="1567.333260815481"/>
    <n v="1580.400008954972"/>
    <n v="0.38540762221527419"/>
    <n v="67"/>
    <n v="76"/>
    <n v="0"/>
    <n v="-9"/>
    <n v="0"/>
    <n v="0.40159853802263484"/>
    <n v="1"/>
    <n v="73"/>
    <n v="73"/>
    <n v="-11.298877046583687"/>
    <n v="1556.0343837688974"/>
    <n v="0"/>
    <n v="1"/>
    <n v="0"/>
    <n v="0"/>
    <n v="0"/>
    <n v="0"/>
    <n v="0"/>
    <n v="0"/>
    <n v="0"/>
    <n v="0"/>
  </r>
  <r>
    <d v="2026-06-28T00:00:00"/>
    <n v="2026"/>
    <x v="19"/>
    <s v="R"/>
    <s v="RS"/>
    <x v="2"/>
    <s v="NYL"/>
    <s v="H"/>
    <n v="1"/>
    <n v="2"/>
    <n v="-1"/>
    <n v="1"/>
    <n v="-8"/>
    <n v="8"/>
    <n v="1580.400008954972"/>
    <n v="1567.333260815481"/>
    <n v="0.61459237778472575"/>
    <n v="76"/>
    <n v="67"/>
    <n v="0"/>
    <n v="9"/>
    <n v="1"/>
    <n v="0.40159853802263484"/>
    <n v="1"/>
    <n v="73"/>
    <n v="73"/>
    <n v="11.298877046583689"/>
    <n v="1591.6988860015556"/>
    <n v="1"/>
    <n v="0"/>
    <n v="0"/>
    <n v="0"/>
    <n v="0"/>
    <n v="0"/>
    <n v="0"/>
    <n v="0"/>
    <n v="0"/>
    <n v="0"/>
  </r>
  <r>
    <d v="2026-06-28T00:00:00"/>
    <n v="2026"/>
    <x v="19"/>
    <s v="R"/>
    <s v="RS"/>
    <x v="13"/>
    <s v="WAS"/>
    <s v="A"/>
    <n v="1"/>
    <n v="1"/>
    <n v="0"/>
    <n v="0"/>
    <n v="0"/>
    <n v="0"/>
    <n v="1404.7172874727346"/>
    <n v="1443.7117585165367"/>
    <n v="0.33003802347048383"/>
    <n v="123"/>
    <n v="124"/>
    <n v="1"/>
    <n v="-1"/>
    <n v="0"/>
    <n v="0.21284521505600315"/>
    <n v="1"/>
    <n v="73"/>
    <n v="73"/>
    <n v="-5.1280320280030347"/>
    <n v="1399.5892554447316"/>
    <n v="0"/>
    <n v="1"/>
    <n v="0"/>
    <n v="0"/>
    <n v="0"/>
    <n v="0"/>
    <n v="0"/>
    <n v="0"/>
    <n v="0"/>
    <n v="0"/>
  </r>
  <r>
    <d v="2026-06-28T00:00:00"/>
    <n v="2026"/>
    <x v="17"/>
    <s v="R"/>
    <s v="RS"/>
    <x v="4"/>
    <s v="POR"/>
    <s v="H"/>
    <n v="1"/>
    <n v="1"/>
    <n v="0"/>
    <n v="0"/>
    <n v="0"/>
    <n v="0"/>
    <n v="1443.7117585165367"/>
    <n v="1404.7172874727346"/>
    <n v="0.66996197652951617"/>
    <n v="124"/>
    <n v="123"/>
    <n v="1"/>
    <n v="1"/>
    <n v="1"/>
    <n v="0.21284521505600315"/>
    <n v="1"/>
    <n v="73.3"/>
    <n v="73.3"/>
    <n v="5.1491061322277041"/>
    <n v="1448.8608646487644"/>
    <n v="1"/>
    <n v="0"/>
    <n v="0"/>
    <n v="0"/>
    <n v="0"/>
    <n v="0"/>
    <n v="0"/>
    <n v="0"/>
    <n v="0"/>
    <n v="0"/>
  </r>
  <r>
    <d v="2026-07-02T00:00:00"/>
    <n v="2026"/>
    <x v="19"/>
    <s v="R"/>
    <s v="RS"/>
    <x v="6"/>
    <s v="CON"/>
    <s v="A"/>
    <n v="3"/>
    <n v="5"/>
    <n v="-2"/>
    <n v="2"/>
    <n v="-16"/>
    <n v="16"/>
    <n v="1510.5178941437273"/>
    <n v="1351.0670718298315"/>
    <n v="0.5622067848305955"/>
    <n v="86"/>
    <n v="83"/>
    <n v="0"/>
    <n v="3"/>
    <n v="1"/>
    <n v="0.2561477175950731"/>
    <n v="1"/>
    <n v="73"/>
    <n v="73"/>
    <n v="8.1862004976303737"/>
    <n v="1518.7040946413576"/>
    <n v="1"/>
    <n v="0"/>
    <n v="0"/>
    <n v="0"/>
    <n v="0"/>
    <n v="0"/>
    <n v="0"/>
    <n v="0"/>
    <n v="0"/>
    <n v="0"/>
  </r>
  <r>
    <d v="2026-07-02T00:00:00"/>
    <n v="2026"/>
    <x v="19"/>
    <s v="R"/>
    <s v="RS"/>
    <x v="0"/>
    <s v="DAL"/>
    <s v="H"/>
    <n v="5"/>
    <n v="3"/>
    <n v="2"/>
    <n v="-2"/>
    <n v="16"/>
    <n v="-16"/>
    <n v="1351.0670718298315"/>
    <n v="1510.5178941437273"/>
    <n v="0.43779321516940445"/>
    <n v="83"/>
    <n v="86"/>
    <n v="0"/>
    <n v="-3"/>
    <n v="0"/>
    <n v="0.2561477175950731"/>
    <n v="1"/>
    <n v="73"/>
    <n v="73"/>
    <n v="-8.1862004976303719"/>
    <n v="1342.8808713322012"/>
    <n v="0"/>
    <n v="1"/>
    <n v="0"/>
    <n v="0"/>
    <n v="0"/>
    <n v="0"/>
    <n v="0"/>
    <n v="0"/>
    <n v="0"/>
    <n v="0"/>
  </r>
  <r>
    <d v="2026-07-02T00:00:00"/>
    <n v="2026"/>
    <x v="20"/>
    <s v="R"/>
    <s v="RS"/>
    <x v="3"/>
    <s v="PHX"/>
    <s v="A"/>
    <n v="4"/>
    <n v="4"/>
    <n v="0"/>
    <n v="0"/>
    <n v="0"/>
    <n v="0"/>
    <n v="1401.1226604433386"/>
    <n v="1478.2537223876232"/>
    <n v="0.28342305562361547"/>
    <n v="67"/>
    <n v="90"/>
    <n v="0"/>
    <n v="-23"/>
    <n v="0"/>
    <n v="0.57817505585541495"/>
    <n v="1"/>
    <n v="72.849999999999994"/>
    <n v="72.849999999999994"/>
    <n v="-11.937794073008041"/>
    <n v="1389.1848663703306"/>
    <n v="0"/>
    <n v="1"/>
    <n v="0"/>
    <n v="0"/>
    <n v="0"/>
    <n v="0"/>
    <n v="0"/>
    <n v="0"/>
    <n v="0"/>
    <n v="0"/>
  </r>
  <r>
    <d v="2026-07-02T00:00:00"/>
    <n v="2026"/>
    <x v="20"/>
    <s v="R"/>
    <s v="RS"/>
    <x v="8"/>
    <s v="SEA"/>
    <s v="H"/>
    <n v="4"/>
    <n v="4"/>
    <n v="0"/>
    <n v="0"/>
    <n v="0"/>
    <n v="0"/>
    <n v="1478.2537223876232"/>
    <n v="1401.1226604433386"/>
    <n v="0.71657694437638453"/>
    <n v="90"/>
    <n v="67"/>
    <n v="0"/>
    <n v="23"/>
    <n v="1"/>
    <n v="0.57817505585541495"/>
    <n v="1"/>
    <n v="72.849999999999994"/>
    <n v="72.849999999999994"/>
    <n v="11.937794073008041"/>
    <n v="1490.1915164606312"/>
    <n v="1"/>
    <n v="0"/>
    <n v="0"/>
    <n v="0"/>
    <n v="0"/>
    <n v="0"/>
    <n v="0"/>
    <n v="0"/>
    <n v="0"/>
    <n v="0"/>
  </r>
  <r>
    <d v="2026-07-02T00:00:00"/>
    <n v="2026"/>
    <x v="19"/>
    <s v="R"/>
    <s v="RS"/>
    <x v="10"/>
    <s v="WAS"/>
    <s v="A"/>
    <n v="4"/>
    <n v="3"/>
    <n v="1"/>
    <n v="-1"/>
    <n v="8"/>
    <n v="-8"/>
    <n v="1589.2299564291616"/>
    <n v="1448.8608646487644"/>
    <n v="0.6026669747291471"/>
    <n v="76"/>
    <n v="81"/>
    <n v="0"/>
    <n v="-5"/>
    <n v="0"/>
    <n v="0.29701309362833483"/>
    <n v="1"/>
    <n v="73"/>
    <n v="73"/>
    <n v="-13.066998729211143"/>
    <n v="1576.1629576999505"/>
    <n v="0"/>
    <n v="1"/>
    <n v="0"/>
    <n v="0"/>
    <n v="0"/>
    <n v="0"/>
    <n v="0"/>
    <n v="0"/>
    <n v="0"/>
    <n v="0"/>
  </r>
  <r>
    <d v="2026-07-02T00:00:00"/>
    <n v="2026"/>
    <x v="18"/>
    <s v="R"/>
    <s v="RS"/>
    <x v="4"/>
    <s v="ATL"/>
    <s v="H"/>
    <n v="3"/>
    <n v="4"/>
    <n v="-1"/>
    <n v="1"/>
    <n v="-8"/>
    <n v="8"/>
    <n v="1448.8608646487644"/>
    <n v="1589.2299564291616"/>
    <n v="0.39733302527085296"/>
    <n v="81"/>
    <n v="76"/>
    <n v="0"/>
    <n v="5"/>
    <n v="1"/>
    <n v="0.29701309362833483"/>
    <n v="1"/>
    <n v="73.150000000000006"/>
    <n v="73.150000000000006"/>
    <n v="13.093848726599935"/>
    <n v="1461.9547133753642"/>
    <n v="1"/>
    <n v="0"/>
    <n v="0"/>
    <n v="0"/>
    <n v="0"/>
    <n v="0"/>
    <n v="0"/>
    <n v="0"/>
    <n v="0"/>
    <n v="0"/>
  </r>
  <r>
    <d v="2026-07-03T00:00:00"/>
    <n v="2026"/>
    <x v="19"/>
    <s v="R"/>
    <s v="RS"/>
    <x v="12"/>
    <s v="LVA"/>
    <s v="A"/>
    <n v="4"/>
    <n v="4"/>
    <n v="0"/>
    <n v="0"/>
    <n v="0"/>
    <n v="0"/>
    <n v="1380.4019462268654"/>
    <n v="1644.8785429172708"/>
    <n v="0.11857517790725688"/>
    <n v="90"/>
    <n v="98"/>
    <n v="1"/>
    <n v="-8"/>
    <n v="0"/>
    <n v="0.2863690541392136"/>
    <n v="1"/>
    <n v="73"/>
    <n v="73"/>
    <n v="-2.4788070925433798"/>
    <n v="1377.9231391343221"/>
    <n v="0"/>
    <n v="1"/>
    <n v="0"/>
    <n v="0"/>
    <n v="0"/>
    <n v="0"/>
    <n v="0"/>
    <n v="0"/>
    <n v="0"/>
    <n v="0"/>
  </r>
  <r>
    <d v="2026-07-03T00:00:00"/>
    <n v="2026"/>
    <x v="19"/>
    <s v="R"/>
    <s v="RS"/>
    <x v="9"/>
    <s v="CHI"/>
    <s v="H"/>
    <n v="4"/>
    <n v="4"/>
    <n v="0"/>
    <n v="0"/>
    <n v="0"/>
    <n v="0"/>
    <n v="1644.8785429172708"/>
    <n v="1380.4019462268654"/>
    <n v="0.88142482209274309"/>
    <n v="98"/>
    <n v="90"/>
    <n v="1"/>
    <n v="8"/>
    <n v="1"/>
    <n v="0.2863690541392136"/>
    <n v="1"/>
    <n v="73"/>
    <n v="73"/>
    <n v="2.4788070925433803"/>
    <n v="1647.3573500098141"/>
    <n v="1"/>
    <n v="0"/>
    <n v="0"/>
    <n v="0"/>
    <n v="0"/>
    <n v="0"/>
    <n v="0"/>
    <n v="0"/>
    <n v="0"/>
    <n v="0"/>
  </r>
  <r>
    <d v="2026-07-03T00:00:00"/>
    <n v="2026"/>
    <x v="19"/>
    <s v="R"/>
    <s v="RS"/>
    <x v="11"/>
    <s v="NYL"/>
    <s v="A"/>
    <n v="4"/>
    <n v="4"/>
    <n v="0"/>
    <n v="0"/>
    <n v="0"/>
    <n v="0"/>
    <n v="1682.8822776625532"/>
    <n v="1556.0343837688974"/>
    <n v="0.56135234811516477"/>
    <n v="86"/>
    <n v="99"/>
    <n v="0"/>
    <n v="-13"/>
    <n v="0"/>
    <n v="0.42691593315544063"/>
    <n v="1"/>
    <n v="73"/>
    <n v="73"/>
    <n v="-17.494469091294583"/>
    <n v="1665.3878085712586"/>
    <n v="0"/>
    <n v="1"/>
    <n v="0"/>
    <n v="0"/>
    <n v="0"/>
    <n v="0"/>
    <n v="0"/>
    <n v="0"/>
    <n v="0"/>
    <n v="0"/>
  </r>
  <r>
    <d v="2026-07-03T00:00:00"/>
    <n v="2026"/>
    <x v="20"/>
    <s v="R"/>
    <s v="RS"/>
    <x v="1"/>
    <s v="MIN"/>
    <s v="H"/>
    <n v="4"/>
    <n v="4"/>
    <n v="0"/>
    <n v="0"/>
    <n v="0"/>
    <n v="0"/>
    <n v="1556.0343837688974"/>
    <n v="1682.8822776625532"/>
    <n v="0.43864765188483518"/>
    <n v="99"/>
    <n v="86"/>
    <n v="0"/>
    <n v="13"/>
    <n v="1"/>
    <n v="0.42691593315544063"/>
    <n v="1"/>
    <n v="72.849999999999994"/>
    <n v="72.849999999999994"/>
    <n v="17.458521552065893"/>
    <n v="1573.4929053209632"/>
    <n v="1"/>
    <n v="0"/>
    <n v="0"/>
    <n v="0"/>
    <n v="0"/>
    <n v="0"/>
    <n v="0"/>
    <n v="0"/>
    <n v="0"/>
    <n v="0"/>
  </r>
  <r>
    <d v="2026-07-04T00:00:00"/>
    <n v="2026"/>
    <x v="20"/>
    <s v="R"/>
    <s v="RS"/>
    <x v="2"/>
    <s v="ATL"/>
    <s v="A"/>
    <n v="5"/>
    <n v="1"/>
    <n v="4"/>
    <n v="-4"/>
    <n v="16"/>
    <n v="-16"/>
    <n v="1591.6988860015556"/>
    <n v="1576.1629576999505"/>
    <n v="0.44771581061679128"/>
    <n v="88"/>
    <n v="83"/>
    <n v="0"/>
    <n v="5"/>
    <n v="1"/>
    <n v="0.32751575768702157"/>
    <n v="1"/>
    <n v="72.849999999999994"/>
    <n v="72.849999999999994"/>
    <n v="13.177237290129838"/>
    <n v="1604.8761232916854"/>
    <n v="1"/>
    <n v="0"/>
    <n v="0"/>
    <n v="0"/>
    <n v="0"/>
    <n v="0"/>
    <n v="0"/>
    <n v="0"/>
    <n v="0"/>
    <n v="0"/>
  </r>
  <r>
    <d v="2026-07-04T00:00:00"/>
    <n v="2026"/>
    <x v="20"/>
    <s v="R"/>
    <s v="RS"/>
    <x v="10"/>
    <s v="GSV"/>
    <s v="H"/>
    <n v="1"/>
    <n v="5"/>
    <n v="-4"/>
    <n v="4"/>
    <n v="-16"/>
    <n v="16"/>
    <n v="1576.1629576999505"/>
    <n v="1591.6988860015556"/>
    <n v="0.55228418938320878"/>
    <n v="83"/>
    <n v="88"/>
    <n v="0"/>
    <n v="-5"/>
    <n v="0"/>
    <n v="0.32751575768702157"/>
    <n v="1"/>
    <n v="72.849999999999994"/>
    <n v="72.849999999999994"/>
    <n v="-13.177237290129842"/>
    <n v="1562.9857204098207"/>
    <n v="0"/>
    <n v="1"/>
    <n v="0"/>
    <n v="0"/>
    <n v="0"/>
    <n v="0"/>
    <n v="0"/>
    <n v="0"/>
    <n v="0"/>
    <n v="0"/>
  </r>
  <r>
    <d v="2026-07-04T00:00:00"/>
    <n v="2026"/>
    <x v="20"/>
    <s v="R"/>
    <s v="RS"/>
    <x v="13"/>
    <s v="SEA"/>
    <s v="A"/>
    <n v="5"/>
    <n v="1"/>
    <n v="4"/>
    <n v="-4"/>
    <n v="16"/>
    <n v="-16"/>
    <n v="1399.5892554447316"/>
    <n v="1389.1848663703306"/>
    <n v="0.44042347523012398"/>
    <n v="77"/>
    <n v="72"/>
    <n v="0"/>
    <n v="5"/>
    <n v="1"/>
    <n v="0.32890426881046814"/>
    <n v="1"/>
    <n v="72.849999999999994"/>
    <n v="72.849999999999994"/>
    <n v="13.407831797616097"/>
    <n v="1412.9970872423478"/>
    <n v="1"/>
    <n v="0"/>
    <n v="0"/>
    <n v="0"/>
    <n v="0"/>
    <n v="0"/>
    <n v="0"/>
    <n v="0"/>
    <n v="0"/>
    <n v="0"/>
  </r>
  <r>
    <d v="2026-07-04T00:00:00"/>
    <n v="2026"/>
    <x v="21"/>
    <s v="R"/>
    <s v="RS"/>
    <x v="3"/>
    <s v="POR"/>
    <s v="H"/>
    <n v="1"/>
    <n v="5"/>
    <n v="-4"/>
    <n v="4"/>
    <n v="-16"/>
    <n v="16"/>
    <n v="1389.1848663703306"/>
    <n v="1399.5892554447316"/>
    <n v="0.55957652476987607"/>
    <n v="72"/>
    <n v="77"/>
    <n v="0"/>
    <n v="-5"/>
    <n v="0"/>
    <n v="0.32890426881046814"/>
    <n v="1"/>
    <n v="72.7"/>
    <n v="72.7"/>
    <n v="-13.380224731457657"/>
    <n v="1375.8046416388729"/>
    <n v="0"/>
    <n v="1"/>
    <n v="0"/>
    <n v="0"/>
    <n v="0"/>
    <n v="0"/>
    <n v="0"/>
    <n v="0"/>
    <n v="0"/>
    <n v="0"/>
  </r>
  <r>
    <d v="2026-07-05T00:00:00"/>
    <n v="2026"/>
    <x v="19"/>
    <s v="R"/>
    <s v="RS"/>
    <x v="7"/>
    <s v="LVA"/>
    <s v="A"/>
    <n v="7"/>
    <n v="1"/>
    <n v="6"/>
    <n v="-6"/>
    <n v="16"/>
    <n v="-16"/>
    <n v="1548.3287341642865"/>
    <n v="1647.3573500098141"/>
    <n v="0.29538112156567597"/>
    <n v="84"/>
    <n v="68"/>
    <n v="0"/>
    <n v="16"/>
    <n v="1"/>
    <n v="0.47831374240485591"/>
    <n v="1"/>
    <n v="73"/>
    <n v="73"/>
    <n v="24.603109168051464"/>
    <n v="1572.9318433323381"/>
    <n v="1"/>
    <n v="0"/>
    <n v="0"/>
    <n v="0"/>
    <n v="0"/>
    <n v="0"/>
    <n v="0"/>
    <n v="0"/>
    <n v="0"/>
    <n v="0"/>
  </r>
  <r>
    <d v="2026-07-05T00:00:00"/>
    <n v="2026"/>
    <x v="20"/>
    <s v="R"/>
    <s v="RS"/>
    <x v="9"/>
    <s v="IND"/>
    <s v="H"/>
    <n v="1"/>
    <n v="7"/>
    <n v="-6"/>
    <n v="6"/>
    <n v="-16"/>
    <n v="16"/>
    <n v="1647.3573500098141"/>
    <n v="1548.3287341642865"/>
    <n v="0.70461887843432403"/>
    <n v="68"/>
    <n v="84"/>
    <n v="0"/>
    <n v="-16"/>
    <n v="0"/>
    <n v="0.47831374240485591"/>
    <n v="1"/>
    <n v="72.849999999999994"/>
    <n v="72.849999999999994"/>
    <n v="-24.552554834144505"/>
    <n v="1622.8047951756696"/>
    <n v="0"/>
    <n v="1"/>
    <n v="0"/>
    <n v="0"/>
    <n v="0"/>
    <n v="0"/>
    <n v="0"/>
    <n v="0"/>
    <n v="0"/>
    <n v="0"/>
  </r>
  <r>
    <d v="2026-07-05T00:00:00"/>
    <n v="2026"/>
    <x v="20"/>
    <s v="R"/>
    <s v="RS"/>
    <x v="6"/>
    <s v="TOR"/>
    <s v="A"/>
    <n v="2"/>
    <n v="7"/>
    <n v="-5"/>
    <n v="5"/>
    <n v="-16"/>
    <n v="16"/>
    <n v="1518.7040946413576"/>
    <n v="1473.8386531311812"/>
    <n v="0.39903599022851505"/>
    <n v="89"/>
    <n v="76"/>
    <n v="0"/>
    <n v="13"/>
    <n v="1"/>
    <n v="0.45503111251105488"/>
    <n v="1"/>
    <n v="72.849999999999994"/>
    <n v="72.849999999999994"/>
    <n v="19.921365903724084"/>
    <n v="1538.6254605450818"/>
    <n v="1"/>
    <n v="0"/>
    <n v="0"/>
    <n v="0"/>
    <n v="0"/>
    <n v="0"/>
    <n v="0"/>
    <n v="0"/>
    <n v="0"/>
    <n v="0"/>
  </r>
  <r>
    <d v="2026-07-05T00:00:00"/>
    <n v="2026"/>
    <x v="19"/>
    <s v="R"/>
    <s v="RS"/>
    <x v="5"/>
    <s v="DAL"/>
    <s v="H"/>
    <n v="7"/>
    <n v="2"/>
    <n v="5"/>
    <n v="-5"/>
    <n v="16"/>
    <n v="-16"/>
    <n v="1473.8386531311812"/>
    <n v="1518.7040946413576"/>
    <n v="0.6009640097714849"/>
    <n v="76"/>
    <n v="89"/>
    <n v="0"/>
    <n v="-13"/>
    <n v="0"/>
    <n v="0.45503111251105488"/>
    <n v="1"/>
    <n v="73"/>
    <n v="73"/>
    <n v="-19.962384502015897"/>
    <n v="1453.8762686291652"/>
    <n v="0"/>
    <n v="1"/>
    <n v="0"/>
    <n v="0"/>
    <n v="0"/>
    <n v="0"/>
    <n v="0"/>
    <n v="0"/>
    <n v="0"/>
    <n v="0"/>
  </r>
  <r>
    <d v="2026-07-06T00:00:00"/>
    <n v="2026"/>
    <x v="22"/>
    <s v="R"/>
    <s v="RS"/>
    <x v="3"/>
    <s v="LAS"/>
    <s v="A"/>
    <n v="1"/>
    <n v="8"/>
    <n v="-7"/>
    <n v="7"/>
    <n v="-16"/>
    <n v="16"/>
    <n v="1375.8046416388729"/>
    <n v="1443.4859473990407"/>
    <n v="0.25781532022259135"/>
    <n v="82"/>
    <n v="64"/>
    <n v="0"/>
    <n v="18"/>
    <n v="1"/>
    <n v="0.51763855439841278"/>
    <n v="1"/>
    <n v="72.55"/>
    <n v="72.55"/>
    <n v="27.872506013642269"/>
    <n v="1403.6771476525153"/>
    <n v="1"/>
    <n v="0"/>
    <n v="0"/>
    <n v="0"/>
    <n v="0"/>
    <n v="0"/>
    <n v="0"/>
    <n v="0"/>
    <n v="0"/>
    <n v="0"/>
  </r>
  <r>
    <d v="2026-07-06T00:00:00"/>
    <n v="2026"/>
    <x v="18"/>
    <s v="R"/>
    <s v="RS"/>
    <x v="14"/>
    <s v="SEA"/>
    <s v="H"/>
    <n v="8"/>
    <n v="1"/>
    <n v="7"/>
    <n v="-7"/>
    <n v="16"/>
    <n v="-16"/>
    <n v="1443.4859473990407"/>
    <n v="1375.8046416388729"/>
    <n v="0.74218467977740865"/>
    <n v="64"/>
    <n v="82"/>
    <n v="0"/>
    <n v="-18"/>
    <n v="0"/>
    <n v="0.51763855439841278"/>
    <n v="1"/>
    <n v="73.150000000000006"/>
    <n v="73.150000000000006"/>
    <n v="-28.103016056484247"/>
    <n v="1415.3829313425565"/>
    <n v="0"/>
    <n v="1"/>
    <n v="0"/>
    <n v="0"/>
    <n v="0"/>
    <n v="0"/>
    <n v="0"/>
    <n v="0"/>
    <n v="0"/>
    <n v="0"/>
  </r>
  <r>
    <d v="2026-07-06T00:00:00"/>
    <n v="2026"/>
    <x v="20"/>
    <s v="R"/>
    <s v="RS"/>
    <x v="0"/>
    <s v="MIN"/>
    <s v="A"/>
    <n v="3"/>
    <n v="2"/>
    <n v="1"/>
    <n v="-1"/>
    <n v="8"/>
    <n v="-8"/>
    <n v="1342.8808713322012"/>
    <n v="1665.3878085712586"/>
    <n v="9.5527422730019129E-2"/>
    <n v="90"/>
    <n v="89"/>
    <n v="0"/>
    <n v="1"/>
    <n v="1"/>
    <n v="0.19245600659771842"/>
    <n v="1"/>
    <n v="72.849999999999994"/>
    <n v="72.849999999999994"/>
    <n v="12.681085484747676"/>
    <n v="1355.5619568169489"/>
    <n v="1"/>
    <n v="0"/>
    <n v="0"/>
    <n v="0"/>
    <n v="0"/>
    <n v="0"/>
    <n v="0"/>
    <n v="0"/>
    <n v="0"/>
    <n v="0"/>
  </r>
  <r>
    <d v="2026-07-06T00:00:00"/>
    <n v="2026"/>
    <x v="20"/>
    <s v="R"/>
    <s v="RS"/>
    <x v="11"/>
    <s v="CON"/>
    <s v="H"/>
    <n v="2"/>
    <n v="3"/>
    <n v="-1"/>
    <n v="1"/>
    <n v="-8"/>
    <n v="8"/>
    <n v="1665.3878085712586"/>
    <n v="1342.8808713322012"/>
    <n v="0.90447257726998087"/>
    <n v="89"/>
    <n v="90"/>
    <n v="0"/>
    <n v="-1"/>
    <n v="0"/>
    <n v="0.19245600659771842"/>
    <n v="1"/>
    <n v="72.849999999999994"/>
    <n v="72.849999999999994"/>
    <n v="-12.681085484747676"/>
    <n v="1652.7067230865109"/>
    <n v="0"/>
    <n v="1"/>
    <n v="0"/>
    <n v="0"/>
    <n v="0"/>
    <n v="0"/>
    <n v="0"/>
    <n v="0"/>
    <n v="0"/>
    <n v="0"/>
  </r>
  <r>
    <d v="2026-07-06T00:00:00"/>
    <n v="2026"/>
    <x v="21"/>
    <s v="R"/>
    <s v="RS"/>
    <x v="2"/>
    <s v="WAS"/>
    <s v="A"/>
    <n v="1"/>
    <n v="3"/>
    <n v="-2"/>
    <n v="2"/>
    <n v="-16"/>
    <n v="16"/>
    <n v="1604.8761232916854"/>
    <n v="1461.9547133753642"/>
    <n v="0.53866567015838696"/>
    <n v="62"/>
    <n v="49"/>
    <n v="0"/>
    <n v="13"/>
    <n v="1"/>
    <n v="0.42180614784616277"/>
    <n v="1"/>
    <n v="72.7"/>
    <n v="72.7"/>
    <n v="14.146958830434871"/>
    <n v="1619.0230821221203"/>
    <n v="1"/>
    <n v="0"/>
    <n v="0"/>
    <n v="0"/>
    <n v="0"/>
    <n v="0"/>
    <n v="0"/>
    <n v="0"/>
    <n v="0"/>
    <n v="0"/>
  </r>
  <r>
    <d v="2026-07-06T00:00:00"/>
    <n v="2026"/>
    <x v="19"/>
    <s v="R"/>
    <s v="RS"/>
    <x v="4"/>
    <s v="GSV"/>
    <s v="H"/>
    <n v="3"/>
    <n v="1"/>
    <n v="2"/>
    <n v="-2"/>
    <n v="16"/>
    <n v="-16"/>
    <n v="1461.9547133753642"/>
    <n v="1604.8761232916854"/>
    <n v="0.46133432984161304"/>
    <n v="49"/>
    <n v="62"/>
    <n v="0"/>
    <n v="-13"/>
    <n v="0"/>
    <n v="0.42180614784616277"/>
    <n v="1"/>
    <n v="73"/>
    <n v="73"/>
    <n v="-14.205336927396775"/>
    <n v="1447.7493764479675"/>
    <n v="0"/>
    <n v="1"/>
    <n v="0"/>
    <n v="0"/>
    <n v="0"/>
    <n v="0"/>
    <n v="0"/>
    <n v="0"/>
    <n v="0"/>
    <n v="0"/>
  </r>
  <r>
    <d v="2026-07-07T00:00:00"/>
    <n v="2026"/>
    <x v="21"/>
    <s v="R"/>
    <s v="RS"/>
    <x v="6"/>
    <s v="NYL"/>
    <s v="A"/>
    <n v="1"/>
    <n v="3"/>
    <n v="-2"/>
    <n v="2"/>
    <n v="-16"/>
    <n v="16"/>
    <n v="1538.6254605450818"/>
    <n v="1573.4929053209632"/>
    <n v="0.29557425711485208"/>
    <n v="88"/>
    <n v="77"/>
    <n v="0"/>
    <n v="11"/>
    <n v="1"/>
    <n v="0.4274168588232154"/>
    <n v="1"/>
    <n v="72.7"/>
    <n v="72.7"/>
    <n v="21.888765964277678"/>
    <n v="1560.5142265093593"/>
    <n v="1"/>
    <n v="0"/>
    <n v="0"/>
    <n v="0"/>
    <n v="0"/>
    <n v="0"/>
    <n v="0"/>
    <n v="0"/>
    <n v="0"/>
    <n v="0"/>
  </r>
  <r>
    <d v="2026-07-07T00:00:00"/>
    <n v="2026"/>
    <x v="21"/>
    <s v="R"/>
    <s v="RS"/>
    <x v="1"/>
    <s v="DAL"/>
    <s v="H"/>
    <n v="3"/>
    <n v="1"/>
    <n v="2"/>
    <n v="-2"/>
    <n v="16"/>
    <n v="-16"/>
    <n v="1573.4929053209632"/>
    <n v="1538.6254605450818"/>
    <n v="0.70442574288514792"/>
    <n v="77"/>
    <n v="88"/>
    <n v="0"/>
    <n v="-11"/>
    <n v="0"/>
    <n v="0.4274168588232154"/>
    <n v="1"/>
    <n v="72.7"/>
    <n v="72.7"/>
    <n v="-21.888765964277678"/>
    <n v="1551.6041393566857"/>
    <n v="0"/>
    <n v="1"/>
    <n v="0"/>
    <n v="0"/>
    <n v="0"/>
    <n v="0"/>
    <n v="0"/>
    <n v="0"/>
    <n v="0"/>
    <n v="0"/>
  </r>
  <r>
    <d v="2026-07-07T00:00:00"/>
    <n v="2026"/>
    <x v="20"/>
    <s v="R"/>
    <s v="RS"/>
    <x v="12"/>
    <s v="PHX"/>
    <s v="A"/>
    <n v="3"/>
    <n v="4"/>
    <n v="-1"/>
    <n v="1"/>
    <n v="-8"/>
    <n v="8"/>
    <n v="1377.9231391343221"/>
    <n v="1490.1915164606312"/>
    <n v="0.22759962114415033"/>
    <n v="77"/>
    <n v="66"/>
    <n v="0"/>
    <n v="11"/>
    <n v="1"/>
    <n v="0.4022067234330024"/>
    <n v="1"/>
    <n v="72.849999999999994"/>
    <n v="72.849999999999994"/>
    <n v="22.631917971901828"/>
    <n v="1400.555057106224"/>
    <n v="1"/>
    <n v="0"/>
    <n v="0"/>
    <n v="0"/>
    <n v="0"/>
    <n v="0"/>
    <n v="0"/>
    <n v="0"/>
    <n v="0"/>
    <n v="0"/>
  </r>
  <r>
    <d v="2026-07-07T00:00:00"/>
    <n v="2026"/>
    <x v="21"/>
    <s v="R"/>
    <s v="RS"/>
    <x v="8"/>
    <s v="CHI"/>
    <s v="H"/>
    <n v="4"/>
    <n v="3"/>
    <n v="1"/>
    <n v="-1"/>
    <n v="8"/>
    <n v="-8"/>
    <n v="1490.1915164606312"/>
    <n v="1377.9231391343221"/>
    <n v="0.77240037885584967"/>
    <n v="66"/>
    <n v="77"/>
    <n v="0"/>
    <n v="-11"/>
    <n v="0"/>
    <n v="0.4022067234330024"/>
    <n v="1"/>
    <n v="72.7"/>
    <n v="72.7"/>
    <n v="-22.585318278068129"/>
    <n v="1467.606198182563"/>
    <n v="0"/>
    <n v="1"/>
    <n v="0"/>
    <n v="0"/>
    <n v="0"/>
    <n v="0"/>
    <n v="0"/>
    <n v="0"/>
    <n v="0"/>
    <n v="0"/>
  </r>
  <r>
    <d v="2026-07-08T00:00:00"/>
    <n v="2026"/>
    <x v="21"/>
    <s v="R"/>
    <s v="RS"/>
    <x v="11"/>
    <s v="CON"/>
    <s v="A"/>
    <n v="1"/>
    <n v="1"/>
    <n v="0"/>
    <n v="0"/>
    <n v="0"/>
    <n v="0"/>
    <n v="1652.7067230865109"/>
    <n v="1355.5619568169489"/>
    <n v="0.77328604341904106"/>
    <n v="86"/>
    <n v="80"/>
    <n v="0"/>
    <n v="6"/>
    <n v="1"/>
    <n v="0.28156055633787119"/>
    <n v="1"/>
    <n v="72.7"/>
    <n v="72.7"/>
    <n v="4.6407105530247694"/>
    <n v="1657.3474336395357"/>
    <n v="1"/>
    <n v="0"/>
    <n v="0"/>
    <n v="0"/>
    <n v="0"/>
    <n v="0"/>
    <n v="0"/>
    <n v="0"/>
    <n v="0"/>
    <n v="0"/>
  </r>
  <r>
    <d v="2026-07-08T00:00:00"/>
    <n v="2026"/>
    <x v="21"/>
    <s v="R"/>
    <s v="RS"/>
    <x v="0"/>
    <s v="MIN"/>
    <s v="H"/>
    <n v="1"/>
    <n v="1"/>
    <n v="0"/>
    <n v="0"/>
    <n v="0"/>
    <n v="0"/>
    <n v="1355.5619568169489"/>
    <n v="1652.7067230865109"/>
    <n v="0.22671395658095905"/>
    <n v="80"/>
    <n v="86"/>
    <n v="0"/>
    <n v="-6"/>
    <n v="0"/>
    <n v="0.28156055633787119"/>
    <n v="1"/>
    <n v="72.7"/>
    <n v="72.7"/>
    <n v="-4.6407105530247721"/>
    <n v="1350.9212462639241"/>
    <n v="0"/>
    <n v="1"/>
    <n v="0"/>
    <n v="0"/>
    <n v="0"/>
    <n v="0"/>
    <n v="0"/>
    <n v="0"/>
    <n v="0"/>
    <n v="0"/>
  </r>
  <r>
    <d v="2026-07-08T00:00:00"/>
    <n v="2026"/>
    <x v="20"/>
    <s v="R"/>
    <s v="RS"/>
    <x v="7"/>
    <s v="LAS"/>
    <s v="A"/>
    <n v="2"/>
    <n v="1"/>
    <n v="1"/>
    <n v="-1"/>
    <n v="8"/>
    <n v="-8"/>
    <n v="1572.9318433323381"/>
    <n v="1415.3829313425565"/>
    <n v="0.62609139772751066"/>
    <n v="92"/>
    <n v="106"/>
    <n v="0"/>
    <n v="-14"/>
    <n v="0"/>
    <n v="0.43101925762902155"/>
    <n v="1"/>
    <n v="72.849999999999994"/>
    <n v="72.849999999999994"/>
    <n v="-19.659115192900785"/>
    <n v="1553.2727281394373"/>
    <n v="0"/>
    <n v="1"/>
    <n v="0"/>
    <n v="0"/>
    <n v="0"/>
    <n v="0"/>
    <n v="0"/>
    <n v="0"/>
    <n v="0"/>
    <n v="0"/>
  </r>
  <r>
    <d v="2026-07-08T00:00:00"/>
    <n v="2026"/>
    <x v="19"/>
    <s v="R"/>
    <s v="RS"/>
    <x v="14"/>
    <s v="IND"/>
    <s v="H"/>
    <n v="1"/>
    <n v="2"/>
    <n v="-1"/>
    <n v="1"/>
    <n v="-8"/>
    <n v="8"/>
    <n v="1415.3829313425565"/>
    <n v="1572.9318433323381"/>
    <n v="0.3739086022724894"/>
    <n v="106"/>
    <n v="92"/>
    <n v="0"/>
    <n v="14"/>
    <n v="1"/>
    <n v="0.43101925762902155"/>
    <n v="1"/>
    <n v="73"/>
    <n v="73"/>
    <n v="19.699593810319254"/>
    <n v="1435.0825251528759"/>
    <n v="1"/>
    <n v="0"/>
    <n v="0"/>
    <n v="0"/>
    <n v="0"/>
    <n v="0"/>
    <n v="0"/>
    <n v="0"/>
    <n v="0"/>
    <n v="0"/>
  </r>
  <r>
    <d v="2026-07-08T00:00:00"/>
    <n v="2026"/>
    <x v="22"/>
    <s v="R"/>
    <s v="RS"/>
    <x v="2"/>
    <s v="TOR"/>
    <s v="A"/>
    <n v="1"/>
    <n v="2"/>
    <n v="-1"/>
    <n v="1"/>
    <n v="-8"/>
    <n v="8"/>
    <n v="1619.0230821221203"/>
    <n v="1453.8762686291652"/>
    <n v="0.59267027039363152"/>
    <n v="83"/>
    <n v="75"/>
    <n v="0"/>
    <n v="8"/>
    <n v="1"/>
    <n v="0.34133958149989946"/>
    <n v="1"/>
    <n v="72.55"/>
    <n v="72.55"/>
    <n v="10.087189447103929"/>
    <n v="1629.1102715692243"/>
    <n v="1"/>
    <n v="0"/>
    <n v="0"/>
    <n v="0"/>
    <n v="0"/>
    <n v="0"/>
    <n v="0"/>
    <n v="0"/>
    <n v="0"/>
    <n v="0"/>
  </r>
  <r>
    <d v="2026-07-08T00:00:00"/>
    <n v="2026"/>
    <x v="20"/>
    <s v="R"/>
    <s v="RS"/>
    <x v="5"/>
    <s v="GSV"/>
    <s v="H"/>
    <n v="2"/>
    <n v="1"/>
    <n v="1"/>
    <n v="-1"/>
    <n v="8"/>
    <n v="-8"/>
    <n v="1453.8762686291652"/>
    <n v="1619.0230821221203"/>
    <n v="0.40732972960636848"/>
    <n v="75"/>
    <n v="83"/>
    <n v="0"/>
    <n v="-8"/>
    <n v="0"/>
    <n v="0.34133958149989946"/>
    <n v="1"/>
    <n v="72.849999999999994"/>
    <n v="72.849999999999994"/>
    <n v="-10.12890077493482"/>
    <n v="1443.7473678542303"/>
    <n v="0"/>
    <n v="1"/>
    <n v="0"/>
    <n v="0"/>
    <n v="0"/>
    <n v="0"/>
    <n v="0"/>
    <n v="0"/>
    <n v="0"/>
    <n v="0"/>
  </r>
  <r>
    <d v="2026-07-09T00:00:00"/>
    <n v="2026"/>
    <x v="23"/>
    <s v="R"/>
    <s v="RS"/>
    <x v="3"/>
    <s v="ATL"/>
    <s v="A"/>
    <n v="2"/>
    <n v="4"/>
    <n v="-2"/>
    <n v="2"/>
    <n v="-16"/>
    <n v="16"/>
    <n v="1403.6771476525153"/>
    <n v="1562.9857204098207"/>
    <n v="0.17011625915535719"/>
    <n v="78"/>
    <n v="89"/>
    <n v="0"/>
    <n v="-11"/>
    <n v="0"/>
    <n v="0.38828796852103209"/>
    <n v="1"/>
    <n v="72.400000000000006"/>
    <n v="72.400000000000006"/>
    <n v="-4.7823165996197696"/>
    <n v="1398.8948310528956"/>
    <n v="0"/>
    <n v="1"/>
    <n v="0"/>
    <n v="0"/>
    <n v="0"/>
    <n v="0"/>
    <n v="0"/>
    <n v="0"/>
    <n v="0"/>
    <n v="0"/>
  </r>
  <r>
    <d v="2026-07-09T00:00:00"/>
    <n v="2026"/>
    <x v="21"/>
    <s v="R"/>
    <s v="RS"/>
    <x v="10"/>
    <s v="SEA"/>
    <s v="H"/>
    <n v="4"/>
    <n v="2"/>
    <n v="2"/>
    <n v="-2"/>
    <n v="16"/>
    <n v="-16"/>
    <n v="1562.9857204098207"/>
    <n v="1403.6771476525153"/>
    <n v="0.82988374084464289"/>
    <n v="89"/>
    <n v="78"/>
    <n v="0"/>
    <n v="11"/>
    <n v="1"/>
    <n v="0.38828796852103209"/>
    <n v="1"/>
    <n v="72.7"/>
    <n v="72.7"/>
    <n v="4.8021328286237166"/>
    <n v="1567.7878532384445"/>
    <n v="1"/>
    <n v="0"/>
    <n v="0"/>
    <n v="0"/>
    <n v="0"/>
    <n v="0"/>
    <n v="0"/>
    <n v="0"/>
    <n v="0"/>
    <n v="0"/>
  </r>
  <r>
    <d v="2026-07-09T00:00:00"/>
    <n v="2026"/>
    <x v="21"/>
    <s v="R"/>
    <s v="RS"/>
    <x v="7"/>
    <s v="PHX"/>
    <s v="A"/>
    <n v="0"/>
    <n v="1"/>
    <n v="-1"/>
    <n v="1"/>
    <n v="-8"/>
    <n v="8"/>
    <n v="1553.2727281394373"/>
    <n v="1467.606198182563"/>
    <n v="0.47938417303914632"/>
    <n v="92"/>
    <n v="89"/>
    <n v="0"/>
    <n v="3"/>
    <n v="1"/>
    <n v="0.27084801323258384"/>
    <n v="1"/>
    <n v="72.7"/>
    <n v="72.7"/>
    <n v="10.251264325737433"/>
    <n v="1563.5239924651746"/>
    <n v="1"/>
    <n v="0"/>
    <n v="0"/>
    <n v="0"/>
    <n v="0"/>
    <n v="0"/>
    <n v="0"/>
    <n v="0"/>
    <n v="0"/>
    <n v="0"/>
  </r>
  <r>
    <d v="2026-07-09T00:00:00"/>
    <n v="2026"/>
    <x v="22"/>
    <s v="R"/>
    <s v="RS"/>
    <x v="8"/>
    <s v="IND"/>
    <s v="H"/>
    <n v="1"/>
    <n v="0"/>
    <n v="1"/>
    <n v="-1"/>
    <n v="8"/>
    <n v="-8"/>
    <n v="1467.606198182563"/>
    <n v="1553.2727281394373"/>
    <n v="0.52061582696085362"/>
    <n v="89"/>
    <n v="92"/>
    <n v="0"/>
    <n v="-3"/>
    <n v="0"/>
    <n v="0.27084801323258384"/>
    <n v="1"/>
    <n v="72.55"/>
    <n v="72.55"/>
    <n v="-10.230113161378965"/>
    <n v="1457.3760850211841"/>
    <n v="0"/>
    <n v="1"/>
    <n v="0"/>
    <n v="0"/>
    <n v="0"/>
    <n v="0"/>
    <n v="0"/>
    <n v="0"/>
    <n v="0"/>
    <n v="0"/>
  </r>
  <r>
    <d v="2026-07-09T00:00:00"/>
    <n v="2026"/>
    <x v="21"/>
    <s v="R"/>
    <s v="RS"/>
    <x v="9"/>
    <s v="POR"/>
    <s v="A"/>
    <n v="3"/>
    <n v="4"/>
    <n v="-1"/>
    <n v="1"/>
    <n v="-8"/>
    <n v="8"/>
    <n v="1622.8047951756696"/>
    <n v="1412.9970872423478"/>
    <n v="0.65296637973264582"/>
    <n v="88"/>
    <n v="80"/>
    <n v="0"/>
    <n v="8"/>
    <n v="1"/>
    <n v="0.33052638269845908"/>
    <n v="1"/>
    <n v="72.7"/>
    <n v="72.7"/>
    <n v="8.3389638741109895"/>
    <n v="1631.1437590497806"/>
    <n v="1"/>
    <n v="0"/>
    <n v="0"/>
    <n v="0"/>
    <n v="0"/>
    <n v="0"/>
    <n v="0"/>
    <n v="0"/>
    <n v="0"/>
    <n v="0"/>
  </r>
  <r>
    <d v="2026-07-09T00:00:00"/>
    <n v="2026"/>
    <x v="21"/>
    <s v="R"/>
    <s v="RS"/>
    <x v="13"/>
    <s v="LVA"/>
    <s v="H"/>
    <n v="4"/>
    <n v="3"/>
    <n v="1"/>
    <n v="-1"/>
    <n v="8"/>
    <n v="-8"/>
    <n v="1412.9970872423478"/>
    <n v="1622.8047951756696"/>
    <n v="0.34703362026735424"/>
    <n v="80"/>
    <n v="88"/>
    <n v="0"/>
    <n v="-8"/>
    <n v="0"/>
    <n v="0.33052638269845908"/>
    <n v="1"/>
    <n v="72.7"/>
    <n v="72.7"/>
    <n v="-8.3389638741109895"/>
    <n v="1404.6581233682368"/>
    <n v="0"/>
    <n v="1"/>
    <n v="0"/>
    <n v="0"/>
    <n v="0"/>
    <n v="0"/>
    <n v="0"/>
    <n v="0"/>
    <n v="0"/>
    <n v="0"/>
  </r>
  <r>
    <d v="2026-07-10T00:00:00"/>
    <n v="2026"/>
    <x v="23"/>
    <s v="R"/>
    <s v="RS"/>
    <x v="2"/>
    <s v="CON"/>
    <s v="A"/>
    <n v="1"/>
    <n v="1"/>
    <n v="0"/>
    <n v="0"/>
    <n v="0"/>
    <n v="0"/>
    <n v="1629.1102715692243"/>
    <n v="1350.9212462639241"/>
    <n v="0.7535881893013312"/>
    <n v="79"/>
    <n v="64"/>
    <n v="0"/>
    <n v="15"/>
    <n v="1"/>
    <n v="0.40821412101195131"/>
    <n v="1"/>
    <n v="72.400000000000006"/>
    <n v="72.400000000000006"/>
    <n v="7.2826277234995995"/>
    <n v="1636.392899292724"/>
    <n v="1"/>
    <n v="0"/>
    <n v="0"/>
    <n v="0"/>
    <n v="0"/>
    <n v="0"/>
    <n v="0"/>
    <n v="0"/>
    <n v="0"/>
    <n v="0"/>
  </r>
  <r>
    <d v="2026-07-10T00:00:00"/>
    <n v="2026"/>
    <x v="22"/>
    <s v="R"/>
    <s v="RS"/>
    <x v="0"/>
    <s v="GSV"/>
    <s v="H"/>
    <n v="1"/>
    <n v="1"/>
    <n v="0"/>
    <n v="0"/>
    <n v="0"/>
    <n v="0"/>
    <n v="1350.9212462639241"/>
    <n v="1629.1102715692243"/>
    <n v="0.24641181069866885"/>
    <n v="64"/>
    <n v="79"/>
    <n v="0"/>
    <n v="-15"/>
    <n v="0"/>
    <n v="0.40821412101195131"/>
    <n v="1"/>
    <n v="72.55"/>
    <n v="72.55"/>
    <n v="-7.2977160406062982"/>
    <n v="1343.6235302233179"/>
    <n v="0"/>
    <n v="1"/>
    <n v="0"/>
    <n v="0"/>
    <n v="0"/>
    <n v="0"/>
    <n v="0"/>
    <n v="0"/>
    <n v="0"/>
    <n v="0"/>
  </r>
  <r>
    <d v="2026-07-10T00:00:00"/>
    <n v="2026"/>
    <x v="21"/>
    <s v="R"/>
    <s v="RS"/>
    <x v="12"/>
    <s v="LAS"/>
    <s v="A"/>
    <n v="2"/>
    <n v="1"/>
    <n v="1"/>
    <n v="-1"/>
    <n v="8"/>
    <n v="-8"/>
    <n v="1400.555057106224"/>
    <n v="1435.0825251528759"/>
    <n v="0.35658998757326332"/>
    <n v="87"/>
    <n v="102"/>
    <n v="0"/>
    <n v="-15"/>
    <n v="0"/>
    <n v="0.48878429137691209"/>
    <n v="1"/>
    <n v="72.7"/>
    <n v="72.7"/>
    <n v="-12.671288985014828"/>
    <n v="1387.8837681212092"/>
    <n v="0"/>
    <n v="1"/>
    <n v="0"/>
    <n v="0"/>
    <n v="0"/>
    <n v="0"/>
    <n v="0"/>
    <n v="0"/>
    <n v="0"/>
    <n v="0"/>
  </r>
  <r>
    <d v="2026-07-10T00:00:00"/>
    <n v="2026"/>
    <x v="20"/>
    <s v="R"/>
    <s v="RS"/>
    <x v="14"/>
    <s v="CHI"/>
    <s v="H"/>
    <n v="1"/>
    <n v="2"/>
    <n v="-1"/>
    <n v="1"/>
    <n v="-8"/>
    <n v="8"/>
    <n v="1435.0825251528759"/>
    <n v="1400.555057106224"/>
    <n v="0.64341001242673668"/>
    <n v="102"/>
    <n v="87"/>
    <n v="0"/>
    <n v="15"/>
    <n v="1"/>
    <n v="0.48878429137691209"/>
    <n v="1"/>
    <n v="72.849999999999994"/>
    <n v="72.849999999999994"/>
    <n v="12.69743332267304"/>
    <n v="1447.7799584755489"/>
    <n v="1"/>
    <n v="0"/>
    <n v="0"/>
    <n v="0"/>
    <n v="0"/>
    <n v="0"/>
    <n v="0"/>
    <n v="0"/>
    <n v="0"/>
    <n v="0"/>
  </r>
  <r>
    <d v="2026-07-10T00:00:00"/>
    <n v="2026"/>
    <x v="22"/>
    <s v="R"/>
    <s v="RS"/>
    <x v="6"/>
    <s v="TOR"/>
    <s v="A"/>
    <n v="2"/>
    <n v="1"/>
    <n v="1"/>
    <n v="-1"/>
    <n v="8"/>
    <n v="-8"/>
    <n v="1560.5142265093593"/>
    <n v="1443.7473678542303"/>
    <n v="0.56972386140907172"/>
    <n v="108"/>
    <n v="95"/>
    <n v="0"/>
    <n v="13"/>
    <n v="1"/>
    <n v="0.43018435879794509"/>
    <n v="1"/>
    <n v="72.55"/>
    <n v="72.55"/>
    <n v="13.428864600209371"/>
    <n v="1573.9430911095687"/>
    <n v="1"/>
    <n v="0"/>
    <n v="0"/>
    <n v="0"/>
    <n v="0"/>
    <n v="0"/>
    <n v="0"/>
    <n v="0"/>
    <n v="0"/>
    <n v="0"/>
  </r>
  <r>
    <d v="2026-07-10T00:00:00"/>
    <n v="2026"/>
    <x v="21"/>
    <s v="R"/>
    <s v="RS"/>
    <x v="5"/>
    <s v="DAL"/>
    <s v="H"/>
    <n v="1"/>
    <n v="2"/>
    <n v="-1"/>
    <n v="1"/>
    <n v="-8"/>
    <n v="8"/>
    <n v="1443.7473678542303"/>
    <n v="1560.5142265093593"/>
    <n v="0.43027613859092817"/>
    <n v="95"/>
    <n v="108"/>
    <n v="0"/>
    <n v="-13"/>
    <n v="0"/>
    <n v="0.43018435879794509"/>
    <n v="1"/>
    <n v="72.7"/>
    <n v="72.7"/>
    <n v="-13.456629309927239"/>
    <n v="1430.2907385443032"/>
    <n v="0"/>
    <n v="1"/>
    <n v="0"/>
    <n v="0"/>
    <n v="0"/>
    <n v="0"/>
    <n v="0"/>
    <n v="0"/>
    <n v="0"/>
    <n v="0"/>
  </r>
  <r>
    <d v="2026-07-11T00:00:00"/>
    <n v="2026"/>
    <x v="22"/>
    <s v="R"/>
    <s v="RS"/>
    <x v="13"/>
    <s v="ATL"/>
    <s v="A"/>
    <n v="1"/>
    <n v="1"/>
    <n v="0"/>
    <n v="0"/>
    <n v="0"/>
    <n v="0"/>
    <n v="1404.6581233682368"/>
    <n v="1567.7878532384445"/>
    <n v="0.19425539227828828"/>
    <n v="102"/>
    <n v="92"/>
    <n v="0"/>
    <n v="10"/>
    <n v="1"/>
    <n v="0.37249252809348338"/>
    <n v="1"/>
    <n v="72.55"/>
    <n v="72.55"/>
    <n v="21.774710522072951"/>
    <n v="1426.4328338903097"/>
    <n v="1"/>
    <n v="0"/>
    <n v="0"/>
    <n v="0"/>
    <n v="0"/>
    <n v="0"/>
    <n v="0"/>
    <n v="0"/>
    <n v="0"/>
    <n v="0"/>
  </r>
  <r>
    <d v="2026-07-11T00:00:00"/>
    <n v="2026"/>
    <x v="22"/>
    <s v="R"/>
    <s v="RS"/>
    <x v="10"/>
    <s v="POR"/>
    <s v="H"/>
    <n v="1"/>
    <n v="1"/>
    <n v="0"/>
    <n v="0"/>
    <n v="0"/>
    <n v="0"/>
    <n v="1567.7878532384445"/>
    <n v="1404.6581233682368"/>
    <n v="0.80574460772171175"/>
    <n v="92"/>
    <n v="102"/>
    <n v="0"/>
    <n v="-10"/>
    <n v="0"/>
    <n v="0.37249252809348338"/>
    <n v="1"/>
    <n v="72.55"/>
    <n v="72.55"/>
    <n v="-21.774710522072951"/>
    <n v="1546.0131427163715"/>
    <n v="0"/>
    <n v="1"/>
    <n v="0"/>
    <n v="0"/>
    <n v="0"/>
    <n v="0"/>
    <n v="0"/>
    <n v="0"/>
    <n v="0"/>
    <n v="0"/>
  </r>
  <r>
    <d v="2026-07-11T00:00:00"/>
    <n v="2026"/>
    <x v="23"/>
    <s v="R"/>
    <s v="RS"/>
    <x v="8"/>
    <s v="LVA"/>
    <s v="A"/>
    <n v="1"/>
    <n v="1"/>
    <n v="0"/>
    <n v="0"/>
    <n v="0"/>
    <n v="0"/>
    <n v="1457.3760850211841"/>
    <n v="1631.1437590497806"/>
    <n v="0.18484961588835297"/>
    <n v="58"/>
    <n v="106"/>
    <n v="0"/>
    <n v="-48"/>
    <n v="0"/>
    <n v="0.78822867300739108"/>
    <n v="1"/>
    <n v="72.400000000000006"/>
    <n v="72.400000000000006"/>
    <n v="-10.548952762482417"/>
    <n v="1446.8271322587016"/>
    <n v="0"/>
    <n v="1"/>
    <n v="0"/>
    <n v="0"/>
    <n v="0"/>
    <n v="0"/>
    <n v="0"/>
    <n v="0"/>
    <n v="0"/>
    <n v="0"/>
  </r>
  <r>
    <d v="2026-07-11T00:00:00"/>
    <n v="2026"/>
    <x v="22"/>
    <s v="R"/>
    <s v="RS"/>
    <x v="9"/>
    <s v="PHX"/>
    <s v="H"/>
    <n v="1"/>
    <n v="1"/>
    <n v="0"/>
    <n v="0"/>
    <n v="0"/>
    <n v="0"/>
    <n v="1631.1437590497806"/>
    <n v="1457.3760850211841"/>
    <n v="0.81515038411164698"/>
    <n v="106"/>
    <n v="58"/>
    <n v="0"/>
    <n v="48"/>
    <n v="1"/>
    <n v="0.78822867300739108"/>
    <n v="1"/>
    <n v="72.55"/>
    <n v="72.55"/>
    <n v="10.570808327598058"/>
    <n v="1641.7145673773787"/>
    <n v="1"/>
    <n v="0"/>
    <n v="0"/>
    <n v="0"/>
    <n v="0"/>
    <n v="0"/>
    <n v="0"/>
    <n v="0"/>
    <n v="0"/>
    <n v="0"/>
  </r>
  <r>
    <d v="2026-07-11T00:00:00"/>
    <n v="2026"/>
    <x v="22"/>
    <s v="R"/>
    <s v="RS"/>
    <x v="1"/>
    <s v="MIN"/>
    <s v="A"/>
    <n v="3"/>
    <n v="2"/>
    <n v="1"/>
    <n v="-1"/>
    <n v="8"/>
    <n v="-8"/>
    <n v="1551.6041393566857"/>
    <n v="1657.3474336395357"/>
    <n v="0.26891256000062963"/>
    <n v="85"/>
    <n v="90"/>
    <n v="0"/>
    <n v="-5"/>
    <n v="0"/>
    <n v="0.30488930886843929"/>
    <n v="1"/>
    <n v="72.55"/>
    <n v="72.55"/>
    <n v="-5.9482703591642458"/>
    <n v="1545.6558689975213"/>
    <n v="0"/>
    <n v="1"/>
    <n v="0"/>
    <n v="0"/>
    <n v="0"/>
    <n v="0"/>
    <n v="0"/>
    <n v="0"/>
    <n v="0"/>
    <n v="0"/>
  </r>
  <r>
    <d v="2026-07-11T00:00:00"/>
    <n v="2026"/>
    <x v="22"/>
    <s v="R"/>
    <s v="RS"/>
    <x v="11"/>
    <s v="NYL"/>
    <s v="H"/>
    <n v="2"/>
    <n v="3"/>
    <n v="-1"/>
    <n v="1"/>
    <n v="-8"/>
    <n v="8"/>
    <n v="1657.3474336395357"/>
    <n v="1551.6041393566857"/>
    <n v="0.73108743999937031"/>
    <n v="90"/>
    <n v="85"/>
    <n v="0"/>
    <n v="5"/>
    <n v="1"/>
    <n v="0.30488930886843929"/>
    <n v="1"/>
    <n v="72.55"/>
    <n v="72.55"/>
    <n v="5.9482703591642467"/>
    <n v="1663.2957039987"/>
    <n v="1"/>
    <n v="0"/>
    <n v="0"/>
    <n v="0"/>
    <n v="0"/>
    <n v="0"/>
    <n v="0"/>
    <n v="0"/>
    <n v="0"/>
    <n v="0"/>
  </r>
  <r>
    <d v="2026-07-12T00:00:00"/>
    <n v="2026"/>
    <x v="22"/>
    <s v="R"/>
    <s v="RS"/>
    <x v="12"/>
    <s v="DAL"/>
    <s v="A"/>
    <n v="1"/>
    <n v="1"/>
    <n v="0"/>
    <n v="0"/>
    <n v="0"/>
    <n v="0"/>
    <n v="1387.8837681212092"/>
    <n v="1573.9430911095687"/>
    <n v="0.17442483225240113"/>
    <n v="91"/>
    <n v="96"/>
    <n v="0"/>
    <n v="-5"/>
    <n v="0"/>
    <n v="0.28722231722028585"/>
    <n v="1"/>
    <n v="72.55"/>
    <n v="72.55"/>
    <n v="-3.6346610114963518"/>
    <n v="1384.2491071097129"/>
    <n v="0"/>
    <n v="1"/>
    <n v="0"/>
    <n v="0"/>
    <n v="0"/>
    <n v="0"/>
    <n v="0"/>
    <n v="0"/>
    <n v="0"/>
    <n v="0"/>
  </r>
  <r>
    <d v="2026-07-12T00:00:00"/>
    <n v="2026"/>
    <x v="23"/>
    <s v="R"/>
    <s v="RS"/>
    <x v="6"/>
    <s v="CHI"/>
    <s v="H"/>
    <n v="1"/>
    <n v="1"/>
    <n v="0"/>
    <n v="0"/>
    <n v="0"/>
    <n v="0"/>
    <n v="1573.9430911095687"/>
    <n v="1387.8837681212092"/>
    <n v="0.82557516774759887"/>
    <n v="96"/>
    <n v="91"/>
    <n v="0"/>
    <n v="5"/>
    <n v="1"/>
    <n v="0.28722231722028585"/>
    <n v="1"/>
    <n v="72.400000000000006"/>
    <n v="72.400000000000006"/>
    <n v="3.6271462058213082"/>
    <n v="1577.5702373153902"/>
    <n v="1"/>
    <n v="0"/>
    <n v="0"/>
    <n v="0"/>
    <n v="0"/>
    <n v="0"/>
    <n v="0"/>
    <n v="0"/>
    <n v="0"/>
    <n v="0"/>
  </r>
  <r>
    <d v="2026-07-12T00:00:00"/>
    <n v="2026"/>
    <x v="22"/>
    <s v="R"/>
    <s v="RS"/>
    <x v="7"/>
    <s v="LVA"/>
    <s v="A"/>
    <n v="2"/>
    <n v="0"/>
    <n v="2"/>
    <n v="-2"/>
    <n v="16"/>
    <n v="-16"/>
    <n v="1563.5239924651746"/>
    <n v="1641.7145673773787"/>
    <n v="0.32094394610357663"/>
    <n v="109"/>
    <n v="75"/>
    <n v="0"/>
    <n v="34"/>
    <n v="1"/>
    <n v="0.70476309380151192"/>
    <n v="1"/>
    <n v="72.55"/>
    <n v="72.55"/>
    <n v="34.72051797440043"/>
    <n v="1598.2445104395752"/>
    <n v="1"/>
    <n v="0"/>
    <n v="0"/>
    <n v="0"/>
    <n v="0"/>
    <n v="0"/>
    <n v="0"/>
    <n v="0"/>
    <n v="0"/>
    <n v="0"/>
  </r>
  <r>
    <d v="2026-07-12T00:00:00"/>
    <n v="2026"/>
    <x v="23"/>
    <s v="R"/>
    <s v="RS"/>
    <x v="9"/>
    <s v="IND"/>
    <s v="H"/>
    <n v="0"/>
    <n v="2"/>
    <n v="-2"/>
    <n v="2"/>
    <n v="-16"/>
    <n v="16"/>
    <n v="1641.7145673773787"/>
    <n v="1563.5239924651746"/>
    <n v="0.67905605389642343"/>
    <n v="75"/>
    <n v="109"/>
    <n v="0"/>
    <n v="-34"/>
    <n v="0"/>
    <n v="0.70476309380151192"/>
    <n v="1"/>
    <n v="72.400000000000006"/>
    <n v="72.400000000000006"/>
    <n v="-34.648731927589125"/>
    <n v="1607.0658354497896"/>
    <n v="0"/>
    <n v="1"/>
    <n v="0"/>
    <n v="0"/>
    <n v="0"/>
    <n v="0"/>
    <n v="0"/>
    <n v="0"/>
    <n v="0"/>
    <n v="0"/>
  </r>
  <r>
    <d v="2026-07-12T00:00:00"/>
    <n v="2026"/>
    <x v="23"/>
    <s v="R"/>
    <s v="RS"/>
    <x v="1"/>
    <s v="TOR"/>
    <s v="A"/>
    <n v="0"/>
    <n v="1"/>
    <n v="-1"/>
    <n v="1"/>
    <n v="-8"/>
    <n v="8"/>
    <n v="1545.6558689975213"/>
    <n v="1430.2907385443032"/>
    <n v="0.5220977958145151"/>
    <n v="91"/>
    <n v="93"/>
    <n v="0"/>
    <n v="-2"/>
    <n v="0"/>
    <n v="0.24435008769075392"/>
    <n v="1"/>
    <n v="72.400000000000006"/>
    <n v="72.400000000000006"/>
    <n v="-9.2364040945868506"/>
    <n v="1536.4194649029346"/>
    <n v="0"/>
    <n v="1"/>
    <n v="0"/>
    <n v="0"/>
    <n v="0"/>
    <n v="0"/>
    <n v="0"/>
    <n v="0"/>
    <n v="0"/>
    <n v="0"/>
  </r>
  <r>
    <d v="2026-07-12T00:00:00"/>
    <n v="2026"/>
    <x v="22"/>
    <s v="R"/>
    <s v="RS"/>
    <x v="5"/>
    <s v="NYL"/>
    <s v="H"/>
    <n v="1"/>
    <n v="0"/>
    <n v="1"/>
    <n v="-1"/>
    <n v="8"/>
    <n v="-8"/>
    <n v="1430.2907385443032"/>
    <n v="1545.6558689975213"/>
    <n v="0.4779022041854849"/>
    <n v="93"/>
    <n v="91"/>
    <n v="0"/>
    <n v="2"/>
    <n v="1"/>
    <n v="0.24435008769075392"/>
    <n v="1"/>
    <n v="72.55"/>
    <n v="72.55"/>
    <n v="9.2555402909154125"/>
    <n v="1439.5462788352186"/>
    <n v="1"/>
    <n v="0"/>
    <n v="0"/>
    <n v="0"/>
    <n v="0"/>
    <n v="0"/>
    <n v="0"/>
    <n v="0"/>
    <n v="0"/>
    <n v="0"/>
  </r>
  <r>
    <d v="2026-07-12T00:00:00"/>
    <n v="2026"/>
    <x v="24"/>
    <s v="R"/>
    <s v="RS"/>
    <x v="3"/>
    <s v="WAS"/>
    <s v="A"/>
    <n v="2"/>
    <n v="5"/>
    <n v="-3"/>
    <n v="3"/>
    <n v="-16"/>
    <n v="16"/>
    <n v="1398.8948310528956"/>
    <n v="1447.7493764479675"/>
    <n v="0.27909019024709814"/>
    <n v="79"/>
    <n v="84"/>
    <n v="0"/>
    <n v="-5"/>
    <n v="0"/>
    <n v="0.31877785289043176"/>
    <n v="1"/>
    <n v="72.25"/>
    <n v="72.25"/>
    <n v="-6.4279214988045856"/>
    <n v="1392.466909554091"/>
    <n v="0"/>
    <n v="1"/>
    <n v="0"/>
    <n v="0"/>
    <n v="0"/>
    <n v="0"/>
    <n v="0"/>
    <n v="0"/>
    <n v="0"/>
    <n v="0"/>
  </r>
  <r>
    <d v="2026-07-12T00:00:00"/>
    <n v="2026"/>
    <x v="20"/>
    <s v="R"/>
    <s v="RS"/>
    <x v="4"/>
    <s v="SEA"/>
    <s v="H"/>
    <n v="5"/>
    <n v="2"/>
    <n v="3"/>
    <n v="-3"/>
    <n v="16"/>
    <n v="-16"/>
    <n v="1447.7493764479675"/>
    <n v="1398.8948310528956"/>
    <n v="0.72090980975290186"/>
    <n v="84"/>
    <n v="79"/>
    <n v="0"/>
    <n v="5"/>
    <n v="1"/>
    <n v="0.31877785289043176"/>
    <n v="1"/>
    <n v="72.849999999999994"/>
    <n v="72.849999999999994"/>
    <n v="6.4813021617704365"/>
    <n v="1454.2306786097379"/>
    <n v="1"/>
    <n v="0"/>
    <n v="0"/>
    <n v="0"/>
    <n v="0"/>
    <n v="0"/>
    <n v="0"/>
    <n v="0"/>
    <n v="0"/>
    <n v="0"/>
  </r>
  <r>
    <d v="2026-07-13T00:00:00"/>
    <n v="2026"/>
    <x v="21"/>
    <s v="R"/>
    <s v="RS"/>
    <x v="14"/>
    <s v="ATL"/>
    <s v="A"/>
    <n v="2"/>
    <n v="1"/>
    <n v="1"/>
    <n v="-1"/>
    <n v="8"/>
    <n v="-8"/>
    <n v="1447.7799584755489"/>
    <n v="1546.0131427163715"/>
    <n v="0.27749626217352691"/>
    <n v="92"/>
    <n v="101"/>
    <n v="0"/>
    <n v="-9"/>
    <n v="0"/>
    <n v="0.37525295030998224"/>
    <n v="1"/>
    <n v="72.7"/>
    <n v="72.7"/>
    <n v="-7.5703448615602236"/>
    <n v="1440.2096136139887"/>
    <n v="0"/>
    <n v="1"/>
    <n v="0"/>
    <n v="0"/>
    <n v="0"/>
    <n v="0"/>
    <n v="0"/>
    <n v="0"/>
    <n v="0"/>
    <n v="0"/>
  </r>
  <r>
    <d v="2026-07-13T00:00:00"/>
    <n v="2026"/>
    <x v="23"/>
    <s v="R"/>
    <s v="RS"/>
    <x v="10"/>
    <s v="LAS"/>
    <s v="H"/>
    <n v="1"/>
    <n v="2"/>
    <n v="-1"/>
    <n v="1"/>
    <n v="-8"/>
    <n v="8"/>
    <n v="1546.0131427163715"/>
    <n v="1447.7799584755489"/>
    <n v="0.72250373782647315"/>
    <n v="101"/>
    <n v="92"/>
    <n v="0"/>
    <n v="9"/>
    <n v="1"/>
    <n v="0.37525295030998224"/>
    <n v="1"/>
    <n v="72.400000000000006"/>
    <n v="72.400000000000006"/>
    <n v="7.5391054742360399"/>
    <n v="1553.5522481906075"/>
    <n v="1"/>
    <n v="0"/>
    <n v="0"/>
    <n v="0"/>
    <n v="0"/>
    <n v="0"/>
    <n v="0"/>
    <n v="0"/>
    <n v="0"/>
    <n v="0"/>
  </r>
  <r>
    <d v="2026-07-13T00:00:00"/>
    <n v="2026"/>
    <x v="24"/>
    <s v="R"/>
    <s v="RS"/>
    <x v="8"/>
    <s v="MIN"/>
    <s v="A"/>
    <n v="1"/>
    <n v="1"/>
    <n v="0"/>
    <n v="0"/>
    <n v="0"/>
    <n v="0"/>
    <n v="1446.8271322587016"/>
    <n v="1663.2957039987"/>
    <n v="0.15063412792056735"/>
    <n v="100"/>
    <n v="104"/>
    <n v="0"/>
    <n v="-4"/>
    <n v="0"/>
    <n v="0.26383873905905036"/>
    <n v="1"/>
    <n v="72.25"/>
    <n v="72.25"/>
    <n v="-2.8714403022196526"/>
    <n v="1443.9556919564818"/>
    <n v="0"/>
    <n v="1"/>
    <n v="0"/>
    <n v="0"/>
    <n v="0"/>
    <n v="0"/>
    <n v="0"/>
    <n v="0"/>
    <n v="0"/>
    <n v="0"/>
  </r>
  <r>
    <d v="2026-07-13T00:00:00"/>
    <n v="2026"/>
    <x v="23"/>
    <s v="R"/>
    <s v="RS"/>
    <x v="11"/>
    <s v="PHX"/>
    <s v="H"/>
    <n v="1"/>
    <n v="1"/>
    <n v="0"/>
    <n v="0"/>
    <n v="0"/>
    <n v="0"/>
    <n v="1663.2957039987"/>
    <n v="1446.8271322587016"/>
    <n v="0.8493658720794327"/>
    <n v="104"/>
    <n v="100"/>
    <n v="0"/>
    <n v="4"/>
    <n v="1"/>
    <n v="0.26383873905905036"/>
    <n v="1"/>
    <n v="72.400000000000006"/>
    <n v="72.400000000000006"/>
    <n v="2.8774017699751253"/>
    <n v="1666.1731057686752"/>
    <n v="1"/>
    <n v="0"/>
    <n v="0"/>
    <n v="0"/>
    <n v="0"/>
    <n v="0"/>
    <n v="0"/>
    <n v="0"/>
    <n v="0"/>
    <n v="0"/>
  </r>
  <r>
    <d v="2026-07-14T00:00:00"/>
    <n v="2026"/>
    <x v="23"/>
    <s v="R"/>
    <s v="RS"/>
    <x v="13"/>
    <s v="CON"/>
    <s v="A"/>
    <n v="2"/>
    <n v="3"/>
    <n v="-1"/>
    <n v="1"/>
    <n v="-8"/>
    <n v="8"/>
    <n v="1426.4328338903097"/>
    <n v="1343.6235302233179"/>
    <n v="0.47528076815573533"/>
    <n v="87"/>
    <n v="90"/>
    <n v="0"/>
    <n v="-3"/>
    <n v="0"/>
    <n v="0.2714512783178607"/>
    <n v="1"/>
    <n v="72.400000000000006"/>
    <n v="72.400000000000006"/>
    <n v="-9.3407274182856863"/>
    <n v="1417.0921064720239"/>
    <n v="0"/>
    <n v="1"/>
    <n v="0"/>
    <n v="0"/>
    <n v="0"/>
    <n v="0"/>
    <n v="0"/>
    <n v="0"/>
    <n v="0"/>
    <n v="0"/>
  </r>
  <r>
    <d v="2026-07-14T00:00:00"/>
    <n v="2026"/>
    <x v="23"/>
    <s v="R"/>
    <s v="RS"/>
    <x v="0"/>
    <s v="POR"/>
    <s v="H"/>
    <n v="3"/>
    <n v="2"/>
    <n v="1"/>
    <n v="-1"/>
    <n v="8"/>
    <n v="-8"/>
    <n v="1343.6235302233179"/>
    <n v="1426.4328338903097"/>
    <n v="0.52471923184426461"/>
    <n v="90"/>
    <n v="87"/>
    <n v="0"/>
    <n v="3"/>
    <n v="1"/>
    <n v="0.2714512783178607"/>
    <n v="1"/>
    <n v="72.400000000000006"/>
    <n v="72.400000000000006"/>
    <n v="9.3407274182856881"/>
    <n v="1352.9642576416036"/>
    <n v="1"/>
    <n v="0"/>
    <n v="0"/>
    <n v="0"/>
    <n v="0"/>
    <n v="0"/>
    <n v="0"/>
    <n v="0"/>
    <n v="0"/>
    <n v="0"/>
  </r>
  <r>
    <d v="2026-07-14T00:00:00"/>
    <n v="2026"/>
    <x v="21"/>
    <s v="R"/>
    <s v="RS"/>
    <x v="4"/>
    <s v="TOR"/>
    <s v="A"/>
    <n v="1"/>
    <n v="1"/>
    <n v="0"/>
    <n v="0"/>
    <n v="0"/>
    <n v="0"/>
    <n v="1454.2306786097379"/>
    <n v="1439.5462788352186"/>
    <n v="0.40154957975185007"/>
    <n v="79"/>
    <n v="62"/>
    <n v="0"/>
    <n v="17"/>
    <n v="1"/>
    <n v="0.52600534181306746"/>
    <n v="1"/>
    <n v="72.7"/>
    <n v="72.7"/>
    <n v="22.885096168480306"/>
    <n v="1477.1157747782181"/>
    <n v="1"/>
    <n v="0"/>
    <n v="0"/>
    <n v="0"/>
    <n v="0"/>
    <n v="0"/>
    <n v="0"/>
    <n v="0"/>
    <n v="0"/>
    <n v="0"/>
  </r>
  <r>
    <d v="2026-07-14T00:00:00"/>
    <n v="2026"/>
    <x v="23"/>
    <s v="R"/>
    <s v="RS"/>
    <x v="5"/>
    <s v="WAS"/>
    <s v="H"/>
    <n v="1"/>
    <n v="1"/>
    <n v="0"/>
    <n v="0"/>
    <n v="0"/>
    <n v="0"/>
    <n v="1439.5462788352186"/>
    <n v="1454.2306786097379"/>
    <n v="0.59845042024814987"/>
    <n v="62"/>
    <n v="79"/>
    <n v="0"/>
    <n v="-17"/>
    <n v="0"/>
    <n v="0.52600534181306746"/>
    <n v="1"/>
    <n v="72.400000000000006"/>
    <n v="72.400000000000006"/>
    <n v="-22.790659733122059"/>
    <n v="1416.7556191020965"/>
    <n v="0"/>
    <n v="1"/>
    <n v="0"/>
    <n v="0"/>
    <n v="0"/>
    <n v="0"/>
    <n v="0"/>
    <n v="0"/>
    <n v="0"/>
    <n v="0"/>
  </r>
  <r>
    <d v="2026-07-15T00:00:00"/>
    <n v="2026"/>
    <x v="25"/>
    <s v="R"/>
    <s v="RS"/>
    <x v="3"/>
    <s v="CHI"/>
    <s v="A"/>
    <n v="2"/>
    <n v="2"/>
    <n v="0"/>
    <n v="0"/>
    <n v="0"/>
    <n v="0"/>
    <n v="1392.466909554091"/>
    <n v="1384.2491071097129"/>
    <n v="0.39263788675285544"/>
    <n v="90"/>
    <n v="95"/>
    <n v="0"/>
    <n v="-5"/>
    <n v="0"/>
    <n v="0.32949950724784544"/>
    <n v="1"/>
    <n v="72.099999999999994"/>
    <n v="72.099999999999994"/>
    <n v="-9.3278646942780767"/>
    <n v="1383.1390448598129"/>
    <n v="0"/>
    <n v="1"/>
    <n v="0"/>
    <n v="0"/>
    <n v="0"/>
    <n v="0"/>
    <n v="0"/>
    <n v="0"/>
    <n v="0"/>
    <n v="0"/>
  </r>
  <r>
    <d v="2026-07-15T00:00:00"/>
    <n v="2026"/>
    <x v="23"/>
    <s v="R"/>
    <s v="RS"/>
    <x v="12"/>
    <s v="SEA"/>
    <s v="H"/>
    <n v="2"/>
    <n v="2"/>
    <n v="0"/>
    <n v="0"/>
    <n v="0"/>
    <n v="0"/>
    <n v="1384.2491071097129"/>
    <n v="1392.466909554091"/>
    <n v="0.60736211324714451"/>
    <n v="95"/>
    <n v="90"/>
    <n v="0"/>
    <n v="5"/>
    <n v="1"/>
    <n v="0.32949950724784544"/>
    <n v="1"/>
    <n v="72.400000000000006"/>
    <n v="72.400000000000006"/>
    <n v="9.3666768913416494"/>
    <n v="1393.6157840010546"/>
    <n v="1"/>
    <n v="0"/>
    <n v="0"/>
    <n v="0"/>
    <n v="0"/>
    <n v="0"/>
    <n v="0"/>
    <n v="0"/>
    <n v="0"/>
    <n v="0"/>
  </r>
  <r>
    <d v="2026-07-15T00:00:00"/>
    <n v="2026"/>
    <x v="24"/>
    <s v="R"/>
    <s v="RS"/>
    <x v="2"/>
    <s v="IND"/>
    <s v="A"/>
    <n v="4"/>
    <n v="2"/>
    <n v="2"/>
    <n v="-2"/>
    <n v="16"/>
    <n v="-16"/>
    <n v="1636.392899292724"/>
    <n v="1598.2445104395752"/>
    <n v="0.48007648397885694"/>
    <n v="88"/>
    <n v="75"/>
    <n v="0"/>
    <n v="13"/>
    <n v="1"/>
    <n v="0.45749969218279657"/>
    <n v="1"/>
    <n v="72.25"/>
    <n v="72.25"/>
    <n v="17.185735306890027"/>
    <n v="1653.5786345996141"/>
    <n v="1"/>
    <n v="0"/>
    <n v="0"/>
    <n v="0"/>
    <n v="0"/>
    <n v="0"/>
    <n v="0"/>
    <n v="0"/>
    <n v="0"/>
    <n v="0"/>
  </r>
  <r>
    <d v="2026-07-15T00:00:00"/>
    <n v="2026"/>
    <x v="23"/>
    <s v="R"/>
    <s v="RS"/>
    <x v="7"/>
    <s v="GSV"/>
    <s v="H"/>
    <n v="2"/>
    <n v="4"/>
    <n v="-2"/>
    <n v="2"/>
    <n v="-16"/>
    <n v="16"/>
    <n v="1598.2445104395752"/>
    <n v="1636.392899292724"/>
    <n v="0.51992351602114306"/>
    <n v="75"/>
    <n v="88"/>
    <n v="0"/>
    <n v="-13"/>
    <n v="0"/>
    <n v="0.45749969218279657"/>
    <n v="1"/>
    <n v="72.400000000000006"/>
    <n v="72.400000000000006"/>
    <n v="-17.221415034170768"/>
    <n v="1581.0230954054043"/>
    <n v="0"/>
    <n v="1"/>
    <n v="0"/>
    <n v="0"/>
    <n v="0"/>
    <n v="0"/>
    <n v="0"/>
    <n v="0"/>
    <n v="0"/>
    <n v="0"/>
  </r>
  <r>
    <d v="2026-07-15T00:00:00"/>
    <n v="2026"/>
    <x v="22"/>
    <s v="R"/>
    <s v="RS"/>
    <x v="14"/>
    <s v="MIN"/>
    <s v="A"/>
    <n v="1"/>
    <n v="1"/>
    <n v="0"/>
    <n v="0"/>
    <n v="0"/>
    <n v="0"/>
    <n v="1440.2096136139887"/>
    <n v="1666.1731057686752"/>
    <n v="0.14377380878460472"/>
    <n v="87"/>
    <n v="96"/>
    <n v="0"/>
    <n v="-9"/>
    <n v="0"/>
    <n v="0.34163976515314903"/>
    <n v="1"/>
    <n v="72.55"/>
    <n v="72.55"/>
    <n v="-3.5635725869685104"/>
    <n v="1436.6460410270201"/>
    <n v="0"/>
    <n v="1"/>
    <n v="0"/>
    <n v="0"/>
    <n v="0"/>
    <n v="0"/>
    <n v="0"/>
    <n v="0"/>
    <n v="0"/>
    <n v="0"/>
  </r>
  <r>
    <d v="2026-07-15T00:00:00"/>
    <n v="2026"/>
    <x v="24"/>
    <s v="R"/>
    <s v="RS"/>
    <x v="11"/>
    <s v="LAS"/>
    <s v="H"/>
    <n v="1"/>
    <n v="1"/>
    <n v="0"/>
    <n v="0"/>
    <n v="0"/>
    <n v="0"/>
    <n v="1666.1731057686752"/>
    <n v="1440.2096136139887"/>
    <n v="0.85622619121539534"/>
    <n v="96"/>
    <n v="87"/>
    <n v="0"/>
    <n v="9"/>
    <n v="1"/>
    <n v="0.34163976515314903"/>
    <n v="1"/>
    <n v="72.25"/>
    <n v="72.25"/>
    <n v="3.5488369318880051"/>
    <n v="1669.7219427005632"/>
    <n v="1"/>
    <n v="0"/>
    <n v="0"/>
    <n v="0"/>
    <n v="0"/>
    <n v="0"/>
    <n v="0"/>
    <n v="0"/>
    <n v="0"/>
    <n v="0"/>
  </r>
  <r>
    <d v="2026-07-16T00:00:00"/>
    <n v="2026"/>
    <x v="24"/>
    <s v="R"/>
    <s v="RS"/>
    <x v="13"/>
    <s v="WAS"/>
    <s v="A"/>
    <n v="1"/>
    <n v="1"/>
    <n v="0"/>
    <n v="0"/>
    <n v="0"/>
    <n v="0"/>
    <n v="1417.0921064720239"/>
    <n v="1477.1157747782181"/>
    <n v="0.30384240980527044"/>
    <n v="75"/>
    <n v="56"/>
    <n v="0"/>
    <n v="19"/>
    <n v="1"/>
    <n v="0.53425431934357448"/>
    <n v="1"/>
    <n v="72.25"/>
    <n v="72.25"/>
    <n v="26.871595664261413"/>
    <n v="1443.9637021362853"/>
    <n v="1"/>
    <n v="0"/>
    <n v="0"/>
    <n v="0"/>
    <n v="0"/>
    <n v="0"/>
    <n v="0"/>
    <n v="0"/>
    <n v="0"/>
    <n v="0"/>
  </r>
  <r>
    <d v="2026-07-16T00:00:00"/>
    <n v="2026"/>
    <x v="22"/>
    <s v="R"/>
    <s v="RS"/>
    <x v="4"/>
    <s v="POR"/>
    <s v="H"/>
    <n v="1"/>
    <n v="1"/>
    <n v="0"/>
    <n v="0"/>
    <n v="0"/>
    <n v="0"/>
    <n v="1477.1157747782181"/>
    <n v="1417.0921064720239"/>
    <n v="0.69615759019472956"/>
    <n v="56"/>
    <n v="75"/>
    <n v="0"/>
    <n v="-19"/>
    <n v="0"/>
    <n v="0.53425431934357448"/>
    <n v="1"/>
    <n v="72.55"/>
    <n v="72.55"/>
    <n v="-26.98317322411302"/>
    <n v="1450.1326015541051"/>
    <n v="0"/>
    <n v="1"/>
    <n v="0"/>
    <n v="0"/>
    <n v="0"/>
    <n v="0"/>
    <n v="0"/>
    <n v="0"/>
    <n v="0"/>
    <n v="0"/>
  </r>
  <r>
    <d v="2026-07-17T00:00:00"/>
    <n v="2026"/>
    <x v="23"/>
    <s v="R"/>
    <s v="RS"/>
    <x v="14"/>
    <s v="CHI"/>
    <s v="A"/>
    <n v="1"/>
    <n v="1"/>
    <n v="0"/>
    <n v="0"/>
    <n v="0"/>
    <n v="0"/>
    <n v="1436.6460410270201"/>
    <n v="1393.6157840010546"/>
    <n v="0.44131157368570639"/>
    <n v="82"/>
    <n v="96"/>
    <n v="0"/>
    <n v="-14"/>
    <n v="0"/>
    <n v="0.47072846451934658"/>
    <n v="1"/>
    <n v="72.400000000000006"/>
    <n v="72.400000000000006"/>
    <n v="-15.040225368591887"/>
    <n v="1421.6058156584284"/>
    <n v="0"/>
    <n v="1"/>
    <n v="0"/>
    <n v="0"/>
    <n v="0"/>
    <n v="0"/>
    <n v="0"/>
    <n v="0"/>
    <n v="0"/>
    <n v="0"/>
  </r>
  <r>
    <d v="2026-07-17T00:00:00"/>
    <n v="2026"/>
    <x v="24"/>
    <s v="R"/>
    <s v="RS"/>
    <x v="12"/>
    <s v="LAS"/>
    <s v="H"/>
    <n v="1"/>
    <n v="1"/>
    <n v="0"/>
    <n v="0"/>
    <n v="0"/>
    <n v="0"/>
    <n v="1393.6157840010546"/>
    <n v="1436.6460410270201"/>
    <n v="0.55868842631429361"/>
    <n v="96"/>
    <n v="82"/>
    <n v="0"/>
    <n v="14"/>
    <n v="1"/>
    <n v="0.47072846451934658"/>
    <n v="1"/>
    <n v="72.25"/>
    <n v="72.25"/>
    <n v="15.009064680673534"/>
    <n v="1408.6248486817283"/>
    <n v="1"/>
    <n v="0"/>
    <n v="0"/>
    <n v="0"/>
    <n v="0"/>
    <n v="0"/>
    <n v="0"/>
    <n v="0"/>
    <n v="0"/>
    <n v="0"/>
  </r>
  <r>
    <d v="2026-07-17T00:00:00"/>
    <n v="2026"/>
    <x v="26"/>
    <s v="R"/>
    <s v="RS"/>
    <x v="3"/>
    <s v="IND"/>
    <s v="A"/>
    <n v="1"/>
    <n v="1"/>
    <n v="0"/>
    <n v="0"/>
    <n v="0"/>
    <n v="0"/>
    <n v="1383.1390448598129"/>
    <n v="1581.0230954054043"/>
    <n v="0.1648390342549739"/>
    <n v="107"/>
    <n v="110"/>
    <n v="0"/>
    <n v="-3"/>
    <n v="0"/>
    <n v="0.24910522813572414"/>
    <n v="1"/>
    <n v="71.95"/>
    <n v="71.95"/>
    <n v="-2.9544299835688679"/>
    <n v="1380.184614876244"/>
    <n v="0"/>
    <n v="1"/>
    <n v="0"/>
    <n v="0"/>
    <n v="0"/>
    <n v="0"/>
    <n v="0"/>
    <n v="0"/>
    <n v="0"/>
    <n v="0"/>
  </r>
  <r>
    <d v="2026-07-17T00:00:00"/>
    <n v="2026"/>
    <x v="24"/>
    <s v="R"/>
    <s v="RS"/>
    <x v="7"/>
    <s v="SEA"/>
    <s v="H"/>
    <n v="1"/>
    <n v="1"/>
    <n v="0"/>
    <n v="0"/>
    <n v="0"/>
    <n v="0"/>
    <n v="1581.0230954054043"/>
    <n v="1383.1390448598129"/>
    <n v="0.83516096574502618"/>
    <n v="110"/>
    <n v="107"/>
    <n v="0"/>
    <n v="3"/>
    <n v="1"/>
    <n v="0.24910522813572414"/>
    <n v="1"/>
    <n v="72.25"/>
    <n v="72.25"/>
    <n v="2.9667486631389939"/>
    <n v="1583.9898440685433"/>
    <n v="1"/>
    <n v="0"/>
    <n v="0"/>
    <n v="0"/>
    <n v="0"/>
    <n v="0"/>
    <n v="0"/>
    <n v="0"/>
    <n v="0"/>
    <n v="0"/>
  </r>
  <r>
    <d v="2026-07-17T00:00:00"/>
    <n v="2026"/>
    <x v="24"/>
    <s v="R"/>
    <s v="RS"/>
    <x v="0"/>
    <s v="PHX"/>
    <s v="A"/>
    <n v="2"/>
    <n v="3"/>
    <n v="-1"/>
    <n v="1"/>
    <n v="-8"/>
    <n v="8"/>
    <n v="1352.9642576416036"/>
    <n v="1443.9556919564818"/>
    <n v="0.24984575951239255"/>
    <n v="96"/>
    <n v="83"/>
    <n v="0"/>
    <n v="13"/>
    <n v="1"/>
    <n v="0.43877324955107405"/>
    <n v="1"/>
    <n v="72.25"/>
    <n v="72.25"/>
    <n v="23.780915094395926"/>
    <n v="1376.7451727359994"/>
    <n v="1"/>
    <n v="0"/>
    <n v="0"/>
    <n v="0"/>
    <n v="0"/>
    <n v="0"/>
    <n v="0"/>
    <n v="0"/>
    <n v="0"/>
    <n v="0"/>
  </r>
  <r>
    <d v="2026-07-17T00:00:00"/>
    <n v="2026"/>
    <x v="25"/>
    <s v="R"/>
    <s v="RS"/>
    <x v="8"/>
    <s v="CON"/>
    <s v="H"/>
    <n v="3"/>
    <n v="2"/>
    <n v="1"/>
    <n v="-1"/>
    <n v="8"/>
    <n v="-8"/>
    <n v="1443.9556919564818"/>
    <n v="1352.9642576416036"/>
    <n v="0.75015424048760737"/>
    <n v="83"/>
    <n v="96"/>
    <n v="0"/>
    <n v="-13"/>
    <n v="0"/>
    <n v="0.43877324955107405"/>
    <n v="1"/>
    <n v="72.099999999999994"/>
    <n v="72.099999999999994"/>
    <n v="-23.731542952331431"/>
    <n v="1420.2241490041504"/>
    <n v="0"/>
    <n v="1"/>
    <n v="0"/>
    <n v="0"/>
    <n v="0"/>
    <n v="0"/>
    <n v="0"/>
    <n v="0"/>
    <n v="0"/>
    <n v="0"/>
  </r>
  <r>
    <d v="2026-07-17T00:00:00"/>
    <n v="2026"/>
    <x v="24"/>
    <s v="R"/>
    <s v="RS"/>
    <x v="10"/>
    <s v="TOR"/>
    <s v="A"/>
    <n v="3"/>
    <n v="2"/>
    <n v="1"/>
    <n v="-1"/>
    <n v="8"/>
    <n v="-8"/>
    <n v="1553.5522481906075"/>
    <n v="1416.7556191020965"/>
    <n v="0.59773230577086478"/>
    <n v="111"/>
    <n v="92"/>
    <n v="0"/>
    <n v="19"/>
    <n v="1"/>
    <n v="0.50357180188786066"/>
    <n v="1"/>
    <n v="72.25"/>
    <n v="72.25"/>
    <n v="14.635730735851384"/>
    <n v="1568.187978926459"/>
    <n v="1"/>
    <n v="0"/>
    <n v="0"/>
    <n v="0"/>
    <n v="0"/>
    <n v="0"/>
    <n v="0"/>
    <n v="0"/>
    <n v="0"/>
    <n v="0"/>
  </r>
  <r>
    <d v="2026-07-17T00:00:00"/>
    <n v="2026"/>
    <x v="24"/>
    <s v="R"/>
    <s v="RS"/>
    <x v="5"/>
    <s v="ATL"/>
    <s v="H"/>
    <n v="2"/>
    <n v="3"/>
    <n v="-1"/>
    <n v="1"/>
    <n v="-8"/>
    <n v="8"/>
    <n v="1416.7556191020965"/>
    <n v="1553.5522481906075"/>
    <n v="0.40226769422913516"/>
    <n v="92"/>
    <n v="111"/>
    <n v="0"/>
    <n v="-19"/>
    <n v="0"/>
    <n v="0.50357180188786066"/>
    <n v="1"/>
    <n v="72.25"/>
    <n v="72.25"/>
    <n v="-14.635730735851382"/>
    <n v="1402.119888366245"/>
    <n v="0"/>
    <n v="1"/>
    <n v="0"/>
    <n v="0"/>
    <n v="0"/>
    <n v="0"/>
    <n v="0"/>
    <n v="0"/>
    <n v="0"/>
    <n v="0"/>
  </r>
  <r>
    <d v="2026-07-18T00:00:00"/>
    <n v="2026"/>
    <x v="23"/>
    <s v="R"/>
    <s v="RS"/>
    <x v="4"/>
    <s v="GSV"/>
    <s v="A"/>
    <n v="1"/>
    <n v="2"/>
    <n v="-1"/>
    <n v="1"/>
    <n v="-8"/>
    <n v="8"/>
    <n v="1450.1326015541051"/>
    <n v="1653.5786345996141"/>
    <n v="0.1484543279805442"/>
    <n v="69"/>
    <n v="74"/>
    <n v="0"/>
    <n v="-5"/>
    <n v="0"/>
    <n v="0.28366403921467209"/>
    <n v="1"/>
    <n v="72.400000000000006"/>
    <n v="72.400000000000006"/>
    <n v="-3.048847572323528"/>
    <n v="1447.0837539817817"/>
    <n v="0"/>
    <n v="1"/>
    <n v="0"/>
    <n v="0"/>
    <n v="0"/>
    <n v="0"/>
    <n v="0"/>
    <n v="0"/>
    <n v="0"/>
    <n v="0"/>
  </r>
  <r>
    <d v="2026-07-18T00:00:00"/>
    <n v="2026"/>
    <x v="25"/>
    <s v="R"/>
    <s v="RS"/>
    <x v="2"/>
    <s v="WAS"/>
    <s v="H"/>
    <n v="2"/>
    <n v="1"/>
    <n v="1"/>
    <n v="-1"/>
    <n v="8"/>
    <n v="-8"/>
    <n v="1653.5786345996141"/>
    <n v="1450.1326015541051"/>
    <n v="0.85154567201945575"/>
    <n v="74"/>
    <n v="69"/>
    <n v="0"/>
    <n v="5"/>
    <n v="1"/>
    <n v="0.28366403921467209"/>
    <n v="1"/>
    <n v="72.099999999999994"/>
    <n v="72.099999999999994"/>
    <n v="3.0362142260293705"/>
    <n v="1656.6148488256435"/>
    <n v="1"/>
    <n v="0"/>
    <n v="0"/>
    <n v="0"/>
    <n v="0"/>
    <n v="0"/>
    <n v="0"/>
    <n v="0"/>
    <n v="0"/>
    <n v="0"/>
  </r>
  <r>
    <d v="2026-07-18T00:00:00"/>
    <n v="2026"/>
    <x v="24"/>
    <s v="R"/>
    <s v="RS"/>
    <x v="1"/>
    <s v="IND"/>
    <s v="A"/>
    <n v="5"/>
    <n v="0"/>
    <n v="5"/>
    <n v="-5"/>
    <n v="16"/>
    <n v="-16"/>
    <n v="1536.4194649029346"/>
    <n v="1583.9898440685433"/>
    <n v="0.36050495370721569"/>
    <n v="88"/>
    <n v="108"/>
    <n v="0"/>
    <n v="-20"/>
    <n v="0"/>
    <n v="0.55296666404663908"/>
    <n v="1"/>
    <n v="72.25"/>
    <n v="72.25"/>
    <n v="-14.402836762317175"/>
    <n v="1522.0166281406175"/>
    <n v="0"/>
    <n v="1"/>
    <n v="0"/>
    <n v="0"/>
    <n v="0"/>
    <n v="0"/>
    <n v="0"/>
    <n v="0"/>
    <n v="0"/>
    <n v="0"/>
  </r>
  <r>
    <d v="2026-07-18T00:00:00"/>
    <n v="2026"/>
    <x v="25"/>
    <s v="R"/>
    <s v="RS"/>
    <x v="7"/>
    <s v="NYL"/>
    <s v="H"/>
    <n v="0"/>
    <n v="5"/>
    <n v="-5"/>
    <n v="5"/>
    <n v="-16"/>
    <n v="16"/>
    <n v="1583.9898440685433"/>
    <n v="1536.4194649029346"/>
    <n v="0.63949504629278431"/>
    <n v="108"/>
    <n v="88"/>
    <n v="0"/>
    <n v="20"/>
    <n v="1"/>
    <n v="0.55296666404663908"/>
    <n v="1"/>
    <n v="72.099999999999994"/>
    <n v="72.099999999999994"/>
    <n v="14.372934679073609"/>
    <n v="1598.3627787476169"/>
    <n v="1"/>
    <n v="0"/>
    <n v="0"/>
    <n v="0"/>
    <n v="0"/>
    <n v="0"/>
    <n v="0"/>
    <n v="0"/>
    <n v="0"/>
    <n v="0"/>
  </r>
  <r>
    <d v="2026-07-18T00:00:00"/>
    <n v="2026"/>
    <x v="25"/>
    <s v="R"/>
    <s v="RS"/>
    <x v="13"/>
    <s v="MIN"/>
    <s v="A"/>
    <n v="1"/>
    <n v="2"/>
    <n v="-1"/>
    <n v="1"/>
    <n v="-8"/>
    <n v="8"/>
    <n v="1443.9637021362853"/>
    <n v="1669.7219427005632"/>
    <n v="0.13293943615156348"/>
    <n v="93"/>
    <n v="101"/>
    <n v="0"/>
    <n v="-8"/>
    <n v="0"/>
    <n v="0.32682865071092587"/>
    <n v="1"/>
    <n v="72.099999999999994"/>
    <n v="72.099999999999994"/>
    <n v="-3.132630832799816"/>
    <n v="1440.8310713034855"/>
    <n v="0"/>
    <n v="1"/>
    <n v="0"/>
    <n v="0"/>
    <n v="0"/>
    <n v="0"/>
    <n v="0"/>
    <n v="0"/>
    <n v="0"/>
    <n v="0"/>
  </r>
  <r>
    <d v="2026-07-18T00:00:00"/>
    <n v="2026"/>
    <x v="25"/>
    <s v="R"/>
    <s v="RS"/>
    <x v="11"/>
    <s v="POR"/>
    <s v="H"/>
    <n v="2"/>
    <n v="1"/>
    <n v="1"/>
    <n v="-1"/>
    <n v="8"/>
    <n v="-8"/>
    <n v="1669.7219427005632"/>
    <n v="1443.9637021362853"/>
    <n v="0.86706056384843644"/>
    <n v="101"/>
    <n v="93"/>
    <n v="0"/>
    <n v="8"/>
    <n v="1"/>
    <n v="0.32682865071092587"/>
    <n v="1"/>
    <n v="72.099999999999994"/>
    <n v="72.099999999999994"/>
    <n v="3.1326308327998182"/>
    <n v="1672.854573533363"/>
    <n v="1"/>
    <n v="0"/>
    <n v="0"/>
    <n v="0"/>
    <n v="0"/>
    <n v="0"/>
    <n v="0"/>
    <n v="0"/>
    <n v="0"/>
    <n v="0"/>
  </r>
  <r>
    <d v="2026-07-19T00:00:00"/>
    <n v="2026"/>
    <x v="25"/>
    <s v="R"/>
    <s v="RS"/>
    <x v="12"/>
    <s v="ATL"/>
    <s v="A"/>
    <n v="1"/>
    <n v="1"/>
    <n v="0"/>
    <n v="0"/>
    <n v="0"/>
    <n v="0"/>
    <n v="1408.6248486817283"/>
    <n v="1568.187978926459"/>
    <n v="0.1974890940187731"/>
    <n v="91"/>
    <n v="93"/>
    <n v="0"/>
    <n v="-2"/>
    <n v="0"/>
    <n v="0.23640651752136577"/>
    <n v="1"/>
    <n v="72.099999999999994"/>
    <n v="72.099999999999994"/>
    <n v="-3.3661838164073394"/>
    <n v="1405.258664865321"/>
    <n v="0"/>
    <n v="1"/>
    <n v="0"/>
    <n v="0"/>
    <n v="0"/>
    <n v="0"/>
    <n v="0"/>
    <n v="0"/>
    <n v="0"/>
    <n v="0"/>
  </r>
  <r>
    <d v="2026-07-19T00:00:00"/>
    <n v="2026"/>
    <x v="25"/>
    <s v="R"/>
    <s v="RS"/>
    <x v="10"/>
    <s v="CHI"/>
    <s v="H"/>
    <n v="1"/>
    <n v="1"/>
    <n v="0"/>
    <n v="0"/>
    <n v="0"/>
    <n v="0"/>
    <n v="1568.187978926459"/>
    <n v="1408.6248486817283"/>
    <n v="0.80251090598122699"/>
    <n v="93"/>
    <n v="91"/>
    <n v="0"/>
    <n v="2"/>
    <n v="1"/>
    <n v="0.23640651752136577"/>
    <n v="1"/>
    <n v="72.099999999999994"/>
    <n v="72.099999999999994"/>
    <n v="3.3661838164073381"/>
    <n v="1571.5541627428663"/>
    <n v="1"/>
    <n v="0"/>
    <n v="0"/>
    <n v="0"/>
    <n v="0"/>
    <n v="0"/>
    <n v="0"/>
    <n v="0"/>
    <n v="0"/>
    <n v="0"/>
  </r>
  <r>
    <d v="2026-07-19T00:00:00"/>
    <n v="2026"/>
    <x v="24"/>
    <s v="R"/>
    <s v="RS"/>
    <x v="14"/>
    <s v="DAL"/>
    <s v="A"/>
    <n v="1"/>
    <n v="6"/>
    <n v="-5"/>
    <n v="5"/>
    <n v="-16"/>
    <n v="16"/>
    <n v="1421.6058156584284"/>
    <n v="1577.5702373153902"/>
    <n v="0.17285126286237704"/>
    <n v="82"/>
    <n v="90"/>
    <n v="0"/>
    <n v="-8"/>
    <n v="0"/>
    <n v="0.34365108299389585"/>
    <n v="1"/>
    <n v="72.25"/>
    <n v="72.25"/>
    <n v="-4.2916878358452069"/>
    <n v="1417.3141278225833"/>
    <n v="0"/>
    <n v="1"/>
    <n v="0"/>
    <n v="0"/>
    <n v="0"/>
    <n v="0"/>
    <n v="0"/>
    <n v="0"/>
    <n v="0"/>
    <n v="0"/>
  </r>
  <r>
    <d v="2026-07-19T00:00:00"/>
    <n v="2026"/>
    <x v="24"/>
    <s v="R"/>
    <s v="RS"/>
    <x v="6"/>
    <s v="LAS"/>
    <s v="H"/>
    <n v="6"/>
    <n v="1"/>
    <n v="5"/>
    <n v="-5"/>
    <n v="16"/>
    <n v="-16"/>
    <n v="1577.5702373153902"/>
    <n v="1421.6058156584284"/>
    <n v="0.82714873713762305"/>
    <n v="90"/>
    <n v="82"/>
    <n v="0"/>
    <n v="8"/>
    <n v="1"/>
    <n v="0.34365108299389585"/>
    <n v="1"/>
    <n v="72.25"/>
    <n v="72.25"/>
    <n v="4.2916878358452051"/>
    <n v="1581.8619251512353"/>
    <n v="1"/>
    <n v="0"/>
    <n v="0"/>
    <n v="0"/>
    <n v="0"/>
    <n v="0"/>
    <n v="0"/>
    <n v="0"/>
    <n v="0"/>
    <n v="0"/>
  </r>
  <r>
    <d v="2026-07-19T00:00:00"/>
    <n v="2026"/>
    <x v="25"/>
    <s v="R"/>
    <s v="RS"/>
    <x v="0"/>
    <s v="PHX"/>
    <s v="A"/>
    <n v="1"/>
    <n v="1"/>
    <n v="0"/>
    <n v="0"/>
    <n v="0"/>
    <n v="0"/>
    <n v="1376.7451727359994"/>
    <n v="1420.2241490041504"/>
    <n v="0.32435526717010121"/>
    <n v="63"/>
    <n v="72"/>
    <n v="0"/>
    <n v="-9"/>
    <n v="0"/>
    <n v="0.39177649310866691"/>
    <n v="1"/>
    <n v="72.099999999999994"/>
    <n v="72.099999999999994"/>
    <n v="-9.1620908516216648"/>
    <n v="1367.5830818843776"/>
    <n v="0"/>
    <n v="1"/>
    <n v="0"/>
    <n v="0"/>
    <n v="0"/>
    <n v="0"/>
    <n v="0"/>
    <n v="0"/>
    <n v="0"/>
    <n v="0"/>
  </r>
  <r>
    <d v="2026-07-19T00:00:00"/>
    <n v="2026"/>
    <x v="26"/>
    <s v="R"/>
    <s v="RS"/>
    <x v="8"/>
    <s v="CON"/>
    <s v="H"/>
    <n v="1"/>
    <n v="1"/>
    <n v="0"/>
    <n v="0"/>
    <n v="0"/>
    <n v="0"/>
    <n v="1420.2241490041504"/>
    <n v="1376.7451727359994"/>
    <n v="0.67564473282989879"/>
    <n v="72"/>
    <n v="63"/>
    <n v="0"/>
    <n v="9"/>
    <n v="1"/>
    <n v="0.39177649310866691"/>
    <n v="1"/>
    <n v="71.95"/>
    <n v="71.95"/>
    <n v="9.1430296362576815"/>
    <n v="1429.3671786404082"/>
    <n v="1"/>
    <n v="0"/>
    <n v="0"/>
    <n v="0"/>
    <n v="0"/>
    <n v="0"/>
    <n v="0"/>
    <n v="0"/>
    <n v="0"/>
    <n v="0"/>
  </r>
  <r>
    <d v="2026-07-20T00:00:00"/>
    <n v="2026"/>
    <x v="25"/>
    <s v="R"/>
    <s v="RS"/>
    <x v="1"/>
    <s v="DAL"/>
    <s v="A"/>
    <n v="1"/>
    <n v="0"/>
    <n v="1"/>
    <n v="-1"/>
    <n v="8"/>
    <n v="-8"/>
    <n v="1522.0166281406175"/>
    <n v="1581.8619251512353"/>
    <n v="0.32389331653182651"/>
    <n v="99"/>
    <n v="98"/>
    <n v="1"/>
    <n v="1"/>
    <n v="1"/>
    <n v="0.20932256148295514"/>
    <n v="1"/>
    <n v="72.099999999999994"/>
    <n v="72.099999999999994"/>
    <n v="10.203908001271792"/>
    <n v="1532.2205361418894"/>
    <n v="1"/>
    <n v="0"/>
    <n v="0"/>
    <n v="0"/>
    <n v="0"/>
    <n v="0"/>
    <n v="0"/>
    <n v="0"/>
    <n v="0"/>
    <n v="0"/>
  </r>
  <r>
    <d v="2026-07-20T00:00:00"/>
    <n v="2026"/>
    <x v="25"/>
    <s v="R"/>
    <s v="RS"/>
    <x v="6"/>
    <s v="NYL"/>
    <s v="H"/>
    <n v="0"/>
    <n v="1"/>
    <n v="-1"/>
    <n v="1"/>
    <n v="-8"/>
    <n v="8"/>
    <n v="1581.8619251512353"/>
    <n v="1522.0166281406175"/>
    <n v="0.67610668346817349"/>
    <n v="98"/>
    <n v="99"/>
    <n v="1"/>
    <n v="-1"/>
    <n v="0"/>
    <n v="0.20932256148295514"/>
    <n v="1"/>
    <n v="72.099999999999994"/>
    <n v="72.099999999999994"/>
    <n v="-10.203908001271792"/>
    <n v="1571.6580171499634"/>
    <n v="0"/>
    <n v="1"/>
    <n v="0"/>
    <n v="0"/>
    <n v="0"/>
    <n v="0"/>
    <n v="0"/>
    <n v="0"/>
    <n v="0"/>
    <n v="0"/>
  </r>
  <r>
    <d v="2026-07-20T00:00:00"/>
    <n v="2026"/>
    <x v="24"/>
    <s v="R"/>
    <s v="RS"/>
    <x v="4"/>
    <s v="GSV"/>
    <s v="A"/>
    <n v="1"/>
    <n v="1"/>
    <n v="0"/>
    <n v="0"/>
    <n v="0"/>
    <n v="0"/>
    <n v="1447.0837539817817"/>
    <n v="1656.6148488256435"/>
    <n v="0.15581519079591197"/>
    <n v="90"/>
    <n v="82"/>
    <n v="0"/>
    <n v="8"/>
    <n v="1"/>
    <n v="0.33059124676864576"/>
    <n v="1"/>
    <n v="72.25"/>
    <n v="72.25"/>
    <n v="20.163537844755499"/>
    <n v="1467.2472918265371"/>
    <n v="1"/>
    <n v="0"/>
    <n v="0"/>
    <n v="0"/>
    <n v="0"/>
    <n v="0"/>
    <n v="0"/>
    <n v="0"/>
    <n v="0"/>
    <n v="0"/>
  </r>
  <r>
    <d v="2026-07-20T00:00:00"/>
    <n v="2026"/>
    <x v="26"/>
    <s v="R"/>
    <s v="RS"/>
    <x v="2"/>
    <s v="WAS"/>
    <s v="H"/>
    <n v="1"/>
    <n v="1"/>
    <n v="0"/>
    <n v="0"/>
    <n v="0"/>
    <n v="0"/>
    <n v="1656.6148488256435"/>
    <n v="1447.0837539817817"/>
    <n v="0.844184809204088"/>
    <n v="82"/>
    <n v="90"/>
    <n v="0"/>
    <n v="-8"/>
    <n v="0"/>
    <n v="0.33059124676864576"/>
    <n v="1"/>
    <n v="71.95"/>
    <n v="71.95"/>
    <n v="-20.07981381218212"/>
    <n v="1636.5350350134615"/>
    <n v="0"/>
    <n v="1"/>
    <n v="0"/>
    <n v="0"/>
    <n v="0"/>
    <n v="0"/>
    <n v="0"/>
    <n v="0"/>
    <n v="0"/>
    <n v="0"/>
  </r>
  <r>
    <d v="2026-07-20T00:00:00"/>
    <n v="2026"/>
    <x v="26"/>
    <s v="R"/>
    <s v="RS"/>
    <x v="11"/>
    <s v="SEA"/>
    <s v="A"/>
    <n v="1"/>
    <n v="2"/>
    <n v="-1"/>
    <n v="1"/>
    <n v="-8"/>
    <n v="8"/>
    <n v="1672.854573533363"/>
    <n v="1380.184614876244"/>
    <n v="0.75196080744903138"/>
    <n v="105"/>
    <n v="102"/>
    <n v="0"/>
    <n v="3"/>
    <n v="1"/>
    <n v="0.23328681822720282"/>
    <n v="1"/>
    <n v="71.95"/>
    <n v="71.95"/>
    <n v="4.1633345161606261"/>
    <n v="1677.0179080495236"/>
    <n v="1"/>
    <n v="0"/>
    <n v="0"/>
    <n v="0"/>
    <n v="0"/>
    <n v="0"/>
    <n v="0"/>
    <n v="0"/>
    <n v="0"/>
    <n v="0"/>
  </r>
  <r>
    <d v="2026-07-20T00:00:00"/>
    <n v="2026"/>
    <x v="27"/>
    <s v="R"/>
    <s v="RS"/>
    <x v="3"/>
    <s v="MIN"/>
    <s v="H"/>
    <n v="2"/>
    <n v="1"/>
    <n v="1"/>
    <n v="-1"/>
    <n v="8"/>
    <n v="-8"/>
    <n v="1380.184614876244"/>
    <n v="1672.854573533363"/>
    <n v="0.24803919255096868"/>
    <n v="102"/>
    <n v="105"/>
    <n v="0"/>
    <n v="-3"/>
    <n v="0"/>
    <n v="0.23328681822720282"/>
    <n v="1"/>
    <n v="71.8"/>
    <n v="71.8"/>
    <n v="-4.1546548750567469"/>
    <n v="1376.0299600011872"/>
    <n v="0"/>
    <n v="1"/>
    <n v="0"/>
    <n v="0"/>
    <n v="0"/>
    <n v="0"/>
    <n v="0"/>
    <n v="0"/>
    <n v="0"/>
    <n v="0"/>
  </r>
  <r>
    <d v="2026-07-20T00:00:00"/>
    <n v="2026"/>
    <x v="24"/>
    <s v="R"/>
    <s v="RS"/>
    <x v="9"/>
    <s v="TOR"/>
    <s v="A"/>
    <n v="7"/>
    <n v="2"/>
    <n v="5"/>
    <n v="-5"/>
    <n v="16"/>
    <n v="-16"/>
    <n v="1607.0658354497896"/>
    <n v="1402.119888366245"/>
    <n v="0.70691083169607272"/>
    <n v="109"/>
    <n v="83"/>
    <n v="0"/>
    <n v="26"/>
    <n v="1"/>
    <n v="0.55867263665876066"/>
    <n v="1"/>
    <n v="72.25"/>
    <n v="72.25"/>
    <n v="11.830279911746558"/>
    <n v="1618.8961153615362"/>
    <n v="1"/>
    <n v="0"/>
    <n v="0"/>
    <n v="0"/>
    <n v="0"/>
    <n v="0"/>
    <n v="0"/>
    <n v="0"/>
    <n v="0"/>
    <n v="0"/>
  </r>
  <r>
    <d v="2026-07-20T00:00:00"/>
    <n v="2026"/>
    <x v="25"/>
    <s v="R"/>
    <s v="RS"/>
    <x v="5"/>
    <s v="LVA"/>
    <s v="H"/>
    <n v="2"/>
    <n v="7"/>
    <n v="-5"/>
    <n v="5"/>
    <n v="-16"/>
    <n v="16"/>
    <n v="1402.119888366245"/>
    <n v="1607.0658354497896"/>
    <n v="0.29308916830392728"/>
    <n v="83"/>
    <n v="109"/>
    <n v="0"/>
    <n v="-26"/>
    <n v="0"/>
    <n v="0.55867263665876066"/>
    <n v="1"/>
    <n v="72.099999999999994"/>
    <n v="72.099999999999994"/>
    <n v="-11.805718776981687"/>
    <n v="1390.3141695892634"/>
    <n v="0"/>
    <n v="1"/>
    <n v="0"/>
    <n v="0"/>
    <n v="0"/>
    <n v="0"/>
    <n v="0"/>
    <n v="0"/>
    <n v="0"/>
    <n v="0"/>
  </r>
  <r>
    <d v="2026-07-22T00:00:00"/>
    <n v="2026"/>
    <x v="26"/>
    <s v="R"/>
    <s v="RS"/>
    <x v="0"/>
    <s v="IND"/>
    <s v="A"/>
    <n v="2"/>
    <n v="3"/>
    <n v="-1"/>
    <n v="1"/>
    <n v="-8"/>
    <n v="8"/>
    <n v="1367.5830818843776"/>
    <n v="1598.3627787476169"/>
    <n v="0.12964276932344126"/>
    <n v="88"/>
    <n v="123"/>
    <n v="0"/>
    <n v="-35"/>
    <n v="0"/>
    <n v="0.63923894493316624"/>
    <n v="1"/>
    <n v="71.95"/>
    <n v="71.95"/>
    <n v="-5.9626912744441656"/>
    <n v="1361.6203906099336"/>
    <n v="0"/>
    <n v="1"/>
    <n v="0"/>
    <n v="0"/>
    <n v="0"/>
    <n v="0"/>
    <n v="0"/>
    <n v="0"/>
    <n v="0"/>
    <n v="0"/>
  </r>
  <r>
    <d v="2026-07-22T00:00:00"/>
    <n v="2026"/>
    <x v="26"/>
    <s v="R"/>
    <s v="RS"/>
    <x v="7"/>
    <s v="CON"/>
    <s v="H"/>
    <n v="3"/>
    <n v="2"/>
    <n v="1"/>
    <n v="-1"/>
    <n v="8"/>
    <n v="-8"/>
    <n v="1598.3627787476169"/>
    <n v="1367.5830818843776"/>
    <n v="0.87035723067655868"/>
    <n v="123"/>
    <n v="88"/>
    <n v="0"/>
    <n v="35"/>
    <n v="1"/>
    <n v="0.63923894493316624"/>
    <n v="1"/>
    <n v="71.95"/>
    <n v="71.95"/>
    <n v="5.9626912744441682"/>
    <n v="1604.3254700220609"/>
    <n v="1"/>
    <n v="0"/>
    <n v="0"/>
    <n v="0"/>
    <n v="0"/>
    <n v="0"/>
    <n v="0"/>
    <n v="0"/>
    <n v="0"/>
    <n v="0"/>
  </r>
  <r>
    <d v="2026-07-22T00:00:00"/>
    <n v="2026"/>
    <x v="27"/>
    <s v="R"/>
    <s v="RS"/>
    <x v="8"/>
    <s v="LAS"/>
    <s v="A"/>
    <n v="2"/>
    <n v="2"/>
    <n v="0"/>
    <n v="0"/>
    <n v="0"/>
    <n v="0"/>
    <n v="1429.3671786404082"/>
    <n v="1417.3141278225833"/>
    <n v="0.39791506828837908"/>
    <n v="86"/>
    <n v="82"/>
    <n v="0"/>
    <n v="4"/>
    <n v="1"/>
    <n v="0.30833574622207383"/>
    <n v="1"/>
    <n v="71.8"/>
    <n v="71.8"/>
    <n v="13.329261221660893"/>
    <n v="1442.6964398620692"/>
    <n v="1"/>
    <n v="0"/>
    <n v="0"/>
    <n v="0"/>
    <n v="0"/>
    <n v="0"/>
    <n v="0"/>
    <n v="0"/>
    <n v="0"/>
    <n v="0"/>
  </r>
  <r>
    <d v="2026-07-22T00:00:00"/>
    <n v="2026"/>
    <x v="25"/>
    <s v="R"/>
    <s v="RS"/>
    <x v="14"/>
    <s v="PHX"/>
    <s v="H"/>
    <n v="2"/>
    <n v="2"/>
    <n v="0"/>
    <n v="0"/>
    <n v="0"/>
    <n v="0"/>
    <n v="1417.3141278225833"/>
    <n v="1429.3671786404082"/>
    <n v="0.60208493171162092"/>
    <n v="82"/>
    <n v="86"/>
    <n v="0"/>
    <n v="-4"/>
    <n v="0"/>
    <n v="0.30833574622207383"/>
    <n v="1"/>
    <n v="72.099999999999994"/>
    <n v="72.099999999999994"/>
    <n v="-13.384954513673403"/>
    <n v="1403.9291733089099"/>
    <n v="0"/>
    <n v="1"/>
    <n v="0"/>
    <n v="0"/>
    <n v="0"/>
    <n v="0"/>
    <n v="0"/>
    <n v="0"/>
    <n v="0"/>
    <n v="0"/>
  </r>
  <r>
    <d v="2026-07-22T00:00:00"/>
    <n v="2026"/>
    <x v="26"/>
    <s v="R"/>
    <s v="RS"/>
    <x v="12"/>
    <s v="NYL"/>
    <s v="A"/>
    <n v="2"/>
    <n v="1"/>
    <n v="1"/>
    <n v="-1"/>
    <n v="8"/>
    <n v="-8"/>
    <n v="1405.258664865321"/>
    <n v="1532.2205361418894"/>
    <n v="0.24558662090605188"/>
    <n v="94"/>
    <n v="95"/>
    <n v="0"/>
    <n v="-1"/>
    <n v="0"/>
    <n v="0.22081689873761348"/>
    <n v="1"/>
    <n v="71.95"/>
    <n v="71.95"/>
    <n v="-3.9018251881945556"/>
    <n v="1401.3568396771263"/>
    <n v="0"/>
    <n v="1"/>
    <n v="0"/>
    <n v="0"/>
    <n v="0"/>
    <n v="0"/>
    <n v="0"/>
    <n v="0"/>
    <n v="0"/>
    <n v="0"/>
  </r>
  <r>
    <d v="2026-07-22T00:00:00"/>
    <n v="2026"/>
    <x v="26"/>
    <s v="R"/>
    <s v="RS"/>
    <x v="1"/>
    <s v="CHI"/>
    <s v="H"/>
    <n v="1"/>
    <n v="2"/>
    <n v="-1"/>
    <n v="1"/>
    <n v="-8"/>
    <n v="8"/>
    <n v="1532.2205361418894"/>
    <n v="1405.258664865321"/>
    <n v="0.75441337909394812"/>
    <n v="95"/>
    <n v="94"/>
    <n v="0"/>
    <n v="1"/>
    <n v="1"/>
    <n v="0.22081689873761348"/>
    <n v="1"/>
    <n v="71.95"/>
    <n v="71.95"/>
    <n v="3.9018251881945556"/>
    <n v="1536.122361330084"/>
    <n v="1"/>
    <n v="0"/>
    <n v="0"/>
    <n v="0"/>
    <n v="0"/>
    <n v="0"/>
    <n v="0"/>
    <n v="0"/>
    <n v="0"/>
    <n v="0"/>
  </r>
  <r>
    <d v="2026-07-22T00:00:00"/>
    <n v="2026"/>
    <x v="26"/>
    <s v="R"/>
    <s v="RS"/>
    <x v="6"/>
    <s v="POR"/>
    <s v="A"/>
    <n v="1"/>
    <n v="3"/>
    <n v="-2"/>
    <n v="2"/>
    <n v="-16"/>
    <n v="16"/>
    <n v="1571.6580171499634"/>
    <n v="1440.8310713034855"/>
    <n v="0.52132474641372284"/>
    <n v="101"/>
    <n v="97"/>
    <n v="0"/>
    <n v="4"/>
    <n v="1"/>
    <n v="0.28081733921231178"/>
    <n v="1"/>
    <n v="71.95"/>
    <n v="71.95"/>
    <n v="9.6715413806861967"/>
    <n v="1581.3295585306496"/>
    <n v="1"/>
    <n v="0"/>
    <n v="0"/>
    <n v="0"/>
    <n v="0"/>
    <n v="0"/>
    <n v="0"/>
    <n v="0"/>
    <n v="0"/>
    <n v="0"/>
  </r>
  <r>
    <d v="2026-07-22T00:00:00"/>
    <n v="2026"/>
    <x v="26"/>
    <s v="R"/>
    <s v="RS"/>
    <x v="13"/>
    <s v="DAL"/>
    <s v="H"/>
    <n v="3"/>
    <n v="1"/>
    <n v="2"/>
    <n v="-2"/>
    <n v="16"/>
    <n v="-16"/>
    <n v="1440.8310713034855"/>
    <n v="1571.6580171499634"/>
    <n v="0.47867525358627711"/>
    <n v="97"/>
    <n v="101"/>
    <n v="0"/>
    <n v="-4"/>
    <n v="0"/>
    <n v="0.28081733921231178"/>
    <n v="1"/>
    <n v="71.95"/>
    <n v="71.95"/>
    <n v="-9.671541380686195"/>
    <n v="1431.1595299227993"/>
    <n v="0"/>
    <n v="1"/>
    <n v="0"/>
    <n v="0"/>
    <n v="0"/>
    <n v="0"/>
    <n v="0"/>
    <n v="0"/>
    <n v="0"/>
    <n v="0"/>
  </r>
  <r>
    <d v="2026-07-22T00:00:00"/>
    <n v="2026"/>
    <x v="27"/>
    <s v="R"/>
    <s v="RS"/>
    <x v="11"/>
    <s v="SEA"/>
    <s v="A"/>
    <n v="1"/>
    <n v="1"/>
    <n v="0"/>
    <n v="0"/>
    <n v="0"/>
    <n v="0"/>
    <n v="1677.0179080495236"/>
    <n v="1376.0299600011872"/>
    <n v="0.77714109001517939"/>
    <n v="86"/>
    <n v="76"/>
    <n v="0"/>
    <n v="10"/>
    <n v="1"/>
    <n v="0.3382809567917926"/>
    <n v="1"/>
    <n v="71.8"/>
    <n v="71.8"/>
    <n v="5.4129248364855105"/>
    <n v="1682.4308328860091"/>
    <n v="1"/>
    <n v="0"/>
    <n v="0"/>
    <n v="0"/>
    <n v="0"/>
    <n v="0"/>
    <n v="0"/>
    <n v="0"/>
    <n v="0"/>
    <n v="0"/>
  </r>
  <r>
    <d v="2026-07-22T00:00:00"/>
    <n v="2026"/>
    <x v="28"/>
    <s v="R"/>
    <s v="RS"/>
    <x v="3"/>
    <s v="MIN"/>
    <s v="H"/>
    <n v="1"/>
    <n v="1"/>
    <n v="0"/>
    <n v="0"/>
    <n v="0"/>
    <n v="0"/>
    <n v="1376.0299600011872"/>
    <n v="1677.0179080495236"/>
    <n v="0.22285890998482058"/>
    <n v="76"/>
    <n v="86"/>
    <n v="0"/>
    <n v="-10"/>
    <n v="0"/>
    <n v="0.3382809567917926"/>
    <n v="1"/>
    <n v="71.650000000000006"/>
    <n v="71.650000000000006"/>
    <n v="-5.4016164976906245"/>
    <n v="1370.6283435034966"/>
    <n v="0"/>
    <n v="1"/>
    <n v="0"/>
    <n v="0"/>
    <n v="0"/>
    <n v="0"/>
    <n v="0"/>
    <n v="0"/>
    <n v="0"/>
    <n v="0"/>
  </r>
  <r>
    <d v="2026-07-22T00:00:00"/>
    <n v="2026"/>
    <x v="25"/>
    <s v="R"/>
    <s v="RS"/>
    <x v="9"/>
    <s v="WAS"/>
    <s v="A"/>
    <n v="1"/>
    <n v="1"/>
    <n v="0"/>
    <n v="0"/>
    <n v="0"/>
    <n v="0"/>
    <n v="1618.8961153615362"/>
    <n v="1467.2472918265371"/>
    <n v="0.5961425703241815"/>
    <n v="99"/>
    <n v="100"/>
    <n v="0"/>
    <n v="-1"/>
    <n v="0"/>
    <n v="0.21678382731989623"/>
    <n v="1"/>
    <n v="72.099999999999994"/>
    <n v="72.099999999999994"/>
    <n v="-9.3177763044724635"/>
    <n v="1609.5783390570637"/>
    <n v="0"/>
    <n v="1"/>
    <n v="0"/>
    <n v="0"/>
    <n v="0"/>
    <n v="0"/>
    <n v="0"/>
    <n v="0"/>
    <n v="0"/>
    <n v="0"/>
  </r>
  <r>
    <d v="2026-07-22T00:00:00"/>
    <n v="2026"/>
    <x v="25"/>
    <s v="R"/>
    <s v="RS"/>
    <x v="4"/>
    <s v="LVA"/>
    <s v="H"/>
    <n v="1"/>
    <n v="1"/>
    <n v="0"/>
    <n v="0"/>
    <n v="0"/>
    <n v="0"/>
    <n v="1467.2472918265371"/>
    <n v="1618.8961153615362"/>
    <n v="0.40385742967581856"/>
    <n v="100"/>
    <n v="99"/>
    <n v="0"/>
    <n v="1"/>
    <n v="1"/>
    <n v="0.21678382731989623"/>
    <n v="1"/>
    <n v="72.099999999999994"/>
    <n v="72.099999999999994"/>
    <n v="9.3177763044724617"/>
    <n v="1476.5650681310096"/>
    <n v="1"/>
    <n v="0"/>
    <n v="0"/>
    <n v="0"/>
    <n v="0"/>
    <n v="0"/>
    <n v="0"/>
    <n v="0"/>
    <n v="0"/>
    <n v="0"/>
  </r>
  <r>
    <d v="2026-07-28T00:00:00"/>
    <n v="2026"/>
    <x v="27"/>
    <s v="R"/>
    <s v="RS"/>
    <x v="1"/>
    <s v="LAS"/>
    <s v="A"/>
    <n v="5"/>
    <n v="5"/>
    <n v="0"/>
    <n v="0"/>
    <n v="0"/>
    <n v="0"/>
    <n v="1536.122361330084"/>
    <n v="1403.9291733089099"/>
    <n v="0.56891415122592781"/>
    <n v="113"/>
    <n v="109"/>
    <n v="0"/>
    <n v="4"/>
    <n v="1"/>
    <n v="0.28052934457634776"/>
    <n v="1"/>
    <n v="71.8"/>
    <n v="71.8"/>
    <n v="8.6829341579939445"/>
    <n v="1544.8052954880779"/>
    <n v="1"/>
    <n v="0"/>
    <n v="0"/>
    <n v="0"/>
    <n v="0"/>
    <n v="0"/>
    <n v="0"/>
    <n v="0"/>
    <n v="0"/>
    <n v="0"/>
  </r>
  <r>
    <d v="2026-07-28T00:00:00"/>
    <n v="2026"/>
    <x v="26"/>
    <s v="R"/>
    <s v="RS"/>
    <x v="14"/>
    <s v="NYL"/>
    <s v="H"/>
    <n v="5"/>
    <n v="5"/>
    <n v="0"/>
    <n v="0"/>
    <n v="0"/>
    <n v="0"/>
    <n v="1403.9291733089099"/>
    <n v="1536.122361330084"/>
    <n v="0.43108584877407219"/>
    <n v="109"/>
    <n v="113"/>
    <n v="0"/>
    <n v="-4"/>
    <n v="0"/>
    <n v="0.28052934457634776"/>
    <n v="1"/>
    <n v="71.95"/>
    <n v="71.95"/>
    <n v="-8.7010739925858545"/>
    <n v="1395.228099316324"/>
    <n v="0"/>
    <n v="1"/>
    <n v="0"/>
    <n v="0"/>
    <n v="0"/>
    <n v="0"/>
    <n v="0"/>
    <n v="0"/>
    <n v="0"/>
    <n v="0"/>
  </r>
  <r>
    <d v="2026-07-28T00:00:00"/>
    <n v="2026"/>
    <x v="27"/>
    <s v="R"/>
    <s v="RS"/>
    <x v="13"/>
    <s v="LVA"/>
    <s v="A"/>
    <n v="5"/>
    <n v="5"/>
    <n v="0"/>
    <n v="0"/>
    <n v="0"/>
    <n v="0"/>
    <n v="1431.1595299227993"/>
    <n v="1609.5783390570637"/>
    <n v="0.18084928354816474"/>
    <n v="83"/>
    <n v="98"/>
    <n v="0"/>
    <n v="-15"/>
    <n v="0"/>
    <n v="0.43776073690803829"/>
    <n v="1"/>
    <n v="71.8"/>
    <n v="71.8"/>
    <n v="-5.6843137826170782"/>
    <n v="1425.4752161401823"/>
    <n v="0"/>
    <n v="1"/>
    <n v="0"/>
    <n v="0"/>
    <n v="0"/>
    <n v="0"/>
    <n v="0"/>
    <n v="0"/>
    <n v="0"/>
    <n v="0"/>
  </r>
  <r>
    <d v="2026-07-28T00:00:00"/>
    <n v="2026"/>
    <x v="26"/>
    <s v="R"/>
    <s v="RS"/>
    <x v="9"/>
    <s v="POR"/>
    <s v="H"/>
    <n v="5"/>
    <n v="5"/>
    <n v="0"/>
    <n v="0"/>
    <n v="0"/>
    <n v="0"/>
    <n v="1609.5783390570637"/>
    <n v="1431.1595299227993"/>
    <n v="0.81915071645183535"/>
    <n v="98"/>
    <n v="83"/>
    <n v="0"/>
    <n v="15"/>
    <n v="1"/>
    <n v="0.43776073690803829"/>
    <n v="1"/>
    <n v="71.95"/>
    <n v="71.95"/>
    <n v="5.6961890899623766"/>
    <n v="1615.2745281470261"/>
    <n v="1"/>
    <n v="0"/>
    <n v="0"/>
    <n v="0"/>
    <n v="0"/>
    <n v="0"/>
    <n v="0"/>
    <n v="0"/>
    <n v="0"/>
    <n v="0"/>
  </r>
  <r>
    <d v="2026-07-28T00:00:00"/>
    <n v="2026"/>
    <x v="26"/>
    <s v="R"/>
    <s v="RS"/>
    <x v="5"/>
    <s v="MIN"/>
    <s v="A"/>
    <n v="7"/>
    <n v="5"/>
    <n v="2"/>
    <n v="-2"/>
    <n v="16"/>
    <n v="-16"/>
    <n v="1390.3141695892634"/>
    <n v="1682.4308328860091"/>
    <n v="0.12122348956214143"/>
    <n v="93"/>
    <n v="100"/>
    <n v="0"/>
    <n v="-7"/>
    <n v="0"/>
    <n v="0.29765005505890368"/>
    <n v="1"/>
    <n v="71.95"/>
    <n v="71.95"/>
    <n v="-2.5961127317503458"/>
    <n v="1387.7180568575131"/>
    <n v="0"/>
    <n v="1"/>
    <n v="0"/>
    <n v="0"/>
    <n v="0"/>
    <n v="0"/>
    <n v="0"/>
    <n v="0"/>
    <n v="0"/>
    <n v="0"/>
  </r>
  <r>
    <d v="2026-07-28T00:00:00"/>
    <n v="2026"/>
    <x v="28"/>
    <s v="R"/>
    <s v="RS"/>
    <x v="11"/>
    <s v="TOR"/>
    <s v="H"/>
    <n v="5"/>
    <n v="7"/>
    <n v="-2"/>
    <n v="2"/>
    <n v="-16"/>
    <n v="16"/>
    <n v="1682.4308328860091"/>
    <n v="1390.3141695892634"/>
    <n v="0.87877651043785865"/>
    <n v="100"/>
    <n v="93"/>
    <n v="0"/>
    <n v="7"/>
    <n v="1"/>
    <n v="0.29765005505890368"/>
    <n v="1"/>
    <n v="71.650000000000006"/>
    <n v="71.650000000000006"/>
    <n v="2.5852880782475633"/>
    <n v="1685.0161209642565"/>
    <n v="1"/>
    <n v="0"/>
    <n v="0"/>
    <n v="0"/>
    <n v="0"/>
    <n v="0"/>
    <n v="0"/>
    <n v="0"/>
    <n v="0"/>
    <n v="0"/>
  </r>
  <r>
    <d v="2026-07-28T00:00:00"/>
    <n v="2026"/>
    <x v="27"/>
    <s v="R"/>
    <s v="RS"/>
    <x v="7"/>
    <s v="SEA"/>
    <s v="A"/>
    <n v="5"/>
    <n v="5"/>
    <n v="0"/>
    <n v="0"/>
    <n v="0"/>
    <n v="0"/>
    <n v="1604.3254700220609"/>
    <n v="1370.6283435034966"/>
    <n v="0.7030211244039839"/>
    <n v="105"/>
    <n v="95"/>
    <n v="0"/>
    <n v="10"/>
    <n v="1"/>
    <n v="0.35415823175409428"/>
    <n v="1"/>
    <n v="71.8"/>
    <n v="71.8"/>
    <n v="7.5517454656672216"/>
    <n v="1611.8772154877281"/>
    <n v="1"/>
    <n v="0"/>
    <n v="0"/>
    <n v="0"/>
    <n v="0"/>
    <n v="0"/>
    <n v="0"/>
    <n v="0"/>
    <n v="0"/>
    <n v="0"/>
  </r>
  <r>
    <d v="2026-07-28T00:00:00"/>
    <n v="2026"/>
    <x v="29"/>
    <s v="R"/>
    <s v="RS"/>
    <x v="3"/>
    <s v="IND"/>
    <s v="H"/>
    <n v="5"/>
    <n v="5"/>
    <n v="0"/>
    <n v="0"/>
    <n v="0"/>
    <n v="0"/>
    <n v="1370.6283435034966"/>
    <n v="1604.3254700220609"/>
    <n v="0.2969788755960161"/>
    <n v="95"/>
    <n v="105"/>
    <n v="0"/>
    <n v="-10"/>
    <n v="0"/>
    <n v="0.35415823175409428"/>
    <n v="1"/>
    <n v="71.5"/>
    <n v="71.5"/>
    <n v="-7.5201922116324003"/>
    <n v="1363.1081512918643"/>
    <n v="0"/>
    <n v="1"/>
    <n v="0"/>
    <n v="0"/>
    <n v="0"/>
    <n v="0"/>
    <n v="0"/>
    <n v="0"/>
    <n v="0"/>
    <n v="0"/>
  </r>
  <r>
    <d v="2026-07-28T00:00:00"/>
    <n v="2026"/>
    <x v="27"/>
    <s v="R"/>
    <s v="RS"/>
    <x v="0"/>
    <s v="WAS"/>
    <s v="A"/>
    <n v="5"/>
    <n v="5"/>
    <n v="0"/>
    <n v="0"/>
    <n v="0"/>
    <n v="0"/>
    <n v="1361.6203906099336"/>
    <n v="1476.5650681310096"/>
    <n v="0.24136368771488262"/>
    <n v="84"/>
    <n v="92"/>
    <n v="0"/>
    <n v="-8"/>
    <n v="0"/>
    <n v="0.3543712902675617"/>
    <n v="1"/>
    <n v="71.8"/>
    <n v="71.8"/>
    <n v="-6.1412235513388529"/>
    <n v="1355.4791670585946"/>
    <n v="0"/>
    <n v="1"/>
    <n v="0"/>
    <n v="0"/>
    <n v="0"/>
    <n v="0"/>
    <n v="0"/>
    <n v="0"/>
    <n v="0"/>
    <n v="0"/>
  </r>
  <r>
    <d v="2026-07-28T00:00:00"/>
    <n v="2026"/>
    <x v="26"/>
    <s v="R"/>
    <s v="RS"/>
    <x v="4"/>
    <s v="CON"/>
    <s v="H"/>
    <n v="5"/>
    <n v="5"/>
    <n v="0"/>
    <n v="0"/>
    <n v="0"/>
    <n v="0"/>
    <n v="1476.5650681310096"/>
    <n v="1361.6203906099336"/>
    <n v="0.75863631228511741"/>
    <n v="92"/>
    <n v="84"/>
    <n v="0"/>
    <n v="8"/>
    <n v="1"/>
    <n v="0.3543712902675617"/>
    <n v="1"/>
    <n v="71.95"/>
    <n v="71.95"/>
    <n v="6.1540534055547411"/>
    <n v="1482.7191215365644"/>
    <n v="1"/>
    <n v="0"/>
    <n v="0"/>
    <n v="0"/>
    <n v="0"/>
    <n v="0"/>
    <n v="0"/>
    <n v="0"/>
    <n v="0"/>
    <n v="0"/>
  </r>
  <r>
    <d v="2026-07-29T00:00:00"/>
    <n v="2026"/>
    <x v="26"/>
    <s v="R"/>
    <s v="RS"/>
    <x v="10"/>
    <s v="DAL"/>
    <s v="A"/>
    <n v="9"/>
    <n v="6"/>
    <n v="3"/>
    <n v="-3"/>
    <n v="16"/>
    <n v="-16"/>
    <n v="1571.5541627428663"/>
    <n v="1581.3295585306496"/>
    <n v="0.41202321677827225"/>
    <n v="82"/>
    <n v="81"/>
    <n v="0"/>
    <n v="1"/>
    <n v="1"/>
    <n v="0.24220661635091842"/>
    <n v="1"/>
    <n v="71.95"/>
    <n v="71.95"/>
    <n v="10.246533841948462"/>
    <n v="1581.8006965848149"/>
    <n v="1"/>
    <n v="0"/>
    <n v="0"/>
    <n v="0"/>
    <n v="0"/>
    <n v="0"/>
    <n v="0"/>
    <n v="0"/>
    <n v="0"/>
    <n v="0"/>
  </r>
  <r>
    <d v="2026-07-29T00:00:00"/>
    <n v="2026"/>
    <x v="27"/>
    <s v="R"/>
    <s v="RS"/>
    <x v="6"/>
    <s v="ATL"/>
    <s v="H"/>
    <n v="6"/>
    <n v="9"/>
    <n v="-3"/>
    <n v="3"/>
    <n v="-16"/>
    <n v="16"/>
    <n v="1581.3295585306496"/>
    <n v="1571.5541627428663"/>
    <n v="0.58797678322172775"/>
    <n v="81"/>
    <n v="82"/>
    <n v="0"/>
    <n v="-1"/>
    <n v="0"/>
    <n v="0.24220661635091842"/>
    <n v="1"/>
    <n v="71.8"/>
    <n v="71.8"/>
    <n v="-10.225172061874906"/>
    <n v="1571.1043864687747"/>
    <n v="0"/>
    <n v="1"/>
    <n v="0"/>
    <n v="0"/>
    <n v="0"/>
    <n v="0"/>
    <n v="0"/>
    <n v="0"/>
    <n v="0"/>
    <n v="0"/>
  </r>
  <r>
    <d v="2026-07-29T00:00:00"/>
    <n v="2026"/>
    <x v="27"/>
    <s v="R"/>
    <s v="RS"/>
    <x v="2"/>
    <s v="PHX"/>
    <s v="A"/>
    <n v="8"/>
    <n v="6"/>
    <n v="2"/>
    <n v="-2"/>
    <n v="16"/>
    <n v="-16"/>
    <n v="1636.5350350134615"/>
    <n v="1442.6964398620692"/>
    <n v="0.69349045663493258"/>
    <n v="89"/>
    <n v="91"/>
    <n v="0"/>
    <n v="-2"/>
    <n v="0"/>
    <n v="0.23059311608220592"/>
    <n v="1"/>
    <n v="71.8"/>
    <n v="71.8"/>
    <n v="-11.481834201474168"/>
    <n v="1625.0532008119874"/>
    <n v="0"/>
    <n v="1"/>
    <n v="0"/>
    <n v="0"/>
    <n v="0"/>
    <n v="0"/>
    <n v="0"/>
    <n v="0"/>
    <n v="0"/>
    <n v="0"/>
  </r>
  <r>
    <d v="2026-07-29T00:00:00"/>
    <n v="2026"/>
    <x v="28"/>
    <s v="R"/>
    <s v="RS"/>
    <x v="8"/>
    <s v="GSV"/>
    <s v="H"/>
    <n v="6"/>
    <n v="8"/>
    <n v="-2"/>
    <n v="2"/>
    <n v="-16"/>
    <n v="16"/>
    <n v="1442.6964398620692"/>
    <n v="1636.5350350134615"/>
    <n v="0.30650954336506736"/>
    <n v="91"/>
    <n v="89"/>
    <n v="0"/>
    <n v="2"/>
    <n v="1"/>
    <n v="0.23059311608220592"/>
    <n v="1"/>
    <n v="71.650000000000006"/>
    <n v="71.650000000000006"/>
    <n v="11.457847082668863"/>
    <n v="1454.154286944738"/>
    <n v="1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9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1">
        <item m="1" x="41"/>
        <item x="10"/>
        <item m="1" x="52"/>
        <item m="1" x="30"/>
        <item m="1" x="28"/>
        <item m="1" x="40"/>
        <item m="1" x="56"/>
        <item m="1" x="20"/>
        <item x="12"/>
        <item m="1" x="42"/>
        <item m="1" x="21"/>
        <item x="0"/>
        <item x="6"/>
        <item m="1" x="35"/>
        <item m="1" x="17"/>
        <item m="1" x="57"/>
        <item m="1" x="37"/>
        <item x="2"/>
        <item m="1" x="19"/>
        <item x="7"/>
        <item m="1" x="51"/>
        <item m="1" x="50"/>
        <item m="1" x="27"/>
        <item m="1" x="26"/>
        <item m="1" x="59"/>
        <item x="14"/>
        <item m="1" x="58"/>
        <item x="9"/>
        <item m="1" x="29"/>
        <item m="1" x="23"/>
        <item m="1" x="36"/>
        <item x="11"/>
        <item m="1" x="44"/>
        <item m="1" x="25"/>
        <item m="1" x="32"/>
        <item m="1" x="45"/>
        <item m="1" x="53"/>
        <item x="1"/>
        <item m="1" x="46"/>
        <item m="1" x="34"/>
        <item m="1" x="24"/>
        <item m="1" x="31"/>
        <item x="8"/>
        <item m="1" x="48"/>
        <item x="13"/>
        <item m="1" x="33"/>
        <item m="1" x="18"/>
        <item m="1" x="15"/>
        <item m="1" x="43"/>
        <item x="3"/>
        <item m="1" x="54"/>
        <item m="1" x="49"/>
        <item m="1" x="55"/>
        <item m="1" x="47"/>
        <item x="5"/>
        <item m="1" x="16"/>
        <item m="1" x="22"/>
        <item m="1" x="39"/>
        <item x="4"/>
        <item m="1" x="38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6">
    <i>
      <x v="1"/>
    </i>
    <i>
      <x v="8"/>
    </i>
    <i>
      <x v="11"/>
    </i>
    <i>
      <x v="12"/>
    </i>
    <i>
      <x v="17"/>
    </i>
    <i>
      <x v="19"/>
    </i>
    <i>
      <x v="25"/>
    </i>
    <i>
      <x v="27"/>
    </i>
    <i>
      <x v="31"/>
    </i>
    <i>
      <x v="37"/>
    </i>
    <i>
      <x v="42"/>
    </i>
    <i>
      <x v="44"/>
    </i>
    <i>
      <x v="49"/>
    </i>
    <i>
      <x v="54"/>
    </i>
    <i>
      <x v="5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4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6" totalsRowShown="0">
  <autoFilter ref="A1:D16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6">
    <sortCondition ref="C14:C16"/>
  </sortState>
  <tableColumns count="4">
    <tableColumn id="1" xr3:uid="{8C17ECDF-4459-4994-A3F5-8E8FEDF92B6F}" name="TeamID"/>
    <tableColumn id="4" xr3:uid="{789F069E-DAF9-4B19-A6DB-107BA6995CE5}" name="Logo" dataDxfId="46"/>
    <tableColumn id="5" xr3:uid="{A9DA91BA-5529-4913-978B-19C8EF225B29}" name="TeamName" dataDxfId="45"/>
    <tableColumn id="2" xr3:uid="{AA4C8157-DB69-4779-8EEE-6F419B992D71}" name="PreSeasonElo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19" totalsRowShown="0" headerRowDxfId="41" dataDxfId="40">
  <autoFilter ref="A1:AL419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9"/>
    <tableColumn id="21" xr3:uid="{D754AB95-C77C-4DD5-B1B9-A24A4FEE7279}" name="Season" dataDxfId="38"/>
    <tableColumn id="19" xr3:uid="{4C42B78B-6AFC-42C3-A5F4-3266E247C458}" name="GamesPlayed" dataDxfId="3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6"/>
    <tableColumn id="14" xr3:uid="{EFA83923-8CCA-4DC9-BC85-5D86949A45D9}" name="Round" dataDxfId="35"/>
    <tableColumn id="2" xr3:uid="{6E102E51-A49B-416B-8CD2-B93B2A4EA389}" name="Team" dataDxfId="34"/>
    <tableColumn id="3" xr3:uid="{19101345-1C34-4AF3-88E6-76A7F19B7FE6}" name="Opponent" dataDxfId="33"/>
    <tableColumn id="16" xr3:uid="{4CBCDF29-B095-48DF-8EF6-06DC7D78C844}" name="HomeAway" dataDxfId="32"/>
    <tableColumn id="32" xr3:uid="{E3FA53E3-DAD6-4BC2-969A-C53F4798E86D}" name="DaysOff" dataDxfId="3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9">
      <calculatedColumnFormula>Games[[#This Row],[DaysOff]]-Games[[#This Row],[OppDaysOff]]</calculatedColumnFormula>
    </tableColumn>
    <tableColumn id="35" xr3:uid="{3F2DB366-7372-41BA-8B0C-09F9BA7EA850}" name="OppRestDiff" dataDxfId="28">
      <calculatedColumnFormula>Games[[#This Row],[OppDaysOff]]-Games[[#This Row],[DaysOff]]</calculatedColumnFormula>
    </tableColumn>
    <tableColumn id="36" xr3:uid="{BDD0FD2C-608F-4CCC-867B-4481F0F4B802}" name="RestAdj" dataDxfId="27">
      <calculatedColumnFormula>MAX(-16, MIN(16, Games[[#This Row],[RestDiff]]*8))</calculatedColumnFormula>
    </tableColumn>
    <tableColumn id="37" xr3:uid="{5F89213A-4C28-428C-B766-3B05D4F530A5}" name="OppRestAdj" dataDxfId="26">
      <calculatedColumnFormula>MAX(-16, MIN(16, Games[[#This Row],[OppRestDiff]]*8))</calculatedColumnFormula>
    </tableColumn>
    <tableColumn id="4" xr3:uid="{68053CFA-948B-4F2C-A114-7C46ABD9EA33}" name="PreGmRate" dataDxfId="2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2"/>
    <tableColumn id="8" xr3:uid="{0CDDF0F9-2F1E-487C-96DD-90F70CE7DAFC}" name="PointsAgainst" dataDxfId="21"/>
    <tableColumn id="22" xr3:uid="{AB7B5B5C-5BAD-4213-990E-8EB9B177497C}" name="OT" dataDxfId="20"/>
    <tableColumn id="9" xr3:uid="{CE171F1D-5E5D-4800-A6DC-8F6DBD74C939}" name="MOV" dataDxfId="19">
      <calculatedColumnFormula>Games[[#This Row],[PointsFor]]-Games[[#This Row],[PointsAgainst]]</calculatedColumnFormula>
    </tableColumn>
    <tableColumn id="10" xr3:uid="{883A3911-25F6-4C39-9637-F1C42D6A1FC2}" name="Result" dataDxfId="18">
      <calculatedColumnFormula>IF(Games[[#This Row],[MOV]]&gt;0,1,IF(Games[[#This Row],[MOV]]=0,0.5,0))</calculatedColumnFormula>
    </tableColumn>
    <tableColumn id="15" xr3:uid="{00048431-5FD6-47EE-807E-5B63FD521193}" name="MOVMult" dataDxfId="1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5">
      <calculatedColumnFormula>MAX(kmin, kmax - 0.15 * MIN(Games[[#This Row],[GamesPlayed]], 82))</calculatedColumnFormula>
    </tableColumn>
    <tableColumn id="29" xr3:uid="{FBA5D644-15ED-4725-9E52-1D37FD0FAC64}" name="Keff" dataDxfId="14">
      <calculatedColumnFormula>Games[[#This Row],[K]]*Games[[#This Row],[POMult]]</calculatedColumnFormula>
    </tableColumn>
    <tableColumn id="11" xr3:uid="{309DAEBD-E62C-4090-89E9-A58FD32AB89B}" name="RatingChange" dataDxfId="1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2">
      <calculatedColumnFormula>Games[[#This Row],[PreGmRate]]+Games[[#This Row],[RatingChange]]</calculatedColumnFormula>
    </tableColumn>
    <tableColumn id="17" xr3:uid="{90B7BF87-E472-4474-A10D-555BD3BF8F04}" name="W" dataDxfId="11">
      <calculatedColumnFormula>IF(Games[[#This Row],[Type]]="R",IF(Games[[#This Row],[Result]]&gt;0.5,1,0),0)</calculatedColumnFormula>
    </tableColumn>
    <tableColumn id="18" xr3:uid="{29756EA1-783D-4C76-A7B8-F906AF0EC7E7}" name="L" dataDxfId="10">
      <calculatedColumnFormula>IF(Games[[#This Row],[Type]]="R",IF(Games[[#This Row],[Result]]&lt;0.5,1,0),0)</calculatedColumnFormula>
    </tableColumn>
    <tableColumn id="23" xr3:uid="{C253CFA7-28A4-4AE5-B131-DC1E8F2B73F8}" name="R1W" dataDxfId="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3"/>
  <sheetViews>
    <sheetView workbookViewId="0">
      <selection activeCell="C14" sqref="A2:D16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1629.5198245323036</v>
      </c>
    </row>
    <row r="3" spans="1:4" x14ac:dyDescent="0.35">
      <c r="A3" t="s">
        <v>75</v>
      </c>
      <c r="B3" s="8"/>
      <c r="C3" s="15" t="s">
        <v>76</v>
      </c>
      <c r="D3" s="13">
        <v>1284.2868845997207</v>
      </c>
    </row>
    <row r="4" spans="1:4" x14ac:dyDescent="0.35">
      <c r="A4" t="s">
        <v>74</v>
      </c>
      <c r="B4" s="8"/>
      <c r="C4" s="15" t="s">
        <v>73</v>
      </c>
      <c r="D4" s="13">
        <v>1360.956726645248</v>
      </c>
    </row>
    <row r="5" spans="1:4" x14ac:dyDescent="0.35">
      <c r="A5" t="s">
        <v>84</v>
      </c>
      <c r="B5" s="8"/>
      <c r="C5" s="15" t="s">
        <v>83</v>
      </c>
      <c r="D5" s="13">
        <v>1308.2751834737162</v>
      </c>
    </row>
    <row r="6" spans="1:4" x14ac:dyDescent="0.35">
      <c r="A6" t="s">
        <v>87</v>
      </c>
      <c r="B6" s="8"/>
      <c r="C6" s="15" t="s">
        <v>88</v>
      </c>
      <c r="D6" s="13">
        <v>1505.8280090522474</v>
      </c>
    </row>
    <row r="7" spans="1:4" x14ac:dyDescent="0.35">
      <c r="A7" t="s">
        <v>69</v>
      </c>
      <c r="B7" s="8"/>
      <c r="C7" s="15" t="s">
        <v>70</v>
      </c>
      <c r="D7" s="13">
        <v>1579.6919764325874</v>
      </c>
    </row>
    <row r="8" spans="1:4" x14ac:dyDescent="0.35">
      <c r="A8" t="s">
        <v>85</v>
      </c>
      <c r="B8" s="8"/>
      <c r="C8" s="15" t="s">
        <v>86</v>
      </c>
      <c r="D8" s="13">
        <v>1722.1172051549756</v>
      </c>
    </row>
    <row r="9" spans="1:4" x14ac:dyDescent="0.35">
      <c r="A9" t="s">
        <v>63</v>
      </c>
      <c r="B9" s="8"/>
      <c r="C9" s="15" t="s">
        <v>64</v>
      </c>
      <c r="D9" s="13">
        <v>1456.4244785503206</v>
      </c>
    </row>
    <row r="10" spans="1:4" x14ac:dyDescent="0.35">
      <c r="A10" t="s">
        <v>67</v>
      </c>
      <c r="B10" s="8"/>
      <c r="C10" s="15" t="s">
        <v>68</v>
      </c>
      <c r="D10" s="13">
        <v>1665.6935334603459</v>
      </c>
    </row>
    <row r="11" spans="1:4" x14ac:dyDescent="0.35">
      <c r="A11" t="s">
        <v>60</v>
      </c>
      <c r="B11" s="8"/>
      <c r="C11" s="15" t="s">
        <v>61</v>
      </c>
      <c r="D11" s="13">
        <v>1553.3230409765897</v>
      </c>
    </row>
    <row r="12" spans="1:4" x14ac:dyDescent="0.35">
      <c r="A12" t="s">
        <v>40</v>
      </c>
      <c r="B12" s="8"/>
      <c r="C12" s="15" t="s">
        <v>62</v>
      </c>
      <c r="D12" s="13">
        <v>1570.6005991623629</v>
      </c>
    </row>
    <row r="13" spans="1:4" x14ac:dyDescent="0.35">
      <c r="A13" t="s">
        <v>89</v>
      </c>
      <c r="B13" s="8"/>
      <c r="C13" s="15" t="s">
        <v>91</v>
      </c>
      <c r="D13" s="13">
        <v>1500</v>
      </c>
    </row>
    <row r="14" spans="1:4" x14ac:dyDescent="0.35">
      <c r="A14" t="s">
        <v>71</v>
      </c>
      <c r="B14" s="8"/>
      <c r="C14" s="15" t="s">
        <v>72</v>
      </c>
      <c r="D14" s="13">
        <v>1509.1432087773687</v>
      </c>
    </row>
    <row r="15" spans="1:4" x14ac:dyDescent="0.35">
      <c r="A15" t="s">
        <v>90</v>
      </c>
      <c r="B15" s="8"/>
      <c r="C15" s="15" t="s">
        <v>92</v>
      </c>
      <c r="D15" s="13">
        <v>1500</v>
      </c>
    </row>
    <row r="16" spans="1:4" x14ac:dyDescent="0.35">
      <c r="A16" t="s">
        <v>65</v>
      </c>
      <c r="B16" s="8"/>
      <c r="C16" s="15" t="s">
        <v>66</v>
      </c>
      <c r="D16" s="13">
        <v>1353.0297568675244</v>
      </c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8"/>
      <c r="D21" s="13"/>
    </row>
    <row r="22" spans="2:4" x14ac:dyDescent="0.35">
      <c r="B22" s="8"/>
      <c r="C22" s="8"/>
      <c r="D22" s="13"/>
    </row>
    <row r="23" spans="2:4" x14ac:dyDescent="0.35">
      <c r="B23" s="8"/>
      <c r="C23" s="8"/>
      <c r="D23" s="13"/>
    </row>
  </sheetData>
  <sortState xmlns:xlrd2="http://schemas.microsoft.com/office/spreadsheetml/2017/richdata2" ref="G2:H14">
    <sortCondition ref="G2:G1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9"/>
  <sheetViews>
    <sheetView tabSelected="1" workbookViewId="0"/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bestFit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5.25" bestFit="1" customWidth="1"/>
    <col min="19" max="19" width="7.25" bestFit="1" customWidth="1"/>
    <col min="20" max="20" width="5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6">_xlfn.SORTBY(A25:H39,G25:G39,-1)</f>
        <v>MIN</v>
      </c>
      <c r="B2">
        <v>0</v>
      </c>
      <c r="C2" t="str">
        <v>Minnesota Lynx</v>
      </c>
      <c r="D2" s="1">
        <v>23</v>
      </c>
      <c r="E2" s="1">
        <v>6</v>
      </c>
      <c r="F2" s="3">
        <v>0.7931034482758621</v>
      </c>
      <c r="G2" s="9">
        <v>1685.0161209642565</v>
      </c>
      <c r="H2" s="1">
        <v>46231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GSV</v>
      </c>
      <c r="B3">
        <v>0</v>
      </c>
      <c r="C3" t="str">
        <v>Golden State Valkyries</v>
      </c>
      <c r="D3" s="1">
        <v>19</v>
      </c>
      <c r="E3" s="1">
        <v>9</v>
      </c>
      <c r="F3" s="3">
        <v>0.6785714285714286</v>
      </c>
      <c r="G3" s="9">
        <v>1625.0532008119874</v>
      </c>
      <c r="H3" s="1">
        <v>46232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1544.8052954880779</v>
      </c>
      <c r="AY3" s="1">
        <f>_xlfn.MAXIFS(Games[Date], Games[Team], AK3)</f>
        <v>46231</v>
      </c>
      <c r="AZ3">
        <f t="shared" si="2"/>
        <v>0</v>
      </c>
    </row>
    <row r="4" spans="1:68" x14ac:dyDescent="0.35">
      <c r="A4" t="str">
        <v>LVA</v>
      </c>
      <c r="B4">
        <v>0</v>
      </c>
      <c r="C4" t="str">
        <v>Las Vegas Aces</v>
      </c>
      <c r="D4" s="1">
        <v>19</v>
      </c>
      <c r="E4" s="1">
        <v>8</v>
      </c>
      <c r="F4" s="3">
        <v>0.70370370370370372</v>
      </c>
      <c r="G4" s="9">
        <v>1615.2745281470261</v>
      </c>
      <c r="H4" s="1">
        <v>46231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IND</v>
      </c>
      <c r="B5">
        <v>0</v>
      </c>
      <c r="C5" t="str">
        <v>Indiana Fever</v>
      </c>
      <c r="D5" s="1">
        <v>18</v>
      </c>
      <c r="E5" s="1">
        <v>10</v>
      </c>
      <c r="F5" s="3">
        <v>0.6428571428571429</v>
      </c>
      <c r="G5" s="9">
        <v>1611.8772154877281</v>
      </c>
      <c r="H5" s="1">
        <v>46231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ATL</v>
      </c>
      <c r="B6">
        <v>0</v>
      </c>
      <c r="C6" t="str">
        <v>Atlanta Dream</v>
      </c>
      <c r="D6" s="1">
        <v>17</v>
      </c>
      <c r="E6" s="1">
        <v>10</v>
      </c>
      <c r="F6" s="3">
        <v>0.62962962962962965</v>
      </c>
      <c r="G6" s="9">
        <v>1581.8006965848149</v>
      </c>
      <c r="H6" s="1">
        <v>46232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1454.154286944738</v>
      </c>
      <c r="AY6" s="1">
        <f>_xlfn.MAXIFS(Games[Date], Games[Team], AK6)</f>
        <v>46232</v>
      </c>
      <c r="AZ6">
        <f>SUM(AV6:AW6)</f>
        <v>0</v>
      </c>
      <c r="BO6" s="4"/>
      <c r="BP6" s="1"/>
    </row>
    <row r="7" spans="1:68" x14ac:dyDescent="0.35">
      <c r="A7" t="str">
        <v>DAL</v>
      </c>
      <c r="B7">
        <v>0</v>
      </c>
      <c r="C7" t="str">
        <v>Dallas Wings</v>
      </c>
      <c r="D7" s="1">
        <v>18</v>
      </c>
      <c r="E7" s="1">
        <v>10</v>
      </c>
      <c r="F7" s="3">
        <v>0.6428571428571429</v>
      </c>
      <c r="G7" s="9">
        <v>1571.1043864687747</v>
      </c>
      <c r="H7" s="1">
        <v>46232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1395.228099316324</v>
      </c>
      <c r="AY7" s="1">
        <f>_xlfn.MAXIFS(Games[Date], Games[Team], AK7)</f>
        <v>46231</v>
      </c>
      <c r="AZ7">
        <f>SUM(AV7:AW7)</f>
        <v>0</v>
      </c>
      <c r="BO7" s="4"/>
      <c r="BP7" s="1"/>
    </row>
    <row r="8" spans="1:68" x14ac:dyDescent="0.35">
      <c r="A8" t="str">
        <v>NYL</v>
      </c>
      <c r="B8">
        <v>0</v>
      </c>
      <c r="C8" t="str">
        <v>New York Liberty</v>
      </c>
      <c r="D8" s="1">
        <v>16</v>
      </c>
      <c r="E8" s="1">
        <v>12</v>
      </c>
      <c r="F8" s="3">
        <v>0.5714285714285714</v>
      </c>
      <c r="G8" s="9">
        <v>1544.8052954880779</v>
      </c>
      <c r="H8" s="1">
        <v>46231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WAS</v>
      </c>
      <c r="B9">
        <v>0</v>
      </c>
      <c r="C9" t="str">
        <v>Washington Mystics</v>
      </c>
      <c r="D9" s="1">
        <v>15</v>
      </c>
      <c r="E9" s="1">
        <v>12</v>
      </c>
      <c r="F9" s="3">
        <v>0.55555555555555558</v>
      </c>
      <c r="G9" s="9">
        <v>1482.7191215365644</v>
      </c>
      <c r="H9" s="1">
        <v>46231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PHX</v>
      </c>
      <c r="B10">
        <v>0</v>
      </c>
      <c r="C10" t="str">
        <v>Phoenix Mercury</v>
      </c>
      <c r="D10" s="1">
        <v>11</v>
      </c>
      <c r="E10" s="1">
        <v>18</v>
      </c>
      <c r="F10" s="3">
        <v>0.37931034482758619</v>
      </c>
      <c r="G10" s="9">
        <v>1454.154286944738</v>
      </c>
      <c r="H10" s="1">
        <v>46232</v>
      </c>
      <c r="O10" s="3"/>
      <c r="P10" s="4"/>
      <c r="Q10" s="1"/>
      <c r="AX10" s="4"/>
      <c r="BO10" s="4"/>
      <c r="BP10" s="1"/>
    </row>
    <row r="11" spans="1:68" x14ac:dyDescent="0.35">
      <c r="A11" t="str">
        <v>POR</v>
      </c>
      <c r="B11">
        <v>0</v>
      </c>
      <c r="C11" t="str">
        <v>Portland Fire</v>
      </c>
      <c r="D11" s="1">
        <v>11</v>
      </c>
      <c r="E11" s="1">
        <v>17</v>
      </c>
      <c r="F11" s="3">
        <v>0.39285714285714285</v>
      </c>
      <c r="G11" s="9">
        <v>1425.4752161401823</v>
      </c>
      <c r="H11" s="1">
        <v>46231</v>
      </c>
      <c r="O11" s="3"/>
      <c r="P11" s="4"/>
      <c r="Q11" s="1"/>
      <c r="AX11" s="4"/>
      <c r="BO11" s="4"/>
      <c r="BP11" s="1"/>
    </row>
    <row r="12" spans="1:68" x14ac:dyDescent="0.35">
      <c r="A12" t="str">
        <v>CHI</v>
      </c>
      <c r="B12">
        <v>0</v>
      </c>
      <c r="C12" t="str">
        <v>Chicago Sky</v>
      </c>
      <c r="D12" s="1">
        <v>9</v>
      </c>
      <c r="E12" s="1">
        <v>18</v>
      </c>
      <c r="F12" s="3">
        <v>0.33333333333333331</v>
      </c>
      <c r="G12" s="9">
        <v>1401.3568396771263</v>
      </c>
      <c r="H12" s="1">
        <v>46225</v>
      </c>
      <c r="O12" s="3"/>
      <c r="P12" s="4"/>
      <c r="Q12" s="1"/>
      <c r="AX12" s="4"/>
      <c r="BO12" s="4"/>
      <c r="BP12" s="1"/>
    </row>
    <row r="13" spans="1:68" x14ac:dyDescent="0.35">
      <c r="A13" t="str">
        <v>LAS</v>
      </c>
      <c r="B13">
        <v>0</v>
      </c>
      <c r="C13" t="str">
        <v>Los Angeles Sparks</v>
      </c>
      <c r="D13" s="1">
        <v>10</v>
      </c>
      <c r="E13" s="1">
        <v>17</v>
      </c>
      <c r="F13" s="3">
        <v>0.37037037037037035</v>
      </c>
      <c r="G13" s="9">
        <v>1395.228099316324</v>
      </c>
      <c r="H13" s="1">
        <v>46231</v>
      </c>
      <c r="AX13" s="4"/>
      <c r="BO13" s="4"/>
      <c r="BP13" s="1"/>
    </row>
    <row r="14" spans="1:68" x14ac:dyDescent="0.35">
      <c r="A14" t="str">
        <v>TOR</v>
      </c>
      <c r="B14">
        <v>0</v>
      </c>
      <c r="C14" t="str">
        <v>Toronto Tempo</v>
      </c>
      <c r="D14" s="1">
        <v>10</v>
      </c>
      <c r="E14" s="1">
        <v>17</v>
      </c>
      <c r="F14" s="3">
        <v>0.37037037037037035</v>
      </c>
      <c r="G14" s="9">
        <v>1387.7180568575131</v>
      </c>
      <c r="H14" s="1">
        <v>46231</v>
      </c>
      <c r="O14" s="3"/>
      <c r="P14" s="4"/>
      <c r="Q14" s="1"/>
      <c r="AX14" s="4"/>
      <c r="BO14" s="4"/>
      <c r="BP14" s="1"/>
    </row>
    <row r="15" spans="1:68" x14ac:dyDescent="0.35">
      <c r="A15" t="str">
        <v>SEA</v>
      </c>
      <c r="B15">
        <v>0</v>
      </c>
      <c r="C15" t="str">
        <v>Seattle Storm</v>
      </c>
      <c r="D15" s="1">
        <v>6</v>
      </c>
      <c r="E15" s="1">
        <v>24</v>
      </c>
      <c r="F15" s="3">
        <v>0.2</v>
      </c>
      <c r="G15" s="9">
        <v>1363.1081512918643</v>
      </c>
      <c r="H15" s="1">
        <v>46231</v>
      </c>
      <c r="O15" s="3"/>
      <c r="P15" s="4"/>
      <c r="Q15" s="1"/>
      <c r="AX15" s="4"/>
      <c r="BO15" s="4"/>
      <c r="BP15" s="1"/>
    </row>
    <row r="16" spans="1:68" x14ac:dyDescent="0.35">
      <c r="A16" t="str">
        <v>CON</v>
      </c>
      <c r="B16">
        <v>0</v>
      </c>
      <c r="C16" t="str">
        <v>Connecticut Sun</v>
      </c>
      <c r="D16" s="1">
        <v>7</v>
      </c>
      <c r="E16" s="1">
        <v>21</v>
      </c>
      <c r="F16" s="3">
        <v>0.25</v>
      </c>
      <c r="G16" s="9">
        <v>1355.4791670585946</v>
      </c>
      <c r="H16" s="1">
        <v>46231</v>
      </c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17</v>
      </c>
      <c r="E25" s="1">
        <f>_xlfn.XLOOKUP($A25,StandingsPivot!$A$4:$A$35,StandingsPivot!C$4:C$35)</f>
        <v>10</v>
      </c>
      <c r="F25" s="3">
        <f t="shared" ref="F25:F39" si="4">(D25)/(D25+E25)</f>
        <v>0.62962962962962965</v>
      </c>
      <c r="G25" s="9" cm="1">
        <f t="array" ref="G25">INDEX(Games[PostGmRate], MATCH(1, (Games[Team]=A25)*(Games[Date]=H25), 0))</f>
        <v>1581.8006965848149</v>
      </c>
      <c r="H25" s="1">
        <f>_xlfn.MAXIFS(Games[Date], Games[Team], A25)</f>
        <v>46232</v>
      </c>
      <c r="M25"/>
      <c r="N25"/>
      <c r="O25"/>
      <c r="P25" s="1"/>
      <c r="Q25" s="1"/>
      <c r="R25" s="3"/>
      <c r="S25" s="9"/>
      <c r="T25" s="1"/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9</v>
      </c>
      <c r="E26" s="1">
        <f>_xlfn.XLOOKUP($A26,StandingsPivot!$A$4:$A$35,StandingsPivot!C$4:C$35)</f>
        <v>18</v>
      </c>
      <c r="F26" s="3">
        <f t="shared" si="4"/>
        <v>0.33333333333333331</v>
      </c>
      <c r="G26" s="9" cm="1">
        <f t="array" ref="G26">INDEX(Games[PostGmRate], MATCH(1, (Games[Team]=A26)*(Games[Date]=H26), 0))</f>
        <v>1401.3568396771263</v>
      </c>
      <c r="H26" s="1">
        <f>_xlfn.MAXIFS(Games[Date], Games[Team], A26)</f>
        <v>46225</v>
      </c>
      <c r="M26"/>
      <c r="N26"/>
      <c r="O26"/>
      <c r="P26" s="1"/>
      <c r="Q26" s="1"/>
      <c r="R26" s="3"/>
      <c r="S26" s="9"/>
      <c r="T26" s="1"/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7</v>
      </c>
      <c r="E27" s="1">
        <f>_xlfn.XLOOKUP($A27,StandingsPivot!$A$4:$A$35,StandingsPivot!C$4:C$35)</f>
        <v>21</v>
      </c>
      <c r="F27" s="3">
        <f t="shared" si="4"/>
        <v>0.25</v>
      </c>
      <c r="G27" s="9" cm="1">
        <f t="array" ref="G27">INDEX(Games[PostGmRate], MATCH(1, (Games[Team]=A27)*(Games[Date]=H27), 0))</f>
        <v>1355.4791670585946</v>
      </c>
      <c r="H27" s="1">
        <f>_xlfn.MAXIFS(Games[Date], Games[Team], A27)</f>
        <v>46231</v>
      </c>
      <c r="M27"/>
      <c r="N27"/>
      <c r="O27"/>
      <c r="P27" s="1"/>
      <c r="Q27" s="1"/>
      <c r="R27" s="3"/>
      <c r="S27" s="9"/>
      <c r="T27" s="1"/>
      <c r="AR27" s="3"/>
      <c r="AS27" s="4"/>
      <c r="BD27" s="1"/>
      <c r="BG27" s="3"/>
      <c r="BH27" s="4"/>
    </row>
    <row r="28" spans="1:60" x14ac:dyDescent="0.35">
      <c r="A28" t="s">
        <v>84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18</v>
      </c>
      <c r="E28" s="1">
        <f>_xlfn.XLOOKUP($A28,StandingsPivot!$A$4:$A$35,StandingsPivot!C$4:C$35)</f>
        <v>10</v>
      </c>
      <c r="F28" s="3">
        <f t="shared" si="4"/>
        <v>0.6428571428571429</v>
      </c>
      <c r="G28" s="9" cm="1">
        <f t="array" ref="G28">INDEX(Games[PostGmRate], MATCH(1, (Games[Team]=A28)*(Games[Date]=H28), 0))</f>
        <v>1571.1043864687747</v>
      </c>
      <c r="H28" s="1">
        <f>_xlfn.MAXIFS(Games[Date], Games[Team], A28)</f>
        <v>46232</v>
      </c>
      <c r="M28"/>
      <c r="N28"/>
      <c r="O28"/>
      <c r="P28" s="1"/>
      <c r="Q28" s="1"/>
      <c r="R28" s="3"/>
      <c r="S28" s="9"/>
      <c r="T28" s="1"/>
      <c r="AR28" s="3"/>
      <c r="AS28" s="4"/>
      <c r="BD28" s="1"/>
      <c r="BG28" s="3"/>
      <c r="BH28" s="4"/>
    </row>
    <row r="29" spans="1:60" x14ac:dyDescent="0.35">
      <c r="A29" t="s">
        <v>87</v>
      </c>
      <c r="B29">
        <f>_xlfn.XLOOKUP(A29,ConfDiv[TeamID],ConfDiv[Logo])</f>
        <v>0</v>
      </c>
      <c r="C29" t="str">
        <f>_xlfn.XLOOKUP(A29,ConfDiv[TeamID],ConfDiv[TeamName])</f>
        <v>Golden State Valkyries</v>
      </c>
      <c r="D29" s="1">
        <f>_xlfn.XLOOKUP($A29,StandingsPivot!$A$4:$A$35,StandingsPivot!B$4:B$35)</f>
        <v>19</v>
      </c>
      <c r="E29" s="1">
        <f>_xlfn.XLOOKUP($A29,StandingsPivot!$A$4:$A$35,StandingsPivot!C$4:C$35)</f>
        <v>9</v>
      </c>
      <c r="F29" s="3">
        <f t="shared" si="4"/>
        <v>0.6785714285714286</v>
      </c>
      <c r="G29" s="9" cm="1">
        <f t="array" ref="G29">INDEX(Games[PostGmRate], MATCH(1, (Games[Team]=A29)*(Games[Date]=H29), 0))</f>
        <v>1625.0532008119874</v>
      </c>
      <c r="H29" s="1">
        <f>_xlfn.MAXIFS(Games[Date], Games[Team], A29)</f>
        <v>46232</v>
      </c>
      <c r="M29"/>
      <c r="N29"/>
      <c r="O29"/>
      <c r="P29" s="1"/>
      <c r="Q29" s="1"/>
      <c r="R29" s="3"/>
      <c r="S29" s="9"/>
      <c r="T29" s="1"/>
      <c r="AR29" s="3"/>
      <c r="AS29" s="4"/>
      <c r="BD29" s="1"/>
      <c r="BG29" s="3"/>
      <c r="BH29" s="4"/>
    </row>
    <row r="30" spans="1:60" x14ac:dyDescent="0.35">
      <c r="A30" t="s">
        <v>69</v>
      </c>
      <c r="B30">
        <f>_xlfn.XLOOKUP(A30,ConfDiv[TeamID],ConfDiv[Logo])</f>
        <v>0</v>
      </c>
      <c r="C30" t="str">
        <f>_xlfn.XLOOKUP(A30,ConfDiv[TeamID],ConfDiv[TeamName])</f>
        <v>Indiana Fever</v>
      </c>
      <c r="D30" s="1">
        <f>_xlfn.XLOOKUP($A30,StandingsPivot!$A$4:$A$35,StandingsPivot!B$4:B$35)</f>
        <v>18</v>
      </c>
      <c r="E30" s="1">
        <f>_xlfn.XLOOKUP($A30,StandingsPivot!$A$4:$A$35,StandingsPivot!C$4:C$35)</f>
        <v>10</v>
      </c>
      <c r="F30" s="3">
        <f t="shared" si="4"/>
        <v>0.6428571428571429</v>
      </c>
      <c r="G30" s="9" cm="1">
        <f t="array" ref="G30">INDEX(Games[PostGmRate], MATCH(1, (Games[Team]=A30)*(Games[Date]=H30), 0))</f>
        <v>1611.8772154877281</v>
      </c>
      <c r="H30" s="1">
        <f>_xlfn.MAXIFS(Games[Date], Games[Team], A30)</f>
        <v>46231</v>
      </c>
      <c r="M30"/>
      <c r="N30"/>
      <c r="O30"/>
      <c r="P30" s="1"/>
      <c r="Q30" s="1"/>
      <c r="R30" s="3"/>
      <c r="S30" s="9"/>
      <c r="T30" s="1"/>
      <c r="AR30" s="3"/>
      <c r="AS30" s="4"/>
      <c r="BD30" s="1"/>
      <c r="BG30" s="3"/>
      <c r="BH30" s="4"/>
    </row>
    <row r="31" spans="1:60" x14ac:dyDescent="0.35">
      <c r="A31" t="s">
        <v>63</v>
      </c>
      <c r="B31">
        <f>_xlfn.XLOOKUP(A31,ConfDiv[TeamID],ConfDiv[Logo])</f>
        <v>0</v>
      </c>
      <c r="C31" t="str">
        <f>_xlfn.XLOOKUP(A31,ConfDiv[TeamID],ConfDiv[TeamName])</f>
        <v>Los Angeles Sparks</v>
      </c>
      <c r="D31" s="1">
        <f>_xlfn.XLOOKUP($A31,StandingsPivot!$A$4:$A$35,StandingsPivot!B$4:B$35)</f>
        <v>10</v>
      </c>
      <c r="E31" s="1">
        <f>_xlfn.XLOOKUP($A31,StandingsPivot!$A$4:$A$35,StandingsPivot!C$4:C$35)</f>
        <v>17</v>
      </c>
      <c r="F31" s="3">
        <f t="shared" si="4"/>
        <v>0.37037037037037035</v>
      </c>
      <c r="G31" s="9" cm="1">
        <f t="array" ref="G31">INDEX(Games[PostGmRate], MATCH(1, (Games[Team]=A31)*(Games[Date]=H31), 0))</f>
        <v>1395.228099316324</v>
      </c>
      <c r="H31" s="1">
        <f>_xlfn.MAXIFS(Games[Date], Games[Team], A31)</f>
        <v>46231</v>
      </c>
      <c r="M31"/>
      <c r="N31"/>
      <c r="O31"/>
      <c r="P31" s="1"/>
      <c r="Q31" s="1"/>
      <c r="R31" s="3"/>
      <c r="S31" s="9"/>
      <c r="T31" s="1"/>
      <c r="AR31" s="3"/>
      <c r="AS31" s="4"/>
      <c r="BD31" s="1"/>
      <c r="BG31" s="3"/>
      <c r="BH31" s="4"/>
    </row>
    <row r="32" spans="1:60" x14ac:dyDescent="0.35">
      <c r="A32" t="s">
        <v>85</v>
      </c>
      <c r="B32">
        <f>_xlfn.XLOOKUP(A32,ConfDiv[TeamID],ConfDiv[Logo])</f>
        <v>0</v>
      </c>
      <c r="C32" t="str">
        <f>_xlfn.XLOOKUP(A32,ConfDiv[TeamID],ConfDiv[TeamName])</f>
        <v>Las Vegas Aces</v>
      </c>
      <c r="D32" s="1">
        <f>_xlfn.XLOOKUP($A32,StandingsPivot!$A$4:$A$35,StandingsPivot!B$4:B$35)</f>
        <v>19</v>
      </c>
      <c r="E32" s="1">
        <f>_xlfn.XLOOKUP($A32,StandingsPivot!$A$4:$A$35,StandingsPivot!C$4:C$35)</f>
        <v>8</v>
      </c>
      <c r="F32" s="3">
        <f t="shared" si="4"/>
        <v>0.70370370370370372</v>
      </c>
      <c r="G32" s="9" cm="1">
        <f t="array" ref="G32">INDEX(Games[PostGmRate], MATCH(1, (Games[Team]=A32)*(Games[Date]=H32), 0))</f>
        <v>1615.2745281470261</v>
      </c>
      <c r="H32" s="1">
        <f>_xlfn.MAXIFS(Games[Date], Games[Team], A32)</f>
        <v>46231</v>
      </c>
      <c r="M32"/>
      <c r="N32"/>
      <c r="O32"/>
      <c r="P32" s="1"/>
      <c r="Q32" s="1"/>
      <c r="R32" s="3"/>
      <c r="S32" s="9"/>
      <c r="T32" s="1"/>
    </row>
    <row r="33" spans="1:20" x14ac:dyDescent="0.35">
      <c r="A33" t="s">
        <v>67</v>
      </c>
      <c r="B33">
        <f>_xlfn.XLOOKUP(A33,ConfDiv[TeamID],ConfDiv[Logo])</f>
        <v>0</v>
      </c>
      <c r="C33" t="str">
        <f>_xlfn.XLOOKUP(A33,ConfDiv[TeamID],ConfDiv[TeamName])</f>
        <v>Minnesota Lynx</v>
      </c>
      <c r="D33" s="1">
        <f>_xlfn.XLOOKUP($A33,StandingsPivot!$A$4:$A$35,StandingsPivot!B$4:B$35)</f>
        <v>23</v>
      </c>
      <c r="E33" s="1">
        <f>_xlfn.XLOOKUP($A33,StandingsPivot!$A$4:$A$35,StandingsPivot!C$4:C$35)</f>
        <v>6</v>
      </c>
      <c r="F33" s="3">
        <f t="shared" si="4"/>
        <v>0.7931034482758621</v>
      </c>
      <c r="G33" s="9" cm="1">
        <f t="array" ref="G33">INDEX(Games[PostGmRate], MATCH(1, (Games[Team]=A33)*(Games[Date]=H33), 0))</f>
        <v>1685.0161209642565</v>
      </c>
      <c r="H33" s="1">
        <f>_xlfn.MAXIFS(Games[Date], Games[Team], A33)</f>
        <v>46231</v>
      </c>
      <c r="M33"/>
      <c r="N33"/>
      <c r="O33"/>
      <c r="P33" s="1"/>
      <c r="Q33" s="1"/>
      <c r="R33" s="3"/>
      <c r="S33" s="9"/>
      <c r="T33" s="1"/>
    </row>
    <row r="34" spans="1:20" x14ac:dyDescent="0.35">
      <c r="A34" t="s">
        <v>60</v>
      </c>
      <c r="B34">
        <f>_xlfn.XLOOKUP(A34,ConfDiv[TeamID],ConfDiv[Logo])</f>
        <v>0</v>
      </c>
      <c r="C34" t="str">
        <f>_xlfn.XLOOKUP(A34,ConfDiv[TeamID],ConfDiv[TeamName])</f>
        <v>New York Liberty</v>
      </c>
      <c r="D34" s="1">
        <f>_xlfn.XLOOKUP($A34,StandingsPivot!$A$4:$A$35,StandingsPivot!B$4:B$35)</f>
        <v>16</v>
      </c>
      <c r="E34" s="1">
        <f>_xlfn.XLOOKUP($A34,StandingsPivot!$A$4:$A$35,StandingsPivot!C$4:C$35)</f>
        <v>12</v>
      </c>
      <c r="F34" s="3">
        <f t="shared" si="4"/>
        <v>0.5714285714285714</v>
      </c>
      <c r="G34" s="9" cm="1">
        <f t="array" ref="G34">INDEX(Games[PostGmRate], MATCH(1, (Games[Team]=A34)*(Games[Date]=H34), 0))</f>
        <v>1544.8052954880779</v>
      </c>
      <c r="H34" s="1">
        <f>_xlfn.MAXIFS(Games[Date], Games[Team], A34)</f>
        <v>46231</v>
      </c>
      <c r="M34"/>
      <c r="N34"/>
      <c r="O34"/>
      <c r="P34" s="1"/>
      <c r="Q34" s="1"/>
      <c r="R34" s="3"/>
      <c r="S34" s="9"/>
      <c r="T34" s="1"/>
    </row>
    <row r="35" spans="1:20" x14ac:dyDescent="0.35">
      <c r="A35" t="s">
        <v>40</v>
      </c>
      <c r="B35">
        <f>_xlfn.XLOOKUP(A35,ConfDiv[TeamID],ConfDiv[Logo])</f>
        <v>0</v>
      </c>
      <c r="C35" t="str">
        <f>_xlfn.XLOOKUP(A35,ConfDiv[TeamID],ConfDiv[TeamName])</f>
        <v>Phoenix Mercury</v>
      </c>
      <c r="D35" s="1">
        <f>_xlfn.XLOOKUP($A35,StandingsPivot!$A$4:$A$35,StandingsPivot!B$4:B$35)</f>
        <v>11</v>
      </c>
      <c r="E35" s="1">
        <f>_xlfn.XLOOKUP($A35,StandingsPivot!$A$4:$A$35,StandingsPivot!C$4:C$35)</f>
        <v>18</v>
      </c>
      <c r="F35" s="3">
        <f t="shared" si="4"/>
        <v>0.37931034482758619</v>
      </c>
      <c r="G35" s="9" cm="1">
        <f t="array" ref="G35">INDEX(Games[PostGmRate], MATCH(1, (Games[Team]=A35)*(Games[Date]=H35), 0))</f>
        <v>1454.154286944738</v>
      </c>
      <c r="H35" s="1">
        <f>_xlfn.MAXIFS(Games[Date], Games[Team], A35)</f>
        <v>46232</v>
      </c>
      <c r="M35"/>
      <c r="N35"/>
      <c r="O35"/>
      <c r="P35" s="1"/>
      <c r="Q35" s="1"/>
      <c r="R35" s="3"/>
      <c r="S35" s="9"/>
      <c r="T35" s="1"/>
    </row>
    <row r="36" spans="1:20" x14ac:dyDescent="0.35">
      <c r="A36" t="s">
        <v>89</v>
      </c>
      <c r="B36">
        <f>_xlfn.XLOOKUP(A36,ConfDiv[TeamID],ConfDiv[Logo])</f>
        <v>0</v>
      </c>
      <c r="C36" t="str">
        <f>_xlfn.XLOOKUP(A36,ConfDiv[TeamID],ConfDiv[TeamName])</f>
        <v>Portland Fire</v>
      </c>
      <c r="D36" s="1">
        <f>_xlfn.XLOOKUP($A36,StandingsPivot!$A$4:$A$35,StandingsPivot!B$4:B$35)</f>
        <v>11</v>
      </c>
      <c r="E36" s="1">
        <f>_xlfn.XLOOKUP($A36,StandingsPivot!$A$4:$A$35,StandingsPivot!C$4:C$35)</f>
        <v>17</v>
      </c>
      <c r="F36" s="3">
        <f t="shared" si="4"/>
        <v>0.39285714285714285</v>
      </c>
      <c r="G36" s="9" cm="1">
        <f t="array" ref="G36">INDEX(Games[PostGmRate], MATCH(1, (Games[Team]=A36)*(Games[Date]=H36), 0))</f>
        <v>1425.4752161401823</v>
      </c>
      <c r="H36" s="1">
        <f>_xlfn.MAXIFS(Games[Date], Games[Team], A36)</f>
        <v>46231</v>
      </c>
      <c r="M36"/>
      <c r="N36"/>
      <c r="O36"/>
      <c r="P36" s="1"/>
      <c r="Q36" s="1"/>
      <c r="R36" s="3"/>
      <c r="S36" s="9"/>
      <c r="T36" s="1"/>
    </row>
    <row r="37" spans="1:20" x14ac:dyDescent="0.35">
      <c r="A37" t="s">
        <v>71</v>
      </c>
      <c r="B37">
        <f>_xlfn.XLOOKUP(A37,ConfDiv[TeamID],ConfDiv[Logo])</f>
        <v>0</v>
      </c>
      <c r="C37" t="str">
        <f>_xlfn.XLOOKUP(A37,ConfDiv[TeamID],ConfDiv[TeamName])</f>
        <v>Seattle Storm</v>
      </c>
      <c r="D37" s="1">
        <f>_xlfn.XLOOKUP($A37,StandingsPivot!$A$4:$A$35,StandingsPivot!B$4:B$35)</f>
        <v>6</v>
      </c>
      <c r="E37" s="1">
        <f>_xlfn.XLOOKUP($A37,StandingsPivot!$A$4:$A$35,StandingsPivot!C$4:C$35)</f>
        <v>24</v>
      </c>
      <c r="F37" s="3">
        <f t="shared" si="4"/>
        <v>0.2</v>
      </c>
      <c r="G37" s="9" cm="1">
        <f t="array" ref="G37">INDEX(Games[PostGmRate], MATCH(1, (Games[Team]=A37)*(Games[Date]=H37), 0))</f>
        <v>1363.1081512918643</v>
      </c>
      <c r="H37" s="1">
        <f>_xlfn.MAXIFS(Games[Date], Games[Team], A37)</f>
        <v>46231</v>
      </c>
      <c r="M37"/>
      <c r="N37"/>
      <c r="O37"/>
      <c r="P37" s="1"/>
      <c r="Q37" s="1"/>
      <c r="R37" s="3"/>
      <c r="S37" s="9"/>
      <c r="T37" s="1"/>
    </row>
    <row r="38" spans="1:20" x14ac:dyDescent="0.35">
      <c r="A38" t="s">
        <v>90</v>
      </c>
      <c r="B38">
        <f>_xlfn.XLOOKUP(A38,ConfDiv[TeamID],ConfDiv[Logo])</f>
        <v>0</v>
      </c>
      <c r="C38" t="str">
        <f>_xlfn.XLOOKUP(A38,ConfDiv[TeamID],ConfDiv[TeamName])</f>
        <v>Toronto Tempo</v>
      </c>
      <c r="D38" s="1">
        <f>_xlfn.XLOOKUP($A38,StandingsPivot!$A$4:$A$35,StandingsPivot!B$4:B$35)</f>
        <v>10</v>
      </c>
      <c r="E38" s="1">
        <f>_xlfn.XLOOKUP($A38,StandingsPivot!$A$4:$A$35,StandingsPivot!C$4:C$35)</f>
        <v>17</v>
      </c>
      <c r="F38" s="3">
        <f t="shared" si="4"/>
        <v>0.37037037037037035</v>
      </c>
      <c r="G38" s="9" cm="1">
        <f t="array" ref="G38">INDEX(Games[PostGmRate], MATCH(1, (Games[Team]=A38)*(Games[Date]=H38), 0))</f>
        <v>1387.7180568575131</v>
      </c>
      <c r="H38" s="1">
        <f>_xlfn.MAXIFS(Games[Date], Games[Team], A38)</f>
        <v>46231</v>
      </c>
      <c r="M38"/>
      <c r="N38"/>
      <c r="O38"/>
      <c r="P38" s="1"/>
      <c r="Q38" s="1"/>
      <c r="R38" s="3"/>
      <c r="S38" s="9"/>
      <c r="T38" s="1"/>
    </row>
    <row r="39" spans="1:20" x14ac:dyDescent="0.35">
      <c r="A39" t="s">
        <v>65</v>
      </c>
      <c r="B39">
        <f>_xlfn.XLOOKUP(A39,ConfDiv[TeamID],ConfDiv[Logo])</f>
        <v>0</v>
      </c>
      <c r="C39" t="str">
        <f>_xlfn.XLOOKUP(A39,ConfDiv[TeamID],ConfDiv[TeamName])</f>
        <v>Washington Mystics</v>
      </c>
      <c r="D39" s="1">
        <f>_xlfn.XLOOKUP($A39,StandingsPivot!$A$4:$A$35,StandingsPivot!B$4:B$35)</f>
        <v>15</v>
      </c>
      <c r="E39" s="1">
        <f>_xlfn.XLOOKUP($A39,StandingsPivot!$A$4:$A$35,StandingsPivot!C$4:C$35)</f>
        <v>12</v>
      </c>
      <c r="F39" s="3">
        <f t="shared" si="4"/>
        <v>0.55555555555555558</v>
      </c>
      <c r="G39" s="9" cm="1">
        <f t="array" ref="G39">INDEX(Games[PostGmRate], MATCH(1, (Games[Team]=A39)*(Games[Date]=H39), 0))</f>
        <v>1482.7191215365644</v>
      </c>
      <c r="H39" s="1">
        <f>_xlfn.MAXIFS(Games[Date], Games[Team], A39)</f>
        <v>46231</v>
      </c>
      <c r="M39"/>
      <c r="N39"/>
      <c r="O39"/>
      <c r="P39" s="1"/>
      <c r="Q39" s="1"/>
      <c r="R39" s="3"/>
      <c r="S39" s="9"/>
      <c r="T39" s="1"/>
    </row>
  </sheetData>
  <sortState xmlns:xlrd2="http://schemas.microsoft.com/office/spreadsheetml/2017/richdata2" ref="A25:G39">
    <sortCondition ref="A25:A39"/>
  </sortState>
  <conditionalFormatting sqref="G2:G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17</v>
      </c>
      <c r="C4" s="2">
        <v>10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9</v>
      </c>
      <c r="C5" s="2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7</v>
      </c>
      <c r="C6" s="2">
        <v>21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84</v>
      </c>
      <c r="B7" s="2">
        <v>18</v>
      </c>
      <c r="C7" s="2">
        <v>10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87</v>
      </c>
      <c r="B8" s="2">
        <v>19</v>
      </c>
      <c r="C8" s="2">
        <v>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69</v>
      </c>
      <c r="B9" s="2">
        <v>18</v>
      </c>
      <c r="C9" s="2">
        <v>10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63</v>
      </c>
      <c r="B10" s="2">
        <v>10</v>
      </c>
      <c r="C10" s="2">
        <v>17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85</v>
      </c>
      <c r="B11" s="2">
        <v>19</v>
      </c>
      <c r="C11" s="2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67</v>
      </c>
      <c r="B12" s="2">
        <v>23</v>
      </c>
      <c r="C12" s="2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60</v>
      </c>
      <c r="B13" s="2">
        <v>16</v>
      </c>
      <c r="C13" s="2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40</v>
      </c>
      <c r="B14" s="2">
        <v>11</v>
      </c>
      <c r="C14" s="2">
        <v>18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89</v>
      </c>
      <c r="B15" s="2">
        <v>11</v>
      </c>
      <c r="C15" s="2">
        <v>17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71</v>
      </c>
      <c r="B16" s="2">
        <v>6</v>
      </c>
      <c r="C16" s="2">
        <v>24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90</v>
      </c>
      <c r="B17" s="2">
        <v>10</v>
      </c>
      <c r="C17" s="2">
        <v>17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65</v>
      </c>
      <c r="B18" s="2">
        <v>15</v>
      </c>
      <c r="C18" s="2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5">
      <c r="A19" s="6" t="s">
        <v>18</v>
      </c>
      <c r="B19" s="2">
        <v>209</v>
      </c>
      <c r="C19" s="2">
        <v>209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34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19"/>
  <sheetViews>
    <sheetView topLeftCell="A398" workbookViewId="0">
      <selection activeCell="A419" sqref="A419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46150</v>
      </c>
      <c r="B2" s="2">
        <v>2026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74</v>
      </c>
      <c r="G2" s="1" t="s">
        <v>60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1430.4783633226239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1526.6615204882949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0.26168721090108854</v>
      </c>
      <c r="R2" s="1">
        <v>75</v>
      </c>
      <c r="S2" s="1">
        <v>106</v>
      </c>
      <c r="T2" s="1">
        <v>0</v>
      </c>
      <c r="U2" s="1">
        <f>Games[[#This Row],[PointsFor]]-Games[[#This Row],[PointsAgainst]]</f>
        <v>-31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0.66239207315468451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-13.147803665037753</v>
      </c>
      <c r="AB2" s="4">
        <f>Games[[#This Row],[PreGmRate]]+Games[[#This Row],[RatingChange]]</f>
        <v>1417.330559657586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46150</v>
      </c>
      <c r="B3" s="2">
        <v>2026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60</v>
      </c>
      <c r="G3" s="1" t="s">
        <v>74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1526.6615204882949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1430.4783633226239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0.7383127890989114</v>
      </c>
      <c r="R3" s="1">
        <v>106</v>
      </c>
      <c r="S3" s="1">
        <v>75</v>
      </c>
      <c r="T3" s="1">
        <v>0</v>
      </c>
      <c r="U3" s="1">
        <f>Games[[#This Row],[PointsFor]]-Games[[#This Row],[PointsAgainst]]</f>
        <v>31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0.66239207315468451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13.147803665037754</v>
      </c>
      <c r="AB3" s="4">
        <f>Games[[#This Row],[PreGmRate]]+Games[[#This Row],[RatingChange]]</f>
        <v>1539.8093241533327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46150</v>
      </c>
      <c r="B4" s="2">
        <v>2026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87</v>
      </c>
      <c r="G4" s="1" t="s">
        <v>71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1502.9140045261238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1504.5716043886844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0.37916714171803673</v>
      </c>
      <c r="R4" s="1">
        <v>91</v>
      </c>
      <c r="S4" s="1">
        <v>80</v>
      </c>
      <c r="T4" s="1">
        <v>0</v>
      </c>
      <c r="U4" s="1">
        <f>Games[[#This Row],[PointsFor]]-Games[[#This Row],[PointsAgainst]]</f>
        <v>11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0.43922924830627719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20.68338098224379</v>
      </c>
      <c r="AB4" s="4">
        <f>Games[[#This Row],[PreGmRate]]+Games[[#This Row],[RatingChange]]</f>
        <v>1523.5973855083676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46150</v>
      </c>
      <c r="B5" s="2">
        <v>2026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71</v>
      </c>
      <c r="G5" s="1" t="s">
        <v>87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1504.5716043886844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1502.9140045261238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0.62083285828196333</v>
      </c>
      <c r="R5" s="1">
        <v>80</v>
      </c>
      <c r="S5" s="1">
        <v>91</v>
      </c>
      <c r="T5" s="1">
        <v>0</v>
      </c>
      <c r="U5" s="1">
        <f>Games[[#This Row],[PointsFor]]-Games[[#This Row],[PointsAgainst]]</f>
        <v>-11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0.43922924830627719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-20.68338098224379</v>
      </c>
      <c r="AB5" s="4">
        <f>Games[[#This Row],[PreGmRate]]+Games[[#This Row],[RatingChange]]</f>
        <v>1483.8882234064406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46150</v>
      </c>
      <c r="B6" s="2">
        <v>2026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65</v>
      </c>
      <c r="G6" s="1" t="s">
        <v>90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1426.5148784337621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0.28770485011515723</v>
      </c>
      <c r="R6" s="1">
        <v>68</v>
      </c>
      <c r="S6" s="1">
        <v>65</v>
      </c>
      <c r="T6" s="1">
        <v>0</v>
      </c>
      <c r="U6" s="1">
        <f>Games[[#This Row],[PointsFor]]-Games[[#This Row],[PointsAgainst]]</f>
        <v>3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0.27343878575525049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14.773237819041201</v>
      </c>
      <c r="AB6" s="4">
        <f>Games[[#This Row],[PreGmRate]]+Games[[#This Row],[RatingChange]]</f>
        <v>1441.2881162528033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46150</v>
      </c>
      <c r="B7" s="2">
        <v>2026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90</v>
      </c>
      <c r="G7" s="1" t="s">
        <v>65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1426.5148784337621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0.71229514988484277</v>
      </c>
      <c r="R7" s="1">
        <v>65</v>
      </c>
      <c r="S7" s="1">
        <v>68</v>
      </c>
      <c r="T7" s="1">
        <v>0</v>
      </c>
      <c r="U7" s="1">
        <f>Games[[#This Row],[PointsFor]]-Games[[#This Row],[PointsAgainst]]</f>
        <v>-3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0.27343878575525049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-14.773237819041201</v>
      </c>
      <c r="AB7" s="4">
        <f>Games[[#This Row],[PreGmRate]]+Games[[#This Row],[RatingChange]]</f>
        <v>1485.2267621809588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46151</v>
      </c>
      <c r="B8" s="2">
        <v>2026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84</v>
      </c>
      <c r="G8" s="1" t="s">
        <v>69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1404.1375917368582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1539.8459882162938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0.22015845811885618</v>
      </c>
      <c r="R8" s="1">
        <v>107</v>
      </c>
      <c r="S8" s="1">
        <v>104</v>
      </c>
      <c r="T8" s="1">
        <v>0</v>
      </c>
      <c r="U8" s="1">
        <f>Games[[#This Row],[PointsFor]]-Games[[#This Row],[PointsAgainst]]</f>
        <v>3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0.26070078337177754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15.420707071313309</v>
      </c>
      <c r="AB8" s="4">
        <f>Games[[#This Row],[PreGmRate]]+Games[[#This Row],[RatingChange]]</f>
        <v>1419.5582988081715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46151</v>
      </c>
      <c r="B9" s="2">
        <v>2026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69</v>
      </c>
      <c r="G9" s="1" t="s">
        <v>84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1539.8459882162938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1404.1375917368582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0.77984154188114385</v>
      </c>
      <c r="R9" s="1">
        <v>104</v>
      </c>
      <c r="S9" s="1">
        <v>107</v>
      </c>
      <c r="T9" s="1">
        <v>0</v>
      </c>
      <c r="U9" s="1">
        <f>Games[[#This Row],[PointsFor]]-Games[[#This Row],[PointsAgainst]]</f>
        <v>-3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0.26070078337177754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-15.420707071313309</v>
      </c>
      <c r="AB9" s="4">
        <f>Games[[#This Row],[PreGmRate]]+Games[[#This Row],[RatingChange]]</f>
        <v>1524.4252811449805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46151</v>
      </c>
      <c r="B10" s="2">
        <v>2026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40</v>
      </c>
      <c r="G10" s="1" t="s">
        <v>85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1535.3002995811814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1611.0586025774878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0.28503069868360092</v>
      </c>
      <c r="R10" s="1">
        <v>99</v>
      </c>
      <c r="S10" s="1">
        <v>66</v>
      </c>
      <c r="T10" s="1">
        <v>0</v>
      </c>
      <c r="U10" s="1">
        <f>Games[[#This Row],[PointsFor]]-Games[[#This Row],[PointsAgainst]]</f>
        <v>33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0.69518717966140764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37.700293777805236</v>
      </c>
      <c r="AB10" s="4">
        <f>Games[[#This Row],[PreGmRate]]+Games[[#This Row],[RatingChange]]</f>
        <v>1573.0005933589866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46151</v>
      </c>
      <c r="B11" s="2">
        <v>2026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85</v>
      </c>
      <c r="G11" s="1" t="s">
        <v>40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1611.0586025774878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1535.3002995811814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0.71496930131639902</v>
      </c>
      <c r="R11" s="1">
        <v>66</v>
      </c>
      <c r="S11" s="1">
        <v>99</v>
      </c>
      <c r="T11" s="1">
        <v>0</v>
      </c>
      <c r="U11" s="1">
        <f>Games[[#This Row],[PointsFor]]-Games[[#This Row],[PointsAgainst]]</f>
        <v>-33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0.69518717966140764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-37.700293777805229</v>
      </c>
      <c r="AB11" s="4">
        <f>Games[[#This Row],[PreGmRate]]+Games[[#This Row],[RatingChange]]</f>
        <v>1573.3583087996826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46151</v>
      </c>
      <c r="B12" s="2">
        <v>2026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77</v>
      </c>
      <c r="G12" s="1" t="s">
        <v>67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1564.7599122661518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1582.8467667301729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0.35717212873028431</v>
      </c>
      <c r="R12" s="1">
        <v>91</v>
      </c>
      <c r="S12" s="1">
        <v>90</v>
      </c>
      <c r="T12" s="1">
        <v>0</v>
      </c>
      <c r="U12" s="1">
        <f>Games[[#This Row],[PointsFor]]-Games[[#This Row],[PointsAgainst]]</f>
        <v>1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0.24055395071748306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11.729048371348433</v>
      </c>
      <c r="AB12" s="4">
        <f>Games[[#This Row],[PreGmRate]]+Games[[#This Row],[RatingChange]]</f>
        <v>1576.4889606375002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46151</v>
      </c>
      <c r="B13" s="2">
        <v>2026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67</v>
      </c>
      <c r="G13" s="1" t="s">
        <v>77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1582.8467667301729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1564.7599122661518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0.64282787126971563</v>
      </c>
      <c r="R13" s="1">
        <v>90</v>
      </c>
      <c r="S13" s="1">
        <v>91</v>
      </c>
      <c r="T13" s="1">
        <v>0</v>
      </c>
      <c r="U13" s="1">
        <f>Games[[#This Row],[PointsFor]]-Games[[#This Row],[PointsAgainst]]</f>
        <v>-1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0.24055395071748306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-11.729048371348432</v>
      </c>
      <c r="AB13" s="4">
        <f>Games[[#This Row],[PreGmRate]]+Games[[#This Row],[RatingChange]]</f>
        <v>1571.1177183588245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46151</v>
      </c>
      <c r="B14" s="2">
        <v>2026</v>
      </c>
      <c r="C14" s="2">
        <f>COUNTIFS(Games[Team],Games[[#This Row],[Team]],Games[Season],Games[[#This Row],[Season]],Games[Date],"&lt;=" &amp; Games[[#This Row],[Date]])</f>
        <v>1</v>
      </c>
      <c r="D14" s="2" t="s">
        <v>79</v>
      </c>
      <c r="E14" s="2" t="s">
        <v>80</v>
      </c>
      <c r="F14" s="1" t="s">
        <v>75</v>
      </c>
      <c r="G14" s="1" t="s">
        <v>89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1392.1434422998605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0.24891354747836036</v>
      </c>
      <c r="R14" s="1">
        <v>98</v>
      </c>
      <c r="S14" s="1">
        <v>83</v>
      </c>
      <c r="T14" s="1">
        <v>0</v>
      </c>
      <c r="U14" s="1">
        <f>Games[[#This Row],[PointsFor]]-Games[[#This Row],[PointsAgainst]]</f>
        <v>15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0.46137906340097701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75.849999999999994</v>
      </c>
      <c r="Z14" s="4">
        <f>Games[[#This Row],[K]]*Games[[#This Row],[POMult]]</f>
        <v>75.849999999999994</v>
      </c>
      <c r="AA14" s="4">
        <f>(Games[[#This Row],[Keff]]*Games[[#This Row],[MOVMult]])*(Games[[#This Row],[Result]]-Games[[#This Row],[ExpectedWin%]])</f>
        <v>26.284722529217689</v>
      </c>
      <c r="AB14" s="4">
        <f>Games[[#This Row],[PreGmRate]]+Games[[#This Row],[RatingChange]]</f>
        <v>1418.4281648290782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46151</v>
      </c>
      <c r="B15" s="2">
        <v>2026</v>
      </c>
      <c r="C15" s="2">
        <f>COUNTIFS(Games[Team],Games[[#This Row],[Team]],Games[Season],Games[[#This Row],[Season]],Games[Date],"&lt;=" &amp; Games[[#This Row],[Date]])</f>
        <v>1</v>
      </c>
      <c r="D15" s="2" t="s">
        <v>79</v>
      </c>
      <c r="E15" s="2" t="s">
        <v>80</v>
      </c>
      <c r="F15" s="1" t="s">
        <v>89</v>
      </c>
      <c r="G15" s="1" t="s">
        <v>75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1392.1434422998605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0.75108645252163964</v>
      </c>
      <c r="R15" s="1">
        <v>83</v>
      </c>
      <c r="S15" s="1">
        <v>98</v>
      </c>
      <c r="T15" s="1">
        <v>0</v>
      </c>
      <c r="U15" s="1">
        <f>Games[[#This Row],[PointsFor]]-Games[[#This Row],[PointsAgainst]]</f>
        <v>-15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0.46137906340097701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-26.284722529217689</v>
      </c>
      <c r="AB15" s="4">
        <f>Games[[#This Row],[PreGmRate]]+Games[[#This Row],[RatingChange]]</f>
        <v>1473.7152774707822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46152</v>
      </c>
      <c r="B16" s="2">
        <v>2026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71</v>
      </c>
      <c r="G16" s="1" t="s">
        <v>74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1483.8882234064406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1417.330559657586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0.47491952732738435</v>
      </c>
      <c r="R16" s="1">
        <v>89</v>
      </c>
      <c r="S16" s="1">
        <v>82</v>
      </c>
      <c r="T16" s="1">
        <v>0</v>
      </c>
      <c r="U16" s="1">
        <f>Games[[#This Row],[PointsFor]]-Games[[#This Row],[PointsAgainst]]</f>
        <v>7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0.3506580234728659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13.938162629866426</v>
      </c>
      <c r="AB16" s="4">
        <f>Games[[#This Row],[PreGmRate]]+Games[[#This Row],[RatingChange]]</f>
        <v>1497.826386036307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46152</v>
      </c>
      <c r="B17" s="2">
        <v>2026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74</v>
      </c>
      <c r="G17" s="1" t="s">
        <v>71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1417.330559657586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1483.8882234064406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0.52508047267261571</v>
      </c>
      <c r="R17" s="1">
        <v>82</v>
      </c>
      <c r="S17" s="1">
        <v>89</v>
      </c>
      <c r="T17" s="1">
        <v>0</v>
      </c>
      <c r="U17" s="1">
        <f>Games[[#This Row],[PointsFor]]-Games[[#This Row],[PointsAgainst]]</f>
        <v>-7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0.3506580234728659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-13.938162629866426</v>
      </c>
      <c r="AB17" s="4">
        <f>Games[[#This Row],[PreGmRate]]+Games[[#This Row],[RatingChange]]</f>
        <v>1403.3923970277197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46152</v>
      </c>
      <c r="B18" s="2">
        <v>2026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40</v>
      </c>
      <c r="G18" s="1" t="s">
        <v>87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1573.0005933589866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1523.5973855083676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0.42769578154121157</v>
      </c>
      <c r="R18" s="1">
        <v>79</v>
      </c>
      <c r="S18" s="1">
        <v>95</v>
      </c>
      <c r="T18" s="1">
        <v>0</v>
      </c>
      <c r="U18" s="1">
        <f>Games[[#This Row],[PointsFor]]-Games[[#This Row],[PointsAgainst]]</f>
        <v>-16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0.49731202451847972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-16.101257903217892</v>
      </c>
      <c r="AB18" s="4">
        <f>Games[[#This Row],[PreGmRate]]+Games[[#This Row],[RatingChange]]</f>
        <v>1556.8993354557688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46152</v>
      </c>
      <c r="B19" s="2">
        <v>2026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87</v>
      </c>
      <c r="G19" s="1" t="s">
        <v>40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1523.5973855083676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1573.0005933589866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0.57230421845878843</v>
      </c>
      <c r="R19" s="1">
        <v>95</v>
      </c>
      <c r="S19" s="1">
        <v>79</v>
      </c>
      <c r="T19" s="1">
        <v>0</v>
      </c>
      <c r="U19" s="1">
        <f>Games[[#This Row],[PointsFor]]-Games[[#This Row],[PointsAgainst]]</f>
        <v>16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0.49731202451847972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16.101257903217892</v>
      </c>
      <c r="AB19" s="4">
        <f>Games[[#This Row],[PreGmRate]]+Games[[#This Row],[RatingChange]]</f>
        <v>1539.6986434115854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46152</v>
      </c>
      <c r="B20" s="2">
        <v>2026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85</v>
      </c>
      <c r="G20" s="1" t="s">
        <v>63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-2</v>
      </c>
      <c r="L20" s="2">
        <f>Games[[#This Row],[OppDaysOff]]-Games[[#This Row],[DaysOff]]</f>
        <v>2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1573.3583087996826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1478.2122392751603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0.47002477013799693</v>
      </c>
      <c r="R20" s="1">
        <v>105</v>
      </c>
      <c r="S20" s="1">
        <v>78</v>
      </c>
      <c r="T20" s="1">
        <v>0</v>
      </c>
      <c r="U20" s="1">
        <f>Games[[#This Row],[PointsFor]]-Games[[#This Row],[PointsAgainst]]</f>
        <v>27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0.61769094531066915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24.78122018485978</v>
      </c>
      <c r="AB20" s="4">
        <f>Games[[#This Row],[PreGmRate]]+Games[[#This Row],[RatingChange]]</f>
        <v>1598.1395289845425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46152</v>
      </c>
      <c r="B21" s="2">
        <v>2026</v>
      </c>
      <c r="C21" s="2">
        <f>COUNTIFS(Games[Team],Games[[#This Row],[Team]],Games[Season],Games[[#This Row],[Season]],Games[Date],"&lt;=" &amp; Games[[#This Row],[Date]])</f>
        <v>1</v>
      </c>
      <c r="D21" s="2" t="s">
        <v>79</v>
      </c>
      <c r="E21" s="2" t="s">
        <v>80</v>
      </c>
      <c r="F21" s="1" t="s">
        <v>63</v>
      </c>
      <c r="G21" s="1" t="s">
        <v>85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2</v>
      </c>
      <c r="L21" s="2">
        <f>Games[[#This Row],[OppDaysOff]]-Games[[#This Row],[DaysOff]]</f>
        <v>-2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1478.2122392751603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1573.3583087996826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0.52997522986200307</v>
      </c>
      <c r="R21" s="1">
        <v>78</v>
      </c>
      <c r="S21" s="1">
        <v>105</v>
      </c>
      <c r="T21" s="1">
        <v>0</v>
      </c>
      <c r="U21" s="1">
        <f>Games[[#This Row],[PointsFor]]-Games[[#This Row],[PointsAgainst]]</f>
        <v>-27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0.61769094531066915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75.849999999999994</v>
      </c>
      <c r="Z21" s="4">
        <f>Games[[#This Row],[K]]*Games[[#This Row],[POMult]]</f>
        <v>75.849999999999994</v>
      </c>
      <c r="AA21" s="4">
        <f>(Games[[#This Row],[Keff]]*Games[[#This Row],[MOVMult]])*(Games[[#This Row],[Result]]-Games[[#This Row],[ExpectedWin%]])</f>
        <v>-24.830324319968483</v>
      </c>
      <c r="AB21" s="4">
        <f>Games[[#This Row],[PreGmRate]]+Games[[#This Row],[RatingChange]]</f>
        <v>1453.3819149551919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46152</v>
      </c>
      <c r="B22" s="2">
        <v>2026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60</v>
      </c>
      <c r="G22" s="1" t="s">
        <v>65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1539.8093241533327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1441.2881162528033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0.52088553810708227</v>
      </c>
      <c r="R22" s="1">
        <v>98</v>
      </c>
      <c r="S22" s="1">
        <v>93</v>
      </c>
      <c r="T22" s="1">
        <v>1</v>
      </c>
      <c r="U22" s="1">
        <f>Games[[#This Row],[PointsFor]]-Games[[#This Row],[PointsAgainst]]</f>
        <v>5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0.27592653190273819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10.007569663390147</v>
      </c>
      <c r="AB22" s="4">
        <f>Games[[#This Row],[PreGmRate]]+Games[[#This Row],[RatingChange]]</f>
        <v>1549.8168938167228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46152</v>
      </c>
      <c r="B23" s="2">
        <v>2026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65</v>
      </c>
      <c r="G23" s="1" t="s">
        <v>60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1441.2881162528033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1539.8093241533327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0.47911446189291768</v>
      </c>
      <c r="R23" s="1">
        <v>93</v>
      </c>
      <c r="S23" s="1">
        <v>98</v>
      </c>
      <c r="T23" s="1">
        <v>1</v>
      </c>
      <c r="U23" s="1">
        <f>Games[[#This Row],[PointsFor]]-Games[[#This Row],[PointsAgainst]]</f>
        <v>-5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0.27592653190273819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-10.007569663390145</v>
      </c>
      <c r="AB23" s="4">
        <f>Games[[#This Row],[PreGmRate]]+Games[[#This Row],[RatingChange]]</f>
        <v>1431.2805465894132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46154</v>
      </c>
      <c r="B24" s="2">
        <v>2026</v>
      </c>
      <c r="C24" s="2">
        <f>COUNTIFS(Games[Team],Games[[#This Row],[Team]],Games[Season],Games[[#This Row],[Season]],Games[Date],"&lt;=" &amp; Games[[#This Row],[Date]])</f>
        <v>2</v>
      </c>
      <c r="D24" s="2" t="s">
        <v>79</v>
      </c>
      <c r="E24" s="2" t="s">
        <v>80</v>
      </c>
      <c r="F24" s="1" t="s">
        <v>77</v>
      </c>
      <c r="G24" s="1" t="s">
        <v>84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1576.4889606375002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1419.5582988081715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0.6034408076480573</v>
      </c>
      <c r="R24" s="1">
        <v>77</v>
      </c>
      <c r="S24" s="1">
        <v>72</v>
      </c>
      <c r="T24" s="1">
        <v>0</v>
      </c>
      <c r="U24" s="1">
        <f>Games[[#This Row],[PointsFor]]-Games[[#This Row],[PointsAgainst]]</f>
        <v>5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0.29338799818761124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8.8073700658523482</v>
      </c>
      <c r="AB24" s="4">
        <f>Games[[#This Row],[PreGmRate]]+Games[[#This Row],[RatingChange]]</f>
        <v>1585.2963307033526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46154</v>
      </c>
      <c r="B25" s="2">
        <v>2026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84</v>
      </c>
      <c r="G25" s="1" t="s">
        <v>77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1419.5582988081715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1576.4889606375002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0.3965591923519427</v>
      </c>
      <c r="R25" s="1">
        <v>72</v>
      </c>
      <c r="S25" s="1">
        <v>77</v>
      </c>
      <c r="T25" s="1">
        <v>0</v>
      </c>
      <c r="U25" s="1">
        <f>Games[[#This Row],[PointsFor]]-Games[[#This Row],[PointsAgainst]]</f>
        <v>-5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0.29338799818761124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-8.8073700658523482</v>
      </c>
      <c r="AB25" s="4">
        <f>Games[[#This Row],[PreGmRate]]+Games[[#This Row],[RatingChange]]</f>
        <v>1410.750928742319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46154</v>
      </c>
      <c r="B26" s="2">
        <v>2026</v>
      </c>
      <c r="C26" s="2">
        <f>COUNTIFS(Games[Team],Games[[#This Row],[Team]],Games[Season],Games[[#This Row],[Season]],Games[Date],"&lt;=" &amp; Games[[#This Row],[Date]])</f>
        <v>2</v>
      </c>
      <c r="D26" s="2" t="s">
        <v>79</v>
      </c>
      <c r="E26" s="2" t="s">
        <v>80</v>
      </c>
      <c r="F26" s="1" t="s">
        <v>67</v>
      </c>
      <c r="G26" s="1" t="s">
        <v>40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1</v>
      </c>
      <c r="L26" s="2">
        <f>Games[[#This Row],[OppDaysOff]]-Games[[#This Row],[DaysOff]]</f>
        <v>-1</v>
      </c>
      <c r="M26" s="1">
        <f>MAX(-16, MIN(16, Games[[#This Row],[RestDiff]]*8))</f>
        <v>8</v>
      </c>
      <c r="N26" s="1">
        <f>MAX(-16, MIN(16, Games[[#This Row],[OppRestDiff]]*8))</f>
        <v>-8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1571.1177183588245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1556.8993354557688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0.42321436079484953</v>
      </c>
      <c r="R26" s="1">
        <v>88</v>
      </c>
      <c r="S26" s="1">
        <v>84</v>
      </c>
      <c r="T26" s="1">
        <v>0</v>
      </c>
      <c r="U26" s="1">
        <f>Games[[#This Row],[PointsFor]]-Games[[#This Row],[PointsAgainst]]</f>
        <v>4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0.30778588691033948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13.438754499656756</v>
      </c>
      <c r="AB26" s="4">
        <f>Games[[#This Row],[PreGmRate]]+Games[[#This Row],[RatingChange]]</f>
        <v>1584.5564728584814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46154</v>
      </c>
      <c r="B27" s="2">
        <v>2026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40</v>
      </c>
      <c r="G27" s="1" t="s">
        <v>67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-1</v>
      </c>
      <c r="L27" s="2">
        <f>Games[[#This Row],[OppDaysOff]]-Games[[#This Row],[DaysOff]]</f>
        <v>1</v>
      </c>
      <c r="M27" s="1">
        <f>MAX(-16, MIN(16, Games[[#This Row],[RestDiff]]*8))</f>
        <v>-8</v>
      </c>
      <c r="N27" s="1">
        <f>MAX(-16, MIN(16, Games[[#This Row],[OppRestDiff]]*8))</f>
        <v>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1556.8993354557688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1571.1177183588245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0.57678563920515047</v>
      </c>
      <c r="R27" s="1">
        <v>84</v>
      </c>
      <c r="S27" s="1">
        <v>88</v>
      </c>
      <c r="T27" s="1">
        <v>0</v>
      </c>
      <c r="U27" s="1">
        <f>Games[[#This Row],[PointsFor]]-Games[[#This Row],[PointsAgainst]]</f>
        <v>-4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0.30778588691033948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-13.412125527728771</v>
      </c>
      <c r="AB27" s="4">
        <f>Games[[#This Row],[PreGmRate]]+Games[[#This Row],[RatingChange]]</f>
        <v>1543.4872099280401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46154</v>
      </c>
      <c r="B28" s="2">
        <v>2026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60</v>
      </c>
      <c r="G28" s="1" t="s">
        <v>89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-1</v>
      </c>
      <c r="L28" s="2">
        <f>Games[[#This Row],[OppDaysOff]]-Games[[#This Row],[DaysOff]]</f>
        <v>1</v>
      </c>
      <c r="M28" s="1">
        <f>MAX(-16, MIN(16, Games[[#This Row],[RestDiff]]*8))</f>
        <v>-8</v>
      </c>
      <c r="N28" s="1">
        <f>MAX(-16, MIN(16, Games[[#This Row],[OppRestDiff]]*8))</f>
        <v>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1549.8168938167228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1473.7152774707822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0.4656616002922559</v>
      </c>
      <c r="R28" s="1">
        <v>96</v>
      </c>
      <c r="S28" s="1">
        <v>98</v>
      </c>
      <c r="T28" s="1">
        <v>0</v>
      </c>
      <c r="U28" s="1">
        <f>Games[[#This Row],[PointsFor]]-Games[[#This Row],[PointsAgainst]]</f>
        <v>-2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0.25186833152985549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-8.8609127499126945</v>
      </c>
      <c r="AB28" s="4">
        <f>Games[[#This Row],[PreGmRate]]+Games[[#This Row],[RatingChange]]</f>
        <v>1540.9559810668102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46154</v>
      </c>
      <c r="B29" s="2">
        <v>2026</v>
      </c>
      <c r="C29" s="2">
        <f>COUNTIFS(Games[Team],Games[[#This Row],[Team]],Games[Season],Games[[#This Row],[Season]],Games[Date],"&lt;=" &amp; Games[[#This Row],[Date]])</f>
        <v>2</v>
      </c>
      <c r="D29" s="2" t="s">
        <v>79</v>
      </c>
      <c r="E29" s="2" t="s">
        <v>80</v>
      </c>
      <c r="F29" s="1" t="s">
        <v>89</v>
      </c>
      <c r="G29" s="1" t="s">
        <v>60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1</v>
      </c>
      <c r="L29" s="2">
        <f>Games[[#This Row],[OppDaysOff]]-Games[[#This Row],[DaysOff]]</f>
        <v>-1</v>
      </c>
      <c r="M29" s="1">
        <f>MAX(-16, MIN(16, Games[[#This Row],[RestDiff]]*8))</f>
        <v>8</v>
      </c>
      <c r="N29" s="1">
        <f>MAX(-16, MIN(16, Games[[#This Row],[OppRestDiff]]*8))</f>
        <v>-8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1473.7152774707822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1549.8168938167228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0.5343383997077441</v>
      </c>
      <c r="R29" s="1">
        <v>98</v>
      </c>
      <c r="S29" s="1">
        <v>96</v>
      </c>
      <c r="T29" s="1">
        <v>0</v>
      </c>
      <c r="U29" s="1">
        <f>Games[[#This Row],[PointsFor]]-Games[[#This Row],[PointsAgainst]]</f>
        <v>2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0.25186833152985549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8.8785055614611661</v>
      </c>
      <c r="AB29" s="4">
        <f>Games[[#This Row],[PreGmRate]]+Games[[#This Row],[RatingChange]]</f>
        <v>1482.5937830322434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46155</v>
      </c>
      <c r="B30" s="2">
        <v>2026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85</v>
      </c>
      <c r="G30" s="1" t="s">
        <v>74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1598.1395289845425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1403.3923970277197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0.65419076916111696</v>
      </c>
      <c r="R30" s="1">
        <v>98</v>
      </c>
      <c r="S30" s="1">
        <v>69</v>
      </c>
      <c r="T30" s="1">
        <v>0</v>
      </c>
      <c r="U30" s="1">
        <f>Games[[#This Row],[PointsFor]]-Games[[#This Row],[PointsAgainst]]</f>
        <v>29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0.59482864313128569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15.540426146721668</v>
      </c>
      <c r="AB30" s="4">
        <f>Games[[#This Row],[PreGmRate]]+Games[[#This Row],[RatingChange]]</f>
        <v>1613.6799551312643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46155</v>
      </c>
      <c r="B31" s="2">
        <v>2026</v>
      </c>
      <c r="C31" s="2">
        <f>COUNTIFS(Games[Team],Games[[#This Row],[Team]],Games[Season],Games[[#This Row],[Season]],Games[Date],"&lt;=" &amp; Games[[#This Row],[Date]])</f>
        <v>3</v>
      </c>
      <c r="D31" s="2" t="s">
        <v>79</v>
      </c>
      <c r="E31" s="2" t="s">
        <v>80</v>
      </c>
      <c r="F31" s="1" t="s">
        <v>74</v>
      </c>
      <c r="G31" s="1" t="s">
        <v>85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1403.3923970277197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1598.1395289845425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0.3458092308388831</v>
      </c>
      <c r="R31" s="1">
        <v>69</v>
      </c>
      <c r="S31" s="1">
        <v>98</v>
      </c>
      <c r="T31" s="1">
        <v>0</v>
      </c>
      <c r="U31" s="1">
        <f>Games[[#This Row],[PointsFor]]-Games[[#This Row],[PointsAgainst]]</f>
        <v>-29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0.59482864313128569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-15.54042614672167</v>
      </c>
      <c r="AB31" s="4">
        <f>Games[[#This Row],[PreGmRate]]+Games[[#This Row],[RatingChange]]</f>
        <v>1387.8519708809979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46155</v>
      </c>
      <c r="B32" s="2">
        <v>2026</v>
      </c>
      <c r="C32" s="2">
        <f>COUNTIFS(Games[Team],Games[[#This Row],[Team]],Games[Season],Games[[#This Row],[Season]],Games[Date],"&lt;=" &amp; Games[[#This Row],[Date]])</f>
        <v>2</v>
      </c>
      <c r="D32" s="2" t="s">
        <v>79</v>
      </c>
      <c r="E32" s="2" t="s">
        <v>80</v>
      </c>
      <c r="F32" s="1" t="s">
        <v>75</v>
      </c>
      <c r="G32" s="1" t="s">
        <v>87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1</v>
      </c>
      <c r="L32" s="2">
        <f>Games[[#This Row],[OppDaysOff]]-Games[[#This Row],[DaysOff]]</f>
        <v>-1</v>
      </c>
      <c r="M32" s="1">
        <f>MAX(-16, MIN(16, Games[[#This Row],[RestDiff]]*8))</f>
        <v>8</v>
      </c>
      <c r="N32" s="1">
        <f>MAX(-16, MIN(16, Games[[#This Row],[OppRestDiff]]*8))</f>
        <v>-8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1418.4281648290782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1539.6986434115854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0.25170708354201776</v>
      </c>
      <c r="R32" s="1">
        <v>69</v>
      </c>
      <c r="S32" s="1">
        <v>63</v>
      </c>
      <c r="T32" s="1">
        <v>0</v>
      </c>
      <c r="U32" s="1">
        <f>Games[[#This Row],[PointsFor]]-Games[[#This Row],[PointsAgainst]]</f>
        <v>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0.31903907651174168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18.072215353746362</v>
      </c>
      <c r="AB32" s="4">
        <f>Games[[#This Row],[PreGmRate]]+Games[[#This Row],[RatingChange]]</f>
        <v>1436.5003801828245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46155</v>
      </c>
      <c r="B33" s="2">
        <v>2026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87</v>
      </c>
      <c r="G33" s="1" t="s">
        <v>75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" s="2">
        <f>Games[[#This Row],[DaysOff]]-Games[[#This Row],[OppDaysOff]]</f>
        <v>-1</v>
      </c>
      <c r="L33" s="2">
        <f>Games[[#This Row],[OppDaysOff]]-Games[[#This Row],[DaysOff]]</f>
        <v>1</v>
      </c>
      <c r="M33" s="1">
        <f>MAX(-16, MIN(16, Games[[#This Row],[RestDiff]]*8))</f>
        <v>-8</v>
      </c>
      <c r="N33" s="1">
        <f>MAX(-16, MIN(16, Games[[#This Row],[OppRestDiff]]*8))</f>
        <v>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1539.6986434115854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1418.4281648290782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0.74829291645798224</v>
      </c>
      <c r="R33" s="1">
        <v>63</v>
      </c>
      <c r="S33" s="1">
        <v>69</v>
      </c>
      <c r="T33" s="1">
        <v>0</v>
      </c>
      <c r="U33" s="1">
        <f>Games[[#This Row],[PointsFor]]-Games[[#This Row],[PointsAgainst]]</f>
        <v>-6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0.31903907651174168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-18.036405151592309</v>
      </c>
      <c r="AB33" s="4">
        <f>Games[[#This Row],[PreGmRate]]+Games[[#This Row],[RatingChange]]</f>
        <v>1521.662238259993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46155</v>
      </c>
      <c r="B34" s="2">
        <v>2026</v>
      </c>
      <c r="C34" s="2">
        <f>COUNTIFS(Games[Team],Games[[#This Row],[Team]],Games[Season],Games[[#This Row],[Season]],Games[Date],"&lt;=" &amp; Games[[#This Row],[Date]])</f>
        <v>2</v>
      </c>
      <c r="D34" s="2" t="s">
        <v>79</v>
      </c>
      <c r="E34" s="2" t="s">
        <v>80</v>
      </c>
      <c r="F34" s="1" t="s">
        <v>69</v>
      </c>
      <c r="G34" s="1" t="s">
        <v>63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1</v>
      </c>
      <c r="L34" s="2">
        <f>Games[[#This Row],[OppDaysOff]]-Games[[#This Row],[DaysOff]]</f>
        <v>-1</v>
      </c>
      <c r="M34" s="1">
        <f>MAX(-16, MIN(16, Games[[#This Row],[RestDiff]]*8))</f>
        <v>8</v>
      </c>
      <c r="N34" s="1">
        <f>MAX(-16, MIN(16, Games[[#This Row],[OppRestDiff]]*8))</f>
        <v>-8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1524.4252811449805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1453.3819149551919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0.5043796439984698</v>
      </c>
      <c r="R34" s="1">
        <v>87</v>
      </c>
      <c r="S34" s="1">
        <v>78</v>
      </c>
      <c r="T34" s="1">
        <v>0</v>
      </c>
      <c r="U34" s="1">
        <f>Games[[#This Row],[PointsFor]]-Games[[#This Row],[PointsAgainst]]</f>
        <v>9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0.38328026056032233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75.7</v>
      </c>
      <c r="Z34" s="4">
        <f>Games[[#This Row],[K]]*Games[[#This Row],[POMult]]</f>
        <v>75.7</v>
      </c>
      <c r="AA34" s="4">
        <f>(Games[[#This Row],[Keff]]*Games[[#This Row],[MOVMult]])*(Games[[#This Row],[Result]]-Games[[#This Row],[ExpectedWin%]])</f>
        <v>14.380085488476054</v>
      </c>
      <c r="AB34" s="4">
        <f>Games[[#This Row],[PreGmRate]]+Games[[#This Row],[RatingChange]]</f>
        <v>1538.8053666334565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46155</v>
      </c>
      <c r="B35" s="2">
        <v>2026</v>
      </c>
      <c r="C35" s="2">
        <f>COUNTIFS(Games[Team],Games[[#This Row],[Team]],Games[Season],Games[[#This Row],[Season]],Games[Date],"&lt;=" &amp; Games[[#This Row],[Date]])</f>
        <v>2</v>
      </c>
      <c r="D35" s="2" t="s">
        <v>79</v>
      </c>
      <c r="E35" s="2" t="s">
        <v>80</v>
      </c>
      <c r="F35" s="1" t="s">
        <v>63</v>
      </c>
      <c r="G35" s="1" t="s">
        <v>69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" s="2">
        <f>Games[[#This Row],[DaysOff]]-Games[[#This Row],[OppDaysOff]]</f>
        <v>-1</v>
      </c>
      <c r="L35" s="2">
        <f>Games[[#This Row],[OppDaysOff]]-Games[[#This Row],[DaysOff]]</f>
        <v>1</v>
      </c>
      <c r="M35" s="1">
        <f>MAX(-16, MIN(16, Games[[#This Row],[RestDiff]]*8))</f>
        <v>-8</v>
      </c>
      <c r="N35" s="1">
        <f>MAX(-16, MIN(16, Games[[#This Row],[OppRestDiff]]*8))</f>
        <v>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1453.3819149551919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1524.4252811449805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0.49562035600153026</v>
      </c>
      <c r="R35" s="1">
        <v>78</v>
      </c>
      <c r="S35" s="1">
        <v>87</v>
      </c>
      <c r="T35" s="1">
        <v>0</v>
      </c>
      <c r="U35" s="1">
        <f>Games[[#This Row],[PointsFor]]-Games[[#This Row],[PointsAgainst]]</f>
        <v>-9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0.38328026056032233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75.7</v>
      </c>
      <c r="Z35" s="4">
        <f>Games[[#This Row],[K]]*Games[[#This Row],[POMult]]</f>
        <v>75.7</v>
      </c>
      <c r="AA35" s="4">
        <f>(Games[[#This Row],[Keff]]*Games[[#This Row],[MOVMult]])*(Games[[#This Row],[Result]]-Games[[#This Row],[ExpectedWin%]])</f>
        <v>-14.380085488476055</v>
      </c>
      <c r="AB35" s="4">
        <f>Games[[#This Row],[PreGmRate]]+Games[[#This Row],[RatingChange]]</f>
        <v>1439.0018294667159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46155</v>
      </c>
      <c r="B36" s="2">
        <v>2026</v>
      </c>
      <c r="C36" s="2">
        <f>COUNTIFS(Games[Team],Games[[#This Row],[Team]],Games[Season],Games[[#This Row],[Season]],Games[Date],"&lt;=" &amp; Games[[#This Row],[Date]])</f>
        <v>3</v>
      </c>
      <c r="D36" s="2" t="s">
        <v>79</v>
      </c>
      <c r="E36" s="2" t="s">
        <v>80</v>
      </c>
      <c r="F36" s="1" t="s">
        <v>71</v>
      </c>
      <c r="G36" s="1" t="s">
        <v>90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" s="2">
        <f>Games[[#This Row],[DaysOff]]-Games[[#This Row],[OppDaysOff]]</f>
        <v>-2</v>
      </c>
      <c r="L36" s="2">
        <f>Games[[#This Row],[OppDaysOff]]-Games[[#This Row],[DaysOff]]</f>
        <v>2</v>
      </c>
      <c r="M36" s="1">
        <f>MAX(-16, MIN(16, Games[[#This Row],[RestDiff]]*8))</f>
        <v>-16</v>
      </c>
      <c r="N36" s="1">
        <f>MAX(-16, MIN(16, Games[[#This Row],[OppRestDiff]]*8))</f>
        <v>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1497.826386036307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1485.2267621809588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0.35543794794148842</v>
      </c>
      <c r="R36" s="1">
        <v>73</v>
      </c>
      <c r="S36" s="1">
        <v>86</v>
      </c>
      <c r="T36" s="1">
        <v>0</v>
      </c>
      <c r="U36" s="1">
        <f>Games[[#This Row],[PointsFor]]-Games[[#This Row],[PointsAgainst]]</f>
        <v>-13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0.46713894317067145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-12.544239451360703</v>
      </c>
      <c r="AB36" s="4">
        <f>Games[[#This Row],[PreGmRate]]+Games[[#This Row],[RatingChange]]</f>
        <v>1485.2821465849463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46155</v>
      </c>
      <c r="B37" s="2">
        <v>2026</v>
      </c>
      <c r="C37" s="2">
        <f>COUNTIFS(Games[Team],Games[[#This Row],[Team]],Games[Season],Games[[#This Row],[Season]],Games[Date],"&lt;=" &amp; Games[[#This Row],[Date]])</f>
        <v>2</v>
      </c>
      <c r="D37" s="2" t="s">
        <v>79</v>
      </c>
      <c r="E37" s="2" t="s">
        <v>80</v>
      </c>
      <c r="F37" s="1" t="s">
        <v>90</v>
      </c>
      <c r="G37" s="1" t="s">
        <v>71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2</v>
      </c>
      <c r="L37" s="2">
        <f>Games[[#This Row],[OppDaysOff]]-Games[[#This Row],[DaysOff]]</f>
        <v>-2</v>
      </c>
      <c r="M37" s="1">
        <f>MAX(-16, MIN(16, Games[[#This Row],[RestDiff]]*8))</f>
        <v>16</v>
      </c>
      <c r="N37" s="1">
        <f>MAX(-16, MIN(16, Games[[#This Row],[OppRestDiff]]*8))</f>
        <v>-16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1485.2267621809588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1497.826386036307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0.64456205205851158</v>
      </c>
      <c r="R37" s="1">
        <v>86</v>
      </c>
      <c r="S37" s="1">
        <v>73</v>
      </c>
      <c r="T37" s="1">
        <v>0</v>
      </c>
      <c r="U37" s="1">
        <f>Games[[#This Row],[PointsFor]]-Games[[#This Row],[PointsAgainst]]</f>
        <v>13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0.46713894317067145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75.7</v>
      </c>
      <c r="Z37" s="4">
        <f>Games[[#This Row],[K]]*Games[[#This Row],[POMult]]</f>
        <v>75.7</v>
      </c>
      <c r="AA37" s="4">
        <f>(Games[[#This Row],[Keff]]*Games[[#This Row],[MOVMult]])*(Games[[#This Row],[Result]]-Games[[#This Row],[ExpectedWin%]])</f>
        <v>12.569145287465325</v>
      </c>
      <c r="AB37" s="4">
        <f>Games[[#This Row],[PreGmRate]]+Games[[#This Row],[RatingChange]]</f>
        <v>1497.795907468424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46156</v>
      </c>
      <c r="B38" s="2">
        <v>2026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67</v>
      </c>
      <c r="G38" s="1" t="s">
        <v>84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1584.5564728584814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1410.750928742319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0.62643716902862656</v>
      </c>
      <c r="R38" s="1">
        <v>90</v>
      </c>
      <c r="S38" s="1">
        <v>86</v>
      </c>
      <c r="T38" s="1">
        <v>0</v>
      </c>
      <c r="U38" s="1">
        <f>Games[[#This Row],[PointsFor]]-Games[[#This Row],[PointsAgainst]]</f>
        <v>4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0.27203215439422868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7.677474234247148</v>
      </c>
      <c r="AB38" s="4">
        <f>Games[[#This Row],[PreGmRate]]+Games[[#This Row],[RatingChange]]</f>
        <v>1592.2339470927286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46156</v>
      </c>
      <c r="B39" s="2">
        <v>2026</v>
      </c>
      <c r="C39" s="2">
        <f>COUNTIFS(Games[Team],Games[[#This Row],[Team]],Games[Season],Games[[#This Row],[Season]],Games[Date],"&lt;=" &amp; Games[[#This Row],[Date]])</f>
        <v>3</v>
      </c>
      <c r="D39" s="2" t="s">
        <v>79</v>
      </c>
      <c r="E39" s="2" t="s">
        <v>80</v>
      </c>
      <c r="F39" s="1" t="s">
        <v>84</v>
      </c>
      <c r="G39" s="1" t="s">
        <v>67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1410.750928742319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1584.5564728584814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0.37356283097137338</v>
      </c>
      <c r="R39" s="1">
        <v>86</v>
      </c>
      <c r="S39" s="1">
        <v>90</v>
      </c>
      <c r="T39" s="1">
        <v>0</v>
      </c>
      <c r="U39" s="1">
        <f>Games[[#This Row],[PointsFor]]-Games[[#This Row],[PointsAgainst]]</f>
        <v>-4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0.27203215439422868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-7.6774742342471471</v>
      </c>
      <c r="AB39" s="4">
        <f>Games[[#This Row],[PreGmRate]]+Games[[#This Row],[RatingChange]]</f>
        <v>1403.0734545080718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46156</v>
      </c>
      <c r="B40" s="2">
        <v>2026</v>
      </c>
      <c r="C40" s="2">
        <f>COUNTIFS(Games[Team],Games[[#This Row],[Team]],Games[Season],Games[[#This Row],[Season]],Games[Date],"&lt;=" &amp; Games[[#This Row],[Date]])</f>
        <v>4</v>
      </c>
      <c r="D40" s="2" t="s">
        <v>79</v>
      </c>
      <c r="E40" s="2" t="s">
        <v>80</v>
      </c>
      <c r="F40" s="1" t="s">
        <v>60</v>
      </c>
      <c r="G40" s="1" t="s">
        <v>89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1540.9559810668102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1482.5937830322434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0.46317105970736605</v>
      </c>
      <c r="R40" s="1">
        <v>100</v>
      </c>
      <c r="S40" s="1">
        <v>82</v>
      </c>
      <c r="T40" s="1">
        <v>0</v>
      </c>
      <c r="U40" s="1">
        <f>Games[[#This Row],[PointsFor]]-Games[[#This Row],[PointsAgainst]]</f>
        <v>18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0.52147205278138842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21.107573227309036</v>
      </c>
      <c r="AB40" s="4">
        <f>Games[[#This Row],[PreGmRate]]+Games[[#This Row],[RatingChange]]</f>
        <v>1562.0635542941193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46156</v>
      </c>
      <c r="B41" s="2">
        <v>2026</v>
      </c>
      <c r="C41" s="2">
        <f>COUNTIFS(Games[Team],Games[[#This Row],[Team]],Games[Season],Games[[#This Row],[Season]],Games[Date],"&lt;=" &amp; Games[[#This Row],[Date]])</f>
        <v>3</v>
      </c>
      <c r="D41" s="2" t="s">
        <v>79</v>
      </c>
      <c r="E41" s="2" t="s">
        <v>80</v>
      </c>
      <c r="F41" s="1" t="s">
        <v>89</v>
      </c>
      <c r="G41" s="1" t="s">
        <v>60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1482.5937830322434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1540.9559810668102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0.53682894029263395</v>
      </c>
      <c r="R41" s="1">
        <v>82</v>
      </c>
      <c r="S41" s="1">
        <v>100</v>
      </c>
      <c r="T41" s="1">
        <v>0</v>
      </c>
      <c r="U41" s="1">
        <f>Games[[#This Row],[PointsFor]]-Games[[#This Row],[PointsAgainst]]</f>
        <v>-18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0.52147205278138842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-21.149564420732062</v>
      </c>
      <c r="AB41" s="4">
        <f>Games[[#This Row],[PreGmRate]]+Games[[#This Row],[RatingChange]]</f>
        <v>1461.4442186115114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46157</v>
      </c>
      <c r="B42" s="2">
        <v>2026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85</v>
      </c>
      <c r="G42" s="1" t="s">
        <v>74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1613.6799551312643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1387.8519708809979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0.69347747296137074</v>
      </c>
      <c r="R42" s="1">
        <v>101</v>
      </c>
      <c r="S42" s="1">
        <v>94</v>
      </c>
      <c r="T42" s="1">
        <v>0</v>
      </c>
      <c r="U42" s="1">
        <f>Games[[#This Row],[PointsFor]]-Games[[#This Row],[PointsAgainst]]</f>
        <v>7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0.31148821028233448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7.1990527632294752</v>
      </c>
      <c r="AB42" s="4">
        <f>Games[[#This Row],[PreGmRate]]+Games[[#This Row],[RatingChange]]</f>
        <v>1620.8790078944937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46157</v>
      </c>
      <c r="B43" s="2">
        <v>2026</v>
      </c>
      <c r="C43" s="2">
        <f>COUNTIFS(Games[Team],Games[[#This Row],[Team]],Games[Season],Games[[#This Row],[Season]],Games[Date],"&lt;=" &amp; Games[[#This Row],[Date]])</f>
        <v>4</v>
      </c>
      <c r="D43" s="2" t="s">
        <v>79</v>
      </c>
      <c r="E43" s="2" t="s">
        <v>80</v>
      </c>
      <c r="F43" s="1" t="s">
        <v>74</v>
      </c>
      <c r="G43" s="1" t="s">
        <v>85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1387.8519708809979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1613.6799551312643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0.3065225270386292</v>
      </c>
      <c r="R43" s="1">
        <v>94</v>
      </c>
      <c r="S43" s="1">
        <v>101</v>
      </c>
      <c r="T43" s="1">
        <v>0</v>
      </c>
      <c r="U43" s="1">
        <f>Games[[#This Row],[PointsFor]]-Games[[#This Row],[PointsAgainst]]</f>
        <v>-7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0.31148821028233448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-7.1990527632294743</v>
      </c>
      <c r="AB43" s="4">
        <f>Games[[#This Row],[PreGmRate]]+Games[[#This Row],[RatingChange]]</f>
        <v>1380.6529181177684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46157</v>
      </c>
      <c r="B44" s="2">
        <v>2026</v>
      </c>
      <c r="C44" s="2">
        <f>COUNTIFS(Games[Team],Games[[#This Row],[Team]],Games[Season],Games[[#This Row],[Season]],Games[Date],"&lt;=" &amp; Games[[#This Row],[Date]])</f>
        <v>3</v>
      </c>
      <c r="D44" s="2" t="s">
        <v>79</v>
      </c>
      <c r="E44" s="2" t="s">
        <v>80</v>
      </c>
      <c r="F44" s="1" t="s">
        <v>65</v>
      </c>
      <c r="G44" s="1" t="s">
        <v>69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3</v>
      </c>
      <c r="L44" s="2">
        <f>Games[[#This Row],[OppDaysOff]]-Games[[#This Row],[DaysOff]]</f>
        <v>-3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1431.2805465894132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1538.8053666334565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0.28530467646062524</v>
      </c>
      <c r="R44" s="1">
        <v>104</v>
      </c>
      <c r="S44" s="1">
        <v>102</v>
      </c>
      <c r="T44" s="1">
        <v>1</v>
      </c>
      <c r="U44" s="1">
        <f>Games[[#This Row],[PointsFor]]-Games[[#This Row],[PointsAgainst]]</f>
        <v>2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0.22123375559685329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11.945567891853068</v>
      </c>
      <c r="AB44" s="4">
        <f>Games[[#This Row],[PreGmRate]]+Games[[#This Row],[RatingChange]]</f>
        <v>1443.2261144812662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46157</v>
      </c>
      <c r="B45" s="2">
        <v>2026</v>
      </c>
      <c r="C45" s="2">
        <f>COUNTIFS(Games[Team],Games[[#This Row],[Team]],Games[Season],Games[[#This Row],[Season]],Games[Date],"&lt;=" &amp; Games[[#This Row],[Date]])</f>
        <v>3</v>
      </c>
      <c r="D45" s="2" t="s">
        <v>79</v>
      </c>
      <c r="E45" s="2" t="s">
        <v>80</v>
      </c>
      <c r="F45" s="1" t="s">
        <v>69</v>
      </c>
      <c r="G45" s="1" t="s">
        <v>65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" s="2">
        <f>Games[[#This Row],[DaysOff]]-Games[[#This Row],[OppDaysOff]]</f>
        <v>-3</v>
      </c>
      <c r="L45" s="2">
        <f>Games[[#This Row],[OppDaysOff]]-Games[[#This Row],[DaysOff]]</f>
        <v>3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1538.8053666334565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1431.2805465894132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0.71469532353937471</v>
      </c>
      <c r="R45" s="1">
        <v>102</v>
      </c>
      <c r="S45" s="1">
        <v>104</v>
      </c>
      <c r="T45" s="1">
        <v>1</v>
      </c>
      <c r="U45" s="1">
        <f>Games[[#This Row],[PointsFor]]-Games[[#This Row],[PointsAgainst]]</f>
        <v>-2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0.22123375559685329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-11.945567891853068</v>
      </c>
      <c r="AB45" s="4">
        <f>Games[[#This Row],[PreGmRate]]+Games[[#This Row],[RatingChange]]</f>
        <v>1526.8597987416035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46157</v>
      </c>
      <c r="B46" s="2">
        <v>2026</v>
      </c>
      <c r="C46" s="2">
        <f>COUNTIFS(Games[Team],Games[[#This Row],[Team]],Games[Season],Games[[#This Row],[Season]],Games[Date],"&lt;=" &amp; Games[[#This Row],[Date]])</f>
        <v>3</v>
      </c>
      <c r="D46" s="2" t="s">
        <v>79</v>
      </c>
      <c r="E46" s="2" t="s">
        <v>80</v>
      </c>
      <c r="F46" s="1" t="s">
        <v>90</v>
      </c>
      <c r="G46" s="1" t="s">
        <v>63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1497.795907468424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1439.0018294667159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0.46378926915161206</v>
      </c>
      <c r="R46" s="1">
        <v>95</v>
      </c>
      <c r="S46" s="1">
        <v>99</v>
      </c>
      <c r="T46" s="1">
        <v>0</v>
      </c>
      <c r="U46" s="1">
        <f>Games[[#This Row],[PointsFor]]-Games[[#This Row],[PointsAgainst]]</f>
        <v>-4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0.29688674932274989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75.55</v>
      </c>
      <c r="Z46" s="4">
        <f>Games[[#This Row],[K]]*Games[[#This Row],[POMult]]</f>
        <v>75.55</v>
      </c>
      <c r="AA46" s="4">
        <f>(Games[[#This Row],[Keff]]*Games[[#This Row],[MOVMult]])*(Games[[#This Row],[Result]]-Games[[#This Row],[ExpectedWin%]])</f>
        <v>-10.40269772535876</v>
      </c>
      <c r="AB46" s="4">
        <f>Games[[#This Row],[PreGmRate]]+Games[[#This Row],[RatingChange]]</f>
        <v>1487.3932097430652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46157</v>
      </c>
      <c r="B47" s="2">
        <v>2026</v>
      </c>
      <c r="C47" s="2">
        <f>COUNTIFS(Games[Team],Games[[#This Row],[Team]],Games[Season],Games[[#This Row],[Season]],Games[Date],"&lt;=" &amp; Games[[#This Row],[Date]])</f>
        <v>3</v>
      </c>
      <c r="D47" s="2" t="s">
        <v>79</v>
      </c>
      <c r="E47" s="2" t="s">
        <v>80</v>
      </c>
      <c r="F47" s="1" t="s">
        <v>63</v>
      </c>
      <c r="G47" s="1" t="s">
        <v>90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1439.0018294667159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1497.795907468424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0.536210730848388</v>
      </c>
      <c r="R47" s="1">
        <v>99</v>
      </c>
      <c r="S47" s="1">
        <v>95</v>
      </c>
      <c r="T47" s="1">
        <v>0</v>
      </c>
      <c r="U47" s="1">
        <f>Games[[#This Row],[PointsFor]]-Games[[#This Row],[PointsAgainst]]</f>
        <v>4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0.29688674932274989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75.55</v>
      </c>
      <c r="Z47" s="4">
        <f>Games[[#This Row],[K]]*Games[[#This Row],[POMult]]</f>
        <v>75.55</v>
      </c>
      <c r="AA47" s="4">
        <f>(Games[[#This Row],[Keff]]*Games[[#This Row],[MOVMult]])*(Games[[#This Row],[Result]]-Games[[#This Row],[ExpectedWin%]])</f>
        <v>10.402697725358758</v>
      </c>
      <c r="AB47" s="4">
        <f>Games[[#This Row],[PreGmRate]]+Games[[#This Row],[RatingChange]]</f>
        <v>1449.4045271920747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46157</v>
      </c>
      <c r="B48" s="2">
        <v>2026</v>
      </c>
      <c r="C48" s="2">
        <f>COUNTIFS(Games[Team],Games[[#This Row],[Team]],Games[Season],Games[[#This Row],[Season]],Games[Date],"&lt;=" &amp; Games[[#This Row],[Date]])</f>
        <v>3</v>
      </c>
      <c r="D48" s="2" t="s">
        <v>79</v>
      </c>
      <c r="E48" s="2" t="s">
        <v>80</v>
      </c>
      <c r="F48" s="1" t="s">
        <v>75</v>
      </c>
      <c r="G48" s="1" t="s">
        <v>40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1436.5003801828245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1543.4872099280401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0.23298862993059333</v>
      </c>
      <c r="R48" s="1">
        <v>83</v>
      </c>
      <c r="S48" s="1">
        <v>91</v>
      </c>
      <c r="T48" s="1">
        <v>0</v>
      </c>
      <c r="U48" s="1">
        <f>Games[[#This Row],[PointsFor]]-Games[[#This Row],[PointsAgainst]]</f>
        <v>-8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0.35652894994698958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-6.2757263237739727</v>
      </c>
      <c r="AB48" s="4">
        <f>Games[[#This Row],[PreGmRate]]+Games[[#This Row],[RatingChange]]</f>
        <v>1430.2246538590505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46157</v>
      </c>
      <c r="B49" s="2">
        <v>2026</v>
      </c>
      <c r="C49" s="2">
        <f>COUNTIFS(Games[Team],Games[[#This Row],[Team]],Games[Season],Games[[#This Row],[Season]],Games[Date],"&lt;=" &amp; Games[[#This Row],[Date]])</f>
        <v>4</v>
      </c>
      <c r="D49" s="2" t="s">
        <v>79</v>
      </c>
      <c r="E49" s="2" t="s">
        <v>80</v>
      </c>
      <c r="F49" s="1" t="s">
        <v>40</v>
      </c>
      <c r="G49" s="1" t="s">
        <v>75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1543.4872099280401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1436.5003801828245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0.76701137006940667</v>
      </c>
      <c r="R49" s="1">
        <v>91</v>
      </c>
      <c r="S49" s="1">
        <v>83</v>
      </c>
      <c r="T49" s="1">
        <v>0</v>
      </c>
      <c r="U49" s="1">
        <f>Games[[#This Row],[PointsFor]]-Games[[#This Row],[PointsAgainst]]</f>
        <v>8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0.35652894994698958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6.2632662450371619</v>
      </c>
      <c r="AB49" s="4">
        <f>Games[[#This Row],[PreGmRate]]+Games[[#This Row],[RatingChange]]</f>
        <v>1549.7504761730772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46159</v>
      </c>
      <c r="B50" s="2">
        <v>2026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85</v>
      </c>
      <c r="G50" s="1" t="s">
        <v>77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" s="2">
        <f>Games[[#This Row],[DaysOff]]-Games[[#This Row],[OppDaysOff]]</f>
        <v>-3</v>
      </c>
      <c r="L50" s="2">
        <f>Games[[#This Row],[OppDaysOff]]-Games[[#This Row],[DaysOff]]</f>
        <v>3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1620.8790078944937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1585.2963307033526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0.38629350848900551</v>
      </c>
      <c r="R50" s="1">
        <v>85</v>
      </c>
      <c r="S50" s="1">
        <v>84</v>
      </c>
      <c r="T50" s="1">
        <v>0</v>
      </c>
      <c r="U50" s="1">
        <f>Games[[#This Row],[PointsFor]]-Games[[#This Row],[PointsAgainst]]</f>
        <v>1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0.23714771222308373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10.951816555481148</v>
      </c>
      <c r="AB50" s="4">
        <f>Games[[#This Row],[PreGmRate]]+Games[[#This Row],[RatingChange]]</f>
        <v>1631.8308244499749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46159</v>
      </c>
      <c r="B51" s="2">
        <v>2026</v>
      </c>
      <c r="C51" s="2">
        <f>COUNTIFS(Games[Team],Games[[#This Row],[Team]],Games[Season],Games[[#This Row],[Season]],Games[Date],"&lt;=" &amp; Games[[#This Row],[Date]])</f>
        <v>3</v>
      </c>
      <c r="D51" s="2" t="s">
        <v>79</v>
      </c>
      <c r="E51" s="2" t="s">
        <v>80</v>
      </c>
      <c r="F51" s="1" t="s">
        <v>77</v>
      </c>
      <c r="G51" s="1" t="s">
        <v>85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4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3</v>
      </c>
      <c r="L51" s="2">
        <f>Games[[#This Row],[OppDaysOff]]-Games[[#This Row],[DaysOff]]</f>
        <v>-3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1585.2963307033526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1620.8790078944937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0.61370649151099455</v>
      </c>
      <c r="R51" s="1">
        <v>84</v>
      </c>
      <c r="S51" s="1">
        <v>85</v>
      </c>
      <c r="T51" s="1">
        <v>0</v>
      </c>
      <c r="U51" s="1">
        <f>Games[[#This Row],[PointsFor]]-Games[[#This Row],[PointsAgainst]]</f>
        <v>-1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0.23714771222308373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75.55</v>
      </c>
      <c r="Z51" s="4">
        <f>Games[[#This Row],[K]]*Games[[#This Row],[POMult]]</f>
        <v>75.55</v>
      </c>
      <c r="AA51" s="4">
        <f>(Games[[#This Row],[Keff]]*Games[[#This Row],[MOVMult]])*(Games[[#This Row],[Result]]-Games[[#This Row],[ExpectedWin%]])</f>
        <v>-10.995478282612636</v>
      </c>
      <c r="AB51" s="4">
        <f>Games[[#This Row],[PreGmRate]]+Games[[#This Row],[RatingChange]]</f>
        <v>1574.3008524207401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46159</v>
      </c>
      <c r="B52" s="2">
        <v>2026</v>
      </c>
      <c r="C52" s="2">
        <f>COUNTIFS(Games[Team],Games[[#This Row],[Team]],Games[Season],Games[[#This Row],[Season]],Games[Date],"&lt;=" &amp; Games[[#This Row],[Date]])</f>
        <v>4</v>
      </c>
      <c r="D52" s="2" t="s">
        <v>79</v>
      </c>
      <c r="E52" s="2" t="s">
        <v>80</v>
      </c>
      <c r="F52" s="1" t="s">
        <v>71</v>
      </c>
      <c r="G52" s="1" t="s">
        <v>69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2</v>
      </c>
      <c r="L52" s="2">
        <f>Games[[#This Row],[OppDaysOff]]-Games[[#This Row],[DaysOff]]</f>
        <v>-2</v>
      </c>
      <c r="M52" s="1">
        <f>MAX(-16, MIN(16, Games[[#This Row],[RestDiff]]*8))</f>
        <v>16</v>
      </c>
      <c r="N52" s="1">
        <f>MAX(-16, MIN(16, Games[[#This Row],[OppRestDiff]]*8))</f>
        <v>-16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1485.2821465849463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1526.8597987416035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0.36849556993687577</v>
      </c>
      <c r="R52" s="1">
        <v>78</v>
      </c>
      <c r="S52" s="1">
        <v>89</v>
      </c>
      <c r="T52" s="1">
        <v>0</v>
      </c>
      <c r="U52" s="1">
        <f>Games[[#This Row],[PointsFor]]-Games[[#This Row],[PointsAgainst]]</f>
        <v>-11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0.42510684965402518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-11.811409309888665</v>
      </c>
      <c r="AB52" s="4">
        <f>Games[[#This Row],[PreGmRate]]+Games[[#This Row],[RatingChange]]</f>
        <v>1473.4707372750577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46159</v>
      </c>
      <c r="B53" s="2">
        <v>2026</v>
      </c>
      <c r="C53" s="2">
        <f>COUNTIFS(Games[Team],Games[[#This Row],[Team]],Games[Season],Games[[#This Row],[Season]],Games[Date],"&lt;=" &amp; Games[[#This Row],[Date]])</f>
        <v>4</v>
      </c>
      <c r="D53" s="2" t="s">
        <v>79</v>
      </c>
      <c r="E53" s="2" t="s">
        <v>80</v>
      </c>
      <c r="F53" s="1" t="s">
        <v>69</v>
      </c>
      <c r="G53" s="1" t="s">
        <v>71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" s="2">
        <f>Games[[#This Row],[DaysOff]]-Games[[#This Row],[OppDaysOff]]</f>
        <v>-2</v>
      </c>
      <c r="L53" s="2">
        <f>Games[[#This Row],[OppDaysOff]]-Games[[#This Row],[DaysOff]]</f>
        <v>2</v>
      </c>
      <c r="M53" s="1">
        <f>MAX(-16, MIN(16, Games[[#This Row],[RestDiff]]*8))</f>
        <v>-16</v>
      </c>
      <c r="N53" s="1">
        <f>MAX(-16, MIN(16, Games[[#This Row],[OppRestDiff]]*8))</f>
        <v>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1526.8597987416035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1485.2821465849463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0.63150443006312429</v>
      </c>
      <c r="R53" s="1">
        <v>89</v>
      </c>
      <c r="S53" s="1">
        <v>78</v>
      </c>
      <c r="T53" s="1">
        <v>0</v>
      </c>
      <c r="U53" s="1">
        <f>Games[[#This Row],[PointsFor]]-Games[[#This Row],[PointsAgainst]]</f>
        <v>11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0.42510684965402518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11.811409309888663</v>
      </c>
      <c r="AB53" s="4">
        <f>Games[[#This Row],[PreGmRate]]+Games[[#This Row],[RatingChange]]</f>
        <v>1538.6712080514922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46159</v>
      </c>
      <c r="B54" s="2">
        <v>2026</v>
      </c>
      <c r="C54" s="2">
        <f>COUNTIFS(Games[Team],Games[[#This Row],[Team]],Games[Season],Games[[#This Row],[Season]],Games[Date],"&lt;=" &amp; Games[[#This Row],[Date]])</f>
        <v>4</v>
      </c>
      <c r="D54" s="2" t="s">
        <v>79</v>
      </c>
      <c r="E54" s="2" t="s">
        <v>80</v>
      </c>
      <c r="F54" s="1" t="s">
        <v>90</v>
      </c>
      <c r="G54" s="1" t="s">
        <v>63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1487.3932097430652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1449.4045271920747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0.43416879208083065</v>
      </c>
      <c r="R54" s="1">
        <v>106</v>
      </c>
      <c r="S54" s="1">
        <v>96</v>
      </c>
      <c r="T54" s="1">
        <v>0</v>
      </c>
      <c r="U54" s="1">
        <f>Games[[#This Row],[PointsFor]]-Games[[#This Row],[PointsAgainst]]</f>
        <v>10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0.4101456227794128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17.498318764266653</v>
      </c>
      <c r="AB54" s="4">
        <f>Games[[#This Row],[PreGmRate]]+Games[[#This Row],[RatingChange]]</f>
        <v>1504.8915285073319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46159</v>
      </c>
      <c r="B55" s="2">
        <v>2026</v>
      </c>
      <c r="C55" s="2">
        <f>COUNTIFS(Games[Team],Games[[#This Row],[Team]],Games[Season],Games[[#This Row],[Season]],Games[Date],"&lt;=" &amp; Games[[#This Row],[Date]])</f>
        <v>4</v>
      </c>
      <c r="D55" s="2" t="s">
        <v>79</v>
      </c>
      <c r="E55" s="2" t="s">
        <v>80</v>
      </c>
      <c r="F55" s="1" t="s">
        <v>63</v>
      </c>
      <c r="G55" s="1" t="s">
        <v>90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1449.4045271920747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1487.3932097430652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0.56583120791916941</v>
      </c>
      <c r="R55" s="1">
        <v>96</v>
      </c>
      <c r="S55" s="1">
        <v>106</v>
      </c>
      <c r="T55" s="1">
        <v>0</v>
      </c>
      <c r="U55" s="1">
        <f>Games[[#This Row],[PointsFor]]-Games[[#This Row],[PointsAgainst]]</f>
        <v>-10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0.4101456227794128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-17.498318764266653</v>
      </c>
      <c r="AB55" s="4">
        <f>Games[[#This Row],[PreGmRate]]+Games[[#This Row],[RatingChange]]</f>
        <v>1431.906208427808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46159</v>
      </c>
      <c r="B56" s="2">
        <v>2026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75</v>
      </c>
      <c r="G56" s="1" t="s">
        <v>67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1430.2246538590505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1592.2339470927286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0.18119877273193963</v>
      </c>
      <c r="R56" s="1">
        <v>86</v>
      </c>
      <c r="S56" s="1">
        <v>79</v>
      </c>
      <c r="T56" s="1">
        <v>0</v>
      </c>
      <c r="U56" s="1">
        <f>Games[[#This Row],[PointsFor]]-Games[[#This Row],[PointsAgainst]]</f>
        <v>7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0.32608338958549632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20.131609960658743</v>
      </c>
      <c r="AB56" s="4">
        <f>Games[[#This Row],[PreGmRate]]+Games[[#This Row],[RatingChange]]</f>
        <v>1450.3562638197093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46159</v>
      </c>
      <c r="B57" s="2">
        <v>2026</v>
      </c>
      <c r="C57" s="2">
        <f>COUNTIFS(Games[Team],Games[[#This Row],[Team]],Games[Season],Games[[#This Row],[Season]],Games[Date],"&lt;=" &amp; Games[[#This Row],[Date]])</f>
        <v>4</v>
      </c>
      <c r="D57" s="2" t="s">
        <v>79</v>
      </c>
      <c r="E57" s="2" t="s">
        <v>80</v>
      </c>
      <c r="F57" s="1" t="s">
        <v>67</v>
      </c>
      <c r="G57" s="1" t="s">
        <v>75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1592.2339470927286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1430.2246538590505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0.81880122726806037</v>
      </c>
      <c r="R57" s="1">
        <v>79</v>
      </c>
      <c r="S57" s="1">
        <v>86</v>
      </c>
      <c r="T57" s="1">
        <v>0</v>
      </c>
      <c r="U57" s="1">
        <f>Games[[#This Row],[PointsFor]]-Games[[#This Row],[PointsAgainst]]</f>
        <v>-7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0.32608338958549632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-20.131609960658743</v>
      </c>
      <c r="AB57" s="4">
        <f>Games[[#This Row],[PreGmRate]]+Games[[#This Row],[RatingChange]]</f>
        <v>1572.1023371320698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46160</v>
      </c>
      <c r="B58" s="2">
        <v>2026</v>
      </c>
      <c r="C58" s="2">
        <f>COUNTIFS(Games[Team],Games[[#This Row],[Team]],Games[Season],Games[[#This Row],[Season]],Games[Date],"&lt;=" &amp; Games[[#This Row],[Date]])</f>
        <v>4</v>
      </c>
      <c r="D58" s="2" t="s">
        <v>79</v>
      </c>
      <c r="E58" s="2" t="s">
        <v>80</v>
      </c>
      <c r="F58" s="1" t="s">
        <v>65</v>
      </c>
      <c r="G58" s="1" t="s">
        <v>84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8" s="2">
        <f>Games[[#This Row],[DaysOff]]-Games[[#This Row],[OppDaysOff]]</f>
        <v>-1</v>
      </c>
      <c r="L58" s="2">
        <f>Games[[#This Row],[OppDaysOff]]-Games[[#This Row],[DaysOff]]</f>
        <v>1</v>
      </c>
      <c r="M58" s="1">
        <f>MAX(-16, MIN(16, Games[[#This Row],[RestDiff]]*8))</f>
        <v>-8</v>
      </c>
      <c r="N58" s="1">
        <f>MAX(-16, MIN(16, Games[[#This Row],[OppRestDiff]]*8))</f>
        <v>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1443.2261144812662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1403.0734545080718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0.41471460878784033</v>
      </c>
      <c r="R58" s="1">
        <v>69</v>
      </c>
      <c r="S58" s="1">
        <v>92</v>
      </c>
      <c r="T58" s="1">
        <v>0</v>
      </c>
      <c r="U58" s="1">
        <f>Games[[#This Row],[PointsFor]]-Games[[#This Row],[PointsAgainst]]</f>
        <v>-23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0.59541486053038217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-18.618313967729829</v>
      </c>
      <c r="AB58" s="4">
        <f>Games[[#This Row],[PreGmRate]]+Games[[#This Row],[RatingChange]]</f>
        <v>1424.6078005135364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46160</v>
      </c>
      <c r="B59" s="2">
        <v>2026</v>
      </c>
      <c r="C59" s="2">
        <f>COUNTIFS(Games[Team],Games[[#This Row],[Team]],Games[Season],Games[[#This Row],[Season]],Games[Date],"&lt;=" &amp; Games[[#This Row],[Date]])</f>
        <v>4</v>
      </c>
      <c r="D59" s="2" t="s">
        <v>79</v>
      </c>
      <c r="E59" s="2" t="s">
        <v>80</v>
      </c>
      <c r="F59" s="1" t="s">
        <v>84</v>
      </c>
      <c r="G59" s="1" t="s">
        <v>65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1</v>
      </c>
      <c r="L59" s="2">
        <f>Games[[#This Row],[OppDaysOff]]-Games[[#This Row],[DaysOff]]</f>
        <v>-1</v>
      </c>
      <c r="M59" s="1">
        <f>MAX(-16, MIN(16, Games[[#This Row],[RestDiff]]*8))</f>
        <v>8</v>
      </c>
      <c r="N59" s="1">
        <f>MAX(-16, MIN(16, Games[[#This Row],[OppRestDiff]]*8))</f>
        <v>-8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1403.0734545080718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1443.2261144812662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0.58528539121215961</v>
      </c>
      <c r="R59" s="1">
        <v>92</v>
      </c>
      <c r="S59" s="1">
        <v>69</v>
      </c>
      <c r="T59" s="1">
        <v>0</v>
      </c>
      <c r="U59" s="1">
        <f>Games[[#This Row],[PointsFor]]-Games[[#This Row],[PointsAgainst]]</f>
        <v>23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0.59541486053038217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18.618313967729829</v>
      </c>
      <c r="AB59" s="4">
        <f>Games[[#This Row],[PreGmRate]]+Games[[#This Row],[RatingChange]]</f>
        <v>1421.6917684758016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46160</v>
      </c>
      <c r="B60" s="2">
        <v>2026</v>
      </c>
      <c r="C60" s="2">
        <f>COUNTIFS(Games[Team],Games[[#This Row],[Team]],Games[Season],Games[[#This Row],[Season]],Games[Date],"&lt;=" &amp; Games[[#This Row],[Date]])</f>
        <v>5</v>
      </c>
      <c r="D60" s="2" t="s">
        <v>79</v>
      </c>
      <c r="E60" s="2" t="s">
        <v>80</v>
      </c>
      <c r="F60" s="1" t="s">
        <v>74</v>
      </c>
      <c r="G60" s="1" t="s">
        <v>89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0" s="2">
        <f>Games[[#This Row],[DaysOff]]-Games[[#This Row],[OppDaysOff]]</f>
        <v>-1</v>
      </c>
      <c r="L60" s="2">
        <f>Games[[#This Row],[OppDaysOff]]-Games[[#This Row],[DaysOff]]</f>
        <v>1</v>
      </c>
      <c r="M60" s="1">
        <f>MAX(-16, MIN(16, Games[[#This Row],[RestDiff]]*8))</f>
        <v>-8</v>
      </c>
      <c r="N60" s="1">
        <f>MAX(-16, MIN(16, Games[[#This Row],[OppRestDiff]]*8))</f>
        <v>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1380.6529181177684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1461.4442186115114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0.26101140509176868</v>
      </c>
      <c r="R60" s="1">
        <v>82</v>
      </c>
      <c r="S60" s="1">
        <v>83</v>
      </c>
      <c r="T60" s="1">
        <v>0</v>
      </c>
      <c r="U60" s="1">
        <f>Games[[#This Row],[PointsFor]]-Games[[#This Row],[PointsAgainst]]</f>
        <v>-1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0.22877701077872334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-4.4934340299627085</v>
      </c>
      <c r="AB60" s="4">
        <f>Games[[#This Row],[PreGmRate]]+Games[[#This Row],[RatingChange]]</f>
        <v>1376.1594840878058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46160</v>
      </c>
      <c r="B61" s="2">
        <v>2026</v>
      </c>
      <c r="C61" s="2">
        <f>COUNTIFS(Games[Team],Games[[#This Row],[Team]],Games[Season],Games[[#This Row],[Season]],Games[Date],"&lt;=" &amp; Games[[#This Row],[Date]])</f>
        <v>4</v>
      </c>
      <c r="D61" s="2" t="s">
        <v>79</v>
      </c>
      <c r="E61" s="2" t="s">
        <v>80</v>
      </c>
      <c r="F61" s="1" t="s">
        <v>89</v>
      </c>
      <c r="G61" s="1" t="s">
        <v>74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1</v>
      </c>
      <c r="L61" s="2">
        <f>Games[[#This Row],[OppDaysOff]]-Games[[#This Row],[DaysOff]]</f>
        <v>-1</v>
      </c>
      <c r="M61" s="1">
        <f>MAX(-16, MIN(16, Games[[#This Row],[RestDiff]]*8))</f>
        <v>8</v>
      </c>
      <c r="N61" s="1">
        <f>MAX(-16, MIN(16, Games[[#This Row],[OppRestDiff]]*8))</f>
        <v>-8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1461.4442186115114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1380.6529181177684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0.73898859490823143</v>
      </c>
      <c r="R61" s="1">
        <v>83</v>
      </c>
      <c r="S61" s="1">
        <v>82</v>
      </c>
      <c r="T61" s="1">
        <v>0</v>
      </c>
      <c r="U61" s="1">
        <f>Games[[#This Row],[PointsFor]]-Games[[#This Row],[PointsAgainst]]</f>
        <v>1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0.22877701077872334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4.5023910413181145</v>
      </c>
      <c r="AB61" s="4">
        <f>Games[[#This Row],[PreGmRate]]+Games[[#This Row],[RatingChange]]</f>
        <v>1465.9466096528295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46161</v>
      </c>
      <c r="B62" s="2">
        <v>2026</v>
      </c>
      <c r="C62" s="2">
        <f>COUNTIFS(Games[Team],Games[[#This Row],[Team]],Games[Season],Games[[#This Row],[Season]],Games[Date],"&lt;=" &amp; Games[[#This Row],[Date]])</f>
        <v>5</v>
      </c>
      <c r="D62" s="2" t="s">
        <v>79</v>
      </c>
      <c r="E62" s="2" t="s">
        <v>80</v>
      </c>
      <c r="F62" s="1" t="s">
        <v>90</v>
      </c>
      <c r="G62" s="1" t="s">
        <v>40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1504.8915285073319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1549.7504761730772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0.28374129382068375</v>
      </c>
      <c r="R62" s="1">
        <v>98</v>
      </c>
      <c r="S62" s="1">
        <v>90</v>
      </c>
      <c r="T62" s="1">
        <v>0</v>
      </c>
      <c r="U62" s="1">
        <f>Games[[#This Row],[PointsFor]]-Games[[#This Row],[PointsAgainst]]</f>
        <v>8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0.37432244261678843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20.175406060304311</v>
      </c>
      <c r="AB62" s="4">
        <f>Games[[#This Row],[PreGmRate]]+Games[[#This Row],[RatingChange]]</f>
        <v>1525.0669345676363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46161</v>
      </c>
      <c r="B63" s="2">
        <v>2026</v>
      </c>
      <c r="C63" s="2">
        <f>COUNTIFS(Games[Team],Games[[#This Row],[Team]],Games[Season],Games[[#This Row],[Season]],Games[Date],"&lt;=" &amp; Games[[#This Row],[Date]])</f>
        <v>5</v>
      </c>
      <c r="D63" s="2" t="s">
        <v>79</v>
      </c>
      <c r="E63" s="2" t="s">
        <v>80</v>
      </c>
      <c r="F63" s="1" t="s">
        <v>40</v>
      </c>
      <c r="G63" s="1" t="s">
        <v>90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1549.7504761730772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1504.8915285073319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0.7162587061793162</v>
      </c>
      <c r="R63" s="1">
        <v>90</v>
      </c>
      <c r="S63" s="1">
        <v>98</v>
      </c>
      <c r="T63" s="1">
        <v>0</v>
      </c>
      <c r="U63" s="1">
        <f>Games[[#This Row],[PointsFor]]-Games[[#This Row],[PointsAgainst]]</f>
        <v>-8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0.37432244261678843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-20.175406060304311</v>
      </c>
      <c r="AB63" s="4">
        <f>Games[[#This Row],[PreGmRate]]+Games[[#This Row],[RatingChange]]</f>
        <v>1529.5750701127729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46162</v>
      </c>
      <c r="B64" s="2">
        <v>2026</v>
      </c>
      <c r="C64" s="2">
        <f>COUNTIFS(Games[Team],Games[[#This Row],[Team]],Games[Season],Games[[#This Row],[Season]],Games[Date],"&lt;=" &amp; Games[[#This Row],[Date]])</f>
        <v>5</v>
      </c>
      <c r="D64" s="2" t="s">
        <v>79</v>
      </c>
      <c r="E64" s="2" t="s">
        <v>80</v>
      </c>
      <c r="F64" s="1" t="s">
        <v>84</v>
      </c>
      <c r="G64" s="1" t="s">
        <v>75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-1</v>
      </c>
      <c r="L64" s="2">
        <f>Games[[#This Row],[OppDaysOff]]-Games[[#This Row],[DaysOff]]</f>
        <v>1</v>
      </c>
      <c r="M64" s="1">
        <f>MAX(-16, MIN(16, Games[[#This Row],[RestDiff]]*8))</f>
        <v>-8</v>
      </c>
      <c r="N64" s="1">
        <f>MAX(-16, MIN(16, Games[[#This Row],[OppRestDiff]]*8))</f>
        <v>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1421.6917684758016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1450.3562638197093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0.3228615043456724</v>
      </c>
      <c r="R64" s="1">
        <v>99</v>
      </c>
      <c r="S64" s="1">
        <v>89</v>
      </c>
      <c r="T64" s="1">
        <v>0</v>
      </c>
      <c r="U64" s="1">
        <f>Games[[#This Row],[PointsFor]]-Games[[#This Row],[PointsAgainst]]</f>
        <v>10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0.41325816862366332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21.057434350056408</v>
      </c>
      <c r="AB64" s="4">
        <f>Games[[#This Row],[PreGmRate]]+Games[[#This Row],[RatingChange]]</f>
        <v>1442.749202825858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46162</v>
      </c>
      <c r="B65" s="2">
        <v>2026</v>
      </c>
      <c r="C65" s="2">
        <f>COUNTIFS(Games[Team],Games[[#This Row],[Team]],Games[Season],Games[[#This Row],[Season]],Games[Date],"&lt;=" &amp; Games[[#This Row],[Date]])</f>
        <v>5</v>
      </c>
      <c r="D65" s="2" t="s">
        <v>79</v>
      </c>
      <c r="E65" s="2" t="s">
        <v>80</v>
      </c>
      <c r="F65" s="1" t="s">
        <v>75</v>
      </c>
      <c r="G65" s="1" t="s">
        <v>84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1</v>
      </c>
      <c r="L65" s="2">
        <f>Games[[#This Row],[OppDaysOff]]-Games[[#This Row],[DaysOff]]</f>
        <v>-1</v>
      </c>
      <c r="M65" s="1">
        <f>MAX(-16, MIN(16, Games[[#This Row],[RestDiff]]*8))</f>
        <v>8</v>
      </c>
      <c r="N65" s="1">
        <f>MAX(-16, MIN(16, Games[[#This Row],[OppRestDiff]]*8))</f>
        <v>-8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1450.3562638197093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1421.6917684758016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0.6771384956543276</v>
      </c>
      <c r="R65" s="1">
        <v>89</v>
      </c>
      <c r="S65" s="1">
        <v>99</v>
      </c>
      <c r="T65" s="1">
        <v>0</v>
      </c>
      <c r="U65" s="1">
        <f>Games[[#This Row],[PointsFor]]-Games[[#This Row],[PointsAgainst]]</f>
        <v>-10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0.41325816862366332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-21.057434350056408</v>
      </c>
      <c r="AB65" s="4">
        <f>Games[[#This Row],[PreGmRate]]+Games[[#This Row],[RatingChange]]</f>
        <v>1429.2988294696529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46162</v>
      </c>
      <c r="B66" s="2">
        <v>2026</v>
      </c>
      <c r="C66" s="2">
        <f>COUNTIFS(Games[Team],Games[[#This Row],[Team]],Games[Season],Games[[#This Row],[Season]],Games[Date],"&lt;=" &amp; Games[[#This Row],[Date]])</f>
        <v>5</v>
      </c>
      <c r="D66" s="2" t="s">
        <v>79</v>
      </c>
      <c r="E66" s="2" t="s">
        <v>80</v>
      </c>
      <c r="F66" s="1" t="s">
        <v>89</v>
      </c>
      <c r="G66" s="1" t="s">
        <v>69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6" s="2">
        <f>Games[[#This Row],[DaysOff]]-Games[[#This Row],[OppDaysOff]]</f>
        <v>-1</v>
      </c>
      <c r="L66" s="2">
        <f>Games[[#This Row],[OppDaysOff]]-Games[[#This Row],[DaysOff]]</f>
        <v>1</v>
      </c>
      <c r="M66" s="1">
        <f>MAX(-16, MIN(16, Games[[#This Row],[RestDiff]]*8))</f>
        <v>-8</v>
      </c>
      <c r="N66" s="1">
        <f>MAX(-16, MIN(16, Games[[#This Row],[OppRestDiff]]*8))</f>
        <v>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1465.9466096528295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1538.6712080514922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0.27006699193344219</v>
      </c>
      <c r="R66" s="1">
        <v>73</v>
      </c>
      <c r="S66" s="1">
        <v>90</v>
      </c>
      <c r="T66" s="1">
        <v>0</v>
      </c>
      <c r="U66" s="1">
        <f>Games[[#This Row],[PointsFor]]-Games[[#This Row],[PointsAgainst]]</f>
        <v>-17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0.50201786286074512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-10.202278672504169</v>
      </c>
      <c r="AB66" s="4">
        <f>Games[[#This Row],[PreGmRate]]+Games[[#This Row],[RatingChange]]</f>
        <v>1455.7443309803252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46162</v>
      </c>
      <c r="B67" s="2">
        <v>2026</v>
      </c>
      <c r="C67" s="2">
        <f>COUNTIFS(Games[Team],Games[[#This Row],[Team]],Games[Season],Games[[#This Row],[Season]],Games[Date],"&lt;=" &amp; Games[[#This Row],[Date]])</f>
        <v>5</v>
      </c>
      <c r="D67" s="2" t="s">
        <v>79</v>
      </c>
      <c r="E67" s="2" t="s">
        <v>80</v>
      </c>
      <c r="F67" s="1" t="s">
        <v>69</v>
      </c>
      <c r="G67" s="1" t="s">
        <v>89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1</v>
      </c>
      <c r="L67" s="2">
        <f>Games[[#This Row],[OppDaysOff]]-Games[[#This Row],[DaysOff]]</f>
        <v>-1</v>
      </c>
      <c r="M67" s="1">
        <f>MAX(-16, MIN(16, Games[[#This Row],[RestDiff]]*8))</f>
        <v>8</v>
      </c>
      <c r="N67" s="1">
        <f>MAX(-16, MIN(16, Games[[#This Row],[OppRestDiff]]*8))</f>
        <v>-8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1538.6712080514922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1465.9466096528295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0.72993300806655781</v>
      </c>
      <c r="R67" s="1">
        <v>90</v>
      </c>
      <c r="S67" s="1">
        <v>73</v>
      </c>
      <c r="T67" s="1">
        <v>0</v>
      </c>
      <c r="U67" s="1">
        <f>Games[[#This Row],[PointsFor]]-Games[[#This Row],[PointsAgainst]]</f>
        <v>17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0.50201786286074512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10.202278672504169</v>
      </c>
      <c r="AB67" s="4">
        <f>Games[[#This Row],[PreGmRate]]+Games[[#This Row],[RatingChange]]</f>
        <v>1548.8734867239964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46162</v>
      </c>
      <c r="B68" s="2">
        <v>2026</v>
      </c>
      <c r="C68" s="2">
        <f>COUNTIFS(Games[Team],Games[[#This Row],[Team]],Games[Season],Games[[#This Row],[Season]],Games[Date],"&lt;=" &amp; Games[[#This Row],[Date]])</f>
        <v>6</v>
      </c>
      <c r="D68" s="2" t="s">
        <v>79</v>
      </c>
      <c r="E68" s="2" t="s">
        <v>80</v>
      </c>
      <c r="F68" s="1" t="s">
        <v>74</v>
      </c>
      <c r="G68" s="1" t="s">
        <v>71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8" s="2">
        <f>Games[[#This Row],[DaysOff]]-Games[[#This Row],[OppDaysOff]]</f>
        <v>-1</v>
      </c>
      <c r="L68" s="2">
        <f>Games[[#This Row],[OppDaysOff]]-Games[[#This Row],[DaysOff]]</f>
        <v>1</v>
      </c>
      <c r="M68" s="1">
        <f>MAX(-16, MIN(16, Games[[#This Row],[RestDiff]]*8))</f>
        <v>-8</v>
      </c>
      <c r="N68" s="1">
        <f>MAX(-16, MIN(16, Games[[#This Row],[OppRestDiff]]*8))</f>
        <v>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1376.1594840878058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1473.4707372750577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0.24308958328320476</v>
      </c>
      <c r="R68" s="1">
        <v>80</v>
      </c>
      <c r="S68" s="1">
        <v>78</v>
      </c>
      <c r="T68" s="1">
        <v>0</v>
      </c>
      <c r="U68" s="1">
        <f>Games[[#This Row],[PointsFor]]-Games[[#This Row],[PointsAgainst]]</f>
        <v>2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0.24775055653141098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14.083125771649216</v>
      </c>
      <c r="AB68" s="4">
        <f>Games[[#This Row],[PreGmRate]]+Games[[#This Row],[RatingChange]]</f>
        <v>1390.2426098594551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46162</v>
      </c>
      <c r="B69" s="2">
        <v>2026</v>
      </c>
      <c r="C69" s="2">
        <f>COUNTIFS(Games[Team],Games[[#This Row],[Team]],Games[Season],Games[[#This Row],[Season]],Games[Date],"&lt;=" &amp; Games[[#This Row],[Date]])</f>
        <v>5</v>
      </c>
      <c r="D69" s="2" t="s">
        <v>79</v>
      </c>
      <c r="E69" s="2" t="s">
        <v>80</v>
      </c>
      <c r="F69" s="1" t="s">
        <v>71</v>
      </c>
      <c r="G69" s="1" t="s">
        <v>74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1</v>
      </c>
      <c r="L69" s="2">
        <f>Games[[#This Row],[OppDaysOff]]-Games[[#This Row],[DaysOff]]</f>
        <v>-1</v>
      </c>
      <c r="M69" s="1">
        <f>MAX(-16, MIN(16, Games[[#This Row],[RestDiff]]*8))</f>
        <v>8</v>
      </c>
      <c r="N69" s="1">
        <f>MAX(-16, MIN(16, Games[[#This Row],[OppRestDiff]]*8))</f>
        <v>-8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1473.4707372750577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1376.1594840878058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0.75691041671679515</v>
      </c>
      <c r="R69" s="1">
        <v>78</v>
      </c>
      <c r="S69" s="1">
        <v>80</v>
      </c>
      <c r="T69" s="1">
        <v>0</v>
      </c>
      <c r="U69" s="1">
        <f>Games[[#This Row],[PointsFor]]-Games[[#This Row],[PointsAgainst]]</f>
        <v>-2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0.24775055653141098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-14.111254518197116</v>
      </c>
      <c r="AB69" s="4">
        <f>Games[[#This Row],[PreGmRate]]+Games[[#This Row],[RatingChange]]</f>
        <v>1459.3594827568606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46163</v>
      </c>
      <c r="B70" s="2">
        <v>2026</v>
      </c>
      <c r="C70" s="2">
        <f>COUNTIFS(Games[Team],Games[[#This Row],[Team]],Games[Season],Games[[#This Row],[Season]],Games[Date],"&lt;=" &amp; Games[[#This Row],[Date]])</f>
        <v>6</v>
      </c>
      <c r="D70" s="2" t="s">
        <v>79</v>
      </c>
      <c r="E70" s="2" t="s">
        <v>80</v>
      </c>
      <c r="F70" s="1" t="s">
        <v>90</v>
      </c>
      <c r="G70" s="1" t="s">
        <v>67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1525.0669345676363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1572.1023371320698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0.28120197600055657</v>
      </c>
      <c r="R70" s="1">
        <v>72</v>
      </c>
      <c r="S70" s="1">
        <v>100</v>
      </c>
      <c r="T70" s="1">
        <v>0</v>
      </c>
      <c r="U70" s="1">
        <f>Games[[#This Row],[PointsFor]]-Games[[#This Row],[PointsAgainst]]</f>
        <v>-28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0.6534759080692395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-13.800279617998898</v>
      </c>
      <c r="AB70" s="4">
        <f>Games[[#This Row],[PreGmRate]]+Games[[#This Row],[RatingChange]]</f>
        <v>1511.2666549496373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46163</v>
      </c>
      <c r="B71" s="2">
        <v>2026</v>
      </c>
      <c r="C71" s="2">
        <f>COUNTIFS(Games[Team],Games[[#This Row],[Team]],Games[Season],Games[[#This Row],[Season]],Games[Date],"&lt;=" &amp; Games[[#This Row],[Date]])</f>
        <v>5</v>
      </c>
      <c r="D71" s="2" t="s">
        <v>79</v>
      </c>
      <c r="E71" s="2" t="s">
        <v>80</v>
      </c>
      <c r="F71" s="1" t="s">
        <v>67</v>
      </c>
      <c r="G71" s="1" t="s">
        <v>90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1572.1023371320698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1525.0669345676363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0.71879802399944348</v>
      </c>
      <c r="R71" s="1">
        <v>100</v>
      </c>
      <c r="S71" s="1">
        <v>72</v>
      </c>
      <c r="T71" s="1">
        <v>0</v>
      </c>
      <c r="U71" s="1">
        <f>Games[[#This Row],[PointsFor]]-Games[[#This Row],[PointsAgainst]]</f>
        <v>28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0.6534759080692395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13.827843425491569</v>
      </c>
      <c r="AB71" s="4">
        <f>Games[[#This Row],[PreGmRate]]+Games[[#This Row],[RatingChange]]</f>
        <v>1585.9301805575615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46163</v>
      </c>
      <c r="B72" s="2">
        <v>2026</v>
      </c>
      <c r="C72" s="2">
        <f>COUNTIFS(Games[Team],Games[[#This Row],[Team]],Games[Season],Games[[#This Row],[Season]],Games[Date],"&lt;=" &amp; Games[[#This Row],[Date]])</f>
        <v>4</v>
      </c>
      <c r="D72" s="2" t="s">
        <v>79</v>
      </c>
      <c r="E72" s="2" t="s">
        <v>80</v>
      </c>
      <c r="F72" s="1" t="s">
        <v>87</v>
      </c>
      <c r="G72" s="1" t="s">
        <v>60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7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2" s="2">
        <f>Games[[#This Row],[DaysOff]]-Games[[#This Row],[OppDaysOff]]</f>
        <v>1</v>
      </c>
      <c r="L72" s="2">
        <f>Games[[#This Row],[OppDaysOff]]-Games[[#This Row],[DaysOff]]</f>
        <v>-1</v>
      </c>
      <c r="M72" s="1">
        <f>MAX(-16, MIN(16, Games[[#This Row],[RestDiff]]*8))</f>
        <v>8</v>
      </c>
      <c r="N72" s="1">
        <f>MAX(-16, MIN(16, Games[[#This Row],[OppRestDiff]]*8))</f>
        <v>-8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1521.662238259993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1562.0635542941193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0.34887041324388163</v>
      </c>
      <c r="R72" s="1">
        <v>87</v>
      </c>
      <c r="S72" s="1">
        <v>70</v>
      </c>
      <c r="T72" s="1">
        <v>0</v>
      </c>
      <c r="U72" s="1">
        <f>Games[[#This Row],[PointsFor]]-Games[[#This Row],[PointsAgainst]]</f>
        <v>17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0.51509981055261822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75.400000000000006</v>
      </c>
      <c r="Z72" s="4">
        <f>Games[[#This Row],[K]]*Games[[#This Row],[POMult]]</f>
        <v>75.400000000000006</v>
      </c>
      <c r="AA72" s="4">
        <f>(Games[[#This Row],[Keff]]*Games[[#This Row],[MOVMult]])*(Games[[#This Row],[Result]]-Games[[#This Row],[ExpectedWin%]])</f>
        <v>25.288913199459405</v>
      </c>
      <c r="AB72" s="4">
        <f>Games[[#This Row],[PreGmRate]]+Games[[#This Row],[RatingChange]]</f>
        <v>1546.9511514594524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46163</v>
      </c>
      <c r="B73" s="2">
        <v>2026</v>
      </c>
      <c r="C73" s="2">
        <f>COUNTIFS(Games[Team],Games[[#This Row],[Team]],Games[Season],Games[[#This Row],[Season]],Games[Date],"&lt;=" &amp; Games[[#This Row],[Date]])</f>
        <v>5</v>
      </c>
      <c r="D73" s="2" t="s">
        <v>79</v>
      </c>
      <c r="E73" s="2" t="s">
        <v>80</v>
      </c>
      <c r="F73" s="1" t="s">
        <v>60</v>
      </c>
      <c r="G73" s="1" t="s">
        <v>87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6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73" s="2">
        <f>Games[[#This Row],[DaysOff]]-Games[[#This Row],[OppDaysOff]]</f>
        <v>-1</v>
      </c>
      <c r="L73" s="2">
        <f>Games[[#This Row],[OppDaysOff]]-Games[[#This Row],[DaysOff]]</f>
        <v>1</v>
      </c>
      <c r="M73" s="1">
        <f>MAX(-16, MIN(16, Games[[#This Row],[RestDiff]]*8))</f>
        <v>-8</v>
      </c>
      <c r="N73" s="1">
        <f>MAX(-16, MIN(16, Games[[#This Row],[OppRestDiff]]*8))</f>
        <v>8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1562.0635542941193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1521.662238259993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0.65112958675611843</v>
      </c>
      <c r="R73" s="1">
        <v>70</v>
      </c>
      <c r="S73" s="1">
        <v>87</v>
      </c>
      <c r="T73" s="1">
        <v>0</v>
      </c>
      <c r="U73" s="1">
        <f>Games[[#This Row],[PointsFor]]-Games[[#This Row],[PointsAgainst]]</f>
        <v>-17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0.51509981055261822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75.25</v>
      </c>
      <c r="Z73" s="4">
        <f>Games[[#This Row],[K]]*Games[[#This Row],[POMult]]</f>
        <v>75.25</v>
      </c>
      <c r="AA73" s="4">
        <f>(Games[[#This Row],[Keff]]*Games[[#This Row],[MOVMult]])*(Games[[#This Row],[Result]]-Games[[#This Row],[ExpectedWin%]])</f>
        <v>-25.238603690441913</v>
      </c>
      <c r="AB73" s="4">
        <f>Games[[#This Row],[PreGmRate]]+Games[[#This Row],[RatingChange]]</f>
        <v>1536.8249506036773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46163</v>
      </c>
      <c r="B74" s="2">
        <v>2026</v>
      </c>
      <c r="C74" s="2">
        <f>COUNTIFS(Games[Team],Games[[#This Row],[Team]],Games[Season],Games[[#This Row],[Season]],Games[Date],"&lt;=" &amp; Games[[#This Row],[Date]])</f>
        <v>5</v>
      </c>
      <c r="D74" s="2" t="s">
        <v>79</v>
      </c>
      <c r="E74" s="2" t="s">
        <v>80</v>
      </c>
      <c r="F74" s="1" t="s">
        <v>63</v>
      </c>
      <c r="G74" s="1" t="s">
        <v>40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2</v>
      </c>
      <c r="L74" s="2">
        <f>Games[[#This Row],[OppDaysOff]]-Games[[#This Row],[DaysOff]]</f>
        <v>-2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1431.906208427808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1529.5750701127729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0.29701284675854217</v>
      </c>
      <c r="R74" s="1">
        <v>97</v>
      </c>
      <c r="S74" s="1">
        <v>88</v>
      </c>
      <c r="T74" s="1">
        <v>0</v>
      </c>
      <c r="U74" s="1">
        <f>Games[[#This Row],[PointsFor]]-Games[[#This Row],[PointsAgainst]]</f>
        <v>9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0.37541613809252411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19.859432345442055</v>
      </c>
      <c r="AB74" s="4">
        <f>Games[[#This Row],[PreGmRate]]+Games[[#This Row],[RatingChange]]</f>
        <v>1451.76564077325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46163</v>
      </c>
      <c r="B75" s="2">
        <v>2026</v>
      </c>
      <c r="C75" s="2">
        <f>COUNTIFS(Games[Team],Games[[#This Row],[Team]],Games[Season],Games[[#This Row],[Season]],Games[Date],"&lt;=" &amp; Games[[#This Row],[Date]])</f>
        <v>6</v>
      </c>
      <c r="D75" s="2" t="s">
        <v>79</v>
      </c>
      <c r="E75" s="2" t="s">
        <v>80</v>
      </c>
      <c r="F75" s="1" t="s">
        <v>40</v>
      </c>
      <c r="G75" s="1" t="s">
        <v>63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5" s="2">
        <f>Games[[#This Row],[DaysOff]]-Games[[#This Row],[OppDaysOff]]</f>
        <v>-2</v>
      </c>
      <c r="L75" s="2">
        <f>Games[[#This Row],[OppDaysOff]]-Games[[#This Row],[DaysOff]]</f>
        <v>2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1529.5750701127729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1431.906208427808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0.70298715324145777</v>
      </c>
      <c r="R75" s="1">
        <v>88</v>
      </c>
      <c r="S75" s="1">
        <v>97</v>
      </c>
      <c r="T75" s="1">
        <v>0</v>
      </c>
      <c r="U75" s="1">
        <f>Games[[#This Row],[PointsFor]]-Games[[#This Row],[PointsAgainst]]</f>
        <v>-9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0.37541613809252411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-19.819845437112267</v>
      </c>
      <c r="AB75" s="4">
        <f>Games[[#This Row],[PreGmRate]]+Games[[#This Row],[RatingChange]]</f>
        <v>1509.7552246756607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46164</v>
      </c>
      <c r="B76" s="2">
        <v>2026</v>
      </c>
      <c r="C76" s="2">
        <f>COUNTIFS(Games[Team],Games[[#This Row],[Team]],Games[Season],Games[[#This Row],[Season]],Games[Date],"&lt;=" &amp; Games[[#This Row],[Date]])</f>
        <v>6</v>
      </c>
      <c r="D76" s="2" t="s">
        <v>79</v>
      </c>
      <c r="E76" s="2" t="s">
        <v>80</v>
      </c>
      <c r="F76" s="1" t="s">
        <v>84</v>
      </c>
      <c r="G76" s="1" t="s">
        <v>77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6" s="2">
        <f>Games[[#This Row],[DaysOff]]-Games[[#This Row],[OppDaysOff]]</f>
        <v>-3</v>
      </c>
      <c r="L76" s="2">
        <f>Games[[#This Row],[OppDaysOff]]-Games[[#This Row],[DaysOff]]</f>
        <v>3</v>
      </c>
      <c r="M76" s="1">
        <f>MAX(-16, MIN(16, Games[[#This Row],[RestDiff]]*8))</f>
        <v>-16</v>
      </c>
      <c r="N76" s="1">
        <f>MAX(-16, MIN(16, Games[[#This Row],[OppRestDiff]]*8))</f>
        <v>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1442.749202825858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1574.3008524207401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0.19387552365358229</v>
      </c>
      <c r="R76" s="1">
        <v>69</v>
      </c>
      <c r="S76" s="1">
        <v>86</v>
      </c>
      <c r="T76" s="1">
        <v>0</v>
      </c>
      <c r="U76" s="1">
        <f>Games[[#This Row],[PointsFor]]-Games[[#This Row],[PointsAgainst]]</f>
        <v>-17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0.47983905325248793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-6.9864814836792695</v>
      </c>
      <c r="AB76" s="4">
        <f>Games[[#This Row],[PreGmRate]]+Games[[#This Row],[RatingChange]]</f>
        <v>1435.7627213421788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46164</v>
      </c>
      <c r="B77" s="2">
        <v>2026</v>
      </c>
      <c r="C77" s="2">
        <f>COUNTIFS(Games[Team],Games[[#This Row],[Team]],Games[Season],Games[[#This Row],[Season]],Games[Date],"&lt;=" &amp; Games[[#This Row],[Date]])</f>
        <v>4</v>
      </c>
      <c r="D77" s="2" t="s">
        <v>79</v>
      </c>
      <c r="E77" s="2" t="s">
        <v>80</v>
      </c>
      <c r="F77" s="1" t="s">
        <v>77</v>
      </c>
      <c r="G77" s="1" t="s">
        <v>84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3</v>
      </c>
      <c r="L77" s="2">
        <f>Games[[#This Row],[OppDaysOff]]-Games[[#This Row],[DaysOff]]</f>
        <v>-3</v>
      </c>
      <c r="M77" s="1">
        <f>MAX(-16, MIN(16, Games[[#This Row],[RestDiff]]*8))</f>
        <v>16</v>
      </c>
      <c r="N77" s="1">
        <f>MAX(-16, MIN(16, Games[[#This Row],[OppRestDiff]]*8))</f>
        <v>-16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1574.3008524207401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1442.749202825858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0.80612447634641771</v>
      </c>
      <c r="R77" s="1">
        <v>86</v>
      </c>
      <c r="S77" s="1">
        <v>69</v>
      </c>
      <c r="T77" s="1">
        <v>0</v>
      </c>
      <c r="U77" s="1">
        <f>Games[[#This Row],[PointsFor]]-Games[[#This Row],[PointsAgainst]]</f>
        <v>17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0.47983905325248793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75.400000000000006</v>
      </c>
      <c r="Z77" s="4">
        <f>Games[[#This Row],[K]]*Games[[#This Row],[POMult]]</f>
        <v>75.400000000000006</v>
      </c>
      <c r="AA77" s="4">
        <f>(Games[[#This Row],[Keff]]*Games[[#This Row],[MOVMult]])*(Games[[#This Row],[Result]]-Games[[#This Row],[ExpectedWin%]])</f>
        <v>7.0143901979949002</v>
      </c>
      <c r="AB77" s="4">
        <f>Games[[#This Row],[PreGmRate]]+Games[[#This Row],[RatingChange]]</f>
        <v>1581.3152426187351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46164</v>
      </c>
      <c r="B78" s="2">
        <v>2026</v>
      </c>
      <c r="C78" s="2">
        <f>COUNTIFS(Games[Team],Games[[#This Row],[Team]],Games[Season],Games[[#This Row],[Season]],Games[Date],"&lt;=" &amp; Games[[#This Row],[Date]])</f>
        <v>5</v>
      </c>
      <c r="D78" s="2" t="s">
        <v>79</v>
      </c>
      <c r="E78" s="2" t="s">
        <v>80</v>
      </c>
      <c r="F78" s="1" t="s">
        <v>87</v>
      </c>
      <c r="G78" s="1" t="s">
        <v>69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1546.9511514594524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1548.8734867239964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0.35738960068687731</v>
      </c>
      <c r="R78" s="1">
        <v>82</v>
      </c>
      <c r="S78" s="1">
        <v>90</v>
      </c>
      <c r="T78" s="1">
        <v>0</v>
      </c>
      <c r="U78" s="1">
        <f>Games[[#This Row],[PointsFor]]-Games[[#This Row],[PointsAgainst]]</f>
        <v>-8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0.38769446937771096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75.25</v>
      </c>
      <c r="Z78" s="4">
        <f>Games[[#This Row],[K]]*Games[[#This Row],[POMult]]</f>
        <v>75.25</v>
      </c>
      <c r="AA78" s="4">
        <f>(Games[[#This Row],[Keff]]*Games[[#This Row],[MOVMult]])*(Games[[#This Row],[Result]]-Games[[#This Row],[ExpectedWin%]])</f>
        <v>-10.426487362855671</v>
      </c>
      <c r="AB78" s="4">
        <f>Games[[#This Row],[PreGmRate]]+Games[[#This Row],[RatingChange]]</f>
        <v>1536.5246640965968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46164</v>
      </c>
      <c r="B79" s="2">
        <v>2026</v>
      </c>
      <c r="C79" s="2">
        <f>COUNTIFS(Games[Team],Games[[#This Row],[Team]],Games[Season],Games[[#This Row],[Season]],Games[Date],"&lt;=" &amp; Games[[#This Row],[Date]])</f>
        <v>6</v>
      </c>
      <c r="D79" s="2" t="s">
        <v>79</v>
      </c>
      <c r="E79" s="2" t="s">
        <v>80</v>
      </c>
      <c r="F79" s="1" t="s">
        <v>69</v>
      </c>
      <c r="G79" s="1" t="s">
        <v>87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1548.8734867239964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1546.9511514594524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0.6426103993131228</v>
      </c>
      <c r="R79" s="1">
        <v>90</v>
      </c>
      <c r="S79" s="1">
        <v>82</v>
      </c>
      <c r="T79" s="1">
        <v>0</v>
      </c>
      <c r="U79" s="1">
        <f>Games[[#This Row],[PointsFor]]-Games[[#This Row],[PointsAgainst]]</f>
        <v>8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0.38769446937771096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10.405703667115754</v>
      </c>
      <c r="AB79" s="4">
        <f>Games[[#This Row],[PreGmRate]]+Games[[#This Row],[RatingChange]]</f>
        <v>1559.2791903911123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46164</v>
      </c>
      <c r="B80" s="2">
        <v>2026</v>
      </c>
      <c r="C80" s="2">
        <f>COUNTIFS(Games[Team],Games[[#This Row],[Team]],Games[Season],Games[[#This Row],[Season]],Games[Date],"&lt;=" &amp; Games[[#This Row],[Date]])</f>
        <v>7</v>
      </c>
      <c r="D80" s="2" t="s">
        <v>79</v>
      </c>
      <c r="E80" s="2" t="s">
        <v>80</v>
      </c>
      <c r="F80" s="1" t="s">
        <v>74</v>
      </c>
      <c r="G80" s="1" t="s">
        <v>71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1390.2426098594551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1459.3594827568606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0.29288535181469411</v>
      </c>
      <c r="R80" s="1">
        <v>59</v>
      </c>
      <c r="S80" s="1">
        <v>77</v>
      </c>
      <c r="T80" s="1">
        <v>0</v>
      </c>
      <c r="U80" s="1">
        <f>Games[[#This Row],[PointsFor]]-Games[[#This Row],[PointsAgainst]]</f>
        <v>-18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0.51705302526903862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-11.350222428097435</v>
      </c>
      <c r="AB80" s="4">
        <f>Games[[#This Row],[PreGmRate]]+Games[[#This Row],[RatingChange]]</f>
        <v>1378.8923874313577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46164</v>
      </c>
      <c r="B81" s="2">
        <v>2026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71</v>
      </c>
      <c r="G81" s="1" t="s">
        <v>74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1459.3594827568606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1390.2426098594551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0.70711464818530578</v>
      </c>
      <c r="R81" s="1">
        <v>77</v>
      </c>
      <c r="S81" s="1">
        <v>59</v>
      </c>
      <c r="T81" s="1">
        <v>0</v>
      </c>
      <c r="U81" s="1">
        <f>Games[[#This Row],[PointsFor]]-Games[[#This Row],[PointsAgainst]]</f>
        <v>18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0.51705302526903862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11.372938016679353</v>
      </c>
      <c r="AB81" s="4">
        <f>Games[[#This Row],[PreGmRate]]+Games[[#This Row],[RatingChange]]</f>
        <v>1470.7324207735401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46165</v>
      </c>
      <c r="B82" s="2">
        <v>2026</v>
      </c>
      <c r="C82" s="2">
        <f>COUNTIFS(Games[Team],Games[[#This Row],[Team]],Games[Season],Games[[#This Row],[Season]],Games[Date],"&lt;=" &amp; Games[[#This Row],[Date]])</f>
        <v>6</v>
      </c>
      <c r="D82" s="2" t="s">
        <v>79</v>
      </c>
      <c r="E82" s="2" t="s">
        <v>80</v>
      </c>
      <c r="F82" s="1" t="s">
        <v>67</v>
      </c>
      <c r="G82" s="1" t="s">
        <v>75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1585.9301805575615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1429.2988294696529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0.58078488802796902</v>
      </c>
      <c r="R82" s="1">
        <v>85</v>
      </c>
      <c r="S82" s="1">
        <v>75</v>
      </c>
      <c r="T82" s="1">
        <v>0</v>
      </c>
      <c r="U82" s="1">
        <f>Games[[#This Row],[PointsFor]]-Games[[#This Row],[PointsAgainst]]</f>
        <v>10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0.37427679877187109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11.783377006936812</v>
      </c>
      <c r="AB82" s="4">
        <f>Games[[#This Row],[PreGmRate]]+Games[[#This Row],[RatingChange]]</f>
        <v>1597.7135575644984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46165</v>
      </c>
      <c r="B83" s="2">
        <v>2026</v>
      </c>
      <c r="C83" s="2">
        <f>COUNTIFS(Games[Team],Games[[#This Row],[Team]],Games[Season],Games[[#This Row],[Season]],Games[Date],"&lt;=" &amp; Games[[#This Row],[Date]])</f>
        <v>6</v>
      </c>
      <c r="D83" s="2" t="s">
        <v>79</v>
      </c>
      <c r="E83" s="2" t="s">
        <v>80</v>
      </c>
      <c r="F83" s="1" t="s">
        <v>75</v>
      </c>
      <c r="G83" s="1" t="s">
        <v>67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1429.2988294696529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1585.9301805575615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0.41921511197203104</v>
      </c>
      <c r="R83" s="1">
        <v>75</v>
      </c>
      <c r="S83" s="1">
        <v>85</v>
      </c>
      <c r="T83" s="1">
        <v>0</v>
      </c>
      <c r="U83" s="1">
        <f>Games[[#This Row],[PointsFor]]-Games[[#This Row],[PointsAgainst]]</f>
        <v>-10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0.37427679877187109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75.099999999999994</v>
      </c>
      <c r="Z83" s="4">
        <f>Games[[#This Row],[K]]*Games[[#This Row],[POMult]]</f>
        <v>75.099999999999994</v>
      </c>
      <c r="AA83" s="4">
        <f>(Games[[#This Row],[Keff]]*Games[[#This Row],[MOVMult]])*(Games[[#This Row],[Result]]-Games[[#This Row],[ExpectedWin%]])</f>
        <v>-11.783377006936814</v>
      </c>
      <c r="AB83" s="4">
        <f>Games[[#This Row],[PreGmRate]]+Games[[#This Row],[RatingChange]]</f>
        <v>1417.515452462716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46165</v>
      </c>
      <c r="B84" s="2">
        <v>2026</v>
      </c>
      <c r="C84" s="2">
        <f>COUNTIFS(Games[Team],Games[[#This Row],[Team]],Games[Season],Games[[#This Row],[Season]],Games[Date],"&lt;=" &amp; Games[[#This Row],[Date]])</f>
        <v>6</v>
      </c>
      <c r="D84" s="2" t="s">
        <v>79</v>
      </c>
      <c r="E84" s="2" t="s">
        <v>80</v>
      </c>
      <c r="F84" s="1" t="s">
        <v>63</v>
      </c>
      <c r="G84" s="1" t="s">
        <v>85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4" s="2">
        <f>Games[[#This Row],[DaysOff]]-Games[[#This Row],[OppDaysOff]]</f>
        <v>-4</v>
      </c>
      <c r="L84" s="2">
        <f>Games[[#This Row],[OppDaysOff]]-Games[[#This Row],[DaysOff]]</f>
        <v>4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1451.76564077325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1631.8308244499749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0.15390603149786372</v>
      </c>
      <c r="R84" s="1">
        <v>101</v>
      </c>
      <c r="S84" s="1">
        <v>95</v>
      </c>
      <c r="T84" s="1">
        <v>0</v>
      </c>
      <c r="U84" s="1">
        <f>Games[[#This Row],[PointsFor]]-Games[[#This Row],[PointsAgainst]]</f>
        <v>6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0.30544710372748118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75.099999999999994</v>
      </c>
      <c r="Z84" s="4">
        <f>Games[[#This Row],[K]]*Games[[#This Row],[POMult]]</f>
        <v>75.099999999999994</v>
      </c>
      <c r="AA84" s="4">
        <f>(Games[[#This Row],[Keff]]*Games[[#This Row],[MOVMult]])*(Games[[#This Row],[Result]]-Games[[#This Row],[ExpectedWin%]])</f>
        <v>19.408615107236141</v>
      </c>
      <c r="AB84" s="4">
        <f>Games[[#This Row],[PreGmRate]]+Games[[#This Row],[RatingChange]]</f>
        <v>1471.174255880486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46165</v>
      </c>
      <c r="B85" s="2">
        <v>2026</v>
      </c>
      <c r="C85" s="2">
        <f>COUNTIFS(Games[Team],Games[[#This Row],[Team]],Games[Season],Games[[#This Row],[Season]],Games[Date],"&lt;=" &amp; Games[[#This Row],[Date]])</f>
        <v>6</v>
      </c>
      <c r="D85" s="2" t="s">
        <v>79</v>
      </c>
      <c r="E85" s="2" t="s">
        <v>80</v>
      </c>
      <c r="F85" s="1" t="s">
        <v>85</v>
      </c>
      <c r="G85" s="1" t="s">
        <v>63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5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4</v>
      </c>
      <c r="L85" s="2">
        <f>Games[[#This Row],[OppDaysOff]]-Games[[#This Row],[DaysOff]]</f>
        <v>-4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1631.8308244499749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1451.76564077325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0.84609396850213625</v>
      </c>
      <c r="R85" s="1">
        <v>95</v>
      </c>
      <c r="S85" s="1">
        <v>101</v>
      </c>
      <c r="T85" s="1">
        <v>0</v>
      </c>
      <c r="U85" s="1">
        <f>Games[[#This Row],[PointsFor]]-Games[[#This Row],[PointsAgainst]]</f>
        <v>-6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0.30544710372748118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-19.408615107236141</v>
      </c>
      <c r="AB85" s="4">
        <f>Games[[#This Row],[PreGmRate]]+Games[[#This Row],[RatingChange]]</f>
        <v>1612.4222093427388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46165</v>
      </c>
      <c r="B86" s="2">
        <v>2026</v>
      </c>
      <c r="C86" s="2">
        <f>COUNTIFS(Games[Team],Games[[#This Row],[Team]],Games[Season],Games[[#This Row],[Season]],Games[Date],"&lt;=" &amp; Games[[#This Row],[Date]])</f>
        <v>6</v>
      </c>
      <c r="D86" s="2" t="s">
        <v>79</v>
      </c>
      <c r="E86" s="2" t="s">
        <v>80</v>
      </c>
      <c r="F86" s="1" t="s">
        <v>89</v>
      </c>
      <c r="G86" s="1" t="s">
        <v>90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1</v>
      </c>
      <c r="L86" s="2">
        <f>Games[[#This Row],[OppDaysOff]]-Games[[#This Row],[DaysOff]]</f>
        <v>-1</v>
      </c>
      <c r="M86" s="1">
        <f>MAX(-16, MIN(16, Games[[#This Row],[RestDiff]]*8))</f>
        <v>8</v>
      </c>
      <c r="N86" s="1">
        <f>MAX(-16, MIN(16, Games[[#This Row],[OppRestDiff]]*8))</f>
        <v>-8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1455.7443309803252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1511.2666549496373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0.32936650463371531</v>
      </c>
      <c r="R86" s="1">
        <v>99</v>
      </c>
      <c r="S86" s="1">
        <v>80</v>
      </c>
      <c r="T86" s="1">
        <v>0</v>
      </c>
      <c r="U86" s="1">
        <f>Games[[#This Row],[PointsFor]]-Games[[#This Row],[PointsAgainst]]</f>
        <v>19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0.53616974737613166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27.003961723617728</v>
      </c>
      <c r="AB86" s="4">
        <f>Games[[#This Row],[PreGmRate]]+Games[[#This Row],[RatingChange]]</f>
        <v>1482.748292703943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46165</v>
      </c>
      <c r="B87" s="2">
        <v>2026</v>
      </c>
      <c r="C87" s="2">
        <f>COUNTIFS(Games[Team],Games[[#This Row],[Team]],Games[Season],Games[[#This Row],[Season]],Games[Date],"&lt;=" &amp; Games[[#This Row],[Date]])</f>
        <v>7</v>
      </c>
      <c r="D87" s="2" t="s">
        <v>79</v>
      </c>
      <c r="E87" s="2" t="s">
        <v>80</v>
      </c>
      <c r="F87" s="1" t="s">
        <v>90</v>
      </c>
      <c r="G87" s="1" t="s">
        <v>89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-1</v>
      </c>
      <c r="L87" s="2">
        <f>Games[[#This Row],[OppDaysOff]]-Games[[#This Row],[DaysOff]]</f>
        <v>1</v>
      </c>
      <c r="M87" s="1">
        <f>MAX(-16, MIN(16, Games[[#This Row],[RestDiff]]*8))</f>
        <v>-8</v>
      </c>
      <c r="N87" s="1">
        <f>MAX(-16, MIN(16, Games[[#This Row],[OppRestDiff]]*8))</f>
        <v>8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1511.2666549496373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1455.7443309803252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0.67063349536628469</v>
      </c>
      <c r="R87" s="1">
        <v>80</v>
      </c>
      <c r="S87" s="1">
        <v>99</v>
      </c>
      <c r="T87" s="1">
        <v>0</v>
      </c>
      <c r="U87" s="1">
        <f>Games[[#This Row],[PointsFor]]-Games[[#This Row],[PointsAgainst]]</f>
        <v>-19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0.53616974737613166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-26.950025714848852</v>
      </c>
      <c r="AB87" s="4">
        <f>Games[[#This Row],[PreGmRate]]+Games[[#This Row],[RatingChange]]</f>
        <v>1484.3166292347885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46166</v>
      </c>
      <c r="B88" s="2">
        <v>2026</v>
      </c>
      <c r="C88" s="2">
        <f>COUNTIFS(Games[Team],Games[[#This Row],[Team]],Games[Season],Games[[#This Row],[Season]],Games[Date],"&lt;=" &amp; Games[[#This Row],[Date]])</f>
        <v>7</v>
      </c>
      <c r="D88" s="2" t="s">
        <v>79</v>
      </c>
      <c r="E88" s="2" t="s">
        <v>80</v>
      </c>
      <c r="F88" s="1" t="s">
        <v>40</v>
      </c>
      <c r="G88" s="1" t="s">
        <v>77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1</v>
      </c>
      <c r="L88" s="2">
        <f>Games[[#This Row],[OppDaysOff]]-Games[[#This Row],[DaysOff]]</f>
        <v>-1</v>
      </c>
      <c r="M88" s="1">
        <f>MAX(-16, MIN(16, Games[[#This Row],[RestDiff]]*8))</f>
        <v>8</v>
      </c>
      <c r="N88" s="1">
        <f>MAX(-16, MIN(16, Games[[#This Row],[OppRestDiff]]*8))</f>
        <v>-8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1509.7552246756607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1581.3152426187351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0.30930466880242613</v>
      </c>
      <c r="R88" s="1">
        <v>80</v>
      </c>
      <c r="S88" s="1">
        <v>82</v>
      </c>
      <c r="T88" s="1">
        <v>0</v>
      </c>
      <c r="U88" s="1">
        <f>Games[[#This Row],[PointsFor]]-Games[[#This Row],[PointsAgainst]]</f>
        <v>-2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0.25276792320942004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-5.8597632929738976</v>
      </c>
      <c r="AB88" s="4">
        <f>Games[[#This Row],[PreGmRate]]+Games[[#This Row],[RatingChange]]</f>
        <v>1503.8954613826868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46166</v>
      </c>
      <c r="B89" s="2">
        <v>2026</v>
      </c>
      <c r="C89" s="2">
        <f>COUNTIFS(Games[Team],Games[[#This Row],[Team]],Games[Season],Games[[#This Row],[Season]],Games[Date],"&lt;=" &amp; Games[[#This Row],[Date]])</f>
        <v>5</v>
      </c>
      <c r="D89" s="2" t="s">
        <v>79</v>
      </c>
      <c r="E89" s="2" t="s">
        <v>80</v>
      </c>
      <c r="F89" s="1" t="s">
        <v>77</v>
      </c>
      <c r="G89" s="1" t="s">
        <v>40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9" s="2">
        <f>Games[[#This Row],[DaysOff]]-Games[[#This Row],[OppDaysOff]]</f>
        <v>-1</v>
      </c>
      <c r="L89" s="2">
        <f>Games[[#This Row],[OppDaysOff]]-Games[[#This Row],[DaysOff]]</f>
        <v>1</v>
      </c>
      <c r="M89" s="1">
        <f>MAX(-16, MIN(16, Games[[#This Row],[RestDiff]]*8))</f>
        <v>-8</v>
      </c>
      <c r="N89" s="1">
        <f>MAX(-16, MIN(16, Games[[#This Row],[OppRestDiff]]*8))</f>
        <v>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1581.3152426187351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1509.7552246756607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0.69069533119757387</v>
      </c>
      <c r="R89" s="1">
        <v>82</v>
      </c>
      <c r="S89" s="1">
        <v>80</v>
      </c>
      <c r="T89" s="1">
        <v>0</v>
      </c>
      <c r="U89" s="1">
        <f>Games[[#This Row],[PointsFor]]-Games[[#This Row],[PointsAgainst]]</f>
        <v>2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0.25276792320942004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75.25</v>
      </c>
      <c r="Z89" s="4">
        <f>Games[[#This Row],[K]]*Games[[#This Row],[POMult]]</f>
        <v>75.25</v>
      </c>
      <c r="AA89" s="4">
        <f>(Games[[#This Row],[Keff]]*Games[[#This Row],[MOVMult]])*(Games[[#This Row],[Result]]-Games[[#This Row],[ExpectedWin%]])</f>
        <v>5.8832179826055473</v>
      </c>
      <c r="AB89" s="4">
        <f>Games[[#This Row],[PreGmRate]]+Games[[#This Row],[RatingChange]]</f>
        <v>1587.1984606013407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46166</v>
      </c>
      <c r="B90" s="2">
        <v>2026</v>
      </c>
      <c r="C90" s="2">
        <f>COUNTIFS(Games[Team],Games[[#This Row],[Team]],Games[Season],Games[[#This Row],[Season]],Games[Date],"&lt;=" &amp; Games[[#This Row],[Date]])</f>
        <v>7</v>
      </c>
      <c r="D90" s="2" t="s">
        <v>79</v>
      </c>
      <c r="E90" s="2" t="s">
        <v>80</v>
      </c>
      <c r="F90" s="1" t="s">
        <v>84</v>
      </c>
      <c r="G90" s="1" t="s">
        <v>60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1435.7627213421788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1536.8249506036773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0.239138724214391</v>
      </c>
      <c r="R90" s="1">
        <v>91</v>
      </c>
      <c r="S90" s="1">
        <v>76</v>
      </c>
      <c r="T90" s="1">
        <v>0</v>
      </c>
      <c r="U90" s="1">
        <f>Games[[#This Row],[PointsFor]]-Games[[#This Row],[PointsAgainst]]</f>
        <v>15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0.46378844922508028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26.44825640434318</v>
      </c>
      <c r="AB90" s="4">
        <f>Games[[#This Row],[PreGmRate]]+Games[[#This Row],[RatingChange]]</f>
        <v>1462.2109777465221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46166</v>
      </c>
      <c r="B91" s="2">
        <v>2026</v>
      </c>
      <c r="C91" s="2">
        <f>COUNTIFS(Games[Team],Games[[#This Row],[Team]],Games[Season],Games[[#This Row],[Season]],Games[Date],"&lt;=" &amp; Games[[#This Row],[Date]])</f>
        <v>6</v>
      </c>
      <c r="D91" s="2" t="s">
        <v>79</v>
      </c>
      <c r="E91" s="2" t="s">
        <v>80</v>
      </c>
      <c r="F91" s="1" t="s">
        <v>60</v>
      </c>
      <c r="G91" s="1" t="s">
        <v>84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1536.8249506036773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1435.7627213421788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0.76086127578560903</v>
      </c>
      <c r="R91" s="1">
        <v>76</v>
      </c>
      <c r="S91" s="1">
        <v>91</v>
      </c>
      <c r="T91" s="1">
        <v>0</v>
      </c>
      <c r="U91" s="1">
        <f>Games[[#This Row],[PointsFor]]-Games[[#This Row],[PointsAgainst]]</f>
        <v>-15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0.46378844922508028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-26.50118820501898</v>
      </c>
      <c r="AB91" s="4">
        <f>Games[[#This Row],[PreGmRate]]+Games[[#This Row],[RatingChange]]</f>
        <v>1510.3237623986583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46166</v>
      </c>
      <c r="B92" s="2">
        <v>2026</v>
      </c>
      <c r="C92" s="2">
        <f>COUNTIFS(Games[Team],Games[[#This Row],[Team]],Games[Season],Games[[#This Row],[Season]],Games[Date],"&lt;=" &amp; Games[[#This Row],[Date]])</f>
        <v>5</v>
      </c>
      <c r="D92" s="2" t="s">
        <v>79</v>
      </c>
      <c r="E92" s="2" t="s">
        <v>80</v>
      </c>
      <c r="F92" s="1" t="s">
        <v>65</v>
      </c>
      <c r="G92" s="1" t="s">
        <v>71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5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4</v>
      </c>
      <c r="L92" s="2">
        <f>Games[[#This Row],[OppDaysOff]]-Games[[#This Row],[DaysOff]]</f>
        <v>-4</v>
      </c>
      <c r="M92" s="1">
        <f>MAX(-16, MIN(16, Games[[#This Row],[RestDiff]]*8))</f>
        <v>16</v>
      </c>
      <c r="N92" s="1">
        <f>MAX(-16, MIN(16, Games[[#This Row],[OppRestDiff]]*8))</f>
        <v>-16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1424.6078005135364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1470.7324207735401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0.36242584137660944</v>
      </c>
      <c r="R92" s="1">
        <v>85</v>
      </c>
      <c r="S92" s="1">
        <v>97</v>
      </c>
      <c r="T92" s="1">
        <v>0</v>
      </c>
      <c r="U92" s="1">
        <f>Games[[#This Row],[PointsFor]]-Games[[#This Row],[PointsAgainst]]</f>
        <v>-12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0.43924606158382717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75.25</v>
      </c>
      <c r="Z92" s="4">
        <f>Games[[#This Row],[K]]*Games[[#This Row],[POMult]]</f>
        <v>75.25</v>
      </c>
      <c r="AA92" s="4">
        <f>(Games[[#This Row],[Keff]]*Games[[#This Row],[MOVMult]])*(Games[[#This Row],[Result]]-Games[[#This Row],[ExpectedWin%]])</f>
        <v>-11.979357788926263</v>
      </c>
      <c r="AB92" s="4">
        <f>Games[[#This Row],[PreGmRate]]+Games[[#This Row],[RatingChange]]</f>
        <v>1412.6284427246101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46166</v>
      </c>
      <c r="B93" s="2">
        <v>2026</v>
      </c>
      <c r="C93" s="2">
        <f>COUNTIFS(Games[Team],Games[[#This Row],[Team]],Games[Season],Games[[#This Row],[Season]],Games[Date],"&lt;=" &amp; Games[[#This Row],[Date]])</f>
        <v>7</v>
      </c>
      <c r="D93" s="2" t="s">
        <v>79</v>
      </c>
      <c r="E93" s="2" t="s">
        <v>80</v>
      </c>
      <c r="F93" s="1" t="s">
        <v>71</v>
      </c>
      <c r="G93" s="1" t="s">
        <v>65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3" s="2">
        <f>Games[[#This Row],[DaysOff]]-Games[[#This Row],[OppDaysOff]]</f>
        <v>-4</v>
      </c>
      <c r="L93" s="2">
        <f>Games[[#This Row],[OppDaysOff]]-Games[[#This Row],[DaysOff]]</f>
        <v>4</v>
      </c>
      <c r="M93" s="1">
        <f>MAX(-16, MIN(16, Games[[#This Row],[RestDiff]]*8))</f>
        <v>-16</v>
      </c>
      <c r="N93" s="1">
        <f>MAX(-16, MIN(16, Games[[#This Row],[OppRestDiff]]*8))</f>
        <v>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1470.7324207735401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1424.6078005135364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0.63757415862339062</v>
      </c>
      <c r="R93" s="1">
        <v>97</v>
      </c>
      <c r="S93" s="1">
        <v>85</v>
      </c>
      <c r="T93" s="1">
        <v>0</v>
      </c>
      <c r="U93" s="1">
        <f>Games[[#This Row],[PointsFor]]-Games[[#This Row],[PointsAgainst]]</f>
        <v>12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0.43924606158382717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11.931599551893996</v>
      </c>
      <c r="AB93" s="4">
        <f>Games[[#This Row],[PreGmRate]]+Games[[#This Row],[RatingChange]]</f>
        <v>1482.664020325434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46167</v>
      </c>
      <c r="B94" s="2">
        <v>2026</v>
      </c>
      <c r="C94" s="2">
        <f>COUNTIFS(Games[Team],Games[[#This Row],[Team]],Games[Season],Games[[#This Row],[Season]],Games[Date],"&lt;=" &amp; Games[[#This Row],[Date]])</f>
        <v>8</v>
      </c>
      <c r="D94" s="2" t="s">
        <v>79</v>
      </c>
      <c r="E94" s="2" t="s">
        <v>80</v>
      </c>
      <c r="F94" s="1" t="s">
        <v>74</v>
      </c>
      <c r="G94" s="1" t="s">
        <v>87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1378.8923874313577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1536.5246640965968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0.19925658552147171</v>
      </c>
      <c r="R94" s="1">
        <v>70</v>
      </c>
      <c r="S94" s="1">
        <v>97</v>
      </c>
      <c r="T94" s="1">
        <v>0</v>
      </c>
      <c r="U94" s="1">
        <f>Games[[#This Row],[PointsFor]]-Games[[#This Row],[PointsAgainst]]</f>
        <v>-27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0.58926118194909527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-8.7825799979451507</v>
      </c>
      <c r="AB94" s="4">
        <f>Games[[#This Row],[PreGmRate]]+Games[[#This Row],[RatingChange]]</f>
        <v>1370.1098074334127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46167</v>
      </c>
      <c r="B95" s="2">
        <v>2026</v>
      </c>
      <c r="C95" s="2">
        <f>COUNTIFS(Games[Team],Games[[#This Row],[Team]],Games[Season],Games[[#This Row],[Season]],Games[Date],"&lt;=" &amp; Games[[#This Row],[Date]])</f>
        <v>6</v>
      </c>
      <c r="D95" s="2" t="s">
        <v>79</v>
      </c>
      <c r="E95" s="2" t="s">
        <v>80</v>
      </c>
      <c r="F95" s="1" t="s">
        <v>87</v>
      </c>
      <c r="G95" s="1" t="s">
        <v>74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1536.5246640965968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1378.8923874313577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0.80074341447852826</v>
      </c>
      <c r="R95" s="1">
        <v>97</v>
      </c>
      <c r="S95" s="1">
        <v>70</v>
      </c>
      <c r="T95" s="1">
        <v>0</v>
      </c>
      <c r="U95" s="1">
        <f>Games[[#This Row],[PointsFor]]-Games[[#This Row],[PointsAgainst]]</f>
        <v>27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0.58926118194909527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75.099999999999994</v>
      </c>
      <c r="Z95" s="4">
        <f>Games[[#This Row],[K]]*Games[[#This Row],[POMult]]</f>
        <v>75.099999999999994</v>
      </c>
      <c r="AA95" s="4">
        <f>(Games[[#This Row],[Keff]]*Games[[#This Row],[MOVMult]])*(Games[[#This Row],[Result]]-Games[[#This Row],[ExpectedWin%]])</f>
        <v>8.8178042492738076</v>
      </c>
      <c r="AB95" s="4">
        <f>Games[[#This Row],[PreGmRate]]+Games[[#This Row],[RatingChange]]</f>
        <v>1545.3424683458707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46167</v>
      </c>
      <c r="B96" s="2">
        <v>2026</v>
      </c>
      <c r="C96" s="2">
        <f>COUNTIFS(Games[Team],Games[[#This Row],[Team]],Games[Season],Games[[#This Row],[Season]],Games[Date],"&lt;=" &amp; Games[[#This Row],[Date]])</f>
        <v>7</v>
      </c>
      <c r="D96" s="2" t="s">
        <v>79</v>
      </c>
      <c r="E96" s="2" t="s">
        <v>80</v>
      </c>
      <c r="F96" s="1" t="s">
        <v>89</v>
      </c>
      <c r="G96" s="1" t="s">
        <v>60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6" s="2">
        <f>Games[[#This Row],[DaysOff]]-Games[[#This Row],[OppDaysOff]]</f>
        <v>1</v>
      </c>
      <c r="L96" s="2">
        <f>Games[[#This Row],[OppDaysOff]]-Games[[#This Row],[DaysOff]]</f>
        <v>-1</v>
      </c>
      <c r="M96" s="1">
        <f>MAX(-16, MIN(16, Games[[#This Row],[RestDiff]]*8))</f>
        <v>8</v>
      </c>
      <c r="N96" s="1">
        <f>MAX(-16, MIN(16, Games[[#This Row],[OppRestDiff]]*8))</f>
        <v>-8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1482.748292703943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1510.3237623986583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0.36582343058068562</v>
      </c>
      <c r="R96" s="1">
        <v>81</v>
      </c>
      <c r="S96" s="1">
        <v>74</v>
      </c>
      <c r="T96" s="1">
        <v>0</v>
      </c>
      <c r="U96" s="1">
        <f>Games[[#This Row],[PointsFor]]-Games[[#This Row],[PointsAgainst]]</f>
        <v>7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0.36179332183546642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74.95</v>
      </c>
      <c r="Z96" s="4">
        <f>Games[[#This Row],[K]]*Games[[#This Row],[POMult]]</f>
        <v>74.95</v>
      </c>
      <c r="AA96" s="4">
        <f>(Games[[#This Row],[Keff]]*Games[[#This Row],[MOVMult]])*(Games[[#This Row],[Result]]-Games[[#This Row],[ExpectedWin%]])</f>
        <v>17.19659153364853</v>
      </c>
      <c r="AB96" s="4">
        <f>Games[[#This Row],[PreGmRate]]+Games[[#This Row],[RatingChange]]</f>
        <v>1499.9448842375914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46167</v>
      </c>
      <c r="B97" s="2">
        <v>2026</v>
      </c>
      <c r="C97" s="2">
        <f>COUNTIFS(Games[Team],Games[[#This Row],[Team]],Games[Season],Games[[#This Row],[Season]],Games[Date],"&lt;=" &amp; Games[[#This Row],[Date]])</f>
        <v>7</v>
      </c>
      <c r="D97" s="2" t="s">
        <v>79</v>
      </c>
      <c r="E97" s="2" t="s">
        <v>80</v>
      </c>
      <c r="F97" s="1" t="s">
        <v>60</v>
      </c>
      <c r="G97" s="1" t="s">
        <v>89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-1</v>
      </c>
      <c r="L97" s="2">
        <f>Games[[#This Row],[OppDaysOff]]-Games[[#This Row],[DaysOff]]</f>
        <v>1</v>
      </c>
      <c r="M97" s="1">
        <f>MAX(-16, MIN(16, Games[[#This Row],[RestDiff]]*8))</f>
        <v>-8</v>
      </c>
      <c r="N97" s="1">
        <f>MAX(-16, MIN(16, Games[[#This Row],[OppRestDiff]]*8))</f>
        <v>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1510.3237623986583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1482.748292703943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0.63417656941931433</v>
      </c>
      <c r="R97" s="1">
        <v>74</v>
      </c>
      <c r="S97" s="1">
        <v>81</v>
      </c>
      <c r="T97" s="1">
        <v>0</v>
      </c>
      <c r="U97" s="1">
        <f>Games[[#This Row],[PointsFor]]-Games[[#This Row],[PointsAgainst]]</f>
        <v>-7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0.36179332183546642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-17.19659153364853</v>
      </c>
      <c r="AB97" s="4">
        <f>Games[[#This Row],[PreGmRate]]+Games[[#This Row],[RatingChange]]</f>
        <v>1493.1271708650097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46169</v>
      </c>
      <c r="B98" s="2">
        <v>2026</v>
      </c>
      <c r="C98" s="2">
        <f>COUNTIFS(Games[Team],Games[[#This Row],[Team]],Games[Season],Games[[#This Row],[Season]],Games[Date],"&lt;=" &amp; Games[[#This Row],[Date]])</f>
        <v>8</v>
      </c>
      <c r="D98" s="2" t="s">
        <v>79</v>
      </c>
      <c r="E98" s="2" t="s">
        <v>80</v>
      </c>
      <c r="F98" s="1" t="s">
        <v>90</v>
      </c>
      <c r="G98" s="1" t="s">
        <v>75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1484.3166292347885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1417.515452462716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0.47526910121309146</v>
      </c>
      <c r="R98" s="1">
        <v>111</v>
      </c>
      <c r="S98" s="1">
        <v>104</v>
      </c>
      <c r="T98" s="1">
        <v>0</v>
      </c>
      <c r="U98" s="1">
        <f>Games[[#This Row],[PointsFor]]-Games[[#This Row],[PointsAgainst]]</f>
        <v>7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0.35059061763446187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13.760636596339625</v>
      </c>
      <c r="AB98" s="4">
        <f>Games[[#This Row],[PreGmRate]]+Games[[#This Row],[RatingChange]]</f>
        <v>1498.0772658311282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46169</v>
      </c>
      <c r="B99" s="2">
        <v>2026</v>
      </c>
      <c r="C99" s="2">
        <f>COUNTIFS(Games[Team],Games[[#This Row],[Team]],Games[Season],Games[[#This Row],[Season]],Games[Date],"&lt;=" &amp; Games[[#This Row],[Date]])</f>
        <v>7</v>
      </c>
      <c r="D99" s="2" t="s">
        <v>79</v>
      </c>
      <c r="E99" s="2" t="s">
        <v>80</v>
      </c>
      <c r="F99" s="1" t="s">
        <v>75</v>
      </c>
      <c r="G99" s="1" t="s">
        <v>90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1417.515452462716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1484.3166292347885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0.52473089878690859</v>
      </c>
      <c r="R99" s="1">
        <v>104</v>
      </c>
      <c r="S99" s="1">
        <v>111</v>
      </c>
      <c r="T99" s="1">
        <v>0</v>
      </c>
      <c r="U99" s="1">
        <f>Games[[#This Row],[PointsFor]]-Games[[#This Row],[PointsAgainst]]</f>
        <v>-7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0.35059061763446187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74.95</v>
      </c>
      <c r="Z99" s="4">
        <f>Games[[#This Row],[K]]*Games[[#This Row],[POMult]]</f>
        <v>74.95</v>
      </c>
      <c r="AA99" s="4">
        <f>(Games[[#This Row],[Keff]]*Games[[#This Row],[MOVMult]])*(Games[[#This Row],[Result]]-Games[[#This Row],[ExpectedWin%]])</f>
        <v>-13.788231455824265</v>
      </c>
      <c r="AB99" s="4">
        <f>Games[[#This Row],[PreGmRate]]+Games[[#This Row],[RatingChange]]</f>
        <v>1403.7272210068918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46169</v>
      </c>
      <c r="B100" s="2">
        <v>2026</v>
      </c>
      <c r="C100" s="2">
        <f>COUNTIFS(Games[Team],Games[[#This Row],[Team]],Games[Season],Games[[#This Row],[Season]],Games[Date],"&lt;=" &amp; Games[[#This Row],[Date]])</f>
        <v>6</v>
      </c>
      <c r="D100" s="2" t="s">
        <v>79</v>
      </c>
      <c r="E100" s="2" t="s">
        <v>80</v>
      </c>
      <c r="F100" s="1" t="s">
        <v>77</v>
      </c>
      <c r="G100" s="1" t="s">
        <v>67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-1</v>
      </c>
      <c r="L100" s="2">
        <f>Games[[#This Row],[OppDaysOff]]-Games[[#This Row],[DaysOff]]</f>
        <v>1</v>
      </c>
      <c r="M100" s="1">
        <f>MAX(-16, MIN(16, Games[[#This Row],[RestDiff]]*8))</f>
        <v>-8</v>
      </c>
      <c r="N100" s="1">
        <f>MAX(-16, MIN(16, Games[[#This Row],[OppRestDiff]]*8))</f>
        <v>8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1587.1984606013407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1597.7135575644984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0.34611146222747308</v>
      </c>
      <c r="R100" s="1">
        <v>81</v>
      </c>
      <c r="S100" s="1">
        <v>96</v>
      </c>
      <c r="T100" s="1">
        <v>0</v>
      </c>
      <c r="U100" s="1">
        <f>Games[[#This Row],[PointsFor]]-Games[[#This Row],[PointsAgainst]]</f>
        <v>-15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0.49848005627383046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75.099999999999994</v>
      </c>
      <c r="Z100" s="4">
        <f>Games[[#This Row],[K]]*Games[[#This Row],[POMult]]</f>
        <v>75.099999999999994</v>
      </c>
      <c r="AA100" s="4">
        <f>(Games[[#This Row],[Keff]]*Games[[#This Row],[MOVMult]])*(Games[[#This Row],[Result]]-Games[[#This Row],[ExpectedWin%]])</f>
        <v>-12.956977553729455</v>
      </c>
      <c r="AB100" s="4">
        <f>Games[[#This Row],[PreGmRate]]+Games[[#This Row],[RatingChange]]</f>
        <v>1574.2414830476112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46169</v>
      </c>
      <c r="B101" s="2">
        <v>2026</v>
      </c>
      <c r="C101" s="2">
        <f>COUNTIFS(Games[Team],Games[[#This Row],[Team]],Games[Season],Games[[#This Row],[Season]],Games[Date],"&lt;=" &amp; Games[[#This Row],[Date]])</f>
        <v>7</v>
      </c>
      <c r="D101" s="2" t="s">
        <v>79</v>
      </c>
      <c r="E101" s="2" t="s">
        <v>80</v>
      </c>
      <c r="F101" s="1" t="s">
        <v>67</v>
      </c>
      <c r="G101" s="1" t="s">
        <v>77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1</v>
      </c>
      <c r="L101" s="2">
        <f>Games[[#This Row],[OppDaysOff]]-Games[[#This Row],[DaysOff]]</f>
        <v>-1</v>
      </c>
      <c r="M101" s="1">
        <f>MAX(-16, MIN(16, Games[[#This Row],[RestDiff]]*8))</f>
        <v>8</v>
      </c>
      <c r="N101" s="1">
        <f>MAX(-16, MIN(16, Games[[#This Row],[OppRestDiff]]*8))</f>
        <v>-8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1597.7135575644984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1587.1984606013407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0.65388853777252698</v>
      </c>
      <c r="R101" s="1">
        <v>96</v>
      </c>
      <c r="S101" s="1">
        <v>81</v>
      </c>
      <c r="T101" s="1">
        <v>0</v>
      </c>
      <c r="U101" s="1">
        <f>Games[[#This Row],[PointsFor]]-Games[[#This Row],[PointsAgainst]]</f>
        <v>15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0.49848005627383046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12.931098104554231</v>
      </c>
      <c r="AB101" s="4">
        <f>Games[[#This Row],[PreGmRate]]+Games[[#This Row],[RatingChange]]</f>
        <v>1610.6446556690526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46169</v>
      </c>
      <c r="B102" s="2">
        <v>2026</v>
      </c>
      <c r="C102" s="2">
        <f>COUNTIFS(Games[Team],Games[[#This Row],[Team]],Games[Season],Games[[#This Row],[Season]],Games[Date],"&lt;=" &amp; Games[[#This Row],[Date]])</f>
        <v>8</v>
      </c>
      <c r="D102" s="2" t="s">
        <v>79</v>
      </c>
      <c r="E102" s="2" t="s">
        <v>80</v>
      </c>
      <c r="F102" s="1" t="s">
        <v>40</v>
      </c>
      <c r="G102" s="1" t="s">
        <v>60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1</v>
      </c>
      <c r="L102" s="2">
        <f>Games[[#This Row],[OppDaysOff]]-Games[[#This Row],[DaysOff]]</f>
        <v>-1</v>
      </c>
      <c r="M102" s="1">
        <f>MAX(-16, MIN(16, Games[[#This Row],[RestDiff]]*8))</f>
        <v>8</v>
      </c>
      <c r="N102" s="1">
        <f>MAX(-16, MIN(16, Games[[#This Row],[OppRestDiff]]*8))</f>
        <v>-8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1503.8954613826868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1493.1271708650097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0.41837391663373535</v>
      </c>
      <c r="R102" s="1">
        <v>74</v>
      </c>
      <c r="S102" s="1">
        <v>84</v>
      </c>
      <c r="T102" s="1">
        <v>0</v>
      </c>
      <c r="U102" s="1">
        <f>Games[[#This Row],[PointsFor]]-Games[[#This Row],[PointsAgainst]]</f>
        <v>-10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0.41936648256756404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-13.123809436689523</v>
      </c>
      <c r="AB102" s="4">
        <f>Games[[#This Row],[PreGmRate]]+Games[[#This Row],[RatingChange]]</f>
        <v>1490.7716519459973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46169</v>
      </c>
      <c r="B103" s="2">
        <v>2026</v>
      </c>
      <c r="C103" s="2">
        <f>COUNTIFS(Games[Team],Games[[#This Row],[Team]],Games[Season],Games[[#This Row],[Season]],Games[Date],"&lt;=" &amp; Games[[#This Row],[Date]])</f>
        <v>8</v>
      </c>
      <c r="D103" s="2" t="s">
        <v>79</v>
      </c>
      <c r="E103" s="2" t="s">
        <v>80</v>
      </c>
      <c r="F103" s="1" t="s">
        <v>60</v>
      </c>
      <c r="G103" s="1" t="s">
        <v>40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3" s="2">
        <f>Games[[#This Row],[DaysOff]]-Games[[#This Row],[OppDaysOff]]</f>
        <v>-1</v>
      </c>
      <c r="L103" s="2">
        <f>Games[[#This Row],[OppDaysOff]]-Games[[#This Row],[DaysOff]]</f>
        <v>1</v>
      </c>
      <c r="M103" s="1">
        <f>MAX(-16, MIN(16, Games[[#This Row],[RestDiff]]*8))</f>
        <v>-8</v>
      </c>
      <c r="N103" s="1">
        <f>MAX(-16, MIN(16, Games[[#This Row],[OppRestDiff]]*8))</f>
        <v>8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1493.1271708650097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1503.8954613826868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0.58162608336626465</v>
      </c>
      <c r="R103" s="1">
        <v>84</v>
      </c>
      <c r="S103" s="1">
        <v>74</v>
      </c>
      <c r="T103" s="1">
        <v>0</v>
      </c>
      <c r="U103" s="1">
        <f>Games[[#This Row],[PointsFor]]-Games[[#This Row],[PointsAgainst]]</f>
        <v>10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0.41936648256756404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74.8</v>
      </c>
      <c r="Z103" s="4">
        <f>Games[[#This Row],[K]]*Games[[#This Row],[POMult]]</f>
        <v>74.8</v>
      </c>
      <c r="AA103" s="4">
        <f>(Games[[#This Row],[Keff]]*Games[[#This Row],[MOVMult]])*(Games[[#This Row],[Result]]-Games[[#This Row],[ExpectedWin%]])</f>
        <v>13.123809436689523</v>
      </c>
      <c r="AB103" s="4">
        <f>Games[[#This Row],[PreGmRate]]+Games[[#This Row],[RatingChange]]</f>
        <v>1506.2509803016992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46169</v>
      </c>
      <c r="B104" s="2">
        <v>2026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74</v>
      </c>
      <c r="G104" s="1" t="s">
        <v>89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1370.1098074334127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1499.9448842375914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0.22601805682999909</v>
      </c>
      <c r="R104" s="1">
        <v>61</v>
      </c>
      <c r="S104" s="1">
        <v>71</v>
      </c>
      <c r="T104" s="1">
        <v>0</v>
      </c>
      <c r="U104" s="1">
        <f>Games[[#This Row],[PointsFor]]-Games[[#This Row],[PointsAgainst]]</f>
        <v>-10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0.381818503704207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-6.4421364634780645</v>
      </c>
      <c r="AB104" s="4">
        <f>Games[[#This Row],[PreGmRate]]+Games[[#This Row],[RatingChange]]</f>
        <v>1363.6676709699345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46169</v>
      </c>
      <c r="B105" s="2">
        <v>2026</v>
      </c>
      <c r="C105" s="2">
        <f>COUNTIFS(Games[Team],Games[[#This Row],[Team]],Games[Season],Games[[#This Row],[Season]],Games[Date],"&lt;=" &amp; Games[[#This Row],[Date]])</f>
        <v>8</v>
      </c>
      <c r="D105" s="2" t="s">
        <v>79</v>
      </c>
      <c r="E105" s="2" t="s">
        <v>80</v>
      </c>
      <c r="F105" s="1" t="s">
        <v>89</v>
      </c>
      <c r="G105" s="1" t="s">
        <v>74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1499.9448842375914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1370.1098074334127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0.77398194317000102</v>
      </c>
      <c r="R105" s="1">
        <v>71</v>
      </c>
      <c r="S105" s="1">
        <v>61</v>
      </c>
      <c r="T105" s="1">
        <v>0</v>
      </c>
      <c r="U105" s="1">
        <f>Games[[#This Row],[PointsFor]]-Games[[#This Row],[PointsAgainst]]</f>
        <v>10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0.381818503704207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6.4550811449184051</v>
      </c>
      <c r="AB105" s="4">
        <f>Games[[#This Row],[PreGmRate]]+Games[[#This Row],[RatingChange]]</f>
        <v>1506.3999653825099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46169</v>
      </c>
      <c r="B106" s="2">
        <v>2026</v>
      </c>
      <c r="C106" s="2">
        <f>COUNTIFS(Games[Team],Games[[#This Row],[Team]],Games[Season],Games[[#This Row],[Season]],Games[Date],"&lt;=" &amp; Games[[#This Row],[Date]])</f>
        <v>6</v>
      </c>
      <c r="D106" s="2" t="s">
        <v>79</v>
      </c>
      <c r="E106" s="2" t="s">
        <v>80</v>
      </c>
      <c r="F106" s="1" t="s">
        <v>65</v>
      </c>
      <c r="G106" s="1" t="s">
        <v>71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1412.6284427246101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1482.664020325434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0.29179128793773801</v>
      </c>
      <c r="R106" s="1">
        <v>78</v>
      </c>
      <c r="S106" s="1">
        <v>64</v>
      </c>
      <c r="T106" s="1">
        <v>0</v>
      </c>
      <c r="U106" s="1">
        <f>Games[[#This Row],[PointsFor]]-Games[[#This Row],[PointsAgainst]]</f>
        <v>14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0.46071915980989125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75.099999999999994</v>
      </c>
      <c r="Z106" s="4">
        <f>Games[[#This Row],[K]]*Games[[#This Row],[POMult]]</f>
        <v>75.099999999999994</v>
      </c>
      <c r="AA106" s="4">
        <f>(Games[[#This Row],[Keff]]*Games[[#This Row],[MOVMult]])*(Games[[#This Row],[Result]]-Games[[#This Row],[ExpectedWin%]])</f>
        <v>24.504027741631926</v>
      </c>
      <c r="AB106" s="4">
        <f>Games[[#This Row],[PreGmRate]]+Games[[#This Row],[RatingChange]]</f>
        <v>1437.132470466242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46169</v>
      </c>
      <c r="B107" s="2">
        <v>2026</v>
      </c>
      <c r="C107" s="2">
        <f>COUNTIFS(Games[Team],Games[[#This Row],[Team]],Games[Season],Games[[#This Row],[Season]],Games[Date],"&lt;=" &amp; Games[[#This Row],[Date]])</f>
        <v>8</v>
      </c>
      <c r="D107" s="2" t="s">
        <v>79</v>
      </c>
      <c r="E107" s="2" t="s">
        <v>80</v>
      </c>
      <c r="F107" s="1" t="s">
        <v>71</v>
      </c>
      <c r="G107" s="1" t="s">
        <v>65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1482.664020325434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1412.6284427246101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0.70820871206226199</v>
      </c>
      <c r="R107" s="1">
        <v>64</v>
      </c>
      <c r="S107" s="1">
        <v>78</v>
      </c>
      <c r="T107" s="1">
        <v>0</v>
      </c>
      <c r="U107" s="1">
        <f>Games[[#This Row],[PointsFor]]-Games[[#This Row],[PointsAgainst]]</f>
        <v>-14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0.46071915980989125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-24.406142144794515</v>
      </c>
      <c r="AB107" s="4">
        <f>Games[[#This Row],[PreGmRate]]+Games[[#This Row],[RatingChange]]</f>
        <v>1458.2578781806394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46170</v>
      </c>
      <c r="B108" s="2">
        <v>2026</v>
      </c>
      <c r="C108" s="2">
        <f>COUNTIFS(Games[Team],Games[[#This Row],[Team]],Games[Season],Games[[#This Row],[Season]],Games[Date],"&lt;=" &amp; Games[[#This Row],[Date]])</f>
        <v>7</v>
      </c>
      <c r="D108" s="2" t="s">
        <v>79</v>
      </c>
      <c r="E108" s="2" t="s">
        <v>80</v>
      </c>
      <c r="F108" s="1" t="s">
        <v>85</v>
      </c>
      <c r="G108" s="1" t="s">
        <v>84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1</v>
      </c>
      <c r="L108" s="2">
        <f>Games[[#This Row],[OppDaysOff]]-Games[[#This Row],[DaysOff]]</f>
        <v>-1</v>
      </c>
      <c r="M108" s="1">
        <f>MAX(-16, MIN(16, Games[[#This Row],[RestDiff]]*8))</f>
        <v>8</v>
      </c>
      <c r="N108" s="1">
        <f>MAX(-16, MIN(16, Games[[#This Row],[OppRestDiff]]*8))</f>
        <v>-8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1612.4222093427388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1462.2109777465221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0.61615172693299336</v>
      </c>
      <c r="R108" s="1">
        <v>87</v>
      </c>
      <c r="S108" s="1">
        <v>95</v>
      </c>
      <c r="T108" s="1">
        <v>0</v>
      </c>
      <c r="U108" s="1">
        <f>Games[[#This Row],[PointsFor]]-Games[[#This Row],[PointsAgainst]]</f>
        <v>-8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0.34511536498828238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74.95</v>
      </c>
      <c r="Z108" s="4">
        <f>Games[[#This Row],[K]]*Games[[#This Row],[POMult]]</f>
        <v>74.95</v>
      </c>
      <c r="AA108" s="4">
        <f>(Games[[#This Row],[Keff]]*Games[[#This Row],[MOVMult]])*(Games[[#This Row],[Result]]-Games[[#This Row],[ExpectedWin%]])</f>
        <v>-15.937624938241607</v>
      </c>
      <c r="AB108" s="4">
        <f>Games[[#This Row],[PreGmRate]]+Games[[#This Row],[RatingChange]]</f>
        <v>1596.4845844044971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46170</v>
      </c>
      <c r="B109" s="2">
        <v>2026</v>
      </c>
      <c r="C109" s="2">
        <f>COUNTIFS(Games[Team],Games[[#This Row],[Team]],Games[Season],Games[[#This Row],[Season]],Games[Date],"&lt;=" &amp; Games[[#This Row],[Date]])</f>
        <v>8</v>
      </c>
      <c r="D109" s="2" t="s">
        <v>79</v>
      </c>
      <c r="E109" s="2" t="s">
        <v>80</v>
      </c>
      <c r="F109" s="1" t="s">
        <v>84</v>
      </c>
      <c r="G109" s="1" t="s">
        <v>85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9" s="2">
        <f>Games[[#This Row],[DaysOff]]-Games[[#This Row],[OppDaysOff]]</f>
        <v>-1</v>
      </c>
      <c r="L109" s="2">
        <f>Games[[#This Row],[OppDaysOff]]-Games[[#This Row],[DaysOff]]</f>
        <v>1</v>
      </c>
      <c r="M109" s="1">
        <f>MAX(-16, MIN(16, Games[[#This Row],[RestDiff]]*8))</f>
        <v>-8</v>
      </c>
      <c r="N109" s="1">
        <f>MAX(-16, MIN(16, Games[[#This Row],[OppRestDiff]]*8))</f>
        <v>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1462.2109777465221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1612.4222093427388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0.38384827306700653</v>
      </c>
      <c r="R109" s="1">
        <v>95</v>
      </c>
      <c r="S109" s="1">
        <v>87</v>
      </c>
      <c r="T109" s="1">
        <v>0</v>
      </c>
      <c r="U109" s="1">
        <f>Games[[#This Row],[PointsFor]]-Games[[#This Row],[PointsAgainst]]</f>
        <v>8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0.34511536498828238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74.8</v>
      </c>
      <c r="Z109" s="4">
        <f>Games[[#This Row],[K]]*Games[[#This Row],[POMult]]</f>
        <v>74.8</v>
      </c>
      <c r="AA109" s="4">
        <f>(Games[[#This Row],[Keff]]*Games[[#This Row],[MOVMult]])*(Games[[#This Row],[Result]]-Games[[#This Row],[ExpectedWin%]])</f>
        <v>15.905728424022312</v>
      </c>
      <c r="AB109" s="4">
        <f>Games[[#This Row],[PreGmRate]]+Games[[#This Row],[RatingChange]]</f>
        <v>1478.1167061705444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46170</v>
      </c>
      <c r="B110" s="2">
        <v>2026</v>
      </c>
      <c r="C110" s="2">
        <f>COUNTIFS(Games[Team],Games[[#This Row],[Team]],Games[Season],Games[[#This Row],[Season]],Games[Date],"&lt;=" &amp; Games[[#This Row],[Date]])</f>
        <v>7</v>
      </c>
      <c r="D110" s="2" t="s">
        <v>79</v>
      </c>
      <c r="E110" s="2" t="s">
        <v>80</v>
      </c>
      <c r="F110" s="1" t="s">
        <v>69</v>
      </c>
      <c r="G110" s="1" t="s">
        <v>87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3</v>
      </c>
      <c r="L110" s="2">
        <f>Games[[#This Row],[OppDaysOff]]-Games[[#This Row],[DaysOff]]</f>
        <v>-3</v>
      </c>
      <c r="M110" s="1">
        <f>MAX(-16, MIN(16, Games[[#This Row],[RestDiff]]*8))</f>
        <v>16</v>
      </c>
      <c r="N110" s="1">
        <f>MAX(-16, MIN(16, Games[[#This Row],[OppRestDiff]]*8))</f>
        <v>-16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1559.2791903911123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1545.3424683458707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0.44544064418682688</v>
      </c>
      <c r="R110" s="1">
        <v>88</v>
      </c>
      <c r="S110" s="1">
        <v>90</v>
      </c>
      <c r="T110" s="1">
        <v>0</v>
      </c>
      <c r="U110" s="1">
        <f>Games[[#This Row],[PointsFor]]-Games[[#This Row],[PointsAgainst]]</f>
        <v>-2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0.26476634171680113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74.95</v>
      </c>
      <c r="Z110" s="4">
        <f>Games[[#This Row],[K]]*Games[[#This Row],[POMult]]</f>
        <v>74.95</v>
      </c>
      <c r="AA110" s="4">
        <f>(Games[[#This Row],[Keff]]*Games[[#This Row],[MOVMult]])*(Games[[#This Row],[Result]]-Games[[#This Row],[ExpectedWin%]])</f>
        <v>-8.8394298515084415</v>
      </c>
      <c r="AB110" s="4">
        <f>Games[[#This Row],[PreGmRate]]+Games[[#This Row],[RatingChange]]</f>
        <v>1550.4397605396039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46170</v>
      </c>
      <c r="B111" s="2">
        <v>2026</v>
      </c>
      <c r="C111" s="2">
        <f>COUNTIFS(Games[Team],Games[[#This Row],[Team]],Games[Season],Games[[#This Row],[Season]],Games[Date],"&lt;=" &amp; Games[[#This Row],[Date]])</f>
        <v>7</v>
      </c>
      <c r="D111" s="2" t="s">
        <v>79</v>
      </c>
      <c r="E111" s="2" t="s">
        <v>80</v>
      </c>
      <c r="F111" s="1" t="s">
        <v>87</v>
      </c>
      <c r="G111" s="1" t="s">
        <v>69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1" s="2">
        <f>Games[[#This Row],[DaysOff]]-Games[[#This Row],[OppDaysOff]]</f>
        <v>-3</v>
      </c>
      <c r="L111" s="2">
        <f>Games[[#This Row],[OppDaysOff]]-Games[[#This Row],[DaysOff]]</f>
        <v>3</v>
      </c>
      <c r="M111" s="1">
        <f>MAX(-16, MIN(16, Games[[#This Row],[RestDiff]]*8))</f>
        <v>-16</v>
      </c>
      <c r="N111" s="1">
        <f>MAX(-16, MIN(16, Games[[#This Row],[OppRestDiff]]*8))</f>
        <v>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1545.3424683458707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1559.2791903911123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0.55455935581317306</v>
      </c>
      <c r="R111" s="1">
        <v>90</v>
      </c>
      <c r="S111" s="1">
        <v>88</v>
      </c>
      <c r="T111" s="1">
        <v>0</v>
      </c>
      <c r="U111" s="1">
        <f>Games[[#This Row],[PointsFor]]-Games[[#This Row],[PointsAgainst]]</f>
        <v>2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0.26476634171680113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74.95</v>
      </c>
      <c r="Z111" s="4">
        <f>Games[[#This Row],[K]]*Games[[#This Row],[POMult]]</f>
        <v>74.95</v>
      </c>
      <c r="AA111" s="4">
        <f>(Games[[#This Row],[Keff]]*Games[[#This Row],[MOVMult]])*(Games[[#This Row],[Result]]-Games[[#This Row],[ExpectedWin%]])</f>
        <v>8.8394298515084433</v>
      </c>
      <c r="AB111" s="4">
        <f>Games[[#This Row],[PreGmRate]]+Games[[#This Row],[RatingChange]]</f>
        <v>1554.181898197379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46171</v>
      </c>
      <c r="B112" s="2">
        <v>2026</v>
      </c>
      <c r="C112" s="2">
        <f>COUNTIFS(Games[Team],Games[[#This Row],[Team]],Games[Season],Games[[#This Row],[Season]],Games[Date],"&lt;=" &amp; Games[[#This Row],[Date]])</f>
        <v>8</v>
      </c>
      <c r="D112" s="2" t="s">
        <v>79</v>
      </c>
      <c r="E112" s="2" t="s">
        <v>80</v>
      </c>
      <c r="F112" s="1" t="s">
        <v>67</v>
      </c>
      <c r="G112" s="1" t="s">
        <v>75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1610.6446556690526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1403.7272210068918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0.66986391505182652</v>
      </c>
      <c r="R112" s="1">
        <v>79</v>
      </c>
      <c r="S112" s="1">
        <v>58</v>
      </c>
      <c r="T112" s="1">
        <v>0</v>
      </c>
      <c r="U112" s="1">
        <f>Games[[#This Row],[PointsFor]]-Games[[#This Row],[PointsAgainst]]</f>
        <v>21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0.5020135012361151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74.8</v>
      </c>
      <c r="Z112" s="4">
        <f>Games[[#This Row],[K]]*Games[[#This Row],[POMult]]</f>
        <v>74.8</v>
      </c>
      <c r="AA112" s="4">
        <f>(Games[[#This Row],[Keff]]*Games[[#This Row],[MOVMult]])*(Games[[#This Row],[Result]]-Games[[#This Row],[ExpectedWin%]])</f>
        <v>12.396811337313363</v>
      </c>
      <c r="AB112" s="4">
        <f>Games[[#This Row],[PreGmRate]]+Games[[#This Row],[RatingChange]]</f>
        <v>1623.041467006366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46171</v>
      </c>
      <c r="B113" s="2">
        <v>2026</v>
      </c>
      <c r="C113" s="2">
        <f>COUNTIFS(Games[Team],Games[[#This Row],[Team]],Games[Season],Games[[#This Row],[Season]],Games[Date],"&lt;=" &amp; Games[[#This Row],[Date]])</f>
        <v>8</v>
      </c>
      <c r="D113" s="2" t="s">
        <v>79</v>
      </c>
      <c r="E113" s="2" t="s">
        <v>80</v>
      </c>
      <c r="F113" s="1" t="s">
        <v>75</v>
      </c>
      <c r="G113" s="1" t="s">
        <v>67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1403.7272210068918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1610.6446556690526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0.33013608494817348</v>
      </c>
      <c r="R113" s="1">
        <v>58</v>
      </c>
      <c r="S113" s="1">
        <v>79</v>
      </c>
      <c r="T113" s="1">
        <v>0</v>
      </c>
      <c r="U113" s="1">
        <f>Games[[#This Row],[PointsFor]]-Games[[#This Row],[PointsAgainst]]</f>
        <v>-21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0.5020135012361151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74.8</v>
      </c>
      <c r="Z113" s="4">
        <f>Games[[#This Row],[K]]*Games[[#This Row],[POMult]]</f>
        <v>74.8</v>
      </c>
      <c r="AA113" s="4">
        <f>(Games[[#This Row],[Keff]]*Games[[#This Row],[MOVMult]])*(Games[[#This Row],[Result]]-Games[[#This Row],[ExpectedWin%]])</f>
        <v>-12.396811337313363</v>
      </c>
      <c r="AB113" s="4">
        <f>Games[[#This Row],[PreGmRate]]+Games[[#This Row],[RatingChange]]</f>
        <v>1391.3304096695783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46171</v>
      </c>
      <c r="B114" s="2">
        <v>2026</v>
      </c>
      <c r="C114" s="2">
        <f>COUNTIFS(Games[Team],Games[[#This Row],[Team]],Games[Season],Games[[#This Row],[Season]],Games[Date],"&lt;=" &amp; Games[[#This Row],[Date]])</f>
        <v>9</v>
      </c>
      <c r="D114" s="2" t="s">
        <v>79</v>
      </c>
      <c r="E114" s="2" t="s">
        <v>80</v>
      </c>
      <c r="F114" s="1" t="s">
        <v>40</v>
      </c>
      <c r="G114" s="1" t="s">
        <v>60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1490.7716519459973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1506.2509803016992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0.36062579620016755</v>
      </c>
      <c r="R114" s="1">
        <v>68</v>
      </c>
      <c r="S114" s="1">
        <v>75</v>
      </c>
      <c r="T114" s="1">
        <v>0</v>
      </c>
      <c r="U114" s="1">
        <f>Games[[#This Row],[PointsFor]]-Games[[#This Row],[PointsAgainst]]</f>
        <v>-7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0.36539379701784014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-9.8366625230704194</v>
      </c>
      <c r="AB114" s="4">
        <f>Games[[#This Row],[PreGmRate]]+Games[[#This Row],[RatingChange]]</f>
        <v>1480.9349894229269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46171</v>
      </c>
      <c r="B115" s="2">
        <v>2026</v>
      </c>
      <c r="C115" s="2">
        <f>COUNTIFS(Games[Team],Games[[#This Row],[Team]],Games[Season],Games[[#This Row],[Season]],Games[Date],"&lt;=" &amp; Games[[#This Row],[Date]])</f>
        <v>9</v>
      </c>
      <c r="D115" s="2" t="s">
        <v>79</v>
      </c>
      <c r="E115" s="2" t="s">
        <v>80</v>
      </c>
      <c r="F115" s="1" t="s">
        <v>60</v>
      </c>
      <c r="G115" s="1" t="s">
        <v>40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1506.2509803016992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1490.7716519459973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0.63937420379983256</v>
      </c>
      <c r="R115" s="1">
        <v>75</v>
      </c>
      <c r="S115" s="1">
        <v>68</v>
      </c>
      <c r="T115" s="1">
        <v>0</v>
      </c>
      <c r="U115" s="1">
        <f>Games[[#This Row],[PointsFor]]-Games[[#This Row],[PointsAgainst]]</f>
        <v>7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0.36539379701784014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9.8366625230704159</v>
      </c>
      <c r="AB115" s="4">
        <f>Games[[#This Row],[PreGmRate]]+Games[[#This Row],[RatingChange]]</f>
        <v>1516.0876428247695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46171</v>
      </c>
      <c r="B116" s="2">
        <v>2026</v>
      </c>
      <c r="C116" s="2">
        <f>COUNTIFS(Games[Team],Games[[#This Row],[Team]],Games[Season],Games[[#This Row],[Season]],Games[Date],"&lt;=" &amp; Games[[#This Row],[Date]])</f>
        <v>7</v>
      </c>
      <c r="D116" s="2" t="s">
        <v>79</v>
      </c>
      <c r="E116" s="2" t="s">
        <v>80</v>
      </c>
      <c r="F116" s="1" t="s">
        <v>77</v>
      </c>
      <c r="G116" s="1" t="s">
        <v>89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1574.2414830476112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1506.3999653825099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0.4767628260898582</v>
      </c>
      <c r="R116" s="1">
        <v>86</v>
      </c>
      <c r="S116" s="1">
        <v>66</v>
      </c>
      <c r="T116" s="1">
        <v>0</v>
      </c>
      <c r="U116" s="1">
        <f>Games[[#This Row],[PointsFor]]-Games[[#This Row],[PointsAgainst]]</f>
        <v>20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0.54412544558493803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74.95</v>
      </c>
      <c r="Z116" s="4">
        <f>Games[[#This Row],[K]]*Games[[#This Row],[POMult]]</f>
        <v>74.95</v>
      </c>
      <c r="AA116" s="4">
        <f>(Games[[#This Row],[Keff]]*Games[[#This Row],[MOVMult]])*(Games[[#This Row],[Result]]-Games[[#This Row],[ExpectedWin%]])</f>
        <v>21.338764197014449</v>
      </c>
      <c r="AB116" s="4">
        <f>Games[[#This Row],[PreGmRate]]+Games[[#This Row],[RatingChange]]</f>
        <v>1595.5802472446255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46171</v>
      </c>
      <c r="B117" s="2">
        <v>2026</v>
      </c>
      <c r="C117" s="2">
        <f>COUNTIFS(Games[Team],Games[[#This Row],[Team]],Games[Season],Games[[#This Row],[Season]],Games[Date],"&lt;=" &amp; Games[[#This Row],[Date]])</f>
        <v>9</v>
      </c>
      <c r="D117" s="2" t="s">
        <v>79</v>
      </c>
      <c r="E117" s="2" t="s">
        <v>80</v>
      </c>
      <c r="F117" s="1" t="s">
        <v>89</v>
      </c>
      <c r="G117" s="1" t="s">
        <v>77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1506.3999653825099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1574.2414830476112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0.5232371739101418</v>
      </c>
      <c r="R117" s="1">
        <v>66</v>
      </c>
      <c r="S117" s="1">
        <v>86</v>
      </c>
      <c r="T117" s="1">
        <v>0</v>
      </c>
      <c r="U117" s="1">
        <f>Games[[#This Row],[PointsFor]]-Games[[#This Row],[PointsAgainst]]</f>
        <v>-20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0.54412544558493803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-21.253352198894312</v>
      </c>
      <c r="AB117" s="4">
        <f>Games[[#This Row],[PreGmRate]]+Games[[#This Row],[RatingChange]]</f>
        <v>1485.1466131836155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46171</v>
      </c>
      <c r="B118" s="2">
        <v>2026</v>
      </c>
      <c r="C118" s="2">
        <f>COUNTIFS(Games[Team],Games[[#This Row],[Team]],Games[Season],Games[[#This Row],[Season]],Games[Date],"&lt;=" &amp; Games[[#This Row],[Date]])</f>
        <v>7</v>
      </c>
      <c r="D118" s="2" t="s">
        <v>79</v>
      </c>
      <c r="E118" s="2" t="s">
        <v>80</v>
      </c>
      <c r="F118" s="1" t="s">
        <v>63</v>
      </c>
      <c r="G118" s="1" t="s">
        <v>65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4</v>
      </c>
      <c r="L118" s="2">
        <f>Games[[#This Row],[OppDaysOff]]-Games[[#This Row],[DaysOff]]</f>
        <v>-4</v>
      </c>
      <c r="M118" s="1">
        <f>MAX(-16, MIN(16, Games[[#This Row],[RestDiff]]*8))</f>
        <v>16</v>
      </c>
      <c r="N118" s="1">
        <f>MAX(-16, MIN(16, Games[[#This Row],[OppRestDiff]]*8))</f>
        <v>-16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1471.174255880486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1437.132470466242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0.47417904241029235</v>
      </c>
      <c r="R118" s="1">
        <v>92</v>
      </c>
      <c r="S118" s="1">
        <v>87</v>
      </c>
      <c r="T118" s="1">
        <v>0</v>
      </c>
      <c r="U118" s="1">
        <f>Games[[#This Row],[PointsFor]]-Games[[#This Row],[PointsAgainst]]</f>
        <v>5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0.32260428719588319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74.95</v>
      </c>
      <c r="Z118" s="4">
        <f>Games[[#This Row],[K]]*Games[[#This Row],[POMult]]</f>
        <v>74.95</v>
      </c>
      <c r="AA118" s="4">
        <f>(Games[[#This Row],[Keff]]*Games[[#This Row],[MOVMult]])*(Games[[#This Row],[Result]]-Games[[#This Row],[ExpectedWin%]])</f>
        <v>12.713925536430533</v>
      </c>
      <c r="AB118" s="4">
        <f>Games[[#This Row],[PreGmRate]]+Games[[#This Row],[RatingChange]]</f>
        <v>1483.8881814169165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46171</v>
      </c>
      <c r="B119" s="2">
        <v>2026</v>
      </c>
      <c r="C119" s="2">
        <f>COUNTIFS(Games[Team],Games[[#This Row],[Team]],Games[Season],Games[[#This Row],[Season]],Games[Date],"&lt;=" &amp; Games[[#This Row],[Date]])</f>
        <v>7</v>
      </c>
      <c r="D119" s="2" t="s">
        <v>79</v>
      </c>
      <c r="E119" s="2" t="s">
        <v>80</v>
      </c>
      <c r="F119" s="1" t="s">
        <v>65</v>
      </c>
      <c r="G119" s="1" t="s">
        <v>63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9" s="2">
        <f>Games[[#This Row],[DaysOff]]-Games[[#This Row],[OppDaysOff]]</f>
        <v>-4</v>
      </c>
      <c r="L119" s="2">
        <f>Games[[#This Row],[OppDaysOff]]-Games[[#This Row],[DaysOff]]</f>
        <v>4</v>
      </c>
      <c r="M119" s="1">
        <f>MAX(-16, MIN(16, Games[[#This Row],[RestDiff]]*8))</f>
        <v>-16</v>
      </c>
      <c r="N119" s="1">
        <f>MAX(-16, MIN(16, Games[[#This Row],[OppRestDiff]]*8))</f>
        <v>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1437.132470466242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1471.174255880486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0.52582095758970759</v>
      </c>
      <c r="R119" s="1">
        <v>87</v>
      </c>
      <c r="S119" s="1">
        <v>92</v>
      </c>
      <c r="T119" s="1">
        <v>0</v>
      </c>
      <c r="U119" s="1">
        <f>Games[[#This Row],[PointsFor]]-Games[[#This Row],[PointsAgainst]]</f>
        <v>-5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0.32260428719588319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74.95</v>
      </c>
      <c r="Z119" s="4">
        <f>Games[[#This Row],[K]]*Games[[#This Row],[POMult]]</f>
        <v>74.95</v>
      </c>
      <c r="AA119" s="4">
        <f>(Games[[#This Row],[Keff]]*Games[[#This Row],[MOVMult]])*(Games[[#This Row],[Result]]-Games[[#This Row],[ExpectedWin%]])</f>
        <v>-12.713925536430532</v>
      </c>
      <c r="AB119" s="4">
        <f>Games[[#This Row],[PreGmRate]]+Games[[#This Row],[RatingChange]]</f>
        <v>1424.4185449298116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46172</v>
      </c>
      <c r="B120" s="2">
        <v>2026</v>
      </c>
      <c r="C120" s="2">
        <f>COUNTIFS(Games[Team],Games[[#This Row],[Team]],Games[Season],Games[[#This Row],[Season]],Games[Date],"&lt;=" &amp; Games[[#This Row],[Date]])</f>
        <v>8</v>
      </c>
      <c r="D120" s="2" t="s">
        <v>79</v>
      </c>
      <c r="E120" s="2" t="s">
        <v>80</v>
      </c>
      <c r="F120" s="1" t="s">
        <v>63</v>
      </c>
      <c r="G120" s="1" t="s">
        <v>74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1483.8881814169165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1363.6676709699345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0.50607350403380236</v>
      </c>
      <c r="R120" s="1">
        <v>81</v>
      </c>
      <c r="S120" s="1">
        <v>84</v>
      </c>
      <c r="T120" s="1">
        <v>0</v>
      </c>
      <c r="U120" s="1">
        <f>Games[[#This Row],[PointsFor]]-Games[[#This Row],[PointsAgainst]]</f>
        <v>-3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0.26375913914604621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74.8</v>
      </c>
      <c r="Z120" s="4">
        <f>Games[[#This Row],[K]]*Games[[#This Row],[POMult]]</f>
        <v>74.8</v>
      </c>
      <c r="AA120" s="4">
        <f>(Games[[#This Row],[Keff]]*Games[[#This Row],[MOVMult]])*(Games[[#This Row],[Result]]-Games[[#This Row],[ExpectedWin%]])</f>
        <v>-9.9844170802896972</v>
      </c>
      <c r="AB120" s="4">
        <f>Games[[#This Row],[PreGmRate]]+Games[[#This Row],[RatingChange]]</f>
        <v>1473.9037643366269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46172</v>
      </c>
      <c r="B121" s="2">
        <v>2026</v>
      </c>
      <c r="C121" s="2">
        <f>COUNTIFS(Games[Team],Games[[#This Row],[Team]],Games[Season],Games[[#This Row],[Season]],Games[Date],"&lt;=" &amp; Games[[#This Row],[Date]])</f>
        <v>10</v>
      </c>
      <c r="D121" s="2" t="s">
        <v>79</v>
      </c>
      <c r="E121" s="2" t="s">
        <v>80</v>
      </c>
      <c r="F121" s="1" t="s">
        <v>74</v>
      </c>
      <c r="G121" s="1" t="s">
        <v>63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1363.6676709699345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1483.8881814169165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0.49392649596619764</v>
      </c>
      <c r="R121" s="1">
        <v>84</v>
      </c>
      <c r="S121" s="1">
        <v>81</v>
      </c>
      <c r="T121" s="1">
        <v>0</v>
      </c>
      <c r="U121" s="1">
        <f>Games[[#This Row],[PointsFor]]-Games[[#This Row],[PointsAgainst]]</f>
        <v>3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0.26375913914604621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9.9443726267591241</v>
      </c>
      <c r="AB121" s="4">
        <f>Games[[#This Row],[PreGmRate]]+Games[[#This Row],[RatingChange]]</f>
        <v>1373.6120435966936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46172</v>
      </c>
      <c r="B122" s="2">
        <v>2026</v>
      </c>
      <c r="C122" s="2">
        <f>COUNTIFS(Games[Team],Games[[#This Row],[Team]],Games[Season],Games[[#This Row],[Season]],Games[Date],"&lt;=" &amp; Games[[#This Row],[Date]])</f>
        <v>8</v>
      </c>
      <c r="D122" s="2" t="s">
        <v>79</v>
      </c>
      <c r="E122" s="2" t="s">
        <v>80</v>
      </c>
      <c r="F122" s="1" t="s">
        <v>69</v>
      </c>
      <c r="G122" s="1" t="s">
        <v>89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2" s="2">
        <f>Games[[#This Row],[DaysOff]]-Games[[#This Row],[OppDaysOff]]</f>
        <v>1</v>
      </c>
      <c r="L122" s="2">
        <f>Games[[#This Row],[OppDaysOff]]-Games[[#This Row],[DaysOff]]</f>
        <v>-1</v>
      </c>
      <c r="M122" s="1">
        <f>MAX(-16, MIN(16, Games[[#This Row],[RestDiff]]*8))</f>
        <v>8</v>
      </c>
      <c r="N122" s="1">
        <f>MAX(-16, MIN(16, Games[[#This Row],[OppRestDiff]]*8))</f>
        <v>-8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1550.4397605396039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1485.1466131836155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0.4961046047231541</v>
      </c>
      <c r="R122" s="1">
        <v>84</v>
      </c>
      <c r="S122" s="1">
        <v>100</v>
      </c>
      <c r="T122" s="1">
        <v>0</v>
      </c>
      <c r="U122" s="1">
        <f>Games[[#This Row],[PointsFor]]-Games[[#This Row],[PointsAgainst]]</f>
        <v>-16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0.49106662755145725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74.8</v>
      </c>
      <c r="Z122" s="4">
        <f>Games[[#This Row],[K]]*Games[[#This Row],[POMult]]</f>
        <v>74.8</v>
      </c>
      <c r="AA122" s="4">
        <f>(Games[[#This Row],[Keff]]*Games[[#This Row],[MOVMult]])*(Games[[#This Row],[Result]]-Games[[#This Row],[ExpectedWin%]])</f>
        <v>-18.222807053530275</v>
      </c>
      <c r="AB122" s="4">
        <f>Games[[#This Row],[PreGmRate]]+Games[[#This Row],[RatingChange]]</f>
        <v>1532.2169534860736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46172</v>
      </c>
      <c r="B123" s="2">
        <v>2026</v>
      </c>
      <c r="C123" s="2">
        <f>COUNTIFS(Games[Team],Games[[#This Row],[Team]],Games[Season],Games[[#This Row],[Season]],Games[Date],"&lt;=" &amp; Games[[#This Row],[Date]])</f>
        <v>10</v>
      </c>
      <c r="D123" s="2" t="s">
        <v>79</v>
      </c>
      <c r="E123" s="2" t="s">
        <v>80</v>
      </c>
      <c r="F123" s="1" t="s">
        <v>89</v>
      </c>
      <c r="G123" s="1" t="s">
        <v>69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-1</v>
      </c>
      <c r="L123" s="2">
        <f>Games[[#This Row],[OppDaysOff]]-Games[[#This Row],[DaysOff]]</f>
        <v>1</v>
      </c>
      <c r="M123" s="1">
        <f>MAX(-16, MIN(16, Games[[#This Row],[RestDiff]]*8))</f>
        <v>-8</v>
      </c>
      <c r="N123" s="1">
        <f>MAX(-16, MIN(16, Games[[#This Row],[OppRestDiff]]*8))</f>
        <v>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1485.1466131836155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1550.4397605396039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0.5038953952768459</v>
      </c>
      <c r="R123" s="1">
        <v>100</v>
      </c>
      <c r="S123" s="1">
        <v>84</v>
      </c>
      <c r="T123" s="1">
        <v>0</v>
      </c>
      <c r="U123" s="1">
        <f>Games[[#This Row],[PointsFor]]-Games[[#This Row],[PointsAgainst]]</f>
        <v>16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0.49106662755145725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18.149720928984028</v>
      </c>
      <c r="AB123" s="4">
        <f>Games[[#This Row],[PreGmRate]]+Games[[#This Row],[RatingChange]]</f>
        <v>1503.2963341125994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46172</v>
      </c>
      <c r="B124" s="2">
        <v>2026</v>
      </c>
      <c r="C124" s="2">
        <f>COUNTIFS(Games[Team],Games[[#This Row],[Team]],Games[Season],Games[[#This Row],[Season]],Games[Date],"&lt;=" &amp; Games[[#This Row],[Date]])</f>
        <v>9</v>
      </c>
      <c r="D124" s="2" t="s">
        <v>79</v>
      </c>
      <c r="E124" s="2" t="s">
        <v>80</v>
      </c>
      <c r="F124" s="1" t="s">
        <v>71</v>
      </c>
      <c r="G124" s="1" t="s">
        <v>90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1458.2578781806394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1498.0772658311282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0.32898889495468858</v>
      </c>
      <c r="R124" s="1">
        <v>72</v>
      </c>
      <c r="S124" s="1">
        <v>93</v>
      </c>
      <c r="T124" s="1">
        <v>0</v>
      </c>
      <c r="U124" s="1">
        <f>Games[[#This Row],[PointsFor]]-Games[[#This Row],[PointsAgainst]]</f>
        <v>-21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0.56967293329985547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74.650000000000006</v>
      </c>
      <c r="Z124" s="4">
        <f>Games[[#This Row],[K]]*Games[[#This Row],[POMult]]</f>
        <v>74.650000000000006</v>
      </c>
      <c r="AA124" s="4">
        <f>(Games[[#This Row],[Keff]]*Games[[#This Row],[MOVMult]])*(Games[[#This Row],[Result]]-Games[[#This Row],[ExpectedWin%]])</f>
        <v>-13.99060953680949</v>
      </c>
      <c r="AB124" s="4">
        <f>Games[[#This Row],[PreGmRate]]+Games[[#This Row],[RatingChange]]</f>
        <v>1444.26726864383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46172</v>
      </c>
      <c r="B125" s="2">
        <v>2026</v>
      </c>
      <c r="C125" s="2">
        <f>COUNTIFS(Games[Team],Games[[#This Row],[Team]],Games[Season],Games[[#This Row],[Season]],Games[Date],"&lt;=" &amp; Games[[#This Row],[Date]])</f>
        <v>9</v>
      </c>
      <c r="D125" s="2" t="s">
        <v>79</v>
      </c>
      <c r="E125" s="2" t="s">
        <v>80</v>
      </c>
      <c r="F125" s="1" t="s">
        <v>90</v>
      </c>
      <c r="G125" s="1" t="s">
        <v>71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1498.0772658311282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1458.2578781806394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0.67101110504531147</v>
      </c>
      <c r="R125" s="1">
        <v>93</v>
      </c>
      <c r="S125" s="1">
        <v>72</v>
      </c>
      <c r="T125" s="1">
        <v>0</v>
      </c>
      <c r="U125" s="1">
        <f>Games[[#This Row],[PointsFor]]-Games[[#This Row],[PointsAgainst]]</f>
        <v>21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0.56967293329985547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74.650000000000006</v>
      </c>
      <c r="Z125" s="4">
        <f>Games[[#This Row],[K]]*Games[[#This Row],[POMult]]</f>
        <v>74.650000000000006</v>
      </c>
      <c r="AA125" s="4">
        <f>(Games[[#This Row],[Keff]]*Games[[#This Row],[MOVMult]])*(Games[[#This Row],[Result]]-Games[[#This Row],[ExpectedWin%]])</f>
        <v>13.990609536809488</v>
      </c>
      <c r="AB125" s="4">
        <f>Games[[#This Row],[PreGmRate]]+Games[[#This Row],[RatingChange]]</f>
        <v>1512.0678753679376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46173</v>
      </c>
      <c r="B126" s="2">
        <v>2026</v>
      </c>
      <c r="C126" s="2">
        <f>COUNTIFS(Games[Team],Games[[#This Row],[Team]],Games[Season],Games[[#This Row],[Season]],Games[Date],"&lt;=" &amp; Games[[#This Row],[Date]])</f>
        <v>8</v>
      </c>
      <c r="D126" s="2" t="s">
        <v>79</v>
      </c>
      <c r="E126" s="2" t="s">
        <v>80</v>
      </c>
      <c r="F126" s="1" t="s">
        <v>85</v>
      </c>
      <c r="G126" s="1" t="s">
        <v>87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1596.4845844044971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1554.181898197379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0.44027919604501203</v>
      </c>
      <c r="R126" s="1">
        <v>91</v>
      </c>
      <c r="S126" s="1">
        <v>81</v>
      </c>
      <c r="T126" s="1">
        <v>0</v>
      </c>
      <c r="U126" s="1">
        <f>Games[[#This Row],[PointsFor]]-Games[[#This Row],[PointsAgainst]]</f>
        <v>10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0.40872135658739706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74.8</v>
      </c>
      <c r="Z126" s="4">
        <f>Games[[#This Row],[K]]*Games[[#This Row],[POMult]]</f>
        <v>74.8</v>
      </c>
      <c r="AA126" s="4">
        <f>(Games[[#This Row],[Keff]]*Games[[#This Row],[MOVMult]])*(Games[[#This Row],[Result]]-Games[[#This Row],[ExpectedWin%]])</f>
        <v>17.111984503439803</v>
      </c>
      <c r="AB126" s="4">
        <f>Games[[#This Row],[PreGmRate]]+Games[[#This Row],[RatingChange]]</f>
        <v>1613.5965689079369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46173</v>
      </c>
      <c r="B127" s="2">
        <v>2026</v>
      </c>
      <c r="C127" s="2">
        <f>COUNTIFS(Games[Team],Games[[#This Row],[Team]],Games[Season],Games[[#This Row],[Season]],Games[Date],"&lt;=" &amp; Games[[#This Row],[Date]])</f>
        <v>8</v>
      </c>
      <c r="D127" s="2" t="s">
        <v>79</v>
      </c>
      <c r="E127" s="2" t="s">
        <v>80</v>
      </c>
      <c r="F127" s="1" t="s">
        <v>87</v>
      </c>
      <c r="G127" s="1" t="s">
        <v>85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1554.181898197379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1596.4845844044971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0.55972080395498802</v>
      </c>
      <c r="R127" s="1">
        <v>81</v>
      </c>
      <c r="S127" s="1">
        <v>91</v>
      </c>
      <c r="T127" s="1">
        <v>0</v>
      </c>
      <c r="U127" s="1">
        <f>Games[[#This Row],[PointsFor]]-Games[[#This Row],[PointsAgainst]]</f>
        <v>-10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0.40872135658739706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74.8</v>
      </c>
      <c r="Z127" s="4">
        <f>Games[[#This Row],[K]]*Games[[#This Row],[POMult]]</f>
        <v>74.8</v>
      </c>
      <c r="AA127" s="4">
        <f>(Games[[#This Row],[Keff]]*Games[[#This Row],[MOVMult]])*(Games[[#This Row],[Result]]-Games[[#This Row],[ExpectedWin%]])</f>
        <v>-17.111984503439807</v>
      </c>
      <c r="AB127" s="4">
        <f>Games[[#This Row],[PreGmRate]]+Games[[#This Row],[RatingChange]]</f>
        <v>1537.0699136939393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46174</v>
      </c>
      <c r="B128" s="2">
        <v>2026</v>
      </c>
      <c r="C128" s="2">
        <f>COUNTIFS(Games[Team],Games[[#This Row],[Team]],Games[Season],Games[[#This Row],[Season]],Games[Date],"&lt;=" &amp; Games[[#This Row],[Date]])</f>
        <v>10</v>
      </c>
      <c r="D128" s="2" t="s">
        <v>79</v>
      </c>
      <c r="E128" s="2" t="s">
        <v>80</v>
      </c>
      <c r="F128" s="1" t="s">
        <v>71</v>
      </c>
      <c r="G128" s="1" t="s">
        <v>84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8" s="2">
        <f>Games[[#This Row],[DaysOff]]-Games[[#This Row],[OppDaysOff]]</f>
        <v>-2</v>
      </c>
      <c r="L128" s="2">
        <f>Games[[#This Row],[OppDaysOff]]-Games[[#This Row],[DaysOff]]</f>
        <v>2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1444.26726864383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1478.1167061705444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0.29679585346960452</v>
      </c>
      <c r="R128" s="1">
        <v>56</v>
      </c>
      <c r="S128" s="1">
        <v>79</v>
      </c>
      <c r="T128" s="1">
        <v>0</v>
      </c>
      <c r="U128" s="1">
        <f>Games[[#This Row],[PointsFor]]-Games[[#This Row],[PointsAgainst]]</f>
        <v>-23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0.59845658685428926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-13.232647792764434</v>
      </c>
      <c r="AB128" s="4">
        <f>Games[[#This Row],[PreGmRate]]+Games[[#This Row],[RatingChange]]</f>
        <v>1431.0346208510655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46174</v>
      </c>
      <c r="B129" s="2">
        <v>2026</v>
      </c>
      <c r="C129" s="2">
        <f>COUNTIFS(Games[Team],Games[[#This Row],[Team]],Games[Season],Games[[#This Row],[Season]],Games[Date],"&lt;=" &amp; Games[[#This Row],[Date]])</f>
        <v>9</v>
      </c>
      <c r="D129" s="2" t="s">
        <v>79</v>
      </c>
      <c r="E129" s="2" t="s">
        <v>80</v>
      </c>
      <c r="F129" s="1" t="s">
        <v>84</v>
      </c>
      <c r="G129" s="1" t="s">
        <v>71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2</v>
      </c>
      <c r="L129" s="2">
        <f>Games[[#This Row],[OppDaysOff]]-Games[[#This Row],[DaysOff]]</f>
        <v>-2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1478.1167061705444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1444.26726864383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0.70320414653039542</v>
      </c>
      <c r="R129" s="1">
        <v>79</v>
      </c>
      <c r="S129" s="1">
        <v>56</v>
      </c>
      <c r="T129" s="1">
        <v>0</v>
      </c>
      <c r="U129" s="1">
        <f>Games[[#This Row],[PointsFor]]-Games[[#This Row],[PointsAgainst]]</f>
        <v>23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0.59845658685428926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74.650000000000006</v>
      </c>
      <c r="Z129" s="4">
        <f>Games[[#This Row],[K]]*Games[[#This Row],[POMult]]</f>
        <v>74.650000000000006</v>
      </c>
      <c r="AA129" s="4">
        <f>(Games[[#This Row],[Keff]]*Games[[#This Row],[MOVMult]])*(Games[[#This Row],[Result]]-Games[[#This Row],[ExpectedWin%]])</f>
        <v>13.259290707783427</v>
      </c>
      <c r="AB129" s="4">
        <f>Games[[#This Row],[PreGmRate]]+Games[[#This Row],[RatingChange]]</f>
        <v>1491.3759968783279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46174</v>
      </c>
      <c r="B130" s="2">
        <v>2026</v>
      </c>
      <c r="C130" s="2">
        <f>COUNTIFS(Games[Team],Games[[#This Row],[Team]],Games[Season],Games[[#This Row],[Season]],Games[Date],"&lt;=" &amp; Games[[#This Row],[Date]])</f>
        <v>9</v>
      </c>
      <c r="D130" s="2" t="s">
        <v>79</v>
      </c>
      <c r="E130" s="2" t="s">
        <v>80</v>
      </c>
      <c r="F130" s="1" t="s">
        <v>67</v>
      </c>
      <c r="G130" s="1" t="s">
        <v>40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1623.041467006366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1480.9349894229269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0.58285091873902539</v>
      </c>
      <c r="R130" s="1">
        <v>111</v>
      </c>
      <c r="S130" s="1">
        <v>77</v>
      </c>
      <c r="T130" s="1">
        <v>0</v>
      </c>
      <c r="U130" s="1">
        <f>Games[[#This Row],[PointsFor]]-Games[[#This Row],[PointsAgainst]]</f>
        <v>34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0.67119975880382687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74.650000000000006</v>
      </c>
      <c r="Z130" s="4">
        <f>Games[[#This Row],[K]]*Games[[#This Row],[POMult]]</f>
        <v>74.650000000000006</v>
      </c>
      <c r="AA130" s="4">
        <f>(Games[[#This Row],[Keff]]*Games[[#This Row],[MOVMult]])*(Games[[#This Row],[Result]]-Games[[#This Row],[ExpectedWin%]])</f>
        <v>20.901280577615651</v>
      </c>
      <c r="AB130" s="4">
        <f>Games[[#This Row],[PreGmRate]]+Games[[#This Row],[RatingChange]]</f>
        <v>1643.9427475839816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46174</v>
      </c>
      <c r="B131" s="2">
        <v>2026</v>
      </c>
      <c r="C131" s="2">
        <f>COUNTIFS(Games[Team],Games[[#This Row],[Team]],Games[Season],Games[[#This Row],[Season]],Games[Date],"&lt;=" &amp; Games[[#This Row],[Date]])</f>
        <v>10</v>
      </c>
      <c r="D131" s="2" t="s">
        <v>79</v>
      </c>
      <c r="E131" s="2" t="s">
        <v>80</v>
      </c>
      <c r="F131" s="1" t="s">
        <v>40</v>
      </c>
      <c r="G131" s="1" t="s">
        <v>67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1480.9349894229269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1623.041467006366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0.41714908126097461</v>
      </c>
      <c r="R131" s="1">
        <v>77</v>
      </c>
      <c r="S131" s="1">
        <v>111</v>
      </c>
      <c r="T131" s="1">
        <v>0</v>
      </c>
      <c r="U131" s="1">
        <f>Games[[#This Row],[PointsFor]]-Games[[#This Row],[PointsAgainst]]</f>
        <v>-34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0.67119975880382687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-20.859282023206507</v>
      </c>
      <c r="AB131" s="4">
        <f>Games[[#This Row],[PreGmRate]]+Games[[#This Row],[RatingChange]]</f>
        <v>1460.0757073997204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46175</v>
      </c>
      <c r="B132" s="2">
        <v>2026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74</v>
      </c>
      <c r="G132" s="1" t="s">
        <v>77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1373.6120435966936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1595.5802472446255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0.13547443036390461</v>
      </c>
      <c r="R132" s="1">
        <v>75</v>
      </c>
      <c r="S132" s="1">
        <v>91</v>
      </c>
      <c r="T132" s="1">
        <v>0</v>
      </c>
      <c r="U132" s="1">
        <f>Games[[#This Row],[PointsFor]]-Games[[#This Row],[PointsAgainst]]</f>
        <v>-16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0.43696000876958702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-4.4012901306080785</v>
      </c>
      <c r="AB132" s="4">
        <f>Games[[#This Row],[PreGmRate]]+Games[[#This Row],[RatingChange]]</f>
        <v>1369.2107534660856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46175</v>
      </c>
      <c r="B133" s="2">
        <v>2026</v>
      </c>
      <c r="C133" s="2">
        <f>COUNTIFS(Games[Team],Games[[#This Row],[Team]],Games[Season],Games[[#This Row],[Season]],Games[Date],"&lt;=" &amp; Games[[#This Row],[Date]])</f>
        <v>8</v>
      </c>
      <c r="D133" s="2" t="s">
        <v>79</v>
      </c>
      <c r="E133" s="2" t="s">
        <v>80</v>
      </c>
      <c r="F133" s="1" t="s">
        <v>77</v>
      </c>
      <c r="G133" s="1" t="s">
        <v>74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1595.5802472446255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1373.6120435966936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0.86452556963609528</v>
      </c>
      <c r="R133" s="1">
        <v>91</v>
      </c>
      <c r="S133" s="1">
        <v>75</v>
      </c>
      <c r="T133" s="1">
        <v>0</v>
      </c>
      <c r="U133" s="1">
        <f>Games[[#This Row],[PointsFor]]-Games[[#This Row],[PointsAgainst]]</f>
        <v>16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0.43696000876958702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74.8</v>
      </c>
      <c r="Z133" s="4">
        <f>Games[[#This Row],[K]]*Games[[#This Row],[POMult]]</f>
        <v>74.8</v>
      </c>
      <c r="AA133" s="4">
        <f>(Games[[#This Row],[Keff]]*Games[[#This Row],[MOVMult]])*(Games[[#This Row],[Result]]-Games[[#This Row],[ExpectedWin%]])</f>
        <v>4.4279287393340221</v>
      </c>
      <c r="AB133" s="4">
        <f>Games[[#This Row],[PreGmRate]]+Games[[#This Row],[RatingChange]]</f>
        <v>1600.0081759839595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46175</v>
      </c>
      <c r="B134" s="2">
        <v>2026</v>
      </c>
      <c r="C134" s="2">
        <f>COUNTIFS(Games[Team],Games[[#This Row],[Team]],Games[Season],Games[[#This Row],[Season]],Games[Date],"&lt;=" &amp; Games[[#This Row],[Date]])</f>
        <v>11</v>
      </c>
      <c r="D134" s="2" t="s">
        <v>79</v>
      </c>
      <c r="E134" s="2" t="s">
        <v>80</v>
      </c>
      <c r="F134" s="1" t="s">
        <v>89</v>
      </c>
      <c r="G134" s="1" t="s">
        <v>87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1</v>
      </c>
      <c r="L134" s="2">
        <f>Games[[#This Row],[OppDaysOff]]-Games[[#This Row],[DaysOff]]</f>
        <v>-1</v>
      </c>
      <c r="M134" s="1">
        <f>MAX(-16, MIN(16, Games[[#This Row],[RestDiff]]*8))</f>
        <v>8</v>
      </c>
      <c r="N134" s="1">
        <f>MAX(-16, MIN(16, Games[[#This Row],[OppRestDiff]]*8))</f>
        <v>-8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1503.2963341125994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1537.0699136939393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0.35758628600246145</v>
      </c>
      <c r="R134" s="1">
        <v>77</v>
      </c>
      <c r="S134" s="1">
        <v>95</v>
      </c>
      <c r="T134" s="1">
        <v>0</v>
      </c>
      <c r="U134" s="1">
        <f>Games[[#This Row],[PointsFor]]-Games[[#This Row],[PointsAgainst]]</f>
        <v>-18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0.53186478411562033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-14.140444551230608</v>
      </c>
      <c r="AB134" s="4">
        <f>Games[[#This Row],[PreGmRate]]+Games[[#This Row],[RatingChange]]</f>
        <v>1489.1558895613689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46175</v>
      </c>
      <c r="B135" s="2">
        <v>2026</v>
      </c>
      <c r="C135" s="2">
        <f>COUNTIFS(Games[Team],Games[[#This Row],[Team]],Games[Season],Games[[#This Row],[Season]],Games[Date],"&lt;=" &amp; Games[[#This Row],[Date]])</f>
        <v>9</v>
      </c>
      <c r="D135" s="2" t="s">
        <v>79</v>
      </c>
      <c r="E135" s="2" t="s">
        <v>80</v>
      </c>
      <c r="F135" s="1" t="s">
        <v>87</v>
      </c>
      <c r="G135" s="1" t="s">
        <v>89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-1</v>
      </c>
      <c r="L135" s="2">
        <f>Games[[#This Row],[OppDaysOff]]-Games[[#This Row],[DaysOff]]</f>
        <v>1</v>
      </c>
      <c r="M135" s="1">
        <f>MAX(-16, MIN(16, Games[[#This Row],[RestDiff]]*8))</f>
        <v>-8</v>
      </c>
      <c r="N135" s="1">
        <f>MAX(-16, MIN(16, Games[[#This Row],[OppRestDiff]]*8))</f>
        <v>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1537.0699136939393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1503.2963341125994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0.64241371399753855</v>
      </c>
      <c r="R135" s="1">
        <v>95</v>
      </c>
      <c r="S135" s="1">
        <v>77</v>
      </c>
      <c r="T135" s="1">
        <v>0</v>
      </c>
      <c r="U135" s="1">
        <f>Games[[#This Row],[PointsFor]]-Games[[#This Row],[PointsAgainst]]</f>
        <v>18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0.53186478411562033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74.650000000000006</v>
      </c>
      <c r="Z135" s="4">
        <f>Games[[#This Row],[K]]*Games[[#This Row],[POMult]]</f>
        <v>74.650000000000006</v>
      </c>
      <c r="AA135" s="4">
        <f>(Games[[#This Row],[Keff]]*Games[[#This Row],[MOVMult]])*(Games[[#This Row],[Result]]-Games[[#This Row],[ExpectedWin%]])</f>
        <v>14.197500817072832</v>
      </c>
      <c r="AB135" s="4">
        <f>Games[[#This Row],[PreGmRate]]+Games[[#This Row],[RatingChange]]</f>
        <v>1551.267414511012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46175</v>
      </c>
      <c r="B136" s="2">
        <v>2026</v>
      </c>
      <c r="C136" s="2">
        <f>COUNTIFS(Games[Team],Games[[#This Row],[Team]],Games[Season],Games[[#This Row],[Season]],Games[Date],"&lt;=" &amp; Games[[#This Row],[Date]])</f>
        <v>9</v>
      </c>
      <c r="D136" s="2" t="s">
        <v>79</v>
      </c>
      <c r="E136" s="2" t="s">
        <v>80</v>
      </c>
      <c r="F136" s="1" t="s">
        <v>85</v>
      </c>
      <c r="G136" s="1" t="s">
        <v>63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-1</v>
      </c>
      <c r="L136" s="2">
        <f>Games[[#This Row],[OppDaysOff]]-Games[[#This Row],[DaysOff]]</f>
        <v>1</v>
      </c>
      <c r="M136" s="1">
        <f>MAX(-16, MIN(16, Games[[#This Row],[RestDiff]]*8))</f>
        <v>-8</v>
      </c>
      <c r="N136" s="1">
        <f>MAX(-16, MIN(16, Games[[#This Row],[OppRestDiff]]*8))</f>
        <v>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1613.5965689079369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1473.9037643366269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0.55687530828967802</v>
      </c>
      <c r="R136" s="1">
        <v>79</v>
      </c>
      <c r="S136" s="1">
        <v>69</v>
      </c>
      <c r="T136" s="1">
        <v>0</v>
      </c>
      <c r="U136" s="1">
        <f>Games[[#This Row],[PointsFor]]-Games[[#This Row],[PointsAgainst]]</f>
        <v>10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0.37900900674107757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74.650000000000006</v>
      </c>
      <c r="Z136" s="4">
        <f>Games[[#This Row],[K]]*Games[[#This Row],[POMult]]</f>
        <v>74.650000000000006</v>
      </c>
      <c r="AA136" s="4">
        <f>(Games[[#This Row],[Keff]]*Games[[#This Row],[MOVMult]])*(Games[[#This Row],[Result]]-Games[[#This Row],[ExpectedWin%]])</f>
        <v>12.5373368078245</v>
      </c>
      <c r="AB136" s="4">
        <f>Games[[#This Row],[PreGmRate]]+Games[[#This Row],[RatingChange]]</f>
        <v>1626.1339057157613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46175</v>
      </c>
      <c r="B137" s="2">
        <v>2026</v>
      </c>
      <c r="C137" s="2">
        <f>COUNTIFS(Games[Team],Games[[#This Row],[Team]],Games[Season],Games[[#This Row],[Season]],Games[Date],"&lt;=" &amp; Games[[#This Row],[Date]])</f>
        <v>9</v>
      </c>
      <c r="D137" s="2" t="s">
        <v>79</v>
      </c>
      <c r="E137" s="2" t="s">
        <v>80</v>
      </c>
      <c r="F137" s="1" t="s">
        <v>63</v>
      </c>
      <c r="G137" s="1" t="s">
        <v>85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1</v>
      </c>
      <c r="L137" s="2">
        <f>Games[[#This Row],[OppDaysOff]]-Games[[#This Row],[DaysOff]]</f>
        <v>-1</v>
      </c>
      <c r="M137" s="1">
        <f>MAX(-16, MIN(16, Games[[#This Row],[RestDiff]]*8))</f>
        <v>8</v>
      </c>
      <c r="N137" s="1">
        <f>MAX(-16, MIN(16, Games[[#This Row],[OppRestDiff]]*8))</f>
        <v>-8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1473.9037643366269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1613.5965689079369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0.44312469171032204</v>
      </c>
      <c r="R137" s="1">
        <v>69</v>
      </c>
      <c r="S137" s="1">
        <v>79</v>
      </c>
      <c r="T137" s="1">
        <v>0</v>
      </c>
      <c r="U137" s="1">
        <f>Games[[#This Row],[PointsFor]]-Games[[#This Row],[PointsAgainst]]</f>
        <v>-10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0.37900900674107757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74.650000000000006</v>
      </c>
      <c r="Z137" s="4">
        <f>Games[[#This Row],[K]]*Games[[#This Row],[POMult]]</f>
        <v>74.650000000000006</v>
      </c>
      <c r="AA137" s="4">
        <f>(Games[[#This Row],[Keff]]*Games[[#This Row],[MOVMult]])*(Games[[#This Row],[Result]]-Games[[#This Row],[ExpectedWin%]])</f>
        <v>-12.537336807824502</v>
      </c>
      <c r="AB137" s="4">
        <f>Games[[#This Row],[PreGmRate]]+Games[[#This Row],[RatingChange]]</f>
        <v>1461.3664275288024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46175</v>
      </c>
      <c r="B138" s="2">
        <v>2026</v>
      </c>
      <c r="C138" s="2">
        <f>COUNTIFS(Games[Team],Games[[#This Row],[Team]],Games[Season],Games[[#This Row],[Season]],Games[Date],"&lt;=" &amp; Games[[#This Row],[Date]])</f>
        <v>9</v>
      </c>
      <c r="D138" s="2" t="s">
        <v>79</v>
      </c>
      <c r="E138" s="2" t="s">
        <v>80</v>
      </c>
      <c r="F138" s="1" t="s">
        <v>75</v>
      </c>
      <c r="G138" s="1" t="s">
        <v>65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1391.3304096695783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1424.4185449298116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0.33759873725255446</v>
      </c>
      <c r="R138" s="1">
        <v>72</v>
      </c>
      <c r="S138" s="1">
        <v>90</v>
      </c>
      <c r="T138" s="1">
        <v>0</v>
      </c>
      <c r="U138" s="1">
        <f>Games[[#This Row],[PointsFor]]-Games[[#This Row],[PointsAgainst]]</f>
        <v>-18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0.53216043507960575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74.650000000000006</v>
      </c>
      <c r="Z138" s="4">
        <f>Games[[#This Row],[K]]*Games[[#This Row],[POMult]]</f>
        <v>74.650000000000006</v>
      </c>
      <c r="AA138" s="4">
        <f>(Games[[#This Row],[Keff]]*Games[[#This Row],[MOVMult]])*(Games[[#This Row],[Result]]-Games[[#This Row],[ExpectedWin%]])</f>
        <v>-13.411371975583842</v>
      </c>
      <c r="AB138" s="4">
        <f>Games[[#This Row],[PreGmRate]]+Games[[#This Row],[RatingChange]]</f>
        <v>1377.9190376939946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46175</v>
      </c>
      <c r="B139" s="2">
        <v>2026</v>
      </c>
      <c r="C139" s="2">
        <f>COUNTIFS(Games[Team],Games[[#This Row],[Team]],Games[Season],Games[[#This Row],[Season]],Games[Date],"&lt;=" &amp; Games[[#This Row],[Date]])</f>
        <v>8</v>
      </c>
      <c r="D139" s="2" t="s">
        <v>79</v>
      </c>
      <c r="E139" s="2" t="s">
        <v>80</v>
      </c>
      <c r="F139" s="1" t="s">
        <v>65</v>
      </c>
      <c r="G139" s="1" t="s">
        <v>75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1424.4185449298116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1391.3304096695783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0.66240126274744549</v>
      </c>
      <c r="R139" s="1">
        <v>90</v>
      </c>
      <c r="S139" s="1">
        <v>72</v>
      </c>
      <c r="T139" s="1">
        <v>0</v>
      </c>
      <c r="U139" s="1">
        <f>Games[[#This Row],[PointsFor]]-Games[[#This Row],[PointsAgainst]]</f>
        <v>18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0.53216043507960575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74.8</v>
      </c>
      <c r="Z139" s="4">
        <f>Games[[#This Row],[K]]*Games[[#This Row],[POMult]]</f>
        <v>74.8</v>
      </c>
      <c r="AA139" s="4">
        <f>(Games[[#This Row],[Keff]]*Games[[#This Row],[MOVMult]])*(Games[[#This Row],[Result]]-Games[[#This Row],[ExpectedWin%]])</f>
        <v>13.438320479218641</v>
      </c>
      <c r="AB139" s="4">
        <f>Games[[#This Row],[PreGmRate]]+Games[[#This Row],[RatingChange]]</f>
        <v>1437.8568654090302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46176</v>
      </c>
      <c r="B140" s="2">
        <v>2026</v>
      </c>
      <c r="C140" s="2">
        <f>COUNTIFS(Games[Team],Games[[#This Row],[Team]],Games[Season],Games[[#This Row],[Season]],Games[Date],"&lt;=" &amp; Games[[#This Row],[Date]])</f>
        <v>10</v>
      </c>
      <c r="D140" s="2" t="s">
        <v>79</v>
      </c>
      <c r="E140" s="2" t="s">
        <v>80</v>
      </c>
      <c r="F140" s="1" t="s">
        <v>90</v>
      </c>
      <c r="G140" s="1" t="s">
        <v>60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1512.0678753679376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1516.0876428247695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0.35462150642696266</v>
      </c>
      <c r="R140" s="1">
        <v>82</v>
      </c>
      <c r="S140" s="1">
        <v>97</v>
      </c>
      <c r="T140" s="1">
        <v>0</v>
      </c>
      <c r="U140" s="1">
        <f>Games[[#This Row],[PointsFor]]-Games[[#This Row],[PointsAgainst]]</f>
        <v>-15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0.50116920831713063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74.5</v>
      </c>
      <c r="Z140" s="4">
        <f>Games[[#This Row],[K]]*Games[[#This Row],[POMult]]</f>
        <v>74.5</v>
      </c>
      <c r="AA140" s="4">
        <f>(Games[[#This Row],[Keff]]*Games[[#This Row],[MOVMult]])*(Games[[#This Row],[Result]]-Games[[#This Row],[ExpectedWin%]])</f>
        <v>-13.240540782303071</v>
      </c>
      <c r="AB140" s="4">
        <f>Games[[#This Row],[PreGmRate]]+Games[[#This Row],[RatingChange]]</f>
        <v>1498.8273345856346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46176</v>
      </c>
      <c r="B141" s="2">
        <v>2026</v>
      </c>
      <c r="C141" s="2">
        <f>COUNTIFS(Games[Team],Games[[#This Row],[Team]],Games[Season],Games[[#This Row],[Season]],Games[Date],"&lt;=" &amp; Games[[#This Row],[Date]])</f>
        <v>10</v>
      </c>
      <c r="D141" s="2" t="s">
        <v>79</v>
      </c>
      <c r="E141" s="2" t="s">
        <v>80</v>
      </c>
      <c r="F141" s="1" t="s">
        <v>60</v>
      </c>
      <c r="G141" s="1" t="s">
        <v>90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1516.0876428247695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1512.0678753679376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0.64537849357303734</v>
      </c>
      <c r="R141" s="1">
        <v>97</v>
      </c>
      <c r="S141" s="1">
        <v>82</v>
      </c>
      <c r="T141" s="1">
        <v>0</v>
      </c>
      <c r="U141" s="1">
        <f>Games[[#This Row],[PointsFor]]-Games[[#This Row],[PointsAgainst]]</f>
        <v>15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0.50116920831713063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74.5</v>
      </c>
      <c r="Z141" s="4">
        <f>Games[[#This Row],[K]]*Games[[#This Row],[POMult]]</f>
        <v>74.5</v>
      </c>
      <c r="AA141" s="4">
        <f>(Games[[#This Row],[Keff]]*Games[[#This Row],[MOVMult]])*(Games[[#This Row],[Result]]-Games[[#This Row],[ExpectedWin%]])</f>
        <v>13.240540782303071</v>
      </c>
      <c r="AB141" s="4">
        <f>Games[[#This Row],[PreGmRate]]+Games[[#This Row],[RatingChange]]</f>
        <v>1529.3281836070726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46176</v>
      </c>
      <c r="B142" s="2">
        <v>2026</v>
      </c>
      <c r="C142" s="2">
        <f>COUNTIFS(Games[Team],Games[[#This Row],[Team]],Games[Season],Games[[#This Row],[Season]],Games[Date],"&lt;=" &amp; Games[[#This Row],[Date]])</f>
        <v>11</v>
      </c>
      <c r="D142" s="2" t="s">
        <v>79</v>
      </c>
      <c r="E142" s="2" t="s">
        <v>80</v>
      </c>
      <c r="F142" s="1" t="s">
        <v>40</v>
      </c>
      <c r="G142" s="1" t="s">
        <v>71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1460.0757073997204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1431.0346208510655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0.42156091968944409</v>
      </c>
      <c r="R142" s="1">
        <v>72</v>
      </c>
      <c r="S142" s="1">
        <v>68</v>
      </c>
      <c r="T142" s="1">
        <v>0</v>
      </c>
      <c r="U142" s="1">
        <f>Games[[#This Row],[PointsFor]]-Games[[#This Row],[PointsAgainst]]</f>
        <v>4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0.30407387187853829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13.077288472674532</v>
      </c>
      <c r="AB142" s="4">
        <f>Games[[#This Row],[PreGmRate]]+Games[[#This Row],[RatingChange]]</f>
        <v>1473.152995872395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46176</v>
      </c>
      <c r="B143" s="2">
        <v>2026</v>
      </c>
      <c r="C143" s="2">
        <f>COUNTIFS(Games[Team],Games[[#This Row],[Team]],Games[Season],Games[[#This Row],[Season]],Games[Date],"&lt;=" &amp; Games[[#This Row],[Date]])</f>
        <v>11</v>
      </c>
      <c r="D143" s="2" t="s">
        <v>79</v>
      </c>
      <c r="E143" s="2" t="s">
        <v>80</v>
      </c>
      <c r="F143" s="1" t="s">
        <v>71</v>
      </c>
      <c r="G143" s="1" t="s">
        <v>40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1431.0346208510655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1460.0757073997204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0.57843908031055591</v>
      </c>
      <c r="R143" s="1">
        <v>68</v>
      </c>
      <c r="S143" s="1">
        <v>72</v>
      </c>
      <c r="T143" s="1">
        <v>0</v>
      </c>
      <c r="U143" s="1">
        <f>Games[[#This Row],[PointsFor]]-Games[[#This Row],[PointsAgainst]]</f>
        <v>-4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0.30407387187853829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-13.077288472674532</v>
      </c>
      <c r="AB143" s="4">
        <f>Games[[#This Row],[PreGmRate]]+Games[[#This Row],[RatingChange]]</f>
        <v>1417.9573323783909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46177</v>
      </c>
      <c r="B144" s="2">
        <v>2026</v>
      </c>
      <c r="C144" s="2">
        <f>COUNTIFS(Games[Team],Games[[#This Row],[Team]],Games[Season],Games[[#This Row],[Season]],Games[Date],"&lt;=" &amp; Games[[#This Row],[Date]])</f>
        <v>9</v>
      </c>
      <c r="D144" s="2" t="s">
        <v>79</v>
      </c>
      <c r="E144" s="2" t="s">
        <v>80</v>
      </c>
      <c r="F144" s="1" t="s">
        <v>77</v>
      </c>
      <c r="G144" s="1" t="s">
        <v>69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4" s="2">
        <f>Games[[#This Row],[DaysOff]]-Games[[#This Row],[OppDaysOff]]</f>
        <v>-3</v>
      </c>
      <c r="L144" s="2">
        <f>Games[[#This Row],[OppDaysOff]]-Games[[#This Row],[DaysOff]]</f>
        <v>3</v>
      </c>
      <c r="M144" s="1">
        <f>MAX(-16, MIN(16, Games[[#This Row],[RestDiff]]*8))</f>
        <v>-16</v>
      </c>
      <c r="N144" s="1">
        <f>MAX(-16, MIN(16, Games[[#This Row],[OppRestDiff]]*8))</f>
        <v>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1600.0081759839595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1532.2169534860736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0.4310638400345882</v>
      </c>
      <c r="R144" s="1">
        <v>71</v>
      </c>
      <c r="S144" s="1">
        <v>83</v>
      </c>
      <c r="T144" s="1">
        <v>0</v>
      </c>
      <c r="U144" s="1">
        <f>Games[[#This Row],[PointsFor]]-Games[[#This Row],[PointsAgainst]]</f>
        <v>-12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0.43173932898305861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74.650000000000006</v>
      </c>
      <c r="Z144" s="4">
        <f>Games[[#This Row],[K]]*Games[[#This Row],[POMult]]</f>
        <v>74.650000000000006</v>
      </c>
      <c r="AA144" s="4">
        <f>(Games[[#This Row],[Keff]]*Games[[#This Row],[MOVMult]])*(Games[[#This Row],[Result]]-Games[[#This Row],[ExpectedWin%]])</f>
        <v>-13.892903453838635</v>
      </c>
      <c r="AB144" s="4">
        <f>Games[[#This Row],[PreGmRate]]+Games[[#This Row],[RatingChange]]</f>
        <v>1586.1152725301208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46177</v>
      </c>
      <c r="B145" s="2">
        <v>2026</v>
      </c>
      <c r="C145" s="2">
        <f>COUNTIFS(Games[Team],Games[[#This Row],[Team]],Games[Season],Games[[#This Row],[Season]],Games[Date],"&lt;=" &amp; Games[[#This Row],[Date]])</f>
        <v>9</v>
      </c>
      <c r="D145" s="2" t="s">
        <v>79</v>
      </c>
      <c r="E145" s="2" t="s">
        <v>80</v>
      </c>
      <c r="F145" s="1" t="s">
        <v>69</v>
      </c>
      <c r="G145" s="1" t="s">
        <v>77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3</v>
      </c>
      <c r="L145" s="2">
        <f>Games[[#This Row],[OppDaysOff]]-Games[[#This Row],[DaysOff]]</f>
        <v>-3</v>
      </c>
      <c r="M145" s="1">
        <f>MAX(-16, MIN(16, Games[[#This Row],[RestDiff]]*8))</f>
        <v>16</v>
      </c>
      <c r="N145" s="1">
        <f>MAX(-16, MIN(16, Games[[#This Row],[OppRestDiff]]*8))</f>
        <v>-16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1532.2169534860736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1600.0081759839595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0.5689361599654118</v>
      </c>
      <c r="R145" s="1">
        <v>83</v>
      </c>
      <c r="S145" s="1">
        <v>71</v>
      </c>
      <c r="T145" s="1">
        <v>0</v>
      </c>
      <c r="U145" s="1">
        <f>Games[[#This Row],[PointsFor]]-Games[[#This Row],[PointsAgainst]]</f>
        <v>12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0.43173932898305861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74.650000000000006</v>
      </c>
      <c r="Z145" s="4">
        <f>Games[[#This Row],[K]]*Games[[#This Row],[POMult]]</f>
        <v>74.650000000000006</v>
      </c>
      <c r="AA145" s="4">
        <f>(Games[[#This Row],[Keff]]*Games[[#This Row],[MOVMult]])*(Games[[#This Row],[Result]]-Games[[#This Row],[ExpectedWin%]])</f>
        <v>13.892903453838635</v>
      </c>
      <c r="AB145" s="4">
        <f>Games[[#This Row],[PreGmRate]]+Games[[#This Row],[RatingChange]]</f>
        <v>1546.1098569399123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46177</v>
      </c>
      <c r="B146" s="2">
        <v>2026</v>
      </c>
      <c r="C146" s="2">
        <f>COUNTIFS(Games[Team],Games[[#This Row],[Team]],Games[Season],Games[[#This Row],[Season]],Games[Date],"&lt;=" &amp; Games[[#This Row],[Date]])</f>
        <v>10</v>
      </c>
      <c r="D146" s="2" t="s">
        <v>79</v>
      </c>
      <c r="E146" s="2" t="s">
        <v>80</v>
      </c>
      <c r="F146" s="1" t="s">
        <v>87</v>
      </c>
      <c r="G146" s="1" t="s">
        <v>67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1551.267414511012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1643.9427475839816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0.24803342224165567</v>
      </c>
      <c r="R146" s="1">
        <v>84</v>
      </c>
      <c r="S146" s="1">
        <v>87</v>
      </c>
      <c r="T146" s="1">
        <v>0</v>
      </c>
      <c r="U146" s="1">
        <f>Games[[#This Row],[PointsFor]]-Games[[#This Row],[PointsAgainst]]</f>
        <v>-3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0.26937949259900756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74.5</v>
      </c>
      <c r="Z146" s="4">
        <f>Games[[#This Row],[K]]*Games[[#This Row],[POMult]]</f>
        <v>74.5</v>
      </c>
      <c r="AA146" s="4">
        <f>(Games[[#This Row],[Keff]]*Games[[#This Row],[MOVMult]])*(Games[[#This Row],[Result]]-Games[[#This Row],[ExpectedWin%]])</f>
        <v>-4.9777262486134193</v>
      </c>
      <c r="AB146" s="4">
        <f>Games[[#This Row],[PreGmRate]]+Games[[#This Row],[RatingChange]]</f>
        <v>1546.2896882623986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46177</v>
      </c>
      <c r="B147" s="2">
        <v>2026</v>
      </c>
      <c r="C147" s="2">
        <f>COUNTIFS(Games[Team],Games[[#This Row],[Team]],Games[Season],Games[[#This Row],[Season]],Games[Date],"&lt;=" &amp; Games[[#This Row],[Date]])</f>
        <v>10</v>
      </c>
      <c r="D147" s="2" t="s">
        <v>79</v>
      </c>
      <c r="E147" s="2" t="s">
        <v>80</v>
      </c>
      <c r="F147" s="1" t="s">
        <v>67</v>
      </c>
      <c r="G147" s="1" t="s">
        <v>87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1643.9427475839816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1551.267414511012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0.75196657775834441</v>
      </c>
      <c r="R147" s="1">
        <v>87</v>
      </c>
      <c r="S147" s="1">
        <v>84</v>
      </c>
      <c r="T147" s="1">
        <v>0</v>
      </c>
      <c r="U147" s="1">
        <f>Games[[#This Row],[PointsFor]]-Games[[#This Row],[PointsAgainst]]</f>
        <v>3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0.26937949259900756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74.5</v>
      </c>
      <c r="Z147" s="4">
        <f>Games[[#This Row],[K]]*Games[[#This Row],[POMult]]</f>
        <v>74.5</v>
      </c>
      <c r="AA147" s="4">
        <f>(Games[[#This Row],[Keff]]*Games[[#This Row],[MOVMult]])*(Games[[#This Row],[Result]]-Games[[#This Row],[ExpectedWin%]])</f>
        <v>4.9777262486134175</v>
      </c>
      <c r="AB147" s="4">
        <f>Games[[#This Row],[PreGmRate]]+Games[[#This Row],[RatingChange]]</f>
        <v>1648.920473832595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46178</v>
      </c>
      <c r="B148" s="2">
        <v>2026</v>
      </c>
      <c r="C148" s="2">
        <f>COUNTIFS(Games[Team],Games[[#This Row],[Team]],Games[Season],Games[[#This Row],[Season]],Games[Date],"&lt;=" &amp; Games[[#This Row],[Date]])</f>
        <v>12</v>
      </c>
      <c r="D148" s="2" t="s">
        <v>79</v>
      </c>
      <c r="E148" s="2" t="s">
        <v>80</v>
      </c>
      <c r="F148" s="1" t="s">
        <v>74</v>
      </c>
      <c r="G148" s="1" t="s">
        <v>75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1369.2107534660856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1377.9190376939946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0.36966091082928082</v>
      </c>
      <c r="R148" s="1">
        <v>80</v>
      </c>
      <c r="S148" s="1">
        <v>85</v>
      </c>
      <c r="T148" s="1">
        <v>0</v>
      </c>
      <c r="U148" s="1">
        <f>Games[[#This Row],[PointsFor]]-Games[[#This Row],[PointsAgainst]]</f>
        <v>-5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0.32936579962947604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-9.0341216823388528</v>
      </c>
      <c r="AB148" s="4">
        <f>Games[[#This Row],[PreGmRate]]+Games[[#This Row],[RatingChange]]</f>
        <v>1360.1766317837469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46178</v>
      </c>
      <c r="B149" s="2">
        <v>2026</v>
      </c>
      <c r="C149" s="2">
        <f>COUNTIFS(Games[Team],Games[[#This Row],[Team]],Games[Season],Games[[#This Row],[Season]],Games[Date],"&lt;=" &amp; Games[[#This Row],[Date]])</f>
        <v>10</v>
      </c>
      <c r="D149" s="2" t="s">
        <v>79</v>
      </c>
      <c r="E149" s="2" t="s">
        <v>80</v>
      </c>
      <c r="F149" s="1" t="s">
        <v>75</v>
      </c>
      <c r="G149" s="1" t="s">
        <v>74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1377.9190376939946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1369.2107534660856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0.63033908917071924</v>
      </c>
      <c r="R149" s="1">
        <v>85</v>
      </c>
      <c r="S149" s="1">
        <v>80</v>
      </c>
      <c r="T149" s="1">
        <v>0</v>
      </c>
      <c r="U149" s="1">
        <f>Games[[#This Row],[PointsFor]]-Games[[#This Row],[PointsAgainst]]</f>
        <v>5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0.32936579962947604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74.5</v>
      </c>
      <c r="Z149" s="4">
        <f>Games[[#This Row],[K]]*Games[[#This Row],[POMult]]</f>
        <v>74.5</v>
      </c>
      <c r="AA149" s="4">
        <f>(Games[[#This Row],[Keff]]*Games[[#This Row],[MOVMult]])*(Games[[#This Row],[Result]]-Games[[#This Row],[ExpectedWin%]])</f>
        <v>9.070647780784963</v>
      </c>
      <c r="AB149" s="4">
        <f>Games[[#This Row],[PreGmRate]]+Games[[#This Row],[RatingChange]]</f>
        <v>1386.9896854747797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46178</v>
      </c>
      <c r="B150" s="2">
        <v>2026</v>
      </c>
      <c r="C150" s="2">
        <f>COUNTIFS(Games[Team],Games[[#This Row],[Team]],Games[Season],Games[[#This Row],[Season]],Games[Date],"&lt;=" &amp; Games[[#This Row],[Date]])</f>
        <v>10</v>
      </c>
      <c r="D150" s="2" t="s">
        <v>79</v>
      </c>
      <c r="E150" s="2" t="s">
        <v>80</v>
      </c>
      <c r="F150" s="1" t="s">
        <v>84</v>
      </c>
      <c r="G150" s="1" t="s">
        <v>63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1</v>
      </c>
      <c r="L150" s="2">
        <f>Games[[#This Row],[OppDaysOff]]-Games[[#This Row],[DaysOff]]</f>
        <v>-1</v>
      </c>
      <c r="M150" s="1">
        <f>MAX(-16, MIN(16, Games[[#This Row],[RestDiff]]*8))</f>
        <v>8</v>
      </c>
      <c r="N150" s="1">
        <f>MAX(-16, MIN(16, Games[[#This Row],[OppRestDiff]]*8))</f>
        <v>-8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1491.3759968783279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1461.3664275288024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0.44554423398595222</v>
      </c>
      <c r="R150" s="1">
        <v>104</v>
      </c>
      <c r="S150" s="1">
        <v>96</v>
      </c>
      <c r="T150" s="1">
        <v>0</v>
      </c>
      <c r="U150" s="1">
        <f>Games[[#This Row],[PointsFor]]-Games[[#This Row],[PointsAgainst]]</f>
        <v>8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0.37884147702203108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74.5</v>
      </c>
      <c r="Z150" s="4">
        <f>Games[[#This Row],[K]]*Games[[#This Row],[POMult]]</f>
        <v>74.5</v>
      </c>
      <c r="AA150" s="4">
        <f>(Games[[#This Row],[Keff]]*Games[[#This Row],[MOVMult]])*(Games[[#This Row],[Result]]-Games[[#This Row],[ExpectedWin%]])</f>
        <v>15.648787679840693</v>
      </c>
      <c r="AB150" s="4">
        <f>Games[[#This Row],[PreGmRate]]+Games[[#This Row],[RatingChange]]</f>
        <v>1507.0247845581687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46178</v>
      </c>
      <c r="B151" s="2">
        <v>2026</v>
      </c>
      <c r="C151" s="2">
        <f>COUNTIFS(Games[Team],Games[[#This Row],[Team]],Games[Season],Games[[#This Row],[Season]],Games[Date],"&lt;=" &amp; Games[[#This Row],[Date]])</f>
        <v>10</v>
      </c>
      <c r="D151" s="2" t="s">
        <v>79</v>
      </c>
      <c r="E151" s="2" t="s">
        <v>80</v>
      </c>
      <c r="F151" s="1" t="s">
        <v>63</v>
      </c>
      <c r="G151" s="1" t="s">
        <v>84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1" s="2">
        <f>Games[[#This Row],[DaysOff]]-Games[[#This Row],[OppDaysOff]]</f>
        <v>-1</v>
      </c>
      <c r="L151" s="2">
        <f>Games[[#This Row],[OppDaysOff]]-Games[[#This Row],[DaysOff]]</f>
        <v>1</v>
      </c>
      <c r="M151" s="1">
        <f>MAX(-16, MIN(16, Games[[#This Row],[RestDiff]]*8))</f>
        <v>-8</v>
      </c>
      <c r="N151" s="1">
        <f>MAX(-16, MIN(16, Games[[#This Row],[OppRestDiff]]*8))</f>
        <v>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1461.3664275288024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1491.3759968783279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0.55445576601404778</v>
      </c>
      <c r="R151" s="1">
        <v>96</v>
      </c>
      <c r="S151" s="1">
        <v>104</v>
      </c>
      <c r="T151" s="1">
        <v>0</v>
      </c>
      <c r="U151" s="1">
        <f>Games[[#This Row],[PointsFor]]-Games[[#This Row],[PointsAgainst]]</f>
        <v>-8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0.37884147702203108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74.5</v>
      </c>
      <c r="Z151" s="4">
        <f>Games[[#This Row],[K]]*Games[[#This Row],[POMult]]</f>
        <v>74.5</v>
      </c>
      <c r="AA151" s="4">
        <f>(Games[[#This Row],[Keff]]*Games[[#This Row],[MOVMult]])*(Games[[#This Row],[Result]]-Games[[#This Row],[ExpectedWin%]])</f>
        <v>-15.648787679840693</v>
      </c>
      <c r="AB151" s="4">
        <f>Games[[#This Row],[PreGmRate]]+Games[[#This Row],[RatingChange]]</f>
        <v>1445.7176398489617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46178</v>
      </c>
      <c r="B152" s="2">
        <v>2026</v>
      </c>
      <c r="C152" s="2">
        <f>COUNTIFS(Games[Team],Games[[#This Row],[Team]],Games[Season],Games[[#This Row],[Season]],Games[Date],"&lt;=" &amp; Games[[#This Row],[Date]])</f>
        <v>12</v>
      </c>
      <c r="D152" s="2" t="s">
        <v>79</v>
      </c>
      <c r="E152" s="2" t="s">
        <v>80</v>
      </c>
      <c r="F152" s="1" t="s">
        <v>40</v>
      </c>
      <c r="G152" s="1" t="s">
        <v>89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-1</v>
      </c>
      <c r="L152" s="2">
        <f>Games[[#This Row],[OppDaysOff]]-Games[[#This Row],[DaysOff]]</f>
        <v>1</v>
      </c>
      <c r="M152" s="1">
        <f>MAX(-16, MIN(16, Games[[#This Row],[RestDiff]]*8))</f>
        <v>-8</v>
      </c>
      <c r="N152" s="1">
        <f>MAX(-16, MIN(16, Games[[#This Row],[OppRestDiff]]*8))</f>
        <v>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1473.152995872395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1489.1558895613689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0.33899717618238878</v>
      </c>
      <c r="R152" s="1">
        <v>78</v>
      </c>
      <c r="S152" s="1">
        <v>72</v>
      </c>
      <c r="T152" s="1">
        <v>0</v>
      </c>
      <c r="U152" s="1">
        <f>Games[[#This Row],[PointsFor]]-Games[[#This Row],[PointsAgainst]]</f>
        <v>6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0.34665782087933883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17.002321448677936</v>
      </c>
      <c r="AB152" s="4">
        <f>Games[[#This Row],[PreGmRate]]+Games[[#This Row],[RatingChange]]</f>
        <v>1490.155317321073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46178</v>
      </c>
      <c r="B153" s="2">
        <v>2026</v>
      </c>
      <c r="C153" s="2">
        <f>COUNTIFS(Games[Team],Games[[#This Row],[Team]],Games[Season],Games[[#This Row],[Season]],Games[Date],"&lt;=" &amp; Games[[#This Row],[Date]])</f>
        <v>12</v>
      </c>
      <c r="D153" s="2" t="s">
        <v>79</v>
      </c>
      <c r="E153" s="2" t="s">
        <v>80</v>
      </c>
      <c r="F153" s="1" t="s">
        <v>89</v>
      </c>
      <c r="G153" s="1" t="s">
        <v>40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1</v>
      </c>
      <c r="L153" s="2">
        <f>Games[[#This Row],[OppDaysOff]]-Games[[#This Row],[DaysOff]]</f>
        <v>-1</v>
      </c>
      <c r="M153" s="1">
        <f>MAX(-16, MIN(16, Games[[#This Row],[RestDiff]]*8))</f>
        <v>8</v>
      </c>
      <c r="N153" s="1">
        <f>MAX(-16, MIN(16, Games[[#This Row],[OppRestDiff]]*8))</f>
        <v>-8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1489.1558895613689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1473.152995872395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0.66100282381761111</v>
      </c>
      <c r="R153" s="1">
        <v>72</v>
      </c>
      <c r="S153" s="1">
        <v>78</v>
      </c>
      <c r="T153" s="1">
        <v>0</v>
      </c>
      <c r="U153" s="1">
        <f>Games[[#This Row],[PointsFor]]-Games[[#This Row],[PointsAgainst]]</f>
        <v>-6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0.34665782087933883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-17.002321448677932</v>
      </c>
      <c r="AB153" s="4">
        <f>Games[[#This Row],[PreGmRate]]+Games[[#This Row],[RatingChange]]</f>
        <v>1472.1535681126909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46179</v>
      </c>
      <c r="B154" s="2">
        <v>2026</v>
      </c>
      <c r="C154" s="2">
        <f>COUNTIFS(Games[Team],Games[[#This Row],[Team]],Games[Season],Games[[#This Row],[Season]],Games[Date],"&lt;=" &amp; Games[[#This Row],[Date]])</f>
        <v>9</v>
      </c>
      <c r="D154" s="2" t="s">
        <v>79</v>
      </c>
      <c r="E154" s="2" t="s">
        <v>80</v>
      </c>
      <c r="F154" s="1" t="s">
        <v>65</v>
      </c>
      <c r="G154" s="1" t="s">
        <v>77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2</v>
      </c>
      <c r="L154" s="2">
        <f>Games[[#This Row],[OppDaysOff]]-Games[[#This Row],[DaysOff]]</f>
        <v>-2</v>
      </c>
      <c r="M154" s="1">
        <f>MAX(-16, MIN(16, Games[[#This Row],[RestDiff]]*8))</f>
        <v>16</v>
      </c>
      <c r="N154" s="1">
        <f>MAX(-16, MIN(16, Games[[#This Row],[OppRestDiff]]*8))</f>
        <v>-16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1437.8568654090302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1586.1152725301208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0.23998166061161905</v>
      </c>
      <c r="R154" s="1">
        <v>77</v>
      </c>
      <c r="S154" s="1">
        <v>109</v>
      </c>
      <c r="T154" s="1">
        <v>0</v>
      </c>
      <c r="U154" s="1">
        <f>Games[[#This Row],[PointsFor]]-Games[[#This Row],[PointsAgainst]]</f>
        <v>-32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0.64736303534818107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74.650000000000006</v>
      </c>
      <c r="Z154" s="4">
        <f>Games[[#This Row],[K]]*Games[[#This Row],[POMult]]</f>
        <v>74.650000000000006</v>
      </c>
      <c r="AA154" s="4">
        <f>(Games[[#This Row],[Keff]]*Games[[#This Row],[MOVMult]])*(Games[[#This Row],[Result]]-Games[[#This Row],[ExpectedWin%]])</f>
        <v>-11.597269878423104</v>
      </c>
      <c r="AB154" s="4">
        <f>Games[[#This Row],[PreGmRate]]+Games[[#This Row],[RatingChange]]</f>
        <v>1426.2595955306072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46179</v>
      </c>
      <c r="B155" s="2">
        <v>2026</v>
      </c>
      <c r="C155" s="2">
        <f>COUNTIFS(Games[Team],Games[[#This Row],[Team]],Games[Season],Games[[#This Row],[Season]],Games[Date],"&lt;=" &amp; Games[[#This Row],[Date]])</f>
        <v>10</v>
      </c>
      <c r="D155" s="2" t="s">
        <v>79</v>
      </c>
      <c r="E155" s="2" t="s">
        <v>80</v>
      </c>
      <c r="F155" s="1" t="s">
        <v>77</v>
      </c>
      <c r="G155" s="1" t="s">
        <v>65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5" s="2">
        <f>Games[[#This Row],[DaysOff]]-Games[[#This Row],[OppDaysOff]]</f>
        <v>-2</v>
      </c>
      <c r="L155" s="2">
        <f>Games[[#This Row],[OppDaysOff]]-Games[[#This Row],[DaysOff]]</f>
        <v>2</v>
      </c>
      <c r="M155" s="1">
        <f>MAX(-16, MIN(16, Games[[#This Row],[RestDiff]]*8))</f>
        <v>-16</v>
      </c>
      <c r="N155" s="1">
        <f>MAX(-16, MIN(16, Games[[#This Row],[OppRestDiff]]*8))</f>
        <v>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1586.1152725301208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1437.8568654090302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0.76001833938838093</v>
      </c>
      <c r="R155" s="1">
        <v>109</v>
      </c>
      <c r="S155" s="1">
        <v>77</v>
      </c>
      <c r="T155" s="1">
        <v>0</v>
      </c>
      <c r="U155" s="1">
        <f>Games[[#This Row],[PointsFor]]-Games[[#This Row],[PointsAgainst]]</f>
        <v>32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0.64736303534818107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74.5</v>
      </c>
      <c r="Z155" s="4">
        <f>Games[[#This Row],[K]]*Games[[#This Row],[POMult]]</f>
        <v>74.5</v>
      </c>
      <c r="AA155" s="4">
        <f>(Games[[#This Row],[Keff]]*Games[[#This Row],[MOVMult]])*(Games[[#This Row],[Result]]-Games[[#This Row],[ExpectedWin%]])</f>
        <v>11.573966589986888</v>
      </c>
      <c r="AB155" s="4">
        <f>Games[[#This Row],[PreGmRate]]+Games[[#This Row],[RatingChange]]</f>
        <v>1597.6892391201077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46179</v>
      </c>
      <c r="B156" s="2">
        <v>2026</v>
      </c>
      <c r="C156" s="2">
        <f>COUNTIFS(Games[Team],Games[[#This Row],[Team]],Games[Season],Games[[#This Row],[Season]],Games[Date],"&lt;=" &amp; Games[[#This Row],[Date]])</f>
        <v>11</v>
      </c>
      <c r="D156" s="2" t="s">
        <v>79</v>
      </c>
      <c r="E156" s="2" t="s">
        <v>80</v>
      </c>
      <c r="F156" s="1" t="s">
        <v>87</v>
      </c>
      <c r="G156" s="1" t="s">
        <v>85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6" s="2">
        <f>Games[[#This Row],[DaysOff]]-Games[[#This Row],[OppDaysOff]]</f>
        <v>-2</v>
      </c>
      <c r="L156" s="2">
        <f>Games[[#This Row],[OppDaysOff]]-Games[[#This Row],[DaysOff]]</f>
        <v>2</v>
      </c>
      <c r="M156" s="1">
        <f>MAX(-16, MIN(16, Games[[#This Row],[RestDiff]]*8))</f>
        <v>-16</v>
      </c>
      <c r="N156" s="1">
        <f>MAX(-16, MIN(16, Games[[#This Row],[OppRestDiff]]*8))</f>
        <v>16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1546.2896882623986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1626.1339057157613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0.24464679585042171</v>
      </c>
      <c r="R156" s="1">
        <v>79</v>
      </c>
      <c r="S156" s="1">
        <v>84</v>
      </c>
      <c r="T156" s="1">
        <v>0</v>
      </c>
      <c r="U156" s="1">
        <f>Games[[#This Row],[PointsFor]]-Games[[#This Row],[PointsAgainst]]</f>
        <v>-5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0.31105908447643099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74.349999999999994</v>
      </c>
      <c r="Z156" s="4">
        <f>Games[[#This Row],[K]]*Games[[#This Row],[POMult]]</f>
        <v>74.349999999999994</v>
      </c>
      <c r="AA156" s="4">
        <f>(Games[[#This Row],[Keff]]*Games[[#This Row],[MOVMult]])*(Games[[#This Row],[Result]]-Games[[#This Row],[ExpectedWin%]])</f>
        <v>-5.6580058798800756</v>
      </c>
      <c r="AB156" s="4">
        <f>Games[[#This Row],[PreGmRate]]+Games[[#This Row],[RatingChange]]</f>
        <v>1540.6316823825186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46179</v>
      </c>
      <c r="B157" s="2">
        <v>2026</v>
      </c>
      <c r="C157" s="2">
        <f>COUNTIFS(Games[Team],Games[[#This Row],[Team]],Games[Season],Games[[#This Row],[Season]],Games[Date],"&lt;=" &amp; Games[[#This Row],[Date]])</f>
        <v>10</v>
      </c>
      <c r="D157" s="2" t="s">
        <v>79</v>
      </c>
      <c r="E157" s="2" t="s">
        <v>80</v>
      </c>
      <c r="F157" s="1" t="s">
        <v>85</v>
      </c>
      <c r="G157" s="1" t="s">
        <v>87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2</v>
      </c>
      <c r="L157" s="2">
        <f>Games[[#This Row],[OppDaysOff]]-Games[[#This Row],[DaysOff]]</f>
        <v>-2</v>
      </c>
      <c r="M157" s="1">
        <f>MAX(-16, MIN(16, Games[[#This Row],[RestDiff]]*8))</f>
        <v>16</v>
      </c>
      <c r="N157" s="1">
        <f>MAX(-16, MIN(16, Games[[#This Row],[OppRestDiff]]*8))</f>
        <v>-16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1626.1339057157613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1546.2896882623986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0.75535320414957841</v>
      </c>
      <c r="R157" s="1">
        <v>84</v>
      </c>
      <c r="S157" s="1">
        <v>79</v>
      </c>
      <c r="T157" s="1">
        <v>0</v>
      </c>
      <c r="U157" s="1">
        <f>Games[[#This Row],[PointsFor]]-Games[[#This Row],[PointsAgainst]]</f>
        <v>5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0.31105908447643099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74.5</v>
      </c>
      <c r="Z157" s="4">
        <f>Games[[#This Row],[K]]*Games[[#This Row],[POMult]]</f>
        <v>74.5</v>
      </c>
      <c r="AA157" s="4">
        <f>(Games[[#This Row],[Keff]]*Games[[#This Row],[MOVMult]])*(Games[[#This Row],[Result]]-Games[[#This Row],[ExpectedWin%]])</f>
        <v>5.6694208211306725</v>
      </c>
      <c r="AB157" s="4">
        <f>Games[[#This Row],[PreGmRate]]+Games[[#This Row],[RatingChange]]</f>
        <v>1631.803326536892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46179</v>
      </c>
      <c r="B158" s="2">
        <v>2026</v>
      </c>
      <c r="C158" s="2">
        <f>COUNTIFS(Games[Team],Games[[#This Row],[Team]],Games[Season],Games[[#This Row],[Season]],Games[Date],"&lt;=" &amp; Games[[#This Row],[Date]])</f>
        <v>12</v>
      </c>
      <c r="D158" s="2" t="s">
        <v>79</v>
      </c>
      <c r="E158" s="2" t="s">
        <v>80</v>
      </c>
      <c r="F158" s="1" t="s">
        <v>71</v>
      </c>
      <c r="G158" s="1" t="s">
        <v>67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1417.9573323783909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1648.920473832595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0.15174624027086034</v>
      </c>
      <c r="R158" s="1">
        <v>68</v>
      </c>
      <c r="S158" s="1">
        <v>88</v>
      </c>
      <c r="T158" s="1">
        <v>0</v>
      </c>
      <c r="U158" s="1">
        <f>Games[[#This Row],[PointsFor]]-Games[[#This Row],[PointsAgainst]]</f>
        <v>-20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0.48209825308955057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74.2</v>
      </c>
      <c r="Z158" s="4">
        <f>Games[[#This Row],[K]]*Games[[#This Row],[POMult]]</f>
        <v>74.2</v>
      </c>
      <c r="AA158" s="4">
        <f>(Games[[#This Row],[Keff]]*Games[[#This Row],[MOVMult]])*(Games[[#This Row],[Result]]-Games[[#This Row],[ExpectedWin%]])</f>
        <v>-5.4282195231836825</v>
      </c>
      <c r="AB158" s="4">
        <f>Games[[#This Row],[PreGmRate]]+Games[[#This Row],[RatingChange]]</f>
        <v>1412.5291128552071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46179</v>
      </c>
      <c r="B159" s="2">
        <v>2026</v>
      </c>
      <c r="C159" s="2">
        <f>COUNTIFS(Games[Team],Games[[#This Row],[Team]],Games[Season],Games[[#This Row],[Season]],Games[Date],"&lt;=" &amp; Games[[#This Row],[Date]])</f>
        <v>11</v>
      </c>
      <c r="D159" s="2" t="s">
        <v>79</v>
      </c>
      <c r="E159" s="2" t="s">
        <v>80</v>
      </c>
      <c r="F159" s="1" t="s">
        <v>67</v>
      </c>
      <c r="G159" s="1" t="s">
        <v>71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1648.920473832595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1417.9573323783909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0.84825375972913974</v>
      </c>
      <c r="R159" s="1">
        <v>88</v>
      </c>
      <c r="S159" s="1">
        <v>68</v>
      </c>
      <c r="T159" s="1">
        <v>0</v>
      </c>
      <c r="U159" s="1">
        <f>Games[[#This Row],[PointsFor]]-Games[[#This Row],[PointsAgainst]]</f>
        <v>20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0.48209825308955057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74.349999999999994</v>
      </c>
      <c r="Z159" s="4">
        <f>Games[[#This Row],[K]]*Games[[#This Row],[POMult]]</f>
        <v>74.349999999999994</v>
      </c>
      <c r="AA159" s="4">
        <f>(Games[[#This Row],[Keff]]*Games[[#This Row],[MOVMult]])*(Games[[#This Row],[Result]]-Games[[#This Row],[ExpectedWin%]])</f>
        <v>5.4391930127858021</v>
      </c>
      <c r="AB159" s="4">
        <f>Games[[#This Row],[PreGmRate]]+Games[[#This Row],[RatingChange]]</f>
        <v>1654.3596668453808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46179</v>
      </c>
      <c r="B160" s="2">
        <v>2026</v>
      </c>
      <c r="C160" s="2">
        <f>COUNTIFS(Games[Team],Games[[#This Row],[Team]],Games[Season],Games[[#This Row],[Season]],Games[Date],"&lt;=" &amp; Games[[#This Row],[Date]])</f>
        <v>10</v>
      </c>
      <c r="D160" s="2" t="s">
        <v>79</v>
      </c>
      <c r="E160" s="2" t="s">
        <v>80</v>
      </c>
      <c r="F160" s="1" t="s">
        <v>69</v>
      </c>
      <c r="G160" s="1" t="s">
        <v>60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1546.1098569399123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1529.3281836070726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0.38247808597405863</v>
      </c>
      <c r="R160" s="1">
        <v>75</v>
      </c>
      <c r="S160" s="1">
        <v>83</v>
      </c>
      <c r="T160" s="1">
        <v>0</v>
      </c>
      <c r="U160" s="1">
        <f>Games[[#This Row],[PointsFor]]-Games[[#This Row],[PointsAgainst]]</f>
        <v>-8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0.38295994443050946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74.5</v>
      </c>
      <c r="Z160" s="4">
        <f>Games[[#This Row],[K]]*Games[[#This Row],[POMult]]</f>
        <v>74.5</v>
      </c>
      <c r="AA160" s="4">
        <f>(Games[[#This Row],[Keff]]*Games[[#This Row],[MOVMult]])*(Games[[#This Row],[Result]]-Games[[#This Row],[ExpectedWin%]])</f>
        <v>-10.912297098013228</v>
      </c>
      <c r="AB160" s="4">
        <f>Games[[#This Row],[PreGmRate]]+Games[[#This Row],[RatingChange]]</f>
        <v>1535.1975598418992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46179</v>
      </c>
      <c r="B161" s="2">
        <v>2026</v>
      </c>
      <c r="C161" s="2">
        <f>COUNTIFS(Games[Team],Games[[#This Row],[Team]],Games[Season],Games[[#This Row],[Season]],Games[Date],"&lt;=" &amp; Games[[#This Row],[Date]])</f>
        <v>11</v>
      </c>
      <c r="D161" s="2" t="s">
        <v>79</v>
      </c>
      <c r="E161" s="2" t="s">
        <v>80</v>
      </c>
      <c r="F161" s="1" t="s">
        <v>60</v>
      </c>
      <c r="G161" s="1" t="s">
        <v>69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1529.3281836070726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1546.1098569399123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0.61752191402594148</v>
      </c>
      <c r="R161" s="1">
        <v>83</v>
      </c>
      <c r="S161" s="1">
        <v>75</v>
      </c>
      <c r="T161" s="1">
        <v>0</v>
      </c>
      <c r="U161" s="1">
        <f>Games[[#This Row],[PointsFor]]-Games[[#This Row],[PointsAgainst]]</f>
        <v>8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0.38295994443050946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74.349999999999994</v>
      </c>
      <c r="Z161" s="4">
        <f>Games[[#This Row],[K]]*Games[[#This Row],[POMult]]</f>
        <v>74.349999999999994</v>
      </c>
      <c r="AA161" s="4">
        <f>(Games[[#This Row],[Keff]]*Games[[#This Row],[MOVMult]])*(Games[[#This Row],[Result]]-Games[[#This Row],[ExpectedWin%]])</f>
        <v>10.890326030030646</v>
      </c>
      <c r="AB161" s="4">
        <f>Games[[#This Row],[PreGmRate]]+Games[[#This Row],[RatingChange]]</f>
        <v>1540.2185096371031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46180</v>
      </c>
      <c r="B162" s="2">
        <v>2026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89</v>
      </c>
      <c r="G162" s="1" t="s">
        <v>63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1472.1535681126909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1445.7176398489617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0.41790842924703198</v>
      </c>
      <c r="R162" s="1">
        <v>72</v>
      </c>
      <c r="S162" s="1">
        <v>89</v>
      </c>
      <c r="T162" s="1">
        <v>0</v>
      </c>
      <c r="U162" s="1">
        <f>Games[[#This Row],[PointsFor]]-Games[[#This Row],[PointsAgainst]]</f>
        <v>-17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0.52096523607469125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-16.121852287195985</v>
      </c>
      <c r="AB162" s="4">
        <f>Games[[#This Row],[PreGmRate]]+Games[[#This Row],[RatingChange]]</f>
        <v>1456.031715825495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46180</v>
      </c>
      <c r="B163" s="2">
        <v>2026</v>
      </c>
      <c r="C163" s="2">
        <f>COUNTIFS(Games[Team],Games[[#This Row],[Team]],Games[Season],Games[[#This Row],[Season]],Games[Date],"&lt;=" &amp; Games[[#This Row],[Date]])</f>
        <v>11</v>
      </c>
      <c r="D163" s="2" t="s">
        <v>79</v>
      </c>
      <c r="E163" s="2" t="s">
        <v>80</v>
      </c>
      <c r="F163" s="1" t="s">
        <v>63</v>
      </c>
      <c r="G163" s="1" t="s">
        <v>89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1445.7176398489617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1472.1535681126909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0.58209157075296802</v>
      </c>
      <c r="R163" s="1">
        <v>89</v>
      </c>
      <c r="S163" s="1">
        <v>72</v>
      </c>
      <c r="T163" s="1">
        <v>0</v>
      </c>
      <c r="U163" s="1">
        <f>Games[[#This Row],[PointsFor]]-Games[[#This Row],[PointsAgainst]]</f>
        <v>17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0.52096523607469125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74.349999999999994</v>
      </c>
      <c r="Z163" s="4">
        <f>Games[[#This Row],[K]]*Games[[#This Row],[POMult]]</f>
        <v>74.349999999999994</v>
      </c>
      <c r="AA163" s="4">
        <f>(Games[[#This Row],[Keff]]*Games[[#This Row],[MOVMult]])*(Games[[#This Row],[Result]]-Games[[#This Row],[ExpectedWin%]])</f>
        <v>16.187167016246072</v>
      </c>
      <c r="AB163" s="4">
        <f>Games[[#This Row],[PreGmRate]]+Games[[#This Row],[RatingChange]]</f>
        <v>1461.9048068652078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46180</v>
      </c>
      <c r="B164" s="2">
        <v>2026</v>
      </c>
      <c r="C164" s="2">
        <f>COUNTIFS(Games[Team],Games[[#This Row],[Team]],Games[Season],Games[[#This Row],[Season]],Games[Date],"&lt;=" &amp; Games[[#This Row],[Date]])</f>
        <v>11</v>
      </c>
      <c r="D164" s="2" t="s">
        <v>79</v>
      </c>
      <c r="E164" s="2" t="s">
        <v>80</v>
      </c>
      <c r="F164" s="1" t="s">
        <v>75</v>
      </c>
      <c r="G164" s="1" t="s">
        <v>90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4" s="2">
        <f>Games[[#This Row],[DaysOff]]-Games[[#This Row],[OppDaysOff]]</f>
        <v>-2</v>
      </c>
      <c r="L164" s="2">
        <f>Games[[#This Row],[OppDaysOff]]-Games[[#This Row],[DaysOff]]</f>
        <v>2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1386.9896854747797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1498.8273345856346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0.21222943835933702</v>
      </c>
      <c r="R164" s="1">
        <v>68</v>
      </c>
      <c r="S164" s="1">
        <v>85</v>
      </c>
      <c r="T164" s="1">
        <v>0</v>
      </c>
      <c r="U164" s="1">
        <f>Games[[#This Row],[PointsFor]]-Games[[#This Row],[PointsAgainst]]</f>
        <v>-17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0.48704996638223857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74.349999999999994</v>
      </c>
      <c r="Z164" s="4">
        <f>Games[[#This Row],[K]]*Games[[#This Row],[POMult]]</f>
        <v>74.349999999999994</v>
      </c>
      <c r="AA164" s="4">
        <f>(Games[[#This Row],[Keff]]*Games[[#This Row],[MOVMult]])*(Games[[#This Row],[Result]]-Games[[#This Row],[ExpectedWin%]])</f>
        <v>-7.6852874398358813</v>
      </c>
      <c r="AB164" s="4">
        <f>Games[[#This Row],[PreGmRate]]+Games[[#This Row],[RatingChange]]</f>
        <v>1379.3043980349437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46180</v>
      </c>
      <c r="B165" s="2">
        <v>2026</v>
      </c>
      <c r="C165" s="2">
        <f>COUNTIFS(Games[Team],Games[[#This Row],[Team]],Games[Season],Games[[#This Row],[Season]],Games[Date],"&lt;=" &amp; Games[[#This Row],[Date]])</f>
        <v>11</v>
      </c>
      <c r="D165" s="2" t="s">
        <v>79</v>
      </c>
      <c r="E165" s="2" t="s">
        <v>80</v>
      </c>
      <c r="F165" s="1" t="s">
        <v>90</v>
      </c>
      <c r="G165" s="1" t="s">
        <v>75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2</v>
      </c>
      <c r="L165" s="2">
        <f>Games[[#This Row],[OppDaysOff]]-Games[[#This Row],[DaysOff]]</f>
        <v>-2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1498.8273345856346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1386.9896854747797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0.78777056164066295</v>
      </c>
      <c r="R165" s="1">
        <v>85</v>
      </c>
      <c r="S165" s="1">
        <v>68</v>
      </c>
      <c r="T165" s="1">
        <v>0</v>
      </c>
      <c r="U165" s="1">
        <f>Games[[#This Row],[PointsFor]]-Games[[#This Row],[PointsAgainst]]</f>
        <v>17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0.48704996638223857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74.349999999999994</v>
      </c>
      <c r="Z165" s="4">
        <f>Games[[#This Row],[K]]*Games[[#This Row],[POMult]]</f>
        <v>74.349999999999994</v>
      </c>
      <c r="AA165" s="4">
        <f>(Games[[#This Row],[Keff]]*Games[[#This Row],[MOVMult]])*(Games[[#This Row],[Result]]-Games[[#This Row],[ExpectedWin%]])</f>
        <v>7.6852874398358821</v>
      </c>
      <c r="AB165" s="4">
        <f>Games[[#This Row],[PreGmRate]]+Games[[#This Row],[RatingChange]]</f>
        <v>1506.5126220254706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46181</v>
      </c>
      <c r="B166" s="2">
        <v>2026</v>
      </c>
      <c r="C166" s="2">
        <f>COUNTIFS(Games[Team],Games[[#This Row],[Team]],Games[Season],Games[[#This Row],[Season]],Games[Date],"&lt;=" &amp; Games[[#This Row],[Date]])</f>
        <v>12</v>
      </c>
      <c r="D166" s="2" t="s">
        <v>79</v>
      </c>
      <c r="E166" s="2" t="s">
        <v>80</v>
      </c>
      <c r="F166" s="1" t="s">
        <v>60</v>
      </c>
      <c r="G166" s="1" t="s">
        <v>74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1540.2185096371031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1360.1766317837469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0.61319400000907875</v>
      </c>
      <c r="R166" s="1">
        <v>89</v>
      </c>
      <c r="S166" s="1">
        <v>80</v>
      </c>
      <c r="T166" s="1">
        <v>0</v>
      </c>
      <c r="U166" s="1">
        <f>Games[[#This Row],[PointsFor]]-Games[[#This Row],[PointsAgainst]]</f>
        <v>9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0.35300800678199262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74.2</v>
      </c>
      <c r="Z166" s="4">
        <f>Games[[#This Row],[K]]*Games[[#This Row],[POMult]]</f>
        <v>74.2</v>
      </c>
      <c r="AA166" s="4">
        <f>(Games[[#This Row],[Keff]]*Games[[#This Row],[MOVMult]])*(Games[[#This Row],[Result]]-Games[[#This Row],[ExpectedWin%]])</f>
        <v>10.131684638053803</v>
      </c>
      <c r="AB166" s="4">
        <f>Games[[#This Row],[PreGmRate]]+Games[[#This Row],[RatingChange]]</f>
        <v>1550.350194275157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46181</v>
      </c>
      <c r="B167" s="2">
        <v>2026</v>
      </c>
      <c r="C167" s="2">
        <f>COUNTIFS(Games[Team],Games[[#This Row],[Team]],Games[Season],Games[[#This Row],[Season]],Games[Date],"&lt;=" &amp; Games[[#This Row],[Date]])</f>
        <v>13</v>
      </c>
      <c r="D167" s="2" t="s">
        <v>79</v>
      </c>
      <c r="E167" s="2" t="s">
        <v>80</v>
      </c>
      <c r="F167" s="1" t="s">
        <v>74</v>
      </c>
      <c r="G167" s="1" t="s">
        <v>60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1360.1766317837469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1540.2185096371031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0.38680599999092119</v>
      </c>
      <c r="R167" s="1">
        <v>80</v>
      </c>
      <c r="S167" s="1">
        <v>89</v>
      </c>
      <c r="T167" s="1">
        <v>0</v>
      </c>
      <c r="U167" s="1">
        <f>Games[[#This Row],[PointsFor]]-Games[[#This Row],[PointsAgainst]]</f>
        <v>-9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0.35300800678199262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-10.111202795793584</v>
      </c>
      <c r="AB167" s="4">
        <f>Games[[#This Row],[PreGmRate]]+Games[[#This Row],[RatingChange]]</f>
        <v>1350.0654289879533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46181</v>
      </c>
      <c r="B168" s="2">
        <v>2026</v>
      </c>
      <c r="C168" s="2">
        <f>COUNTIFS(Games[Team],Games[[#This Row],[Team]],Games[Season],Games[[#This Row],[Season]],Games[Date],"&lt;=" &amp; Games[[#This Row],[Date]])</f>
        <v>13</v>
      </c>
      <c r="D168" s="2" t="s">
        <v>79</v>
      </c>
      <c r="E168" s="2" t="s">
        <v>80</v>
      </c>
      <c r="F168" s="1" t="s">
        <v>71</v>
      </c>
      <c r="G168" s="1" t="s">
        <v>85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1412.5291128552071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1631.803326536892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0.14857940560092736</v>
      </c>
      <c r="R168" s="1">
        <v>91</v>
      </c>
      <c r="S168" s="1">
        <v>101</v>
      </c>
      <c r="T168" s="1">
        <v>0</v>
      </c>
      <c r="U168" s="1">
        <f>Games[[#This Row],[PointsFor]]-Games[[#This Row],[PointsAgainst]]</f>
        <v>-10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0.35775724965902911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-3.9361543712535108</v>
      </c>
      <c r="AB168" s="4">
        <f>Games[[#This Row],[PreGmRate]]+Games[[#This Row],[RatingChange]]</f>
        <v>1408.5929584839537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46181</v>
      </c>
      <c r="B169" s="2">
        <v>2026</v>
      </c>
      <c r="C169" s="2">
        <f>COUNTIFS(Games[Team],Games[[#This Row],[Team]],Games[Season],Games[[#This Row],[Season]],Games[Date],"&lt;=" &amp; Games[[#This Row],[Date]])</f>
        <v>11</v>
      </c>
      <c r="D169" s="2" t="s">
        <v>79</v>
      </c>
      <c r="E169" s="2" t="s">
        <v>80</v>
      </c>
      <c r="F169" s="1" t="s">
        <v>85</v>
      </c>
      <c r="G169" s="1" t="s">
        <v>71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1631.803326536892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1412.5291128552071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0.85142059439907258</v>
      </c>
      <c r="R169" s="1">
        <v>101</v>
      </c>
      <c r="S169" s="1">
        <v>91</v>
      </c>
      <c r="T169" s="1">
        <v>0</v>
      </c>
      <c r="U169" s="1">
        <f>Games[[#This Row],[PointsFor]]-Games[[#This Row],[PointsAgainst]]</f>
        <v>10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0.35775724965902911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74.349999999999994</v>
      </c>
      <c r="Z169" s="4">
        <f>Games[[#This Row],[K]]*Games[[#This Row],[POMult]]</f>
        <v>74.349999999999994</v>
      </c>
      <c r="AA169" s="4">
        <f>(Games[[#This Row],[Keff]]*Games[[#This Row],[MOVMult]])*(Games[[#This Row],[Result]]-Games[[#This Row],[ExpectedWin%]])</f>
        <v>3.9521009791046402</v>
      </c>
      <c r="AB169" s="4">
        <f>Games[[#This Row],[PreGmRate]]+Games[[#This Row],[RatingChange]]</f>
        <v>1635.7554275159966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46181</v>
      </c>
      <c r="B170" s="2">
        <v>2026</v>
      </c>
      <c r="C170" s="2">
        <f>COUNTIFS(Games[Team],Games[[#This Row],[Team]],Games[Season],Games[[#This Row],[Season]],Games[Date],"&lt;=" &amp; Games[[#This Row],[Date]])</f>
        <v>11</v>
      </c>
      <c r="D170" s="2" t="s">
        <v>79</v>
      </c>
      <c r="E170" s="2" t="s">
        <v>80</v>
      </c>
      <c r="F170" s="1" t="s">
        <v>69</v>
      </c>
      <c r="G170" s="1" t="s">
        <v>65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1535.1975598418992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1426.2595955306072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0.53582710992477667</v>
      </c>
      <c r="R170" s="1">
        <v>78</v>
      </c>
      <c r="S170" s="1">
        <v>76</v>
      </c>
      <c r="T170" s="1">
        <v>0</v>
      </c>
      <c r="U170" s="1">
        <f>Games[[#This Row],[PointsFor]]-Games[[#This Row],[PointsAgainst]]</f>
        <v>2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0.24554989902880234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74.349999999999994</v>
      </c>
      <c r="Z170" s="4">
        <f>Games[[#This Row],[K]]*Games[[#This Row],[POMult]]</f>
        <v>74.349999999999994</v>
      </c>
      <c r="AA170" s="4">
        <f>(Games[[#This Row],[Keff]]*Games[[#This Row],[MOVMult]])*(Games[[#This Row],[Result]]-Games[[#This Row],[ExpectedWin%]])</f>
        <v>8.4742350276524618</v>
      </c>
      <c r="AB170" s="4">
        <f>Games[[#This Row],[PreGmRate]]+Games[[#This Row],[RatingChange]]</f>
        <v>1543.6717948695516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46181</v>
      </c>
      <c r="B171" s="2">
        <v>2026</v>
      </c>
      <c r="C171" s="2">
        <f>COUNTIFS(Games[Team],Games[[#This Row],[Team]],Games[Season],Games[[#This Row],[Season]],Games[Date],"&lt;=" &amp; Games[[#This Row],[Date]])</f>
        <v>10</v>
      </c>
      <c r="D171" s="2" t="s">
        <v>79</v>
      </c>
      <c r="E171" s="2" t="s">
        <v>80</v>
      </c>
      <c r="F171" s="1" t="s">
        <v>65</v>
      </c>
      <c r="G171" s="1" t="s">
        <v>69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1426.2595955306072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1535.1975598418992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0.46417289007522333</v>
      </c>
      <c r="R171" s="1">
        <v>76</v>
      </c>
      <c r="S171" s="1">
        <v>78</v>
      </c>
      <c r="T171" s="1">
        <v>0</v>
      </c>
      <c r="U171" s="1">
        <f>Games[[#This Row],[PointsFor]]-Games[[#This Row],[PointsAgainst]]</f>
        <v>-2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0.24554989902880234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74.5</v>
      </c>
      <c r="Z171" s="4">
        <f>Games[[#This Row],[K]]*Games[[#This Row],[POMult]]</f>
        <v>74.5</v>
      </c>
      <c r="AA171" s="4">
        <f>(Games[[#This Row],[Keff]]*Games[[#This Row],[MOVMult]])*(Games[[#This Row],[Result]]-Games[[#This Row],[ExpectedWin%]])</f>
        <v>-8.4913316685959437</v>
      </c>
      <c r="AB171" s="4">
        <f>Games[[#This Row],[PreGmRate]]+Games[[#This Row],[RatingChange]]</f>
        <v>1417.7682638620113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46182</v>
      </c>
      <c r="B172" s="2">
        <v>2026</v>
      </c>
      <c r="C172" s="2">
        <f>COUNTIFS(Games[Team],Games[[#This Row],[Team]],Games[Season],Games[[#This Row],[Season]],Games[Date],"&lt;=" &amp; Games[[#This Row],[Date]])</f>
        <v>11</v>
      </c>
      <c r="D172" s="2" t="s">
        <v>79</v>
      </c>
      <c r="E172" s="2" t="s">
        <v>80</v>
      </c>
      <c r="F172" s="1" t="s">
        <v>77</v>
      </c>
      <c r="G172" s="1" t="s">
        <v>75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1597.6892391201077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1379.3043980349437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0.70384698810139934</v>
      </c>
      <c r="R172" s="1">
        <v>82</v>
      </c>
      <c r="S172" s="1">
        <v>75</v>
      </c>
      <c r="T172" s="1">
        <v>0</v>
      </c>
      <c r="U172" s="1">
        <f>Games[[#This Row],[PointsFor]]-Games[[#This Row],[PointsAgainst]]</f>
        <v>7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0.31312278171613456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74.349999999999994</v>
      </c>
      <c r="Z172" s="4">
        <f>Games[[#This Row],[K]]*Games[[#This Row],[POMult]]</f>
        <v>74.349999999999994</v>
      </c>
      <c r="AA172" s="4">
        <f>(Games[[#This Row],[Keff]]*Games[[#This Row],[MOVMult]])*(Games[[#This Row],[Result]]-Games[[#This Row],[ExpectedWin%]])</f>
        <v>6.894643151763054</v>
      </c>
      <c r="AB172" s="4">
        <f>Games[[#This Row],[PreGmRate]]+Games[[#This Row],[RatingChange]]</f>
        <v>1604.5838822718708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46182</v>
      </c>
      <c r="B173" s="2">
        <v>2026</v>
      </c>
      <c r="C173" s="2">
        <f>COUNTIFS(Games[Team],Games[[#This Row],[Team]],Games[Season],Games[[#This Row],[Season]],Games[Date],"&lt;=" &amp; Games[[#This Row],[Date]])</f>
        <v>12</v>
      </c>
      <c r="D173" s="2" t="s">
        <v>79</v>
      </c>
      <c r="E173" s="2" t="s">
        <v>80</v>
      </c>
      <c r="F173" s="1" t="s">
        <v>75</v>
      </c>
      <c r="G173" s="1" t="s">
        <v>77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1379.3043980349437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1597.6892391201077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0.29615301189860066</v>
      </c>
      <c r="R173" s="1">
        <v>75</v>
      </c>
      <c r="S173" s="1">
        <v>82</v>
      </c>
      <c r="T173" s="1">
        <v>0</v>
      </c>
      <c r="U173" s="1">
        <f>Games[[#This Row],[PointsFor]]-Games[[#This Row],[PointsAgainst]]</f>
        <v>-7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0.31312278171613456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74.2</v>
      </c>
      <c r="Z173" s="4">
        <f>Games[[#This Row],[K]]*Games[[#This Row],[POMult]]</f>
        <v>74.2</v>
      </c>
      <c r="AA173" s="4">
        <f>(Games[[#This Row],[Keff]]*Games[[#This Row],[MOVMult]])*(Games[[#This Row],[Result]]-Games[[#This Row],[ExpectedWin%]])</f>
        <v>-6.8807333135281592</v>
      </c>
      <c r="AB173" s="4">
        <f>Games[[#This Row],[PreGmRate]]+Games[[#This Row],[RatingChange]]</f>
        <v>1372.4236647214154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46182</v>
      </c>
      <c r="B174" s="2">
        <v>2026</v>
      </c>
      <c r="C174" s="2">
        <f>COUNTIFS(Games[Team],Games[[#This Row],[Team]],Games[Season],Games[[#This Row],[Season]],Games[Date],"&lt;=" &amp; Games[[#This Row],[Date]])</f>
        <v>13</v>
      </c>
      <c r="D174" s="2" t="s">
        <v>79</v>
      </c>
      <c r="E174" s="2" t="s">
        <v>80</v>
      </c>
      <c r="F174" s="1" t="s">
        <v>40</v>
      </c>
      <c r="G174" s="1" t="s">
        <v>87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1490.155317321073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1540.6316823825186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0.33581400341657885</v>
      </c>
      <c r="R174" s="1">
        <v>81</v>
      </c>
      <c r="S174" s="1">
        <v>87</v>
      </c>
      <c r="T174" s="1">
        <v>0</v>
      </c>
      <c r="U174" s="1">
        <f>Games[[#This Row],[PointsFor]]-Games[[#This Row],[PointsAgainst]]</f>
        <v>-6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0.3371010641120567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-8.3827012471587068</v>
      </c>
      <c r="AB174" s="4">
        <f>Games[[#This Row],[PreGmRate]]+Games[[#This Row],[RatingChange]]</f>
        <v>1481.7726160739144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46182</v>
      </c>
      <c r="B175" s="2">
        <v>2026</v>
      </c>
      <c r="C175" s="2">
        <f>COUNTIFS(Games[Team],Games[[#This Row],[Team]],Games[Season],Games[[#This Row],[Season]],Games[Date],"&lt;=" &amp; Games[[#This Row],[Date]])</f>
        <v>12</v>
      </c>
      <c r="D175" s="2" t="s">
        <v>79</v>
      </c>
      <c r="E175" s="2" t="s">
        <v>80</v>
      </c>
      <c r="F175" s="1" t="s">
        <v>87</v>
      </c>
      <c r="G175" s="1" t="s">
        <v>40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1540.6316823825186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1490.155317321073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0.66418599658342115</v>
      </c>
      <c r="R175" s="1">
        <v>87</v>
      </c>
      <c r="S175" s="1">
        <v>81</v>
      </c>
      <c r="T175" s="1">
        <v>0</v>
      </c>
      <c r="U175" s="1">
        <f>Games[[#This Row],[PointsFor]]-Games[[#This Row],[PointsAgainst]]</f>
        <v>6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0.3371010641120567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74.2</v>
      </c>
      <c r="Z175" s="4">
        <f>Games[[#This Row],[K]]*Games[[#This Row],[POMult]]</f>
        <v>74.2</v>
      </c>
      <c r="AA175" s="4">
        <f>(Games[[#This Row],[Keff]]*Games[[#This Row],[MOVMult]])*(Games[[#This Row],[Result]]-Games[[#This Row],[ExpectedWin%]])</f>
        <v>8.3996817358430267</v>
      </c>
      <c r="AB175" s="4">
        <f>Games[[#This Row],[PreGmRate]]+Games[[#This Row],[RatingChange]]</f>
        <v>1549.0313641183616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46182</v>
      </c>
      <c r="B176" s="2">
        <v>2026</v>
      </c>
      <c r="C176" s="2">
        <f>COUNTIFS(Games[Team],Games[[#This Row],[Team]],Games[Season],Games[[#This Row],[Season]],Games[Date],"&lt;=" &amp; Games[[#This Row],[Date]])</f>
        <v>11</v>
      </c>
      <c r="D176" s="2" t="s">
        <v>79</v>
      </c>
      <c r="E176" s="2" t="s">
        <v>80</v>
      </c>
      <c r="F176" s="1" t="s">
        <v>84</v>
      </c>
      <c r="G176" s="1" t="s">
        <v>67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1507.0247845581687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1654.3596668453808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0.22451132548639149</v>
      </c>
      <c r="R176" s="1">
        <v>76</v>
      </c>
      <c r="S176" s="1">
        <v>100</v>
      </c>
      <c r="T176" s="1">
        <v>0</v>
      </c>
      <c r="U176" s="1">
        <f>Games[[#This Row],[PointsFor]]-Games[[#This Row],[PointsAgainst]]</f>
        <v>-24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0.55971023036053813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74.349999999999994</v>
      </c>
      <c r="Z176" s="4">
        <f>Games[[#This Row],[K]]*Games[[#This Row],[POMult]]</f>
        <v>74.349999999999994</v>
      </c>
      <c r="AA176" s="4">
        <f>(Games[[#This Row],[Keff]]*Games[[#This Row],[MOVMult]])*(Games[[#This Row],[Result]]-Games[[#This Row],[ExpectedWin%]])</f>
        <v>-9.3429165922810959</v>
      </c>
      <c r="AB176" s="4">
        <f>Games[[#This Row],[PreGmRate]]+Games[[#This Row],[RatingChange]]</f>
        <v>1497.6818679658875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46182</v>
      </c>
      <c r="B177" s="2">
        <v>2026</v>
      </c>
      <c r="C177" s="2">
        <f>COUNTIFS(Games[Team],Games[[#This Row],[Team]],Games[Season],Games[[#This Row],[Season]],Games[Date],"&lt;=" &amp; Games[[#This Row],[Date]])</f>
        <v>12</v>
      </c>
      <c r="D177" s="2" t="s">
        <v>79</v>
      </c>
      <c r="E177" s="2" t="s">
        <v>80</v>
      </c>
      <c r="F177" s="1" t="s">
        <v>67</v>
      </c>
      <c r="G177" s="1" t="s">
        <v>84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1654.3596668453808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1507.0247845581687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0.77548867451360859</v>
      </c>
      <c r="R177" s="1">
        <v>100</v>
      </c>
      <c r="S177" s="1">
        <v>76</v>
      </c>
      <c r="T177" s="1">
        <v>0</v>
      </c>
      <c r="U177" s="1">
        <f>Games[[#This Row],[PointsFor]]-Games[[#This Row],[PointsAgainst]]</f>
        <v>24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0.55971023036053813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74.2</v>
      </c>
      <c r="Z177" s="4">
        <f>Games[[#This Row],[K]]*Games[[#This Row],[POMult]]</f>
        <v>74.2</v>
      </c>
      <c r="AA177" s="4">
        <f>(Games[[#This Row],[Keff]]*Games[[#This Row],[MOVMult]])*(Games[[#This Row],[Result]]-Games[[#This Row],[ExpectedWin%]])</f>
        <v>9.3240673994251129</v>
      </c>
      <c r="AB177" s="4">
        <f>Games[[#This Row],[PreGmRate]]+Games[[#This Row],[RatingChange]]</f>
        <v>1663.6837342448059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46183</v>
      </c>
      <c r="B178" s="2">
        <v>2026</v>
      </c>
      <c r="C178" s="2">
        <f>COUNTIFS(Games[Team],Games[[#This Row],[Team]],Games[Season],Games[[#This Row],[Season]],Games[Date],"&lt;=" &amp; Games[[#This Row],[Date]])</f>
        <v>12</v>
      </c>
      <c r="D178" s="2" t="s">
        <v>79</v>
      </c>
      <c r="E178" s="2" t="s">
        <v>80</v>
      </c>
      <c r="F178" s="1" t="s">
        <v>63</v>
      </c>
      <c r="G178" s="1" t="s">
        <v>71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1461.9048068652078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1408.5929584839537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0.47887463459787993</v>
      </c>
      <c r="R178" s="1">
        <v>88</v>
      </c>
      <c r="S178" s="1">
        <v>83</v>
      </c>
      <c r="T178" s="1">
        <v>0</v>
      </c>
      <c r="U178" s="1">
        <f>Games[[#This Row],[PointsFor]]-Games[[#This Row],[PointsAgainst]]</f>
        <v>5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0.31764414504473282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74.2</v>
      </c>
      <c r="Z178" s="4">
        <f>Games[[#This Row],[K]]*Games[[#This Row],[POMult]]</f>
        <v>74.2</v>
      </c>
      <c r="AA178" s="4">
        <f>(Games[[#This Row],[Keff]]*Games[[#This Row],[MOVMult]])*(Games[[#This Row],[Result]]-Games[[#This Row],[ExpectedWin%]])</f>
        <v>12.282505649647607</v>
      </c>
      <c r="AB178" s="4">
        <f>Games[[#This Row],[PreGmRate]]+Games[[#This Row],[RatingChange]]</f>
        <v>1474.1873125148554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46183</v>
      </c>
      <c r="B179" s="2">
        <v>2026</v>
      </c>
      <c r="C179" s="2">
        <f>COUNTIFS(Games[Team],Games[[#This Row],[Team]],Games[Season],Games[[#This Row],[Season]],Games[Date],"&lt;=" &amp; Games[[#This Row],[Date]])</f>
        <v>14</v>
      </c>
      <c r="D179" s="2" t="s">
        <v>79</v>
      </c>
      <c r="E179" s="2" t="s">
        <v>80</v>
      </c>
      <c r="F179" s="1" t="s">
        <v>71</v>
      </c>
      <c r="G179" s="1" t="s">
        <v>63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1408.5929584839537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1461.9048068652078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0.52112536540212007</v>
      </c>
      <c r="R179" s="1">
        <v>83</v>
      </c>
      <c r="S179" s="1">
        <v>88</v>
      </c>
      <c r="T179" s="1">
        <v>0</v>
      </c>
      <c r="U179" s="1">
        <f>Games[[#This Row],[PointsFor]]-Games[[#This Row],[PointsAgainst]]</f>
        <v>-5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0.31764414504473282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-12.232845923301323</v>
      </c>
      <c r="AB179" s="4">
        <f>Games[[#This Row],[PreGmRate]]+Games[[#This Row],[RatingChange]]</f>
        <v>1396.3601125606524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46183</v>
      </c>
      <c r="B180" s="2">
        <v>2026</v>
      </c>
      <c r="C180" s="2">
        <f>COUNTIFS(Games[Team],Games[[#This Row],[Team]],Games[Season],Games[[#This Row],[Season]],Games[Date],"&lt;=" &amp; Games[[#This Row],[Date]])</f>
        <v>14</v>
      </c>
      <c r="D180" s="2" t="s">
        <v>79</v>
      </c>
      <c r="E180" s="2" t="s">
        <v>80</v>
      </c>
      <c r="F180" s="1" t="s">
        <v>74</v>
      </c>
      <c r="G180" s="1" t="s">
        <v>90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1350.0654289879533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1506.5126220254706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0.18599772633422623</v>
      </c>
      <c r="R180" s="1">
        <v>102</v>
      </c>
      <c r="S180" s="1">
        <v>106</v>
      </c>
      <c r="T180" s="1">
        <v>1</v>
      </c>
      <c r="U180" s="1">
        <f>Games[[#This Row],[PointsFor]]-Games[[#This Row],[PointsAgainst]]</f>
        <v>-4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0.2479619961784143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73.900000000000006</v>
      </c>
      <c r="Z180" s="4">
        <f>Games[[#This Row],[K]]*Games[[#This Row],[POMult]]</f>
        <v>73.900000000000006</v>
      </c>
      <c r="AA180" s="4">
        <f>(Games[[#This Row],[Keff]]*Games[[#This Row],[MOVMult]])*(Games[[#This Row],[Result]]-Games[[#This Row],[ExpectedWin%]])</f>
        <v>-3.4082951587289574</v>
      </c>
      <c r="AB180" s="4">
        <f>Games[[#This Row],[PreGmRate]]+Games[[#This Row],[RatingChange]]</f>
        <v>1346.6571338292242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46183</v>
      </c>
      <c r="B181" s="2">
        <v>2026</v>
      </c>
      <c r="C181" s="2">
        <f>COUNTIFS(Games[Team],Games[[#This Row],[Team]],Games[Season],Games[[#This Row],[Season]],Games[Date],"&lt;=" &amp; Games[[#This Row],[Date]])</f>
        <v>12</v>
      </c>
      <c r="D181" s="2" t="s">
        <v>79</v>
      </c>
      <c r="E181" s="2" t="s">
        <v>80</v>
      </c>
      <c r="F181" s="1" t="s">
        <v>90</v>
      </c>
      <c r="G181" s="1" t="s">
        <v>74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1506.5126220254706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1350.0654289879533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0.81400227366577371</v>
      </c>
      <c r="R181" s="1">
        <v>106</v>
      </c>
      <c r="S181" s="1">
        <v>102</v>
      </c>
      <c r="T181" s="1">
        <v>1</v>
      </c>
      <c r="U181" s="1">
        <f>Games[[#This Row],[PointsFor]]-Games[[#This Row],[PointsAgainst]]</f>
        <v>4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0.2479619961784143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74.2</v>
      </c>
      <c r="Z181" s="4">
        <f>Games[[#This Row],[K]]*Games[[#This Row],[POMult]]</f>
        <v>74.2</v>
      </c>
      <c r="AA181" s="4">
        <f>(Games[[#This Row],[Keff]]*Games[[#This Row],[MOVMult]])*(Games[[#This Row],[Result]]-Games[[#This Row],[ExpectedWin%]])</f>
        <v>3.4221312689809027</v>
      </c>
      <c r="AB181" s="4">
        <f>Games[[#This Row],[PreGmRate]]+Games[[#This Row],[RatingChange]]</f>
        <v>1509.9347532944514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46184</v>
      </c>
      <c r="B182" s="2">
        <v>2026</v>
      </c>
      <c r="C182" s="2">
        <f>COUNTIFS(Games[Team],Games[[#This Row],[Team]],Games[Season],Games[[#This Row],[Season]],Games[Date],"&lt;=" &amp; Games[[#This Row],[Date]])</f>
        <v>13</v>
      </c>
      <c r="D182" s="2" t="s">
        <v>79</v>
      </c>
      <c r="E182" s="2" t="s">
        <v>80</v>
      </c>
      <c r="F182" s="1" t="s">
        <v>60</v>
      </c>
      <c r="G182" s="1" t="s">
        <v>77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1</v>
      </c>
      <c r="L182" s="2">
        <f>Games[[#This Row],[OppDaysOff]]-Games[[#This Row],[DaysOff]]</f>
        <v>-1</v>
      </c>
      <c r="M182" s="1">
        <f>MAX(-16, MIN(16, Games[[#This Row],[RestDiff]]*8))</f>
        <v>8</v>
      </c>
      <c r="N182" s="1">
        <f>MAX(-16, MIN(16, Games[[#This Row],[OppRestDiff]]*8))</f>
        <v>-8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1550.350194275157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1604.5838822718708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0.33100708943980056</v>
      </c>
      <c r="R182" s="1">
        <v>104</v>
      </c>
      <c r="S182" s="1">
        <v>90</v>
      </c>
      <c r="T182" s="1">
        <v>0</v>
      </c>
      <c r="U182" s="1">
        <f>Games[[#This Row],[PointsFor]]-Games[[#This Row],[PointsAgainst]]</f>
        <v>14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0.4665236868063255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74.05</v>
      </c>
      <c r="Z182" s="4">
        <f>Games[[#This Row],[K]]*Games[[#This Row],[POMult]]</f>
        <v>74.05</v>
      </c>
      <c r="AA182" s="4">
        <f>(Games[[#This Row],[Keff]]*Games[[#This Row],[MOVMult]])*(Games[[#This Row],[Result]]-Games[[#This Row],[ExpectedWin%]])</f>
        <v>23.111081944010152</v>
      </c>
      <c r="AB182" s="4">
        <f>Games[[#This Row],[PreGmRate]]+Games[[#This Row],[RatingChange]]</f>
        <v>1573.4612762191673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46184</v>
      </c>
      <c r="B183" s="2">
        <v>2026</v>
      </c>
      <c r="C183" s="2">
        <f>COUNTIFS(Games[Team],Games[[#This Row],[Team]],Games[Season],Games[[#This Row],[Season]],Games[Date],"&lt;=" &amp; Games[[#This Row],[Date]])</f>
        <v>12</v>
      </c>
      <c r="D183" s="2" t="s">
        <v>79</v>
      </c>
      <c r="E183" s="2" t="s">
        <v>80</v>
      </c>
      <c r="F183" s="1" t="s">
        <v>77</v>
      </c>
      <c r="G183" s="1" t="s">
        <v>60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3" s="2">
        <f>Games[[#This Row],[DaysOff]]-Games[[#This Row],[OppDaysOff]]</f>
        <v>-1</v>
      </c>
      <c r="L183" s="2">
        <f>Games[[#This Row],[OppDaysOff]]-Games[[#This Row],[DaysOff]]</f>
        <v>1</v>
      </c>
      <c r="M183" s="1">
        <f>MAX(-16, MIN(16, Games[[#This Row],[RestDiff]]*8))</f>
        <v>-8</v>
      </c>
      <c r="N183" s="1">
        <f>MAX(-16, MIN(16, Games[[#This Row],[OppRestDiff]]*8))</f>
        <v>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1604.5838822718708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1550.350194275157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0.66899291056019938</v>
      </c>
      <c r="R183" s="1">
        <v>90</v>
      </c>
      <c r="S183" s="1">
        <v>104</v>
      </c>
      <c r="T183" s="1">
        <v>0</v>
      </c>
      <c r="U183" s="1">
        <f>Games[[#This Row],[PointsFor]]-Games[[#This Row],[PointsAgainst]]</f>
        <v>-14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0.4665236868063255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74.2</v>
      </c>
      <c r="Z183" s="4">
        <f>Games[[#This Row],[K]]*Games[[#This Row],[POMult]]</f>
        <v>74.2</v>
      </c>
      <c r="AA183" s="4">
        <f>(Games[[#This Row],[Keff]]*Games[[#This Row],[MOVMult]])*(Games[[#This Row],[Result]]-Games[[#This Row],[ExpectedWin%]])</f>
        <v>-23.157897099872422</v>
      </c>
      <c r="AB183" s="4">
        <f>Games[[#This Row],[PreGmRate]]+Games[[#This Row],[RatingChange]]</f>
        <v>1581.4259851719985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46184</v>
      </c>
      <c r="B184" s="2">
        <v>2026</v>
      </c>
      <c r="C184" s="2">
        <f>COUNTIFS(Games[Team],Games[[#This Row],[Team]],Games[Season],Games[[#This Row],[Season]],Games[Date],"&lt;=" &amp; Games[[#This Row],[Date]])</f>
        <v>14</v>
      </c>
      <c r="D184" s="2" t="s">
        <v>79</v>
      </c>
      <c r="E184" s="2" t="s">
        <v>80</v>
      </c>
      <c r="F184" s="1" t="s">
        <v>40</v>
      </c>
      <c r="G184" s="1" t="s">
        <v>84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1481.7726160739144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1497.6818679658875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0.36005535770976738</v>
      </c>
      <c r="R184" s="1">
        <v>70</v>
      </c>
      <c r="S184" s="1">
        <v>85</v>
      </c>
      <c r="T184" s="1">
        <v>0</v>
      </c>
      <c r="U184" s="1">
        <f>Games[[#This Row],[PointsFor]]-Games[[#This Row],[PointsAgainst]]</f>
        <v>-15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0.49626864234776508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-13.204761163655157</v>
      </c>
      <c r="AB184" s="4">
        <f>Games[[#This Row],[PreGmRate]]+Games[[#This Row],[RatingChange]]</f>
        <v>1468.5678549102593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46184</v>
      </c>
      <c r="B185" s="2">
        <v>2026</v>
      </c>
      <c r="C185" s="2">
        <f>COUNTIFS(Games[Team],Games[[#This Row],[Team]],Games[Season],Games[[#This Row],[Season]],Games[Date],"&lt;=" &amp; Games[[#This Row],[Date]])</f>
        <v>12</v>
      </c>
      <c r="D185" s="2" t="s">
        <v>79</v>
      </c>
      <c r="E185" s="2" t="s">
        <v>80</v>
      </c>
      <c r="F185" s="1" t="s">
        <v>84</v>
      </c>
      <c r="G185" s="1" t="s">
        <v>40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1497.6818679658875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1481.7726160739144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0.63994464229023262</v>
      </c>
      <c r="R185" s="1">
        <v>85</v>
      </c>
      <c r="S185" s="1">
        <v>70</v>
      </c>
      <c r="T185" s="1">
        <v>0</v>
      </c>
      <c r="U185" s="1">
        <f>Games[[#This Row],[PointsFor]]-Games[[#This Row],[PointsAgainst]]</f>
        <v>15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0.49626864234776508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74.2</v>
      </c>
      <c r="Z185" s="4">
        <f>Games[[#This Row],[K]]*Games[[#This Row],[POMult]]</f>
        <v>74.2</v>
      </c>
      <c r="AA185" s="4">
        <f>(Games[[#This Row],[Keff]]*Games[[#This Row],[MOVMult]])*(Games[[#This Row],[Result]]-Games[[#This Row],[ExpectedWin%]])</f>
        <v>13.258366418717356</v>
      </c>
      <c r="AB185" s="4">
        <f>Games[[#This Row],[PreGmRate]]+Games[[#This Row],[RatingChange]]</f>
        <v>1510.9402343846048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46184</v>
      </c>
      <c r="B186" s="2">
        <v>2026</v>
      </c>
      <c r="C186" s="2">
        <f>COUNTIFS(Games[Team],Games[[#This Row],[Team]],Games[Season],Games[[#This Row],[Season]],Games[Date],"&lt;=" &amp; Games[[#This Row],[Date]])</f>
        <v>13</v>
      </c>
      <c r="D186" s="2" t="s">
        <v>79</v>
      </c>
      <c r="E186" s="2" t="s">
        <v>80</v>
      </c>
      <c r="F186" s="1" t="s">
        <v>75</v>
      </c>
      <c r="G186" s="1" t="s">
        <v>69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1372.4236647214154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1543.6717948695516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0.17344158256990327</v>
      </c>
      <c r="R186" s="1">
        <v>106</v>
      </c>
      <c r="S186" s="1">
        <v>114</v>
      </c>
      <c r="T186" s="1">
        <v>1</v>
      </c>
      <c r="U186" s="1">
        <f>Games[[#This Row],[PointsFor]]-Games[[#This Row],[PointsAgainst]]</f>
        <v>-8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0.30583872355613728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74.05</v>
      </c>
      <c r="Z186" s="4">
        <f>Games[[#This Row],[K]]*Games[[#This Row],[POMult]]</f>
        <v>74.05</v>
      </c>
      <c r="AA186" s="4">
        <f>(Games[[#This Row],[Keff]]*Games[[#This Row],[MOVMult]])*(Games[[#This Row],[Result]]-Games[[#This Row],[ExpectedWin%]])</f>
        <v>-3.9279935222416715</v>
      </c>
      <c r="AB186" s="4">
        <f>Games[[#This Row],[PreGmRate]]+Games[[#This Row],[RatingChange]]</f>
        <v>1368.4956711991738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46184</v>
      </c>
      <c r="B187" s="2">
        <v>2026</v>
      </c>
      <c r="C187" s="2">
        <f>COUNTIFS(Games[Team],Games[[#This Row],[Team]],Games[Season],Games[[#This Row],[Season]],Games[Date],"&lt;=" &amp; Games[[#This Row],[Date]])</f>
        <v>12</v>
      </c>
      <c r="D187" s="2" t="s">
        <v>79</v>
      </c>
      <c r="E187" s="2" t="s">
        <v>80</v>
      </c>
      <c r="F187" s="1" t="s">
        <v>69</v>
      </c>
      <c r="G187" s="1" t="s">
        <v>75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1543.6717948695516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1372.4236647214154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0.82655841743009661</v>
      </c>
      <c r="R187" s="1">
        <v>114</v>
      </c>
      <c r="S187" s="1">
        <v>106</v>
      </c>
      <c r="T187" s="1">
        <v>1</v>
      </c>
      <c r="U187" s="1">
        <f>Games[[#This Row],[PointsFor]]-Games[[#This Row],[PointsAgainst]]</f>
        <v>8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0.30583872355613728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74.2</v>
      </c>
      <c r="Z187" s="4">
        <f>Games[[#This Row],[K]]*Games[[#This Row],[POMult]]</f>
        <v>74.2</v>
      </c>
      <c r="AA187" s="4">
        <f>(Games[[#This Row],[Keff]]*Games[[#This Row],[MOVMult]])*(Games[[#This Row],[Result]]-Games[[#This Row],[ExpectedWin%]])</f>
        <v>3.9359502950753846</v>
      </c>
      <c r="AB187" s="4">
        <f>Games[[#This Row],[PreGmRate]]+Games[[#This Row],[RatingChange]]</f>
        <v>1547.607745164627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46184</v>
      </c>
      <c r="B188" s="2">
        <v>2026</v>
      </c>
      <c r="C188" s="2">
        <f>COUNTIFS(Games[Team],Games[[#This Row],[Team]],Games[Season],Games[[#This Row],[Season]],Games[Date],"&lt;=" &amp; Games[[#This Row],[Date]])</f>
        <v>12</v>
      </c>
      <c r="D188" s="2" t="s">
        <v>79</v>
      </c>
      <c r="E188" s="2" t="s">
        <v>80</v>
      </c>
      <c r="F188" s="1" t="s">
        <v>85</v>
      </c>
      <c r="G188" s="1" t="s">
        <v>89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1635.7554275159966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1456.031715825495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0.61275949907879146</v>
      </c>
      <c r="R188" s="1">
        <v>105</v>
      </c>
      <c r="S188" s="1">
        <v>89</v>
      </c>
      <c r="T188" s="1">
        <v>0</v>
      </c>
      <c r="U188" s="1">
        <f>Games[[#This Row],[PointsFor]]-Games[[#This Row],[PointsAgainst]]</f>
        <v>16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0.45033888558367652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74.2</v>
      </c>
      <c r="Z188" s="4">
        <f>Games[[#This Row],[K]]*Games[[#This Row],[POMult]]</f>
        <v>74.2</v>
      </c>
      <c r="AA188" s="4">
        <f>(Games[[#This Row],[Keff]]*Games[[#This Row],[MOVMult]])*(Games[[#This Row],[Result]]-Games[[#This Row],[ExpectedWin%]])</f>
        <v>12.939697608318953</v>
      </c>
      <c r="AB188" s="4">
        <f>Games[[#This Row],[PreGmRate]]+Games[[#This Row],[RatingChange]]</f>
        <v>1648.6951251243156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46184</v>
      </c>
      <c r="B189" s="2">
        <v>2026</v>
      </c>
      <c r="C189" s="2">
        <f>COUNTIFS(Games[Team],Games[[#This Row],[Team]],Games[Season],Games[[#This Row],[Season]],Games[Date],"&lt;=" &amp; Games[[#This Row],[Date]])</f>
        <v>14</v>
      </c>
      <c r="D189" s="2" t="s">
        <v>79</v>
      </c>
      <c r="E189" s="2" t="s">
        <v>80</v>
      </c>
      <c r="F189" s="1" t="s">
        <v>89</v>
      </c>
      <c r="G189" s="1" t="s">
        <v>85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1456.031715825495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1635.7554275159966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0.38724050092120854</v>
      </c>
      <c r="R189" s="1">
        <v>89</v>
      </c>
      <c r="S189" s="1">
        <v>105</v>
      </c>
      <c r="T189" s="1">
        <v>0</v>
      </c>
      <c r="U189" s="1">
        <f>Games[[#This Row],[PointsFor]]-Games[[#This Row],[PointsAgainst]]</f>
        <v>-16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0.45033888558367652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73.900000000000006</v>
      </c>
      <c r="Z189" s="4">
        <f>Games[[#This Row],[K]]*Games[[#This Row],[POMult]]</f>
        <v>73.900000000000006</v>
      </c>
      <c r="AA189" s="4">
        <f>(Games[[#This Row],[Keff]]*Games[[#This Row],[MOVMult]])*(Games[[#This Row],[Result]]-Games[[#This Row],[ExpectedWin%]])</f>
        <v>-12.887380771627637</v>
      </c>
      <c r="AB189" s="4">
        <f>Games[[#This Row],[PreGmRate]]+Games[[#This Row],[RatingChange]]</f>
        <v>1443.1443350538673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46185</v>
      </c>
      <c r="B190" s="2">
        <v>2026</v>
      </c>
      <c r="C190" s="2">
        <f>COUNTIFS(Games[Team],Games[[#This Row],[Team]],Games[Season],Games[[#This Row],[Season]],Games[Date],"&lt;=" &amp; Games[[#This Row],[Date]])</f>
        <v>13</v>
      </c>
      <c r="D190" s="2" t="s">
        <v>79</v>
      </c>
      <c r="E190" s="2" t="s">
        <v>80</v>
      </c>
      <c r="F190" s="1" t="s">
        <v>87</v>
      </c>
      <c r="G190" s="1" t="s">
        <v>71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1</v>
      </c>
      <c r="L190" s="2">
        <f>Games[[#This Row],[OppDaysOff]]-Games[[#This Row],[DaysOff]]</f>
        <v>-1</v>
      </c>
      <c r="M190" s="1">
        <f>MAX(-16, MIN(16, Games[[#This Row],[RestDiff]]*8))</f>
        <v>8</v>
      </c>
      <c r="N190" s="1">
        <f>MAX(-16, MIN(16, Games[[#This Row],[OppRestDiff]]*8))</f>
        <v>-8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1549.0313641183616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1396.3601125606524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0.61949537524718667</v>
      </c>
      <c r="R190" s="1">
        <v>76</v>
      </c>
      <c r="S190" s="1">
        <v>72</v>
      </c>
      <c r="T190" s="1">
        <v>0</v>
      </c>
      <c r="U190" s="1">
        <f>Games[[#This Row],[PointsFor]]-Games[[#This Row],[PointsAgainst]]</f>
        <v>4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0.27628241633307987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74.05</v>
      </c>
      <c r="Z190" s="4">
        <f>Games[[#This Row],[K]]*Games[[#This Row],[POMult]]</f>
        <v>74.05</v>
      </c>
      <c r="AA190" s="4">
        <f>(Games[[#This Row],[Keff]]*Games[[#This Row],[MOVMult]])*(Games[[#This Row],[Result]]-Games[[#This Row],[ExpectedWin%]])</f>
        <v>7.7846348861514443</v>
      </c>
      <c r="AB190" s="4">
        <f>Games[[#This Row],[PreGmRate]]+Games[[#This Row],[RatingChange]]</f>
        <v>1556.8159990045131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46185</v>
      </c>
      <c r="B191" s="2">
        <v>2026</v>
      </c>
      <c r="C191" s="2">
        <f>COUNTIFS(Games[Team],Games[[#This Row],[Team]],Games[Season],Games[[#This Row],[Season]],Games[Date],"&lt;=" &amp; Games[[#This Row],[Date]])</f>
        <v>15</v>
      </c>
      <c r="D191" s="2" t="s">
        <v>79</v>
      </c>
      <c r="E191" s="2" t="s">
        <v>80</v>
      </c>
      <c r="F191" s="1" t="s">
        <v>71</v>
      </c>
      <c r="G191" s="1" t="s">
        <v>87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1" s="2">
        <f>Games[[#This Row],[DaysOff]]-Games[[#This Row],[OppDaysOff]]</f>
        <v>-1</v>
      </c>
      <c r="L191" s="2">
        <f>Games[[#This Row],[OppDaysOff]]-Games[[#This Row],[DaysOff]]</f>
        <v>1</v>
      </c>
      <c r="M191" s="1">
        <f>MAX(-16, MIN(16, Games[[#This Row],[RestDiff]]*8))</f>
        <v>-8</v>
      </c>
      <c r="N191" s="1">
        <f>MAX(-16, MIN(16, Games[[#This Row],[OppRestDiff]]*8))</f>
        <v>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1396.3601125606524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1549.0313641183616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0.38050462475281333</v>
      </c>
      <c r="R191" s="1">
        <v>72</v>
      </c>
      <c r="S191" s="1">
        <v>76</v>
      </c>
      <c r="T191" s="1">
        <v>0</v>
      </c>
      <c r="U191" s="1">
        <f>Games[[#This Row],[PointsFor]]-Games[[#This Row],[PointsAgainst]]</f>
        <v>-4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0.27628241633307987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-7.7530968650056584</v>
      </c>
      <c r="AB191" s="4">
        <f>Games[[#This Row],[PreGmRate]]+Games[[#This Row],[RatingChange]]</f>
        <v>1388.6070156956469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46185</v>
      </c>
      <c r="B192" s="2">
        <v>2026</v>
      </c>
      <c r="C192" s="2">
        <f>COUNTIFS(Games[Team],Games[[#This Row],[Team]],Games[Season],Games[[#This Row],[Season]],Games[Date],"&lt;=" &amp; Games[[#This Row],[Date]])</f>
        <v>13</v>
      </c>
      <c r="D192" s="2" t="s">
        <v>79</v>
      </c>
      <c r="E192" s="2" t="s">
        <v>80</v>
      </c>
      <c r="F192" s="1" t="s">
        <v>90</v>
      </c>
      <c r="G192" s="1" t="s">
        <v>65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2" s="2">
        <f>Games[[#This Row],[DaysOff]]-Games[[#This Row],[OppDaysOff]]</f>
        <v>-2</v>
      </c>
      <c r="L192" s="2">
        <f>Games[[#This Row],[OppDaysOff]]-Games[[#This Row],[DaysOff]]</f>
        <v>2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1509.9347532944514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1417.7682638620113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0.46575452102680653</v>
      </c>
      <c r="R192" s="1">
        <v>85</v>
      </c>
      <c r="S192" s="1">
        <v>86</v>
      </c>
      <c r="T192" s="1">
        <v>0</v>
      </c>
      <c r="U192" s="1">
        <f>Games[[#This Row],[PointsFor]]-Games[[#This Row],[PointsAgainst]]</f>
        <v>-1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0.22676304296287217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74.05</v>
      </c>
      <c r="Z192" s="4">
        <f>Games[[#This Row],[K]]*Games[[#This Row],[POMult]]</f>
        <v>74.05</v>
      </c>
      <c r="AA192" s="4">
        <f>(Games[[#This Row],[Keff]]*Games[[#This Row],[MOVMult]])*(Games[[#This Row],[Result]]-Games[[#This Row],[ExpectedWin%]])</f>
        <v>-7.820858317792859</v>
      </c>
      <c r="AB192" s="4">
        <f>Games[[#This Row],[PreGmRate]]+Games[[#This Row],[RatingChange]]</f>
        <v>1502.1138949766585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46185</v>
      </c>
      <c r="B193" s="2">
        <v>2026</v>
      </c>
      <c r="C193" s="2">
        <f>COUNTIFS(Games[Team],Games[[#This Row],[Team]],Games[Season],Games[[#This Row],[Season]],Games[Date],"&lt;=" &amp; Games[[#This Row],[Date]])</f>
        <v>11</v>
      </c>
      <c r="D193" s="2" t="s">
        <v>79</v>
      </c>
      <c r="E193" s="2" t="s">
        <v>80</v>
      </c>
      <c r="F193" s="1" t="s">
        <v>65</v>
      </c>
      <c r="G193" s="1" t="s">
        <v>90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2</v>
      </c>
      <c r="L193" s="2">
        <f>Games[[#This Row],[OppDaysOff]]-Games[[#This Row],[DaysOff]]</f>
        <v>-2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1417.7682638620113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1509.9347532944514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0.53424547897319352</v>
      </c>
      <c r="R193" s="1">
        <v>86</v>
      </c>
      <c r="S193" s="1">
        <v>85</v>
      </c>
      <c r="T193" s="1">
        <v>0</v>
      </c>
      <c r="U193" s="1">
        <f>Games[[#This Row],[PointsFor]]-Games[[#This Row],[PointsAgainst]]</f>
        <v>1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0.22676304296287217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74.349999999999994</v>
      </c>
      <c r="Z193" s="4">
        <f>Games[[#This Row],[K]]*Games[[#This Row],[POMult]]</f>
        <v>74.349999999999994</v>
      </c>
      <c r="AA193" s="4">
        <f>(Games[[#This Row],[Keff]]*Games[[#This Row],[MOVMult]])*(Games[[#This Row],[Result]]-Games[[#This Row],[ExpectedWin%]])</f>
        <v>7.852543091531385</v>
      </c>
      <c r="AB193" s="4">
        <f>Games[[#This Row],[PreGmRate]]+Games[[#This Row],[RatingChange]]</f>
        <v>1425.6208069535426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46186</v>
      </c>
      <c r="B194" s="2">
        <v>2026</v>
      </c>
      <c r="C194" s="2">
        <f>COUNTIFS(Games[Team],Games[[#This Row],[Team]],Games[Season],Games[[#This Row],[Season]],Games[Date],"&lt;=" &amp; Games[[#This Row],[Date]])</f>
        <v>13</v>
      </c>
      <c r="D194" s="2" t="s">
        <v>79</v>
      </c>
      <c r="E194" s="2" t="s">
        <v>80</v>
      </c>
      <c r="F194" s="1" t="s">
        <v>69</v>
      </c>
      <c r="G194" s="1" t="s">
        <v>74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1547.607745164627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1346.6571338292242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0.64132471689349657</v>
      </c>
      <c r="R194" s="1">
        <v>85</v>
      </c>
      <c r="S194" s="1">
        <v>75</v>
      </c>
      <c r="T194" s="1">
        <v>0</v>
      </c>
      <c r="U194" s="1">
        <f>Games[[#This Row],[PointsFor]]-Games[[#This Row],[PointsAgainst]]</f>
        <v>10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0.36243650210819495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74.05</v>
      </c>
      <c r="Z194" s="4">
        <f>Games[[#This Row],[K]]*Games[[#This Row],[POMult]]</f>
        <v>74.05</v>
      </c>
      <c r="AA194" s="4">
        <f>(Games[[#This Row],[Keff]]*Games[[#This Row],[MOVMult]])*(Games[[#This Row],[Result]]-Games[[#This Row],[ExpectedWin%]])</f>
        <v>9.6262789608823738</v>
      </c>
      <c r="AB194" s="4">
        <f>Games[[#This Row],[PreGmRate]]+Games[[#This Row],[RatingChange]]</f>
        <v>1557.2340241255094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46186</v>
      </c>
      <c r="B195" s="2">
        <v>2026</v>
      </c>
      <c r="C195" s="2">
        <f>COUNTIFS(Games[Team],Games[[#This Row],[Team]],Games[Season],Games[[#This Row],[Season]],Games[Date],"&lt;=" &amp; Games[[#This Row],[Date]])</f>
        <v>15</v>
      </c>
      <c r="D195" s="2" t="s">
        <v>79</v>
      </c>
      <c r="E195" s="2" t="s">
        <v>80</v>
      </c>
      <c r="F195" s="1" t="s">
        <v>74</v>
      </c>
      <c r="G195" s="1" t="s">
        <v>69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1346.6571338292242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1547.607745164627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0.35867528310650348</v>
      </c>
      <c r="R195" s="1">
        <v>75</v>
      </c>
      <c r="S195" s="1">
        <v>85</v>
      </c>
      <c r="T195" s="1">
        <v>0</v>
      </c>
      <c r="U195" s="1">
        <f>Games[[#This Row],[PointsFor]]-Games[[#This Row],[PointsAgainst]]</f>
        <v>-10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0.36243650210819495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-9.5872798563818407</v>
      </c>
      <c r="AB195" s="4">
        <f>Games[[#This Row],[PreGmRate]]+Games[[#This Row],[RatingChange]]</f>
        <v>1337.0698539728423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46186</v>
      </c>
      <c r="B196" s="2">
        <v>2026</v>
      </c>
      <c r="C196" s="2">
        <f>COUNTIFS(Games[Team],Games[[#This Row],[Team]],Games[Season],Games[[#This Row],[Season]],Games[Date],"&lt;=" &amp; Games[[#This Row],[Date]])</f>
        <v>13</v>
      </c>
      <c r="D196" s="2" t="s">
        <v>79</v>
      </c>
      <c r="E196" s="2" t="s">
        <v>80</v>
      </c>
      <c r="F196" s="1" t="s">
        <v>67</v>
      </c>
      <c r="G196" s="1" t="s">
        <v>85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2</v>
      </c>
      <c r="L196" s="2">
        <f>Games[[#This Row],[OppDaysOff]]-Games[[#This Row],[DaysOff]]</f>
        <v>-2</v>
      </c>
      <c r="M196" s="1">
        <f>MAX(-16, MIN(16, Games[[#This Row],[RestDiff]]*8))</f>
        <v>16</v>
      </c>
      <c r="N196" s="1">
        <f>MAX(-16, MIN(16, Games[[#This Row],[OppRestDiff]]*8))</f>
        <v>-16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1663.6837342448059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1648.6951251243156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0.44693689660909136</v>
      </c>
      <c r="R196" s="1">
        <v>97</v>
      </c>
      <c r="S196" s="1">
        <v>100</v>
      </c>
      <c r="T196" s="1">
        <v>0</v>
      </c>
      <c r="U196" s="1">
        <f>Games[[#This Row],[PointsFor]]-Games[[#This Row],[PointsAgainst]]</f>
        <v>-3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0.28660369546223186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74.05</v>
      </c>
      <c r="Z196" s="4">
        <f>Games[[#This Row],[K]]*Games[[#This Row],[POMult]]</f>
        <v>74.05</v>
      </c>
      <c r="AA196" s="4">
        <f>(Games[[#This Row],[Keff]]*Games[[#This Row],[MOVMult]])*(Games[[#This Row],[Result]]-Games[[#This Row],[ExpectedWin%]])</f>
        <v>-9.4853433875977675</v>
      </c>
      <c r="AB196" s="4">
        <f>Games[[#This Row],[PreGmRate]]+Games[[#This Row],[RatingChange]]</f>
        <v>1654.1983908572081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46186</v>
      </c>
      <c r="B197" s="2">
        <v>2026</v>
      </c>
      <c r="C197" s="2">
        <f>COUNTIFS(Games[Team],Games[[#This Row],[Team]],Games[Season],Games[[#This Row],[Season]],Games[Date],"&lt;=" &amp; Games[[#This Row],[Date]])</f>
        <v>13</v>
      </c>
      <c r="D197" s="2" t="s">
        <v>79</v>
      </c>
      <c r="E197" s="2" t="s">
        <v>80</v>
      </c>
      <c r="F197" s="1" t="s">
        <v>85</v>
      </c>
      <c r="G197" s="1" t="s">
        <v>67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7" s="2">
        <f>Games[[#This Row],[DaysOff]]-Games[[#This Row],[OppDaysOff]]</f>
        <v>-2</v>
      </c>
      <c r="L197" s="2">
        <f>Games[[#This Row],[OppDaysOff]]-Games[[#This Row],[DaysOff]]</f>
        <v>2</v>
      </c>
      <c r="M197" s="1">
        <f>MAX(-16, MIN(16, Games[[#This Row],[RestDiff]]*8))</f>
        <v>-16</v>
      </c>
      <c r="N197" s="1">
        <f>MAX(-16, MIN(16, Games[[#This Row],[OppRestDiff]]*8))</f>
        <v>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1648.6951251243156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1663.6837342448059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0.55306310339090858</v>
      </c>
      <c r="R197" s="1">
        <v>100</v>
      </c>
      <c r="S197" s="1">
        <v>97</v>
      </c>
      <c r="T197" s="1">
        <v>0</v>
      </c>
      <c r="U197" s="1">
        <f>Games[[#This Row],[PointsFor]]-Games[[#This Row],[PointsAgainst]]</f>
        <v>3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0.28660369546223186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74.05</v>
      </c>
      <c r="Z197" s="4">
        <f>Games[[#This Row],[K]]*Games[[#This Row],[POMult]]</f>
        <v>74.05</v>
      </c>
      <c r="AA197" s="4">
        <f>(Games[[#This Row],[Keff]]*Games[[#This Row],[MOVMult]])*(Games[[#This Row],[Result]]-Games[[#This Row],[ExpectedWin%]])</f>
        <v>9.4853433875977693</v>
      </c>
      <c r="AB197" s="4">
        <f>Games[[#This Row],[PreGmRate]]+Games[[#This Row],[RatingChange]]</f>
        <v>1658.1804685119134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46186</v>
      </c>
      <c r="B198" s="2">
        <v>2026</v>
      </c>
      <c r="C198" s="2">
        <f>COUNTIFS(Games[Team],Games[[#This Row],[Team]],Games[Season],Games[[#This Row],[Season]],Games[Date],"&lt;=" &amp; Games[[#This Row],[Date]])</f>
        <v>13</v>
      </c>
      <c r="D198" s="2" t="s">
        <v>79</v>
      </c>
      <c r="E198" s="2" t="s">
        <v>80</v>
      </c>
      <c r="F198" s="1" t="s">
        <v>63</v>
      </c>
      <c r="G198" s="1" t="s">
        <v>40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1</v>
      </c>
      <c r="L198" s="2">
        <f>Games[[#This Row],[OppDaysOff]]-Games[[#This Row],[DaysOff]]</f>
        <v>-1</v>
      </c>
      <c r="M198" s="1">
        <f>MAX(-16, MIN(16, Games[[#This Row],[RestDiff]]*8))</f>
        <v>8</v>
      </c>
      <c r="N198" s="1">
        <f>MAX(-16, MIN(16, Games[[#This Row],[OppRestDiff]]*8))</f>
        <v>-8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1474.1873125148554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1468.5678549102593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0.4111795622323674</v>
      </c>
      <c r="R198" s="1">
        <v>111</v>
      </c>
      <c r="S198" s="1">
        <v>102</v>
      </c>
      <c r="T198" s="1">
        <v>1</v>
      </c>
      <c r="U198" s="1">
        <f>Games[[#This Row],[PointsFor]]-Games[[#This Row],[PointsAgainst]]</f>
        <v>9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0.36367134467965706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74.05</v>
      </c>
      <c r="Z198" s="4">
        <f>Games[[#This Row],[K]]*Games[[#This Row],[POMult]]</f>
        <v>74.05</v>
      </c>
      <c r="AA198" s="4">
        <f>(Games[[#This Row],[Keff]]*Games[[#This Row],[MOVMult]])*(Games[[#This Row],[Result]]-Games[[#This Row],[ExpectedWin%]])</f>
        <v>15.856853763977517</v>
      </c>
      <c r="AB198" s="4">
        <f>Games[[#This Row],[PreGmRate]]+Games[[#This Row],[RatingChange]]</f>
        <v>1490.044166278833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46186</v>
      </c>
      <c r="B199" s="2">
        <v>2026</v>
      </c>
      <c r="C199" s="2">
        <f>COUNTIFS(Games[Team],Games[[#This Row],[Team]],Games[Season],Games[[#This Row],[Season]],Games[Date],"&lt;=" &amp; Games[[#This Row],[Date]])</f>
        <v>15</v>
      </c>
      <c r="D199" s="2" t="s">
        <v>79</v>
      </c>
      <c r="E199" s="2" t="s">
        <v>80</v>
      </c>
      <c r="F199" s="1" t="s">
        <v>40</v>
      </c>
      <c r="G199" s="1" t="s">
        <v>63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-1</v>
      </c>
      <c r="L199" s="2">
        <f>Games[[#This Row],[OppDaysOff]]-Games[[#This Row],[DaysOff]]</f>
        <v>1</v>
      </c>
      <c r="M199" s="1">
        <f>MAX(-16, MIN(16, Games[[#This Row],[RestDiff]]*8))</f>
        <v>-8</v>
      </c>
      <c r="N199" s="1">
        <f>MAX(-16, MIN(16, Games[[#This Row],[OppRestDiff]]*8))</f>
        <v>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1468.5678549102593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1474.1873125148554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0.58882043776763249</v>
      </c>
      <c r="R199" s="1">
        <v>102</v>
      </c>
      <c r="S199" s="1">
        <v>111</v>
      </c>
      <c r="T199" s="1">
        <v>1</v>
      </c>
      <c r="U199" s="1">
        <f>Games[[#This Row],[PointsFor]]-Games[[#This Row],[PointsAgainst]]</f>
        <v>-9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0.36367134467965706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73.75</v>
      </c>
      <c r="Z199" s="4">
        <f>Games[[#This Row],[K]]*Games[[#This Row],[POMult]]</f>
        <v>73.75</v>
      </c>
      <c r="AA199" s="4">
        <f>(Games[[#This Row],[Keff]]*Games[[#This Row],[MOVMult]])*(Games[[#This Row],[Result]]-Games[[#This Row],[ExpectedWin%]])</f>
        <v>-15.792612627864168</v>
      </c>
      <c r="AB199" s="4">
        <f>Games[[#This Row],[PreGmRate]]+Games[[#This Row],[RatingChange]]</f>
        <v>1452.7752422823951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46186</v>
      </c>
      <c r="B200" s="2">
        <v>2026</v>
      </c>
      <c r="C200" s="2">
        <f>COUNTIFS(Games[Team],Games[[#This Row],[Team]],Games[Season],Games[[#This Row],[Season]],Games[Date],"&lt;=" &amp; Games[[#This Row],[Date]])</f>
        <v>13</v>
      </c>
      <c r="D200" s="2" t="s">
        <v>79</v>
      </c>
      <c r="E200" s="2" t="s">
        <v>80</v>
      </c>
      <c r="F200" s="1" t="s">
        <v>84</v>
      </c>
      <c r="G200" s="1" t="s">
        <v>89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1510.9402343846048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1443.1443350538673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0.4766973182248167</v>
      </c>
      <c r="R200" s="1">
        <v>83</v>
      </c>
      <c r="S200" s="1">
        <v>84</v>
      </c>
      <c r="T200" s="1">
        <v>0</v>
      </c>
      <c r="U200" s="1">
        <f>Games[[#This Row],[PointsFor]]-Games[[#This Row],[PointsAgainst]]</f>
        <v>-1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0.23112206413747943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74.05</v>
      </c>
      <c r="Z200" s="4">
        <f>Games[[#This Row],[K]]*Games[[#This Row],[POMult]]</f>
        <v>74.05</v>
      </c>
      <c r="AA200" s="4">
        <f>(Games[[#This Row],[Keff]]*Games[[#This Row],[MOVMult]])*(Games[[#This Row],[Result]]-Games[[#This Row],[ExpectedWin%]])</f>
        <v>-8.1584786070199637</v>
      </c>
      <c r="AB200" s="4">
        <f>Games[[#This Row],[PreGmRate]]+Games[[#This Row],[RatingChange]]</f>
        <v>1502.7817557775847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46186</v>
      </c>
      <c r="B201" s="2">
        <v>2026</v>
      </c>
      <c r="C201" s="2">
        <f>COUNTIFS(Games[Team],Games[[#This Row],[Team]],Games[Season],Games[[#This Row],[Season]],Games[Date],"&lt;=" &amp; Games[[#This Row],[Date]])</f>
        <v>15</v>
      </c>
      <c r="D201" s="2" t="s">
        <v>79</v>
      </c>
      <c r="E201" s="2" t="s">
        <v>80</v>
      </c>
      <c r="F201" s="1" t="s">
        <v>89</v>
      </c>
      <c r="G201" s="1" t="s">
        <v>84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1443.1443350538673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1510.9402343846048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0.52330268177518335</v>
      </c>
      <c r="R201" s="1">
        <v>84</v>
      </c>
      <c r="S201" s="1">
        <v>83</v>
      </c>
      <c r="T201" s="1">
        <v>0</v>
      </c>
      <c r="U201" s="1">
        <f>Games[[#This Row],[PointsFor]]-Games[[#This Row],[PointsAgainst]]</f>
        <v>1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0.23112206413747943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73.75</v>
      </c>
      <c r="Z201" s="4">
        <f>Games[[#This Row],[K]]*Games[[#This Row],[POMult]]</f>
        <v>73.75</v>
      </c>
      <c r="AA201" s="4">
        <f>(Games[[#This Row],[Keff]]*Games[[#This Row],[MOVMult]])*(Games[[#This Row],[Result]]-Games[[#This Row],[ExpectedWin%]])</f>
        <v>8.1254260265728888</v>
      </c>
      <c r="AB201" s="4">
        <f>Games[[#This Row],[PreGmRate]]+Games[[#This Row],[RatingChange]]</f>
        <v>1451.2697610804403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46187</v>
      </c>
      <c r="B202" s="2">
        <v>2026</v>
      </c>
      <c r="C202" s="2">
        <f>COUNTIFS(Games[Team],Games[[#This Row],[Team]],Games[Season],Games[[#This Row],[Season]],Games[Date],"&lt;=" &amp; Games[[#This Row],[Date]])</f>
        <v>12</v>
      </c>
      <c r="D202" s="2" t="s">
        <v>79</v>
      </c>
      <c r="E202" s="2" t="s">
        <v>80</v>
      </c>
      <c r="F202" s="1" t="s">
        <v>65</v>
      </c>
      <c r="G202" s="1" t="s">
        <v>60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1425.6208069535426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1573.4612762191673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0.19361581496639246</v>
      </c>
      <c r="R202" s="1">
        <v>64</v>
      </c>
      <c r="S202" s="1">
        <v>86</v>
      </c>
      <c r="T202" s="1">
        <v>0</v>
      </c>
      <c r="U202" s="1">
        <f>Games[[#This Row],[PointsFor]]-Games[[#This Row],[PointsAgainst]]</f>
        <v>-22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0.53601848442631073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74.2</v>
      </c>
      <c r="Z202" s="4">
        <f>Games[[#This Row],[K]]*Games[[#This Row],[POMult]]</f>
        <v>74.2</v>
      </c>
      <c r="AA202" s="4">
        <f>(Games[[#This Row],[Keff]]*Games[[#This Row],[MOVMult]])*(Games[[#This Row],[Result]]-Games[[#This Row],[ExpectedWin%]])</f>
        <v>-7.7005988528844025</v>
      </c>
      <c r="AB202" s="4">
        <f>Games[[#This Row],[PreGmRate]]+Games[[#This Row],[RatingChange]]</f>
        <v>1417.9202081006581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46187</v>
      </c>
      <c r="B203" s="2">
        <v>2026</v>
      </c>
      <c r="C203" s="2">
        <f>COUNTIFS(Games[Team],Games[[#This Row],[Team]],Games[Season],Games[[#This Row],[Season]],Games[Date],"&lt;=" &amp; Games[[#This Row],[Date]])</f>
        <v>14</v>
      </c>
      <c r="D203" s="2" t="s">
        <v>79</v>
      </c>
      <c r="E203" s="2" t="s">
        <v>80</v>
      </c>
      <c r="F203" s="1" t="s">
        <v>60</v>
      </c>
      <c r="G203" s="1" t="s">
        <v>65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1573.4612762191673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1425.6208069535426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0.80638418503360754</v>
      </c>
      <c r="R203" s="1">
        <v>86</v>
      </c>
      <c r="S203" s="1">
        <v>64</v>
      </c>
      <c r="T203" s="1">
        <v>0</v>
      </c>
      <c r="U203" s="1">
        <f>Games[[#This Row],[PointsFor]]-Games[[#This Row],[PointsAgainst]]</f>
        <v>22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0.53601848442631073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73.900000000000006</v>
      </c>
      <c r="Z203" s="4">
        <f>Games[[#This Row],[K]]*Games[[#This Row],[POMult]]</f>
        <v>73.900000000000006</v>
      </c>
      <c r="AA203" s="4">
        <f>(Games[[#This Row],[Keff]]*Games[[#This Row],[MOVMult]])*(Games[[#This Row],[Result]]-Games[[#This Row],[ExpectedWin%]])</f>
        <v>7.6694643561746272</v>
      </c>
      <c r="AB203" s="4">
        <f>Games[[#This Row],[PreGmRate]]+Games[[#This Row],[RatingChange]]</f>
        <v>1581.1307405753419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46187</v>
      </c>
      <c r="B204" s="2">
        <v>2026</v>
      </c>
      <c r="C204" s="2">
        <f>COUNTIFS(Games[Team],Games[[#This Row],[Team]],Games[Season],Games[[#This Row],[Season]],Games[Date],"&lt;=" &amp; Games[[#This Row],[Date]])</f>
        <v>13</v>
      </c>
      <c r="D204" s="2" t="s">
        <v>79</v>
      </c>
      <c r="E204" s="2" t="s">
        <v>80</v>
      </c>
      <c r="F204" s="1" t="s">
        <v>77</v>
      </c>
      <c r="G204" s="1" t="s">
        <v>90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1</v>
      </c>
      <c r="L204" s="2">
        <f>Games[[#This Row],[OppDaysOff]]-Games[[#This Row],[DaysOff]]</f>
        <v>-1</v>
      </c>
      <c r="M204" s="1">
        <f>MAX(-16, MIN(16, Games[[#This Row],[RestDiff]]*8))</f>
        <v>8</v>
      </c>
      <c r="N204" s="1">
        <f>MAX(-16, MIN(16, Games[[#This Row],[OppRestDiff]]*8))</f>
        <v>-8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1581.4259851719985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1502.1138949766585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0.51627365637624534</v>
      </c>
      <c r="R204" s="1">
        <v>102</v>
      </c>
      <c r="S204" s="1">
        <v>77</v>
      </c>
      <c r="T204" s="1">
        <v>0</v>
      </c>
      <c r="U204" s="1">
        <f>Games[[#This Row],[PointsFor]]-Games[[#This Row],[PointsAgainst]]</f>
        <v>25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0.60158396060737174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74.05</v>
      </c>
      <c r="Z204" s="4">
        <f>Games[[#This Row],[K]]*Games[[#This Row],[POMult]]</f>
        <v>74.05</v>
      </c>
      <c r="AA204" s="4">
        <f>(Games[[#This Row],[Keff]]*Games[[#This Row],[MOVMult]])*(Games[[#This Row],[Result]]-Games[[#This Row],[ExpectedWin%]])</f>
        <v>21.548698814382622</v>
      </c>
      <c r="AB204" s="4">
        <f>Games[[#This Row],[PreGmRate]]+Games[[#This Row],[RatingChange]]</f>
        <v>1602.974683986381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46187</v>
      </c>
      <c r="B205" s="2">
        <v>2026</v>
      </c>
      <c r="C205" s="2">
        <f>COUNTIFS(Games[Team],Games[[#This Row],[Team]],Games[Season],Games[[#This Row],[Season]],Games[Date],"&lt;=" &amp; Games[[#This Row],[Date]])</f>
        <v>14</v>
      </c>
      <c r="D205" s="2" t="s">
        <v>79</v>
      </c>
      <c r="E205" s="2" t="s">
        <v>80</v>
      </c>
      <c r="F205" s="1" t="s">
        <v>90</v>
      </c>
      <c r="G205" s="1" t="s">
        <v>77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5" s="2">
        <f>Games[[#This Row],[DaysOff]]-Games[[#This Row],[OppDaysOff]]</f>
        <v>-1</v>
      </c>
      <c r="L205" s="2">
        <f>Games[[#This Row],[OppDaysOff]]-Games[[#This Row],[DaysOff]]</f>
        <v>1</v>
      </c>
      <c r="M205" s="1">
        <f>MAX(-16, MIN(16, Games[[#This Row],[RestDiff]]*8))</f>
        <v>-8</v>
      </c>
      <c r="N205" s="1">
        <f>MAX(-16, MIN(16, Games[[#This Row],[OppRestDiff]]*8))</f>
        <v>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1502.1138949766585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1581.4259851719985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0.48372634362375461</v>
      </c>
      <c r="R205" s="1">
        <v>77</v>
      </c>
      <c r="S205" s="1">
        <v>102</v>
      </c>
      <c r="T205" s="1">
        <v>0</v>
      </c>
      <c r="U205" s="1">
        <f>Games[[#This Row],[PointsFor]]-Games[[#This Row],[PointsAgainst]]</f>
        <v>-25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0.60158396060737174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73.900000000000006</v>
      </c>
      <c r="Z205" s="4">
        <f>Games[[#This Row],[K]]*Games[[#This Row],[POMult]]</f>
        <v>73.900000000000006</v>
      </c>
      <c r="AA205" s="4">
        <f>(Games[[#This Row],[Keff]]*Games[[#This Row],[MOVMult]])*(Games[[#This Row],[Result]]-Games[[#This Row],[ExpectedWin%]])</f>
        <v>-21.505048512935527</v>
      </c>
      <c r="AB205" s="4">
        <f>Games[[#This Row],[PreGmRate]]+Games[[#This Row],[RatingChange]]</f>
        <v>1480.608846463723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46188</v>
      </c>
      <c r="B206" s="2">
        <v>2026</v>
      </c>
      <c r="C206" s="2">
        <f>COUNTIFS(Games[Team],Games[[#This Row],[Team]],Games[Season],Games[[#This Row],[Season]],Games[Date],"&lt;=" &amp; Games[[#This Row],[Date]])</f>
        <v>14</v>
      </c>
      <c r="D206" s="2" t="s">
        <v>79</v>
      </c>
      <c r="E206" s="2" t="s">
        <v>80</v>
      </c>
      <c r="F206" s="1" t="s">
        <v>85</v>
      </c>
      <c r="G206" s="1" t="s">
        <v>84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1658.1804685119134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1502.7817557775847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0.60132860171592706</v>
      </c>
      <c r="R206" s="1">
        <v>66</v>
      </c>
      <c r="S206" s="1">
        <v>96</v>
      </c>
      <c r="T206" s="1">
        <v>0</v>
      </c>
      <c r="U206" s="1">
        <f>Games[[#This Row],[PointsFor]]-Games[[#This Row],[PointsAgainst]]</f>
        <v>-30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0.62283607295653531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73.900000000000006</v>
      </c>
      <c r="Z206" s="4">
        <f>Games[[#This Row],[K]]*Games[[#This Row],[POMult]]</f>
        <v>73.900000000000006</v>
      </c>
      <c r="AA206" s="4">
        <f>(Games[[#This Row],[Keff]]*Games[[#This Row],[MOVMult]])*(Games[[#This Row],[Result]]-Games[[#This Row],[ExpectedWin%]])</f>
        <v>-27.677703804355328</v>
      </c>
      <c r="AB206" s="4">
        <f>Games[[#This Row],[PreGmRate]]+Games[[#This Row],[RatingChange]]</f>
        <v>1630.5027647075581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46188</v>
      </c>
      <c r="B207" s="2">
        <v>2026</v>
      </c>
      <c r="C207" s="2">
        <f>COUNTIFS(Games[Team],Games[[#This Row],[Team]],Games[Season],Games[[#This Row],[Season]],Games[Date],"&lt;=" &amp; Games[[#This Row],[Date]])</f>
        <v>14</v>
      </c>
      <c r="D207" s="2" t="s">
        <v>79</v>
      </c>
      <c r="E207" s="2" t="s">
        <v>80</v>
      </c>
      <c r="F207" s="1" t="s">
        <v>84</v>
      </c>
      <c r="G207" s="1" t="s">
        <v>85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1502.7817557775847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1658.1804685119134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0.39867139828407289</v>
      </c>
      <c r="R207" s="1">
        <v>96</v>
      </c>
      <c r="S207" s="1">
        <v>66</v>
      </c>
      <c r="T207" s="1">
        <v>0</v>
      </c>
      <c r="U207" s="1">
        <f>Games[[#This Row],[PointsFor]]-Games[[#This Row],[PointsAgainst]]</f>
        <v>30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0.62283607295653531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73.900000000000006</v>
      </c>
      <c r="Z207" s="4">
        <f>Games[[#This Row],[K]]*Games[[#This Row],[POMult]]</f>
        <v>73.900000000000006</v>
      </c>
      <c r="AA207" s="4">
        <f>(Games[[#This Row],[Keff]]*Games[[#This Row],[MOVMult]])*(Games[[#This Row],[Result]]-Games[[#This Row],[ExpectedWin%]])</f>
        <v>27.677703804355335</v>
      </c>
      <c r="AB207" s="4">
        <f>Games[[#This Row],[PreGmRate]]+Games[[#This Row],[RatingChange]]</f>
        <v>1530.4594595819401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46188</v>
      </c>
      <c r="B208" s="2">
        <v>2026</v>
      </c>
      <c r="C208" s="2">
        <f>COUNTIFS(Games[Team],Games[[#This Row],[Team]],Games[Season],Games[[#This Row],[Season]],Games[Date],"&lt;=" &amp; Games[[#This Row],[Date]])</f>
        <v>14</v>
      </c>
      <c r="D208" s="2" t="s">
        <v>79</v>
      </c>
      <c r="E208" s="2" t="s">
        <v>80</v>
      </c>
      <c r="F208" s="1" t="s">
        <v>63</v>
      </c>
      <c r="G208" s="1" t="s">
        <v>87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8" s="2">
        <f>Games[[#This Row],[DaysOff]]-Games[[#This Row],[OppDaysOff]]</f>
        <v>-1</v>
      </c>
      <c r="L208" s="2">
        <f>Games[[#This Row],[OppDaysOff]]-Games[[#This Row],[DaysOff]]</f>
        <v>1</v>
      </c>
      <c r="M208" s="1">
        <f>MAX(-16, MIN(16, Games[[#This Row],[RestDiff]]*8))</f>
        <v>-8</v>
      </c>
      <c r="N208" s="1">
        <f>MAX(-16, MIN(16, Games[[#This Row],[OppRestDiff]]*8))</f>
        <v>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1490.044166278833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1556.8159990045131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0.2768750234722181</v>
      </c>
      <c r="R208" s="1">
        <v>58</v>
      </c>
      <c r="S208" s="1">
        <v>78</v>
      </c>
      <c r="T208" s="1">
        <v>0</v>
      </c>
      <c r="U208" s="1">
        <f>Games[[#This Row],[PointsFor]]-Games[[#This Row],[PointsAgainst]]</f>
        <v>-20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0.54458491490629612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73.900000000000006</v>
      </c>
      <c r="Z208" s="4">
        <f>Games[[#This Row],[K]]*Games[[#This Row],[POMult]]</f>
        <v>73.900000000000006</v>
      </c>
      <c r="AA208" s="4">
        <f>(Games[[#This Row],[Keff]]*Games[[#This Row],[MOVMult]])*(Games[[#This Row],[Result]]-Games[[#This Row],[ExpectedWin%]])</f>
        <v>-11.142786925090222</v>
      </c>
      <c r="AB208" s="4">
        <f>Games[[#This Row],[PreGmRate]]+Games[[#This Row],[RatingChange]]</f>
        <v>1478.9013793537429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46188</v>
      </c>
      <c r="B209" s="2">
        <v>2026</v>
      </c>
      <c r="C209" s="2">
        <f>COUNTIFS(Games[Team],Games[[#This Row],[Team]],Games[Season],Games[[#This Row],[Season]],Games[Date],"&lt;=" &amp; Games[[#This Row],[Date]])</f>
        <v>14</v>
      </c>
      <c r="D209" s="2" t="s">
        <v>79</v>
      </c>
      <c r="E209" s="2" t="s">
        <v>80</v>
      </c>
      <c r="F209" s="1" t="s">
        <v>87</v>
      </c>
      <c r="G209" s="1" t="s">
        <v>63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1</v>
      </c>
      <c r="L209" s="2">
        <f>Games[[#This Row],[OppDaysOff]]-Games[[#This Row],[DaysOff]]</f>
        <v>-1</v>
      </c>
      <c r="M209" s="1">
        <f>MAX(-16, MIN(16, Games[[#This Row],[RestDiff]]*8))</f>
        <v>8</v>
      </c>
      <c r="N209" s="1">
        <f>MAX(-16, MIN(16, Games[[#This Row],[OppRestDiff]]*8))</f>
        <v>-8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1556.8159990045131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1490.044166278833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0.72312497652778185</v>
      </c>
      <c r="R209" s="1">
        <v>78</v>
      </c>
      <c r="S209" s="1">
        <v>58</v>
      </c>
      <c r="T209" s="1">
        <v>0</v>
      </c>
      <c r="U209" s="1">
        <f>Games[[#This Row],[PointsFor]]-Games[[#This Row],[PointsAgainst]]</f>
        <v>20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0.54458491490629612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73.900000000000006</v>
      </c>
      <c r="Z209" s="4">
        <f>Games[[#This Row],[K]]*Games[[#This Row],[POMult]]</f>
        <v>73.900000000000006</v>
      </c>
      <c r="AA209" s="4">
        <f>(Games[[#This Row],[Keff]]*Games[[#This Row],[MOVMult]])*(Games[[#This Row],[Result]]-Games[[#This Row],[ExpectedWin%]])</f>
        <v>11.142786925090226</v>
      </c>
      <c r="AB209" s="4">
        <f>Games[[#This Row],[PreGmRate]]+Games[[#This Row],[RatingChange]]</f>
        <v>1567.9587859296032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46188</v>
      </c>
      <c r="B210" s="2">
        <v>2026</v>
      </c>
      <c r="C210" s="2">
        <f>COUNTIFS(Games[Team],Games[[#This Row],[Team]],Games[Season],Games[[#This Row],[Season]],Games[Date],"&lt;=" &amp; Games[[#This Row],[Date]])</f>
        <v>16</v>
      </c>
      <c r="D210" s="2" t="s">
        <v>79</v>
      </c>
      <c r="E210" s="2" t="s">
        <v>80</v>
      </c>
      <c r="F210" s="1" t="s">
        <v>89</v>
      </c>
      <c r="G210" s="1" t="s">
        <v>67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1451.2697610804403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1654.1983908572081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0.16088013688709524</v>
      </c>
      <c r="R210" s="1">
        <v>74</v>
      </c>
      <c r="S210" s="1">
        <v>107</v>
      </c>
      <c r="T210" s="1">
        <v>0</v>
      </c>
      <c r="U210" s="1">
        <f>Games[[#This Row],[PointsFor]]-Games[[#This Row],[PointsAgainst]]</f>
        <v>-33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0.6321710155211151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73.599999999999994</v>
      </c>
      <c r="Z210" s="4">
        <f>Games[[#This Row],[K]]*Games[[#This Row],[POMult]]</f>
        <v>73.599999999999994</v>
      </c>
      <c r="AA210" s="4">
        <f>(Games[[#This Row],[Keff]]*Games[[#This Row],[MOVMult]])*(Games[[#This Row],[Result]]-Games[[#This Row],[ExpectedWin%]])</f>
        <v>-7.4853967001634976</v>
      </c>
      <c r="AB210" s="4">
        <f>Games[[#This Row],[PreGmRate]]+Games[[#This Row],[RatingChange]]</f>
        <v>1443.7843643802769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46188</v>
      </c>
      <c r="B211" s="2">
        <v>2026</v>
      </c>
      <c r="C211" s="2">
        <f>COUNTIFS(Games[Team],Games[[#This Row],[Team]],Games[Season],Games[[#This Row],[Season]],Games[Date],"&lt;=" &amp; Games[[#This Row],[Date]])</f>
        <v>14</v>
      </c>
      <c r="D211" s="2" t="s">
        <v>79</v>
      </c>
      <c r="E211" s="2" t="s">
        <v>80</v>
      </c>
      <c r="F211" s="1" t="s">
        <v>67</v>
      </c>
      <c r="G211" s="1" t="s">
        <v>89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1654.1983908572081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1451.2697610804403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0.83911986311290476</v>
      </c>
      <c r="R211" s="1">
        <v>107</v>
      </c>
      <c r="S211" s="1">
        <v>74</v>
      </c>
      <c r="T211" s="1">
        <v>0</v>
      </c>
      <c r="U211" s="1">
        <f>Games[[#This Row],[PointsFor]]-Games[[#This Row],[PointsAgainst]]</f>
        <v>33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0.6321710155211151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73.900000000000006</v>
      </c>
      <c r="Z211" s="4">
        <f>Games[[#This Row],[K]]*Games[[#This Row],[POMult]]</f>
        <v>73.900000000000006</v>
      </c>
      <c r="AA211" s="4">
        <f>(Games[[#This Row],[Keff]]*Games[[#This Row],[MOVMult]])*(Games[[#This Row],[Result]]-Games[[#This Row],[ExpectedWin%]])</f>
        <v>7.5159078280174265</v>
      </c>
      <c r="AB211" s="4">
        <f>Games[[#This Row],[PreGmRate]]+Games[[#This Row],[RatingChange]]</f>
        <v>1661.7142986852255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46189</v>
      </c>
      <c r="B212" s="2">
        <v>2026</v>
      </c>
      <c r="C212" s="2">
        <f>COUNTIFS(Games[Team],Games[[#This Row],[Team]],Games[Season],Games[[#This Row],[Season]],Games[Date],"&lt;=" &amp; Games[[#This Row],[Date]])</f>
        <v>15</v>
      </c>
      <c r="D212" s="2" t="s">
        <v>79</v>
      </c>
      <c r="E212" s="2" t="s">
        <v>80</v>
      </c>
      <c r="F212" s="1" t="s">
        <v>90</v>
      </c>
      <c r="G212" s="1" t="s">
        <v>69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1480.608846463723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1557.2340241255094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0.26566362626881912</v>
      </c>
      <c r="R212" s="1">
        <v>91</v>
      </c>
      <c r="S212" s="1">
        <v>113</v>
      </c>
      <c r="T212" s="1">
        <v>0</v>
      </c>
      <c r="U212" s="1">
        <f>Games[[#This Row],[PointsFor]]-Games[[#This Row],[PointsAgainst]]</f>
        <v>-22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0.56591975328847022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73.75</v>
      </c>
      <c r="Z212" s="4">
        <f>Games[[#This Row],[K]]*Games[[#This Row],[POMult]]</f>
        <v>73.75</v>
      </c>
      <c r="AA212" s="4">
        <f>(Games[[#This Row],[Keff]]*Games[[#This Row],[MOVMult]])*(Games[[#This Row],[Result]]-Games[[#This Row],[ExpectedWin%]])</f>
        <v>-11.087891670388071</v>
      </c>
      <c r="AB212" s="4">
        <f>Games[[#This Row],[PreGmRate]]+Games[[#This Row],[RatingChange]]</f>
        <v>1469.520954793335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46189</v>
      </c>
      <c r="B213" s="2">
        <v>2026</v>
      </c>
      <c r="C213" s="2">
        <f>COUNTIFS(Games[Team],Games[[#This Row],[Team]],Games[Season],Games[[#This Row],[Season]],Games[Date],"&lt;=" &amp; Games[[#This Row],[Date]])</f>
        <v>14</v>
      </c>
      <c r="D213" s="2" t="s">
        <v>79</v>
      </c>
      <c r="E213" s="2" t="s">
        <v>80</v>
      </c>
      <c r="F213" s="1" t="s">
        <v>69</v>
      </c>
      <c r="G213" s="1" t="s">
        <v>90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1557.2340241255094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1480.608846463723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0.73433637373118088</v>
      </c>
      <c r="R213" s="1">
        <v>113</v>
      </c>
      <c r="S213" s="1">
        <v>91</v>
      </c>
      <c r="T213" s="1">
        <v>0</v>
      </c>
      <c r="U213" s="1">
        <f>Games[[#This Row],[PointsFor]]-Games[[#This Row],[PointsAgainst]]</f>
        <v>22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0.56591975328847022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73.900000000000006</v>
      </c>
      <c r="Z213" s="4">
        <f>Games[[#This Row],[K]]*Games[[#This Row],[POMult]]</f>
        <v>73.900000000000006</v>
      </c>
      <c r="AA213" s="4">
        <f>(Games[[#This Row],[Keff]]*Games[[#This Row],[MOVMult]])*(Games[[#This Row],[Result]]-Games[[#This Row],[ExpectedWin%]])</f>
        <v>11.11044331446344</v>
      </c>
      <c r="AB213" s="4">
        <f>Games[[#This Row],[PreGmRate]]+Games[[#This Row],[RatingChange]]</f>
        <v>1568.344467439973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46190</v>
      </c>
      <c r="B214" s="2">
        <v>2026</v>
      </c>
      <c r="C214" s="2">
        <f>COUNTIFS(Games[Team],Games[[#This Row],[Team]],Games[Season],Games[[#This Row],[Season]],Games[Date],"&lt;=" &amp; Games[[#This Row],[Date]])</f>
        <v>15</v>
      </c>
      <c r="D214" s="2" t="s">
        <v>79</v>
      </c>
      <c r="E214" s="2" t="s">
        <v>80</v>
      </c>
      <c r="F214" s="1" t="s">
        <v>60</v>
      </c>
      <c r="G214" s="1" t="s">
        <v>75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4" s="2">
        <f>Games[[#This Row],[DaysOff]]-Games[[#This Row],[OppDaysOff]]</f>
        <v>-3</v>
      </c>
      <c r="L214" s="2">
        <f>Games[[#This Row],[OppDaysOff]]-Games[[#This Row],[DaysOff]]</f>
        <v>3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1581.1307405753419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1368.4956711991738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0.63559048211232227</v>
      </c>
      <c r="R214" s="1">
        <v>96</v>
      </c>
      <c r="S214" s="1">
        <v>95</v>
      </c>
      <c r="T214" s="1">
        <v>0</v>
      </c>
      <c r="U214" s="1">
        <f>Games[[#This Row],[PointsFor]]-Games[[#This Row],[PointsAgainst]]</f>
        <v>1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0.20742484135534758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73.75</v>
      </c>
      <c r="Z214" s="4">
        <f>Games[[#This Row],[K]]*Games[[#This Row],[POMult]]</f>
        <v>73.75</v>
      </c>
      <c r="AA214" s="4">
        <f>(Games[[#This Row],[Keff]]*Games[[#This Row],[MOVMult]])*(Games[[#This Row],[Result]]-Games[[#This Row],[ExpectedWin%]])</f>
        <v>5.5745844996719809</v>
      </c>
      <c r="AB214" s="4">
        <f>Games[[#This Row],[PreGmRate]]+Games[[#This Row],[RatingChange]]</f>
        <v>1586.7053250750139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46190</v>
      </c>
      <c r="B215" s="2">
        <v>2026</v>
      </c>
      <c r="C215" s="2">
        <f>COUNTIFS(Games[Team],Games[[#This Row],[Team]],Games[Season],Games[[#This Row],[Season]],Games[Date],"&lt;=" &amp; Games[[#This Row],[Date]])</f>
        <v>14</v>
      </c>
      <c r="D215" s="2" t="s">
        <v>79</v>
      </c>
      <c r="E215" s="2" t="s">
        <v>80</v>
      </c>
      <c r="F215" s="1" t="s">
        <v>75</v>
      </c>
      <c r="G215" s="1" t="s">
        <v>60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5" s="2">
        <f>Games[[#This Row],[DaysOff]]-Games[[#This Row],[OppDaysOff]]</f>
        <v>3</v>
      </c>
      <c r="L215" s="2">
        <f>Games[[#This Row],[OppDaysOff]]-Games[[#This Row],[DaysOff]]</f>
        <v>-3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1368.4956711991738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1581.1307405753419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0.36440951788767773</v>
      </c>
      <c r="R215" s="1">
        <v>95</v>
      </c>
      <c r="S215" s="1">
        <v>96</v>
      </c>
      <c r="T215" s="1">
        <v>0</v>
      </c>
      <c r="U215" s="1">
        <f>Games[[#This Row],[PointsFor]]-Games[[#This Row],[PointsAgainst]]</f>
        <v>-1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0.20742484135534758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73.900000000000006</v>
      </c>
      <c r="Z215" s="4">
        <f>Games[[#This Row],[K]]*Games[[#This Row],[POMult]]</f>
        <v>73.900000000000006</v>
      </c>
      <c r="AA215" s="4">
        <f>(Games[[#This Row],[Keff]]*Games[[#This Row],[MOVMult]])*(Games[[#This Row],[Result]]-Games[[#This Row],[ExpectedWin%]])</f>
        <v>-5.5859226376374158</v>
      </c>
      <c r="AB215" s="4">
        <f>Games[[#This Row],[PreGmRate]]+Games[[#This Row],[RatingChange]]</f>
        <v>1362.9097485615364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46190</v>
      </c>
      <c r="B216" s="2">
        <v>2026</v>
      </c>
      <c r="C216" s="2">
        <f>COUNTIFS(Games[Team],Games[[#This Row],[Team]],Games[Season],Games[[#This Row],[Season]],Games[Date],"&lt;=" &amp; Games[[#This Row],[Date]])</f>
        <v>13</v>
      </c>
      <c r="D216" s="2" t="s">
        <v>79</v>
      </c>
      <c r="E216" s="2" t="s">
        <v>80</v>
      </c>
      <c r="F216" s="1" t="s">
        <v>65</v>
      </c>
      <c r="G216" s="1" t="s">
        <v>74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6" s="2">
        <f>Games[[#This Row],[DaysOff]]-Games[[#This Row],[OppDaysOff]]</f>
        <v>-1</v>
      </c>
      <c r="L216" s="2">
        <f>Games[[#This Row],[OppDaysOff]]-Games[[#This Row],[DaysOff]]</f>
        <v>1</v>
      </c>
      <c r="M216" s="1">
        <f>MAX(-16, MIN(16, Games[[#This Row],[RestDiff]]*8))</f>
        <v>-8</v>
      </c>
      <c r="N216" s="1">
        <f>MAX(-16, MIN(16, Games[[#This Row],[OppRestDiff]]*8))</f>
        <v>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1417.9202081006581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1337.0698539728423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0.47246931710483159</v>
      </c>
      <c r="R216" s="1">
        <v>88</v>
      </c>
      <c r="S216" s="1">
        <v>81</v>
      </c>
      <c r="T216" s="1">
        <v>0</v>
      </c>
      <c r="U216" s="1">
        <f>Games[[#This Row],[PointsFor]]-Games[[#This Row],[PointsAgainst]]</f>
        <v>7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0.34674511784556566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74.05</v>
      </c>
      <c r="Z216" s="4">
        <f>Games[[#This Row],[K]]*Games[[#This Row],[POMult]]</f>
        <v>74.05</v>
      </c>
      <c r="AA216" s="4">
        <f>(Games[[#This Row],[Keff]]*Games[[#This Row],[MOVMult]])*(Games[[#This Row],[Result]]-Games[[#This Row],[ExpectedWin%]])</f>
        <v>13.545128906205514</v>
      </c>
      <c r="AB216" s="4">
        <f>Games[[#This Row],[PreGmRate]]+Games[[#This Row],[RatingChange]]</f>
        <v>1431.4653370068636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46190</v>
      </c>
      <c r="B217" s="2">
        <v>2026</v>
      </c>
      <c r="C217" s="2">
        <f>COUNTIFS(Games[Team],Games[[#This Row],[Team]],Games[Season],Games[[#This Row],[Season]],Games[Date],"&lt;=" &amp; Games[[#This Row],[Date]])</f>
        <v>16</v>
      </c>
      <c r="D217" s="2" t="s">
        <v>79</v>
      </c>
      <c r="E217" s="2" t="s">
        <v>80</v>
      </c>
      <c r="F217" s="1" t="s">
        <v>74</v>
      </c>
      <c r="G217" s="1" t="s">
        <v>65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7" s="2">
        <f>Games[[#This Row],[DaysOff]]-Games[[#This Row],[OppDaysOff]]</f>
        <v>1</v>
      </c>
      <c r="L217" s="2">
        <f>Games[[#This Row],[OppDaysOff]]-Games[[#This Row],[DaysOff]]</f>
        <v>-1</v>
      </c>
      <c r="M217" s="1">
        <f>MAX(-16, MIN(16, Games[[#This Row],[RestDiff]]*8))</f>
        <v>8</v>
      </c>
      <c r="N217" s="1">
        <f>MAX(-16, MIN(16, Games[[#This Row],[OppRestDiff]]*8))</f>
        <v>-8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1337.0698539728423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1417.9202081006581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0.52753068289516847</v>
      </c>
      <c r="R217" s="1">
        <v>81</v>
      </c>
      <c r="S217" s="1">
        <v>88</v>
      </c>
      <c r="T217" s="1">
        <v>0</v>
      </c>
      <c r="U217" s="1">
        <f>Games[[#This Row],[PointsFor]]-Games[[#This Row],[PointsAgainst]]</f>
        <v>-7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0.34674511784556566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73.599999999999994</v>
      </c>
      <c r="Z217" s="4">
        <f>Games[[#This Row],[K]]*Games[[#This Row],[POMult]]</f>
        <v>73.599999999999994</v>
      </c>
      <c r="AA217" s="4">
        <f>(Games[[#This Row],[Keff]]*Games[[#This Row],[MOVMult]])*(Games[[#This Row],[Result]]-Games[[#This Row],[ExpectedWin%]])</f>
        <v>-13.462815496242076</v>
      </c>
      <c r="AB217" s="4">
        <f>Games[[#This Row],[PreGmRate]]+Games[[#This Row],[RatingChange]]</f>
        <v>1323.6070384766003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46190</v>
      </c>
      <c r="B218" s="2">
        <v>2026</v>
      </c>
      <c r="C218" s="2">
        <f>COUNTIFS(Games[Team],Games[[#This Row],[Team]],Games[Season],Games[[#This Row],[Season]],Games[Date],"&lt;=" &amp; Games[[#This Row],[Date]])</f>
        <v>15</v>
      </c>
      <c r="D218" s="2" t="s">
        <v>79</v>
      </c>
      <c r="E218" s="2" t="s">
        <v>80</v>
      </c>
      <c r="F218" s="1" t="s">
        <v>84</v>
      </c>
      <c r="G218" s="1" t="s">
        <v>87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1530.4594595819401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1567.9587859296032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0.33194386211702209</v>
      </c>
      <c r="R218" s="1">
        <v>80</v>
      </c>
      <c r="S218" s="1">
        <v>91</v>
      </c>
      <c r="T218" s="1">
        <v>0</v>
      </c>
      <c r="U218" s="1">
        <f>Games[[#This Row],[PointsFor]]-Games[[#This Row],[PointsAgainst]]</f>
        <v>-11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0.42650783969871564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73.75</v>
      </c>
      <c r="Z218" s="4">
        <f>Games[[#This Row],[K]]*Games[[#This Row],[POMult]]</f>
        <v>73.75</v>
      </c>
      <c r="AA218" s="4">
        <f>(Games[[#This Row],[Keff]]*Games[[#This Row],[MOVMult]])*(Games[[#This Row],[Result]]-Games[[#This Row],[ExpectedWin%]])</f>
        <v>-10.441278640542484</v>
      </c>
      <c r="AB218" s="4">
        <f>Games[[#This Row],[PreGmRate]]+Games[[#This Row],[RatingChange]]</f>
        <v>1520.0181809413975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46190</v>
      </c>
      <c r="B219" s="2">
        <v>2026</v>
      </c>
      <c r="C219" s="2">
        <f>COUNTIFS(Games[Team],Games[[#This Row],[Team]],Games[Season],Games[[#This Row],[Season]],Games[Date],"&lt;=" &amp; Games[[#This Row],[Date]])</f>
        <v>15</v>
      </c>
      <c r="D219" s="2" t="s">
        <v>79</v>
      </c>
      <c r="E219" s="2" t="s">
        <v>80</v>
      </c>
      <c r="F219" s="1" t="s">
        <v>87</v>
      </c>
      <c r="G219" s="1" t="s">
        <v>84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1567.9587859296032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1530.4594595819401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0.66805613788297791</v>
      </c>
      <c r="R219" s="1">
        <v>91</v>
      </c>
      <c r="S219" s="1">
        <v>80</v>
      </c>
      <c r="T219" s="1">
        <v>0</v>
      </c>
      <c r="U219" s="1">
        <f>Games[[#This Row],[PointsFor]]-Games[[#This Row],[PointsAgainst]]</f>
        <v>11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0.42650783969871564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73.75</v>
      </c>
      <c r="Z219" s="4">
        <f>Games[[#This Row],[K]]*Games[[#This Row],[POMult]]</f>
        <v>73.75</v>
      </c>
      <c r="AA219" s="4">
        <f>(Games[[#This Row],[Keff]]*Games[[#This Row],[MOVMult]])*(Games[[#This Row],[Result]]-Games[[#This Row],[ExpectedWin%]])</f>
        <v>10.441278640542484</v>
      </c>
      <c r="AB219" s="4">
        <f>Games[[#This Row],[PreGmRate]]+Games[[#This Row],[RatingChange]]</f>
        <v>1578.4000645701458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46190</v>
      </c>
      <c r="B220" s="2">
        <v>2026</v>
      </c>
      <c r="C220" s="2">
        <f>COUNTIFS(Games[Team],Games[[#This Row],[Team]],Games[Season],Games[[#This Row],[Season]],Games[Date],"&lt;=" &amp; Games[[#This Row],[Date]])</f>
        <v>15</v>
      </c>
      <c r="D220" s="2" t="s">
        <v>79</v>
      </c>
      <c r="E220" s="2" t="s">
        <v>80</v>
      </c>
      <c r="F220" s="1" t="s">
        <v>67</v>
      </c>
      <c r="G220" s="1" t="s">
        <v>63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1661.7142986852255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1478.9013793537429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0.63848921006496639</v>
      </c>
      <c r="R220" s="1">
        <v>99</v>
      </c>
      <c r="S220" s="1">
        <v>83</v>
      </c>
      <c r="T220" s="1">
        <v>0</v>
      </c>
      <c r="U220" s="1">
        <f>Games[[#This Row],[PointsFor]]-Games[[#This Row],[PointsAgainst]]</f>
        <v>16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0.44933282734765095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73.75</v>
      </c>
      <c r="Z220" s="4">
        <f>Games[[#This Row],[K]]*Games[[#This Row],[POMult]]</f>
        <v>73.75</v>
      </c>
      <c r="AA220" s="4">
        <f>(Games[[#This Row],[Keff]]*Games[[#This Row],[MOVMult]])*(Games[[#This Row],[Result]]-Games[[#This Row],[ExpectedWin%]])</f>
        <v>11.979851570166613</v>
      </c>
      <c r="AB220" s="4">
        <f>Games[[#This Row],[PreGmRate]]+Games[[#This Row],[RatingChange]]</f>
        <v>1673.6941502553921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46190</v>
      </c>
      <c r="B221" s="2">
        <v>2026</v>
      </c>
      <c r="C221" s="2">
        <f>COUNTIFS(Games[Team],Games[[#This Row],[Team]],Games[Season],Games[[#This Row],[Season]],Games[Date],"&lt;=" &amp; Games[[#This Row],[Date]])</f>
        <v>15</v>
      </c>
      <c r="D221" s="2" t="s">
        <v>79</v>
      </c>
      <c r="E221" s="2" t="s">
        <v>80</v>
      </c>
      <c r="F221" s="1" t="s">
        <v>63</v>
      </c>
      <c r="G221" s="1" t="s">
        <v>67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1478.9013793537429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1661.7142986852255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0.36151078993503366</v>
      </c>
      <c r="R221" s="1">
        <v>83</v>
      </c>
      <c r="S221" s="1">
        <v>99</v>
      </c>
      <c r="T221" s="1">
        <v>0</v>
      </c>
      <c r="U221" s="1">
        <f>Games[[#This Row],[PointsFor]]-Games[[#This Row],[PointsAgainst]]</f>
        <v>-16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0.44933282734765095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73.75</v>
      </c>
      <c r="Z221" s="4">
        <f>Games[[#This Row],[K]]*Games[[#This Row],[POMult]]</f>
        <v>73.75</v>
      </c>
      <c r="AA221" s="4">
        <f>(Games[[#This Row],[Keff]]*Games[[#This Row],[MOVMult]])*(Games[[#This Row],[Result]]-Games[[#This Row],[ExpectedWin%]])</f>
        <v>-11.979851570166614</v>
      </c>
      <c r="AB221" s="4">
        <f>Games[[#This Row],[PreGmRate]]+Games[[#This Row],[RatingChange]]</f>
        <v>1466.9215277835763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46190</v>
      </c>
      <c r="B222" s="2">
        <v>2026</v>
      </c>
      <c r="C222" s="2">
        <f>COUNTIFS(Games[Team],Games[[#This Row],[Team]],Games[Season],Games[[#This Row],[Season]],Games[Date],"&lt;=" &amp; Games[[#This Row],[Date]])</f>
        <v>15</v>
      </c>
      <c r="D222" s="2" t="s">
        <v>79</v>
      </c>
      <c r="E222" s="2" t="s">
        <v>80</v>
      </c>
      <c r="F222" s="1" t="s">
        <v>85</v>
      </c>
      <c r="G222" s="1" t="s">
        <v>40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2" s="2">
        <f>Games[[#This Row],[DaysOff]]-Games[[#This Row],[OppDaysOff]]</f>
        <v>-2</v>
      </c>
      <c r="L222" s="2">
        <f>Games[[#This Row],[OppDaysOff]]-Games[[#This Row],[DaysOff]]</f>
        <v>2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1630.5027647075581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1452.7752422823951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0.58791001927163411</v>
      </c>
      <c r="R222" s="1">
        <v>86</v>
      </c>
      <c r="S222" s="1">
        <v>76</v>
      </c>
      <c r="T222" s="1">
        <v>0</v>
      </c>
      <c r="U222" s="1">
        <f>Games[[#This Row],[PointsFor]]-Games[[#This Row],[PointsAgainst]]</f>
        <v>10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0.36854576172286752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73.75</v>
      </c>
      <c r="Z222" s="4">
        <f>Games[[#This Row],[K]]*Games[[#This Row],[POMult]]</f>
        <v>73.75</v>
      </c>
      <c r="AA222" s="4">
        <f>(Games[[#This Row],[Keff]]*Games[[#This Row],[MOVMult]])*(Games[[#This Row],[Result]]-Games[[#This Row],[ExpectedWin%]])</f>
        <v>11.200708668634933</v>
      </c>
      <c r="AB222" s="4">
        <f>Games[[#This Row],[PreGmRate]]+Games[[#This Row],[RatingChange]]</f>
        <v>1641.703473376193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46190</v>
      </c>
      <c r="B223" s="2">
        <v>2026</v>
      </c>
      <c r="C223" s="2">
        <f>COUNTIFS(Games[Team],Games[[#This Row],[Team]],Games[Season],Games[[#This Row],[Season]],Games[Date],"&lt;=" &amp; Games[[#This Row],[Date]])</f>
        <v>16</v>
      </c>
      <c r="D223" s="2" t="s">
        <v>79</v>
      </c>
      <c r="E223" s="2" t="s">
        <v>80</v>
      </c>
      <c r="F223" s="1" t="s">
        <v>40</v>
      </c>
      <c r="G223" s="1" t="s">
        <v>85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2</v>
      </c>
      <c r="L223" s="2">
        <f>Games[[#This Row],[OppDaysOff]]-Games[[#This Row],[DaysOff]]</f>
        <v>-2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1452.7752422823951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1630.5027647075581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0.41208998072836595</v>
      </c>
      <c r="R223" s="1">
        <v>76</v>
      </c>
      <c r="S223" s="1">
        <v>86</v>
      </c>
      <c r="T223" s="1">
        <v>0</v>
      </c>
      <c r="U223" s="1">
        <f>Games[[#This Row],[PointsFor]]-Games[[#This Row],[PointsAgainst]]</f>
        <v>-10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0.36854576172286752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73.599999999999994</v>
      </c>
      <c r="Z223" s="4">
        <f>Games[[#This Row],[K]]*Games[[#This Row],[POMult]]</f>
        <v>73.599999999999994</v>
      </c>
      <c r="AA223" s="4">
        <f>(Games[[#This Row],[Keff]]*Games[[#This Row],[MOVMult]])*(Games[[#This Row],[Result]]-Games[[#This Row],[ExpectedWin%]])</f>
        <v>-11.177927566258049</v>
      </c>
      <c r="AB223" s="4">
        <f>Games[[#This Row],[PreGmRate]]+Games[[#This Row],[RatingChange]]</f>
        <v>1441.5973147161371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46190</v>
      </c>
      <c r="B224" s="2">
        <v>2026</v>
      </c>
      <c r="C224" s="2">
        <f>COUNTIFS(Games[Team],Games[[#This Row],[Team]],Games[Season],Games[[#This Row],[Season]],Games[Date],"&lt;=" &amp; Games[[#This Row],[Date]])</f>
        <v>16</v>
      </c>
      <c r="D224" s="2" t="s">
        <v>79</v>
      </c>
      <c r="E224" s="2" t="s">
        <v>80</v>
      </c>
      <c r="F224" s="1" t="s">
        <v>71</v>
      </c>
      <c r="G224" s="1" t="s">
        <v>89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3</v>
      </c>
      <c r="L224" s="2">
        <f>Games[[#This Row],[OppDaysOff]]-Games[[#This Row],[DaysOff]]</f>
        <v>-3</v>
      </c>
      <c r="M224" s="1">
        <f>MAX(-16, MIN(16, Games[[#This Row],[RestDiff]]*8))</f>
        <v>16</v>
      </c>
      <c r="N224" s="1">
        <f>MAX(-16, MIN(16, Games[[#This Row],[OppRestDiff]]*8))</f>
        <v>-16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1388.6070156956469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1443.7843643802769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0.35047261790777567</v>
      </c>
      <c r="R224" s="1">
        <v>89</v>
      </c>
      <c r="S224" s="1">
        <v>94</v>
      </c>
      <c r="T224" s="1">
        <v>0</v>
      </c>
      <c r="U224" s="1">
        <f>Games[[#This Row],[PointsFor]]-Games[[#This Row],[PointsAgainst]]</f>
        <v>-5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0.31717204821350214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73.599999999999994</v>
      </c>
      <c r="Z224" s="4">
        <f>Games[[#This Row],[K]]*Games[[#This Row],[POMult]]</f>
        <v>73.599999999999994</v>
      </c>
      <c r="AA224" s="4">
        <f>(Games[[#This Row],[Keff]]*Games[[#This Row],[MOVMult]])*(Games[[#This Row],[Result]]-Games[[#This Row],[ExpectedWin%]])</f>
        <v>-8.18138468955142</v>
      </c>
      <c r="AB224" s="4">
        <f>Games[[#This Row],[PreGmRate]]+Games[[#This Row],[RatingChange]]</f>
        <v>1380.4256310060955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46190</v>
      </c>
      <c r="B225" s="2">
        <v>2026</v>
      </c>
      <c r="C225" s="2">
        <f>COUNTIFS(Games[Team],Games[[#This Row],[Team]],Games[Season],Games[[#This Row],[Season]],Games[Date],"&lt;=" &amp; Games[[#This Row],[Date]])</f>
        <v>17</v>
      </c>
      <c r="D225" s="2" t="s">
        <v>79</v>
      </c>
      <c r="E225" s="2" t="s">
        <v>80</v>
      </c>
      <c r="F225" s="1" t="s">
        <v>89</v>
      </c>
      <c r="G225" s="1" t="s">
        <v>71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5" s="2">
        <f>Games[[#This Row],[DaysOff]]-Games[[#This Row],[OppDaysOff]]</f>
        <v>-3</v>
      </c>
      <c r="L225" s="2">
        <f>Games[[#This Row],[OppDaysOff]]-Games[[#This Row],[DaysOff]]</f>
        <v>3</v>
      </c>
      <c r="M225" s="1">
        <f>MAX(-16, MIN(16, Games[[#This Row],[RestDiff]]*8))</f>
        <v>-16</v>
      </c>
      <c r="N225" s="1">
        <f>MAX(-16, MIN(16, Games[[#This Row],[OppRestDiff]]*8))</f>
        <v>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1443.7843643802769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1388.6070156956469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0.64952738209222438</v>
      </c>
      <c r="R225" s="1">
        <v>94</v>
      </c>
      <c r="S225" s="1">
        <v>89</v>
      </c>
      <c r="T225" s="1">
        <v>0</v>
      </c>
      <c r="U225" s="1">
        <f>Games[[#This Row],[PointsFor]]-Games[[#This Row],[PointsAgainst]]</f>
        <v>5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0.31717204821350214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73.45</v>
      </c>
      <c r="Z225" s="4">
        <f>Games[[#This Row],[K]]*Games[[#This Row],[POMult]]</f>
        <v>73.45</v>
      </c>
      <c r="AA225" s="4">
        <f>(Games[[#This Row],[Keff]]*Games[[#This Row],[MOVMult]])*(Games[[#This Row],[Result]]-Games[[#This Row],[ExpectedWin%]])</f>
        <v>8.1647106718417355</v>
      </c>
      <c r="AB225" s="4">
        <f>Games[[#This Row],[PreGmRate]]+Games[[#This Row],[RatingChange]]</f>
        <v>1451.9490750521186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46191</v>
      </c>
      <c r="B226" s="2">
        <v>2026</v>
      </c>
      <c r="C226" s="2">
        <f>COUNTIFS(Games[Team],Games[[#This Row],[Team]],Games[Season],Games[[#This Row],[Season]],Games[Date],"&lt;=" &amp; Games[[#This Row],[Date]])</f>
        <v>14</v>
      </c>
      <c r="D226" s="2" t="s">
        <v>79</v>
      </c>
      <c r="E226" s="2" t="s">
        <v>80</v>
      </c>
      <c r="F226" s="1" t="s">
        <v>77</v>
      </c>
      <c r="G226" s="1" t="s">
        <v>69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2</v>
      </c>
      <c r="L226" s="2">
        <f>Games[[#This Row],[OppDaysOff]]-Games[[#This Row],[DaysOff]]</f>
        <v>-2</v>
      </c>
      <c r="M226" s="1">
        <f>MAX(-16, MIN(16, Games[[#This Row],[RestDiff]]*8))</f>
        <v>16</v>
      </c>
      <c r="N226" s="1">
        <f>MAX(-16, MIN(16, Games[[#This Row],[OppRestDiff]]*8))</f>
        <v>-16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1602.974683986381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1568.344467439973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0.4750236775727994</v>
      </c>
      <c r="R226" s="1">
        <v>108</v>
      </c>
      <c r="S226" s="1">
        <v>101</v>
      </c>
      <c r="T226" s="1">
        <v>0</v>
      </c>
      <c r="U226" s="1">
        <f>Games[[#This Row],[PointsFor]]-Games[[#This Row],[PointsAgainst]]</f>
        <v>7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0.35972601434211682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73.900000000000006</v>
      </c>
      <c r="Z226" s="4">
        <f>Games[[#This Row],[K]]*Games[[#This Row],[POMult]]</f>
        <v>73.900000000000006</v>
      </c>
      <c r="AA226" s="4">
        <f>(Games[[#This Row],[Keff]]*Games[[#This Row],[MOVMult]])*(Games[[#This Row],[Result]]-Games[[#This Row],[ExpectedWin%]])</f>
        <v>13.955840602704129</v>
      </c>
      <c r="AB226" s="4">
        <f>Games[[#This Row],[PreGmRate]]+Games[[#This Row],[RatingChange]]</f>
        <v>1616.9305245890851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46191</v>
      </c>
      <c r="B227" s="2">
        <v>2026</v>
      </c>
      <c r="C227" s="2">
        <f>COUNTIFS(Games[Team],Games[[#This Row],[Team]],Games[Season],Games[[#This Row],[Season]],Games[Date],"&lt;=" &amp; Games[[#This Row],[Date]])</f>
        <v>15</v>
      </c>
      <c r="D227" s="2" t="s">
        <v>79</v>
      </c>
      <c r="E227" s="2" t="s">
        <v>80</v>
      </c>
      <c r="F227" s="1" t="s">
        <v>69</v>
      </c>
      <c r="G227" s="1" t="s">
        <v>77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7" s="2">
        <f>Games[[#This Row],[DaysOff]]-Games[[#This Row],[OppDaysOff]]</f>
        <v>-2</v>
      </c>
      <c r="L227" s="2">
        <f>Games[[#This Row],[OppDaysOff]]-Games[[#This Row],[DaysOff]]</f>
        <v>2</v>
      </c>
      <c r="M227" s="1">
        <f>MAX(-16, MIN(16, Games[[#This Row],[RestDiff]]*8))</f>
        <v>-16</v>
      </c>
      <c r="N227" s="1">
        <f>MAX(-16, MIN(16, Games[[#This Row],[OppRestDiff]]*8))</f>
        <v>16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1568.344467439973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1602.974683986381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0.5249763224272006</v>
      </c>
      <c r="R227" s="1">
        <v>101</v>
      </c>
      <c r="S227" s="1">
        <v>108</v>
      </c>
      <c r="T227" s="1">
        <v>0</v>
      </c>
      <c r="U227" s="1">
        <f>Games[[#This Row],[PointsFor]]-Games[[#This Row],[PointsAgainst]]</f>
        <v>-7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0.35972601434211682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73.75</v>
      </c>
      <c r="Z227" s="4">
        <f>Games[[#This Row],[K]]*Games[[#This Row],[POMult]]</f>
        <v>73.75</v>
      </c>
      <c r="AA227" s="4">
        <f>(Games[[#This Row],[Keff]]*Games[[#This Row],[MOVMult]])*(Games[[#This Row],[Result]]-Games[[#This Row],[ExpectedWin%]])</f>
        <v>-13.927513456690519</v>
      </c>
      <c r="AB227" s="4">
        <f>Games[[#This Row],[PreGmRate]]+Games[[#This Row],[RatingChange]]</f>
        <v>1554.4169539832824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46192</v>
      </c>
      <c r="B228" s="2">
        <v>2026</v>
      </c>
      <c r="C228" s="2">
        <f>COUNTIFS(Games[Team],Games[[#This Row],[Team]],Games[Season],Games[[#This Row],[Season]],Games[Date],"&lt;=" &amp; Games[[#This Row],[Date]])</f>
        <v>16</v>
      </c>
      <c r="D228" s="2" t="s">
        <v>79</v>
      </c>
      <c r="E228" s="2" t="s">
        <v>80</v>
      </c>
      <c r="F228" s="1" t="s">
        <v>90</v>
      </c>
      <c r="G228" s="1" t="s">
        <v>74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1</v>
      </c>
      <c r="L228" s="2">
        <f>Games[[#This Row],[OppDaysOff]]-Games[[#This Row],[DaysOff]]</f>
        <v>-1</v>
      </c>
      <c r="M228" s="1">
        <f>MAX(-16, MIN(16, Games[[#This Row],[RestDiff]]*8))</f>
        <v>8</v>
      </c>
      <c r="N228" s="1">
        <f>MAX(-16, MIN(16, Games[[#This Row],[OppRestDiff]]*8))</f>
        <v>-8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1469.520954793335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1323.6070384766003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0.61028457122653301</v>
      </c>
      <c r="R228" s="1">
        <v>101</v>
      </c>
      <c r="S228" s="1">
        <v>97</v>
      </c>
      <c r="T228" s="1">
        <v>0</v>
      </c>
      <c r="U228" s="1">
        <f>Games[[#This Row],[PointsFor]]-Games[[#This Row],[PointsAgainst]]</f>
        <v>4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0.27766952800918038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73.599999999999994</v>
      </c>
      <c r="Z228" s="4">
        <f>Games[[#This Row],[K]]*Games[[#This Row],[POMult]]</f>
        <v>73.599999999999994</v>
      </c>
      <c r="AA228" s="4">
        <f>(Games[[#This Row],[Keff]]*Games[[#This Row],[MOVMult]])*(Games[[#This Row],[Result]]-Games[[#This Row],[ExpectedWin%]])</f>
        <v>7.9644104985752007</v>
      </c>
      <c r="AB228" s="4">
        <f>Games[[#This Row],[PreGmRate]]+Games[[#This Row],[RatingChange]]</f>
        <v>1477.4853652919103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46192</v>
      </c>
      <c r="B229" s="2">
        <v>2026</v>
      </c>
      <c r="C229" s="2">
        <f>COUNTIFS(Games[Team],Games[[#This Row],[Team]],Games[Season],Games[[#This Row],[Season]],Games[Date],"&lt;=" &amp; Games[[#This Row],[Date]])</f>
        <v>17</v>
      </c>
      <c r="D229" s="2" t="s">
        <v>79</v>
      </c>
      <c r="E229" s="2" t="s">
        <v>80</v>
      </c>
      <c r="F229" s="1" t="s">
        <v>74</v>
      </c>
      <c r="G229" s="1" t="s">
        <v>90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-1</v>
      </c>
      <c r="L229" s="2">
        <f>Games[[#This Row],[OppDaysOff]]-Games[[#This Row],[DaysOff]]</f>
        <v>1</v>
      </c>
      <c r="M229" s="1">
        <f>MAX(-16, MIN(16, Games[[#This Row],[RestDiff]]*8))</f>
        <v>-8</v>
      </c>
      <c r="N229" s="1">
        <f>MAX(-16, MIN(16, Games[[#This Row],[OppRestDiff]]*8))</f>
        <v>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1323.6070384766003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1469.520954793335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0.38971542877346699</v>
      </c>
      <c r="R229" s="1">
        <v>97</v>
      </c>
      <c r="S229" s="1">
        <v>101</v>
      </c>
      <c r="T229" s="1">
        <v>0</v>
      </c>
      <c r="U229" s="1">
        <f>Games[[#This Row],[PointsFor]]-Games[[#This Row],[PointsAgainst]]</f>
        <v>-4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0.27766952800918038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-7.9481786837003892</v>
      </c>
      <c r="AB229" s="4">
        <f>Games[[#This Row],[PreGmRate]]+Games[[#This Row],[RatingChange]]</f>
        <v>1315.6588597928999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46192</v>
      </c>
      <c r="B230" s="2">
        <v>2026</v>
      </c>
      <c r="C230" s="2">
        <f>COUNTIFS(Games[Team],Games[[#This Row],[Team]],Games[Season],Games[[#This Row],[Season]],Games[Date],"&lt;=" &amp; Games[[#This Row],[Date]])</f>
        <v>16</v>
      </c>
      <c r="D230" s="2" t="s">
        <v>79</v>
      </c>
      <c r="E230" s="2" t="s">
        <v>80</v>
      </c>
      <c r="F230" s="1" t="s">
        <v>67</v>
      </c>
      <c r="G230" s="1" t="s">
        <v>87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1673.6941502553921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1578.4000645701458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0.51624777320755422</v>
      </c>
      <c r="R230" s="1">
        <v>81</v>
      </c>
      <c r="S230" s="1">
        <v>75</v>
      </c>
      <c r="T230" s="1">
        <v>0</v>
      </c>
      <c r="U230" s="1">
        <f>Games[[#This Row],[PointsFor]]-Games[[#This Row],[PointsAgainst]]</f>
        <v>6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0.32543722538977343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73.599999999999994</v>
      </c>
      <c r="Z230" s="4">
        <f>Games[[#This Row],[K]]*Games[[#This Row],[POMult]]</f>
        <v>73.599999999999994</v>
      </c>
      <c r="AA230" s="4">
        <f>(Games[[#This Row],[Keff]]*Games[[#This Row],[MOVMult]])*(Games[[#This Row],[Result]]-Games[[#This Row],[ExpectedWin%]])</f>
        <v>11.586920309310507</v>
      </c>
      <c r="AB230" s="4">
        <f>Games[[#This Row],[PreGmRate]]+Games[[#This Row],[RatingChange]]</f>
        <v>1685.2810705647025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46192</v>
      </c>
      <c r="B231" s="2">
        <v>2026</v>
      </c>
      <c r="C231" s="2">
        <f>COUNTIFS(Games[Team],Games[[#This Row],[Team]],Games[Season],Games[[#This Row],[Season]],Games[Date],"&lt;=" &amp; Games[[#This Row],[Date]])</f>
        <v>16</v>
      </c>
      <c r="D231" s="2" t="s">
        <v>79</v>
      </c>
      <c r="E231" s="2" t="s">
        <v>80</v>
      </c>
      <c r="F231" s="1" t="s">
        <v>87</v>
      </c>
      <c r="G231" s="1" t="s">
        <v>67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1578.4000645701458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1673.6941502553921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0.48375222679244578</v>
      </c>
      <c r="R231" s="1">
        <v>75</v>
      </c>
      <c r="S231" s="1">
        <v>81</v>
      </c>
      <c r="T231" s="1">
        <v>0</v>
      </c>
      <c r="U231" s="1">
        <f>Games[[#This Row],[PointsFor]]-Games[[#This Row],[PointsAgainst]]</f>
        <v>-6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0.32543722538977343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73.599999999999994</v>
      </c>
      <c r="Z231" s="4">
        <f>Games[[#This Row],[K]]*Games[[#This Row],[POMult]]</f>
        <v>73.599999999999994</v>
      </c>
      <c r="AA231" s="4">
        <f>(Games[[#This Row],[Keff]]*Games[[#This Row],[MOVMult]])*(Games[[#This Row],[Result]]-Games[[#This Row],[ExpectedWin%]])</f>
        <v>-11.586920309310507</v>
      </c>
      <c r="AB231" s="4">
        <f>Games[[#This Row],[PreGmRate]]+Games[[#This Row],[RatingChange]]</f>
        <v>1566.8131442608353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46192</v>
      </c>
      <c r="B232" s="2">
        <v>2026</v>
      </c>
      <c r="C232" s="2">
        <f>COUNTIFS(Games[Team],Games[[#This Row],[Team]],Games[Season],Games[[#This Row],[Season]],Games[Date],"&lt;=" &amp; Games[[#This Row],[Date]])</f>
        <v>14</v>
      </c>
      <c r="D232" s="2" t="s">
        <v>79</v>
      </c>
      <c r="E232" s="2" t="s">
        <v>80</v>
      </c>
      <c r="F232" s="1" t="s">
        <v>65</v>
      </c>
      <c r="G232" s="1" t="s">
        <v>60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1431.4653370068636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1586.7053250750139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0.20146291736325253</v>
      </c>
      <c r="R232" s="1">
        <v>86</v>
      </c>
      <c r="S232" s="1">
        <v>83</v>
      </c>
      <c r="T232" s="1">
        <v>0</v>
      </c>
      <c r="U232" s="1">
        <f>Games[[#This Row],[PointsFor]]-Games[[#This Row],[PointsAgainst]]</f>
        <v>3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0.25694358813513618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73.900000000000006</v>
      </c>
      <c r="Z232" s="4">
        <f>Games[[#This Row],[K]]*Games[[#This Row],[POMult]]</f>
        <v>73.900000000000006</v>
      </c>
      <c r="AA232" s="4">
        <f>(Games[[#This Row],[Keff]]*Games[[#This Row],[MOVMult]])*(Games[[#This Row],[Result]]-Games[[#This Row],[ExpectedWin%]])</f>
        <v>15.16272686377491</v>
      </c>
      <c r="AB232" s="4">
        <f>Games[[#This Row],[PreGmRate]]+Games[[#This Row],[RatingChange]]</f>
        <v>1446.6280638706385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46192</v>
      </c>
      <c r="B233" s="2">
        <v>2026</v>
      </c>
      <c r="C233" s="2">
        <f>COUNTIFS(Games[Team],Games[[#This Row],[Team]],Games[Season],Games[[#This Row],[Season]],Games[Date],"&lt;=" &amp; Games[[#This Row],[Date]])</f>
        <v>16</v>
      </c>
      <c r="D233" s="2" t="s">
        <v>79</v>
      </c>
      <c r="E233" s="2" t="s">
        <v>80</v>
      </c>
      <c r="F233" s="1" t="s">
        <v>60</v>
      </c>
      <c r="G233" s="1" t="s">
        <v>65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1586.7053250750139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1431.4653370068636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0.79853708263674739</v>
      </c>
      <c r="R233" s="1">
        <v>83</v>
      </c>
      <c r="S233" s="1">
        <v>86</v>
      </c>
      <c r="T233" s="1">
        <v>0</v>
      </c>
      <c r="U233" s="1">
        <f>Games[[#This Row],[PointsFor]]-Games[[#This Row],[PointsAgainst]]</f>
        <v>-3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0.25694358813513618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73.599999999999994</v>
      </c>
      <c r="Z233" s="4">
        <f>Games[[#This Row],[K]]*Games[[#This Row],[POMult]]</f>
        <v>73.599999999999994</v>
      </c>
      <c r="AA233" s="4">
        <f>(Games[[#This Row],[Keff]]*Games[[#This Row],[MOVMult]])*(Games[[#This Row],[Result]]-Games[[#This Row],[ExpectedWin%]])</f>
        <v>-15.101173168793411</v>
      </c>
      <c r="AB233" s="4">
        <f>Games[[#This Row],[PreGmRate]]+Games[[#This Row],[RatingChange]]</f>
        <v>1571.6041519062205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46193</v>
      </c>
      <c r="B234" s="2">
        <v>2026</v>
      </c>
      <c r="C234" s="2">
        <f>COUNTIFS(Games[Team],Games[[#This Row],[Team]],Games[Season],Games[[#This Row],[Season]],Games[Date],"&lt;=" &amp; Games[[#This Row],[Date]])</f>
        <v>16</v>
      </c>
      <c r="D234" s="2" t="s">
        <v>79</v>
      </c>
      <c r="E234" s="2" t="s">
        <v>80</v>
      </c>
      <c r="F234" s="1" t="s">
        <v>69</v>
      </c>
      <c r="G234" s="1" t="s">
        <v>77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1554.4169539832824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1616.9305245890851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0.3008192074011018</v>
      </c>
      <c r="R234" s="1">
        <v>96</v>
      </c>
      <c r="S234" s="1">
        <v>113</v>
      </c>
      <c r="T234" s="1">
        <v>0</v>
      </c>
      <c r="U234" s="1">
        <f>Games[[#This Row],[PointsFor]]-Games[[#This Row],[PointsAgainst]]</f>
        <v>-17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0.50607811097968103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73.599999999999994</v>
      </c>
      <c r="Z234" s="4">
        <f>Games[[#This Row],[K]]*Games[[#This Row],[POMult]]</f>
        <v>73.599999999999994</v>
      </c>
      <c r="AA234" s="4">
        <f>(Games[[#This Row],[Keff]]*Games[[#This Row],[MOVMult]])*(Games[[#This Row],[Result]]-Games[[#This Row],[ExpectedWin%]])</f>
        <v>-11.204717994377448</v>
      </c>
      <c r="AB234" s="4">
        <f>Games[[#This Row],[PreGmRate]]+Games[[#This Row],[RatingChange]]</f>
        <v>1543.2122359889049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46193</v>
      </c>
      <c r="B235" s="2">
        <v>2026</v>
      </c>
      <c r="C235" s="2">
        <f>COUNTIFS(Games[Team],Games[[#This Row],[Team]],Games[Season],Games[[#This Row],[Season]],Games[Date],"&lt;=" &amp; Games[[#This Row],[Date]])</f>
        <v>15</v>
      </c>
      <c r="D235" s="2" t="s">
        <v>79</v>
      </c>
      <c r="E235" s="2" t="s">
        <v>80</v>
      </c>
      <c r="F235" s="1" t="s">
        <v>77</v>
      </c>
      <c r="G235" s="1" t="s">
        <v>69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1616.9305245890851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1554.4169539832824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0.69918079259889809</v>
      </c>
      <c r="R235" s="1">
        <v>113</v>
      </c>
      <c r="S235" s="1">
        <v>96</v>
      </c>
      <c r="T235" s="1">
        <v>0</v>
      </c>
      <c r="U235" s="1">
        <f>Games[[#This Row],[PointsFor]]-Games[[#This Row],[PointsAgainst]]</f>
        <v>17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0.50607811097968103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73.75</v>
      </c>
      <c r="Z235" s="4">
        <f>Games[[#This Row],[K]]*Games[[#This Row],[POMult]]</f>
        <v>73.75</v>
      </c>
      <c r="AA235" s="4">
        <f>(Games[[#This Row],[Keff]]*Games[[#This Row],[MOVMult]])*(Games[[#This Row],[Result]]-Games[[#This Row],[ExpectedWin%]])</f>
        <v>11.227553696811647</v>
      </c>
      <c r="AB235" s="4">
        <f>Games[[#This Row],[PreGmRate]]+Games[[#This Row],[RatingChange]]</f>
        <v>1628.1580782858966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46193</v>
      </c>
      <c r="B236" s="2">
        <v>2026</v>
      </c>
      <c r="C236" s="2">
        <f>COUNTIFS(Games[Team],Games[[#This Row],[Team]],Games[Season],Games[[#This Row],[Season]],Games[Date],"&lt;=" &amp; Games[[#This Row],[Date]])</f>
        <v>15</v>
      </c>
      <c r="D236" s="2" t="s">
        <v>79</v>
      </c>
      <c r="E236" s="2" t="s">
        <v>80</v>
      </c>
      <c r="F236" s="1" t="s">
        <v>75</v>
      </c>
      <c r="G236" s="1" t="s">
        <v>84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1362.9097485615364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1520.0181809413975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0.1997381535802964</v>
      </c>
      <c r="R236" s="1">
        <v>92</v>
      </c>
      <c r="S236" s="1">
        <v>93</v>
      </c>
      <c r="T236" s="1">
        <v>0</v>
      </c>
      <c r="U236" s="1">
        <f>Games[[#This Row],[PointsFor]]-Games[[#This Row],[PointsAgainst]]</f>
        <v>-1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0.21591171211316712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73.75</v>
      </c>
      <c r="Z236" s="4">
        <f>Games[[#This Row],[K]]*Games[[#This Row],[POMult]]</f>
        <v>73.75</v>
      </c>
      <c r="AA236" s="4">
        <f>(Games[[#This Row],[Keff]]*Games[[#This Row],[MOVMult]])*(Games[[#This Row],[Result]]-Games[[#This Row],[ExpectedWin%]])</f>
        <v>-3.1805282451460331</v>
      </c>
      <c r="AB236" s="4">
        <f>Games[[#This Row],[PreGmRate]]+Games[[#This Row],[RatingChange]]</f>
        <v>1359.7292203163904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46193</v>
      </c>
      <c r="B237" s="2">
        <v>2026</v>
      </c>
      <c r="C237" s="2">
        <f>COUNTIFS(Games[Team],Games[[#This Row],[Team]],Games[Season],Games[[#This Row],[Season]],Games[Date],"&lt;=" &amp; Games[[#This Row],[Date]])</f>
        <v>16</v>
      </c>
      <c r="D237" s="2" t="s">
        <v>79</v>
      </c>
      <c r="E237" s="2" t="s">
        <v>80</v>
      </c>
      <c r="F237" s="1" t="s">
        <v>84</v>
      </c>
      <c r="G237" s="1" t="s">
        <v>75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1520.0181809413975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1362.9097485615364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0.80026184641970355</v>
      </c>
      <c r="R237" s="1">
        <v>93</v>
      </c>
      <c r="S237" s="1">
        <v>92</v>
      </c>
      <c r="T237" s="1">
        <v>0</v>
      </c>
      <c r="U237" s="1">
        <f>Games[[#This Row],[PointsFor]]-Games[[#This Row],[PointsAgainst]]</f>
        <v>1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0.21591171211316712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73.599999999999994</v>
      </c>
      <c r="Z237" s="4">
        <f>Games[[#This Row],[K]]*Games[[#This Row],[POMult]]</f>
        <v>73.599999999999994</v>
      </c>
      <c r="AA237" s="4">
        <f>(Games[[#This Row],[Keff]]*Games[[#This Row],[MOVMult]])*(Games[[#This Row],[Result]]-Games[[#This Row],[ExpectedWin%]])</f>
        <v>3.1740593741389573</v>
      </c>
      <c r="AB237" s="4">
        <f>Games[[#This Row],[PreGmRate]]+Games[[#This Row],[RatingChange]]</f>
        <v>1523.1922403155365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46193</v>
      </c>
      <c r="B238" s="2">
        <v>2026</v>
      </c>
      <c r="C238" s="2">
        <f>COUNTIFS(Games[Team],Games[[#This Row],[Team]],Games[Season],Games[[#This Row],[Season]],Games[Date],"&lt;=" &amp; Games[[#This Row],[Date]])</f>
        <v>17</v>
      </c>
      <c r="D238" s="2" t="s">
        <v>79</v>
      </c>
      <c r="E238" s="2" t="s">
        <v>80</v>
      </c>
      <c r="F238" s="1" t="s">
        <v>71</v>
      </c>
      <c r="G238" s="1" t="s">
        <v>40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1380.4256310060955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1441.5973147161371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0.30244637844787731</v>
      </c>
      <c r="R238" s="1">
        <v>73</v>
      </c>
      <c r="S238" s="1">
        <v>93</v>
      </c>
      <c r="T238" s="1">
        <v>0</v>
      </c>
      <c r="U238" s="1">
        <f>Games[[#This Row],[PointsFor]]-Games[[#This Row],[PointsAgainst]]</f>
        <v>-20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0.54700310801555818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73.45</v>
      </c>
      <c r="Z238" s="4">
        <f>Games[[#This Row],[K]]*Games[[#This Row],[POMult]]</f>
        <v>73.45</v>
      </c>
      <c r="AA238" s="4">
        <f>(Games[[#This Row],[Keff]]*Games[[#This Row],[MOVMult]])*(Games[[#This Row],[Result]]-Games[[#This Row],[ExpectedWin%]])</f>
        <v>-12.151502557448387</v>
      </c>
      <c r="AB238" s="4">
        <f>Games[[#This Row],[PreGmRate]]+Games[[#This Row],[RatingChange]]</f>
        <v>1368.2741284486472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46193</v>
      </c>
      <c r="B239" s="2">
        <v>2026</v>
      </c>
      <c r="C239" s="2">
        <f>COUNTIFS(Games[Team],Games[[#This Row],[Team]],Games[Season],Games[[#This Row],[Season]],Games[Date],"&lt;=" &amp; Games[[#This Row],[Date]])</f>
        <v>17</v>
      </c>
      <c r="D239" s="2" t="s">
        <v>79</v>
      </c>
      <c r="E239" s="2" t="s">
        <v>80</v>
      </c>
      <c r="F239" s="1" t="s">
        <v>40</v>
      </c>
      <c r="G239" s="1" t="s">
        <v>71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1441.5973147161371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1380.4256310060955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0.69755362155212275</v>
      </c>
      <c r="R239" s="1">
        <v>93</v>
      </c>
      <c r="S239" s="1">
        <v>73</v>
      </c>
      <c r="T239" s="1">
        <v>0</v>
      </c>
      <c r="U239" s="1">
        <f>Games[[#This Row],[PointsFor]]-Games[[#This Row],[PointsAgainst]]</f>
        <v>20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0.54700310801555818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73.45</v>
      </c>
      <c r="Z239" s="4">
        <f>Games[[#This Row],[K]]*Games[[#This Row],[POMult]]</f>
        <v>73.45</v>
      </c>
      <c r="AA239" s="4">
        <f>(Games[[#This Row],[Keff]]*Games[[#This Row],[MOVMult]])*(Games[[#This Row],[Result]]-Games[[#This Row],[ExpectedWin%]])</f>
        <v>12.151502557448383</v>
      </c>
      <c r="AB239" s="4">
        <f>Games[[#This Row],[PreGmRate]]+Games[[#This Row],[RatingChange]]</f>
        <v>1453.7488172735855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46194</v>
      </c>
      <c r="B240" s="2">
        <v>2026</v>
      </c>
      <c r="C240" s="2">
        <f>COUNTIFS(Games[Team],Games[[#This Row],[Team]],Games[Season],Games[[#This Row],[Season]],Games[Date],"&lt;=" &amp; Games[[#This Row],[Date]])</f>
        <v>17</v>
      </c>
      <c r="D240" s="2" t="s">
        <v>79</v>
      </c>
      <c r="E240" s="2" t="s">
        <v>80</v>
      </c>
      <c r="F240" s="1" t="s">
        <v>60</v>
      </c>
      <c r="G240" s="1" t="s">
        <v>63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1571.6041519062205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1466.9215277835763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0.48371874497762835</v>
      </c>
      <c r="R240" s="1">
        <v>97</v>
      </c>
      <c r="S240" s="1">
        <v>98</v>
      </c>
      <c r="T240" s="1">
        <v>0</v>
      </c>
      <c r="U240" s="1">
        <f>Games[[#This Row],[PointsFor]]-Games[[#This Row],[PointsAgainst]]</f>
        <v>-1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0.22458765046817067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73.45</v>
      </c>
      <c r="Z240" s="4">
        <f>Games[[#This Row],[K]]*Games[[#This Row],[POMult]]</f>
        <v>73.45</v>
      </c>
      <c r="AA240" s="4">
        <f>(Games[[#This Row],[Keff]]*Games[[#This Row],[MOVMult]])*(Games[[#This Row],[Result]]-Games[[#This Row],[ExpectedWin%]])</f>
        <v>-7.9794064841913297</v>
      </c>
      <c r="AB240" s="4">
        <f>Games[[#This Row],[PreGmRate]]+Games[[#This Row],[RatingChange]]</f>
        <v>1563.6247454220293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46194</v>
      </c>
      <c r="B241" s="2">
        <v>2026</v>
      </c>
      <c r="C241" s="2">
        <f>COUNTIFS(Games[Team],Games[[#This Row],[Team]],Games[Season],Games[[#This Row],[Season]],Games[Date],"&lt;=" &amp; Games[[#This Row],[Date]])</f>
        <v>16</v>
      </c>
      <c r="D241" s="2" t="s">
        <v>79</v>
      </c>
      <c r="E241" s="2" t="s">
        <v>80</v>
      </c>
      <c r="F241" s="1" t="s">
        <v>63</v>
      </c>
      <c r="G241" s="1" t="s">
        <v>60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1466.9215277835763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1571.6041519062205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0.51628125502237165</v>
      </c>
      <c r="R241" s="1">
        <v>98</v>
      </c>
      <c r="S241" s="1">
        <v>97</v>
      </c>
      <c r="T241" s="1">
        <v>0</v>
      </c>
      <c r="U241" s="1">
        <f>Games[[#This Row],[PointsFor]]-Games[[#This Row],[PointsAgainst]]</f>
        <v>1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0.22458765046817067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73.599999999999994</v>
      </c>
      <c r="Z241" s="4">
        <f>Games[[#This Row],[K]]*Games[[#This Row],[POMult]]</f>
        <v>73.599999999999994</v>
      </c>
      <c r="AA241" s="4">
        <f>(Games[[#This Row],[Keff]]*Games[[#This Row],[MOVMult]])*(Games[[#This Row],[Result]]-Games[[#This Row],[ExpectedWin%]])</f>
        <v>7.9957020726546197</v>
      </c>
      <c r="AB241" s="4">
        <f>Games[[#This Row],[PreGmRate]]+Games[[#This Row],[RatingChange]]</f>
        <v>1474.917229856231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46194</v>
      </c>
      <c r="B242" s="2">
        <v>2026</v>
      </c>
      <c r="C242" s="2">
        <f>COUNTIFS(Games[Team],Games[[#This Row],[Team]],Games[Season],Games[[#This Row],[Season]],Games[Date],"&lt;=" &amp; Games[[#This Row],[Date]])</f>
        <v>17</v>
      </c>
      <c r="D242" s="2" t="s">
        <v>79</v>
      </c>
      <c r="E242" s="2" t="s">
        <v>80</v>
      </c>
      <c r="F242" s="1" t="s">
        <v>87</v>
      </c>
      <c r="G242" s="1" t="s">
        <v>85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2" s="2">
        <f>Games[[#This Row],[DaysOff]]-Games[[#This Row],[OppDaysOff]]</f>
        <v>-2</v>
      </c>
      <c r="L242" s="2">
        <f>Games[[#This Row],[OppDaysOff]]-Games[[#This Row],[DaysOff]]</f>
        <v>2</v>
      </c>
      <c r="M242" s="1">
        <f>MAX(-16, MIN(16, Games[[#This Row],[RestDiff]]*8))</f>
        <v>-16</v>
      </c>
      <c r="N242" s="1">
        <f>MAX(-16, MIN(16, Games[[#This Row],[OppRestDiff]]*8))</f>
        <v>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1566.8131442608353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1641.703473376193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0.24995485705326287</v>
      </c>
      <c r="R242" s="1">
        <v>73</v>
      </c>
      <c r="S242" s="1">
        <v>92</v>
      </c>
      <c r="T242" s="1">
        <v>0</v>
      </c>
      <c r="U242" s="1">
        <f>Games[[#This Row],[PointsFor]]-Games[[#This Row],[PointsAgainst]]</f>
        <v>-19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0.52802431071450073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73.45</v>
      </c>
      <c r="Z242" s="4">
        <f>Games[[#This Row],[K]]*Games[[#This Row],[POMult]]</f>
        <v>73.45</v>
      </c>
      <c r="AA242" s="4">
        <f>(Games[[#This Row],[Keff]]*Games[[#This Row],[MOVMult]])*(Games[[#This Row],[Result]]-Games[[#This Row],[ExpectedWin%]])</f>
        <v>-9.6940956091836021</v>
      </c>
      <c r="AB242" s="4">
        <f>Games[[#This Row],[PreGmRate]]+Games[[#This Row],[RatingChange]]</f>
        <v>1557.1190486516516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46194</v>
      </c>
      <c r="B243" s="2">
        <v>2026</v>
      </c>
      <c r="C243" s="2">
        <f>COUNTIFS(Games[Team],Games[[#This Row],[Team]],Games[Season],Games[[#This Row],[Season]],Games[Date],"&lt;=" &amp; Games[[#This Row],[Date]])</f>
        <v>16</v>
      </c>
      <c r="D243" s="2" t="s">
        <v>79</v>
      </c>
      <c r="E243" s="2" t="s">
        <v>80</v>
      </c>
      <c r="F243" s="1" t="s">
        <v>85</v>
      </c>
      <c r="G243" s="1" t="s">
        <v>87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2</v>
      </c>
      <c r="L243" s="2">
        <f>Games[[#This Row],[OppDaysOff]]-Games[[#This Row],[DaysOff]]</f>
        <v>-2</v>
      </c>
      <c r="M243" s="1">
        <f>MAX(-16, MIN(16, Games[[#This Row],[RestDiff]]*8))</f>
        <v>16</v>
      </c>
      <c r="N243" s="1">
        <f>MAX(-16, MIN(16, Games[[#This Row],[OppRestDiff]]*8))</f>
        <v>-16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1641.703473376193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1566.8131442608353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0.75004514294673708</v>
      </c>
      <c r="R243" s="1">
        <v>92</v>
      </c>
      <c r="S243" s="1">
        <v>73</v>
      </c>
      <c r="T243" s="1">
        <v>0</v>
      </c>
      <c r="U243" s="1">
        <f>Games[[#This Row],[PointsFor]]-Games[[#This Row],[PointsAgainst]]</f>
        <v>19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0.52802431071450073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73.599999999999994</v>
      </c>
      <c r="Z243" s="4">
        <f>Games[[#This Row],[K]]*Games[[#This Row],[POMult]]</f>
        <v>73.599999999999994</v>
      </c>
      <c r="AA243" s="4">
        <f>(Games[[#This Row],[Keff]]*Games[[#This Row],[MOVMult]])*(Games[[#This Row],[Result]]-Games[[#This Row],[ExpectedWin%]])</f>
        <v>9.7138929453493965</v>
      </c>
      <c r="AB243" s="4">
        <f>Games[[#This Row],[PreGmRate]]+Games[[#This Row],[RatingChange]]</f>
        <v>1651.4173663215424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46194</v>
      </c>
      <c r="B244" s="2">
        <v>2026</v>
      </c>
      <c r="C244" s="2">
        <f>COUNTIFS(Games[Team],Games[[#This Row],[Team]],Games[Season],Games[[#This Row],[Season]],Games[Date],"&lt;=" &amp; Games[[#This Row],[Date]])</f>
        <v>15</v>
      </c>
      <c r="D244" s="2" t="s">
        <v>79</v>
      </c>
      <c r="E244" s="2" t="s">
        <v>80</v>
      </c>
      <c r="F244" s="1" t="s">
        <v>65</v>
      </c>
      <c r="G244" s="1" t="s">
        <v>67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1446.6280638706385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1685.2810705647025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0.13501339698134038</v>
      </c>
      <c r="R244" s="1">
        <v>84</v>
      </c>
      <c r="S244" s="1">
        <v>79</v>
      </c>
      <c r="T244" s="1">
        <v>0</v>
      </c>
      <c r="U244" s="1">
        <f>Games[[#This Row],[PointsFor]]-Games[[#This Row],[PointsAgainst]]</f>
        <v>5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0.27672216212047063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73.75</v>
      </c>
      <c r="Z244" s="4">
        <f>Games[[#This Row],[K]]*Games[[#This Row],[POMult]]</f>
        <v>73.75</v>
      </c>
      <c r="AA244" s="4">
        <f>(Games[[#This Row],[Keff]]*Games[[#This Row],[MOVMult]])*(Games[[#This Row],[Result]]-Games[[#This Row],[ExpectedWin%]])</f>
        <v>17.652871020701646</v>
      </c>
      <c r="AB244" s="4">
        <f>Games[[#This Row],[PreGmRate]]+Games[[#This Row],[RatingChange]]</f>
        <v>1464.2809348913402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46194</v>
      </c>
      <c r="B245" s="2">
        <v>2026</v>
      </c>
      <c r="C245" s="2">
        <f>COUNTIFS(Games[Team],Games[[#This Row],[Team]],Games[Season],Games[[#This Row],[Season]],Games[Date],"&lt;=" &amp; Games[[#This Row],[Date]])</f>
        <v>17</v>
      </c>
      <c r="D245" s="2" t="s">
        <v>79</v>
      </c>
      <c r="E245" s="2" t="s">
        <v>80</v>
      </c>
      <c r="F245" s="1" t="s">
        <v>67</v>
      </c>
      <c r="G245" s="1" t="s">
        <v>65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1685.2810705647025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1446.6280638706385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0.86498660301865959</v>
      </c>
      <c r="R245" s="1">
        <v>79</v>
      </c>
      <c r="S245" s="1">
        <v>84</v>
      </c>
      <c r="T245" s="1">
        <v>0</v>
      </c>
      <c r="U245" s="1">
        <f>Games[[#This Row],[PointsFor]]-Games[[#This Row],[PointsAgainst]]</f>
        <v>-5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0.27672216212047063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73.45</v>
      </c>
      <c r="Z245" s="4">
        <f>Games[[#This Row],[K]]*Games[[#This Row],[POMult]]</f>
        <v>73.45</v>
      </c>
      <c r="AA245" s="4">
        <f>(Games[[#This Row],[Keff]]*Games[[#This Row],[MOVMult]])*(Games[[#This Row],[Result]]-Games[[#This Row],[ExpectedWin%]])</f>
        <v>-17.581062731803879</v>
      </c>
      <c r="AB245" s="4">
        <f>Games[[#This Row],[PreGmRate]]+Games[[#This Row],[RatingChange]]</f>
        <v>1667.7000078328986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46195</v>
      </c>
      <c r="B246" s="2">
        <v>2026</v>
      </c>
      <c r="C246" s="2">
        <f>COUNTIFS(Games[Team],Games[[#This Row],[Team]],Games[Season],Games[[#This Row],[Season]],Games[Date],"&lt;=" &amp; Games[[#This Row],[Date]])</f>
        <v>17</v>
      </c>
      <c r="D246" s="2" t="s">
        <v>79</v>
      </c>
      <c r="E246" s="2" t="s">
        <v>80</v>
      </c>
      <c r="F246" s="1" t="s">
        <v>90</v>
      </c>
      <c r="G246" s="1" t="s">
        <v>77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1</v>
      </c>
      <c r="L246" s="2">
        <f>Games[[#This Row],[OppDaysOff]]-Games[[#This Row],[DaysOff]]</f>
        <v>-1</v>
      </c>
      <c r="M246" s="1">
        <f>MAX(-16, MIN(16, Games[[#This Row],[RestDiff]]*8))</f>
        <v>8</v>
      </c>
      <c r="N246" s="1">
        <f>MAX(-16, MIN(16, Games[[#This Row],[OppRestDiff]]*8))</f>
        <v>-8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1477.4853652919103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1628.1580782858966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0.22118375202112669</v>
      </c>
      <c r="R246" s="1">
        <v>87</v>
      </c>
      <c r="S246" s="1">
        <v>94</v>
      </c>
      <c r="T246" s="1">
        <v>0</v>
      </c>
      <c r="U246" s="1">
        <f>Games[[#This Row],[PointsFor]]-Games[[#This Row],[PointsAgainst]]</f>
        <v>-7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0.32882030021921488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73.45</v>
      </c>
      <c r="Z246" s="4">
        <f>Games[[#This Row],[K]]*Games[[#This Row],[POMult]]</f>
        <v>73.45</v>
      </c>
      <c r="AA246" s="4">
        <f>(Games[[#This Row],[Keff]]*Games[[#This Row],[MOVMult]])*(Games[[#This Row],[Result]]-Games[[#This Row],[ExpectedWin%]])</f>
        <v>-5.3419970337379858</v>
      </c>
      <c r="AB246" s="4">
        <f>Games[[#This Row],[PreGmRate]]+Games[[#This Row],[RatingChange]]</f>
        <v>1472.1433682581724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46195</v>
      </c>
      <c r="B247" s="2">
        <v>2026</v>
      </c>
      <c r="C247" s="2">
        <f>COUNTIFS(Games[Team],Games[[#This Row],[Team]],Games[Season],Games[[#This Row],[Season]],Games[Date],"&lt;=" &amp; Games[[#This Row],[Date]])</f>
        <v>16</v>
      </c>
      <c r="D247" s="2" t="s">
        <v>79</v>
      </c>
      <c r="E247" s="2" t="s">
        <v>80</v>
      </c>
      <c r="F247" s="1" t="s">
        <v>77</v>
      </c>
      <c r="G247" s="1" t="s">
        <v>90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-1</v>
      </c>
      <c r="L247" s="2">
        <f>Games[[#This Row],[OppDaysOff]]-Games[[#This Row],[DaysOff]]</f>
        <v>1</v>
      </c>
      <c r="M247" s="1">
        <f>MAX(-16, MIN(16, Games[[#This Row],[RestDiff]]*8))</f>
        <v>-8</v>
      </c>
      <c r="N247" s="1">
        <f>MAX(-16, MIN(16, Games[[#This Row],[OppRestDiff]]*8))</f>
        <v>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1628.1580782858966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1477.4853652919103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0.77881624797887328</v>
      </c>
      <c r="R247" s="1">
        <v>94</v>
      </c>
      <c r="S247" s="1">
        <v>87</v>
      </c>
      <c r="T247" s="1">
        <v>0</v>
      </c>
      <c r="U247" s="1">
        <f>Games[[#This Row],[PointsFor]]-Games[[#This Row],[PointsAgainst]]</f>
        <v>7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0.32882030021921488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73.599999999999994</v>
      </c>
      <c r="Z247" s="4">
        <f>Games[[#This Row],[K]]*Games[[#This Row],[POMult]]</f>
        <v>73.599999999999994</v>
      </c>
      <c r="AA247" s="4">
        <f>(Games[[#This Row],[Keff]]*Games[[#This Row],[MOVMult]])*(Games[[#This Row],[Result]]-Games[[#This Row],[ExpectedWin%]])</f>
        <v>5.3529064898994658</v>
      </c>
      <c r="AB247" s="4">
        <f>Games[[#This Row],[PreGmRate]]+Games[[#This Row],[RatingChange]]</f>
        <v>1633.510984775796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46195</v>
      </c>
      <c r="B248" s="2">
        <v>2026</v>
      </c>
      <c r="C248" s="2">
        <f>COUNTIFS(Games[Team],Games[[#This Row],[Team]],Games[Season],Games[[#This Row],[Season]],Games[Date],"&lt;=" &amp; Games[[#This Row],[Date]])</f>
        <v>16</v>
      </c>
      <c r="D248" s="2" t="s">
        <v>79</v>
      </c>
      <c r="E248" s="2" t="s">
        <v>80</v>
      </c>
      <c r="F248" s="1" t="s">
        <v>75</v>
      </c>
      <c r="G248" s="1" t="s">
        <v>74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1359.7292203163904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1315.6588597928999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0.42019891408128546</v>
      </c>
      <c r="R248" s="1">
        <v>63</v>
      </c>
      <c r="S248" s="1">
        <v>92</v>
      </c>
      <c r="T248" s="1">
        <v>0</v>
      </c>
      <c r="U248" s="1">
        <f>Games[[#This Row],[PointsFor]]-Games[[#This Row],[PointsAgainst]]</f>
        <v>-29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0.66687188308547762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73.599999999999994</v>
      </c>
      <c r="Z248" s="4">
        <f>Games[[#This Row],[K]]*Games[[#This Row],[POMult]]</f>
        <v>73.599999999999994</v>
      </c>
      <c r="AA248" s="4">
        <f>(Games[[#This Row],[Keff]]*Games[[#This Row],[MOVMult]])*(Games[[#This Row],[Result]]-Games[[#This Row],[ExpectedWin%]])</f>
        <v>-20.624106705244071</v>
      </c>
      <c r="AB248" s="4">
        <f>Games[[#This Row],[PreGmRate]]+Games[[#This Row],[RatingChange]]</f>
        <v>1339.1051136111464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46195</v>
      </c>
      <c r="B249" s="2">
        <v>2026</v>
      </c>
      <c r="C249" s="2">
        <f>COUNTIFS(Games[Team],Games[[#This Row],[Team]],Games[Season],Games[[#This Row],[Season]],Games[Date],"&lt;=" &amp; Games[[#This Row],[Date]])</f>
        <v>18</v>
      </c>
      <c r="D249" s="2" t="s">
        <v>79</v>
      </c>
      <c r="E249" s="2" t="s">
        <v>80</v>
      </c>
      <c r="F249" s="1" t="s">
        <v>74</v>
      </c>
      <c r="G249" s="1" t="s">
        <v>75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1315.6588597928999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1359.7292203163904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0.57980108591871449</v>
      </c>
      <c r="R249" s="1">
        <v>92</v>
      </c>
      <c r="S249" s="1">
        <v>63</v>
      </c>
      <c r="T249" s="1">
        <v>0</v>
      </c>
      <c r="U249" s="1">
        <f>Games[[#This Row],[PointsFor]]-Games[[#This Row],[PointsAgainst]]</f>
        <v>29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0.66687188308547762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73.3</v>
      </c>
      <c r="Z249" s="4">
        <f>Games[[#This Row],[K]]*Games[[#This Row],[POMult]]</f>
        <v>73.3</v>
      </c>
      <c r="AA249" s="4">
        <f>(Games[[#This Row],[Keff]]*Games[[#This Row],[MOVMult]])*(Games[[#This Row],[Result]]-Games[[#This Row],[ExpectedWin%]])</f>
        <v>20.540041052912915</v>
      </c>
      <c r="AB249" s="4">
        <f>Games[[#This Row],[PreGmRate]]+Games[[#This Row],[RatingChange]]</f>
        <v>1336.1989008458129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46195</v>
      </c>
      <c r="B250" s="2">
        <v>2026</v>
      </c>
      <c r="C250" s="2">
        <f>COUNTIFS(Games[Team],Games[[#This Row],[Team]],Games[Season],Games[[#This Row],[Season]],Games[Date],"&lt;=" &amp; Games[[#This Row],[Date]])</f>
        <v>18</v>
      </c>
      <c r="D250" s="2" t="s">
        <v>79</v>
      </c>
      <c r="E250" s="2" t="s">
        <v>80</v>
      </c>
      <c r="F250" s="1" t="s">
        <v>40</v>
      </c>
      <c r="G250" s="1" t="s">
        <v>69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1453.7488172735855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1543.2122359889049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0.26922941657312488</v>
      </c>
      <c r="R250" s="1">
        <v>77</v>
      </c>
      <c r="S250" s="1">
        <v>86</v>
      </c>
      <c r="T250" s="1">
        <v>0</v>
      </c>
      <c r="U250" s="1">
        <f>Games[[#This Row],[PointsFor]]-Games[[#This Row],[PointsAgainst]]</f>
        <v>-9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0.3778050819480015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73.3</v>
      </c>
      <c r="Z250" s="4">
        <f>Games[[#This Row],[K]]*Games[[#This Row],[POMult]]</f>
        <v>73.3</v>
      </c>
      <c r="AA250" s="4">
        <f>(Games[[#This Row],[Keff]]*Games[[#This Row],[MOVMult]])*(Games[[#This Row],[Result]]-Games[[#This Row],[ExpectedWin%]])</f>
        <v>-7.4558005232965785</v>
      </c>
      <c r="AB250" s="4">
        <f>Games[[#This Row],[PreGmRate]]+Games[[#This Row],[RatingChange]]</f>
        <v>1446.2930167502889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46195</v>
      </c>
      <c r="B251" s="2">
        <v>2026</v>
      </c>
      <c r="C251" s="2">
        <f>COUNTIFS(Games[Team],Games[[#This Row],[Team]],Games[Season],Games[[#This Row],[Season]],Games[Date],"&lt;=" &amp; Games[[#This Row],[Date]])</f>
        <v>17</v>
      </c>
      <c r="D251" s="2" t="s">
        <v>79</v>
      </c>
      <c r="E251" s="2" t="s">
        <v>80</v>
      </c>
      <c r="F251" s="1" t="s">
        <v>69</v>
      </c>
      <c r="G251" s="1" t="s">
        <v>40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1543.2122359889049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1453.7488172735855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0.73077058342687506</v>
      </c>
      <c r="R251" s="1">
        <v>86</v>
      </c>
      <c r="S251" s="1">
        <v>77</v>
      </c>
      <c r="T251" s="1">
        <v>0</v>
      </c>
      <c r="U251" s="1">
        <f>Games[[#This Row],[PointsFor]]-Games[[#This Row],[PointsAgainst]]</f>
        <v>9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0.3778050819480015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73.45</v>
      </c>
      <c r="Z251" s="4">
        <f>Games[[#This Row],[K]]*Games[[#This Row],[POMult]]</f>
        <v>73.45</v>
      </c>
      <c r="AA251" s="4">
        <f>(Games[[#This Row],[Keff]]*Games[[#This Row],[MOVMult]])*(Games[[#This Row],[Result]]-Games[[#This Row],[ExpectedWin%]])</f>
        <v>7.4710579595652638</v>
      </c>
      <c r="AB251" s="4">
        <f>Games[[#This Row],[PreGmRate]]+Games[[#This Row],[RatingChange]]</f>
        <v>1550.6832939484702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46195</v>
      </c>
      <c r="B252" s="2">
        <v>2026</v>
      </c>
      <c r="C252" s="2">
        <f>COUNTIFS(Games[Team],Games[[#This Row],[Team]],Games[Season],Games[[#This Row],[Season]],Games[Date],"&lt;=" &amp; Games[[#This Row],[Date]])</f>
        <v>17</v>
      </c>
      <c r="D252" s="2" t="s">
        <v>79</v>
      </c>
      <c r="E252" s="2" t="s">
        <v>80</v>
      </c>
      <c r="F252" s="1" t="s">
        <v>84</v>
      </c>
      <c r="G252" s="1" t="s">
        <v>71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1523.1922403155365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1368.2741284486472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0.6006651815405194</v>
      </c>
      <c r="R252" s="1">
        <v>112</v>
      </c>
      <c r="S252" s="1">
        <v>110</v>
      </c>
      <c r="T252" s="1">
        <v>1</v>
      </c>
      <c r="U252" s="1">
        <f>Games[[#This Row],[PointsFor]]-Games[[#This Row],[PointsAgainst]]</f>
        <v>2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0.21349528354586048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73.45</v>
      </c>
      <c r="Z252" s="4">
        <f>Games[[#This Row],[K]]*Games[[#This Row],[POMult]]</f>
        <v>73.45</v>
      </c>
      <c r="AA252" s="4">
        <f>(Games[[#This Row],[Keff]]*Games[[#This Row],[MOVMult]])*(Games[[#This Row],[Result]]-Games[[#This Row],[ExpectedWin%]])</f>
        <v>6.2620605667956655</v>
      </c>
      <c r="AB252" s="4">
        <f>Games[[#This Row],[PreGmRate]]+Games[[#This Row],[RatingChange]]</f>
        <v>1529.4543008823323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46195</v>
      </c>
      <c r="B253" s="2">
        <v>2026</v>
      </c>
      <c r="C253" s="2">
        <f>COUNTIFS(Games[Team],Games[[#This Row],[Team]],Games[Season],Games[[#This Row],[Season]],Games[Date],"&lt;=" &amp; Games[[#This Row],[Date]])</f>
        <v>18</v>
      </c>
      <c r="D253" s="2" t="s">
        <v>79</v>
      </c>
      <c r="E253" s="2" t="s">
        <v>80</v>
      </c>
      <c r="F253" s="1" t="s">
        <v>71</v>
      </c>
      <c r="G253" s="1" t="s">
        <v>84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1368.2741284486472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1523.1922403155365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0.39933481845948055</v>
      </c>
      <c r="R253" s="1">
        <v>110</v>
      </c>
      <c r="S253" s="1">
        <v>112</v>
      </c>
      <c r="T253" s="1">
        <v>1</v>
      </c>
      <c r="U253" s="1">
        <f>Games[[#This Row],[PointsFor]]-Games[[#This Row],[PointsAgainst]]</f>
        <v>-2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0.21349528354586048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73.3</v>
      </c>
      <c r="Z253" s="4">
        <f>Games[[#This Row],[K]]*Games[[#This Row],[POMult]]</f>
        <v>73.3</v>
      </c>
      <c r="AA253" s="4">
        <f>(Games[[#This Row],[Keff]]*Games[[#This Row],[MOVMult]])*(Games[[#This Row],[Result]]-Games[[#This Row],[ExpectedWin%]])</f>
        <v>-6.2492721517511534</v>
      </c>
      <c r="AB253" s="4">
        <f>Games[[#This Row],[PreGmRate]]+Games[[#This Row],[RatingChange]]</f>
        <v>1362.0248562968959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46196</v>
      </c>
      <c r="B254" s="2">
        <v>2026</v>
      </c>
      <c r="C254" s="2">
        <f>COUNTIFS(Games[Team],Games[[#This Row],[Team]],Games[Season],Games[[#This Row],[Season]],Games[Date],"&lt;=" &amp; Games[[#This Row],[Date]])</f>
        <v>18</v>
      </c>
      <c r="D254" s="2" t="s">
        <v>79</v>
      </c>
      <c r="E254" s="2" t="s">
        <v>80</v>
      </c>
      <c r="F254" s="1" t="s">
        <v>60</v>
      </c>
      <c r="G254" s="1" t="s">
        <v>85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1563.6247454220293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1651.4173663215424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0.27112588146243988</v>
      </c>
      <c r="R254" s="1">
        <v>87</v>
      </c>
      <c r="S254" s="1">
        <v>76</v>
      </c>
      <c r="T254" s="1">
        <v>0</v>
      </c>
      <c r="U254" s="1">
        <f>Games[[#This Row],[PointsFor]]-Games[[#This Row],[PointsAgainst]]</f>
        <v>11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0.4098510550095335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73.3</v>
      </c>
      <c r="Z254" s="4">
        <f>Games[[#This Row],[K]]*Games[[#This Row],[POMult]]</f>
        <v>73.3</v>
      </c>
      <c r="AA254" s="4">
        <f>(Games[[#This Row],[Keff]]*Games[[#This Row],[MOVMult]])*(Games[[#This Row],[Result]]-Games[[#This Row],[ExpectedWin%]])</f>
        <v>21.896896278914213</v>
      </c>
      <c r="AB254" s="4">
        <f>Games[[#This Row],[PreGmRate]]+Games[[#This Row],[RatingChange]]</f>
        <v>1585.5216417009435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46196</v>
      </c>
      <c r="B255" s="2">
        <v>2026</v>
      </c>
      <c r="C255" s="2">
        <f>COUNTIFS(Games[Team],Games[[#This Row],[Team]],Games[Season],Games[[#This Row],[Season]],Games[Date],"&lt;=" &amp; Games[[#This Row],[Date]])</f>
        <v>17</v>
      </c>
      <c r="D255" s="2" t="s">
        <v>79</v>
      </c>
      <c r="E255" s="2" t="s">
        <v>80</v>
      </c>
      <c r="F255" s="1" t="s">
        <v>85</v>
      </c>
      <c r="G255" s="1" t="s">
        <v>60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1651.4173663215424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1563.6247454220293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0.72887411853756012</v>
      </c>
      <c r="R255" s="1">
        <v>76</v>
      </c>
      <c r="S255" s="1">
        <v>87</v>
      </c>
      <c r="T255" s="1">
        <v>0</v>
      </c>
      <c r="U255" s="1">
        <f>Games[[#This Row],[PointsFor]]-Games[[#This Row],[PointsAgainst]]</f>
        <v>-11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0.4098510550095335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73.45</v>
      </c>
      <c r="Z255" s="4">
        <f>Games[[#This Row],[K]]*Games[[#This Row],[POMult]]</f>
        <v>73.45</v>
      </c>
      <c r="AA255" s="4">
        <f>(Games[[#This Row],[Keff]]*Games[[#This Row],[MOVMult]])*(Games[[#This Row],[Result]]-Games[[#This Row],[ExpectedWin%]])</f>
        <v>-21.941705752881976</v>
      </c>
      <c r="AB255" s="4">
        <f>Games[[#This Row],[PreGmRate]]+Games[[#This Row],[RatingChange]]</f>
        <v>1629.4756605686605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46197</v>
      </c>
      <c r="B256" s="2">
        <v>2026</v>
      </c>
      <c r="C256" s="2">
        <f>COUNTIFS(Games[Team],Games[[#This Row],[Team]],Games[Season],Games[[#This Row],[Season]],Games[Date],"&lt;=" &amp; Games[[#This Row],[Date]])</f>
        <v>18</v>
      </c>
      <c r="D256" s="2" t="s">
        <v>79</v>
      </c>
      <c r="E256" s="2" t="s">
        <v>80</v>
      </c>
      <c r="F256" s="1" t="s">
        <v>89</v>
      </c>
      <c r="G256" s="1" t="s">
        <v>75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5</v>
      </c>
      <c r="L256" s="2">
        <f>Games[[#This Row],[OppDaysOff]]-Games[[#This Row],[DaysOff]]</f>
        <v>-5</v>
      </c>
      <c r="M256" s="1">
        <f>MAX(-16, MIN(16, Games[[#This Row],[RestDiff]]*8))</f>
        <v>16</v>
      </c>
      <c r="N256" s="1">
        <f>MAX(-16, MIN(16, Games[[#This Row],[OppRestDiff]]*8))</f>
        <v>-16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1451.9490750521186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1339.1051136111464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0.58667723116410775</v>
      </c>
      <c r="R256" s="1">
        <v>78</v>
      </c>
      <c r="S256" s="1">
        <v>101</v>
      </c>
      <c r="T256" s="1">
        <v>0</v>
      </c>
      <c r="U256" s="1">
        <f>Games[[#This Row],[PointsFor]]-Games[[#This Row],[PointsAgainst]]</f>
        <v>-23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0.56244713367447829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73.3</v>
      </c>
      <c r="Z256" s="4">
        <f>Games[[#This Row],[K]]*Games[[#This Row],[POMult]]</f>
        <v>73.3</v>
      </c>
      <c r="AA256" s="4">
        <f>(Games[[#This Row],[Keff]]*Games[[#This Row],[MOVMult]])*(Games[[#This Row],[Result]]-Games[[#This Row],[ExpectedWin%]])</f>
        <v>-24.187162153522312</v>
      </c>
      <c r="AB256" s="4">
        <f>Games[[#This Row],[PreGmRate]]+Games[[#This Row],[RatingChange]]</f>
        <v>1427.7619128985962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46197</v>
      </c>
      <c r="B257" s="2">
        <v>2026</v>
      </c>
      <c r="C257" s="2">
        <f>COUNTIFS(Games[Team],Games[[#This Row],[Team]],Games[Season],Games[[#This Row],[Season]],Games[Date],"&lt;=" &amp; Games[[#This Row],[Date]])</f>
        <v>17</v>
      </c>
      <c r="D257" s="2" t="s">
        <v>79</v>
      </c>
      <c r="E257" s="2" t="s">
        <v>80</v>
      </c>
      <c r="F257" s="1" t="s">
        <v>75</v>
      </c>
      <c r="G257" s="1" t="s">
        <v>89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7" s="2">
        <f>Games[[#This Row],[DaysOff]]-Games[[#This Row],[OppDaysOff]]</f>
        <v>-5</v>
      </c>
      <c r="L257" s="2">
        <f>Games[[#This Row],[OppDaysOff]]-Games[[#This Row],[DaysOff]]</f>
        <v>5</v>
      </c>
      <c r="M257" s="1">
        <f>MAX(-16, MIN(16, Games[[#This Row],[RestDiff]]*8))</f>
        <v>-16</v>
      </c>
      <c r="N257" s="1">
        <f>MAX(-16, MIN(16, Games[[#This Row],[OppRestDiff]]*8))</f>
        <v>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1339.1051136111464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1451.9490750521186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0.41332276883589231</v>
      </c>
      <c r="R257" s="1">
        <v>101</v>
      </c>
      <c r="S257" s="1">
        <v>78</v>
      </c>
      <c r="T257" s="1">
        <v>0</v>
      </c>
      <c r="U257" s="1">
        <f>Games[[#This Row],[PointsFor]]-Games[[#This Row],[PointsAgainst]]</f>
        <v>23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0.56244713367447829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73.45</v>
      </c>
      <c r="Z257" s="4">
        <f>Games[[#This Row],[K]]*Games[[#This Row],[POMult]]</f>
        <v>73.45</v>
      </c>
      <c r="AA257" s="4">
        <f>(Games[[#This Row],[Keff]]*Games[[#This Row],[MOVMult]])*(Games[[#This Row],[Result]]-Games[[#This Row],[ExpectedWin%]])</f>
        <v>24.236658392581369</v>
      </c>
      <c r="AB257" s="4">
        <f>Games[[#This Row],[PreGmRate]]+Games[[#This Row],[RatingChange]]</f>
        <v>1363.3417720037278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46197</v>
      </c>
      <c r="B258" s="2">
        <v>2026</v>
      </c>
      <c r="C258" s="2">
        <f>COUNTIFS(Games[Team],Games[[#This Row],[Team]],Games[Season],Games[[#This Row],[Season]],Games[Date],"&lt;=" &amp; Games[[#This Row],[Date]])</f>
        <v>17</v>
      </c>
      <c r="D258" s="2" t="s">
        <v>79</v>
      </c>
      <c r="E258" s="2" t="s">
        <v>80</v>
      </c>
      <c r="F258" s="1" t="s">
        <v>77</v>
      </c>
      <c r="G258" s="1" t="s">
        <v>87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1633.510984775796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1557.1190486516516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0.46607745723359095</v>
      </c>
      <c r="R258" s="1">
        <v>66</v>
      </c>
      <c r="S258" s="1">
        <v>77</v>
      </c>
      <c r="T258" s="1">
        <v>0</v>
      </c>
      <c r="U258" s="1">
        <f>Games[[#This Row],[PointsFor]]-Games[[#This Row],[PointsAgainst]]</f>
        <v>-11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0.41351182922063096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73.45</v>
      </c>
      <c r="Z258" s="4">
        <f>Games[[#This Row],[K]]*Games[[#This Row],[POMult]]</f>
        <v>73.45</v>
      </c>
      <c r="AA258" s="4">
        <f>(Games[[#This Row],[Keff]]*Games[[#This Row],[MOVMult]])*(Games[[#This Row],[Result]]-Games[[#This Row],[ExpectedWin%]])</f>
        <v>-14.155911402493492</v>
      </c>
      <c r="AB258" s="4">
        <f>Games[[#This Row],[PreGmRate]]+Games[[#This Row],[RatingChange]]</f>
        <v>1619.3550733733025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46197</v>
      </c>
      <c r="B259" s="2">
        <v>2026</v>
      </c>
      <c r="C259" s="2">
        <f>COUNTIFS(Games[Team],Games[[#This Row],[Team]],Games[Season],Games[[#This Row],[Season]],Games[Date],"&lt;=" &amp; Games[[#This Row],[Date]])</f>
        <v>18</v>
      </c>
      <c r="D259" s="2" t="s">
        <v>79</v>
      </c>
      <c r="E259" s="2" t="s">
        <v>80</v>
      </c>
      <c r="F259" s="1" t="s">
        <v>87</v>
      </c>
      <c r="G259" s="1" t="s">
        <v>77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1557.1190486516516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1633.510984775796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0.53392254276640905</v>
      </c>
      <c r="R259" s="1">
        <v>77</v>
      </c>
      <c r="S259" s="1">
        <v>66</v>
      </c>
      <c r="T259" s="1">
        <v>0</v>
      </c>
      <c r="U259" s="1">
        <f>Games[[#This Row],[PointsFor]]-Games[[#This Row],[PointsAgainst]]</f>
        <v>11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0.41351182922063096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73.3</v>
      </c>
      <c r="Z259" s="4">
        <f>Games[[#This Row],[K]]*Games[[#This Row],[POMult]]</f>
        <v>73.3</v>
      </c>
      <c r="AA259" s="4">
        <f>(Games[[#This Row],[Keff]]*Games[[#This Row],[MOVMult]])*(Games[[#This Row],[Result]]-Games[[#This Row],[ExpectedWin%]])</f>
        <v>14.127002121208617</v>
      </c>
      <c r="AB259" s="4">
        <f>Games[[#This Row],[PreGmRate]]+Games[[#This Row],[RatingChange]]</f>
        <v>1571.2460507728601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46197</v>
      </c>
      <c r="B260" s="2">
        <v>2026</v>
      </c>
      <c r="C260" s="2">
        <f>COUNTIFS(Games[Team],Games[[#This Row],[Team]],Games[Season],Games[[#This Row],[Season]],Games[Date],"&lt;=" &amp; Games[[#This Row],[Date]])</f>
        <v>19</v>
      </c>
      <c r="D260" s="2" t="s">
        <v>79</v>
      </c>
      <c r="E260" s="2" t="s">
        <v>80</v>
      </c>
      <c r="F260" s="1" t="s">
        <v>40</v>
      </c>
      <c r="G260" s="1" t="s">
        <v>69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1446.2930167502889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1550.6832939484702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0.25266262734314715</v>
      </c>
      <c r="R260" s="1">
        <v>111</v>
      </c>
      <c r="S260" s="1">
        <v>109</v>
      </c>
      <c r="T260" s="1">
        <v>0</v>
      </c>
      <c r="U260" s="1">
        <f>Games[[#This Row],[PointsFor]]-Games[[#This Row],[PointsAgainst]]</f>
        <v>2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0.2464059956518449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73.150000000000006</v>
      </c>
      <c r="Z260" s="4">
        <f>Games[[#This Row],[K]]*Games[[#This Row],[POMult]]</f>
        <v>73.150000000000006</v>
      </c>
      <c r="AA260" s="4">
        <f>(Games[[#This Row],[Keff]]*Games[[#This Row],[MOVMult]])*(Games[[#This Row],[Result]]-Games[[#This Row],[ExpectedWin%]])</f>
        <v>13.470456147415836</v>
      </c>
      <c r="AB260" s="4">
        <f>Games[[#This Row],[PreGmRate]]+Games[[#This Row],[RatingChange]]</f>
        <v>1459.7634728977048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46197</v>
      </c>
      <c r="B261" s="2">
        <v>2026</v>
      </c>
      <c r="C261" s="2">
        <f>COUNTIFS(Games[Team],Games[[#This Row],[Team]],Games[Season],Games[[#This Row],[Season]],Games[Date],"&lt;=" &amp; Games[[#This Row],[Date]])</f>
        <v>18</v>
      </c>
      <c r="D261" s="2" t="s">
        <v>79</v>
      </c>
      <c r="E261" s="2" t="s">
        <v>80</v>
      </c>
      <c r="F261" s="1" t="s">
        <v>69</v>
      </c>
      <c r="G261" s="1" t="s">
        <v>40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1550.6832939484702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1446.2930167502889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0.74733737265685274</v>
      </c>
      <c r="R261" s="1">
        <v>109</v>
      </c>
      <c r="S261" s="1">
        <v>111</v>
      </c>
      <c r="T261" s="1">
        <v>0</v>
      </c>
      <c r="U261" s="1">
        <f>Games[[#This Row],[PointsFor]]-Games[[#This Row],[PointsAgainst]]</f>
        <v>-2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0.2464059956518449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73.3</v>
      </c>
      <c r="Z261" s="4">
        <f>Games[[#This Row],[K]]*Games[[#This Row],[POMult]]</f>
        <v>73.3</v>
      </c>
      <c r="AA261" s="4">
        <f>(Games[[#This Row],[Keff]]*Games[[#This Row],[MOVMult]])*(Games[[#This Row],[Result]]-Games[[#This Row],[ExpectedWin%]])</f>
        <v>-13.498078408825435</v>
      </c>
      <c r="AB261" s="4">
        <f>Games[[#This Row],[PreGmRate]]+Games[[#This Row],[RatingChange]]</f>
        <v>1537.1852155396448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46197</v>
      </c>
      <c r="B262" s="2">
        <v>2026</v>
      </c>
      <c r="C262" s="2">
        <f>COUNTIFS(Games[Team],Games[[#This Row],[Team]],Games[Season],Games[[#This Row],[Season]],Games[Date],"&lt;=" &amp; Games[[#This Row],[Date]])</f>
        <v>18</v>
      </c>
      <c r="D262" s="2" t="s">
        <v>79</v>
      </c>
      <c r="E262" s="2" t="s">
        <v>80</v>
      </c>
      <c r="F262" s="1" t="s">
        <v>67</v>
      </c>
      <c r="G262" s="1" t="s">
        <v>65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1667.7000078328986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1464.2809348913402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0.6653952950737646</v>
      </c>
      <c r="R262" s="1">
        <v>78</v>
      </c>
      <c r="S262" s="1">
        <v>76</v>
      </c>
      <c r="T262" s="1">
        <v>0</v>
      </c>
      <c r="U262" s="1">
        <f>Games[[#This Row],[PointsFor]]-Games[[#This Row],[PointsAgainst]]</f>
        <v>2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0.22901896601556879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73.3</v>
      </c>
      <c r="Z262" s="4">
        <f>Games[[#This Row],[K]]*Games[[#This Row],[POMult]]</f>
        <v>73.3</v>
      </c>
      <c r="AA262" s="4">
        <f>(Games[[#This Row],[Keff]]*Games[[#This Row],[MOVMult]])*(Games[[#This Row],[Result]]-Games[[#This Row],[ExpectedWin%]])</f>
        <v>5.6170393659328628</v>
      </c>
      <c r="AB262" s="4">
        <f>Games[[#This Row],[PreGmRate]]+Games[[#This Row],[RatingChange]]</f>
        <v>1673.3170471988315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46197</v>
      </c>
      <c r="B263" s="2">
        <v>2026</v>
      </c>
      <c r="C263" s="2">
        <f>COUNTIFS(Games[Team],Games[[#This Row],[Team]],Games[Season],Games[[#This Row],[Season]],Games[Date],"&lt;=" &amp; Games[[#This Row],[Date]])</f>
        <v>16</v>
      </c>
      <c r="D263" s="2" t="s">
        <v>79</v>
      </c>
      <c r="E263" s="2" t="s">
        <v>80</v>
      </c>
      <c r="F263" s="1" t="s">
        <v>65</v>
      </c>
      <c r="G263" s="1" t="s">
        <v>67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1464.2809348913402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1667.7000078328986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0.33460470492623545</v>
      </c>
      <c r="R263" s="1">
        <v>76</v>
      </c>
      <c r="S263" s="1">
        <v>78</v>
      </c>
      <c r="T263" s="1">
        <v>0</v>
      </c>
      <c r="U263" s="1">
        <f>Games[[#This Row],[PointsFor]]-Games[[#This Row],[PointsAgainst]]</f>
        <v>-2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0.22901896601556879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73.599999999999994</v>
      </c>
      <c r="Z263" s="4">
        <f>Games[[#This Row],[K]]*Games[[#This Row],[POMult]]</f>
        <v>73.599999999999994</v>
      </c>
      <c r="AA263" s="4">
        <f>(Games[[#This Row],[Keff]]*Games[[#This Row],[MOVMult]])*(Games[[#This Row],[Result]]-Games[[#This Row],[ExpectedWin%]])</f>
        <v>-5.6400286129967085</v>
      </c>
      <c r="AB263" s="4">
        <f>Games[[#This Row],[PreGmRate]]+Games[[#This Row],[RatingChange]]</f>
        <v>1458.6409062783434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46198</v>
      </c>
      <c r="B264" s="2">
        <v>2026</v>
      </c>
      <c r="C264" s="2">
        <f>COUNTIFS(Games[Team],Games[[#This Row],[Team]],Games[Season],Games[[#This Row],[Season]],Games[Date],"&lt;=" &amp; Games[[#This Row],[Date]])</f>
        <v>18</v>
      </c>
      <c r="D264" s="2" t="s">
        <v>79</v>
      </c>
      <c r="E264" s="2" t="s">
        <v>80</v>
      </c>
      <c r="F264" s="1" t="s">
        <v>84</v>
      </c>
      <c r="G264" s="1" t="s">
        <v>85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">
        <f>MAX(-16, MIN(16, Games[[#This Row],[RestDiff]]*8))</f>
        <v>8</v>
      </c>
      <c r="N264" s="1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1529.4543008823323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1629.4756605686605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0.27543721791201869</v>
      </c>
      <c r="R264" s="1">
        <v>84</v>
      </c>
      <c r="S264" s="1">
        <v>99</v>
      </c>
      <c r="T264" s="1">
        <v>0</v>
      </c>
      <c r="U264" s="1">
        <f>Games[[#This Row],[PointsFor]]-Games[[#This Row],[PointsAgainst]]</f>
        <v>-15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0.46415978411317027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73.3</v>
      </c>
      <c r="Z264" s="4">
        <f>Games[[#This Row],[K]]*Games[[#This Row],[POMult]]</f>
        <v>73.3</v>
      </c>
      <c r="AA264" s="4">
        <f>(Games[[#This Row],[Keff]]*Games[[#This Row],[MOVMult]])*(Games[[#This Row],[Result]]-Games[[#This Row],[ExpectedWin%]])</f>
        <v>-9.3711762748833944</v>
      </c>
      <c r="AB264" s="4">
        <f>Games[[#This Row],[PreGmRate]]+Games[[#This Row],[RatingChange]]</f>
        <v>1520.083124607449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46198</v>
      </c>
      <c r="B265" s="2">
        <v>2026</v>
      </c>
      <c r="C265" s="2">
        <f>COUNTIFS(Games[Team],Games[[#This Row],[Team]],Games[Season],Games[[#This Row],[Season]],Games[Date],"&lt;=" &amp; Games[[#This Row],[Date]])</f>
        <v>18</v>
      </c>
      <c r="D265" s="2" t="s">
        <v>79</v>
      </c>
      <c r="E265" s="2" t="s">
        <v>80</v>
      </c>
      <c r="F265" s="1" t="s">
        <v>85</v>
      </c>
      <c r="G265" s="1" t="s">
        <v>84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">
        <f>MAX(-16, MIN(16, Games[[#This Row],[RestDiff]]*8))</f>
        <v>-8</v>
      </c>
      <c r="N265" s="1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1629.4756605686605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1529.4543008823323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0.72456278208798131</v>
      </c>
      <c r="R265" s="1">
        <v>99</v>
      </c>
      <c r="S265" s="1">
        <v>84</v>
      </c>
      <c r="T265" s="1">
        <v>0</v>
      </c>
      <c r="U265" s="1">
        <f>Games[[#This Row],[PointsFor]]-Games[[#This Row],[PointsAgainst]]</f>
        <v>15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0.46415978411317027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73.3</v>
      </c>
      <c r="Z265" s="4">
        <f>Games[[#This Row],[K]]*Games[[#This Row],[POMult]]</f>
        <v>73.3</v>
      </c>
      <c r="AA265" s="4">
        <f>(Games[[#This Row],[Keff]]*Games[[#This Row],[MOVMult]])*(Games[[#This Row],[Result]]-Games[[#This Row],[ExpectedWin%]])</f>
        <v>9.3711762748833944</v>
      </c>
      <c r="AB265" s="4">
        <f>Games[[#This Row],[PreGmRate]]+Games[[#This Row],[RatingChange]]</f>
        <v>1638.8468368435438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46198</v>
      </c>
      <c r="B266" s="2">
        <v>2026</v>
      </c>
      <c r="C266" s="2">
        <f>COUNTIFS(Games[Team],Games[[#This Row],[Team]],Games[Season],Games[[#This Row],[Season]],Games[Date],"&lt;=" &amp; Games[[#This Row],[Date]])</f>
        <v>19</v>
      </c>
      <c r="D266" s="2" t="s">
        <v>79</v>
      </c>
      <c r="E266" s="2" t="s">
        <v>80</v>
      </c>
      <c r="F266" s="1" t="s">
        <v>60</v>
      </c>
      <c r="G266" s="1" t="s">
        <v>71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1585.5216417009435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1362.0248562968959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0.67060102196658145</v>
      </c>
      <c r="R266" s="1">
        <v>88</v>
      </c>
      <c r="S266" s="1">
        <v>99</v>
      </c>
      <c r="T266" s="1">
        <v>0</v>
      </c>
      <c r="U266" s="1">
        <f>Games[[#This Row],[PointsFor]]-Games[[#This Row],[PointsAgainst]]</f>
        <v>-11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0.37077931592191488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73.150000000000006</v>
      </c>
      <c r="Z266" s="4">
        <f>Games[[#This Row],[K]]*Games[[#This Row],[POMult]]</f>
        <v>73.150000000000006</v>
      </c>
      <c r="AA266" s="4">
        <f>(Games[[#This Row],[Keff]]*Games[[#This Row],[MOVMult]])*(Games[[#This Row],[Result]]-Games[[#This Row],[ExpectedWin%]])</f>
        <v>-18.188380885462539</v>
      </c>
      <c r="AB266" s="4">
        <f>Games[[#This Row],[PreGmRate]]+Games[[#This Row],[RatingChange]]</f>
        <v>1567.333260815481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46198</v>
      </c>
      <c r="B267" s="2">
        <v>2026</v>
      </c>
      <c r="C267" s="2">
        <f>COUNTIFS(Games[Team],Games[[#This Row],[Team]],Games[Season],Games[[#This Row],[Season]],Games[Date],"&lt;=" &amp; Games[[#This Row],[Date]])</f>
        <v>19</v>
      </c>
      <c r="D267" s="2" t="s">
        <v>79</v>
      </c>
      <c r="E267" s="2" t="s">
        <v>80</v>
      </c>
      <c r="F267" s="1" t="s">
        <v>71</v>
      </c>
      <c r="G267" s="1" t="s">
        <v>60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1362.0248562968959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1585.5216417009435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0.3293989780334185</v>
      </c>
      <c r="R267" s="1">
        <v>99</v>
      </c>
      <c r="S267" s="1">
        <v>88</v>
      </c>
      <c r="T267" s="1">
        <v>0</v>
      </c>
      <c r="U267" s="1">
        <f>Games[[#This Row],[PointsFor]]-Games[[#This Row],[PointsAgainst]]</f>
        <v>11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0.37077931592191488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73.150000000000006</v>
      </c>
      <c r="Z267" s="4">
        <f>Games[[#This Row],[K]]*Games[[#This Row],[POMult]]</f>
        <v>73.150000000000006</v>
      </c>
      <c r="AA267" s="4">
        <f>(Games[[#This Row],[Keff]]*Games[[#This Row],[MOVMult]])*(Games[[#This Row],[Result]]-Games[[#This Row],[ExpectedWin%]])</f>
        <v>18.188380885462539</v>
      </c>
      <c r="AB267" s="4">
        <f>Games[[#This Row],[PreGmRate]]+Games[[#This Row],[RatingChange]]</f>
        <v>1380.2132371823584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46198</v>
      </c>
      <c r="B268" s="2">
        <v>2026</v>
      </c>
      <c r="C268" s="2">
        <f>COUNTIFS(Games[Team],Games[[#This Row],[Team]],Games[Season],Games[[#This Row],[Season]],Games[Date],"&lt;=" &amp; Games[[#This Row],[Date]])</f>
        <v>17</v>
      </c>
      <c r="D268" s="2" t="s">
        <v>79</v>
      </c>
      <c r="E268" s="2" t="s">
        <v>80</v>
      </c>
      <c r="F268" s="1" t="s">
        <v>63</v>
      </c>
      <c r="G268" s="1" t="s">
        <v>90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1</v>
      </c>
      <c r="L268" s="2">
        <f>Games[[#This Row],[OppDaysOff]]-Games[[#This Row],[DaysOff]]</f>
        <v>-1</v>
      </c>
      <c r="M268" s="1">
        <f>MAX(-16, MIN(16, Games[[#This Row],[RestDiff]]*8))</f>
        <v>8</v>
      </c>
      <c r="N268" s="1">
        <f>MAX(-16, MIN(16, Games[[#This Row],[OppRestDiff]]*8))</f>
        <v>-8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1474.917229856231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1472.1433682581724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0.40721949799738094</v>
      </c>
      <c r="R268" s="1">
        <v>97</v>
      </c>
      <c r="S268" s="1">
        <v>125</v>
      </c>
      <c r="T268" s="1">
        <v>0</v>
      </c>
      <c r="U268" s="1">
        <f>Games[[#This Row],[PointsFor]]-Games[[#This Row],[PointsAgainst]]</f>
        <v>-28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0.67752352965382912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73.45</v>
      </c>
      <c r="Z268" s="4">
        <f>Games[[#This Row],[K]]*Games[[#This Row],[POMult]]</f>
        <v>73.45</v>
      </c>
      <c r="AA268" s="4">
        <f>(Games[[#This Row],[Keff]]*Games[[#This Row],[MOVMult]])*(Games[[#This Row],[Result]]-Games[[#This Row],[ExpectedWin%]])</f>
        <v>-20.264913145006524</v>
      </c>
      <c r="AB268" s="4">
        <f>Games[[#This Row],[PreGmRate]]+Games[[#This Row],[RatingChange]]</f>
        <v>1454.6523167112243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46198</v>
      </c>
      <c r="B269" s="2">
        <v>2026</v>
      </c>
      <c r="C269" s="2">
        <f>COUNTIFS(Games[Team],Games[[#This Row],[Team]],Games[Season],Games[[#This Row],[Season]],Games[Date],"&lt;=" &amp; Games[[#This Row],[Date]])</f>
        <v>18</v>
      </c>
      <c r="D269" s="2" t="s">
        <v>79</v>
      </c>
      <c r="E269" s="2" t="s">
        <v>80</v>
      </c>
      <c r="F269" s="1" t="s">
        <v>90</v>
      </c>
      <c r="G269" s="1" t="s">
        <v>63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9" s="2">
        <f>Games[[#This Row],[DaysOff]]-Games[[#This Row],[OppDaysOff]]</f>
        <v>-1</v>
      </c>
      <c r="L269" s="2">
        <f>Games[[#This Row],[OppDaysOff]]-Games[[#This Row],[DaysOff]]</f>
        <v>1</v>
      </c>
      <c r="M269" s="1">
        <f>MAX(-16, MIN(16, Games[[#This Row],[RestDiff]]*8))</f>
        <v>-8</v>
      </c>
      <c r="N269" s="1">
        <f>MAX(-16, MIN(16, Games[[#This Row],[OppRestDiff]]*8))</f>
        <v>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1472.1433682581724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1474.917229856231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0.59278050200261911</v>
      </c>
      <c r="R269" s="1">
        <v>125</v>
      </c>
      <c r="S269" s="1">
        <v>97</v>
      </c>
      <c r="T269" s="1">
        <v>0</v>
      </c>
      <c r="U269" s="1">
        <f>Games[[#This Row],[PointsFor]]-Games[[#This Row],[PointsAgainst]]</f>
        <v>28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0.67752352965382912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73.3</v>
      </c>
      <c r="Z269" s="4">
        <f>Games[[#This Row],[K]]*Games[[#This Row],[POMult]]</f>
        <v>73.3</v>
      </c>
      <c r="AA269" s="4">
        <f>(Games[[#This Row],[Keff]]*Games[[#This Row],[MOVMult]])*(Games[[#This Row],[Result]]-Games[[#This Row],[ExpectedWin%]])</f>
        <v>20.223528026262464</v>
      </c>
      <c r="AB269" s="4">
        <f>Games[[#This Row],[PreGmRate]]+Games[[#This Row],[RatingChange]]</f>
        <v>1492.3668962844349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46199</v>
      </c>
      <c r="B270" s="2">
        <v>2026</v>
      </c>
      <c r="C270" s="2">
        <f>COUNTIFS(Games[Team],Games[[#This Row],[Team]],Games[Season],Games[[#This Row],[Season]],Games[Date],"&lt;=" &amp; Games[[#This Row],[Date]])</f>
        <v>19</v>
      </c>
      <c r="D270" s="2" t="s">
        <v>79</v>
      </c>
      <c r="E270" s="2" t="s">
        <v>80</v>
      </c>
      <c r="F270" s="1" t="s">
        <v>89</v>
      </c>
      <c r="G270" s="1" t="s">
        <v>75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1427.7619128985962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1363.3417720037278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0.47185210993037086</v>
      </c>
      <c r="R270" s="1">
        <v>94</v>
      </c>
      <c r="S270" s="1">
        <v>124</v>
      </c>
      <c r="T270" s="1">
        <v>0</v>
      </c>
      <c r="U270" s="1">
        <f>Games[[#This Row],[PointsFor]]-Games[[#This Row],[PointsAgainst]]</f>
        <v>-30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0.66765087349236052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73.150000000000006</v>
      </c>
      <c r="Z270" s="4">
        <f>Games[[#This Row],[K]]*Games[[#This Row],[POMult]]</f>
        <v>73.150000000000006</v>
      </c>
      <c r="AA270" s="4">
        <f>(Games[[#This Row],[Keff]]*Games[[#This Row],[MOVMult]])*(Games[[#This Row],[Result]]-Games[[#This Row],[ExpectedWin%]])</f>
        <v>-23.044625425861593</v>
      </c>
      <c r="AB270" s="4">
        <f>Games[[#This Row],[PreGmRate]]+Games[[#This Row],[RatingChange]]</f>
        <v>1404.7172874727346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46199</v>
      </c>
      <c r="B271" s="2">
        <v>2026</v>
      </c>
      <c r="C271" s="2">
        <f>COUNTIFS(Games[Team],Games[[#This Row],[Team]],Games[Season],Games[[#This Row],[Season]],Games[Date],"&lt;=" &amp; Games[[#This Row],[Date]])</f>
        <v>18</v>
      </c>
      <c r="D271" s="2" t="s">
        <v>79</v>
      </c>
      <c r="E271" s="2" t="s">
        <v>80</v>
      </c>
      <c r="F271" s="1" t="s">
        <v>75</v>
      </c>
      <c r="G271" s="1" t="s">
        <v>89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1363.3417720037278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1427.7619128985962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0.52814789006962903</v>
      </c>
      <c r="R271" s="1">
        <v>124</v>
      </c>
      <c r="S271" s="1">
        <v>94</v>
      </c>
      <c r="T271" s="1">
        <v>0</v>
      </c>
      <c r="U271" s="1">
        <f>Games[[#This Row],[PointsFor]]-Games[[#This Row],[PointsAgainst]]</f>
        <v>30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0.66765087349236052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73.3</v>
      </c>
      <c r="Z271" s="4">
        <f>Games[[#This Row],[K]]*Games[[#This Row],[POMult]]</f>
        <v>73.3</v>
      </c>
      <c r="AA271" s="4">
        <f>(Games[[#This Row],[Keff]]*Games[[#This Row],[MOVMult]])*(Games[[#This Row],[Result]]-Games[[#This Row],[ExpectedWin%]])</f>
        <v>23.091880296864726</v>
      </c>
      <c r="AB271" s="4">
        <f>Games[[#This Row],[PreGmRate]]+Games[[#This Row],[RatingChange]]</f>
        <v>1386.4336523005925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46199</v>
      </c>
      <c r="B272" s="2">
        <v>2026</v>
      </c>
      <c r="C272" s="2">
        <f>COUNTIFS(Games[Team],Games[[#This Row],[Team]],Games[Season],Games[[#This Row],[Season]],Games[Date],"&lt;=" &amp; Games[[#This Row],[Date]])</f>
        <v>17</v>
      </c>
      <c r="D272" s="2" t="s">
        <v>79</v>
      </c>
      <c r="E272" s="2" t="s">
        <v>80</v>
      </c>
      <c r="F272" s="1" t="s">
        <v>65</v>
      </c>
      <c r="G272" s="1" t="s">
        <v>74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2" s="2">
        <f>Games[[#This Row],[DaysOff]]-Games[[#This Row],[OppDaysOff]]</f>
        <v>-2</v>
      </c>
      <c r="L272" s="2">
        <f>Games[[#This Row],[OppDaysOff]]-Games[[#This Row],[DaysOff]]</f>
        <v>2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1458.6409062783434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1336.1989008458129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0.50926972879220866</v>
      </c>
      <c r="R272" s="1">
        <v>57</v>
      </c>
      <c r="S272" s="1">
        <v>68</v>
      </c>
      <c r="T272" s="1">
        <v>0</v>
      </c>
      <c r="U272" s="1">
        <f>Games[[#This Row],[PointsFor]]-Games[[#This Row],[PointsAgainst]]</f>
        <v>-11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0.3991125222436725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73.45</v>
      </c>
      <c r="Z272" s="4">
        <f>Games[[#This Row],[K]]*Games[[#This Row],[POMult]]</f>
        <v>73.45</v>
      </c>
      <c r="AA272" s="4">
        <f>(Games[[#This Row],[Keff]]*Games[[#This Row],[MOVMult]])*(Games[[#This Row],[Result]]-Games[[#This Row],[ExpectedWin%]])</f>
        <v>-14.929147761806764</v>
      </c>
      <c r="AB272" s="4">
        <f>Games[[#This Row],[PreGmRate]]+Games[[#This Row],[RatingChange]]</f>
        <v>1443.7117585165367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46199</v>
      </c>
      <c r="B273" s="2">
        <v>2026</v>
      </c>
      <c r="C273" s="2">
        <f>COUNTIFS(Games[Team],Games[[#This Row],[Team]],Games[Season],Games[[#This Row],[Season]],Games[Date],"&lt;=" &amp; Games[[#This Row],[Date]])</f>
        <v>19</v>
      </c>
      <c r="D273" s="2" t="s">
        <v>79</v>
      </c>
      <c r="E273" s="2" t="s">
        <v>80</v>
      </c>
      <c r="F273" s="1" t="s">
        <v>74</v>
      </c>
      <c r="G273" s="1" t="s">
        <v>65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2</v>
      </c>
      <c r="L273" s="2">
        <f>Games[[#This Row],[OppDaysOff]]-Games[[#This Row],[DaysOff]]</f>
        <v>-2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1336.1989008458129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1458.6409062783434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0.49073027120779128</v>
      </c>
      <c r="R273" s="1">
        <v>68</v>
      </c>
      <c r="S273" s="1">
        <v>57</v>
      </c>
      <c r="T273" s="1">
        <v>0</v>
      </c>
      <c r="U273" s="1">
        <f>Games[[#This Row],[PointsFor]]-Games[[#This Row],[PointsAgainst]]</f>
        <v>11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0.3991125222436725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73.150000000000006</v>
      </c>
      <c r="Z273" s="4">
        <f>Games[[#This Row],[K]]*Games[[#This Row],[POMult]]</f>
        <v>73.150000000000006</v>
      </c>
      <c r="AA273" s="4">
        <f>(Games[[#This Row],[Keff]]*Games[[#This Row],[MOVMult]])*(Games[[#This Row],[Result]]-Games[[#This Row],[ExpectedWin%]])</f>
        <v>14.868170984018585</v>
      </c>
      <c r="AB273" s="4">
        <f>Games[[#This Row],[PreGmRate]]+Games[[#This Row],[RatingChange]]</f>
        <v>1351.0670718298315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46199</v>
      </c>
      <c r="B274" s="2">
        <v>2026</v>
      </c>
      <c r="C274" s="2">
        <f>COUNTIFS(Games[Team],Games[[#This Row],[Team]],Games[Season],Games[[#This Row],[Season]],Games[Date],"&lt;=" &amp; Games[[#This Row],[Date]])</f>
        <v>18</v>
      </c>
      <c r="D274" s="2" t="s">
        <v>79</v>
      </c>
      <c r="E274" s="2" t="s">
        <v>80</v>
      </c>
      <c r="F274" s="1" t="s">
        <v>77</v>
      </c>
      <c r="G274" s="1" t="s">
        <v>87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1619.3550733733025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1571.2460507728601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0.44853168134026195</v>
      </c>
      <c r="R274" s="1">
        <v>75</v>
      </c>
      <c r="S274" s="1">
        <v>78</v>
      </c>
      <c r="T274" s="1">
        <v>0</v>
      </c>
      <c r="U274" s="1">
        <f>Games[[#This Row],[PointsFor]]-Games[[#This Row],[PointsAgainst]]</f>
        <v>-3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0.27899824375352306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73.3</v>
      </c>
      <c r="Z274" s="4">
        <f>Games[[#This Row],[K]]*Games[[#This Row],[POMult]]</f>
        <v>73.3</v>
      </c>
      <c r="AA274" s="4">
        <f>(Games[[#This Row],[Keff]]*Games[[#This Row],[MOVMult]])*(Games[[#This Row],[Result]]-Games[[#This Row],[ExpectedWin%]])</f>
        <v>-9.1727291148161232</v>
      </c>
      <c r="AB274" s="4">
        <f>Games[[#This Row],[PreGmRate]]+Games[[#This Row],[RatingChange]]</f>
        <v>1610.1823442584864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46199</v>
      </c>
      <c r="B275" s="2">
        <v>2026</v>
      </c>
      <c r="C275" s="2">
        <f>COUNTIFS(Games[Team],Games[[#This Row],[Team]],Games[Season],Games[[#This Row],[Season]],Games[Date],"&lt;=" &amp; Games[[#This Row],[Date]])</f>
        <v>19</v>
      </c>
      <c r="D275" s="2" t="s">
        <v>79</v>
      </c>
      <c r="E275" s="2" t="s">
        <v>80</v>
      </c>
      <c r="F275" s="1" t="s">
        <v>87</v>
      </c>
      <c r="G275" s="1" t="s">
        <v>77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1571.2460507728601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1619.3550733733025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0.55146831865973811</v>
      </c>
      <c r="R275" s="1">
        <v>78</v>
      </c>
      <c r="S275" s="1">
        <v>75</v>
      </c>
      <c r="T275" s="1">
        <v>0</v>
      </c>
      <c r="U275" s="1">
        <f>Games[[#This Row],[PointsFor]]-Games[[#This Row],[PointsAgainst]]</f>
        <v>3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0.27899824375352306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73.150000000000006</v>
      </c>
      <c r="Z275" s="4">
        <f>Games[[#This Row],[K]]*Games[[#This Row],[POMult]]</f>
        <v>73.150000000000006</v>
      </c>
      <c r="AA275" s="4">
        <f>(Games[[#This Row],[Keff]]*Games[[#This Row],[MOVMult]])*(Games[[#This Row],[Result]]-Games[[#This Row],[ExpectedWin%]])</f>
        <v>9.1539581821118592</v>
      </c>
      <c r="AB275" s="4">
        <f>Games[[#This Row],[PreGmRate]]+Games[[#This Row],[RatingChange]]</f>
        <v>1580.400008954972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46200</v>
      </c>
      <c r="B276" s="2">
        <v>2026</v>
      </c>
      <c r="C276" s="2">
        <f>COUNTIFS(Games[Team],Games[[#This Row],[Team]],Games[Season],Games[[#This Row],[Season]],Games[Date],"&lt;=" &amp; Games[[#This Row],[Date]])</f>
        <v>18</v>
      </c>
      <c r="D276" s="2" t="s">
        <v>79</v>
      </c>
      <c r="E276" s="2" t="s">
        <v>80</v>
      </c>
      <c r="F276" s="1" t="s">
        <v>63</v>
      </c>
      <c r="G276" s="1" t="s">
        <v>69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-1</v>
      </c>
      <c r="L276" s="2">
        <f>Games[[#This Row],[OppDaysOff]]-Games[[#This Row],[DaysOff]]</f>
        <v>1</v>
      </c>
      <c r="M276" s="1">
        <f>MAX(-16, MIN(16, Games[[#This Row],[RestDiff]]*8))</f>
        <v>-8</v>
      </c>
      <c r="N276" s="1">
        <f>MAX(-16, MIN(16, Games[[#This Row],[OppRestDiff]]*8))</f>
        <v>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1454.6523167112243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1537.1852155396448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0.25908229070930999</v>
      </c>
      <c r="R276" s="1">
        <v>87</v>
      </c>
      <c r="S276" s="1">
        <v>111</v>
      </c>
      <c r="T276" s="1">
        <v>0</v>
      </c>
      <c r="U276" s="1">
        <f>Games[[#This Row],[PointsFor]]-Games[[#This Row],[PointsAgainst]]</f>
        <v>-24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0.5879904663861969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73.3</v>
      </c>
      <c r="Z276" s="4">
        <f>Games[[#This Row],[K]]*Games[[#This Row],[POMult]]</f>
        <v>73.3</v>
      </c>
      <c r="AA276" s="4">
        <f>(Games[[#This Row],[Keff]]*Games[[#This Row],[MOVMult]])*(Games[[#This Row],[Result]]-Games[[#This Row],[ExpectedWin%]])</f>
        <v>-11.166369312183686</v>
      </c>
      <c r="AB276" s="4">
        <f>Games[[#This Row],[PreGmRate]]+Games[[#This Row],[RatingChange]]</f>
        <v>1443.4859473990407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46200</v>
      </c>
      <c r="B277" s="2">
        <v>2026</v>
      </c>
      <c r="C277" s="2">
        <f>COUNTIFS(Games[Team],Games[[#This Row],[Team]],Games[Season],Games[[#This Row],[Season]],Games[Date],"&lt;=" &amp; Games[[#This Row],[Date]])</f>
        <v>19</v>
      </c>
      <c r="D277" s="2" t="s">
        <v>79</v>
      </c>
      <c r="E277" s="2" t="s">
        <v>80</v>
      </c>
      <c r="F277" s="1" t="s">
        <v>69</v>
      </c>
      <c r="G277" s="1" t="s">
        <v>63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1</v>
      </c>
      <c r="L277" s="2">
        <f>Games[[#This Row],[OppDaysOff]]-Games[[#This Row],[DaysOff]]</f>
        <v>-1</v>
      </c>
      <c r="M277" s="1">
        <f>MAX(-16, MIN(16, Games[[#This Row],[RestDiff]]*8))</f>
        <v>8</v>
      </c>
      <c r="N277" s="1">
        <f>MAX(-16, MIN(16, Games[[#This Row],[OppRestDiff]]*8))</f>
        <v>-8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1537.1852155396448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1454.6523167112243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0.74091770929069001</v>
      </c>
      <c r="R277" s="1">
        <v>111</v>
      </c>
      <c r="S277" s="1">
        <v>87</v>
      </c>
      <c r="T277" s="1">
        <v>0</v>
      </c>
      <c r="U277" s="1">
        <f>Games[[#This Row],[PointsFor]]-Games[[#This Row],[PointsAgainst]]</f>
        <v>24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0.5879904663861969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73.150000000000006</v>
      </c>
      <c r="Z277" s="4">
        <f>Games[[#This Row],[K]]*Games[[#This Row],[POMult]]</f>
        <v>73.150000000000006</v>
      </c>
      <c r="AA277" s="4">
        <f>(Games[[#This Row],[Keff]]*Games[[#This Row],[MOVMult]])*(Games[[#This Row],[Result]]-Games[[#This Row],[ExpectedWin%]])</f>
        <v>11.143518624641702</v>
      </c>
      <c r="AB277" s="4">
        <f>Games[[#This Row],[PreGmRate]]+Games[[#This Row],[RatingChange]]</f>
        <v>1548.3287341642865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46200</v>
      </c>
      <c r="B278" s="2">
        <v>2026</v>
      </c>
      <c r="C278" s="2">
        <f>COUNTIFS(Games[Team],Games[[#This Row],[Team]],Games[Season],Games[[#This Row],[Season]],Games[Date],"&lt;=" &amp; Games[[#This Row],[Date]])</f>
        <v>19</v>
      </c>
      <c r="D278" s="2" t="s">
        <v>79</v>
      </c>
      <c r="E278" s="2" t="s">
        <v>80</v>
      </c>
      <c r="F278" s="1" t="s">
        <v>77</v>
      </c>
      <c r="G278" s="1" t="s">
        <v>71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1610.1823442584864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1380.2132371823584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0.67877814639894551</v>
      </c>
      <c r="R278" s="1">
        <v>90</v>
      </c>
      <c r="S278" s="1">
        <v>105</v>
      </c>
      <c r="T278" s="1">
        <v>0</v>
      </c>
      <c r="U278" s="1">
        <f>Games[[#This Row],[PointsFor]]-Games[[#This Row],[PointsAgainst]]</f>
        <v>-15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0.4219794893949354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73.150000000000006</v>
      </c>
      <c r="Z278" s="4">
        <f>Games[[#This Row],[K]]*Games[[#This Row],[POMult]]</f>
        <v>73.150000000000006</v>
      </c>
      <c r="AA278" s="4">
        <f>(Games[[#This Row],[Keff]]*Games[[#This Row],[MOVMult]])*(Games[[#This Row],[Result]]-Games[[#This Row],[ExpectedWin%]])</f>
        <v>-20.952387829324827</v>
      </c>
      <c r="AB278" s="4">
        <f>Games[[#This Row],[PreGmRate]]+Games[[#This Row],[RatingChange]]</f>
        <v>1589.2299564291616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46200</v>
      </c>
      <c r="B279" s="2">
        <v>2026</v>
      </c>
      <c r="C279" s="2">
        <f>COUNTIFS(Games[Team],Games[[#This Row],[Team]],Games[Season],Games[[#This Row],[Season]],Games[Date],"&lt;=" &amp; Games[[#This Row],[Date]])</f>
        <v>20</v>
      </c>
      <c r="D279" s="2" t="s">
        <v>79</v>
      </c>
      <c r="E279" s="2" t="s">
        <v>80</v>
      </c>
      <c r="F279" s="1" t="s">
        <v>71</v>
      </c>
      <c r="G279" s="1" t="s">
        <v>77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1380.2132371823584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1610.1823442584864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0.32122185360105449</v>
      </c>
      <c r="R279" s="1">
        <v>105</v>
      </c>
      <c r="S279" s="1">
        <v>90</v>
      </c>
      <c r="T279" s="1">
        <v>0</v>
      </c>
      <c r="U279" s="1">
        <f>Games[[#This Row],[PointsFor]]-Games[[#This Row],[PointsAgainst]]</f>
        <v>15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0.4219794893949354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</v>
      </c>
      <c r="Z279" s="4">
        <f>Games[[#This Row],[K]]*Games[[#This Row],[POMult]]</f>
        <v>73</v>
      </c>
      <c r="AA279" s="4">
        <f>(Games[[#This Row],[Keff]]*Games[[#This Row],[MOVMult]])*(Games[[#This Row],[Result]]-Games[[#This Row],[ExpectedWin%]])</f>
        <v>20.909423260980347</v>
      </c>
      <c r="AB279" s="4">
        <f>Games[[#This Row],[PreGmRate]]+Games[[#This Row],[RatingChange]]</f>
        <v>1401.1226604433386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46200</v>
      </c>
      <c r="B280" s="2">
        <v>2026</v>
      </c>
      <c r="C280" s="2">
        <f>COUNTIFS(Games[Team],Games[[#This Row],[Team]],Games[Season],Games[[#This Row],[Season]],Games[Date],"&lt;=" &amp; Games[[#This Row],[Date]])</f>
        <v>20</v>
      </c>
      <c r="D280" s="2" t="s">
        <v>79</v>
      </c>
      <c r="E280" s="2" t="s">
        <v>80</v>
      </c>
      <c r="F280" s="1" t="s">
        <v>40</v>
      </c>
      <c r="G280" s="1" t="s">
        <v>90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1459.7634728977048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1492.3668962844349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0.35913513958097587</v>
      </c>
      <c r="R280" s="1">
        <v>89</v>
      </c>
      <c r="S280" s="1">
        <v>80</v>
      </c>
      <c r="T280" s="1">
        <v>0</v>
      </c>
      <c r="U280" s="1">
        <f>Games[[#This Row],[PointsFor]]-Games[[#This Row],[PointsAgainst]]</f>
        <v>9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0.39523323019673523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73</v>
      </c>
      <c r="Z280" s="4">
        <f>Games[[#This Row],[K]]*Games[[#This Row],[POMult]]</f>
        <v>73</v>
      </c>
      <c r="AA280" s="4">
        <f>(Games[[#This Row],[Keff]]*Games[[#This Row],[MOVMult]])*(Games[[#This Row],[Result]]-Games[[#This Row],[ExpectedWin%]])</f>
        <v>18.490249489918327</v>
      </c>
      <c r="AB280" s="4">
        <f>Games[[#This Row],[PreGmRate]]+Games[[#This Row],[RatingChange]]</f>
        <v>1478.2537223876232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46200</v>
      </c>
      <c r="B281" s="2">
        <v>2026</v>
      </c>
      <c r="C281" s="2">
        <f>COUNTIFS(Games[Team],Games[[#This Row],[Team]],Games[Season],Games[[#This Row],[Season]],Games[Date],"&lt;=" &amp; Games[[#This Row],[Date]])</f>
        <v>19</v>
      </c>
      <c r="D281" s="2" t="s">
        <v>79</v>
      </c>
      <c r="E281" s="2" t="s">
        <v>80</v>
      </c>
      <c r="F281" s="1" t="s">
        <v>90</v>
      </c>
      <c r="G281" s="1" t="s">
        <v>40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1492.3668962844349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1459.7634728977048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0.64086486041902413</v>
      </c>
      <c r="R281" s="1">
        <v>80</v>
      </c>
      <c r="S281" s="1">
        <v>89</v>
      </c>
      <c r="T281" s="1">
        <v>0</v>
      </c>
      <c r="U281" s="1">
        <f>Games[[#This Row],[PointsFor]]-Games[[#This Row],[PointsAgainst]]</f>
        <v>-9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0.39523323019673523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73.150000000000006</v>
      </c>
      <c r="Z281" s="4">
        <f>Games[[#This Row],[K]]*Games[[#This Row],[POMult]]</f>
        <v>73.150000000000006</v>
      </c>
      <c r="AA281" s="4">
        <f>(Games[[#This Row],[Keff]]*Games[[#This Row],[MOVMult]])*(Games[[#This Row],[Result]]-Games[[#This Row],[ExpectedWin%]])</f>
        <v>-18.528243153253776</v>
      </c>
      <c r="AB281" s="4">
        <f>Games[[#This Row],[PreGmRate]]+Games[[#This Row],[RatingChange]]</f>
        <v>1473.8386531311812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46201</v>
      </c>
      <c r="B282" s="2">
        <v>2026</v>
      </c>
      <c r="C282" s="2">
        <f>COUNTIFS(Games[Team],Games[[#This Row],[Team]],Games[Season],Games[[#This Row],[Season]],Games[Date],"&lt;=" &amp; Games[[#This Row],[Date]])</f>
        <v>19</v>
      </c>
      <c r="D282" s="2" t="s">
        <v>79</v>
      </c>
      <c r="E282" s="2" t="s">
        <v>80</v>
      </c>
      <c r="F282" s="1" t="s">
        <v>85</v>
      </c>
      <c r="G282" s="1" t="s">
        <v>75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1</v>
      </c>
      <c r="L282" s="2">
        <f>Games[[#This Row],[OppDaysOff]]-Games[[#This Row],[DaysOff]]</f>
        <v>-1</v>
      </c>
      <c r="M282" s="1">
        <f>MAX(-16, MIN(16, Games[[#This Row],[RestDiff]]*8))</f>
        <v>8</v>
      </c>
      <c r="N282" s="1">
        <f>MAX(-16, MIN(16, Games[[#This Row],[OppRestDiff]]*8))</f>
        <v>-8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1638.8468368435438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1386.4336523005925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0.74299000633352397</v>
      </c>
      <c r="R282" s="1">
        <v>107</v>
      </c>
      <c r="S282" s="1">
        <v>99</v>
      </c>
      <c r="T282" s="1">
        <v>0</v>
      </c>
      <c r="U282" s="1">
        <f>Games[[#This Row],[PointsFor]]-Games[[#This Row],[PointsAgainst]]</f>
        <v>8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0.3208306334331727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73.150000000000006</v>
      </c>
      <c r="Z282" s="4">
        <f>Games[[#This Row],[K]]*Games[[#This Row],[POMult]]</f>
        <v>73.150000000000006</v>
      </c>
      <c r="AA282" s="4">
        <f>(Games[[#This Row],[Keff]]*Games[[#This Row],[MOVMult]])*(Games[[#This Row],[Result]]-Games[[#This Row],[ExpectedWin%]])</f>
        <v>6.0317060737269994</v>
      </c>
      <c r="AB282" s="4">
        <f>Games[[#This Row],[PreGmRate]]+Games[[#This Row],[RatingChange]]</f>
        <v>1644.8785429172708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46201</v>
      </c>
      <c r="B283" s="2">
        <v>2026</v>
      </c>
      <c r="C283" s="2">
        <f>COUNTIFS(Games[Team],Games[[#This Row],[Team]],Games[Season],Games[[#This Row],[Season]],Games[Date],"&lt;=" &amp; Games[[#This Row],[Date]])</f>
        <v>19</v>
      </c>
      <c r="D283" s="2" t="s">
        <v>79</v>
      </c>
      <c r="E283" s="2" t="s">
        <v>80</v>
      </c>
      <c r="F283" s="1" t="s">
        <v>75</v>
      </c>
      <c r="G283" s="1" t="s">
        <v>85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-1</v>
      </c>
      <c r="L283" s="2">
        <f>Games[[#This Row],[OppDaysOff]]-Games[[#This Row],[DaysOff]]</f>
        <v>1</v>
      </c>
      <c r="M283" s="1">
        <f>MAX(-16, MIN(16, Games[[#This Row],[RestDiff]]*8))</f>
        <v>-8</v>
      </c>
      <c r="N283" s="1">
        <f>MAX(-16, MIN(16, Games[[#This Row],[OppRestDiff]]*8))</f>
        <v>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1386.4336523005925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1638.8468368435438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0.25700999366647603</v>
      </c>
      <c r="R283" s="1">
        <v>99</v>
      </c>
      <c r="S283" s="1">
        <v>107</v>
      </c>
      <c r="T283" s="1">
        <v>0</v>
      </c>
      <c r="U283" s="1">
        <f>Games[[#This Row],[PointsFor]]-Games[[#This Row],[PointsAgainst]]</f>
        <v>-8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0.3208306334331727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73.150000000000006</v>
      </c>
      <c r="Z283" s="4">
        <f>Games[[#This Row],[K]]*Games[[#This Row],[POMult]]</f>
        <v>73.150000000000006</v>
      </c>
      <c r="AA283" s="4">
        <f>(Games[[#This Row],[Keff]]*Games[[#This Row],[MOVMult]])*(Games[[#This Row],[Result]]-Games[[#This Row],[ExpectedWin%]])</f>
        <v>-6.0317060737269994</v>
      </c>
      <c r="AB283" s="4">
        <f>Games[[#This Row],[PreGmRate]]+Games[[#This Row],[RatingChange]]</f>
        <v>1380.4019462268654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46201</v>
      </c>
      <c r="B284" s="2">
        <v>2026</v>
      </c>
      <c r="C284" s="2">
        <f>COUNTIFS(Games[Team],Games[[#This Row],[Team]],Games[Season],Games[[#This Row],[Season]],Games[Date],"&lt;=" &amp; Games[[#This Row],[Date]])</f>
        <v>19</v>
      </c>
      <c r="D284" s="2" t="s">
        <v>79</v>
      </c>
      <c r="E284" s="2" t="s">
        <v>80</v>
      </c>
      <c r="F284" s="1" t="s">
        <v>67</v>
      </c>
      <c r="G284" s="1" t="s">
        <v>84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1</v>
      </c>
      <c r="L284" s="2">
        <f>Games[[#This Row],[OppDaysOff]]-Games[[#This Row],[DaysOff]]</f>
        <v>-1</v>
      </c>
      <c r="M284" s="1">
        <f>MAX(-16, MIN(16, Games[[#This Row],[RestDiff]]*8))</f>
        <v>8</v>
      </c>
      <c r="N284" s="1">
        <f>MAX(-16, MIN(16, Games[[#This Row],[OppRestDiff]]*8))</f>
        <v>-8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1673.3170471988315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1520.083124607449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0.62025857781931948</v>
      </c>
      <c r="R284" s="1">
        <v>85</v>
      </c>
      <c r="S284" s="1">
        <v>77</v>
      </c>
      <c r="T284" s="1">
        <v>0</v>
      </c>
      <c r="U284" s="1">
        <f>Games[[#This Row],[PointsFor]]-Games[[#This Row],[PointsAgainst]]</f>
        <v>8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0.34434448784085925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73.150000000000006</v>
      </c>
      <c r="Z284" s="4">
        <f>Games[[#This Row],[K]]*Games[[#This Row],[POMult]]</f>
        <v>73.150000000000006</v>
      </c>
      <c r="AA284" s="4">
        <f>(Games[[#This Row],[Keff]]*Games[[#This Row],[MOVMult]])*(Games[[#This Row],[Result]]-Games[[#This Row],[ExpectedWin%]])</f>
        <v>9.5652304637218286</v>
      </c>
      <c r="AB284" s="4">
        <f>Games[[#This Row],[PreGmRate]]+Games[[#This Row],[RatingChange]]</f>
        <v>1682.8822776625532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46201</v>
      </c>
      <c r="B285" s="2">
        <v>2026</v>
      </c>
      <c r="C285" s="2">
        <f>COUNTIFS(Games[Team],Games[[#This Row],[Team]],Games[Season],Games[[#This Row],[Season]],Games[Date],"&lt;=" &amp; Games[[#This Row],[Date]])</f>
        <v>19</v>
      </c>
      <c r="D285" s="2" t="s">
        <v>79</v>
      </c>
      <c r="E285" s="2" t="s">
        <v>80</v>
      </c>
      <c r="F285" s="1" t="s">
        <v>84</v>
      </c>
      <c r="G285" s="1" t="s">
        <v>67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5" s="2">
        <f>Games[[#This Row],[DaysOff]]-Games[[#This Row],[OppDaysOff]]</f>
        <v>-1</v>
      </c>
      <c r="L285" s="2">
        <f>Games[[#This Row],[OppDaysOff]]-Games[[#This Row],[DaysOff]]</f>
        <v>1</v>
      </c>
      <c r="M285" s="1">
        <f>MAX(-16, MIN(16, Games[[#This Row],[RestDiff]]*8))</f>
        <v>-8</v>
      </c>
      <c r="N285" s="1">
        <f>MAX(-16, MIN(16, Games[[#This Row],[OppRestDiff]]*8))</f>
        <v>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1520.083124607449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1673.3170471988315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0.37974142218068052</v>
      </c>
      <c r="R285" s="1">
        <v>77</v>
      </c>
      <c r="S285" s="1">
        <v>85</v>
      </c>
      <c r="T285" s="1">
        <v>0</v>
      </c>
      <c r="U285" s="1">
        <f>Games[[#This Row],[PointsFor]]-Games[[#This Row],[PointsAgainst]]</f>
        <v>-8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0.34434448784085925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73.150000000000006</v>
      </c>
      <c r="Z285" s="4">
        <f>Games[[#This Row],[K]]*Games[[#This Row],[POMult]]</f>
        <v>73.150000000000006</v>
      </c>
      <c r="AA285" s="4">
        <f>(Games[[#This Row],[Keff]]*Games[[#This Row],[MOVMult]])*(Games[[#This Row],[Result]]-Games[[#This Row],[ExpectedWin%]])</f>
        <v>-9.5652304637218286</v>
      </c>
      <c r="AB285" s="4">
        <f>Games[[#This Row],[PreGmRate]]+Games[[#This Row],[RatingChange]]</f>
        <v>1510.5178941437273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46201</v>
      </c>
      <c r="B286" s="2">
        <v>2026</v>
      </c>
      <c r="C286" s="2">
        <f>COUNTIFS(Games[Team],Games[[#This Row],[Team]],Games[Season],Games[[#This Row],[Season]],Games[Date],"&lt;=" &amp; Games[[#This Row],[Date]])</f>
        <v>20</v>
      </c>
      <c r="D286" s="2" t="s">
        <v>79</v>
      </c>
      <c r="E286" s="2" t="s">
        <v>80</v>
      </c>
      <c r="F286" s="1" t="s">
        <v>60</v>
      </c>
      <c r="G286" s="1" t="s">
        <v>87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1567.333260815481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1580.400008954972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0.38540762221527419</v>
      </c>
      <c r="R286" s="1">
        <v>67</v>
      </c>
      <c r="S286" s="1">
        <v>76</v>
      </c>
      <c r="T286" s="1">
        <v>0</v>
      </c>
      <c r="U286" s="1">
        <f>Games[[#This Row],[PointsFor]]-Games[[#This Row],[PointsAgainst]]</f>
        <v>-9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0.40159853802263484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73</v>
      </c>
      <c r="Z286" s="4">
        <f>Games[[#This Row],[K]]*Games[[#This Row],[POMult]]</f>
        <v>73</v>
      </c>
      <c r="AA286" s="4">
        <f>(Games[[#This Row],[Keff]]*Games[[#This Row],[MOVMult]])*(Games[[#This Row],[Result]]-Games[[#This Row],[ExpectedWin%]])</f>
        <v>-11.298877046583687</v>
      </c>
      <c r="AB286" s="4">
        <f>Games[[#This Row],[PreGmRate]]+Games[[#This Row],[RatingChange]]</f>
        <v>1556.0343837688974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46201</v>
      </c>
      <c r="B287" s="2">
        <v>2026</v>
      </c>
      <c r="C287" s="2">
        <f>COUNTIFS(Games[Team],Games[[#This Row],[Team]],Games[Season],Games[[#This Row],[Season]],Games[Date],"&lt;=" &amp; Games[[#This Row],[Date]])</f>
        <v>20</v>
      </c>
      <c r="D287" s="2" t="s">
        <v>79</v>
      </c>
      <c r="E287" s="2" t="s">
        <v>80</v>
      </c>
      <c r="F287" s="1" t="s">
        <v>87</v>
      </c>
      <c r="G287" s="1" t="s">
        <v>60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1580.400008954972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1567.333260815481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0.61459237778472575</v>
      </c>
      <c r="R287" s="1">
        <v>76</v>
      </c>
      <c r="S287" s="1">
        <v>67</v>
      </c>
      <c r="T287" s="1">
        <v>0</v>
      </c>
      <c r="U287" s="1">
        <f>Games[[#This Row],[PointsFor]]-Games[[#This Row],[PointsAgainst]]</f>
        <v>9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0.40159853802263484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</v>
      </c>
      <c r="Z287" s="4">
        <f>Games[[#This Row],[K]]*Games[[#This Row],[POMult]]</f>
        <v>73</v>
      </c>
      <c r="AA287" s="4">
        <f>(Games[[#This Row],[Keff]]*Games[[#This Row],[MOVMult]])*(Games[[#This Row],[Result]]-Games[[#This Row],[ExpectedWin%]])</f>
        <v>11.298877046583689</v>
      </c>
      <c r="AB287" s="4">
        <f>Games[[#This Row],[PreGmRate]]+Games[[#This Row],[RatingChange]]</f>
        <v>1591.6988860015556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46201</v>
      </c>
      <c r="B288" s="2">
        <v>2026</v>
      </c>
      <c r="C288" s="2">
        <f>COUNTIFS(Games[Team],Games[[#This Row],[Team]],Games[Season],Games[[#This Row],[Season]],Games[Date],"&lt;=" &amp; Games[[#This Row],[Date]])</f>
        <v>20</v>
      </c>
      <c r="D288" s="2" t="s">
        <v>79</v>
      </c>
      <c r="E288" s="2" t="s">
        <v>80</v>
      </c>
      <c r="F288" s="1" t="s">
        <v>89</v>
      </c>
      <c r="G288" s="1" t="s">
        <v>65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1404.7172874727346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1443.7117585165367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0.33003802347048383</v>
      </c>
      <c r="R288" s="1">
        <v>123</v>
      </c>
      <c r="S288" s="1">
        <v>124</v>
      </c>
      <c r="T288" s="1">
        <v>1</v>
      </c>
      <c r="U288" s="1">
        <f>Games[[#This Row],[PointsFor]]-Games[[#This Row],[PointsAgainst]]</f>
        <v>-1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0.21284521505600315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</v>
      </c>
      <c r="Z288" s="4">
        <f>Games[[#This Row],[K]]*Games[[#This Row],[POMult]]</f>
        <v>73</v>
      </c>
      <c r="AA288" s="4">
        <f>(Games[[#This Row],[Keff]]*Games[[#This Row],[MOVMult]])*(Games[[#This Row],[Result]]-Games[[#This Row],[ExpectedWin%]])</f>
        <v>-5.1280320280030347</v>
      </c>
      <c r="AB288" s="4">
        <f>Games[[#This Row],[PreGmRate]]+Games[[#This Row],[RatingChange]]</f>
        <v>1399.5892554447316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46201</v>
      </c>
      <c r="B289" s="2">
        <v>2026</v>
      </c>
      <c r="C289" s="2">
        <f>COUNTIFS(Games[Team],Games[[#This Row],[Team]],Games[Season],Games[[#This Row],[Season]],Games[Date],"&lt;=" &amp; Games[[#This Row],[Date]])</f>
        <v>18</v>
      </c>
      <c r="D289" s="2" t="s">
        <v>79</v>
      </c>
      <c r="E289" s="2" t="s">
        <v>80</v>
      </c>
      <c r="F289" s="1" t="s">
        <v>65</v>
      </c>
      <c r="G289" s="1" t="s">
        <v>89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1443.7117585165367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1404.7172874727346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0.66996197652951617</v>
      </c>
      <c r="R289" s="1">
        <v>124</v>
      </c>
      <c r="S289" s="1">
        <v>123</v>
      </c>
      <c r="T289" s="1">
        <v>1</v>
      </c>
      <c r="U289" s="1">
        <f>Games[[#This Row],[PointsFor]]-Games[[#This Row],[PointsAgainst]]</f>
        <v>1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0.21284521505600315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73.3</v>
      </c>
      <c r="Z289" s="4">
        <f>Games[[#This Row],[K]]*Games[[#This Row],[POMult]]</f>
        <v>73.3</v>
      </c>
      <c r="AA289" s="4">
        <f>(Games[[#This Row],[Keff]]*Games[[#This Row],[MOVMult]])*(Games[[#This Row],[Result]]-Games[[#This Row],[ExpectedWin%]])</f>
        <v>5.1491061322277041</v>
      </c>
      <c r="AB289" s="4">
        <f>Games[[#This Row],[PreGmRate]]+Games[[#This Row],[RatingChange]]</f>
        <v>1448.8608646487644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46205</v>
      </c>
      <c r="B290" s="2">
        <v>2026</v>
      </c>
      <c r="C290" s="2">
        <f>COUNTIFS(Games[Team],Games[[#This Row],[Team]],Games[Season],Games[[#This Row],[Season]],Games[Date],"&lt;=" &amp; Games[[#This Row],[Date]])</f>
        <v>20</v>
      </c>
      <c r="D290" s="2" t="s">
        <v>79</v>
      </c>
      <c r="E290" s="2" t="s">
        <v>80</v>
      </c>
      <c r="F290" s="1" t="s">
        <v>84</v>
      </c>
      <c r="G290" s="1" t="s">
        <v>74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1510.5178941437273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1351.0670718298315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0.5622067848305955</v>
      </c>
      <c r="R290" s="1">
        <v>86</v>
      </c>
      <c r="S290" s="1">
        <v>83</v>
      </c>
      <c r="T290" s="1">
        <v>0</v>
      </c>
      <c r="U290" s="1">
        <f>Games[[#This Row],[PointsFor]]-Games[[#This Row],[PointsAgainst]]</f>
        <v>3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0.2561477175950731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73</v>
      </c>
      <c r="Z290" s="4">
        <f>Games[[#This Row],[K]]*Games[[#This Row],[POMult]]</f>
        <v>73</v>
      </c>
      <c r="AA290" s="4">
        <f>(Games[[#This Row],[Keff]]*Games[[#This Row],[MOVMult]])*(Games[[#This Row],[Result]]-Games[[#This Row],[ExpectedWin%]])</f>
        <v>8.1862004976303737</v>
      </c>
      <c r="AB290" s="4">
        <f>Games[[#This Row],[PreGmRate]]+Games[[#This Row],[RatingChange]]</f>
        <v>1518.7040946413576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46205</v>
      </c>
      <c r="B291" s="2">
        <v>2026</v>
      </c>
      <c r="C291" s="2">
        <f>COUNTIFS(Games[Team],Games[[#This Row],[Team]],Games[Season],Games[[#This Row],[Season]],Games[Date],"&lt;=" &amp; Games[[#This Row],[Date]])</f>
        <v>20</v>
      </c>
      <c r="D291" s="2" t="s">
        <v>79</v>
      </c>
      <c r="E291" s="2" t="s">
        <v>80</v>
      </c>
      <c r="F291" s="1" t="s">
        <v>74</v>
      </c>
      <c r="G291" s="1" t="s">
        <v>84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1351.0670718298315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1510.5178941437273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0.43779321516940445</v>
      </c>
      <c r="R291" s="1">
        <v>83</v>
      </c>
      <c r="S291" s="1">
        <v>86</v>
      </c>
      <c r="T291" s="1">
        <v>0</v>
      </c>
      <c r="U291" s="1">
        <f>Games[[#This Row],[PointsFor]]-Games[[#This Row],[PointsAgainst]]</f>
        <v>-3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0.2561477175950731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73</v>
      </c>
      <c r="Z291" s="4">
        <f>Games[[#This Row],[K]]*Games[[#This Row],[POMult]]</f>
        <v>73</v>
      </c>
      <c r="AA291" s="4">
        <f>(Games[[#This Row],[Keff]]*Games[[#This Row],[MOVMult]])*(Games[[#This Row],[Result]]-Games[[#This Row],[ExpectedWin%]])</f>
        <v>-8.1862004976303719</v>
      </c>
      <c r="AB291" s="4">
        <f>Games[[#This Row],[PreGmRate]]+Games[[#This Row],[RatingChange]]</f>
        <v>1342.8808713322012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46205</v>
      </c>
      <c r="B292" s="2">
        <v>2026</v>
      </c>
      <c r="C292" s="2">
        <f>COUNTIFS(Games[Team],Games[[#This Row],[Team]],Games[Season],Games[[#This Row],[Season]],Games[Date],"&lt;=" &amp; Games[[#This Row],[Date]])</f>
        <v>21</v>
      </c>
      <c r="D292" s="2" t="s">
        <v>79</v>
      </c>
      <c r="E292" s="2" t="s">
        <v>80</v>
      </c>
      <c r="F292" s="1" t="s">
        <v>71</v>
      </c>
      <c r="G292" s="1" t="s">
        <v>40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1401.1226604433386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1478.2537223876232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0.28342305562361547</v>
      </c>
      <c r="R292" s="1">
        <v>67</v>
      </c>
      <c r="S292" s="1">
        <v>90</v>
      </c>
      <c r="T292" s="1">
        <v>0</v>
      </c>
      <c r="U292" s="1">
        <f>Games[[#This Row],[PointsFor]]-Games[[#This Row],[PointsAgainst]]</f>
        <v>-23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0.57817505585541495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72.849999999999994</v>
      </c>
      <c r="Z292" s="4">
        <f>Games[[#This Row],[K]]*Games[[#This Row],[POMult]]</f>
        <v>72.849999999999994</v>
      </c>
      <c r="AA292" s="4">
        <f>(Games[[#This Row],[Keff]]*Games[[#This Row],[MOVMult]])*(Games[[#This Row],[Result]]-Games[[#This Row],[ExpectedWin%]])</f>
        <v>-11.937794073008041</v>
      </c>
      <c r="AB292" s="4">
        <f>Games[[#This Row],[PreGmRate]]+Games[[#This Row],[RatingChange]]</f>
        <v>1389.1848663703306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46205</v>
      </c>
      <c r="B293" s="2">
        <v>2026</v>
      </c>
      <c r="C293" s="2">
        <f>COUNTIFS(Games[Team],Games[[#This Row],[Team]],Games[Season],Games[[#This Row],[Season]],Games[Date],"&lt;=" &amp; Games[[#This Row],[Date]])</f>
        <v>21</v>
      </c>
      <c r="D293" s="2" t="s">
        <v>79</v>
      </c>
      <c r="E293" s="2" t="s">
        <v>80</v>
      </c>
      <c r="F293" s="1" t="s">
        <v>40</v>
      </c>
      <c r="G293" s="1" t="s">
        <v>71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1478.2537223876232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1401.1226604433386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0.71657694437638453</v>
      </c>
      <c r="R293" s="1">
        <v>90</v>
      </c>
      <c r="S293" s="1">
        <v>67</v>
      </c>
      <c r="T293" s="1">
        <v>0</v>
      </c>
      <c r="U293" s="1">
        <f>Games[[#This Row],[PointsFor]]-Games[[#This Row],[PointsAgainst]]</f>
        <v>23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0.57817505585541495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72.849999999999994</v>
      </c>
      <c r="Z293" s="4">
        <f>Games[[#This Row],[K]]*Games[[#This Row],[POMult]]</f>
        <v>72.849999999999994</v>
      </c>
      <c r="AA293" s="4">
        <f>(Games[[#This Row],[Keff]]*Games[[#This Row],[MOVMult]])*(Games[[#This Row],[Result]]-Games[[#This Row],[ExpectedWin%]])</f>
        <v>11.937794073008041</v>
      </c>
      <c r="AB293" s="4">
        <f>Games[[#This Row],[PreGmRate]]+Games[[#This Row],[RatingChange]]</f>
        <v>1490.1915164606312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46205</v>
      </c>
      <c r="B294" s="2">
        <v>2026</v>
      </c>
      <c r="C294" s="2">
        <f>COUNTIFS(Games[Team],Games[[#This Row],[Team]],Games[Season],Games[[#This Row],[Season]],Games[Date],"&lt;=" &amp; Games[[#This Row],[Date]])</f>
        <v>20</v>
      </c>
      <c r="D294" s="2" t="s">
        <v>79</v>
      </c>
      <c r="E294" s="2" t="s">
        <v>80</v>
      </c>
      <c r="F294" s="1" t="s">
        <v>77</v>
      </c>
      <c r="G294" s="1" t="s">
        <v>65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4" s="2">
        <f>Games[[#This Row],[DaysOff]]-Games[[#This Row],[OppDaysOff]]</f>
        <v>1</v>
      </c>
      <c r="L294" s="2">
        <f>Games[[#This Row],[OppDaysOff]]-Games[[#This Row],[DaysOff]]</f>
        <v>-1</v>
      </c>
      <c r="M294" s="1">
        <f>MAX(-16, MIN(16, Games[[#This Row],[RestDiff]]*8))</f>
        <v>8</v>
      </c>
      <c r="N294" s="1">
        <f>MAX(-16, MIN(16, Games[[#This Row],[OppRestDiff]]*8))</f>
        <v>-8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1589.2299564291616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1448.8608646487644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0.6026669747291471</v>
      </c>
      <c r="R294" s="1">
        <v>76</v>
      </c>
      <c r="S294" s="1">
        <v>81</v>
      </c>
      <c r="T294" s="1">
        <v>0</v>
      </c>
      <c r="U294" s="1">
        <f>Games[[#This Row],[PointsFor]]-Games[[#This Row],[PointsAgainst]]</f>
        <v>-5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0.29701309362833483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73</v>
      </c>
      <c r="Z294" s="4">
        <f>Games[[#This Row],[K]]*Games[[#This Row],[POMult]]</f>
        <v>73</v>
      </c>
      <c r="AA294" s="4">
        <f>(Games[[#This Row],[Keff]]*Games[[#This Row],[MOVMult]])*(Games[[#This Row],[Result]]-Games[[#This Row],[ExpectedWin%]])</f>
        <v>-13.066998729211143</v>
      </c>
      <c r="AB294" s="4">
        <f>Games[[#This Row],[PreGmRate]]+Games[[#This Row],[RatingChange]]</f>
        <v>1576.1629576999505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46205</v>
      </c>
      <c r="B295" s="2">
        <v>2026</v>
      </c>
      <c r="C295" s="2">
        <f>COUNTIFS(Games[Team],Games[[#This Row],[Team]],Games[Season],Games[[#This Row],[Season]],Games[Date],"&lt;=" &amp; Games[[#This Row],[Date]])</f>
        <v>19</v>
      </c>
      <c r="D295" s="2" t="s">
        <v>79</v>
      </c>
      <c r="E295" s="2" t="s">
        <v>80</v>
      </c>
      <c r="F295" s="1" t="s">
        <v>65</v>
      </c>
      <c r="G295" s="1" t="s">
        <v>77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5" s="2">
        <f>Games[[#This Row],[DaysOff]]-Games[[#This Row],[OppDaysOff]]</f>
        <v>-1</v>
      </c>
      <c r="L295" s="2">
        <f>Games[[#This Row],[OppDaysOff]]-Games[[#This Row],[DaysOff]]</f>
        <v>1</v>
      </c>
      <c r="M295" s="1">
        <f>MAX(-16, MIN(16, Games[[#This Row],[RestDiff]]*8))</f>
        <v>-8</v>
      </c>
      <c r="N295" s="1">
        <f>MAX(-16, MIN(16, Games[[#This Row],[OppRestDiff]]*8))</f>
        <v>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1448.8608646487644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1589.2299564291616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0.39733302527085296</v>
      </c>
      <c r="R295" s="1">
        <v>81</v>
      </c>
      <c r="S295" s="1">
        <v>76</v>
      </c>
      <c r="T295" s="1">
        <v>0</v>
      </c>
      <c r="U295" s="1">
        <f>Games[[#This Row],[PointsFor]]-Games[[#This Row],[PointsAgainst]]</f>
        <v>5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0.29701309362833483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73.150000000000006</v>
      </c>
      <c r="Z295" s="4">
        <f>Games[[#This Row],[K]]*Games[[#This Row],[POMult]]</f>
        <v>73.150000000000006</v>
      </c>
      <c r="AA295" s="4">
        <f>(Games[[#This Row],[Keff]]*Games[[#This Row],[MOVMult]])*(Games[[#This Row],[Result]]-Games[[#This Row],[ExpectedWin%]])</f>
        <v>13.093848726599935</v>
      </c>
      <c r="AB295" s="4">
        <f>Games[[#This Row],[PreGmRate]]+Games[[#This Row],[RatingChange]]</f>
        <v>1461.9547133753642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46206</v>
      </c>
      <c r="B296" s="2">
        <v>2026</v>
      </c>
      <c r="C296" s="2">
        <f>COUNTIFS(Games[Team],Games[[#This Row],[Team]],Games[Season],Games[[#This Row],[Season]],Games[Date],"&lt;=" &amp; Games[[#This Row],[Date]])</f>
        <v>20</v>
      </c>
      <c r="D296" s="2" t="s">
        <v>79</v>
      </c>
      <c r="E296" s="2" t="s">
        <v>80</v>
      </c>
      <c r="F296" s="1" t="s">
        <v>75</v>
      </c>
      <c r="G296" s="1" t="s">
        <v>85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1380.4019462268654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1644.8785429172708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0.11857517790725688</v>
      </c>
      <c r="R296" s="1">
        <v>90</v>
      </c>
      <c r="S296" s="1">
        <v>98</v>
      </c>
      <c r="T296" s="1">
        <v>1</v>
      </c>
      <c r="U296" s="1">
        <f>Games[[#This Row],[PointsFor]]-Games[[#This Row],[PointsAgainst]]</f>
        <v>-8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0.2863690541392136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73</v>
      </c>
      <c r="Z296" s="4">
        <f>Games[[#This Row],[K]]*Games[[#This Row],[POMult]]</f>
        <v>73</v>
      </c>
      <c r="AA296" s="4">
        <f>(Games[[#This Row],[Keff]]*Games[[#This Row],[MOVMult]])*(Games[[#This Row],[Result]]-Games[[#This Row],[ExpectedWin%]])</f>
        <v>-2.4788070925433798</v>
      </c>
      <c r="AB296" s="4">
        <f>Games[[#This Row],[PreGmRate]]+Games[[#This Row],[RatingChange]]</f>
        <v>1377.9231391343221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46206</v>
      </c>
      <c r="B297" s="2">
        <v>2026</v>
      </c>
      <c r="C297" s="2">
        <f>COUNTIFS(Games[Team],Games[[#This Row],[Team]],Games[Season],Games[[#This Row],[Season]],Games[Date],"&lt;=" &amp; Games[[#This Row],[Date]])</f>
        <v>20</v>
      </c>
      <c r="D297" s="2" t="s">
        <v>79</v>
      </c>
      <c r="E297" s="2" t="s">
        <v>80</v>
      </c>
      <c r="F297" s="1" t="s">
        <v>85</v>
      </c>
      <c r="G297" s="1" t="s">
        <v>75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1644.8785429172708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1380.4019462268654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0.88142482209274309</v>
      </c>
      <c r="R297" s="1">
        <v>98</v>
      </c>
      <c r="S297" s="1">
        <v>90</v>
      </c>
      <c r="T297" s="1">
        <v>1</v>
      </c>
      <c r="U297" s="1">
        <f>Games[[#This Row],[PointsFor]]-Games[[#This Row],[PointsAgainst]]</f>
        <v>8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0.2863690541392136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73</v>
      </c>
      <c r="Z297" s="4">
        <f>Games[[#This Row],[K]]*Games[[#This Row],[POMult]]</f>
        <v>73</v>
      </c>
      <c r="AA297" s="4">
        <f>(Games[[#This Row],[Keff]]*Games[[#This Row],[MOVMult]])*(Games[[#This Row],[Result]]-Games[[#This Row],[ExpectedWin%]])</f>
        <v>2.4788070925433803</v>
      </c>
      <c r="AB297" s="4">
        <f>Games[[#This Row],[PreGmRate]]+Games[[#This Row],[RatingChange]]</f>
        <v>1647.3573500098141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46206</v>
      </c>
      <c r="B298" s="2">
        <v>2026</v>
      </c>
      <c r="C298" s="2">
        <f>COUNTIFS(Games[Team],Games[[#This Row],[Team]],Games[Season],Games[[#This Row],[Season]],Games[Date],"&lt;=" &amp; Games[[#This Row],[Date]])</f>
        <v>20</v>
      </c>
      <c r="D298" s="2" t="s">
        <v>79</v>
      </c>
      <c r="E298" s="2" t="s">
        <v>80</v>
      </c>
      <c r="F298" s="1" t="s">
        <v>67</v>
      </c>
      <c r="G298" s="1" t="s">
        <v>60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1682.8822776625532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1556.0343837688974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0.56135234811516477</v>
      </c>
      <c r="R298" s="1">
        <v>86</v>
      </c>
      <c r="S298" s="1">
        <v>99</v>
      </c>
      <c r="T298" s="1">
        <v>0</v>
      </c>
      <c r="U298" s="1">
        <f>Games[[#This Row],[PointsFor]]-Games[[#This Row],[PointsAgainst]]</f>
        <v>-13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0.42691593315544063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73</v>
      </c>
      <c r="Z298" s="4">
        <f>Games[[#This Row],[K]]*Games[[#This Row],[POMult]]</f>
        <v>73</v>
      </c>
      <c r="AA298" s="4">
        <f>(Games[[#This Row],[Keff]]*Games[[#This Row],[MOVMult]])*(Games[[#This Row],[Result]]-Games[[#This Row],[ExpectedWin%]])</f>
        <v>-17.494469091294583</v>
      </c>
      <c r="AB298" s="4">
        <f>Games[[#This Row],[PreGmRate]]+Games[[#This Row],[RatingChange]]</f>
        <v>1665.3878085712586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46206</v>
      </c>
      <c r="B299" s="2">
        <v>2026</v>
      </c>
      <c r="C299" s="2">
        <f>COUNTIFS(Games[Team],Games[[#This Row],[Team]],Games[Season],Games[[#This Row],[Season]],Games[Date],"&lt;=" &amp; Games[[#This Row],[Date]])</f>
        <v>21</v>
      </c>
      <c r="D299" s="2" t="s">
        <v>79</v>
      </c>
      <c r="E299" s="2" t="s">
        <v>80</v>
      </c>
      <c r="F299" s="1" t="s">
        <v>60</v>
      </c>
      <c r="G299" s="1" t="s">
        <v>67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1556.0343837688974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1682.8822776625532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0.43864765188483518</v>
      </c>
      <c r="R299" s="1">
        <v>99</v>
      </c>
      <c r="S299" s="1">
        <v>86</v>
      </c>
      <c r="T299" s="1">
        <v>0</v>
      </c>
      <c r="U299" s="1">
        <f>Games[[#This Row],[PointsFor]]-Games[[#This Row],[PointsAgainst]]</f>
        <v>13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0.42691593315544063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72.849999999999994</v>
      </c>
      <c r="Z299" s="4">
        <f>Games[[#This Row],[K]]*Games[[#This Row],[POMult]]</f>
        <v>72.849999999999994</v>
      </c>
      <c r="AA299" s="4">
        <f>(Games[[#This Row],[Keff]]*Games[[#This Row],[MOVMult]])*(Games[[#This Row],[Result]]-Games[[#This Row],[ExpectedWin%]])</f>
        <v>17.458521552065893</v>
      </c>
      <c r="AB299" s="4">
        <f>Games[[#This Row],[PreGmRate]]+Games[[#This Row],[RatingChange]]</f>
        <v>1573.4929053209632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46207</v>
      </c>
      <c r="B300" s="2">
        <v>2026</v>
      </c>
      <c r="C300" s="2">
        <f>COUNTIFS(Games[Team],Games[[#This Row],[Team]],Games[Season],Games[[#This Row],[Season]],Games[Date],"&lt;=" &amp; Games[[#This Row],[Date]])</f>
        <v>21</v>
      </c>
      <c r="D300" s="2" t="s">
        <v>79</v>
      </c>
      <c r="E300" s="2" t="s">
        <v>80</v>
      </c>
      <c r="F300" s="1" t="s">
        <v>87</v>
      </c>
      <c r="G300" s="1" t="s">
        <v>77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4</v>
      </c>
      <c r="L300" s="2">
        <f>Games[[#This Row],[OppDaysOff]]-Games[[#This Row],[DaysOff]]</f>
        <v>-4</v>
      </c>
      <c r="M300" s="1">
        <f>MAX(-16, MIN(16, Games[[#This Row],[RestDiff]]*8))</f>
        <v>16</v>
      </c>
      <c r="N300" s="1">
        <f>MAX(-16, MIN(16, Games[[#This Row],[OppRestDiff]]*8))</f>
        <v>-16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1591.6988860015556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1576.1629576999505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0.44771581061679128</v>
      </c>
      <c r="R300" s="1">
        <v>88</v>
      </c>
      <c r="S300" s="1">
        <v>83</v>
      </c>
      <c r="T300" s="1">
        <v>0</v>
      </c>
      <c r="U300" s="1">
        <f>Games[[#This Row],[PointsFor]]-Games[[#This Row],[PointsAgainst]]</f>
        <v>5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0.32751575768702157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72.849999999999994</v>
      </c>
      <c r="Z300" s="4">
        <f>Games[[#This Row],[K]]*Games[[#This Row],[POMult]]</f>
        <v>72.849999999999994</v>
      </c>
      <c r="AA300" s="4">
        <f>(Games[[#This Row],[Keff]]*Games[[#This Row],[MOVMult]])*(Games[[#This Row],[Result]]-Games[[#This Row],[ExpectedWin%]])</f>
        <v>13.177237290129838</v>
      </c>
      <c r="AB300" s="4">
        <f>Games[[#This Row],[PreGmRate]]+Games[[#This Row],[RatingChange]]</f>
        <v>1604.8761232916854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46207</v>
      </c>
      <c r="B301" s="2">
        <v>2026</v>
      </c>
      <c r="C301" s="2">
        <f>COUNTIFS(Games[Team],Games[[#This Row],[Team]],Games[Season],Games[[#This Row],[Season]],Games[Date],"&lt;=" &amp; Games[[#This Row],[Date]])</f>
        <v>21</v>
      </c>
      <c r="D301" s="2" t="s">
        <v>79</v>
      </c>
      <c r="E301" s="2" t="s">
        <v>80</v>
      </c>
      <c r="F301" s="1" t="s">
        <v>77</v>
      </c>
      <c r="G301" s="1" t="s">
        <v>87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1" s="2">
        <f>Games[[#This Row],[DaysOff]]-Games[[#This Row],[OppDaysOff]]</f>
        <v>-4</v>
      </c>
      <c r="L301" s="2">
        <f>Games[[#This Row],[OppDaysOff]]-Games[[#This Row],[DaysOff]]</f>
        <v>4</v>
      </c>
      <c r="M301" s="1">
        <f>MAX(-16, MIN(16, Games[[#This Row],[RestDiff]]*8))</f>
        <v>-16</v>
      </c>
      <c r="N301" s="1">
        <f>MAX(-16, MIN(16, Games[[#This Row],[OppRestDiff]]*8))</f>
        <v>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1576.1629576999505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1591.6988860015556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0.55228418938320878</v>
      </c>
      <c r="R301" s="1">
        <v>83</v>
      </c>
      <c r="S301" s="1">
        <v>88</v>
      </c>
      <c r="T301" s="1">
        <v>0</v>
      </c>
      <c r="U301" s="1">
        <f>Games[[#This Row],[PointsFor]]-Games[[#This Row],[PointsAgainst]]</f>
        <v>-5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0.32751575768702157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72.849999999999994</v>
      </c>
      <c r="Z301" s="4">
        <f>Games[[#This Row],[K]]*Games[[#This Row],[POMult]]</f>
        <v>72.849999999999994</v>
      </c>
      <c r="AA301" s="4">
        <f>(Games[[#This Row],[Keff]]*Games[[#This Row],[MOVMult]])*(Games[[#This Row],[Result]]-Games[[#This Row],[ExpectedWin%]])</f>
        <v>-13.177237290129842</v>
      </c>
      <c r="AB301" s="4">
        <f>Games[[#This Row],[PreGmRate]]+Games[[#This Row],[RatingChange]]</f>
        <v>1562.9857204098207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46207</v>
      </c>
      <c r="B302" s="2">
        <v>2026</v>
      </c>
      <c r="C302" s="2">
        <f>COUNTIFS(Games[Team],Games[[#This Row],[Team]],Games[Season],Games[[#This Row],[Season]],Games[Date],"&lt;=" &amp; Games[[#This Row],[Date]])</f>
        <v>21</v>
      </c>
      <c r="D302" s="2" t="s">
        <v>79</v>
      </c>
      <c r="E302" s="2" t="s">
        <v>80</v>
      </c>
      <c r="F302" s="1" t="s">
        <v>89</v>
      </c>
      <c r="G302" s="1" t="s">
        <v>71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4</v>
      </c>
      <c r="L302" s="2">
        <f>Games[[#This Row],[OppDaysOff]]-Games[[#This Row],[DaysOff]]</f>
        <v>-4</v>
      </c>
      <c r="M302" s="1">
        <f>MAX(-16, MIN(16, Games[[#This Row],[RestDiff]]*8))</f>
        <v>16</v>
      </c>
      <c r="N302" s="1">
        <f>MAX(-16, MIN(16, Games[[#This Row],[OppRestDiff]]*8))</f>
        <v>-16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1399.5892554447316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1389.1848663703306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0.44042347523012398</v>
      </c>
      <c r="R302" s="1">
        <v>77</v>
      </c>
      <c r="S302" s="1">
        <v>72</v>
      </c>
      <c r="T302" s="1">
        <v>0</v>
      </c>
      <c r="U302" s="1">
        <f>Games[[#This Row],[PointsFor]]-Games[[#This Row],[PointsAgainst]]</f>
        <v>5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0.32890426881046814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72.849999999999994</v>
      </c>
      <c r="Z302" s="4">
        <f>Games[[#This Row],[K]]*Games[[#This Row],[POMult]]</f>
        <v>72.849999999999994</v>
      </c>
      <c r="AA302" s="4">
        <f>(Games[[#This Row],[Keff]]*Games[[#This Row],[MOVMult]])*(Games[[#This Row],[Result]]-Games[[#This Row],[ExpectedWin%]])</f>
        <v>13.407831797616097</v>
      </c>
      <c r="AB302" s="4">
        <f>Games[[#This Row],[PreGmRate]]+Games[[#This Row],[RatingChange]]</f>
        <v>1412.9970872423478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46207</v>
      </c>
      <c r="B303" s="2">
        <v>2026</v>
      </c>
      <c r="C303" s="2">
        <f>COUNTIFS(Games[Team],Games[[#This Row],[Team]],Games[Season],Games[[#This Row],[Season]],Games[Date],"&lt;=" &amp; Games[[#This Row],[Date]])</f>
        <v>22</v>
      </c>
      <c r="D303" s="2" t="s">
        <v>79</v>
      </c>
      <c r="E303" s="2" t="s">
        <v>80</v>
      </c>
      <c r="F303" s="1" t="s">
        <v>71</v>
      </c>
      <c r="G303" s="1" t="s">
        <v>89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3" s="2">
        <f>Games[[#This Row],[DaysOff]]-Games[[#This Row],[OppDaysOff]]</f>
        <v>-4</v>
      </c>
      <c r="L303" s="2">
        <f>Games[[#This Row],[OppDaysOff]]-Games[[#This Row],[DaysOff]]</f>
        <v>4</v>
      </c>
      <c r="M303" s="1">
        <f>MAX(-16, MIN(16, Games[[#This Row],[RestDiff]]*8))</f>
        <v>-16</v>
      </c>
      <c r="N303" s="1">
        <f>MAX(-16, MIN(16, Games[[#This Row],[OppRestDiff]]*8))</f>
        <v>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1389.1848663703306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1399.5892554447316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0.55957652476987607</v>
      </c>
      <c r="R303" s="1">
        <v>72</v>
      </c>
      <c r="S303" s="1">
        <v>77</v>
      </c>
      <c r="T303" s="1">
        <v>0</v>
      </c>
      <c r="U303" s="1">
        <f>Games[[#This Row],[PointsFor]]-Games[[#This Row],[PointsAgainst]]</f>
        <v>-5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0.32890426881046814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72.7</v>
      </c>
      <c r="Z303" s="4">
        <f>Games[[#This Row],[K]]*Games[[#This Row],[POMult]]</f>
        <v>72.7</v>
      </c>
      <c r="AA303" s="4">
        <f>(Games[[#This Row],[Keff]]*Games[[#This Row],[MOVMult]])*(Games[[#This Row],[Result]]-Games[[#This Row],[ExpectedWin%]])</f>
        <v>-13.380224731457657</v>
      </c>
      <c r="AB303" s="4">
        <f>Games[[#This Row],[PreGmRate]]+Games[[#This Row],[RatingChange]]</f>
        <v>1375.8046416388729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46208</v>
      </c>
      <c r="B304" s="2">
        <v>2026</v>
      </c>
      <c r="C304" s="2">
        <f>COUNTIFS(Games[Team],Games[[#This Row],[Team]],Games[Season],Games[[#This Row],[Season]],Games[Date],"&lt;=" &amp; Games[[#This Row],[Date]])</f>
        <v>20</v>
      </c>
      <c r="D304" s="2" t="s">
        <v>79</v>
      </c>
      <c r="E304" s="2" t="s">
        <v>80</v>
      </c>
      <c r="F304" s="1" t="s">
        <v>69</v>
      </c>
      <c r="G304" s="1" t="s">
        <v>85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7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6</v>
      </c>
      <c r="L304" s="2">
        <f>Games[[#This Row],[OppDaysOff]]-Games[[#This Row],[DaysOff]]</f>
        <v>-6</v>
      </c>
      <c r="M304" s="1">
        <f>MAX(-16, MIN(16, Games[[#This Row],[RestDiff]]*8))</f>
        <v>16</v>
      </c>
      <c r="N304" s="1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1548.3287341642865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1647.3573500098141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0.29538112156567597</v>
      </c>
      <c r="R304" s="1">
        <v>84</v>
      </c>
      <c r="S304" s="1">
        <v>68</v>
      </c>
      <c r="T304" s="1">
        <v>0</v>
      </c>
      <c r="U304" s="1">
        <f>Games[[#This Row],[PointsFor]]-Games[[#This Row],[PointsAgainst]]</f>
        <v>16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0.47831374240485591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73</v>
      </c>
      <c r="Z304" s="4">
        <f>Games[[#This Row],[K]]*Games[[#This Row],[POMult]]</f>
        <v>73</v>
      </c>
      <c r="AA304" s="4">
        <f>(Games[[#This Row],[Keff]]*Games[[#This Row],[MOVMult]])*(Games[[#This Row],[Result]]-Games[[#This Row],[ExpectedWin%]])</f>
        <v>24.603109168051464</v>
      </c>
      <c r="AB304" s="4">
        <f>Games[[#This Row],[PreGmRate]]+Games[[#This Row],[RatingChange]]</f>
        <v>1572.9318433323381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46208</v>
      </c>
      <c r="B305" s="2">
        <v>2026</v>
      </c>
      <c r="C305" s="2">
        <f>COUNTIFS(Games[Team],Games[[#This Row],[Team]],Games[Season],Games[[#This Row],[Season]],Games[Date],"&lt;=" &amp; Games[[#This Row],[Date]])</f>
        <v>21</v>
      </c>
      <c r="D305" s="2" t="s">
        <v>79</v>
      </c>
      <c r="E305" s="2" t="s">
        <v>80</v>
      </c>
      <c r="F305" s="1" t="s">
        <v>85</v>
      </c>
      <c r="G305" s="1" t="s">
        <v>69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05" s="2">
        <f>Games[[#This Row],[DaysOff]]-Games[[#This Row],[OppDaysOff]]</f>
        <v>-6</v>
      </c>
      <c r="L305" s="2">
        <f>Games[[#This Row],[OppDaysOff]]-Games[[#This Row],[DaysOff]]</f>
        <v>6</v>
      </c>
      <c r="M305" s="1">
        <f>MAX(-16, MIN(16, Games[[#This Row],[RestDiff]]*8))</f>
        <v>-16</v>
      </c>
      <c r="N305" s="1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1647.3573500098141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1548.3287341642865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0.70461887843432403</v>
      </c>
      <c r="R305" s="1">
        <v>68</v>
      </c>
      <c r="S305" s="1">
        <v>84</v>
      </c>
      <c r="T305" s="1">
        <v>0</v>
      </c>
      <c r="U305" s="1">
        <f>Games[[#This Row],[PointsFor]]-Games[[#This Row],[PointsAgainst]]</f>
        <v>-16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0.47831374240485591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72.849999999999994</v>
      </c>
      <c r="Z305" s="4">
        <f>Games[[#This Row],[K]]*Games[[#This Row],[POMult]]</f>
        <v>72.849999999999994</v>
      </c>
      <c r="AA305" s="4">
        <f>(Games[[#This Row],[Keff]]*Games[[#This Row],[MOVMult]])*(Games[[#This Row],[Result]]-Games[[#This Row],[ExpectedWin%]])</f>
        <v>-24.552554834144505</v>
      </c>
      <c r="AB305" s="4">
        <f>Games[[#This Row],[PreGmRate]]+Games[[#This Row],[RatingChange]]</f>
        <v>1622.8047951756696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46208</v>
      </c>
      <c r="B306" s="2">
        <v>2026</v>
      </c>
      <c r="C306" s="2">
        <f>COUNTIFS(Games[Team],Games[[#This Row],[Team]],Games[Season],Games[[#This Row],[Season]],Games[Date],"&lt;=" &amp; Games[[#This Row],[Date]])</f>
        <v>21</v>
      </c>
      <c r="D306" s="2" t="s">
        <v>79</v>
      </c>
      <c r="E306" s="2" t="s">
        <v>80</v>
      </c>
      <c r="F306" s="1" t="s">
        <v>84</v>
      </c>
      <c r="G306" s="1" t="s">
        <v>90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06" s="2">
        <f>Games[[#This Row],[DaysOff]]-Games[[#This Row],[OppDaysOff]]</f>
        <v>-5</v>
      </c>
      <c r="L306" s="2">
        <f>Games[[#This Row],[OppDaysOff]]-Games[[#This Row],[DaysOff]]</f>
        <v>5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1518.7040946413576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1473.8386531311812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0.39903599022851505</v>
      </c>
      <c r="R306" s="1">
        <v>89</v>
      </c>
      <c r="S306" s="1">
        <v>76</v>
      </c>
      <c r="T306" s="1">
        <v>0</v>
      </c>
      <c r="U306" s="1">
        <f>Games[[#This Row],[PointsFor]]-Games[[#This Row],[PointsAgainst]]</f>
        <v>13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0.45503111251105488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72.849999999999994</v>
      </c>
      <c r="Z306" s="4">
        <f>Games[[#This Row],[K]]*Games[[#This Row],[POMult]]</f>
        <v>72.849999999999994</v>
      </c>
      <c r="AA306" s="4">
        <f>(Games[[#This Row],[Keff]]*Games[[#This Row],[MOVMult]])*(Games[[#This Row],[Result]]-Games[[#This Row],[ExpectedWin%]])</f>
        <v>19.921365903724084</v>
      </c>
      <c r="AB306" s="4">
        <f>Games[[#This Row],[PreGmRate]]+Games[[#This Row],[RatingChange]]</f>
        <v>1538.6254605450818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46208</v>
      </c>
      <c r="B307" s="2">
        <v>2026</v>
      </c>
      <c r="C307" s="2">
        <f>COUNTIFS(Games[Team],Games[[#This Row],[Team]],Games[Season],Games[[#This Row],[Season]],Games[Date],"&lt;=" &amp; Games[[#This Row],[Date]])</f>
        <v>20</v>
      </c>
      <c r="D307" s="2" t="s">
        <v>79</v>
      </c>
      <c r="E307" s="2" t="s">
        <v>80</v>
      </c>
      <c r="F307" s="1" t="s">
        <v>90</v>
      </c>
      <c r="G307" s="1" t="s">
        <v>84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7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5</v>
      </c>
      <c r="L307" s="2">
        <f>Games[[#This Row],[OppDaysOff]]-Games[[#This Row],[DaysOff]]</f>
        <v>-5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1473.8386531311812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1518.7040946413576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0.6009640097714849</v>
      </c>
      <c r="R307" s="1">
        <v>76</v>
      </c>
      <c r="S307" s="1">
        <v>89</v>
      </c>
      <c r="T307" s="1">
        <v>0</v>
      </c>
      <c r="U307" s="1">
        <f>Games[[#This Row],[PointsFor]]-Games[[#This Row],[PointsAgainst]]</f>
        <v>-13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0.45503111251105488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73</v>
      </c>
      <c r="Z307" s="4">
        <f>Games[[#This Row],[K]]*Games[[#This Row],[POMult]]</f>
        <v>73</v>
      </c>
      <c r="AA307" s="4">
        <f>(Games[[#This Row],[Keff]]*Games[[#This Row],[MOVMult]])*(Games[[#This Row],[Result]]-Games[[#This Row],[ExpectedWin%]])</f>
        <v>-19.962384502015897</v>
      </c>
      <c r="AB307" s="4">
        <f>Games[[#This Row],[PreGmRate]]+Games[[#This Row],[RatingChange]]</f>
        <v>1453.8762686291652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46209</v>
      </c>
      <c r="B308" s="2">
        <v>2026</v>
      </c>
      <c r="C308" s="2">
        <f>COUNTIFS(Games[Team],Games[[#This Row],[Team]],Games[Season],Games[[#This Row],[Season]],Games[Date],"&lt;=" &amp; Games[[#This Row],[Date]])</f>
        <v>23</v>
      </c>
      <c r="D308" s="2" t="s">
        <v>79</v>
      </c>
      <c r="E308" s="2" t="s">
        <v>80</v>
      </c>
      <c r="F308" s="1" t="s">
        <v>71</v>
      </c>
      <c r="G308" s="1" t="s">
        <v>63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08" s="2">
        <f>Games[[#This Row],[DaysOff]]-Games[[#This Row],[OppDaysOff]]</f>
        <v>-7</v>
      </c>
      <c r="L308" s="2">
        <f>Games[[#This Row],[OppDaysOff]]-Games[[#This Row],[DaysOff]]</f>
        <v>7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1375.8046416388729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1443.4859473990407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0.25781532022259135</v>
      </c>
      <c r="R308" s="1">
        <v>82</v>
      </c>
      <c r="S308" s="1">
        <v>64</v>
      </c>
      <c r="T308" s="1">
        <v>0</v>
      </c>
      <c r="U308" s="1">
        <f>Games[[#This Row],[PointsFor]]-Games[[#This Row],[PointsAgainst]]</f>
        <v>18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0.51763855439841278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72.55</v>
      </c>
      <c r="Z308" s="4">
        <f>Games[[#This Row],[K]]*Games[[#This Row],[POMult]]</f>
        <v>72.55</v>
      </c>
      <c r="AA308" s="4">
        <f>(Games[[#This Row],[Keff]]*Games[[#This Row],[MOVMult]])*(Games[[#This Row],[Result]]-Games[[#This Row],[ExpectedWin%]])</f>
        <v>27.872506013642269</v>
      </c>
      <c r="AB308" s="4">
        <f>Games[[#This Row],[PreGmRate]]+Games[[#This Row],[RatingChange]]</f>
        <v>1403.6771476525153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46209</v>
      </c>
      <c r="B309" s="2">
        <v>2026</v>
      </c>
      <c r="C309" s="2">
        <f>COUNTIFS(Games[Team],Games[[#This Row],[Team]],Games[Season],Games[[#This Row],[Season]],Games[Date],"&lt;=" &amp; Games[[#This Row],[Date]])</f>
        <v>19</v>
      </c>
      <c r="D309" s="2" t="s">
        <v>79</v>
      </c>
      <c r="E309" s="2" t="s">
        <v>80</v>
      </c>
      <c r="F309" s="1" t="s">
        <v>63</v>
      </c>
      <c r="G309" s="1" t="s">
        <v>71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8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7</v>
      </c>
      <c r="L309" s="2">
        <f>Games[[#This Row],[OppDaysOff]]-Games[[#This Row],[DaysOff]]</f>
        <v>-7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1443.4859473990407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1375.8046416388729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0.74218467977740865</v>
      </c>
      <c r="R309" s="1">
        <v>64</v>
      </c>
      <c r="S309" s="1">
        <v>82</v>
      </c>
      <c r="T309" s="1">
        <v>0</v>
      </c>
      <c r="U309" s="1">
        <f>Games[[#This Row],[PointsFor]]-Games[[#This Row],[PointsAgainst]]</f>
        <v>-18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0.51763855439841278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73.150000000000006</v>
      </c>
      <c r="Z309" s="4">
        <f>Games[[#This Row],[K]]*Games[[#This Row],[POMult]]</f>
        <v>73.150000000000006</v>
      </c>
      <c r="AA309" s="4">
        <f>(Games[[#This Row],[Keff]]*Games[[#This Row],[MOVMult]])*(Games[[#This Row],[Result]]-Games[[#This Row],[ExpectedWin%]])</f>
        <v>-28.103016056484247</v>
      </c>
      <c r="AB309" s="4">
        <f>Games[[#This Row],[PreGmRate]]+Games[[#This Row],[RatingChange]]</f>
        <v>1415.3829313425565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46209</v>
      </c>
      <c r="B310" s="2">
        <v>2026</v>
      </c>
      <c r="C310" s="2">
        <f>COUNTIFS(Games[Team],Games[[#This Row],[Team]],Games[Season],Games[[#This Row],[Season]],Games[Date],"&lt;=" &amp; Games[[#This Row],[Date]])</f>
        <v>21</v>
      </c>
      <c r="D310" s="2" t="s">
        <v>79</v>
      </c>
      <c r="E310" s="2" t="s">
        <v>80</v>
      </c>
      <c r="F310" s="1" t="s">
        <v>74</v>
      </c>
      <c r="G310" s="1" t="s">
        <v>67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1342.8808713322012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1665.3878085712586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9.5527422730019129E-2</v>
      </c>
      <c r="R310" s="1">
        <v>90</v>
      </c>
      <c r="S310" s="1">
        <v>89</v>
      </c>
      <c r="T310" s="1">
        <v>0</v>
      </c>
      <c r="U310" s="1">
        <f>Games[[#This Row],[PointsFor]]-Games[[#This Row],[PointsAgainst]]</f>
        <v>1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0.19245600659771842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72.849999999999994</v>
      </c>
      <c r="Z310" s="4">
        <f>Games[[#This Row],[K]]*Games[[#This Row],[POMult]]</f>
        <v>72.849999999999994</v>
      </c>
      <c r="AA310" s="4">
        <f>(Games[[#This Row],[Keff]]*Games[[#This Row],[MOVMult]])*(Games[[#This Row],[Result]]-Games[[#This Row],[ExpectedWin%]])</f>
        <v>12.681085484747676</v>
      </c>
      <c r="AB310" s="4">
        <f>Games[[#This Row],[PreGmRate]]+Games[[#This Row],[RatingChange]]</f>
        <v>1355.5619568169489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46209</v>
      </c>
      <c r="B311" s="2">
        <v>2026</v>
      </c>
      <c r="C311" s="2">
        <f>COUNTIFS(Games[Team],Games[[#This Row],[Team]],Games[Season],Games[[#This Row],[Season]],Games[Date],"&lt;=" &amp; Games[[#This Row],[Date]])</f>
        <v>21</v>
      </c>
      <c r="D311" s="2" t="s">
        <v>79</v>
      </c>
      <c r="E311" s="2" t="s">
        <v>80</v>
      </c>
      <c r="F311" s="1" t="s">
        <v>67</v>
      </c>
      <c r="G311" s="1" t="s">
        <v>74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1665.3878085712586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1342.8808713322012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0.90447257726998087</v>
      </c>
      <c r="R311" s="1">
        <v>89</v>
      </c>
      <c r="S311" s="1">
        <v>90</v>
      </c>
      <c r="T311" s="1">
        <v>0</v>
      </c>
      <c r="U311" s="1">
        <f>Games[[#This Row],[PointsFor]]-Games[[#This Row],[PointsAgainst]]</f>
        <v>-1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0.19245600659771842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72.849999999999994</v>
      </c>
      <c r="Z311" s="4">
        <f>Games[[#This Row],[K]]*Games[[#This Row],[POMult]]</f>
        <v>72.849999999999994</v>
      </c>
      <c r="AA311" s="4">
        <f>(Games[[#This Row],[Keff]]*Games[[#This Row],[MOVMult]])*(Games[[#This Row],[Result]]-Games[[#This Row],[ExpectedWin%]])</f>
        <v>-12.681085484747676</v>
      </c>
      <c r="AB311" s="4">
        <f>Games[[#This Row],[PreGmRate]]+Games[[#This Row],[RatingChange]]</f>
        <v>1652.7067230865109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46209</v>
      </c>
      <c r="B312" s="2">
        <v>2026</v>
      </c>
      <c r="C312" s="2">
        <f>COUNTIFS(Games[Team],Games[[#This Row],[Team]],Games[Season],Games[[#This Row],[Season]],Games[Date],"&lt;=" &amp; Games[[#This Row],[Date]])</f>
        <v>22</v>
      </c>
      <c r="D312" s="2" t="s">
        <v>79</v>
      </c>
      <c r="E312" s="2" t="s">
        <v>80</v>
      </c>
      <c r="F312" s="1" t="s">
        <v>87</v>
      </c>
      <c r="G312" s="1" t="s">
        <v>65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1604.8761232916854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1461.9547133753642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0.53866567015838696</v>
      </c>
      <c r="R312" s="1">
        <v>62</v>
      </c>
      <c r="S312" s="1">
        <v>49</v>
      </c>
      <c r="T312" s="1">
        <v>0</v>
      </c>
      <c r="U312" s="1">
        <f>Games[[#This Row],[PointsFor]]-Games[[#This Row],[PointsAgainst]]</f>
        <v>13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0.42180614784616277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72.7</v>
      </c>
      <c r="Z312" s="4">
        <f>Games[[#This Row],[K]]*Games[[#This Row],[POMult]]</f>
        <v>72.7</v>
      </c>
      <c r="AA312" s="4">
        <f>(Games[[#This Row],[Keff]]*Games[[#This Row],[MOVMult]])*(Games[[#This Row],[Result]]-Games[[#This Row],[ExpectedWin%]])</f>
        <v>14.146958830434871</v>
      </c>
      <c r="AB312" s="4">
        <f>Games[[#This Row],[PreGmRate]]+Games[[#This Row],[RatingChange]]</f>
        <v>1619.0230821221203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46209</v>
      </c>
      <c r="B313" s="2">
        <v>2026</v>
      </c>
      <c r="C313" s="2">
        <f>COUNTIFS(Games[Team],Games[[#This Row],[Team]],Games[Season],Games[[#This Row],[Season]],Games[Date],"&lt;=" &amp; Games[[#This Row],[Date]])</f>
        <v>20</v>
      </c>
      <c r="D313" s="2" t="s">
        <v>79</v>
      </c>
      <c r="E313" s="2" t="s">
        <v>80</v>
      </c>
      <c r="F313" s="1" t="s">
        <v>65</v>
      </c>
      <c r="G313" s="1" t="s">
        <v>87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1461.9547133753642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1604.8761232916854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0.46133432984161304</v>
      </c>
      <c r="R313" s="1">
        <v>49</v>
      </c>
      <c r="S313" s="1">
        <v>62</v>
      </c>
      <c r="T313" s="1">
        <v>0</v>
      </c>
      <c r="U313" s="1">
        <f>Games[[#This Row],[PointsFor]]-Games[[#This Row],[PointsAgainst]]</f>
        <v>-13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0.42180614784616277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73</v>
      </c>
      <c r="Z313" s="4">
        <f>Games[[#This Row],[K]]*Games[[#This Row],[POMult]]</f>
        <v>73</v>
      </c>
      <c r="AA313" s="4">
        <f>(Games[[#This Row],[Keff]]*Games[[#This Row],[MOVMult]])*(Games[[#This Row],[Result]]-Games[[#This Row],[ExpectedWin%]])</f>
        <v>-14.205336927396775</v>
      </c>
      <c r="AB313" s="4">
        <f>Games[[#This Row],[PreGmRate]]+Games[[#This Row],[RatingChange]]</f>
        <v>1447.7493764479675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46210</v>
      </c>
      <c r="B314" s="2">
        <v>2026</v>
      </c>
      <c r="C314" s="2">
        <f>COUNTIFS(Games[Team],Games[[#This Row],[Team]],Games[Season],Games[[#This Row],[Season]],Games[Date],"&lt;=" &amp; Games[[#This Row],[Date]])</f>
        <v>22</v>
      </c>
      <c r="D314" s="2" t="s">
        <v>79</v>
      </c>
      <c r="E314" s="2" t="s">
        <v>80</v>
      </c>
      <c r="F314" s="1" t="s">
        <v>84</v>
      </c>
      <c r="G314" s="1" t="s">
        <v>60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4" s="2">
        <f>Games[[#This Row],[DaysOff]]-Games[[#This Row],[OppDaysOff]]</f>
        <v>-2</v>
      </c>
      <c r="L314" s="2">
        <f>Games[[#This Row],[OppDaysOff]]-Games[[#This Row],[DaysOff]]</f>
        <v>2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1538.6254605450818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1573.4929053209632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0.29557425711485208</v>
      </c>
      <c r="R314" s="1">
        <v>88</v>
      </c>
      <c r="S314" s="1">
        <v>77</v>
      </c>
      <c r="T314" s="1">
        <v>0</v>
      </c>
      <c r="U314" s="1">
        <f>Games[[#This Row],[PointsFor]]-Games[[#This Row],[PointsAgainst]]</f>
        <v>11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0.4274168588232154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72.7</v>
      </c>
      <c r="Z314" s="4">
        <f>Games[[#This Row],[K]]*Games[[#This Row],[POMult]]</f>
        <v>72.7</v>
      </c>
      <c r="AA314" s="4">
        <f>(Games[[#This Row],[Keff]]*Games[[#This Row],[MOVMult]])*(Games[[#This Row],[Result]]-Games[[#This Row],[ExpectedWin%]])</f>
        <v>21.888765964277678</v>
      </c>
      <c r="AB314" s="4">
        <f>Games[[#This Row],[PreGmRate]]+Games[[#This Row],[RatingChange]]</f>
        <v>1560.5142265093593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46210</v>
      </c>
      <c r="B315" s="2">
        <v>2026</v>
      </c>
      <c r="C315" s="2">
        <f>COUNTIFS(Games[Team],Games[[#This Row],[Team]],Games[Season],Games[[#This Row],[Season]],Games[Date],"&lt;=" &amp; Games[[#This Row],[Date]])</f>
        <v>22</v>
      </c>
      <c r="D315" s="2" t="s">
        <v>79</v>
      </c>
      <c r="E315" s="2" t="s">
        <v>80</v>
      </c>
      <c r="F315" s="1" t="s">
        <v>60</v>
      </c>
      <c r="G315" s="1" t="s">
        <v>84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2</v>
      </c>
      <c r="L315" s="2">
        <f>Games[[#This Row],[OppDaysOff]]-Games[[#This Row],[DaysOff]]</f>
        <v>-2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1573.4929053209632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1538.6254605450818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0.70442574288514792</v>
      </c>
      <c r="R315" s="1">
        <v>77</v>
      </c>
      <c r="S315" s="1">
        <v>88</v>
      </c>
      <c r="T315" s="1">
        <v>0</v>
      </c>
      <c r="U315" s="1">
        <f>Games[[#This Row],[PointsFor]]-Games[[#This Row],[PointsAgainst]]</f>
        <v>-11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0.4274168588232154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72.7</v>
      </c>
      <c r="Z315" s="4">
        <f>Games[[#This Row],[K]]*Games[[#This Row],[POMult]]</f>
        <v>72.7</v>
      </c>
      <c r="AA315" s="4">
        <f>(Games[[#This Row],[Keff]]*Games[[#This Row],[MOVMult]])*(Games[[#This Row],[Result]]-Games[[#This Row],[ExpectedWin%]])</f>
        <v>-21.888765964277678</v>
      </c>
      <c r="AB315" s="4">
        <f>Games[[#This Row],[PreGmRate]]+Games[[#This Row],[RatingChange]]</f>
        <v>1551.6041393566857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46210</v>
      </c>
      <c r="B316" s="2">
        <v>2026</v>
      </c>
      <c r="C316" s="2">
        <f>COUNTIFS(Games[Team],Games[[#This Row],[Team]],Games[Season],Games[[#This Row],[Season]],Games[Date],"&lt;=" &amp; Games[[#This Row],[Date]])</f>
        <v>21</v>
      </c>
      <c r="D316" s="2" t="s">
        <v>79</v>
      </c>
      <c r="E316" s="2" t="s">
        <v>80</v>
      </c>
      <c r="F316" s="1" t="s">
        <v>75</v>
      </c>
      <c r="G316" s="1" t="s">
        <v>40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6" s="2">
        <f>Games[[#This Row],[DaysOff]]-Games[[#This Row],[OppDaysOff]]</f>
        <v>-1</v>
      </c>
      <c r="L316" s="2">
        <f>Games[[#This Row],[OppDaysOff]]-Games[[#This Row],[DaysOff]]</f>
        <v>1</v>
      </c>
      <c r="M316" s="1">
        <f>MAX(-16, MIN(16, Games[[#This Row],[RestDiff]]*8))</f>
        <v>-8</v>
      </c>
      <c r="N316" s="1">
        <f>MAX(-16, MIN(16, Games[[#This Row],[OppRestDiff]]*8))</f>
        <v>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1377.9231391343221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1490.1915164606312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0.22759962114415033</v>
      </c>
      <c r="R316" s="1">
        <v>77</v>
      </c>
      <c r="S316" s="1">
        <v>66</v>
      </c>
      <c r="T316" s="1">
        <v>0</v>
      </c>
      <c r="U316" s="1">
        <f>Games[[#This Row],[PointsFor]]-Games[[#This Row],[PointsAgainst]]</f>
        <v>11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0.4022067234330024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72.849999999999994</v>
      </c>
      <c r="Z316" s="4">
        <f>Games[[#This Row],[K]]*Games[[#This Row],[POMult]]</f>
        <v>72.849999999999994</v>
      </c>
      <c r="AA316" s="4">
        <f>(Games[[#This Row],[Keff]]*Games[[#This Row],[MOVMult]])*(Games[[#This Row],[Result]]-Games[[#This Row],[ExpectedWin%]])</f>
        <v>22.631917971901828</v>
      </c>
      <c r="AB316" s="4">
        <f>Games[[#This Row],[PreGmRate]]+Games[[#This Row],[RatingChange]]</f>
        <v>1400.555057106224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46210</v>
      </c>
      <c r="B317" s="2">
        <v>2026</v>
      </c>
      <c r="C317" s="2">
        <f>COUNTIFS(Games[Team],Games[[#This Row],[Team]],Games[Season],Games[[#This Row],[Season]],Games[Date],"&lt;=" &amp; Games[[#This Row],[Date]])</f>
        <v>22</v>
      </c>
      <c r="D317" s="2" t="s">
        <v>79</v>
      </c>
      <c r="E317" s="2" t="s">
        <v>80</v>
      </c>
      <c r="F317" s="1" t="s">
        <v>40</v>
      </c>
      <c r="G317" s="1" t="s">
        <v>75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7" s="2">
        <f>Games[[#This Row],[DaysOff]]-Games[[#This Row],[OppDaysOff]]</f>
        <v>1</v>
      </c>
      <c r="L317" s="2">
        <f>Games[[#This Row],[OppDaysOff]]-Games[[#This Row],[DaysOff]]</f>
        <v>-1</v>
      </c>
      <c r="M317" s="1">
        <f>MAX(-16, MIN(16, Games[[#This Row],[RestDiff]]*8))</f>
        <v>8</v>
      </c>
      <c r="N317" s="1">
        <f>MAX(-16, MIN(16, Games[[#This Row],[OppRestDiff]]*8))</f>
        <v>-8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1490.1915164606312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1377.9231391343221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0.77240037885584967</v>
      </c>
      <c r="R317" s="1">
        <v>66</v>
      </c>
      <c r="S317" s="1">
        <v>77</v>
      </c>
      <c r="T317" s="1">
        <v>0</v>
      </c>
      <c r="U317" s="1">
        <f>Games[[#This Row],[PointsFor]]-Games[[#This Row],[PointsAgainst]]</f>
        <v>-11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0.4022067234330024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72.7</v>
      </c>
      <c r="Z317" s="4">
        <f>Games[[#This Row],[K]]*Games[[#This Row],[POMult]]</f>
        <v>72.7</v>
      </c>
      <c r="AA317" s="4">
        <f>(Games[[#This Row],[Keff]]*Games[[#This Row],[MOVMult]])*(Games[[#This Row],[Result]]-Games[[#This Row],[ExpectedWin%]])</f>
        <v>-22.585318278068129</v>
      </c>
      <c r="AB317" s="4">
        <f>Games[[#This Row],[PreGmRate]]+Games[[#This Row],[RatingChange]]</f>
        <v>1467.606198182563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46211</v>
      </c>
      <c r="B318" s="2">
        <v>2026</v>
      </c>
      <c r="C318" s="2">
        <f>COUNTIFS(Games[Team],Games[[#This Row],[Team]],Games[Season],Games[[#This Row],[Season]],Games[Date],"&lt;=" &amp; Games[[#This Row],[Date]])</f>
        <v>22</v>
      </c>
      <c r="D318" s="2" t="s">
        <v>79</v>
      </c>
      <c r="E318" s="2" t="s">
        <v>80</v>
      </c>
      <c r="F318" s="1" t="s">
        <v>67</v>
      </c>
      <c r="G318" s="1" t="s">
        <v>74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1652.7067230865109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1355.5619568169489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0.77328604341904106</v>
      </c>
      <c r="R318" s="1">
        <v>86</v>
      </c>
      <c r="S318" s="1">
        <v>80</v>
      </c>
      <c r="T318" s="1">
        <v>0</v>
      </c>
      <c r="U318" s="1">
        <f>Games[[#This Row],[PointsFor]]-Games[[#This Row],[PointsAgainst]]</f>
        <v>6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0.28156055633787119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72.7</v>
      </c>
      <c r="Z318" s="4">
        <f>Games[[#This Row],[K]]*Games[[#This Row],[POMult]]</f>
        <v>72.7</v>
      </c>
      <c r="AA318" s="4">
        <f>(Games[[#This Row],[Keff]]*Games[[#This Row],[MOVMult]])*(Games[[#This Row],[Result]]-Games[[#This Row],[ExpectedWin%]])</f>
        <v>4.6407105530247694</v>
      </c>
      <c r="AB318" s="4">
        <f>Games[[#This Row],[PreGmRate]]+Games[[#This Row],[RatingChange]]</f>
        <v>1657.3474336395357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46211</v>
      </c>
      <c r="B319" s="2">
        <v>2026</v>
      </c>
      <c r="C319" s="2">
        <f>COUNTIFS(Games[Team],Games[[#This Row],[Team]],Games[Season],Games[[#This Row],[Season]],Games[Date],"&lt;=" &amp; Games[[#This Row],[Date]])</f>
        <v>22</v>
      </c>
      <c r="D319" s="2" t="s">
        <v>79</v>
      </c>
      <c r="E319" s="2" t="s">
        <v>80</v>
      </c>
      <c r="F319" s="1" t="s">
        <v>74</v>
      </c>
      <c r="G319" s="1" t="s">
        <v>67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1355.5619568169489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1652.7067230865109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0.22671395658095905</v>
      </c>
      <c r="R319" s="1">
        <v>80</v>
      </c>
      <c r="S319" s="1">
        <v>86</v>
      </c>
      <c r="T319" s="1">
        <v>0</v>
      </c>
      <c r="U319" s="1">
        <f>Games[[#This Row],[PointsFor]]-Games[[#This Row],[PointsAgainst]]</f>
        <v>-6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0.28156055633787119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72.7</v>
      </c>
      <c r="Z319" s="4">
        <f>Games[[#This Row],[K]]*Games[[#This Row],[POMult]]</f>
        <v>72.7</v>
      </c>
      <c r="AA319" s="4">
        <f>(Games[[#This Row],[Keff]]*Games[[#This Row],[MOVMult]])*(Games[[#This Row],[Result]]-Games[[#This Row],[ExpectedWin%]])</f>
        <v>-4.6407105530247721</v>
      </c>
      <c r="AB319" s="4">
        <f>Games[[#This Row],[PreGmRate]]+Games[[#This Row],[RatingChange]]</f>
        <v>1350.9212462639241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46211</v>
      </c>
      <c r="B320" s="2">
        <v>2026</v>
      </c>
      <c r="C320" s="2">
        <f>COUNTIFS(Games[Team],Games[[#This Row],[Team]],Games[Season],Games[[#This Row],[Season]],Games[Date],"&lt;=" &amp; Games[[#This Row],[Date]])</f>
        <v>21</v>
      </c>
      <c r="D320" s="2" t="s">
        <v>79</v>
      </c>
      <c r="E320" s="2" t="s">
        <v>80</v>
      </c>
      <c r="F320" s="1" t="s">
        <v>69</v>
      </c>
      <c r="G320" s="1" t="s">
        <v>63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1</v>
      </c>
      <c r="L320" s="2">
        <f>Games[[#This Row],[OppDaysOff]]-Games[[#This Row],[DaysOff]]</f>
        <v>-1</v>
      </c>
      <c r="M320" s="1">
        <f>MAX(-16, MIN(16, Games[[#This Row],[RestDiff]]*8))</f>
        <v>8</v>
      </c>
      <c r="N320" s="1">
        <f>MAX(-16, MIN(16, Games[[#This Row],[OppRestDiff]]*8))</f>
        <v>-8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1572.9318433323381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1415.3829313425565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0.62609139772751066</v>
      </c>
      <c r="R320" s="1">
        <v>92</v>
      </c>
      <c r="S320" s="1">
        <v>106</v>
      </c>
      <c r="T320" s="1">
        <v>0</v>
      </c>
      <c r="U320" s="1">
        <f>Games[[#This Row],[PointsFor]]-Games[[#This Row],[PointsAgainst]]</f>
        <v>-14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0.43101925762902155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72.849999999999994</v>
      </c>
      <c r="Z320" s="4">
        <f>Games[[#This Row],[K]]*Games[[#This Row],[POMult]]</f>
        <v>72.849999999999994</v>
      </c>
      <c r="AA320" s="4">
        <f>(Games[[#This Row],[Keff]]*Games[[#This Row],[MOVMult]])*(Games[[#This Row],[Result]]-Games[[#This Row],[ExpectedWin%]])</f>
        <v>-19.659115192900785</v>
      </c>
      <c r="AB320" s="4">
        <f>Games[[#This Row],[PreGmRate]]+Games[[#This Row],[RatingChange]]</f>
        <v>1553.2727281394373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46211</v>
      </c>
      <c r="B321" s="2">
        <v>2026</v>
      </c>
      <c r="C321" s="2">
        <f>COUNTIFS(Games[Team],Games[[#This Row],[Team]],Games[Season],Games[[#This Row],[Season]],Games[Date],"&lt;=" &amp; Games[[#This Row],[Date]])</f>
        <v>20</v>
      </c>
      <c r="D321" s="2" t="s">
        <v>79</v>
      </c>
      <c r="E321" s="2" t="s">
        <v>80</v>
      </c>
      <c r="F321" s="1" t="s">
        <v>63</v>
      </c>
      <c r="G321" s="1" t="s">
        <v>69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1" s="2">
        <f>Games[[#This Row],[DaysOff]]-Games[[#This Row],[OppDaysOff]]</f>
        <v>-1</v>
      </c>
      <c r="L321" s="2">
        <f>Games[[#This Row],[OppDaysOff]]-Games[[#This Row],[DaysOff]]</f>
        <v>1</v>
      </c>
      <c r="M321" s="1">
        <f>MAX(-16, MIN(16, Games[[#This Row],[RestDiff]]*8))</f>
        <v>-8</v>
      </c>
      <c r="N321" s="1">
        <f>MAX(-16, MIN(16, Games[[#This Row],[OppRestDiff]]*8))</f>
        <v>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1415.3829313425565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1572.9318433323381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0.3739086022724894</v>
      </c>
      <c r="R321" s="1">
        <v>106</v>
      </c>
      <c r="S321" s="1">
        <v>92</v>
      </c>
      <c r="T321" s="1">
        <v>0</v>
      </c>
      <c r="U321" s="1">
        <f>Games[[#This Row],[PointsFor]]-Games[[#This Row],[PointsAgainst]]</f>
        <v>14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0.43101925762902155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73</v>
      </c>
      <c r="Z321" s="4">
        <f>Games[[#This Row],[K]]*Games[[#This Row],[POMult]]</f>
        <v>73</v>
      </c>
      <c r="AA321" s="4">
        <f>(Games[[#This Row],[Keff]]*Games[[#This Row],[MOVMult]])*(Games[[#This Row],[Result]]-Games[[#This Row],[ExpectedWin%]])</f>
        <v>19.699593810319254</v>
      </c>
      <c r="AB321" s="4">
        <f>Games[[#This Row],[PreGmRate]]+Games[[#This Row],[RatingChange]]</f>
        <v>1435.0825251528759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46211</v>
      </c>
      <c r="B322" s="2">
        <v>2026</v>
      </c>
      <c r="C322" s="2">
        <f>COUNTIFS(Games[Team],Games[[#This Row],[Team]],Games[Season],Games[[#This Row],[Season]],Games[Date],"&lt;=" &amp; Games[[#This Row],[Date]])</f>
        <v>23</v>
      </c>
      <c r="D322" s="2" t="s">
        <v>79</v>
      </c>
      <c r="E322" s="2" t="s">
        <v>80</v>
      </c>
      <c r="F322" s="1" t="s">
        <v>87</v>
      </c>
      <c r="G322" s="1" t="s">
        <v>90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2" s="2">
        <f>Games[[#This Row],[DaysOff]]-Games[[#This Row],[OppDaysOff]]</f>
        <v>-1</v>
      </c>
      <c r="L322" s="2">
        <f>Games[[#This Row],[OppDaysOff]]-Games[[#This Row],[DaysOff]]</f>
        <v>1</v>
      </c>
      <c r="M322" s="1">
        <f>MAX(-16, MIN(16, Games[[#This Row],[RestDiff]]*8))</f>
        <v>-8</v>
      </c>
      <c r="N322" s="1">
        <f>MAX(-16, MIN(16, Games[[#This Row],[OppRestDiff]]*8))</f>
        <v>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1619.0230821221203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1453.8762686291652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0.59267027039363152</v>
      </c>
      <c r="R322" s="1">
        <v>83</v>
      </c>
      <c r="S322" s="1">
        <v>75</v>
      </c>
      <c r="T322" s="1">
        <v>0</v>
      </c>
      <c r="U322" s="1">
        <f>Games[[#This Row],[PointsFor]]-Games[[#This Row],[PointsAgainst]]</f>
        <v>8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0.34133958149989946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72.55</v>
      </c>
      <c r="Z322" s="4">
        <f>Games[[#This Row],[K]]*Games[[#This Row],[POMult]]</f>
        <v>72.55</v>
      </c>
      <c r="AA322" s="4">
        <f>(Games[[#This Row],[Keff]]*Games[[#This Row],[MOVMult]])*(Games[[#This Row],[Result]]-Games[[#This Row],[ExpectedWin%]])</f>
        <v>10.087189447103929</v>
      </c>
      <c r="AB322" s="4">
        <f>Games[[#This Row],[PreGmRate]]+Games[[#This Row],[RatingChange]]</f>
        <v>1629.1102715692243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46211</v>
      </c>
      <c r="B323" s="2">
        <v>2026</v>
      </c>
      <c r="C323" s="2">
        <f>COUNTIFS(Games[Team],Games[[#This Row],[Team]],Games[Season],Games[[#This Row],[Season]],Games[Date],"&lt;=" &amp; Games[[#This Row],[Date]])</f>
        <v>21</v>
      </c>
      <c r="D323" s="2" t="s">
        <v>79</v>
      </c>
      <c r="E323" s="2" t="s">
        <v>80</v>
      </c>
      <c r="F323" s="1" t="s">
        <v>90</v>
      </c>
      <c r="G323" s="1" t="s">
        <v>87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1</v>
      </c>
      <c r="L323" s="2">
        <f>Games[[#This Row],[OppDaysOff]]-Games[[#This Row],[DaysOff]]</f>
        <v>-1</v>
      </c>
      <c r="M323" s="1">
        <f>MAX(-16, MIN(16, Games[[#This Row],[RestDiff]]*8))</f>
        <v>8</v>
      </c>
      <c r="N323" s="1">
        <f>MAX(-16, MIN(16, Games[[#This Row],[OppRestDiff]]*8))</f>
        <v>-8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1453.8762686291652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1619.0230821221203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0.40732972960636848</v>
      </c>
      <c r="R323" s="1">
        <v>75</v>
      </c>
      <c r="S323" s="1">
        <v>83</v>
      </c>
      <c r="T323" s="1">
        <v>0</v>
      </c>
      <c r="U323" s="1">
        <f>Games[[#This Row],[PointsFor]]-Games[[#This Row],[PointsAgainst]]</f>
        <v>-8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0.34133958149989946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72.849999999999994</v>
      </c>
      <c r="Z323" s="4">
        <f>Games[[#This Row],[K]]*Games[[#This Row],[POMult]]</f>
        <v>72.849999999999994</v>
      </c>
      <c r="AA323" s="4">
        <f>(Games[[#This Row],[Keff]]*Games[[#This Row],[MOVMult]])*(Games[[#This Row],[Result]]-Games[[#This Row],[ExpectedWin%]])</f>
        <v>-10.12890077493482</v>
      </c>
      <c r="AB323" s="4">
        <f>Games[[#This Row],[PreGmRate]]+Games[[#This Row],[RatingChange]]</f>
        <v>1443.7473678542303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46212</v>
      </c>
      <c r="B324" s="2">
        <v>2026</v>
      </c>
      <c r="C324" s="2">
        <f>COUNTIFS(Games[Team],Games[[#This Row],[Team]],Games[Season],Games[[#This Row],[Season]],Games[Date],"&lt;=" &amp; Games[[#This Row],[Date]])</f>
        <v>24</v>
      </c>
      <c r="D324" s="2" t="s">
        <v>79</v>
      </c>
      <c r="E324" s="2" t="s">
        <v>80</v>
      </c>
      <c r="F324" s="1" t="s">
        <v>71</v>
      </c>
      <c r="G324" s="1" t="s">
        <v>77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4" s="2">
        <f>Games[[#This Row],[DaysOff]]-Games[[#This Row],[OppDaysOff]]</f>
        <v>-2</v>
      </c>
      <c r="L324" s="2">
        <f>Games[[#This Row],[OppDaysOff]]-Games[[#This Row],[DaysOff]]</f>
        <v>2</v>
      </c>
      <c r="M324" s="1">
        <f>MAX(-16, MIN(16, Games[[#This Row],[RestDiff]]*8))</f>
        <v>-16</v>
      </c>
      <c r="N324" s="1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1403.6771476525153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1562.9857204098207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0.17011625915535719</v>
      </c>
      <c r="R324" s="1">
        <v>78</v>
      </c>
      <c r="S324" s="1">
        <v>89</v>
      </c>
      <c r="T324" s="1">
        <v>0</v>
      </c>
      <c r="U324" s="1">
        <f>Games[[#This Row],[PointsFor]]-Games[[#This Row],[PointsAgainst]]</f>
        <v>-11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0.38828796852103209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72.400000000000006</v>
      </c>
      <c r="Z324" s="4">
        <f>Games[[#This Row],[K]]*Games[[#This Row],[POMult]]</f>
        <v>72.400000000000006</v>
      </c>
      <c r="AA324" s="4">
        <f>(Games[[#This Row],[Keff]]*Games[[#This Row],[MOVMult]])*(Games[[#This Row],[Result]]-Games[[#This Row],[ExpectedWin%]])</f>
        <v>-4.7823165996197696</v>
      </c>
      <c r="AB324" s="4">
        <f>Games[[#This Row],[PreGmRate]]+Games[[#This Row],[RatingChange]]</f>
        <v>1398.8948310528956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46212</v>
      </c>
      <c r="B325" s="2">
        <v>2026</v>
      </c>
      <c r="C325" s="2">
        <f>COUNTIFS(Games[Team],Games[[#This Row],[Team]],Games[Season],Games[[#This Row],[Season]],Games[Date],"&lt;=" &amp; Games[[#This Row],[Date]])</f>
        <v>22</v>
      </c>
      <c r="D325" s="2" t="s">
        <v>79</v>
      </c>
      <c r="E325" s="2" t="s">
        <v>80</v>
      </c>
      <c r="F325" s="1" t="s">
        <v>77</v>
      </c>
      <c r="G325" s="1" t="s">
        <v>71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2</v>
      </c>
      <c r="L325" s="2">
        <f>Games[[#This Row],[OppDaysOff]]-Games[[#This Row],[DaysOff]]</f>
        <v>-2</v>
      </c>
      <c r="M325" s="1">
        <f>MAX(-16, MIN(16, Games[[#This Row],[RestDiff]]*8))</f>
        <v>16</v>
      </c>
      <c r="N325" s="1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1562.9857204098207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1403.6771476525153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0.82988374084464289</v>
      </c>
      <c r="R325" s="1">
        <v>89</v>
      </c>
      <c r="S325" s="1">
        <v>78</v>
      </c>
      <c r="T325" s="1">
        <v>0</v>
      </c>
      <c r="U325" s="1">
        <f>Games[[#This Row],[PointsFor]]-Games[[#This Row],[PointsAgainst]]</f>
        <v>11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0.38828796852103209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72.7</v>
      </c>
      <c r="Z325" s="4">
        <f>Games[[#This Row],[K]]*Games[[#This Row],[POMult]]</f>
        <v>72.7</v>
      </c>
      <c r="AA325" s="4">
        <f>(Games[[#This Row],[Keff]]*Games[[#This Row],[MOVMult]])*(Games[[#This Row],[Result]]-Games[[#This Row],[ExpectedWin%]])</f>
        <v>4.8021328286237166</v>
      </c>
      <c r="AB325" s="4">
        <f>Games[[#This Row],[PreGmRate]]+Games[[#This Row],[RatingChange]]</f>
        <v>1567.7878532384445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46212</v>
      </c>
      <c r="B326" s="2">
        <v>2026</v>
      </c>
      <c r="C326" s="2">
        <f>COUNTIFS(Games[Team],Games[[#This Row],[Team]],Games[Season],Games[[#This Row],[Season]],Games[Date],"&lt;=" &amp; Games[[#This Row],[Date]])</f>
        <v>22</v>
      </c>
      <c r="D326" s="2" t="s">
        <v>79</v>
      </c>
      <c r="E326" s="2" t="s">
        <v>80</v>
      </c>
      <c r="F326" s="1" t="s">
        <v>69</v>
      </c>
      <c r="G326" s="1" t="s">
        <v>40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1553.2727281394373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1467.606198182563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0.47938417303914632</v>
      </c>
      <c r="R326" s="1">
        <v>92</v>
      </c>
      <c r="S326" s="1">
        <v>89</v>
      </c>
      <c r="T326" s="1">
        <v>0</v>
      </c>
      <c r="U326" s="1">
        <f>Games[[#This Row],[PointsFor]]-Games[[#This Row],[PointsAgainst]]</f>
        <v>3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0.27084801323258384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72.7</v>
      </c>
      <c r="Z326" s="4">
        <f>Games[[#This Row],[K]]*Games[[#This Row],[POMult]]</f>
        <v>72.7</v>
      </c>
      <c r="AA326" s="4">
        <f>(Games[[#This Row],[Keff]]*Games[[#This Row],[MOVMult]])*(Games[[#This Row],[Result]]-Games[[#This Row],[ExpectedWin%]])</f>
        <v>10.251264325737433</v>
      </c>
      <c r="AB326" s="4">
        <f>Games[[#This Row],[PreGmRate]]+Games[[#This Row],[RatingChange]]</f>
        <v>1563.5239924651746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46212</v>
      </c>
      <c r="B327" s="2">
        <v>2026</v>
      </c>
      <c r="C327" s="2">
        <f>COUNTIFS(Games[Team],Games[[#This Row],[Team]],Games[Season],Games[[#This Row],[Season]],Games[Date],"&lt;=" &amp; Games[[#This Row],[Date]])</f>
        <v>23</v>
      </c>
      <c r="D327" s="2" t="s">
        <v>79</v>
      </c>
      <c r="E327" s="2" t="s">
        <v>80</v>
      </c>
      <c r="F327" s="1" t="s">
        <v>40</v>
      </c>
      <c r="G327" s="1" t="s">
        <v>69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1467.606198182563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1553.2727281394373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0.52061582696085362</v>
      </c>
      <c r="R327" s="1">
        <v>89</v>
      </c>
      <c r="S327" s="1">
        <v>92</v>
      </c>
      <c r="T327" s="1">
        <v>0</v>
      </c>
      <c r="U327" s="1">
        <f>Games[[#This Row],[PointsFor]]-Games[[#This Row],[PointsAgainst]]</f>
        <v>-3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0.27084801323258384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72.55</v>
      </c>
      <c r="Z327" s="4">
        <f>Games[[#This Row],[K]]*Games[[#This Row],[POMult]]</f>
        <v>72.55</v>
      </c>
      <c r="AA327" s="4">
        <f>(Games[[#This Row],[Keff]]*Games[[#This Row],[MOVMult]])*(Games[[#This Row],[Result]]-Games[[#This Row],[ExpectedWin%]])</f>
        <v>-10.230113161378965</v>
      </c>
      <c r="AB327" s="4">
        <f>Games[[#This Row],[PreGmRate]]+Games[[#This Row],[RatingChange]]</f>
        <v>1457.3760850211841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46212</v>
      </c>
      <c r="B328" s="2">
        <v>2026</v>
      </c>
      <c r="C328" s="2">
        <f>COUNTIFS(Games[Team],Games[[#This Row],[Team]],Games[Season],Games[[#This Row],[Season]],Games[Date],"&lt;=" &amp; Games[[#This Row],[Date]])</f>
        <v>22</v>
      </c>
      <c r="D328" s="2" t="s">
        <v>79</v>
      </c>
      <c r="E328" s="2" t="s">
        <v>80</v>
      </c>
      <c r="F328" s="1" t="s">
        <v>85</v>
      </c>
      <c r="G328" s="1" t="s">
        <v>89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8" s="2">
        <f>Games[[#This Row],[DaysOff]]-Games[[#This Row],[OppDaysOff]]</f>
        <v>-1</v>
      </c>
      <c r="L328" s="2">
        <f>Games[[#This Row],[OppDaysOff]]-Games[[#This Row],[DaysOff]]</f>
        <v>1</v>
      </c>
      <c r="M328" s="1">
        <f>MAX(-16, MIN(16, Games[[#This Row],[RestDiff]]*8))</f>
        <v>-8</v>
      </c>
      <c r="N328" s="1">
        <f>MAX(-16, MIN(16, Games[[#This Row],[OppRestDiff]]*8))</f>
        <v>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1622.8047951756696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1412.9970872423478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0.65296637973264582</v>
      </c>
      <c r="R328" s="1">
        <v>88</v>
      </c>
      <c r="S328" s="1">
        <v>80</v>
      </c>
      <c r="T328" s="1">
        <v>0</v>
      </c>
      <c r="U328" s="1">
        <f>Games[[#This Row],[PointsFor]]-Games[[#This Row],[PointsAgainst]]</f>
        <v>8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0.33052638269845908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72.7</v>
      </c>
      <c r="Z328" s="4">
        <f>Games[[#This Row],[K]]*Games[[#This Row],[POMult]]</f>
        <v>72.7</v>
      </c>
      <c r="AA328" s="4">
        <f>(Games[[#This Row],[Keff]]*Games[[#This Row],[MOVMult]])*(Games[[#This Row],[Result]]-Games[[#This Row],[ExpectedWin%]])</f>
        <v>8.3389638741109895</v>
      </c>
      <c r="AB328" s="4">
        <f>Games[[#This Row],[PreGmRate]]+Games[[#This Row],[RatingChange]]</f>
        <v>1631.1437590497806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46212</v>
      </c>
      <c r="B329" s="2">
        <v>2026</v>
      </c>
      <c r="C329" s="2">
        <f>COUNTIFS(Games[Team],Games[[#This Row],[Team]],Games[Season],Games[[#This Row],[Season]],Games[Date],"&lt;=" &amp; Games[[#This Row],[Date]])</f>
        <v>22</v>
      </c>
      <c r="D329" s="2" t="s">
        <v>79</v>
      </c>
      <c r="E329" s="2" t="s">
        <v>80</v>
      </c>
      <c r="F329" s="1" t="s">
        <v>89</v>
      </c>
      <c r="G329" s="1" t="s">
        <v>85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1</v>
      </c>
      <c r="L329" s="2">
        <f>Games[[#This Row],[OppDaysOff]]-Games[[#This Row],[DaysOff]]</f>
        <v>-1</v>
      </c>
      <c r="M329" s="1">
        <f>MAX(-16, MIN(16, Games[[#This Row],[RestDiff]]*8))</f>
        <v>8</v>
      </c>
      <c r="N329" s="1">
        <f>MAX(-16, MIN(16, Games[[#This Row],[OppRestDiff]]*8))</f>
        <v>-8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1412.9970872423478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1622.8047951756696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0.34703362026735424</v>
      </c>
      <c r="R329" s="1">
        <v>80</v>
      </c>
      <c r="S329" s="1">
        <v>88</v>
      </c>
      <c r="T329" s="1">
        <v>0</v>
      </c>
      <c r="U329" s="1">
        <f>Games[[#This Row],[PointsFor]]-Games[[#This Row],[PointsAgainst]]</f>
        <v>-8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0.33052638269845908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72.7</v>
      </c>
      <c r="Z329" s="4">
        <f>Games[[#This Row],[K]]*Games[[#This Row],[POMult]]</f>
        <v>72.7</v>
      </c>
      <c r="AA329" s="4">
        <f>(Games[[#This Row],[Keff]]*Games[[#This Row],[MOVMult]])*(Games[[#This Row],[Result]]-Games[[#This Row],[ExpectedWin%]])</f>
        <v>-8.3389638741109895</v>
      </c>
      <c r="AB329" s="4">
        <f>Games[[#This Row],[PreGmRate]]+Games[[#This Row],[RatingChange]]</f>
        <v>1404.6581233682368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46213</v>
      </c>
      <c r="B330" s="2">
        <v>2026</v>
      </c>
      <c r="C330" s="2">
        <f>COUNTIFS(Games[Team],Games[[#This Row],[Team]],Games[Season],Games[[#This Row],[Season]],Games[Date],"&lt;=" &amp; Games[[#This Row],[Date]])</f>
        <v>24</v>
      </c>
      <c r="D330" s="2" t="s">
        <v>79</v>
      </c>
      <c r="E330" s="2" t="s">
        <v>80</v>
      </c>
      <c r="F330" s="1" t="s">
        <v>87</v>
      </c>
      <c r="G330" s="1" t="s">
        <v>74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1629.1102715692243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1350.9212462639241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0.7535881893013312</v>
      </c>
      <c r="R330" s="1">
        <v>79</v>
      </c>
      <c r="S330" s="1">
        <v>64</v>
      </c>
      <c r="T330" s="1">
        <v>0</v>
      </c>
      <c r="U330" s="1">
        <f>Games[[#This Row],[PointsFor]]-Games[[#This Row],[PointsAgainst]]</f>
        <v>15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0.40821412101195131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72.400000000000006</v>
      </c>
      <c r="Z330" s="4">
        <f>Games[[#This Row],[K]]*Games[[#This Row],[POMult]]</f>
        <v>72.400000000000006</v>
      </c>
      <c r="AA330" s="4">
        <f>(Games[[#This Row],[Keff]]*Games[[#This Row],[MOVMult]])*(Games[[#This Row],[Result]]-Games[[#This Row],[ExpectedWin%]])</f>
        <v>7.2826277234995995</v>
      </c>
      <c r="AB330" s="4">
        <f>Games[[#This Row],[PreGmRate]]+Games[[#This Row],[RatingChange]]</f>
        <v>1636.392899292724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46213</v>
      </c>
      <c r="B331" s="2">
        <v>2026</v>
      </c>
      <c r="C331" s="2">
        <f>COUNTIFS(Games[Team],Games[[#This Row],[Team]],Games[Season],Games[[#This Row],[Season]],Games[Date],"&lt;=" &amp; Games[[#This Row],[Date]])</f>
        <v>23</v>
      </c>
      <c r="D331" s="2" t="s">
        <v>79</v>
      </c>
      <c r="E331" s="2" t="s">
        <v>80</v>
      </c>
      <c r="F331" s="1" t="s">
        <v>74</v>
      </c>
      <c r="G331" s="1" t="s">
        <v>87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1350.9212462639241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1629.1102715692243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0.24641181069866885</v>
      </c>
      <c r="R331" s="1">
        <v>64</v>
      </c>
      <c r="S331" s="1">
        <v>79</v>
      </c>
      <c r="T331" s="1">
        <v>0</v>
      </c>
      <c r="U331" s="1">
        <f>Games[[#This Row],[PointsFor]]-Games[[#This Row],[PointsAgainst]]</f>
        <v>-15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0.40821412101195131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72.55</v>
      </c>
      <c r="Z331" s="4">
        <f>Games[[#This Row],[K]]*Games[[#This Row],[POMult]]</f>
        <v>72.55</v>
      </c>
      <c r="AA331" s="4">
        <f>(Games[[#This Row],[Keff]]*Games[[#This Row],[MOVMult]])*(Games[[#This Row],[Result]]-Games[[#This Row],[ExpectedWin%]])</f>
        <v>-7.2977160406062982</v>
      </c>
      <c r="AB331" s="4">
        <f>Games[[#This Row],[PreGmRate]]+Games[[#This Row],[RatingChange]]</f>
        <v>1343.6235302233179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46213</v>
      </c>
      <c r="B332" s="2">
        <v>2026</v>
      </c>
      <c r="C332" s="2">
        <f>COUNTIFS(Games[Team],Games[[#This Row],[Team]],Games[Season],Games[[#This Row],[Season]],Games[Date],"&lt;=" &amp; Games[[#This Row],[Date]])</f>
        <v>22</v>
      </c>
      <c r="D332" s="2" t="s">
        <v>79</v>
      </c>
      <c r="E332" s="2" t="s">
        <v>80</v>
      </c>
      <c r="F332" s="1" t="s">
        <v>75</v>
      </c>
      <c r="G332" s="1" t="s">
        <v>63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1</v>
      </c>
      <c r="L332" s="2">
        <f>Games[[#This Row],[OppDaysOff]]-Games[[#This Row],[DaysOff]]</f>
        <v>-1</v>
      </c>
      <c r="M332" s="1">
        <f>MAX(-16, MIN(16, Games[[#This Row],[RestDiff]]*8))</f>
        <v>8</v>
      </c>
      <c r="N332" s="1">
        <f>MAX(-16, MIN(16, Games[[#This Row],[OppRestDiff]]*8))</f>
        <v>-8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1400.555057106224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1435.0825251528759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0.35658998757326332</v>
      </c>
      <c r="R332" s="1">
        <v>87</v>
      </c>
      <c r="S332" s="1">
        <v>102</v>
      </c>
      <c r="T332" s="1">
        <v>0</v>
      </c>
      <c r="U332" s="1">
        <f>Games[[#This Row],[PointsFor]]-Games[[#This Row],[PointsAgainst]]</f>
        <v>-15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0.48878429137691209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72.7</v>
      </c>
      <c r="Z332" s="4">
        <f>Games[[#This Row],[K]]*Games[[#This Row],[POMult]]</f>
        <v>72.7</v>
      </c>
      <c r="AA332" s="4">
        <f>(Games[[#This Row],[Keff]]*Games[[#This Row],[MOVMult]])*(Games[[#This Row],[Result]]-Games[[#This Row],[ExpectedWin%]])</f>
        <v>-12.671288985014828</v>
      </c>
      <c r="AB332" s="4">
        <f>Games[[#This Row],[PreGmRate]]+Games[[#This Row],[RatingChange]]</f>
        <v>1387.8837681212092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46213</v>
      </c>
      <c r="B333" s="2">
        <v>2026</v>
      </c>
      <c r="C333" s="2">
        <f>COUNTIFS(Games[Team],Games[[#This Row],[Team]],Games[Season],Games[[#This Row],[Season]],Games[Date],"&lt;=" &amp; Games[[#This Row],[Date]])</f>
        <v>21</v>
      </c>
      <c r="D333" s="2" t="s">
        <v>79</v>
      </c>
      <c r="E333" s="2" t="s">
        <v>80</v>
      </c>
      <c r="F333" s="1" t="s">
        <v>63</v>
      </c>
      <c r="G333" s="1" t="s">
        <v>75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-1</v>
      </c>
      <c r="L333" s="2">
        <f>Games[[#This Row],[OppDaysOff]]-Games[[#This Row],[DaysOff]]</f>
        <v>1</v>
      </c>
      <c r="M333" s="1">
        <f>MAX(-16, MIN(16, Games[[#This Row],[RestDiff]]*8))</f>
        <v>-8</v>
      </c>
      <c r="N333" s="1">
        <f>MAX(-16, MIN(16, Games[[#This Row],[OppRestDiff]]*8))</f>
        <v>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1435.0825251528759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1400.555057106224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0.64341001242673668</v>
      </c>
      <c r="R333" s="1">
        <v>102</v>
      </c>
      <c r="S333" s="1">
        <v>87</v>
      </c>
      <c r="T333" s="1">
        <v>0</v>
      </c>
      <c r="U333" s="1">
        <f>Games[[#This Row],[PointsFor]]-Games[[#This Row],[PointsAgainst]]</f>
        <v>15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0.48878429137691209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72.849999999999994</v>
      </c>
      <c r="Z333" s="4">
        <f>Games[[#This Row],[K]]*Games[[#This Row],[POMult]]</f>
        <v>72.849999999999994</v>
      </c>
      <c r="AA333" s="4">
        <f>(Games[[#This Row],[Keff]]*Games[[#This Row],[MOVMult]])*(Games[[#This Row],[Result]]-Games[[#This Row],[ExpectedWin%]])</f>
        <v>12.69743332267304</v>
      </c>
      <c r="AB333" s="4">
        <f>Games[[#This Row],[PreGmRate]]+Games[[#This Row],[RatingChange]]</f>
        <v>1447.7799584755489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46213</v>
      </c>
      <c r="B334" s="2">
        <v>2026</v>
      </c>
      <c r="C334" s="2">
        <f>COUNTIFS(Games[Team],Games[[#This Row],[Team]],Games[Season],Games[[#This Row],[Season]],Games[Date],"&lt;=" &amp; Games[[#This Row],[Date]])</f>
        <v>23</v>
      </c>
      <c r="D334" s="2" t="s">
        <v>79</v>
      </c>
      <c r="E334" s="2" t="s">
        <v>80</v>
      </c>
      <c r="F334" s="1" t="s">
        <v>84</v>
      </c>
      <c r="G334" s="1" t="s">
        <v>90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1560.5142265093593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1443.7473678542303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0.56972386140907172</v>
      </c>
      <c r="R334" s="1">
        <v>108</v>
      </c>
      <c r="S334" s="1">
        <v>95</v>
      </c>
      <c r="T334" s="1">
        <v>0</v>
      </c>
      <c r="U334" s="1">
        <f>Games[[#This Row],[PointsFor]]-Games[[#This Row],[PointsAgainst]]</f>
        <v>13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0.43018435879794509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72.55</v>
      </c>
      <c r="Z334" s="4">
        <f>Games[[#This Row],[K]]*Games[[#This Row],[POMult]]</f>
        <v>72.55</v>
      </c>
      <c r="AA334" s="4">
        <f>(Games[[#This Row],[Keff]]*Games[[#This Row],[MOVMult]])*(Games[[#This Row],[Result]]-Games[[#This Row],[ExpectedWin%]])</f>
        <v>13.428864600209371</v>
      </c>
      <c r="AB334" s="4">
        <f>Games[[#This Row],[PreGmRate]]+Games[[#This Row],[RatingChange]]</f>
        <v>1573.9430911095687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46213</v>
      </c>
      <c r="B335" s="2">
        <v>2026</v>
      </c>
      <c r="C335" s="2">
        <f>COUNTIFS(Games[Team],Games[[#This Row],[Team]],Games[Season],Games[[#This Row],[Season]],Games[Date],"&lt;=" &amp; Games[[#This Row],[Date]])</f>
        <v>22</v>
      </c>
      <c r="D335" s="2" t="s">
        <v>79</v>
      </c>
      <c r="E335" s="2" t="s">
        <v>80</v>
      </c>
      <c r="F335" s="1" t="s">
        <v>90</v>
      </c>
      <c r="G335" s="1" t="s">
        <v>84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1443.7473678542303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1560.5142265093593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0.43027613859092817</v>
      </c>
      <c r="R335" s="1">
        <v>95</v>
      </c>
      <c r="S335" s="1">
        <v>108</v>
      </c>
      <c r="T335" s="1">
        <v>0</v>
      </c>
      <c r="U335" s="1">
        <f>Games[[#This Row],[PointsFor]]-Games[[#This Row],[PointsAgainst]]</f>
        <v>-13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0.43018435879794509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72.7</v>
      </c>
      <c r="Z335" s="4">
        <f>Games[[#This Row],[K]]*Games[[#This Row],[POMult]]</f>
        <v>72.7</v>
      </c>
      <c r="AA335" s="4">
        <f>(Games[[#This Row],[Keff]]*Games[[#This Row],[MOVMult]])*(Games[[#This Row],[Result]]-Games[[#This Row],[ExpectedWin%]])</f>
        <v>-13.456629309927239</v>
      </c>
      <c r="AB335" s="4">
        <f>Games[[#This Row],[PreGmRate]]+Games[[#This Row],[RatingChange]]</f>
        <v>1430.2907385443032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46214</v>
      </c>
      <c r="B336" s="2">
        <v>2026</v>
      </c>
      <c r="C336" s="2">
        <f>COUNTIFS(Games[Team],Games[[#This Row],[Team]],Games[Season],Games[[#This Row],[Season]],Games[Date],"&lt;=" &amp; Games[[#This Row],[Date]])</f>
        <v>23</v>
      </c>
      <c r="D336" s="2" t="s">
        <v>79</v>
      </c>
      <c r="E336" s="2" t="s">
        <v>80</v>
      </c>
      <c r="F336" s="1" t="s">
        <v>89</v>
      </c>
      <c r="G336" s="1" t="s">
        <v>77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1404.6581233682368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1567.7878532384445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0.19425539227828828</v>
      </c>
      <c r="R336" s="1">
        <v>102</v>
      </c>
      <c r="S336" s="1">
        <v>92</v>
      </c>
      <c r="T336" s="1">
        <v>0</v>
      </c>
      <c r="U336" s="1">
        <f>Games[[#This Row],[PointsFor]]-Games[[#This Row],[PointsAgainst]]</f>
        <v>10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0.37249252809348338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72.55</v>
      </c>
      <c r="Z336" s="4">
        <f>Games[[#This Row],[K]]*Games[[#This Row],[POMult]]</f>
        <v>72.55</v>
      </c>
      <c r="AA336" s="4">
        <f>(Games[[#This Row],[Keff]]*Games[[#This Row],[MOVMult]])*(Games[[#This Row],[Result]]-Games[[#This Row],[ExpectedWin%]])</f>
        <v>21.774710522072951</v>
      </c>
      <c r="AB336" s="4">
        <f>Games[[#This Row],[PreGmRate]]+Games[[#This Row],[RatingChange]]</f>
        <v>1426.4328338903097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46214</v>
      </c>
      <c r="B337" s="2">
        <v>2026</v>
      </c>
      <c r="C337" s="2">
        <f>COUNTIFS(Games[Team],Games[[#This Row],[Team]],Games[Season],Games[[#This Row],[Season]],Games[Date],"&lt;=" &amp; Games[[#This Row],[Date]])</f>
        <v>23</v>
      </c>
      <c r="D337" s="2" t="s">
        <v>79</v>
      </c>
      <c r="E337" s="2" t="s">
        <v>80</v>
      </c>
      <c r="F337" s="1" t="s">
        <v>77</v>
      </c>
      <c r="G337" s="1" t="s">
        <v>89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1567.7878532384445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1404.6581233682368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0.80574460772171175</v>
      </c>
      <c r="R337" s="1">
        <v>92</v>
      </c>
      <c r="S337" s="1">
        <v>102</v>
      </c>
      <c r="T337" s="1">
        <v>0</v>
      </c>
      <c r="U337" s="1">
        <f>Games[[#This Row],[PointsFor]]-Games[[#This Row],[PointsAgainst]]</f>
        <v>-10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0.37249252809348338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72.55</v>
      </c>
      <c r="Z337" s="4">
        <f>Games[[#This Row],[K]]*Games[[#This Row],[POMult]]</f>
        <v>72.55</v>
      </c>
      <c r="AA337" s="4">
        <f>(Games[[#This Row],[Keff]]*Games[[#This Row],[MOVMult]])*(Games[[#This Row],[Result]]-Games[[#This Row],[ExpectedWin%]])</f>
        <v>-21.774710522072951</v>
      </c>
      <c r="AB337" s="4">
        <f>Games[[#This Row],[PreGmRate]]+Games[[#This Row],[RatingChange]]</f>
        <v>1546.0131427163715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46214</v>
      </c>
      <c r="B338" s="2">
        <v>2026</v>
      </c>
      <c r="C338" s="2">
        <f>COUNTIFS(Games[Team],Games[[#This Row],[Team]],Games[Season],Games[[#This Row],[Season]],Games[Date],"&lt;=" &amp; Games[[#This Row],[Date]])</f>
        <v>24</v>
      </c>
      <c r="D338" s="2" t="s">
        <v>79</v>
      </c>
      <c r="E338" s="2" t="s">
        <v>80</v>
      </c>
      <c r="F338" s="1" t="s">
        <v>40</v>
      </c>
      <c r="G338" s="1" t="s">
        <v>85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1457.3760850211841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1631.1437590497806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0.18484961588835297</v>
      </c>
      <c r="R338" s="1">
        <v>58</v>
      </c>
      <c r="S338" s="1">
        <v>106</v>
      </c>
      <c r="T338" s="1">
        <v>0</v>
      </c>
      <c r="U338" s="1">
        <f>Games[[#This Row],[PointsFor]]-Games[[#This Row],[PointsAgainst]]</f>
        <v>-48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0.78822867300739108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72.400000000000006</v>
      </c>
      <c r="Z338" s="4">
        <f>Games[[#This Row],[K]]*Games[[#This Row],[POMult]]</f>
        <v>72.400000000000006</v>
      </c>
      <c r="AA338" s="4">
        <f>(Games[[#This Row],[Keff]]*Games[[#This Row],[MOVMult]])*(Games[[#This Row],[Result]]-Games[[#This Row],[ExpectedWin%]])</f>
        <v>-10.548952762482417</v>
      </c>
      <c r="AB338" s="4">
        <f>Games[[#This Row],[PreGmRate]]+Games[[#This Row],[RatingChange]]</f>
        <v>1446.8271322587016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46214</v>
      </c>
      <c r="B339" s="2">
        <v>2026</v>
      </c>
      <c r="C339" s="2">
        <f>COUNTIFS(Games[Team],Games[[#This Row],[Team]],Games[Season],Games[[#This Row],[Season]],Games[Date],"&lt;=" &amp; Games[[#This Row],[Date]])</f>
        <v>23</v>
      </c>
      <c r="D339" s="2" t="s">
        <v>79</v>
      </c>
      <c r="E339" s="2" t="s">
        <v>80</v>
      </c>
      <c r="F339" s="1" t="s">
        <v>85</v>
      </c>
      <c r="G339" s="1" t="s">
        <v>40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1631.1437590497806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1457.3760850211841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0.81515038411164698</v>
      </c>
      <c r="R339" s="1">
        <v>106</v>
      </c>
      <c r="S339" s="1">
        <v>58</v>
      </c>
      <c r="T339" s="1">
        <v>0</v>
      </c>
      <c r="U339" s="1">
        <f>Games[[#This Row],[PointsFor]]-Games[[#This Row],[PointsAgainst]]</f>
        <v>48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0.78822867300739108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72.55</v>
      </c>
      <c r="Z339" s="4">
        <f>Games[[#This Row],[K]]*Games[[#This Row],[POMult]]</f>
        <v>72.55</v>
      </c>
      <c r="AA339" s="4">
        <f>(Games[[#This Row],[Keff]]*Games[[#This Row],[MOVMult]])*(Games[[#This Row],[Result]]-Games[[#This Row],[ExpectedWin%]])</f>
        <v>10.570808327598058</v>
      </c>
      <c r="AB339" s="4">
        <f>Games[[#This Row],[PreGmRate]]+Games[[#This Row],[RatingChange]]</f>
        <v>1641.7145673773787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46214</v>
      </c>
      <c r="B340" s="2">
        <v>2026</v>
      </c>
      <c r="C340" s="2">
        <f>COUNTIFS(Games[Team],Games[[#This Row],[Team]],Games[Season],Games[[#This Row],[Season]],Games[Date],"&lt;=" &amp; Games[[#This Row],[Date]])</f>
        <v>23</v>
      </c>
      <c r="D340" s="2" t="s">
        <v>79</v>
      </c>
      <c r="E340" s="2" t="s">
        <v>80</v>
      </c>
      <c r="F340" s="1" t="s">
        <v>60</v>
      </c>
      <c r="G340" s="1" t="s">
        <v>67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1</v>
      </c>
      <c r="L340" s="2">
        <f>Games[[#This Row],[OppDaysOff]]-Games[[#This Row],[DaysOff]]</f>
        <v>-1</v>
      </c>
      <c r="M340" s="1">
        <f>MAX(-16, MIN(16, Games[[#This Row],[RestDiff]]*8))</f>
        <v>8</v>
      </c>
      <c r="N340" s="1">
        <f>MAX(-16, MIN(16, Games[[#This Row],[OppRestDiff]]*8))</f>
        <v>-8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1551.6041393566857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1657.3474336395357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0.26891256000062963</v>
      </c>
      <c r="R340" s="1">
        <v>85</v>
      </c>
      <c r="S340" s="1">
        <v>90</v>
      </c>
      <c r="T340" s="1">
        <v>0</v>
      </c>
      <c r="U340" s="1">
        <f>Games[[#This Row],[PointsFor]]-Games[[#This Row],[PointsAgainst]]</f>
        <v>-5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0.30488930886843929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72.55</v>
      </c>
      <c r="Z340" s="4">
        <f>Games[[#This Row],[K]]*Games[[#This Row],[POMult]]</f>
        <v>72.55</v>
      </c>
      <c r="AA340" s="4">
        <f>(Games[[#This Row],[Keff]]*Games[[#This Row],[MOVMult]])*(Games[[#This Row],[Result]]-Games[[#This Row],[ExpectedWin%]])</f>
        <v>-5.9482703591642458</v>
      </c>
      <c r="AB340" s="4">
        <f>Games[[#This Row],[PreGmRate]]+Games[[#This Row],[RatingChange]]</f>
        <v>1545.6558689975213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46214</v>
      </c>
      <c r="B341" s="2">
        <v>2026</v>
      </c>
      <c r="C341" s="2">
        <f>COUNTIFS(Games[Team],Games[[#This Row],[Team]],Games[Season],Games[[#This Row],[Season]],Games[Date],"&lt;=" &amp; Games[[#This Row],[Date]])</f>
        <v>23</v>
      </c>
      <c r="D341" s="2" t="s">
        <v>79</v>
      </c>
      <c r="E341" s="2" t="s">
        <v>80</v>
      </c>
      <c r="F341" s="1" t="s">
        <v>67</v>
      </c>
      <c r="G341" s="1" t="s">
        <v>60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1" s="2">
        <f>Games[[#This Row],[DaysOff]]-Games[[#This Row],[OppDaysOff]]</f>
        <v>-1</v>
      </c>
      <c r="L341" s="2">
        <f>Games[[#This Row],[OppDaysOff]]-Games[[#This Row],[DaysOff]]</f>
        <v>1</v>
      </c>
      <c r="M341" s="1">
        <f>MAX(-16, MIN(16, Games[[#This Row],[RestDiff]]*8))</f>
        <v>-8</v>
      </c>
      <c r="N341" s="1">
        <f>MAX(-16, MIN(16, Games[[#This Row],[OppRestDiff]]*8))</f>
        <v>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1657.3474336395357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1551.6041393566857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0.73108743999937031</v>
      </c>
      <c r="R341" s="1">
        <v>90</v>
      </c>
      <c r="S341" s="1">
        <v>85</v>
      </c>
      <c r="T341" s="1">
        <v>0</v>
      </c>
      <c r="U341" s="1">
        <f>Games[[#This Row],[PointsFor]]-Games[[#This Row],[PointsAgainst]]</f>
        <v>5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0.30488930886843929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72.55</v>
      </c>
      <c r="Z341" s="4">
        <f>Games[[#This Row],[K]]*Games[[#This Row],[POMult]]</f>
        <v>72.55</v>
      </c>
      <c r="AA341" s="4">
        <f>(Games[[#This Row],[Keff]]*Games[[#This Row],[MOVMult]])*(Games[[#This Row],[Result]]-Games[[#This Row],[ExpectedWin%]])</f>
        <v>5.9482703591642467</v>
      </c>
      <c r="AB341" s="4">
        <f>Games[[#This Row],[PreGmRate]]+Games[[#This Row],[RatingChange]]</f>
        <v>1663.2957039987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46215</v>
      </c>
      <c r="B342" s="2">
        <v>2026</v>
      </c>
      <c r="C342" s="2">
        <f>COUNTIFS(Games[Team],Games[[#This Row],[Team]],Games[Season],Games[[#This Row],[Season]],Games[Date],"&lt;=" &amp; Games[[#This Row],[Date]])</f>
        <v>23</v>
      </c>
      <c r="D342" s="2" t="s">
        <v>79</v>
      </c>
      <c r="E342" s="2" t="s">
        <v>80</v>
      </c>
      <c r="F342" s="1" t="s">
        <v>75</v>
      </c>
      <c r="G342" s="1" t="s">
        <v>84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1387.8837681212092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1573.9430911095687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0.17442483225240113</v>
      </c>
      <c r="R342" s="1">
        <v>91</v>
      </c>
      <c r="S342" s="1">
        <v>96</v>
      </c>
      <c r="T342" s="1">
        <v>0</v>
      </c>
      <c r="U342" s="1">
        <f>Games[[#This Row],[PointsFor]]-Games[[#This Row],[PointsAgainst]]</f>
        <v>-5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0.28722231722028585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72.55</v>
      </c>
      <c r="Z342" s="4">
        <f>Games[[#This Row],[K]]*Games[[#This Row],[POMult]]</f>
        <v>72.55</v>
      </c>
      <c r="AA342" s="4">
        <f>(Games[[#This Row],[Keff]]*Games[[#This Row],[MOVMult]])*(Games[[#This Row],[Result]]-Games[[#This Row],[ExpectedWin%]])</f>
        <v>-3.6346610114963518</v>
      </c>
      <c r="AB342" s="4">
        <f>Games[[#This Row],[PreGmRate]]+Games[[#This Row],[RatingChange]]</f>
        <v>1384.2491071097129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46215</v>
      </c>
      <c r="B343" s="2">
        <v>2026</v>
      </c>
      <c r="C343" s="2">
        <f>COUNTIFS(Games[Team],Games[[#This Row],[Team]],Games[Season],Games[[#This Row],[Season]],Games[Date],"&lt;=" &amp; Games[[#This Row],[Date]])</f>
        <v>24</v>
      </c>
      <c r="D343" s="2" t="s">
        <v>79</v>
      </c>
      <c r="E343" s="2" t="s">
        <v>80</v>
      </c>
      <c r="F343" s="1" t="s">
        <v>84</v>
      </c>
      <c r="G343" s="1" t="s">
        <v>75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1573.9430911095687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1387.8837681212092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0.82557516774759887</v>
      </c>
      <c r="R343" s="1">
        <v>96</v>
      </c>
      <c r="S343" s="1">
        <v>91</v>
      </c>
      <c r="T343" s="1">
        <v>0</v>
      </c>
      <c r="U343" s="1">
        <f>Games[[#This Row],[PointsFor]]-Games[[#This Row],[PointsAgainst]]</f>
        <v>5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0.28722231722028585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72.400000000000006</v>
      </c>
      <c r="Z343" s="4">
        <f>Games[[#This Row],[K]]*Games[[#This Row],[POMult]]</f>
        <v>72.400000000000006</v>
      </c>
      <c r="AA343" s="4">
        <f>(Games[[#This Row],[Keff]]*Games[[#This Row],[MOVMult]])*(Games[[#This Row],[Result]]-Games[[#This Row],[ExpectedWin%]])</f>
        <v>3.6271462058213082</v>
      </c>
      <c r="AB343" s="4">
        <f>Games[[#This Row],[PreGmRate]]+Games[[#This Row],[RatingChange]]</f>
        <v>1577.5702373153902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46215</v>
      </c>
      <c r="B344" s="2">
        <v>2026</v>
      </c>
      <c r="C344" s="2">
        <f>COUNTIFS(Games[Team],Games[[#This Row],[Team]],Games[Season],Games[[#This Row],[Season]],Games[Date],"&lt;=" &amp; Games[[#This Row],[Date]])</f>
        <v>23</v>
      </c>
      <c r="D344" s="2" t="s">
        <v>79</v>
      </c>
      <c r="E344" s="2" t="s">
        <v>80</v>
      </c>
      <c r="F344" s="1" t="s">
        <v>69</v>
      </c>
      <c r="G344" s="1" t="s">
        <v>85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4" s="2">
        <f>Games[[#This Row],[DaysOff]]-Games[[#This Row],[OppDaysOff]]</f>
        <v>2</v>
      </c>
      <c r="L344" s="2">
        <f>Games[[#This Row],[OppDaysOff]]-Games[[#This Row],[DaysOff]]</f>
        <v>-2</v>
      </c>
      <c r="M344" s="1">
        <f>MAX(-16, MIN(16, Games[[#This Row],[RestDiff]]*8))</f>
        <v>16</v>
      </c>
      <c r="N344" s="1">
        <f>MAX(-16, MIN(16, Games[[#This Row],[OppRestDiff]]*8))</f>
        <v>-16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1563.5239924651746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1641.7145673773787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0.32094394610357663</v>
      </c>
      <c r="R344" s="1">
        <v>109</v>
      </c>
      <c r="S344" s="1">
        <v>75</v>
      </c>
      <c r="T344" s="1">
        <v>0</v>
      </c>
      <c r="U344" s="1">
        <f>Games[[#This Row],[PointsFor]]-Games[[#This Row],[PointsAgainst]]</f>
        <v>34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0.70476309380151192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72.55</v>
      </c>
      <c r="Z344" s="4">
        <f>Games[[#This Row],[K]]*Games[[#This Row],[POMult]]</f>
        <v>72.55</v>
      </c>
      <c r="AA344" s="4">
        <f>(Games[[#This Row],[Keff]]*Games[[#This Row],[MOVMult]])*(Games[[#This Row],[Result]]-Games[[#This Row],[ExpectedWin%]])</f>
        <v>34.72051797440043</v>
      </c>
      <c r="AB344" s="4">
        <f>Games[[#This Row],[PreGmRate]]+Games[[#This Row],[RatingChange]]</f>
        <v>1598.2445104395752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46215</v>
      </c>
      <c r="B345" s="2">
        <v>2026</v>
      </c>
      <c r="C345" s="2">
        <f>COUNTIFS(Games[Team],Games[[#This Row],[Team]],Games[Season],Games[[#This Row],[Season]],Games[Date],"&lt;=" &amp; Games[[#This Row],[Date]])</f>
        <v>24</v>
      </c>
      <c r="D345" s="2" t="s">
        <v>79</v>
      </c>
      <c r="E345" s="2" t="s">
        <v>80</v>
      </c>
      <c r="F345" s="1" t="s">
        <v>85</v>
      </c>
      <c r="G345" s="1" t="s">
        <v>69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-2</v>
      </c>
      <c r="L345" s="2">
        <f>Games[[#This Row],[OppDaysOff]]-Games[[#This Row],[DaysOff]]</f>
        <v>2</v>
      </c>
      <c r="M345" s="1">
        <f>MAX(-16, MIN(16, Games[[#This Row],[RestDiff]]*8))</f>
        <v>-16</v>
      </c>
      <c r="N345" s="1">
        <f>MAX(-16, MIN(16, Games[[#This Row],[OppRestDiff]]*8))</f>
        <v>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1641.7145673773787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1563.5239924651746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0.67905605389642343</v>
      </c>
      <c r="R345" s="1">
        <v>75</v>
      </c>
      <c r="S345" s="1">
        <v>109</v>
      </c>
      <c r="T345" s="1">
        <v>0</v>
      </c>
      <c r="U345" s="1">
        <f>Games[[#This Row],[PointsFor]]-Games[[#This Row],[PointsAgainst]]</f>
        <v>-34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0.70476309380151192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72.400000000000006</v>
      </c>
      <c r="Z345" s="4">
        <f>Games[[#This Row],[K]]*Games[[#This Row],[POMult]]</f>
        <v>72.400000000000006</v>
      </c>
      <c r="AA345" s="4">
        <f>(Games[[#This Row],[Keff]]*Games[[#This Row],[MOVMult]])*(Games[[#This Row],[Result]]-Games[[#This Row],[ExpectedWin%]])</f>
        <v>-34.648731927589125</v>
      </c>
      <c r="AB345" s="4">
        <f>Games[[#This Row],[PreGmRate]]+Games[[#This Row],[RatingChange]]</f>
        <v>1607.0658354497896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46215</v>
      </c>
      <c r="B346" s="2">
        <v>2026</v>
      </c>
      <c r="C346" s="2">
        <f>COUNTIFS(Games[Team],Games[[#This Row],[Team]],Games[Season],Games[[#This Row],[Season]],Games[Date],"&lt;=" &amp; Games[[#This Row],[Date]])</f>
        <v>24</v>
      </c>
      <c r="D346" s="2" t="s">
        <v>79</v>
      </c>
      <c r="E346" s="2" t="s">
        <v>80</v>
      </c>
      <c r="F346" s="1" t="s">
        <v>60</v>
      </c>
      <c r="G346" s="1" t="s">
        <v>90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1545.6558689975213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1430.2907385443032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0.5220977958145151</v>
      </c>
      <c r="R346" s="1">
        <v>91</v>
      </c>
      <c r="S346" s="1">
        <v>93</v>
      </c>
      <c r="T346" s="1">
        <v>0</v>
      </c>
      <c r="U346" s="1">
        <f>Games[[#This Row],[PointsFor]]-Games[[#This Row],[PointsAgainst]]</f>
        <v>-2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0.24435008769075392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72.400000000000006</v>
      </c>
      <c r="Z346" s="4">
        <f>Games[[#This Row],[K]]*Games[[#This Row],[POMult]]</f>
        <v>72.400000000000006</v>
      </c>
      <c r="AA346" s="4">
        <f>(Games[[#This Row],[Keff]]*Games[[#This Row],[MOVMult]])*(Games[[#This Row],[Result]]-Games[[#This Row],[ExpectedWin%]])</f>
        <v>-9.2364040945868506</v>
      </c>
      <c r="AB346" s="4">
        <f>Games[[#This Row],[PreGmRate]]+Games[[#This Row],[RatingChange]]</f>
        <v>1536.4194649029346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46215</v>
      </c>
      <c r="B347" s="2">
        <v>2026</v>
      </c>
      <c r="C347" s="2">
        <f>COUNTIFS(Games[Team],Games[[#This Row],[Team]],Games[Season],Games[[#This Row],[Season]],Games[Date],"&lt;=" &amp; Games[[#This Row],[Date]])</f>
        <v>23</v>
      </c>
      <c r="D347" s="2" t="s">
        <v>79</v>
      </c>
      <c r="E347" s="2" t="s">
        <v>80</v>
      </c>
      <c r="F347" s="1" t="s">
        <v>90</v>
      </c>
      <c r="G347" s="1" t="s">
        <v>60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1430.2907385443032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1545.6558689975213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0.4779022041854849</v>
      </c>
      <c r="R347" s="1">
        <v>93</v>
      </c>
      <c r="S347" s="1">
        <v>91</v>
      </c>
      <c r="T347" s="1">
        <v>0</v>
      </c>
      <c r="U347" s="1">
        <f>Games[[#This Row],[PointsFor]]-Games[[#This Row],[PointsAgainst]]</f>
        <v>2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0.24435008769075392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72.55</v>
      </c>
      <c r="Z347" s="4">
        <f>Games[[#This Row],[K]]*Games[[#This Row],[POMult]]</f>
        <v>72.55</v>
      </c>
      <c r="AA347" s="4">
        <f>(Games[[#This Row],[Keff]]*Games[[#This Row],[MOVMult]])*(Games[[#This Row],[Result]]-Games[[#This Row],[ExpectedWin%]])</f>
        <v>9.2555402909154125</v>
      </c>
      <c r="AB347" s="4">
        <f>Games[[#This Row],[PreGmRate]]+Games[[#This Row],[RatingChange]]</f>
        <v>1439.5462788352186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46215</v>
      </c>
      <c r="B348" s="2">
        <v>2026</v>
      </c>
      <c r="C348" s="2">
        <f>COUNTIFS(Games[Team],Games[[#This Row],[Team]],Games[Season],Games[[#This Row],[Season]],Games[Date],"&lt;=" &amp; Games[[#This Row],[Date]])</f>
        <v>25</v>
      </c>
      <c r="D348" s="2" t="s">
        <v>79</v>
      </c>
      <c r="E348" s="2" t="s">
        <v>80</v>
      </c>
      <c r="F348" s="1" t="s">
        <v>71</v>
      </c>
      <c r="G348" s="1" t="s">
        <v>65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8" s="2">
        <f>Games[[#This Row],[DaysOff]]-Games[[#This Row],[OppDaysOff]]</f>
        <v>-3</v>
      </c>
      <c r="L348" s="2">
        <f>Games[[#This Row],[OppDaysOff]]-Games[[#This Row],[DaysOff]]</f>
        <v>3</v>
      </c>
      <c r="M348" s="1">
        <f>MAX(-16, MIN(16, Games[[#This Row],[RestDiff]]*8))</f>
        <v>-16</v>
      </c>
      <c r="N348" s="1">
        <f>MAX(-16, MIN(16, Games[[#This Row],[OppRestDiff]]*8))</f>
        <v>16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1398.8948310528956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1447.7493764479675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0.27909019024709814</v>
      </c>
      <c r="R348" s="1">
        <v>79</v>
      </c>
      <c r="S348" s="1">
        <v>84</v>
      </c>
      <c r="T348" s="1">
        <v>0</v>
      </c>
      <c r="U348" s="1">
        <f>Games[[#This Row],[PointsFor]]-Games[[#This Row],[PointsAgainst]]</f>
        <v>-5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0.31877785289043176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72.25</v>
      </c>
      <c r="Z348" s="4">
        <f>Games[[#This Row],[K]]*Games[[#This Row],[POMult]]</f>
        <v>72.25</v>
      </c>
      <c r="AA348" s="4">
        <f>(Games[[#This Row],[Keff]]*Games[[#This Row],[MOVMult]])*(Games[[#This Row],[Result]]-Games[[#This Row],[ExpectedWin%]])</f>
        <v>-6.4279214988045856</v>
      </c>
      <c r="AB348" s="4">
        <f>Games[[#This Row],[PreGmRate]]+Games[[#This Row],[RatingChange]]</f>
        <v>1392.466909554091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46215</v>
      </c>
      <c r="B349" s="2">
        <v>2026</v>
      </c>
      <c r="C349" s="2">
        <f>COUNTIFS(Games[Team],Games[[#This Row],[Team]],Games[Season],Games[[#This Row],[Season]],Games[Date],"&lt;=" &amp; Games[[#This Row],[Date]])</f>
        <v>21</v>
      </c>
      <c r="D349" s="2" t="s">
        <v>79</v>
      </c>
      <c r="E349" s="2" t="s">
        <v>80</v>
      </c>
      <c r="F349" s="1" t="s">
        <v>65</v>
      </c>
      <c r="G349" s="1" t="s">
        <v>71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3</v>
      </c>
      <c r="L349" s="2">
        <f>Games[[#This Row],[OppDaysOff]]-Games[[#This Row],[DaysOff]]</f>
        <v>-3</v>
      </c>
      <c r="M349" s="1">
        <f>MAX(-16, MIN(16, Games[[#This Row],[RestDiff]]*8))</f>
        <v>16</v>
      </c>
      <c r="N349" s="1">
        <f>MAX(-16, MIN(16, Games[[#This Row],[OppRestDiff]]*8))</f>
        <v>-16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1447.7493764479675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1398.8948310528956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0.72090980975290186</v>
      </c>
      <c r="R349" s="1">
        <v>84</v>
      </c>
      <c r="S349" s="1">
        <v>79</v>
      </c>
      <c r="T349" s="1">
        <v>0</v>
      </c>
      <c r="U349" s="1">
        <f>Games[[#This Row],[PointsFor]]-Games[[#This Row],[PointsAgainst]]</f>
        <v>5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0.31877785289043176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72.849999999999994</v>
      </c>
      <c r="Z349" s="4">
        <f>Games[[#This Row],[K]]*Games[[#This Row],[POMult]]</f>
        <v>72.849999999999994</v>
      </c>
      <c r="AA349" s="4">
        <f>(Games[[#This Row],[Keff]]*Games[[#This Row],[MOVMult]])*(Games[[#This Row],[Result]]-Games[[#This Row],[ExpectedWin%]])</f>
        <v>6.4813021617704365</v>
      </c>
      <c r="AB349" s="4">
        <f>Games[[#This Row],[PreGmRate]]+Games[[#This Row],[RatingChange]]</f>
        <v>1454.2306786097379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46216</v>
      </c>
      <c r="B350" s="2">
        <v>2026</v>
      </c>
      <c r="C350" s="2">
        <f>COUNTIFS(Games[Team],Games[[#This Row],[Team]],Games[Season],Games[[#This Row],[Season]],Games[Date],"&lt;=" &amp; Games[[#This Row],[Date]])</f>
        <v>22</v>
      </c>
      <c r="D350" s="2" t="s">
        <v>79</v>
      </c>
      <c r="E350" s="2" t="s">
        <v>80</v>
      </c>
      <c r="F350" s="1" t="s">
        <v>63</v>
      </c>
      <c r="G350" s="1" t="s">
        <v>77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1</v>
      </c>
      <c r="L350" s="2">
        <f>Games[[#This Row],[OppDaysOff]]-Games[[#This Row],[DaysOff]]</f>
        <v>-1</v>
      </c>
      <c r="M350" s="1">
        <f>MAX(-16, MIN(16, Games[[#This Row],[RestDiff]]*8))</f>
        <v>8</v>
      </c>
      <c r="N350" s="1">
        <f>MAX(-16, MIN(16, Games[[#This Row],[OppRestDiff]]*8))</f>
        <v>-8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1447.7799584755489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1546.0131427163715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0.27749626217352691</v>
      </c>
      <c r="R350" s="1">
        <v>92</v>
      </c>
      <c r="S350" s="1">
        <v>101</v>
      </c>
      <c r="T350" s="1">
        <v>0</v>
      </c>
      <c r="U350" s="1">
        <f>Games[[#This Row],[PointsFor]]-Games[[#This Row],[PointsAgainst]]</f>
        <v>-9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0.37525295030998224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72.7</v>
      </c>
      <c r="Z350" s="4">
        <f>Games[[#This Row],[K]]*Games[[#This Row],[POMult]]</f>
        <v>72.7</v>
      </c>
      <c r="AA350" s="4">
        <f>(Games[[#This Row],[Keff]]*Games[[#This Row],[MOVMult]])*(Games[[#This Row],[Result]]-Games[[#This Row],[ExpectedWin%]])</f>
        <v>-7.5703448615602236</v>
      </c>
      <c r="AB350" s="4">
        <f>Games[[#This Row],[PreGmRate]]+Games[[#This Row],[RatingChange]]</f>
        <v>1440.2096136139887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46216</v>
      </c>
      <c r="B351" s="2">
        <v>2026</v>
      </c>
      <c r="C351" s="2">
        <f>COUNTIFS(Games[Team],Games[[#This Row],[Team]],Games[Season],Games[[#This Row],[Season]],Games[Date],"&lt;=" &amp; Games[[#This Row],[Date]])</f>
        <v>24</v>
      </c>
      <c r="D351" s="2" t="s">
        <v>79</v>
      </c>
      <c r="E351" s="2" t="s">
        <v>80</v>
      </c>
      <c r="F351" s="1" t="s">
        <v>77</v>
      </c>
      <c r="G351" s="1" t="s">
        <v>63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-1</v>
      </c>
      <c r="L351" s="2">
        <f>Games[[#This Row],[OppDaysOff]]-Games[[#This Row],[DaysOff]]</f>
        <v>1</v>
      </c>
      <c r="M351" s="1">
        <f>MAX(-16, MIN(16, Games[[#This Row],[RestDiff]]*8))</f>
        <v>-8</v>
      </c>
      <c r="N351" s="1">
        <f>MAX(-16, MIN(16, Games[[#This Row],[OppRestDiff]]*8))</f>
        <v>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1546.0131427163715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1447.7799584755489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0.72250373782647315</v>
      </c>
      <c r="R351" s="1">
        <v>101</v>
      </c>
      <c r="S351" s="1">
        <v>92</v>
      </c>
      <c r="T351" s="1">
        <v>0</v>
      </c>
      <c r="U351" s="1">
        <f>Games[[#This Row],[PointsFor]]-Games[[#This Row],[PointsAgainst]]</f>
        <v>9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0.37525295030998224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72.400000000000006</v>
      </c>
      <c r="Z351" s="4">
        <f>Games[[#This Row],[K]]*Games[[#This Row],[POMult]]</f>
        <v>72.400000000000006</v>
      </c>
      <c r="AA351" s="4">
        <f>(Games[[#This Row],[Keff]]*Games[[#This Row],[MOVMult]])*(Games[[#This Row],[Result]]-Games[[#This Row],[ExpectedWin%]])</f>
        <v>7.5391054742360399</v>
      </c>
      <c r="AB351" s="4">
        <f>Games[[#This Row],[PreGmRate]]+Games[[#This Row],[RatingChange]]</f>
        <v>1553.5522481906075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46216</v>
      </c>
      <c r="B352" s="2">
        <v>2026</v>
      </c>
      <c r="C352" s="2">
        <f>COUNTIFS(Games[Team],Games[[#This Row],[Team]],Games[Season],Games[[#This Row],[Season]],Games[Date],"&lt;=" &amp; Games[[#This Row],[Date]])</f>
        <v>25</v>
      </c>
      <c r="D352" s="2" t="s">
        <v>79</v>
      </c>
      <c r="E352" s="2" t="s">
        <v>80</v>
      </c>
      <c r="F352" s="1" t="s">
        <v>40</v>
      </c>
      <c r="G352" s="1" t="s">
        <v>67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1446.8271322587016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1663.2957039987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0.15063412792056735</v>
      </c>
      <c r="R352" s="1">
        <v>100</v>
      </c>
      <c r="S352" s="1">
        <v>104</v>
      </c>
      <c r="T352" s="1">
        <v>0</v>
      </c>
      <c r="U352" s="1">
        <f>Games[[#This Row],[PointsFor]]-Games[[#This Row],[PointsAgainst]]</f>
        <v>-4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0.26383873905905036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72.25</v>
      </c>
      <c r="Z352" s="4">
        <f>Games[[#This Row],[K]]*Games[[#This Row],[POMult]]</f>
        <v>72.25</v>
      </c>
      <c r="AA352" s="4">
        <f>(Games[[#This Row],[Keff]]*Games[[#This Row],[MOVMult]])*(Games[[#This Row],[Result]]-Games[[#This Row],[ExpectedWin%]])</f>
        <v>-2.8714403022196526</v>
      </c>
      <c r="AB352" s="4">
        <f>Games[[#This Row],[PreGmRate]]+Games[[#This Row],[RatingChange]]</f>
        <v>1443.9556919564818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46216</v>
      </c>
      <c r="B353" s="2">
        <v>2026</v>
      </c>
      <c r="C353" s="2">
        <f>COUNTIFS(Games[Team],Games[[#This Row],[Team]],Games[Season],Games[[#This Row],[Season]],Games[Date],"&lt;=" &amp; Games[[#This Row],[Date]])</f>
        <v>24</v>
      </c>
      <c r="D353" s="2" t="s">
        <v>79</v>
      </c>
      <c r="E353" s="2" t="s">
        <v>80</v>
      </c>
      <c r="F353" s="1" t="s">
        <v>67</v>
      </c>
      <c r="G353" s="1" t="s">
        <v>40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1663.2957039987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1446.8271322587016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0.8493658720794327</v>
      </c>
      <c r="R353" s="1">
        <v>104</v>
      </c>
      <c r="S353" s="1">
        <v>100</v>
      </c>
      <c r="T353" s="1">
        <v>0</v>
      </c>
      <c r="U353" s="1">
        <f>Games[[#This Row],[PointsFor]]-Games[[#This Row],[PointsAgainst]]</f>
        <v>4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0.26383873905905036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72.400000000000006</v>
      </c>
      <c r="Z353" s="4">
        <f>Games[[#This Row],[K]]*Games[[#This Row],[POMult]]</f>
        <v>72.400000000000006</v>
      </c>
      <c r="AA353" s="4">
        <f>(Games[[#This Row],[Keff]]*Games[[#This Row],[MOVMult]])*(Games[[#This Row],[Result]]-Games[[#This Row],[ExpectedWin%]])</f>
        <v>2.8774017699751253</v>
      </c>
      <c r="AB353" s="4">
        <f>Games[[#This Row],[PreGmRate]]+Games[[#This Row],[RatingChange]]</f>
        <v>1666.1731057686752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46217</v>
      </c>
      <c r="B354" s="2">
        <v>2026</v>
      </c>
      <c r="C354" s="2">
        <f>COUNTIFS(Games[Team],Games[[#This Row],[Team]],Games[Season],Games[[#This Row],[Season]],Games[Date],"&lt;=" &amp; Games[[#This Row],[Date]])</f>
        <v>24</v>
      </c>
      <c r="D354" s="2" t="s">
        <v>79</v>
      </c>
      <c r="E354" s="2" t="s">
        <v>80</v>
      </c>
      <c r="F354" s="1" t="s">
        <v>89</v>
      </c>
      <c r="G354" s="1" t="s">
        <v>74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1426.4328338903097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1343.6235302233179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0.47528076815573533</v>
      </c>
      <c r="R354" s="1">
        <v>87</v>
      </c>
      <c r="S354" s="1">
        <v>90</v>
      </c>
      <c r="T354" s="1">
        <v>0</v>
      </c>
      <c r="U354" s="1">
        <f>Games[[#This Row],[PointsFor]]-Games[[#This Row],[PointsAgainst]]</f>
        <v>-3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0.2714512783178607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72.400000000000006</v>
      </c>
      <c r="Z354" s="4">
        <f>Games[[#This Row],[K]]*Games[[#This Row],[POMult]]</f>
        <v>72.400000000000006</v>
      </c>
      <c r="AA354" s="4">
        <f>(Games[[#This Row],[Keff]]*Games[[#This Row],[MOVMult]])*(Games[[#This Row],[Result]]-Games[[#This Row],[ExpectedWin%]])</f>
        <v>-9.3407274182856863</v>
      </c>
      <c r="AB354" s="4">
        <f>Games[[#This Row],[PreGmRate]]+Games[[#This Row],[RatingChange]]</f>
        <v>1417.0921064720239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46217</v>
      </c>
      <c r="B355" s="2">
        <v>2026</v>
      </c>
      <c r="C355" s="2">
        <f>COUNTIFS(Games[Team],Games[[#This Row],[Team]],Games[Season],Games[[#This Row],[Season]],Games[Date],"&lt;=" &amp; Games[[#This Row],[Date]])</f>
        <v>24</v>
      </c>
      <c r="D355" s="2" t="s">
        <v>79</v>
      </c>
      <c r="E355" s="2" t="s">
        <v>80</v>
      </c>
      <c r="F355" s="1" t="s">
        <v>74</v>
      </c>
      <c r="G355" s="1" t="s">
        <v>89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1343.6235302233179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1426.4328338903097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0.52471923184426461</v>
      </c>
      <c r="R355" s="1">
        <v>90</v>
      </c>
      <c r="S355" s="1">
        <v>87</v>
      </c>
      <c r="T355" s="1">
        <v>0</v>
      </c>
      <c r="U355" s="1">
        <f>Games[[#This Row],[PointsFor]]-Games[[#This Row],[PointsAgainst]]</f>
        <v>3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0.2714512783178607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72.400000000000006</v>
      </c>
      <c r="Z355" s="4">
        <f>Games[[#This Row],[K]]*Games[[#This Row],[POMult]]</f>
        <v>72.400000000000006</v>
      </c>
      <c r="AA355" s="4">
        <f>(Games[[#This Row],[Keff]]*Games[[#This Row],[MOVMult]])*(Games[[#This Row],[Result]]-Games[[#This Row],[ExpectedWin%]])</f>
        <v>9.3407274182856881</v>
      </c>
      <c r="AB355" s="4">
        <f>Games[[#This Row],[PreGmRate]]+Games[[#This Row],[RatingChange]]</f>
        <v>1352.9642576416036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46217</v>
      </c>
      <c r="B356" s="2">
        <v>2026</v>
      </c>
      <c r="C356" s="2">
        <f>COUNTIFS(Games[Team],Games[[#This Row],[Team]],Games[Season],Games[[#This Row],[Season]],Games[Date],"&lt;=" &amp; Games[[#This Row],[Date]])</f>
        <v>22</v>
      </c>
      <c r="D356" s="2" t="s">
        <v>79</v>
      </c>
      <c r="E356" s="2" t="s">
        <v>80</v>
      </c>
      <c r="F356" s="1" t="s">
        <v>65</v>
      </c>
      <c r="G356" s="1" t="s">
        <v>90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1454.2306786097379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1439.5462788352186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0.40154957975185007</v>
      </c>
      <c r="R356" s="1">
        <v>79</v>
      </c>
      <c r="S356" s="1">
        <v>62</v>
      </c>
      <c r="T356" s="1">
        <v>0</v>
      </c>
      <c r="U356" s="1">
        <f>Games[[#This Row],[PointsFor]]-Games[[#This Row],[PointsAgainst]]</f>
        <v>17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0.52600534181306746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72.7</v>
      </c>
      <c r="Z356" s="4">
        <f>Games[[#This Row],[K]]*Games[[#This Row],[POMult]]</f>
        <v>72.7</v>
      </c>
      <c r="AA356" s="4">
        <f>(Games[[#This Row],[Keff]]*Games[[#This Row],[MOVMult]])*(Games[[#This Row],[Result]]-Games[[#This Row],[ExpectedWin%]])</f>
        <v>22.885096168480306</v>
      </c>
      <c r="AB356" s="4">
        <f>Games[[#This Row],[PreGmRate]]+Games[[#This Row],[RatingChange]]</f>
        <v>1477.1157747782181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46217</v>
      </c>
      <c r="B357" s="2">
        <v>2026</v>
      </c>
      <c r="C357" s="2">
        <f>COUNTIFS(Games[Team],Games[[#This Row],[Team]],Games[Season],Games[[#This Row],[Season]],Games[Date],"&lt;=" &amp; Games[[#This Row],[Date]])</f>
        <v>24</v>
      </c>
      <c r="D357" s="2" t="s">
        <v>79</v>
      </c>
      <c r="E357" s="2" t="s">
        <v>80</v>
      </c>
      <c r="F357" s="1" t="s">
        <v>90</v>
      </c>
      <c r="G357" s="1" t="s">
        <v>65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1439.5462788352186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1454.2306786097379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0.59845042024814987</v>
      </c>
      <c r="R357" s="1">
        <v>62</v>
      </c>
      <c r="S357" s="1">
        <v>79</v>
      </c>
      <c r="T357" s="1">
        <v>0</v>
      </c>
      <c r="U357" s="1">
        <f>Games[[#This Row],[PointsFor]]-Games[[#This Row],[PointsAgainst]]</f>
        <v>-17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0.52600534181306746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72.400000000000006</v>
      </c>
      <c r="Z357" s="4">
        <f>Games[[#This Row],[K]]*Games[[#This Row],[POMult]]</f>
        <v>72.400000000000006</v>
      </c>
      <c r="AA357" s="4">
        <f>(Games[[#This Row],[Keff]]*Games[[#This Row],[MOVMult]])*(Games[[#This Row],[Result]]-Games[[#This Row],[ExpectedWin%]])</f>
        <v>-22.790659733122059</v>
      </c>
      <c r="AB357" s="4">
        <f>Games[[#This Row],[PreGmRate]]+Games[[#This Row],[RatingChange]]</f>
        <v>1416.7556191020965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46218</v>
      </c>
      <c r="B358" s="2">
        <v>2026</v>
      </c>
      <c r="C358" s="2">
        <f>COUNTIFS(Games[Team],Games[[#This Row],[Team]],Games[Season],Games[[#This Row],[Season]],Games[Date],"&lt;=" &amp; Games[[#This Row],[Date]])</f>
        <v>26</v>
      </c>
      <c r="D358" s="2" t="s">
        <v>79</v>
      </c>
      <c r="E358" s="2" t="s">
        <v>80</v>
      </c>
      <c r="F358" s="1" t="s">
        <v>71</v>
      </c>
      <c r="G358" s="1" t="s">
        <v>75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1392.466909554091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1384.2491071097129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0.39263788675285544</v>
      </c>
      <c r="R358" s="1">
        <v>90</v>
      </c>
      <c r="S358" s="1">
        <v>95</v>
      </c>
      <c r="T358" s="1">
        <v>0</v>
      </c>
      <c r="U358" s="1">
        <f>Games[[#This Row],[PointsFor]]-Games[[#This Row],[PointsAgainst]]</f>
        <v>-5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0.32949950724784544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72.099999999999994</v>
      </c>
      <c r="Z358" s="4">
        <f>Games[[#This Row],[K]]*Games[[#This Row],[POMult]]</f>
        <v>72.099999999999994</v>
      </c>
      <c r="AA358" s="4">
        <f>(Games[[#This Row],[Keff]]*Games[[#This Row],[MOVMult]])*(Games[[#This Row],[Result]]-Games[[#This Row],[ExpectedWin%]])</f>
        <v>-9.3278646942780767</v>
      </c>
      <c r="AB358" s="4">
        <f>Games[[#This Row],[PreGmRate]]+Games[[#This Row],[RatingChange]]</f>
        <v>1383.1390448598129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46218</v>
      </c>
      <c r="B359" s="2">
        <v>2026</v>
      </c>
      <c r="C359" s="2">
        <f>COUNTIFS(Games[Team],Games[[#This Row],[Team]],Games[Season],Games[[#This Row],[Season]],Games[Date],"&lt;=" &amp; Games[[#This Row],[Date]])</f>
        <v>24</v>
      </c>
      <c r="D359" s="2" t="s">
        <v>79</v>
      </c>
      <c r="E359" s="2" t="s">
        <v>80</v>
      </c>
      <c r="F359" s="1" t="s">
        <v>75</v>
      </c>
      <c r="G359" s="1" t="s">
        <v>71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1384.2491071097129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1392.466909554091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0.60736211324714451</v>
      </c>
      <c r="R359" s="1">
        <v>95</v>
      </c>
      <c r="S359" s="1">
        <v>90</v>
      </c>
      <c r="T359" s="1">
        <v>0</v>
      </c>
      <c r="U359" s="1">
        <f>Games[[#This Row],[PointsFor]]-Games[[#This Row],[PointsAgainst]]</f>
        <v>5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0.32949950724784544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72.400000000000006</v>
      </c>
      <c r="Z359" s="4">
        <f>Games[[#This Row],[K]]*Games[[#This Row],[POMult]]</f>
        <v>72.400000000000006</v>
      </c>
      <c r="AA359" s="4">
        <f>(Games[[#This Row],[Keff]]*Games[[#This Row],[MOVMult]])*(Games[[#This Row],[Result]]-Games[[#This Row],[ExpectedWin%]])</f>
        <v>9.3666768913416494</v>
      </c>
      <c r="AB359" s="4">
        <f>Games[[#This Row],[PreGmRate]]+Games[[#This Row],[RatingChange]]</f>
        <v>1393.6157840010546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46218</v>
      </c>
      <c r="B360" s="2">
        <v>2026</v>
      </c>
      <c r="C360" s="2">
        <f>COUNTIFS(Games[Team],Games[[#This Row],[Team]],Games[Season],Games[[#This Row],[Season]],Games[Date],"&lt;=" &amp; Games[[#This Row],[Date]])</f>
        <v>25</v>
      </c>
      <c r="D360" s="2" t="s">
        <v>79</v>
      </c>
      <c r="E360" s="2" t="s">
        <v>80</v>
      </c>
      <c r="F360" s="1" t="s">
        <v>87</v>
      </c>
      <c r="G360" s="1" t="s">
        <v>69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2</v>
      </c>
      <c r="L360" s="2">
        <f>Games[[#This Row],[OppDaysOff]]-Games[[#This Row],[DaysOff]]</f>
        <v>-2</v>
      </c>
      <c r="M360" s="1">
        <f>MAX(-16, MIN(16, Games[[#This Row],[RestDiff]]*8))</f>
        <v>16</v>
      </c>
      <c r="N360" s="1">
        <f>MAX(-16, MIN(16, Games[[#This Row],[OppRestDiff]]*8))</f>
        <v>-16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1636.392899292724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1598.2445104395752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0.48007648397885694</v>
      </c>
      <c r="R360" s="1">
        <v>88</v>
      </c>
      <c r="S360" s="1">
        <v>75</v>
      </c>
      <c r="T360" s="1">
        <v>0</v>
      </c>
      <c r="U360" s="1">
        <f>Games[[#This Row],[PointsFor]]-Games[[#This Row],[PointsAgainst]]</f>
        <v>13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0.45749969218279657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72.25</v>
      </c>
      <c r="Z360" s="4">
        <f>Games[[#This Row],[K]]*Games[[#This Row],[POMult]]</f>
        <v>72.25</v>
      </c>
      <c r="AA360" s="4">
        <f>(Games[[#This Row],[Keff]]*Games[[#This Row],[MOVMult]])*(Games[[#This Row],[Result]]-Games[[#This Row],[ExpectedWin%]])</f>
        <v>17.185735306890027</v>
      </c>
      <c r="AB360" s="4">
        <f>Games[[#This Row],[PreGmRate]]+Games[[#This Row],[RatingChange]]</f>
        <v>1653.5786345996141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46218</v>
      </c>
      <c r="B361" s="2">
        <v>2026</v>
      </c>
      <c r="C361" s="2">
        <f>COUNTIFS(Games[Team],Games[[#This Row],[Team]],Games[Season],Games[[#This Row],[Season]],Games[Date],"&lt;=" &amp; Games[[#This Row],[Date]])</f>
        <v>24</v>
      </c>
      <c r="D361" s="2" t="s">
        <v>79</v>
      </c>
      <c r="E361" s="2" t="s">
        <v>80</v>
      </c>
      <c r="F361" s="1" t="s">
        <v>69</v>
      </c>
      <c r="G361" s="1" t="s">
        <v>87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1" s="2">
        <f>Games[[#This Row],[DaysOff]]-Games[[#This Row],[OppDaysOff]]</f>
        <v>-2</v>
      </c>
      <c r="L361" s="2">
        <f>Games[[#This Row],[OppDaysOff]]-Games[[#This Row],[DaysOff]]</f>
        <v>2</v>
      </c>
      <c r="M361" s="1">
        <f>MAX(-16, MIN(16, Games[[#This Row],[RestDiff]]*8))</f>
        <v>-16</v>
      </c>
      <c r="N361" s="1">
        <f>MAX(-16, MIN(16, Games[[#This Row],[OppRestDiff]]*8))</f>
        <v>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1598.2445104395752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1636.392899292724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0.51992351602114306</v>
      </c>
      <c r="R361" s="1">
        <v>75</v>
      </c>
      <c r="S361" s="1">
        <v>88</v>
      </c>
      <c r="T361" s="1">
        <v>0</v>
      </c>
      <c r="U361" s="1">
        <f>Games[[#This Row],[PointsFor]]-Games[[#This Row],[PointsAgainst]]</f>
        <v>-13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0.45749969218279657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72.400000000000006</v>
      </c>
      <c r="Z361" s="4">
        <f>Games[[#This Row],[K]]*Games[[#This Row],[POMult]]</f>
        <v>72.400000000000006</v>
      </c>
      <c r="AA361" s="4">
        <f>(Games[[#This Row],[Keff]]*Games[[#This Row],[MOVMult]])*(Games[[#This Row],[Result]]-Games[[#This Row],[ExpectedWin%]])</f>
        <v>-17.221415034170768</v>
      </c>
      <c r="AB361" s="4">
        <f>Games[[#This Row],[PreGmRate]]+Games[[#This Row],[RatingChange]]</f>
        <v>1581.0230954054043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46218</v>
      </c>
      <c r="B362" s="2">
        <v>2026</v>
      </c>
      <c r="C362" s="2">
        <f>COUNTIFS(Games[Team],Games[[#This Row],[Team]],Games[Season],Games[[#This Row],[Season]],Games[Date],"&lt;=" &amp; Games[[#This Row],[Date]])</f>
        <v>23</v>
      </c>
      <c r="D362" s="2" t="s">
        <v>79</v>
      </c>
      <c r="E362" s="2" t="s">
        <v>80</v>
      </c>
      <c r="F362" s="1" t="s">
        <v>63</v>
      </c>
      <c r="G362" s="1" t="s">
        <v>67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1440.2096136139887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1666.1731057686752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0.14377380878460472</v>
      </c>
      <c r="R362" s="1">
        <v>87</v>
      </c>
      <c r="S362" s="1">
        <v>96</v>
      </c>
      <c r="T362" s="1">
        <v>0</v>
      </c>
      <c r="U362" s="1">
        <f>Games[[#This Row],[PointsFor]]-Games[[#This Row],[PointsAgainst]]</f>
        <v>-9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0.34163976515314903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72.55</v>
      </c>
      <c r="Z362" s="4">
        <f>Games[[#This Row],[K]]*Games[[#This Row],[POMult]]</f>
        <v>72.55</v>
      </c>
      <c r="AA362" s="4">
        <f>(Games[[#This Row],[Keff]]*Games[[#This Row],[MOVMult]])*(Games[[#This Row],[Result]]-Games[[#This Row],[ExpectedWin%]])</f>
        <v>-3.5635725869685104</v>
      </c>
      <c r="AB362" s="4">
        <f>Games[[#This Row],[PreGmRate]]+Games[[#This Row],[RatingChange]]</f>
        <v>1436.6460410270201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46218</v>
      </c>
      <c r="B363" s="2">
        <v>2026</v>
      </c>
      <c r="C363" s="2">
        <f>COUNTIFS(Games[Team],Games[[#This Row],[Team]],Games[Season],Games[[#This Row],[Season]],Games[Date],"&lt;=" &amp; Games[[#This Row],[Date]])</f>
        <v>25</v>
      </c>
      <c r="D363" s="2" t="s">
        <v>79</v>
      </c>
      <c r="E363" s="2" t="s">
        <v>80</v>
      </c>
      <c r="F363" s="1" t="s">
        <v>67</v>
      </c>
      <c r="G363" s="1" t="s">
        <v>63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1666.1731057686752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1440.2096136139887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0.85622619121539534</v>
      </c>
      <c r="R363" s="1">
        <v>96</v>
      </c>
      <c r="S363" s="1">
        <v>87</v>
      </c>
      <c r="T363" s="1">
        <v>0</v>
      </c>
      <c r="U363" s="1">
        <f>Games[[#This Row],[PointsFor]]-Games[[#This Row],[PointsAgainst]]</f>
        <v>9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0.34163976515314903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72.25</v>
      </c>
      <c r="Z363" s="4">
        <f>Games[[#This Row],[K]]*Games[[#This Row],[POMult]]</f>
        <v>72.25</v>
      </c>
      <c r="AA363" s="4">
        <f>(Games[[#This Row],[Keff]]*Games[[#This Row],[MOVMult]])*(Games[[#This Row],[Result]]-Games[[#This Row],[ExpectedWin%]])</f>
        <v>3.5488369318880051</v>
      </c>
      <c r="AB363" s="4">
        <f>Games[[#This Row],[PreGmRate]]+Games[[#This Row],[RatingChange]]</f>
        <v>1669.7219427005632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46219</v>
      </c>
      <c r="B364" s="2">
        <v>2026</v>
      </c>
      <c r="C364" s="2">
        <f>COUNTIFS(Games[Team],Games[[#This Row],[Team]],Games[Season],Games[[#This Row],[Season]],Games[Date],"&lt;=" &amp; Games[[#This Row],[Date]])</f>
        <v>25</v>
      </c>
      <c r="D364" s="2" t="s">
        <v>79</v>
      </c>
      <c r="E364" s="2" t="s">
        <v>80</v>
      </c>
      <c r="F364" s="1" t="s">
        <v>89</v>
      </c>
      <c r="G364" s="1" t="s">
        <v>65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1417.0921064720239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1477.1157747782181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0.30384240980527044</v>
      </c>
      <c r="R364" s="1">
        <v>75</v>
      </c>
      <c r="S364" s="1">
        <v>56</v>
      </c>
      <c r="T364" s="1">
        <v>0</v>
      </c>
      <c r="U364" s="1">
        <f>Games[[#This Row],[PointsFor]]-Games[[#This Row],[PointsAgainst]]</f>
        <v>19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0.53425431934357448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72.25</v>
      </c>
      <c r="Z364" s="4">
        <f>Games[[#This Row],[K]]*Games[[#This Row],[POMult]]</f>
        <v>72.25</v>
      </c>
      <c r="AA364" s="4">
        <f>(Games[[#This Row],[Keff]]*Games[[#This Row],[MOVMult]])*(Games[[#This Row],[Result]]-Games[[#This Row],[ExpectedWin%]])</f>
        <v>26.871595664261413</v>
      </c>
      <c r="AB364" s="4">
        <f>Games[[#This Row],[PreGmRate]]+Games[[#This Row],[RatingChange]]</f>
        <v>1443.9637021362853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46219</v>
      </c>
      <c r="B365" s="2">
        <v>2026</v>
      </c>
      <c r="C365" s="2">
        <f>COUNTIFS(Games[Team],Games[[#This Row],[Team]],Games[Season],Games[[#This Row],[Season]],Games[Date],"&lt;=" &amp; Games[[#This Row],[Date]])</f>
        <v>23</v>
      </c>
      <c r="D365" s="2" t="s">
        <v>79</v>
      </c>
      <c r="E365" s="2" t="s">
        <v>80</v>
      </c>
      <c r="F365" s="1" t="s">
        <v>65</v>
      </c>
      <c r="G365" s="1" t="s">
        <v>89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1477.1157747782181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1417.0921064720239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0.69615759019472956</v>
      </c>
      <c r="R365" s="1">
        <v>56</v>
      </c>
      <c r="S365" s="1">
        <v>75</v>
      </c>
      <c r="T365" s="1">
        <v>0</v>
      </c>
      <c r="U365" s="1">
        <f>Games[[#This Row],[PointsFor]]-Games[[#This Row],[PointsAgainst]]</f>
        <v>-19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0.53425431934357448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72.55</v>
      </c>
      <c r="Z365" s="4">
        <f>Games[[#This Row],[K]]*Games[[#This Row],[POMult]]</f>
        <v>72.55</v>
      </c>
      <c r="AA365" s="4">
        <f>(Games[[#This Row],[Keff]]*Games[[#This Row],[MOVMult]])*(Games[[#This Row],[Result]]-Games[[#This Row],[ExpectedWin%]])</f>
        <v>-26.98317322411302</v>
      </c>
      <c r="AB365" s="4">
        <f>Games[[#This Row],[PreGmRate]]+Games[[#This Row],[RatingChange]]</f>
        <v>1450.1326015541051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46220</v>
      </c>
      <c r="B366" s="2">
        <v>2026</v>
      </c>
      <c r="C366" s="2">
        <f>COUNTIFS(Games[Team],Games[[#This Row],[Team]],Games[Season],Games[[#This Row],[Season]],Games[Date],"&lt;=" &amp; Games[[#This Row],[Date]])</f>
        <v>24</v>
      </c>
      <c r="D366" s="2" t="s">
        <v>79</v>
      </c>
      <c r="E366" s="2" t="s">
        <v>80</v>
      </c>
      <c r="F366" s="1" t="s">
        <v>63</v>
      </c>
      <c r="G366" s="1" t="s">
        <v>75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1436.6460410270201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1393.6157840010546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0.44131157368570639</v>
      </c>
      <c r="R366" s="1">
        <v>82</v>
      </c>
      <c r="S366" s="1">
        <v>96</v>
      </c>
      <c r="T366" s="1">
        <v>0</v>
      </c>
      <c r="U366" s="1">
        <f>Games[[#This Row],[PointsFor]]-Games[[#This Row],[PointsAgainst]]</f>
        <v>-14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0.47072846451934658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72.400000000000006</v>
      </c>
      <c r="Z366" s="4">
        <f>Games[[#This Row],[K]]*Games[[#This Row],[POMult]]</f>
        <v>72.400000000000006</v>
      </c>
      <c r="AA366" s="4">
        <f>(Games[[#This Row],[Keff]]*Games[[#This Row],[MOVMult]])*(Games[[#This Row],[Result]]-Games[[#This Row],[ExpectedWin%]])</f>
        <v>-15.040225368591887</v>
      </c>
      <c r="AB366" s="4">
        <f>Games[[#This Row],[PreGmRate]]+Games[[#This Row],[RatingChange]]</f>
        <v>1421.6058156584284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46220</v>
      </c>
      <c r="B367" s="2">
        <v>2026</v>
      </c>
      <c r="C367" s="2">
        <f>COUNTIFS(Games[Team],Games[[#This Row],[Team]],Games[Season],Games[[#This Row],[Season]],Games[Date],"&lt;=" &amp; Games[[#This Row],[Date]])</f>
        <v>25</v>
      </c>
      <c r="D367" s="2" t="s">
        <v>79</v>
      </c>
      <c r="E367" s="2" t="s">
        <v>80</v>
      </c>
      <c r="F367" s="1" t="s">
        <v>75</v>
      </c>
      <c r="G367" s="1" t="s">
        <v>63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1393.6157840010546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1436.6460410270201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0.55868842631429361</v>
      </c>
      <c r="R367" s="1">
        <v>96</v>
      </c>
      <c r="S367" s="1">
        <v>82</v>
      </c>
      <c r="T367" s="1">
        <v>0</v>
      </c>
      <c r="U367" s="1">
        <f>Games[[#This Row],[PointsFor]]-Games[[#This Row],[PointsAgainst]]</f>
        <v>14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0.47072846451934658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72.25</v>
      </c>
      <c r="Z367" s="4">
        <f>Games[[#This Row],[K]]*Games[[#This Row],[POMult]]</f>
        <v>72.25</v>
      </c>
      <c r="AA367" s="4">
        <f>(Games[[#This Row],[Keff]]*Games[[#This Row],[MOVMult]])*(Games[[#This Row],[Result]]-Games[[#This Row],[ExpectedWin%]])</f>
        <v>15.009064680673534</v>
      </c>
      <c r="AB367" s="4">
        <f>Games[[#This Row],[PreGmRate]]+Games[[#This Row],[RatingChange]]</f>
        <v>1408.6248486817283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46220</v>
      </c>
      <c r="B368" s="2">
        <v>2026</v>
      </c>
      <c r="C368" s="2">
        <f>COUNTIFS(Games[Team],Games[[#This Row],[Team]],Games[Season],Games[[#This Row],[Season]],Games[Date],"&lt;=" &amp; Games[[#This Row],[Date]])</f>
        <v>27</v>
      </c>
      <c r="D368" s="2" t="s">
        <v>79</v>
      </c>
      <c r="E368" s="2" t="s">
        <v>80</v>
      </c>
      <c r="F368" s="1" t="s">
        <v>71</v>
      </c>
      <c r="G368" s="1" t="s">
        <v>69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1383.1390448598129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1581.0230954054043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0.1648390342549739</v>
      </c>
      <c r="R368" s="1">
        <v>107</v>
      </c>
      <c r="S368" s="1">
        <v>110</v>
      </c>
      <c r="T368" s="1">
        <v>0</v>
      </c>
      <c r="U368" s="1">
        <f>Games[[#This Row],[PointsFor]]-Games[[#This Row],[PointsAgainst]]</f>
        <v>-3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0.24910522813572414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71.95</v>
      </c>
      <c r="Z368" s="4">
        <f>Games[[#This Row],[K]]*Games[[#This Row],[POMult]]</f>
        <v>71.95</v>
      </c>
      <c r="AA368" s="4">
        <f>(Games[[#This Row],[Keff]]*Games[[#This Row],[MOVMult]])*(Games[[#This Row],[Result]]-Games[[#This Row],[ExpectedWin%]])</f>
        <v>-2.9544299835688679</v>
      </c>
      <c r="AB368" s="4">
        <f>Games[[#This Row],[PreGmRate]]+Games[[#This Row],[RatingChange]]</f>
        <v>1380.184614876244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46220</v>
      </c>
      <c r="B369" s="2">
        <v>2026</v>
      </c>
      <c r="C369" s="2">
        <f>COUNTIFS(Games[Team],Games[[#This Row],[Team]],Games[Season],Games[[#This Row],[Season]],Games[Date],"&lt;=" &amp; Games[[#This Row],[Date]])</f>
        <v>25</v>
      </c>
      <c r="D369" s="2" t="s">
        <v>79</v>
      </c>
      <c r="E369" s="2" t="s">
        <v>80</v>
      </c>
      <c r="F369" s="1" t="s">
        <v>69</v>
      </c>
      <c r="G369" s="1" t="s">
        <v>71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1581.0230954054043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1383.1390448598129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0.83516096574502618</v>
      </c>
      <c r="R369" s="1">
        <v>110</v>
      </c>
      <c r="S369" s="1">
        <v>107</v>
      </c>
      <c r="T369" s="1">
        <v>0</v>
      </c>
      <c r="U369" s="1">
        <f>Games[[#This Row],[PointsFor]]-Games[[#This Row],[PointsAgainst]]</f>
        <v>3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0.24910522813572414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72.25</v>
      </c>
      <c r="Z369" s="4">
        <f>Games[[#This Row],[K]]*Games[[#This Row],[POMult]]</f>
        <v>72.25</v>
      </c>
      <c r="AA369" s="4">
        <f>(Games[[#This Row],[Keff]]*Games[[#This Row],[MOVMult]])*(Games[[#This Row],[Result]]-Games[[#This Row],[ExpectedWin%]])</f>
        <v>2.9667486631389939</v>
      </c>
      <c r="AB369" s="4">
        <f>Games[[#This Row],[PreGmRate]]+Games[[#This Row],[RatingChange]]</f>
        <v>1583.9898440685433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46220</v>
      </c>
      <c r="B370" s="2">
        <v>2026</v>
      </c>
      <c r="C370" s="2">
        <f>COUNTIFS(Games[Team],Games[[#This Row],[Team]],Games[Season],Games[[#This Row],[Season]],Games[Date],"&lt;=" &amp; Games[[#This Row],[Date]])</f>
        <v>25</v>
      </c>
      <c r="D370" s="2" t="s">
        <v>79</v>
      </c>
      <c r="E370" s="2" t="s">
        <v>80</v>
      </c>
      <c r="F370" s="1" t="s">
        <v>74</v>
      </c>
      <c r="G370" s="1" t="s">
        <v>40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-1</v>
      </c>
      <c r="L370" s="2">
        <f>Games[[#This Row],[OppDaysOff]]-Games[[#This Row],[DaysOff]]</f>
        <v>1</v>
      </c>
      <c r="M370" s="1">
        <f>MAX(-16, MIN(16, Games[[#This Row],[RestDiff]]*8))</f>
        <v>-8</v>
      </c>
      <c r="N370" s="1">
        <f>MAX(-16, MIN(16, Games[[#This Row],[OppRestDiff]]*8))</f>
        <v>8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1352.9642576416036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1443.9556919564818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0.24984575951239255</v>
      </c>
      <c r="R370" s="1">
        <v>96</v>
      </c>
      <c r="S370" s="1">
        <v>83</v>
      </c>
      <c r="T370" s="1">
        <v>0</v>
      </c>
      <c r="U370" s="1">
        <f>Games[[#This Row],[PointsFor]]-Games[[#This Row],[PointsAgainst]]</f>
        <v>13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0.43877324955107405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72.25</v>
      </c>
      <c r="Z370" s="4">
        <f>Games[[#This Row],[K]]*Games[[#This Row],[POMult]]</f>
        <v>72.25</v>
      </c>
      <c r="AA370" s="4">
        <f>(Games[[#This Row],[Keff]]*Games[[#This Row],[MOVMult]])*(Games[[#This Row],[Result]]-Games[[#This Row],[ExpectedWin%]])</f>
        <v>23.780915094395926</v>
      </c>
      <c r="AB370" s="4">
        <f>Games[[#This Row],[PreGmRate]]+Games[[#This Row],[RatingChange]]</f>
        <v>1376.7451727359994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46220</v>
      </c>
      <c r="B371" s="2">
        <v>2026</v>
      </c>
      <c r="C371" s="2">
        <f>COUNTIFS(Games[Team],Games[[#This Row],[Team]],Games[Season],Games[[#This Row],[Season]],Games[Date],"&lt;=" &amp; Games[[#This Row],[Date]])</f>
        <v>26</v>
      </c>
      <c r="D371" s="2" t="s">
        <v>79</v>
      </c>
      <c r="E371" s="2" t="s">
        <v>80</v>
      </c>
      <c r="F371" s="1" t="s">
        <v>40</v>
      </c>
      <c r="G371" s="1" t="s">
        <v>74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1" s="2">
        <f>Games[[#This Row],[DaysOff]]-Games[[#This Row],[OppDaysOff]]</f>
        <v>1</v>
      </c>
      <c r="L371" s="2">
        <f>Games[[#This Row],[OppDaysOff]]-Games[[#This Row],[DaysOff]]</f>
        <v>-1</v>
      </c>
      <c r="M371" s="1">
        <f>MAX(-16, MIN(16, Games[[#This Row],[RestDiff]]*8))</f>
        <v>8</v>
      </c>
      <c r="N371" s="1">
        <f>MAX(-16, MIN(16, Games[[#This Row],[OppRestDiff]]*8))</f>
        <v>-8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1443.9556919564818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1352.9642576416036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0.75015424048760737</v>
      </c>
      <c r="R371" s="1">
        <v>83</v>
      </c>
      <c r="S371" s="1">
        <v>96</v>
      </c>
      <c r="T371" s="1">
        <v>0</v>
      </c>
      <c r="U371" s="1">
        <f>Games[[#This Row],[PointsFor]]-Games[[#This Row],[PointsAgainst]]</f>
        <v>-13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0.43877324955107405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72.099999999999994</v>
      </c>
      <c r="Z371" s="4">
        <f>Games[[#This Row],[K]]*Games[[#This Row],[POMult]]</f>
        <v>72.099999999999994</v>
      </c>
      <c r="AA371" s="4">
        <f>(Games[[#This Row],[Keff]]*Games[[#This Row],[MOVMult]])*(Games[[#This Row],[Result]]-Games[[#This Row],[ExpectedWin%]])</f>
        <v>-23.731542952331431</v>
      </c>
      <c r="AB371" s="4">
        <f>Games[[#This Row],[PreGmRate]]+Games[[#This Row],[RatingChange]]</f>
        <v>1420.2241490041504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46220</v>
      </c>
      <c r="B372" s="2">
        <v>2026</v>
      </c>
      <c r="C372" s="2">
        <f>COUNTIFS(Games[Team],Games[[#This Row],[Team]],Games[Season],Games[[#This Row],[Season]],Games[Date],"&lt;=" &amp; Games[[#This Row],[Date]])</f>
        <v>25</v>
      </c>
      <c r="D372" s="2" t="s">
        <v>79</v>
      </c>
      <c r="E372" s="2" t="s">
        <v>80</v>
      </c>
      <c r="F372" s="1" t="s">
        <v>77</v>
      </c>
      <c r="G372" s="1" t="s">
        <v>90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1</v>
      </c>
      <c r="L372" s="2">
        <f>Games[[#This Row],[OppDaysOff]]-Games[[#This Row],[DaysOff]]</f>
        <v>-1</v>
      </c>
      <c r="M372" s="1">
        <f>MAX(-16, MIN(16, Games[[#This Row],[RestDiff]]*8))</f>
        <v>8</v>
      </c>
      <c r="N372" s="1">
        <f>MAX(-16, MIN(16, Games[[#This Row],[OppRestDiff]]*8))</f>
        <v>-8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1553.5522481906075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1416.7556191020965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0.59773230577086478</v>
      </c>
      <c r="R372" s="1">
        <v>111</v>
      </c>
      <c r="S372" s="1">
        <v>92</v>
      </c>
      <c r="T372" s="1">
        <v>0</v>
      </c>
      <c r="U372" s="1">
        <f>Games[[#This Row],[PointsFor]]-Games[[#This Row],[PointsAgainst]]</f>
        <v>19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0.50357180188786066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72.25</v>
      </c>
      <c r="Z372" s="4">
        <f>Games[[#This Row],[K]]*Games[[#This Row],[POMult]]</f>
        <v>72.25</v>
      </c>
      <c r="AA372" s="4">
        <f>(Games[[#This Row],[Keff]]*Games[[#This Row],[MOVMult]])*(Games[[#This Row],[Result]]-Games[[#This Row],[ExpectedWin%]])</f>
        <v>14.635730735851384</v>
      </c>
      <c r="AB372" s="4">
        <f>Games[[#This Row],[PreGmRate]]+Games[[#This Row],[RatingChange]]</f>
        <v>1568.187978926459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46220</v>
      </c>
      <c r="B373" s="2">
        <v>2026</v>
      </c>
      <c r="C373" s="2">
        <f>COUNTIFS(Games[Team],Games[[#This Row],[Team]],Games[Season],Games[[#This Row],[Season]],Games[Date],"&lt;=" &amp; Games[[#This Row],[Date]])</f>
        <v>25</v>
      </c>
      <c r="D373" s="2" t="s">
        <v>79</v>
      </c>
      <c r="E373" s="2" t="s">
        <v>80</v>
      </c>
      <c r="F373" s="1" t="s">
        <v>90</v>
      </c>
      <c r="G373" s="1" t="s">
        <v>77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3" s="2">
        <f>Games[[#This Row],[DaysOff]]-Games[[#This Row],[OppDaysOff]]</f>
        <v>-1</v>
      </c>
      <c r="L373" s="2">
        <f>Games[[#This Row],[OppDaysOff]]-Games[[#This Row],[DaysOff]]</f>
        <v>1</v>
      </c>
      <c r="M373" s="1">
        <f>MAX(-16, MIN(16, Games[[#This Row],[RestDiff]]*8))</f>
        <v>-8</v>
      </c>
      <c r="N373" s="1">
        <f>MAX(-16, MIN(16, Games[[#This Row],[OppRestDiff]]*8))</f>
        <v>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1416.7556191020965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1553.5522481906075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0.40226769422913516</v>
      </c>
      <c r="R373" s="1">
        <v>92</v>
      </c>
      <c r="S373" s="1">
        <v>111</v>
      </c>
      <c r="T373" s="1">
        <v>0</v>
      </c>
      <c r="U373" s="1">
        <f>Games[[#This Row],[PointsFor]]-Games[[#This Row],[PointsAgainst]]</f>
        <v>-19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0.50357180188786066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72.25</v>
      </c>
      <c r="Z373" s="4">
        <f>Games[[#This Row],[K]]*Games[[#This Row],[POMult]]</f>
        <v>72.25</v>
      </c>
      <c r="AA373" s="4">
        <f>(Games[[#This Row],[Keff]]*Games[[#This Row],[MOVMult]])*(Games[[#This Row],[Result]]-Games[[#This Row],[ExpectedWin%]])</f>
        <v>-14.635730735851382</v>
      </c>
      <c r="AB373" s="4">
        <f>Games[[#This Row],[PreGmRate]]+Games[[#This Row],[RatingChange]]</f>
        <v>1402.119888366245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46221</v>
      </c>
      <c r="B374" s="2">
        <v>2026</v>
      </c>
      <c r="C374" s="2">
        <f>COUNTIFS(Games[Team],Games[[#This Row],[Team]],Games[Season],Games[[#This Row],[Season]],Games[Date],"&lt;=" &amp; Games[[#This Row],[Date]])</f>
        <v>24</v>
      </c>
      <c r="D374" s="2" t="s">
        <v>79</v>
      </c>
      <c r="E374" s="2" t="s">
        <v>80</v>
      </c>
      <c r="F374" s="1" t="s">
        <v>65</v>
      </c>
      <c r="G374" s="1" t="s">
        <v>87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-1</v>
      </c>
      <c r="L374" s="2">
        <f>Games[[#This Row],[OppDaysOff]]-Games[[#This Row],[DaysOff]]</f>
        <v>1</v>
      </c>
      <c r="M374" s="1">
        <f>MAX(-16, MIN(16, Games[[#This Row],[RestDiff]]*8))</f>
        <v>-8</v>
      </c>
      <c r="N374" s="1">
        <f>MAX(-16, MIN(16, Games[[#This Row],[OppRestDiff]]*8))</f>
        <v>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1450.1326015541051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1653.5786345996141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0.1484543279805442</v>
      </c>
      <c r="R374" s="1">
        <v>69</v>
      </c>
      <c r="S374" s="1">
        <v>74</v>
      </c>
      <c r="T374" s="1">
        <v>0</v>
      </c>
      <c r="U374" s="1">
        <f>Games[[#This Row],[PointsFor]]-Games[[#This Row],[PointsAgainst]]</f>
        <v>-5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0.28366403921467209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72.400000000000006</v>
      </c>
      <c r="Z374" s="4">
        <f>Games[[#This Row],[K]]*Games[[#This Row],[POMult]]</f>
        <v>72.400000000000006</v>
      </c>
      <c r="AA374" s="4">
        <f>(Games[[#This Row],[Keff]]*Games[[#This Row],[MOVMult]])*(Games[[#This Row],[Result]]-Games[[#This Row],[ExpectedWin%]])</f>
        <v>-3.048847572323528</v>
      </c>
      <c r="AB374" s="4">
        <f>Games[[#This Row],[PreGmRate]]+Games[[#This Row],[RatingChange]]</f>
        <v>1447.0837539817817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46221</v>
      </c>
      <c r="B375" s="2">
        <v>2026</v>
      </c>
      <c r="C375" s="2">
        <f>COUNTIFS(Games[Team],Games[[#This Row],[Team]],Games[Season],Games[[#This Row],[Season]],Games[Date],"&lt;=" &amp; Games[[#This Row],[Date]])</f>
        <v>26</v>
      </c>
      <c r="D375" s="2" t="s">
        <v>79</v>
      </c>
      <c r="E375" s="2" t="s">
        <v>80</v>
      </c>
      <c r="F375" s="1" t="s">
        <v>87</v>
      </c>
      <c r="G375" s="1" t="s">
        <v>65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1</v>
      </c>
      <c r="L375" s="2">
        <f>Games[[#This Row],[OppDaysOff]]-Games[[#This Row],[DaysOff]]</f>
        <v>-1</v>
      </c>
      <c r="M375" s="1">
        <f>MAX(-16, MIN(16, Games[[#This Row],[RestDiff]]*8))</f>
        <v>8</v>
      </c>
      <c r="N375" s="1">
        <f>MAX(-16, MIN(16, Games[[#This Row],[OppRestDiff]]*8))</f>
        <v>-8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1653.5786345996141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1450.1326015541051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0.85154567201945575</v>
      </c>
      <c r="R375" s="1">
        <v>74</v>
      </c>
      <c r="S375" s="1">
        <v>69</v>
      </c>
      <c r="T375" s="1">
        <v>0</v>
      </c>
      <c r="U375" s="1">
        <f>Games[[#This Row],[PointsFor]]-Games[[#This Row],[PointsAgainst]]</f>
        <v>5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0.28366403921467209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72.099999999999994</v>
      </c>
      <c r="Z375" s="4">
        <f>Games[[#This Row],[K]]*Games[[#This Row],[POMult]]</f>
        <v>72.099999999999994</v>
      </c>
      <c r="AA375" s="4">
        <f>(Games[[#This Row],[Keff]]*Games[[#This Row],[MOVMult]])*(Games[[#This Row],[Result]]-Games[[#This Row],[ExpectedWin%]])</f>
        <v>3.0362142260293705</v>
      </c>
      <c r="AB375" s="4">
        <f>Games[[#This Row],[PreGmRate]]+Games[[#This Row],[RatingChange]]</f>
        <v>1656.6148488256435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46221</v>
      </c>
      <c r="B376" s="2">
        <v>2026</v>
      </c>
      <c r="C376" s="2">
        <f>COUNTIFS(Games[Team],Games[[#This Row],[Team]],Games[Season],Games[[#This Row],[Season]],Games[Date],"&lt;=" &amp; Games[[#This Row],[Date]])</f>
        <v>25</v>
      </c>
      <c r="D376" s="2" t="s">
        <v>79</v>
      </c>
      <c r="E376" s="2" t="s">
        <v>80</v>
      </c>
      <c r="F376" s="1" t="s">
        <v>60</v>
      </c>
      <c r="G376" s="1" t="s">
        <v>69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6" s="2">
        <f>Games[[#This Row],[DaysOff]]-Games[[#This Row],[OppDaysOff]]</f>
        <v>5</v>
      </c>
      <c r="L376" s="2">
        <f>Games[[#This Row],[OppDaysOff]]-Games[[#This Row],[DaysOff]]</f>
        <v>-5</v>
      </c>
      <c r="M376" s="1">
        <f>MAX(-16, MIN(16, Games[[#This Row],[RestDiff]]*8))</f>
        <v>16</v>
      </c>
      <c r="N376" s="1">
        <f>MAX(-16, MIN(16, Games[[#This Row],[OppRestDiff]]*8))</f>
        <v>-16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1536.4194649029346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1583.9898440685433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0.36050495370721569</v>
      </c>
      <c r="R376" s="1">
        <v>88</v>
      </c>
      <c r="S376" s="1">
        <v>108</v>
      </c>
      <c r="T376" s="1">
        <v>0</v>
      </c>
      <c r="U376" s="1">
        <f>Games[[#This Row],[PointsFor]]-Games[[#This Row],[PointsAgainst]]</f>
        <v>-20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0.55296666404663908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72.25</v>
      </c>
      <c r="Z376" s="4">
        <f>Games[[#This Row],[K]]*Games[[#This Row],[POMult]]</f>
        <v>72.25</v>
      </c>
      <c r="AA376" s="4">
        <f>(Games[[#This Row],[Keff]]*Games[[#This Row],[MOVMult]])*(Games[[#This Row],[Result]]-Games[[#This Row],[ExpectedWin%]])</f>
        <v>-14.402836762317175</v>
      </c>
      <c r="AB376" s="4">
        <f>Games[[#This Row],[PreGmRate]]+Games[[#This Row],[RatingChange]]</f>
        <v>1522.0166281406175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46221</v>
      </c>
      <c r="B377" s="2">
        <v>2026</v>
      </c>
      <c r="C377" s="2">
        <f>COUNTIFS(Games[Team],Games[[#This Row],[Team]],Games[Season],Games[[#This Row],[Season]],Games[Date],"&lt;=" &amp; Games[[#This Row],[Date]])</f>
        <v>26</v>
      </c>
      <c r="D377" s="2" t="s">
        <v>79</v>
      </c>
      <c r="E377" s="2" t="s">
        <v>80</v>
      </c>
      <c r="F377" s="1" t="s">
        <v>69</v>
      </c>
      <c r="G377" s="1" t="s">
        <v>60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77" s="2">
        <f>Games[[#This Row],[DaysOff]]-Games[[#This Row],[OppDaysOff]]</f>
        <v>-5</v>
      </c>
      <c r="L377" s="2">
        <f>Games[[#This Row],[OppDaysOff]]-Games[[#This Row],[DaysOff]]</f>
        <v>5</v>
      </c>
      <c r="M377" s="1">
        <f>MAX(-16, MIN(16, Games[[#This Row],[RestDiff]]*8))</f>
        <v>-16</v>
      </c>
      <c r="N377" s="1">
        <f>MAX(-16, MIN(16, Games[[#This Row],[OppRestDiff]]*8))</f>
        <v>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1583.9898440685433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1536.4194649029346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0.63949504629278431</v>
      </c>
      <c r="R377" s="1">
        <v>108</v>
      </c>
      <c r="S377" s="1">
        <v>88</v>
      </c>
      <c r="T377" s="1">
        <v>0</v>
      </c>
      <c r="U377" s="1">
        <f>Games[[#This Row],[PointsFor]]-Games[[#This Row],[PointsAgainst]]</f>
        <v>20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0.55296666404663908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72.099999999999994</v>
      </c>
      <c r="Z377" s="4">
        <f>Games[[#This Row],[K]]*Games[[#This Row],[POMult]]</f>
        <v>72.099999999999994</v>
      </c>
      <c r="AA377" s="4">
        <f>(Games[[#This Row],[Keff]]*Games[[#This Row],[MOVMult]])*(Games[[#This Row],[Result]]-Games[[#This Row],[ExpectedWin%]])</f>
        <v>14.372934679073609</v>
      </c>
      <c r="AB377" s="4">
        <f>Games[[#This Row],[PreGmRate]]+Games[[#This Row],[RatingChange]]</f>
        <v>1598.3627787476169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46221</v>
      </c>
      <c r="B378" s="2">
        <v>2026</v>
      </c>
      <c r="C378" s="2">
        <f>COUNTIFS(Games[Team],Games[[#This Row],[Team]],Games[Season],Games[[#This Row],[Season]],Games[Date],"&lt;=" &amp; Games[[#This Row],[Date]])</f>
        <v>26</v>
      </c>
      <c r="D378" s="2" t="s">
        <v>79</v>
      </c>
      <c r="E378" s="2" t="s">
        <v>80</v>
      </c>
      <c r="F378" s="1" t="s">
        <v>89</v>
      </c>
      <c r="G378" s="1" t="s">
        <v>67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8" s="2">
        <f>Games[[#This Row],[DaysOff]]-Games[[#This Row],[OppDaysOff]]</f>
        <v>-1</v>
      </c>
      <c r="L378" s="2">
        <f>Games[[#This Row],[OppDaysOff]]-Games[[#This Row],[DaysOff]]</f>
        <v>1</v>
      </c>
      <c r="M378" s="1">
        <f>MAX(-16, MIN(16, Games[[#This Row],[RestDiff]]*8))</f>
        <v>-8</v>
      </c>
      <c r="N378" s="1">
        <f>MAX(-16, MIN(16, Games[[#This Row],[OppRestDiff]]*8))</f>
        <v>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1443.9637021362853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1669.7219427005632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0.13293943615156348</v>
      </c>
      <c r="R378" s="1">
        <v>93</v>
      </c>
      <c r="S378" s="1">
        <v>101</v>
      </c>
      <c r="T378" s="1">
        <v>0</v>
      </c>
      <c r="U378" s="1">
        <f>Games[[#This Row],[PointsFor]]-Games[[#This Row],[PointsAgainst]]</f>
        <v>-8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0.32682865071092587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72.099999999999994</v>
      </c>
      <c r="Z378" s="4">
        <f>Games[[#This Row],[K]]*Games[[#This Row],[POMult]]</f>
        <v>72.099999999999994</v>
      </c>
      <c r="AA378" s="4">
        <f>(Games[[#This Row],[Keff]]*Games[[#This Row],[MOVMult]])*(Games[[#This Row],[Result]]-Games[[#This Row],[ExpectedWin%]])</f>
        <v>-3.132630832799816</v>
      </c>
      <c r="AB378" s="4">
        <f>Games[[#This Row],[PreGmRate]]+Games[[#This Row],[RatingChange]]</f>
        <v>1440.8310713034855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46221</v>
      </c>
      <c r="B379" s="2">
        <v>2026</v>
      </c>
      <c r="C379" s="2">
        <f>COUNTIFS(Games[Team],Games[[#This Row],[Team]],Games[Season],Games[[#This Row],[Season]],Games[Date],"&lt;=" &amp; Games[[#This Row],[Date]])</f>
        <v>26</v>
      </c>
      <c r="D379" s="2" t="s">
        <v>79</v>
      </c>
      <c r="E379" s="2" t="s">
        <v>80</v>
      </c>
      <c r="F379" s="1" t="s">
        <v>67</v>
      </c>
      <c r="G379" s="1" t="s">
        <v>89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1</v>
      </c>
      <c r="L379" s="2">
        <f>Games[[#This Row],[OppDaysOff]]-Games[[#This Row],[DaysOff]]</f>
        <v>-1</v>
      </c>
      <c r="M379" s="1">
        <f>MAX(-16, MIN(16, Games[[#This Row],[RestDiff]]*8))</f>
        <v>8</v>
      </c>
      <c r="N379" s="1">
        <f>MAX(-16, MIN(16, Games[[#This Row],[OppRestDiff]]*8))</f>
        <v>-8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1669.7219427005632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1443.9637021362853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0.86706056384843644</v>
      </c>
      <c r="R379" s="1">
        <v>101</v>
      </c>
      <c r="S379" s="1">
        <v>93</v>
      </c>
      <c r="T379" s="1">
        <v>0</v>
      </c>
      <c r="U379" s="1">
        <f>Games[[#This Row],[PointsFor]]-Games[[#This Row],[PointsAgainst]]</f>
        <v>8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0.32682865071092587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72.099999999999994</v>
      </c>
      <c r="Z379" s="4">
        <f>Games[[#This Row],[K]]*Games[[#This Row],[POMult]]</f>
        <v>72.099999999999994</v>
      </c>
      <c r="AA379" s="4">
        <f>(Games[[#This Row],[Keff]]*Games[[#This Row],[MOVMult]])*(Games[[#This Row],[Result]]-Games[[#This Row],[ExpectedWin%]])</f>
        <v>3.1326308327998182</v>
      </c>
      <c r="AB379" s="4">
        <f>Games[[#This Row],[PreGmRate]]+Games[[#This Row],[RatingChange]]</f>
        <v>1672.854573533363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46222</v>
      </c>
      <c r="B380" s="2">
        <v>2026</v>
      </c>
      <c r="C380" s="2">
        <f>COUNTIFS(Games[Team],Games[[#This Row],[Team]],Games[Season],Games[[#This Row],[Season]],Games[Date],"&lt;=" &amp; Games[[#This Row],[Date]])</f>
        <v>26</v>
      </c>
      <c r="D380" s="2" t="s">
        <v>79</v>
      </c>
      <c r="E380" s="2" t="s">
        <v>80</v>
      </c>
      <c r="F380" s="1" t="s">
        <v>75</v>
      </c>
      <c r="G380" s="1" t="s">
        <v>77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1408.6248486817283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1568.187978926459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0.1974890940187731</v>
      </c>
      <c r="R380" s="1">
        <v>91</v>
      </c>
      <c r="S380" s="1">
        <v>93</v>
      </c>
      <c r="T380" s="1">
        <v>0</v>
      </c>
      <c r="U380" s="1">
        <f>Games[[#This Row],[PointsFor]]-Games[[#This Row],[PointsAgainst]]</f>
        <v>-2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0.23640651752136577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72.099999999999994</v>
      </c>
      <c r="Z380" s="4">
        <f>Games[[#This Row],[K]]*Games[[#This Row],[POMult]]</f>
        <v>72.099999999999994</v>
      </c>
      <c r="AA380" s="4">
        <f>(Games[[#This Row],[Keff]]*Games[[#This Row],[MOVMult]])*(Games[[#This Row],[Result]]-Games[[#This Row],[ExpectedWin%]])</f>
        <v>-3.3661838164073394</v>
      </c>
      <c r="AB380" s="4">
        <f>Games[[#This Row],[PreGmRate]]+Games[[#This Row],[RatingChange]]</f>
        <v>1405.258664865321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46222</v>
      </c>
      <c r="B381" s="2">
        <v>2026</v>
      </c>
      <c r="C381" s="2">
        <f>COUNTIFS(Games[Team],Games[[#This Row],[Team]],Games[Season],Games[[#This Row],[Season]],Games[Date],"&lt;=" &amp; Games[[#This Row],[Date]])</f>
        <v>26</v>
      </c>
      <c r="D381" s="2" t="s">
        <v>79</v>
      </c>
      <c r="E381" s="2" t="s">
        <v>80</v>
      </c>
      <c r="F381" s="1" t="s">
        <v>77</v>
      </c>
      <c r="G381" s="1" t="s">
        <v>75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1568.187978926459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1408.6248486817283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0.80251090598122699</v>
      </c>
      <c r="R381" s="1">
        <v>93</v>
      </c>
      <c r="S381" s="1">
        <v>91</v>
      </c>
      <c r="T381" s="1">
        <v>0</v>
      </c>
      <c r="U381" s="1">
        <f>Games[[#This Row],[PointsFor]]-Games[[#This Row],[PointsAgainst]]</f>
        <v>2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0.23640651752136577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72.099999999999994</v>
      </c>
      <c r="Z381" s="4">
        <f>Games[[#This Row],[K]]*Games[[#This Row],[POMult]]</f>
        <v>72.099999999999994</v>
      </c>
      <c r="AA381" s="4">
        <f>(Games[[#This Row],[Keff]]*Games[[#This Row],[MOVMult]])*(Games[[#This Row],[Result]]-Games[[#This Row],[ExpectedWin%]])</f>
        <v>3.3661838164073381</v>
      </c>
      <c r="AB381" s="4">
        <f>Games[[#This Row],[PreGmRate]]+Games[[#This Row],[RatingChange]]</f>
        <v>1571.5541627428663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46222</v>
      </c>
      <c r="B382" s="2">
        <v>2026</v>
      </c>
      <c r="C382" s="2">
        <f>COUNTIFS(Games[Team],Games[[#This Row],[Team]],Games[Season],Games[[#This Row],[Season]],Games[Date],"&lt;=" &amp; Games[[#This Row],[Date]])</f>
        <v>25</v>
      </c>
      <c r="D382" s="2" t="s">
        <v>79</v>
      </c>
      <c r="E382" s="2" t="s">
        <v>80</v>
      </c>
      <c r="F382" s="1" t="s">
        <v>63</v>
      </c>
      <c r="G382" s="1" t="s">
        <v>84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82" s="2">
        <f>Games[[#This Row],[DaysOff]]-Games[[#This Row],[OppDaysOff]]</f>
        <v>-5</v>
      </c>
      <c r="L382" s="2">
        <f>Games[[#This Row],[OppDaysOff]]-Games[[#This Row],[DaysOff]]</f>
        <v>5</v>
      </c>
      <c r="M382" s="1">
        <f>MAX(-16, MIN(16, Games[[#This Row],[RestDiff]]*8))</f>
        <v>-16</v>
      </c>
      <c r="N382" s="1">
        <f>MAX(-16, MIN(16, Games[[#This Row],[OppRestDiff]]*8))</f>
        <v>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1421.6058156584284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1577.5702373153902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0.17285126286237704</v>
      </c>
      <c r="R382" s="1">
        <v>82</v>
      </c>
      <c r="S382" s="1">
        <v>90</v>
      </c>
      <c r="T382" s="1">
        <v>0</v>
      </c>
      <c r="U382" s="1">
        <f>Games[[#This Row],[PointsFor]]-Games[[#This Row],[PointsAgainst]]</f>
        <v>-8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0.34365108299389585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72.25</v>
      </c>
      <c r="Z382" s="4">
        <f>Games[[#This Row],[K]]*Games[[#This Row],[POMult]]</f>
        <v>72.25</v>
      </c>
      <c r="AA382" s="4">
        <f>(Games[[#This Row],[Keff]]*Games[[#This Row],[MOVMult]])*(Games[[#This Row],[Result]]-Games[[#This Row],[ExpectedWin%]])</f>
        <v>-4.2916878358452069</v>
      </c>
      <c r="AB382" s="4">
        <f>Games[[#This Row],[PreGmRate]]+Games[[#This Row],[RatingChange]]</f>
        <v>1417.3141278225833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46222</v>
      </c>
      <c r="B383" s="2">
        <v>2026</v>
      </c>
      <c r="C383" s="2">
        <f>COUNTIFS(Games[Team],Games[[#This Row],[Team]],Games[Season],Games[[#This Row],[Season]],Games[Date],"&lt;=" &amp; Games[[#This Row],[Date]])</f>
        <v>25</v>
      </c>
      <c r="D383" s="2" t="s">
        <v>79</v>
      </c>
      <c r="E383" s="2" t="s">
        <v>80</v>
      </c>
      <c r="F383" s="1" t="s">
        <v>84</v>
      </c>
      <c r="G383" s="1" t="s">
        <v>63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6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5</v>
      </c>
      <c r="L383" s="2">
        <f>Games[[#This Row],[OppDaysOff]]-Games[[#This Row],[DaysOff]]</f>
        <v>-5</v>
      </c>
      <c r="M383" s="1">
        <f>MAX(-16, MIN(16, Games[[#This Row],[RestDiff]]*8))</f>
        <v>16</v>
      </c>
      <c r="N383" s="1">
        <f>MAX(-16, MIN(16, Games[[#This Row],[OppRestDiff]]*8))</f>
        <v>-16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1577.5702373153902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1421.6058156584284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0.82714873713762305</v>
      </c>
      <c r="R383" s="1">
        <v>90</v>
      </c>
      <c r="S383" s="1">
        <v>82</v>
      </c>
      <c r="T383" s="1">
        <v>0</v>
      </c>
      <c r="U383" s="1">
        <f>Games[[#This Row],[PointsFor]]-Games[[#This Row],[PointsAgainst]]</f>
        <v>8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0.34365108299389585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72.25</v>
      </c>
      <c r="Z383" s="4">
        <f>Games[[#This Row],[K]]*Games[[#This Row],[POMult]]</f>
        <v>72.25</v>
      </c>
      <c r="AA383" s="4">
        <f>(Games[[#This Row],[Keff]]*Games[[#This Row],[MOVMult]])*(Games[[#This Row],[Result]]-Games[[#This Row],[ExpectedWin%]])</f>
        <v>4.2916878358452051</v>
      </c>
      <c r="AB383" s="4">
        <f>Games[[#This Row],[PreGmRate]]+Games[[#This Row],[RatingChange]]</f>
        <v>1581.8619251512353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46222</v>
      </c>
      <c r="B384" s="2">
        <v>2026</v>
      </c>
      <c r="C384" s="2">
        <f>COUNTIFS(Games[Team],Games[[#This Row],[Team]],Games[Season],Games[[#This Row],[Season]],Games[Date],"&lt;=" &amp; Games[[#This Row],[Date]])</f>
        <v>26</v>
      </c>
      <c r="D384" s="2" t="s">
        <v>79</v>
      </c>
      <c r="E384" s="2" t="s">
        <v>80</v>
      </c>
      <c r="F384" s="1" t="s">
        <v>74</v>
      </c>
      <c r="G384" s="1" t="s">
        <v>40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1376.7451727359994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1420.2241490041504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0.32435526717010121</v>
      </c>
      <c r="R384" s="1">
        <v>63</v>
      </c>
      <c r="S384" s="1">
        <v>72</v>
      </c>
      <c r="T384" s="1">
        <v>0</v>
      </c>
      <c r="U384" s="1">
        <f>Games[[#This Row],[PointsFor]]-Games[[#This Row],[PointsAgainst]]</f>
        <v>-9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0.39177649310866691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72.099999999999994</v>
      </c>
      <c r="Z384" s="4">
        <f>Games[[#This Row],[K]]*Games[[#This Row],[POMult]]</f>
        <v>72.099999999999994</v>
      </c>
      <c r="AA384" s="4">
        <f>(Games[[#This Row],[Keff]]*Games[[#This Row],[MOVMult]])*(Games[[#This Row],[Result]]-Games[[#This Row],[ExpectedWin%]])</f>
        <v>-9.1620908516216648</v>
      </c>
      <c r="AB384" s="4">
        <f>Games[[#This Row],[PreGmRate]]+Games[[#This Row],[RatingChange]]</f>
        <v>1367.5830818843776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46222</v>
      </c>
      <c r="B385" s="2">
        <v>2026</v>
      </c>
      <c r="C385" s="2">
        <f>COUNTIFS(Games[Team],Games[[#This Row],[Team]],Games[Season],Games[[#This Row],[Season]],Games[Date],"&lt;=" &amp; Games[[#This Row],[Date]])</f>
        <v>27</v>
      </c>
      <c r="D385" s="2" t="s">
        <v>79</v>
      </c>
      <c r="E385" s="2" t="s">
        <v>80</v>
      </c>
      <c r="F385" s="1" t="s">
        <v>40</v>
      </c>
      <c r="G385" s="1" t="s">
        <v>74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1420.2241490041504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1376.7451727359994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0.67564473282989879</v>
      </c>
      <c r="R385" s="1">
        <v>72</v>
      </c>
      <c r="S385" s="1">
        <v>63</v>
      </c>
      <c r="T385" s="1">
        <v>0</v>
      </c>
      <c r="U385" s="1">
        <f>Games[[#This Row],[PointsFor]]-Games[[#This Row],[PointsAgainst]]</f>
        <v>9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0.39177649310866691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71.95</v>
      </c>
      <c r="Z385" s="4">
        <f>Games[[#This Row],[K]]*Games[[#This Row],[POMult]]</f>
        <v>71.95</v>
      </c>
      <c r="AA385" s="4">
        <f>(Games[[#This Row],[Keff]]*Games[[#This Row],[MOVMult]])*(Games[[#This Row],[Result]]-Games[[#This Row],[ExpectedWin%]])</f>
        <v>9.1430296362576815</v>
      </c>
      <c r="AB385" s="4">
        <f>Games[[#This Row],[PreGmRate]]+Games[[#This Row],[RatingChange]]</f>
        <v>1429.3671786404082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46223</v>
      </c>
      <c r="B386" s="2">
        <v>2026</v>
      </c>
      <c r="C386" s="2">
        <f>COUNTIFS(Games[Team],Games[[#This Row],[Team]],Games[Season],Games[[#This Row],[Season]],Games[Date],"&lt;=" &amp; Games[[#This Row],[Date]])</f>
        <v>26</v>
      </c>
      <c r="D386" s="2" t="s">
        <v>79</v>
      </c>
      <c r="E386" s="2" t="s">
        <v>80</v>
      </c>
      <c r="F386" s="1" t="s">
        <v>60</v>
      </c>
      <c r="G386" s="1" t="s">
        <v>84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6" s="2">
        <f>Games[[#This Row],[DaysOff]]-Games[[#This Row],[OppDaysOff]]</f>
        <v>1</v>
      </c>
      <c r="L386" s="2">
        <f>Games[[#This Row],[OppDaysOff]]-Games[[#This Row],[DaysOff]]</f>
        <v>-1</v>
      </c>
      <c r="M386" s="1">
        <f>MAX(-16, MIN(16, Games[[#This Row],[RestDiff]]*8))</f>
        <v>8</v>
      </c>
      <c r="N386" s="1">
        <f>MAX(-16, MIN(16, Games[[#This Row],[OppRestDiff]]*8))</f>
        <v>-8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1522.0166281406175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1581.8619251512353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0.32389331653182651</v>
      </c>
      <c r="R386" s="1">
        <v>99</v>
      </c>
      <c r="S386" s="1">
        <v>98</v>
      </c>
      <c r="T386" s="1">
        <v>1</v>
      </c>
      <c r="U386" s="1">
        <f>Games[[#This Row],[PointsFor]]-Games[[#This Row],[PointsAgainst]]</f>
        <v>1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0.20932256148295514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72.099999999999994</v>
      </c>
      <c r="Z386" s="4">
        <f>Games[[#This Row],[K]]*Games[[#This Row],[POMult]]</f>
        <v>72.099999999999994</v>
      </c>
      <c r="AA386" s="4">
        <f>(Games[[#This Row],[Keff]]*Games[[#This Row],[MOVMult]])*(Games[[#This Row],[Result]]-Games[[#This Row],[ExpectedWin%]])</f>
        <v>10.203908001271792</v>
      </c>
      <c r="AB386" s="4">
        <f>Games[[#This Row],[PreGmRate]]+Games[[#This Row],[RatingChange]]</f>
        <v>1532.2205361418894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46223</v>
      </c>
      <c r="B387" s="2">
        <v>2026</v>
      </c>
      <c r="C387" s="2">
        <f>COUNTIFS(Games[Team],Games[[#This Row],[Team]],Games[Season],Games[[#This Row],[Season]],Games[Date],"&lt;=" &amp; Games[[#This Row],[Date]])</f>
        <v>26</v>
      </c>
      <c r="D387" s="2" t="s">
        <v>79</v>
      </c>
      <c r="E387" s="2" t="s">
        <v>80</v>
      </c>
      <c r="F387" s="1" t="s">
        <v>84</v>
      </c>
      <c r="G387" s="1" t="s">
        <v>60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-1</v>
      </c>
      <c r="L387" s="2">
        <f>Games[[#This Row],[OppDaysOff]]-Games[[#This Row],[DaysOff]]</f>
        <v>1</v>
      </c>
      <c r="M387" s="1">
        <f>MAX(-16, MIN(16, Games[[#This Row],[RestDiff]]*8))</f>
        <v>-8</v>
      </c>
      <c r="N387" s="1">
        <f>MAX(-16, MIN(16, Games[[#This Row],[OppRestDiff]]*8))</f>
        <v>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1581.8619251512353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1522.0166281406175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0.67610668346817349</v>
      </c>
      <c r="R387" s="1">
        <v>98</v>
      </c>
      <c r="S387" s="1">
        <v>99</v>
      </c>
      <c r="T387" s="1">
        <v>1</v>
      </c>
      <c r="U387" s="1">
        <f>Games[[#This Row],[PointsFor]]-Games[[#This Row],[PointsAgainst]]</f>
        <v>-1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0.20932256148295514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72.099999999999994</v>
      </c>
      <c r="Z387" s="4">
        <f>Games[[#This Row],[K]]*Games[[#This Row],[POMult]]</f>
        <v>72.099999999999994</v>
      </c>
      <c r="AA387" s="4">
        <f>(Games[[#This Row],[Keff]]*Games[[#This Row],[MOVMult]])*(Games[[#This Row],[Result]]-Games[[#This Row],[ExpectedWin%]])</f>
        <v>-10.203908001271792</v>
      </c>
      <c r="AB387" s="4">
        <f>Games[[#This Row],[PreGmRate]]+Games[[#This Row],[RatingChange]]</f>
        <v>1571.6580171499634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46223</v>
      </c>
      <c r="B388" s="2">
        <v>2026</v>
      </c>
      <c r="C388" s="2">
        <f>COUNTIFS(Games[Team],Games[[#This Row],[Team]],Games[Season],Games[[#This Row],[Season]],Games[Date],"&lt;=" &amp; Games[[#This Row],[Date]])</f>
        <v>25</v>
      </c>
      <c r="D388" s="2" t="s">
        <v>79</v>
      </c>
      <c r="E388" s="2" t="s">
        <v>80</v>
      </c>
      <c r="F388" s="1" t="s">
        <v>65</v>
      </c>
      <c r="G388" s="1" t="s">
        <v>87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1447.0837539817817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1656.6148488256435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0.15581519079591197</v>
      </c>
      <c r="R388" s="1">
        <v>90</v>
      </c>
      <c r="S388" s="1">
        <v>82</v>
      </c>
      <c r="T388" s="1">
        <v>0</v>
      </c>
      <c r="U388" s="1">
        <f>Games[[#This Row],[PointsFor]]-Games[[#This Row],[PointsAgainst]]</f>
        <v>8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0.33059124676864576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72.25</v>
      </c>
      <c r="Z388" s="4">
        <f>Games[[#This Row],[K]]*Games[[#This Row],[POMult]]</f>
        <v>72.25</v>
      </c>
      <c r="AA388" s="4">
        <f>(Games[[#This Row],[Keff]]*Games[[#This Row],[MOVMult]])*(Games[[#This Row],[Result]]-Games[[#This Row],[ExpectedWin%]])</f>
        <v>20.163537844755499</v>
      </c>
      <c r="AB388" s="4">
        <f>Games[[#This Row],[PreGmRate]]+Games[[#This Row],[RatingChange]]</f>
        <v>1467.2472918265371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46223</v>
      </c>
      <c r="B389" s="2">
        <v>2026</v>
      </c>
      <c r="C389" s="2">
        <f>COUNTIFS(Games[Team],Games[[#This Row],[Team]],Games[Season],Games[[#This Row],[Season]],Games[Date],"&lt;=" &amp; Games[[#This Row],[Date]])</f>
        <v>27</v>
      </c>
      <c r="D389" s="2" t="s">
        <v>79</v>
      </c>
      <c r="E389" s="2" t="s">
        <v>80</v>
      </c>
      <c r="F389" s="1" t="s">
        <v>87</v>
      </c>
      <c r="G389" s="1" t="s">
        <v>65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1656.6148488256435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1447.0837539817817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0.844184809204088</v>
      </c>
      <c r="R389" s="1">
        <v>82</v>
      </c>
      <c r="S389" s="1">
        <v>90</v>
      </c>
      <c r="T389" s="1">
        <v>0</v>
      </c>
      <c r="U389" s="1">
        <f>Games[[#This Row],[PointsFor]]-Games[[#This Row],[PointsAgainst]]</f>
        <v>-8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0.33059124676864576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71.95</v>
      </c>
      <c r="Z389" s="4">
        <f>Games[[#This Row],[K]]*Games[[#This Row],[POMult]]</f>
        <v>71.95</v>
      </c>
      <c r="AA389" s="4">
        <f>(Games[[#This Row],[Keff]]*Games[[#This Row],[MOVMult]])*(Games[[#This Row],[Result]]-Games[[#This Row],[ExpectedWin%]])</f>
        <v>-20.07981381218212</v>
      </c>
      <c r="AB389" s="4">
        <f>Games[[#This Row],[PreGmRate]]+Games[[#This Row],[RatingChange]]</f>
        <v>1636.5350350134615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46223</v>
      </c>
      <c r="B390" s="2">
        <v>2026</v>
      </c>
      <c r="C390" s="2">
        <f>COUNTIFS(Games[Team],Games[[#This Row],[Team]],Games[Season],Games[[#This Row],[Season]],Games[Date],"&lt;=" &amp; Games[[#This Row],[Date]])</f>
        <v>27</v>
      </c>
      <c r="D390" s="2" t="s">
        <v>79</v>
      </c>
      <c r="E390" s="2" t="s">
        <v>80</v>
      </c>
      <c r="F390" s="1" t="s">
        <v>67</v>
      </c>
      <c r="G390" s="1" t="s">
        <v>71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0" s="2">
        <f>Games[[#This Row],[DaysOff]]-Games[[#This Row],[OppDaysOff]]</f>
        <v>-1</v>
      </c>
      <c r="L390" s="2">
        <f>Games[[#This Row],[OppDaysOff]]-Games[[#This Row],[DaysOff]]</f>
        <v>1</v>
      </c>
      <c r="M390" s="1">
        <f>MAX(-16, MIN(16, Games[[#This Row],[RestDiff]]*8))</f>
        <v>-8</v>
      </c>
      <c r="N390" s="1">
        <f>MAX(-16, MIN(16, Games[[#This Row],[OppRestDiff]]*8))</f>
        <v>8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1672.854573533363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1380.184614876244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0.75196080744903138</v>
      </c>
      <c r="R390" s="1">
        <v>105</v>
      </c>
      <c r="S390" s="1">
        <v>102</v>
      </c>
      <c r="T390" s="1">
        <v>0</v>
      </c>
      <c r="U390" s="1">
        <f>Games[[#This Row],[PointsFor]]-Games[[#This Row],[PointsAgainst]]</f>
        <v>3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0.23328681822720282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71.95</v>
      </c>
      <c r="Z390" s="4">
        <f>Games[[#This Row],[K]]*Games[[#This Row],[POMult]]</f>
        <v>71.95</v>
      </c>
      <c r="AA390" s="4">
        <f>(Games[[#This Row],[Keff]]*Games[[#This Row],[MOVMult]])*(Games[[#This Row],[Result]]-Games[[#This Row],[ExpectedWin%]])</f>
        <v>4.1633345161606261</v>
      </c>
      <c r="AB390" s="4">
        <f>Games[[#This Row],[PreGmRate]]+Games[[#This Row],[RatingChange]]</f>
        <v>1677.0179080495236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46223</v>
      </c>
      <c r="B391" s="2">
        <v>2026</v>
      </c>
      <c r="C391" s="2">
        <f>COUNTIFS(Games[Team],Games[[#This Row],[Team]],Games[Season],Games[[#This Row],[Season]],Games[Date],"&lt;=" &amp; Games[[#This Row],[Date]])</f>
        <v>28</v>
      </c>
      <c r="D391" s="2" t="s">
        <v>79</v>
      </c>
      <c r="E391" s="2" t="s">
        <v>80</v>
      </c>
      <c r="F391" s="1" t="s">
        <v>71</v>
      </c>
      <c r="G391" s="1" t="s">
        <v>67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1</v>
      </c>
      <c r="L391" s="2">
        <f>Games[[#This Row],[OppDaysOff]]-Games[[#This Row],[DaysOff]]</f>
        <v>-1</v>
      </c>
      <c r="M391" s="1">
        <f>MAX(-16, MIN(16, Games[[#This Row],[RestDiff]]*8))</f>
        <v>8</v>
      </c>
      <c r="N391" s="1">
        <f>MAX(-16, MIN(16, Games[[#This Row],[OppRestDiff]]*8))</f>
        <v>-8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1380.184614876244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1672.854573533363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0.24803919255096868</v>
      </c>
      <c r="R391" s="1">
        <v>102</v>
      </c>
      <c r="S391" s="1">
        <v>105</v>
      </c>
      <c r="T391" s="1">
        <v>0</v>
      </c>
      <c r="U391" s="1">
        <f>Games[[#This Row],[PointsFor]]-Games[[#This Row],[PointsAgainst]]</f>
        <v>-3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0.23328681822720282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71.8</v>
      </c>
      <c r="Z391" s="4">
        <f>Games[[#This Row],[K]]*Games[[#This Row],[POMult]]</f>
        <v>71.8</v>
      </c>
      <c r="AA391" s="4">
        <f>(Games[[#This Row],[Keff]]*Games[[#This Row],[MOVMult]])*(Games[[#This Row],[Result]]-Games[[#This Row],[ExpectedWin%]])</f>
        <v>-4.1546548750567469</v>
      </c>
      <c r="AB391" s="4">
        <f>Games[[#This Row],[PreGmRate]]+Games[[#This Row],[RatingChange]]</f>
        <v>1376.0299600011872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46223</v>
      </c>
      <c r="B392" s="2">
        <v>2026</v>
      </c>
      <c r="C392" s="2">
        <f>COUNTIFS(Games[Team],Games[[#This Row],[Team]],Games[Season],Games[[#This Row],[Season]],Games[Date],"&lt;=" &amp; Games[[#This Row],[Date]])</f>
        <v>25</v>
      </c>
      <c r="D392" s="2" t="s">
        <v>79</v>
      </c>
      <c r="E392" s="2" t="s">
        <v>80</v>
      </c>
      <c r="F392" s="1" t="s">
        <v>85</v>
      </c>
      <c r="G392" s="1" t="s">
        <v>90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7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5</v>
      </c>
      <c r="L392" s="2">
        <f>Games[[#This Row],[OppDaysOff]]-Games[[#This Row],[DaysOff]]</f>
        <v>-5</v>
      </c>
      <c r="M392" s="1">
        <f>MAX(-16, MIN(16, Games[[#This Row],[RestDiff]]*8))</f>
        <v>16</v>
      </c>
      <c r="N392" s="1">
        <f>MAX(-16, MIN(16, Games[[#This Row],[OppRestDiff]]*8))</f>
        <v>-16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1607.0658354497896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1402.119888366245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0.70691083169607272</v>
      </c>
      <c r="R392" s="1">
        <v>109</v>
      </c>
      <c r="S392" s="1">
        <v>83</v>
      </c>
      <c r="T392" s="1">
        <v>0</v>
      </c>
      <c r="U392" s="1">
        <f>Games[[#This Row],[PointsFor]]-Games[[#This Row],[PointsAgainst]]</f>
        <v>26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0.55867263665876066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72.25</v>
      </c>
      <c r="Z392" s="4">
        <f>Games[[#This Row],[K]]*Games[[#This Row],[POMult]]</f>
        <v>72.25</v>
      </c>
      <c r="AA392" s="4">
        <f>(Games[[#This Row],[Keff]]*Games[[#This Row],[MOVMult]])*(Games[[#This Row],[Result]]-Games[[#This Row],[ExpectedWin%]])</f>
        <v>11.830279911746558</v>
      </c>
      <c r="AB392" s="4">
        <f>Games[[#This Row],[PreGmRate]]+Games[[#This Row],[RatingChange]]</f>
        <v>1618.8961153615362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46223</v>
      </c>
      <c r="B393" s="2">
        <v>2026</v>
      </c>
      <c r="C393" s="2">
        <f>COUNTIFS(Games[Team],Games[[#This Row],[Team]],Games[Season],Games[[#This Row],[Season]],Games[Date],"&lt;=" &amp; Games[[#This Row],[Date]])</f>
        <v>26</v>
      </c>
      <c r="D393" s="2" t="s">
        <v>79</v>
      </c>
      <c r="E393" s="2" t="s">
        <v>80</v>
      </c>
      <c r="F393" s="1" t="s">
        <v>90</v>
      </c>
      <c r="G393" s="1" t="s">
        <v>85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93" s="2">
        <f>Games[[#This Row],[DaysOff]]-Games[[#This Row],[OppDaysOff]]</f>
        <v>-5</v>
      </c>
      <c r="L393" s="2">
        <f>Games[[#This Row],[OppDaysOff]]-Games[[#This Row],[DaysOff]]</f>
        <v>5</v>
      </c>
      <c r="M393" s="1">
        <f>MAX(-16, MIN(16, Games[[#This Row],[RestDiff]]*8))</f>
        <v>-16</v>
      </c>
      <c r="N393" s="1">
        <f>MAX(-16, MIN(16, Games[[#This Row],[OppRestDiff]]*8))</f>
        <v>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1402.119888366245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1607.0658354497896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0.29308916830392728</v>
      </c>
      <c r="R393" s="1">
        <v>83</v>
      </c>
      <c r="S393" s="1">
        <v>109</v>
      </c>
      <c r="T393" s="1">
        <v>0</v>
      </c>
      <c r="U393" s="1">
        <f>Games[[#This Row],[PointsFor]]-Games[[#This Row],[PointsAgainst]]</f>
        <v>-26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0.55867263665876066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72.099999999999994</v>
      </c>
      <c r="Z393" s="4">
        <f>Games[[#This Row],[K]]*Games[[#This Row],[POMult]]</f>
        <v>72.099999999999994</v>
      </c>
      <c r="AA393" s="4">
        <f>(Games[[#This Row],[Keff]]*Games[[#This Row],[MOVMult]])*(Games[[#This Row],[Result]]-Games[[#This Row],[ExpectedWin%]])</f>
        <v>-11.805718776981687</v>
      </c>
      <c r="AB393" s="4">
        <f>Games[[#This Row],[PreGmRate]]+Games[[#This Row],[RatingChange]]</f>
        <v>1390.3141695892634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46225</v>
      </c>
      <c r="B394" s="2">
        <v>2026</v>
      </c>
      <c r="C394" s="2">
        <f>COUNTIFS(Games[Team],Games[[#This Row],[Team]],Games[Season],Games[[#This Row],[Season]],Games[Date],"&lt;=" &amp; Games[[#This Row],[Date]])</f>
        <v>27</v>
      </c>
      <c r="D394" s="2" t="s">
        <v>79</v>
      </c>
      <c r="E394" s="2" t="s">
        <v>80</v>
      </c>
      <c r="F394" s="1" t="s">
        <v>74</v>
      </c>
      <c r="G394" s="1" t="s">
        <v>69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4" s="2">
        <f>Games[[#This Row],[DaysOff]]-Games[[#This Row],[OppDaysOff]]</f>
        <v>-1</v>
      </c>
      <c r="L394" s="2">
        <f>Games[[#This Row],[OppDaysOff]]-Games[[#This Row],[DaysOff]]</f>
        <v>1</v>
      </c>
      <c r="M394" s="1">
        <f>MAX(-16, MIN(16, Games[[#This Row],[RestDiff]]*8))</f>
        <v>-8</v>
      </c>
      <c r="N394" s="1">
        <f>MAX(-16, MIN(16, Games[[#This Row],[OppRestDiff]]*8))</f>
        <v>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1367.5830818843776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1598.3627787476169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0.12964276932344126</v>
      </c>
      <c r="R394" s="1">
        <v>88</v>
      </c>
      <c r="S394" s="1">
        <v>123</v>
      </c>
      <c r="T394" s="1">
        <v>0</v>
      </c>
      <c r="U394" s="1">
        <f>Games[[#This Row],[PointsFor]]-Games[[#This Row],[PointsAgainst]]</f>
        <v>-35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0.63923894493316624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71.95</v>
      </c>
      <c r="Z394" s="4">
        <f>Games[[#This Row],[K]]*Games[[#This Row],[POMult]]</f>
        <v>71.95</v>
      </c>
      <c r="AA394" s="4">
        <f>(Games[[#This Row],[Keff]]*Games[[#This Row],[MOVMult]])*(Games[[#This Row],[Result]]-Games[[#This Row],[ExpectedWin%]])</f>
        <v>-5.9626912744441656</v>
      </c>
      <c r="AB394" s="4">
        <f>Games[[#This Row],[PreGmRate]]+Games[[#This Row],[RatingChange]]</f>
        <v>1361.6203906099336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46225</v>
      </c>
      <c r="B395" s="2">
        <v>2026</v>
      </c>
      <c r="C395" s="2">
        <f>COUNTIFS(Games[Team],Games[[#This Row],[Team]],Games[Season],Games[[#This Row],[Season]],Games[Date],"&lt;=" &amp; Games[[#This Row],[Date]])</f>
        <v>27</v>
      </c>
      <c r="D395" s="2" t="s">
        <v>79</v>
      </c>
      <c r="E395" s="2" t="s">
        <v>80</v>
      </c>
      <c r="F395" s="1" t="s">
        <v>69</v>
      </c>
      <c r="G395" s="1" t="s">
        <v>74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1</v>
      </c>
      <c r="L395" s="2">
        <f>Games[[#This Row],[OppDaysOff]]-Games[[#This Row],[DaysOff]]</f>
        <v>-1</v>
      </c>
      <c r="M395" s="1">
        <f>MAX(-16, MIN(16, Games[[#This Row],[RestDiff]]*8))</f>
        <v>8</v>
      </c>
      <c r="N395" s="1">
        <f>MAX(-16, MIN(16, Games[[#This Row],[OppRestDiff]]*8))</f>
        <v>-8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1598.3627787476169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1367.5830818843776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0.87035723067655868</v>
      </c>
      <c r="R395" s="1">
        <v>123</v>
      </c>
      <c r="S395" s="1">
        <v>88</v>
      </c>
      <c r="T395" s="1">
        <v>0</v>
      </c>
      <c r="U395" s="1">
        <f>Games[[#This Row],[PointsFor]]-Games[[#This Row],[PointsAgainst]]</f>
        <v>35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0.63923894493316624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71.95</v>
      </c>
      <c r="Z395" s="4">
        <f>Games[[#This Row],[K]]*Games[[#This Row],[POMult]]</f>
        <v>71.95</v>
      </c>
      <c r="AA395" s="4">
        <f>(Games[[#This Row],[Keff]]*Games[[#This Row],[MOVMult]])*(Games[[#This Row],[Result]]-Games[[#This Row],[ExpectedWin%]])</f>
        <v>5.9626912744441682</v>
      </c>
      <c r="AB395" s="4">
        <f>Games[[#This Row],[PreGmRate]]+Games[[#This Row],[RatingChange]]</f>
        <v>1604.3254700220609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46225</v>
      </c>
      <c r="B396" s="2">
        <v>2026</v>
      </c>
      <c r="C396" s="2">
        <f>COUNTIFS(Games[Team],Games[[#This Row],[Team]],Games[Season],Games[[#This Row],[Season]],Games[Date],"&lt;=" &amp; Games[[#This Row],[Date]])</f>
        <v>28</v>
      </c>
      <c r="D396" s="2" t="s">
        <v>79</v>
      </c>
      <c r="E396" s="2" t="s">
        <v>80</v>
      </c>
      <c r="F396" s="1" t="s">
        <v>40</v>
      </c>
      <c r="G396" s="1" t="s">
        <v>63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1429.3671786404082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1417.3141278225833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0.39791506828837908</v>
      </c>
      <c r="R396" s="1">
        <v>86</v>
      </c>
      <c r="S396" s="1">
        <v>82</v>
      </c>
      <c r="T396" s="1">
        <v>0</v>
      </c>
      <c r="U396" s="1">
        <f>Games[[#This Row],[PointsFor]]-Games[[#This Row],[PointsAgainst]]</f>
        <v>4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0.30833574622207383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71.8</v>
      </c>
      <c r="Z396" s="4">
        <f>Games[[#This Row],[K]]*Games[[#This Row],[POMult]]</f>
        <v>71.8</v>
      </c>
      <c r="AA396" s="4">
        <f>(Games[[#This Row],[Keff]]*Games[[#This Row],[MOVMult]])*(Games[[#This Row],[Result]]-Games[[#This Row],[ExpectedWin%]])</f>
        <v>13.329261221660893</v>
      </c>
      <c r="AB396" s="4">
        <f>Games[[#This Row],[PreGmRate]]+Games[[#This Row],[RatingChange]]</f>
        <v>1442.6964398620692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46225</v>
      </c>
      <c r="B397" s="2">
        <v>2026</v>
      </c>
      <c r="C397" s="2">
        <f>COUNTIFS(Games[Team],Games[[#This Row],[Team]],Games[Season],Games[[#This Row],[Season]],Games[Date],"&lt;=" &amp; Games[[#This Row],[Date]])</f>
        <v>26</v>
      </c>
      <c r="D397" s="2" t="s">
        <v>79</v>
      </c>
      <c r="E397" s="2" t="s">
        <v>80</v>
      </c>
      <c r="F397" s="1" t="s">
        <v>63</v>
      </c>
      <c r="G397" s="1" t="s">
        <v>40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1417.3141278225833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1429.3671786404082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0.60208493171162092</v>
      </c>
      <c r="R397" s="1">
        <v>82</v>
      </c>
      <c r="S397" s="1">
        <v>86</v>
      </c>
      <c r="T397" s="1">
        <v>0</v>
      </c>
      <c r="U397" s="1">
        <f>Games[[#This Row],[PointsFor]]-Games[[#This Row],[PointsAgainst]]</f>
        <v>-4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0.30833574622207383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72.099999999999994</v>
      </c>
      <c r="Z397" s="4">
        <f>Games[[#This Row],[K]]*Games[[#This Row],[POMult]]</f>
        <v>72.099999999999994</v>
      </c>
      <c r="AA397" s="4">
        <f>(Games[[#This Row],[Keff]]*Games[[#This Row],[MOVMult]])*(Games[[#This Row],[Result]]-Games[[#This Row],[ExpectedWin%]])</f>
        <v>-13.384954513673403</v>
      </c>
      <c r="AB397" s="4">
        <f>Games[[#This Row],[PreGmRate]]+Games[[#This Row],[RatingChange]]</f>
        <v>1403.9291733089099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46225</v>
      </c>
      <c r="B398" s="2">
        <v>2026</v>
      </c>
      <c r="C398" s="2">
        <f>COUNTIFS(Games[Team],Games[[#This Row],[Team]],Games[Season],Games[[#This Row],[Season]],Games[Date],"&lt;=" &amp; Games[[#This Row],[Date]])</f>
        <v>27</v>
      </c>
      <c r="D398" s="2" t="s">
        <v>79</v>
      </c>
      <c r="E398" s="2" t="s">
        <v>80</v>
      </c>
      <c r="F398" s="1" t="s">
        <v>75</v>
      </c>
      <c r="G398" s="1" t="s">
        <v>60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1</v>
      </c>
      <c r="L398" s="2">
        <f>Games[[#This Row],[OppDaysOff]]-Games[[#This Row],[DaysOff]]</f>
        <v>-1</v>
      </c>
      <c r="M398" s="1">
        <f>MAX(-16, MIN(16, Games[[#This Row],[RestDiff]]*8))</f>
        <v>8</v>
      </c>
      <c r="N398" s="1">
        <f>MAX(-16, MIN(16, Games[[#This Row],[OppRestDiff]]*8))</f>
        <v>-8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1405.258664865321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1532.2205361418894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0.24558662090605188</v>
      </c>
      <c r="R398" s="1">
        <v>94</v>
      </c>
      <c r="S398" s="1">
        <v>95</v>
      </c>
      <c r="T398" s="1">
        <v>0</v>
      </c>
      <c r="U398" s="1">
        <f>Games[[#This Row],[PointsFor]]-Games[[#This Row],[PointsAgainst]]</f>
        <v>-1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0.22081689873761348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71.95</v>
      </c>
      <c r="Z398" s="4">
        <f>Games[[#This Row],[K]]*Games[[#This Row],[POMult]]</f>
        <v>71.95</v>
      </c>
      <c r="AA398" s="4">
        <f>(Games[[#This Row],[Keff]]*Games[[#This Row],[MOVMult]])*(Games[[#This Row],[Result]]-Games[[#This Row],[ExpectedWin%]])</f>
        <v>-3.9018251881945556</v>
      </c>
      <c r="AB398" s="4">
        <f>Games[[#This Row],[PreGmRate]]+Games[[#This Row],[RatingChange]]</f>
        <v>1401.3568396771263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46225</v>
      </c>
      <c r="B399" s="2">
        <v>2026</v>
      </c>
      <c r="C399" s="2">
        <f>COUNTIFS(Games[Team],Games[[#This Row],[Team]],Games[Season],Games[[#This Row],[Season]],Games[Date],"&lt;=" &amp; Games[[#This Row],[Date]])</f>
        <v>27</v>
      </c>
      <c r="D399" s="2" t="s">
        <v>79</v>
      </c>
      <c r="E399" s="2" t="s">
        <v>80</v>
      </c>
      <c r="F399" s="1" t="s">
        <v>60</v>
      </c>
      <c r="G399" s="1" t="s">
        <v>75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-1</v>
      </c>
      <c r="L399" s="2">
        <f>Games[[#This Row],[OppDaysOff]]-Games[[#This Row],[DaysOff]]</f>
        <v>1</v>
      </c>
      <c r="M399" s="1">
        <f>MAX(-16, MIN(16, Games[[#This Row],[RestDiff]]*8))</f>
        <v>-8</v>
      </c>
      <c r="N399" s="1">
        <f>MAX(-16, MIN(16, Games[[#This Row],[OppRestDiff]]*8))</f>
        <v>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1532.2205361418894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1405.258664865321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0.75441337909394812</v>
      </c>
      <c r="R399" s="1">
        <v>95</v>
      </c>
      <c r="S399" s="1">
        <v>94</v>
      </c>
      <c r="T399" s="1">
        <v>0</v>
      </c>
      <c r="U399" s="1">
        <f>Games[[#This Row],[PointsFor]]-Games[[#This Row],[PointsAgainst]]</f>
        <v>1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0.22081689873761348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71.95</v>
      </c>
      <c r="Z399" s="4">
        <f>Games[[#This Row],[K]]*Games[[#This Row],[POMult]]</f>
        <v>71.95</v>
      </c>
      <c r="AA399" s="4">
        <f>(Games[[#This Row],[Keff]]*Games[[#This Row],[MOVMult]])*(Games[[#This Row],[Result]]-Games[[#This Row],[ExpectedWin%]])</f>
        <v>3.9018251881945556</v>
      </c>
      <c r="AB399" s="4">
        <f>Games[[#This Row],[PreGmRate]]+Games[[#This Row],[RatingChange]]</f>
        <v>1536.122361330084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46225</v>
      </c>
      <c r="B400" s="2">
        <v>2026</v>
      </c>
      <c r="C400" s="2">
        <f>COUNTIFS(Games[Team],Games[[#This Row],[Team]],Games[Season],Games[[#This Row],[Season]],Games[Date],"&lt;=" &amp; Games[[#This Row],[Date]])</f>
        <v>27</v>
      </c>
      <c r="D400" s="2" t="s">
        <v>79</v>
      </c>
      <c r="E400" s="2" t="s">
        <v>80</v>
      </c>
      <c r="F400" s="1" t="s">
        <v>84</v>
      </c>
      <c r="G400" s="1" t="s">
        <v>89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0" s="2">
        <f>Games[[#This Row],[DaysOff]]-Games[[#This Row],[OppDaysOff]]</f>
        <v>-2</v>
      </c>
      <c r="L400" s="2">
        <f>Games[[#This Row],[OppDaysOff]]-Games[[#This Row],[DaysOff]]</f>
        <v>2</v>
      </c>
      <c r="M400" s="1">
        <f>MAX(-16, MIN(16, Games[[#This Row],[RestDiff]]*8))</f>
        <v>-16</v>
      </c>
      <c r="N400" s="1">
        <f>MAX(-16, MIN(16, Games[[#This Row],[OppRestDiff]]*8))</f>
        <v>16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1571.6580171499634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1440.8310713034855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0.52132474641372284</v>
      </c>
      <c r="R400" s="1">
        <v>101</v>
      </c>
      <c r="S400" s="1">
        <v>97</v>
      </c>
      <c r="T400" s="1">
        <v>0</v>
      </c>
      <c r="U400" s="1">
        <f>Games[[#This Row],[PointsFor]]-Games[[#This Row],[PointsAgainst]]</f>
        <v>4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0.28081733921231178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71.95</v>
      </c>
      <c r="Z400" s="4">
        <f>Games[[#This Row],[K]]*Games[[#This Row],[POMult]]</f>
        <v>71.95</v>
      </c>
      <c r="AA400" s="4">
        <f>(Games[[#This Row],[Keff]]*Games[[#This Row],[MOVMult]])*(Games[[#This Row],[Result]]-Games[[#This Row],[ExpectedWin%]])</f>
        <v>9.6715413806861967</v>
      </c>
      <c r="AB400" s="4">
        <f>Games[[#This Row],[PreGmRate]]+Games[[#This Row],[RatingChange]]</f>
        <v>1581.3295585306496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46225</v>
      </c>
      <c r="B401" s="2">
        <v>2026</v>
      </c>
      <c r="C401" s="2">
        <f>COUNTIFS(Games[Team],Games[[#This Row],[Team]],Games[Season],Games[[#This Row],[Season]],Games[Date],"&lt;=" &amp; Games[[#This Row],[Date]])</f>
        <v>27</v>
      </c>
      <c r="D401" s="2" t="s">
        <v>79</v>
      </c>
      <c r="E401" s="2" t="s">
        <v>80</v>
      </c>
      <c r="F401" s="1" t="s">
        <v>89</v>
      </c>
      <c r="G401" s="1" t="s">
        <v>84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2</v>
      </c>
      <c r="L401" s="2">
        <f>Games[[#This Row],[OppDaysOff]]-Games[[#This Row],[DaysOff]]</f>
        <v>-2</v>
      </c>
      <c r="M401" s="1">
        <f>MAX(-16, MIN(16, Games[[#This Row],[RestDiff]]*8))</f>
        <v>16</v>
      </c>
      <c r="N401" s="1">
        <f>MAX(-16, MIN(16, Games[[#This Row],[OppRestDiff]]*8))</f>
        <v>-16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1440.8310713034855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1571.6580171499634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0.47867525358627711</v>
      </c>
      <c r="R401" s="1">
        <v>97</v>
      </c>
      <c r="S401" s="1">
        <v>101</v>
      </c>
      <c r="T401" s="1">
        <v>0</v>
      </c>
      <c r="U401" s="1">
        <f>Games[[#This Row],[PointsFor]]-Games[[#This Row],[PointsAgainst]]</f>
        <v>-4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0.28081733921231178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71.95</v>
      </c>
      <c r="Z401" s="4">
        <f>Games[[#This Row],[K]]*Games[[#This Row],[POMult]]</f>
        <v>71.95</v>
      </c>
      <c r="AA401" s="4">
        <f>(Games[[#This Row],[Keff]]*Games[[#This Row],[MOVMult]])*(Games[[#This Row],[Result]]-Games[[#This Row],[ExpectedWin%]])</f>
        <v>-9.671541380686195</v>
      </c>
      <c r="AB401" s="4">
        <f>Games[[#This Row],[PreGmRate]]+Games[[#This Row],[RatingChange]]</f>
        <v>1431.1595299227993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46225</v>
      </c>
      <c r="B402" s="2">
        <v>2026</v>
      </c>
      <c r="C402" s="2">
        <f>COUNTIFS(Games[Team],Games[[#This Row],[Team]],Games[Season],Games[[#This Row],[Season]],Games[Date],"&lt;=" &amp; Games[[#This Row],[Date]])</f>
        <v>28</v>
      </c>
      <c r="D402" s="2" t="s">
        <v>79</v>
      </c>
      <c r="E402" s="2" t="s">
        <v>80</v>
      </c>
      <c r="F402" s="1" t="s">
        <v>67</v>
      </c>
      <c r="G402" s="1" t="s">
        <v>71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1677.0179080495236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1376.0299600011872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0.77714109001517939</v>
      </c>
      <c r="R402" s="1">
        <v>86</v>
      </c>
      <c r="S402" s="1">
        <v>76</v>
      </c>
      <c r="T402" s="1">
        <v>0</v>
      </c>
      <c r="U402" s="1">
        <f>Games[[#This Row],[PointsFor]]-Games[[#This Row],[PointsAgainst]]</f>
        <v>10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0.3382809567917926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71.8</v>
      </c>
      <c r="Z402" s="4">
        <f>Games[[#This Row],[K]]*Games[[#This Row],[POMult]]</f>
        <v>71.8</v>
      </c>
      <c r="AA402" s="4">
        <f>(Games[[#This Row],[Keff]]*Games[[#This Row],[MOVMult]])*(Games[[#This Row],[Result]]-Games[[#This Row],[ExpectedWin%]])</f>
        <v>5.4129248364855105</v>
      </c>
      <c r="AB402" s="4">
        <f>Games[[#This Row],[PreGmRate]]+Games[[#This Row],[RatingChange]]</f>
        <v>1682.4308328860091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46225</v>
      </c>
      <c r="B403" s="2">
        <v>2026</v>
      </c>
      <c r="C403" s="2">
        <f>COUNTIFS(Games[Team],Games[[#This Row],[Team]],Games[Season],Games[[#This Row],[Season]],Games[Date],"&lt;=" &amp; Games[[#This Row],[Date]])</f>
        <v>29</v>
      </c>
      <c r="D403" s="2" t="s">
        <v>79</v>
      </c>
      <c r="E403" s="2" t="s">
        <v>80</v>
      </c>
      <c r="F403" s="1" t="s">
        <v>71</v>
      </c>
      <c r="G403" s="1" t="s">
        <v>67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1376.0299600011872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1677.0179080495236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0.22285890998482058</v>
      </c>
      <c r="R403" s="1">
        <v>76</v>
      </c>
      <c r="S403" s="1">
        <v>86</v>
      </c>
      <c r="T403" s="1">
        <v>0</v>
      </c>
      <c r="U403" s="1">
        <f>Games[[#This Row],[PointsFor]]-Games[[#This Row],[PointsAgainst]]</f>
        <v>-10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0.3382809567917926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71.650000000000006</v>
      </c>
      <c r="Z403" s="4">
        <f>Games[[#This Row],[K]]*Games[[#This Row],[POMult]]</f>
        <v>71.650000000000006</v>
      </c>
      <c r="AA403" s="4">
        <f>(Games[[#This Row],[Keff]]*Games[[#This Row],[MOVMult]])*(Games[[#This Row],[Result]]-Games[[#This Row],[ExpectedWin%]])</f>
        <v>-5.4016164976906245</v>
      </c>
      <c r="AB403" s="4">
        <f>Games[[#This Row],[PreGmRate]]+Games[[#This Row],[RatingChange]]</f>
        <v>1370.6283435034966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46225</v>
      </c>
      <c r="B404" s="2">
        <v>2026</v>
      </c>
      <c r="C404" s="2">
        <f>COUNTIFS(Games[Team],Games[[#This Row],[Team]],Games[Season],Games[[#This Row],[Season]],Games[Date],"&lt;=" &amp; Games[[#This Row],[Date]])</f>
        <v>26</v>
      </c>
      <c r="D404" s="2" t="s">
        <v>79</v>
      </c>
      <c r="E404" s="2" t="s">
        <v>80</v>
      </c>
      <c r="F404" s="1" t="s">
        <v>85</v>
      </c>
      <c r="G404" s="1" t="s">
        <v>65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1618.8961153615362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1467.2472918265371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0.5961425703241815</v>
      </c>
      <c r="R404" s="1">
        <v>99</v>
      </c>
      <c r="S404" s="1">
        <v>100</v>
      </c>
      <c r="T404" s="1">
        <v>0</v>
      </c>
      <c r="U404" s="1">
        <f>Games[[#This Row],[PointsFor]]-Games[[#This Row],[PointsAgainst]]</f>
        <v>-1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0.21678382731989623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72.099999999999994</v>
      </c>
      <c r="Z404" s="4">
        <f>Games[[#This Row],[K]]*Games[[#This Row],[POMult]]</f>
        <v>72.099999999999994</v>
      </c>
      <c r="AA404" s="4">
        <f>(Games[[#This Row],[Keff]]*Games[[#This Row],[MOVMult]])*(Games[[#This Row],[Result]]-Games[[#This Row],[ExpectedWin%]])</f>
        <v>-9.3177763044724635</v>
      </c>
      <c r="AB404" s="4">
        <f>Games[[#This Row],[PreGmRate]]+Games[[#This Row],[RatingChange]]</f>
        <v>1609.5783390570637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46225</v>
      </c>
      <c r="B405" s="2">
        <v>2026</v>
      </c>
      <c r="C405" s="2">
        <f>COUNTIFS(Games[Team],Games[[#This Row],[Team]],Games[Season],Games[[#This Row],[Season]],Games[Date],"&lt;=" &amp; Games[[#This Row],[Date]])</f>
        <v>26</v>
      </c>
      <c r="D405" s="2" t="s">
        <v>79</v>
      </c>
      <c r="E405" s="2" t="s">
        <v>80</v>
      </c>
      <c r="F405" s="1" t="s">
        <v>65</v>
      </c>
      <c r="G405" s="1" t="s">
        <v>85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1467.2472918265371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1618.8961153615362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0.40385742967581856</v>
      </c>
      <c r="R405" s="1">
        <v>100</v>
      </c>
      <c r="S405" s="1">
        <v>99</v>
      </c>
      <c r="T405" s="1">
        <v>0</v>
      </c>
      <c r="U405" s="1">
        <f>Games[[#This Row],[PointsFor]]-Games[[#This Row],[PointsAgainst]]</f>
        <v>1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0.21678382731989623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72.099999999999994</v>
      </c>
      <c r="Z405" s="4">
        <f>Games[[#This Row],[K]]*Games[[#This Row],[POMult]]</f>
        <v>72.099999999999994</v>
      </c>
      <c r="AA405" s="4">
        <f>(Games[[#This Row],[Keff]]*Games[[#This Row],[MOVMult]])*(Games[[#This Row],[Result]]-Games[[#This Row],[ExpectedWin%]])</f>
        <v>9.3177763044724617</v>
      </c>
      <c r="AB405" s="4">
        <f>Games[[#This Row],[PreGmRate]]+Games[[#This Row],[RatingChange]]</f>
        <v>1476.5650681310096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46231</v>
      </c>
      <c r="B406" s="2">
        <v>2026</v>
      </c>
      <c r="C406" s="2">
        <f>COUNTIFS(Games[Team],Games[[#This Row],[Team]],Games[Season],Games[[#This Row],[Season]],Games[Date],"&lt;=" &amp; Games[[#This Row],[Date]])</f>
        <v>28</v>
      </c>
      <c r="D406" s="2" t="s">
        <v>79</v>
      </c>
      <c r="E406" s="2" t="s">
        <v>80</v>
      </c>
      <c r="F406" s="1" t="s">
        <v>60</v>
      </c>
      <c r="G406" s="1" t="s">
        <v>63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1536.122361330084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1403.9291733089099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0.56891415122592781</v>
      </c>
      <c r="R406" s="1">
        <v>113</v>
      </c>
      <c r="S406" s="1">
        <v>109</v>
      </c>
      <c r="T406" s="1">
        <v>0</v>
      </c>
      <c r="U406" s="1">
        <f>Games[[#This Row],[PointsFor]]-Games[[#This Row],[PointsAgainst]]</f>
        <v>4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0.28052934457634776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71.8</v>
      </c>
      <c r="Z406" s="4">
        <f>Games[[#This Row],[K]]*Games[[#This Row],[POMult]]</f>
        <v>71.8</v>
      </c>
      <c r="AA406" s="4">
        <f>(Games[[#This Row],[Keff]]*Games[[#This Row],[MOVMult]])*(Games[[#This Row],[Result]]-Games[[#This Row],[ExpectedWin%]])</f>
        <v>8.6829341579939445</v>
      </c>
      <c r="AB406" s="4">
        <f>Games[[#This Row],[PreGmRate]]+Games[[#This Row],[RatingChange]]</f>
        <v>1544.8052954880779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46231</v>
      </c>
      <c r="B407" s="2">
        <v>2026</v>
      </c>
      <c r="C407" s="2">
        <f>COUNTIFS(Games[Team],Games[[#This Row],[Team]],Games[Season],Games[[#This Row],[Season]],Games[Date],"&lt;=" &amp; Games[[#This Row],[Date]])</f>
        <v>27</v>
      </c>
      <c r="D407" s="2" t="s">
        <v>79</v>
      </c>
      <c r="E407" s="2" t="s">
        <v>80</v>
      </c>
      <c r="F407" s="1" t="s">
        <v>63</v>
      </c>
      <c r="G407" s="1" t="s">
        <v>60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1403.9291733089099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1536.122361330084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0.43108584877407219</v>
      </c>
      <c r="R407" s="1">
        <v>109</v>
      </c>
      <c r="S407" s="1">
        <v>113</v>
      </c>
      <c r="T407" s="1">
        <v>0</v>
      </c>
      <c r="U407" s="1">
        <f>Games[[#This Row],[PointsFor]]-Games[[#This Row],[PointsAgainst]]</f>
        <v>-4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0.28052934457634776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71.95</v>
      </c>
      <c r="Z407" s="4">
        <f>Games[[#This Row],[K]]*Games[[#This Row],[POMult]]</f>
        <v>71.95</v>
      </c>
      <c r="AA407" s="4">
        <f>(Games[[#This Row],[Keff]]*Games[[#This Row],[MOVMult]])*(Games[[#This Row],[Result]]-Games[[#This Row],[ExpectedWin%]])</f>
        <v>-8.7010739925858545</v>
      </c>
      <c r="AB407" s="4">
        <f>Games[[#This Row],[PreGmRate]]+Games[[#This Row],[RatingChange]]</f>
        <v>1395.228099316324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46231</v>
      </c>
      <c r="B408" s="2">
        <v>2026</v>
      </c>
      <c r="C408" s="2">
        <f>COUNTIFS(Games[Team],Games[[#This Row],[Team]],Games[Season],Games[[#This Row],[Season]],Games[Date],"&lt;=" &amp; Games[[#This Row],[Date]])</f>
        <v>28</v>
      </c>
      <c r="D408" s="2" t="s">
        <v>79</v>
      </c>
      <c r="E408" s="2" t="s">
        <v>80</v>
      </c>
      <c r="F408" s="1" t="s">
        <v>89</v>
      </c>
      <c r="G408" s="1" t="s">
        <v>85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1431.1595299227993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1609.5783390570637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0.18084928354816474</v>
      </c>
      <c r="R408" s="1">
        <v>83</v>
      </c>
      <c r="S408" s="1">
        <v>98</v>
      </c>
      <c r="T408" s="1">
        <v>0</v>
      </c>
      <c r="U408" s="1">
        <f>Games[[#This Row],[PointsFor]]-Games[[#This Row],[PointsAgainst]]</f>
        <v>-15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0.43776073690803829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71.8</v>
      </c>
      <c r="Z408" s="4">
        <f>Games[[#This Row],[K]]*Games[[#This Row],[POMult]]</f>
        <v>71.8</v>
      </c>
      <c r="AA408" s="4">
        <f>(Games[[#This Row],[Keff]]*Games[[#This Row],[MOVMult]])*(Games[[#This Row],[Result]]-Games[[#This Row],[ExpectedWin%]])</f>
        <v>-5.6843137826170782</v>
      </c>
      <c r="AB408" s="4">
        <f>Games[[#This Row],[PreGmRate]]+Games[[#This Row],[RatingChange]]</f>
        <v>1425.4752161401823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46231</v>
      </c>
      <c r="B409" s="2">
        <v>2026</v>
      </c>
      <c r="C409" s="2">
        <f>COUNTIFS(Games[Team],Games[[#This Row],[Team]],Games[Season],Games[[#This Row],[Season]],Games[Date],"&lt;=" &amp; Games[[#This Row],[Date]])</f>
        <v>27</v>
      </c>
      <c r="D409" s="2" t="s">
        <v>79</v>
      </c>
      <c r="E409" s="2" t="s">
        <v>80</v>
      </c>
      <c r="F409" s="1" t="s">
        <v>85</v>
      </c>
      <c r="G409" s="1" t="s">
        <v>89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1609.5783390570637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1431.1595299227993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0.81915071645183535</v>
      </c>
      <c r="R409" s="1">
        <v>98</v>
      </c>
      <c r="S409" s="1">
        <v>83</v>
      </c>
      <c r="T409" s="1">
        <v>0</v>
      </c>
      <c r="U409" s="1">
        <f>Games[[#This Row],[PointsFor]]-Games[[#This Row],[PointsAgainst]]</f>
        <v>15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0.43776073690803829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71.95</v>
      </c>
      <c r="Z409" s="4">
        <f>Games[[#This Row],[K]]*Games[[#This Row],[POMult]]</f>
        <v>71.95</v>
      </c>
      <c r="AA409" s="4">
        <f>(Games[[#This Row],[Keff]]*Games[[#This Row],[MOVMult]])*(Games[[#This Row],[Result]]-Games[[#This Row],[ExpectedWin%]])</f>
        <v>5.6961890899623766</v>
      </c>
      <c r="AB409" s="4">
        <f>Games[[#This Row],[PreGmRate]]+Games[[#This Row],[RatingChange]]</f>
        <v>1615.2745281470261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46231</v>
      </c>
      <c r="B410" s="2">
        <v>2026</v>
      </c>
      <c r="C410" s="2">
        <f>COUNTIFS(Games[Team],Games[[#This Row],[Team]],Games[Season],Games[[#This Row],[Season]],Games[Date],"&lt;=" &amp; Games[[#This Row],[Date]])</f>
        <v>27</v>
      </c>
      <c r="D410" s="2" t="s">
        <v>79</v>
      </c>
      <c r="E410" s="2" t="s">
        <v>80</v>
      </c>
      <c r="F410" s="1" t="s">
        <v>90</v>
      </c>
      <c r="G410" s="1" t="s">
        <v>67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7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0" s="2">
        <f>Games[[#This Row],[DaysOff]]-Games[[#This Row],[OppDaysOff]]</f>
        <v>2</v>
      </c>
      <c r="L410" s="2">
        <f>Games[[#This Row],[OppDaysOff]]-Games[[#This Row],[DaysOff]]</f>
        <v>-2</v>
      </c>
      <c r="M410" s="1">
        <f>MAX(-16, MIN(16, Games[[#This Row],[RestDiff]]*8))</f>
        <v>16</v>
      </c>
      <c r="N410" s="1">
        <f>MAX(-16, MIN(16, Games[[#This Row],[OppRestDiff]]*8))</f>
        <v>-16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1390.3141695892634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1682.4308328860091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0.12122348956214143</v>
      </c>
      <c r="R410" s="1">
        <v>93</v>
      </c>
      <c r="S410" s="1">
        <v>100</v>
      </c>
      <c r="T410" s="1">
        <v>0</v>
      </c>
      <c r="U410" s="1">
        <f>Games[[#This Row],[PointsFor]]-Games[[#This Row],[PointsAgainst]]</f>
        <v>-7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0.29765005505890368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71.95</v>
      </c>
      <c r="Z410" s="4">
        <f>Games[[#This Row],[K]]*Games[[#This Row],[POMult]]</f>
        <v>71.95</v>
      </c>
      <c r="AA410" s="4">
        <f>(Games[[#This Row],[Keff]]*Games[[#This Row],[MOVMult]])*(Games[[#This Row],[Result]]-Games[[#This Row],[ExpectedWin%]])</f>
        <v>-2.5961127317503458</v>
      </c>
      <c r="AB410" s="4">
        <f>Games[[#This Row],[PreGmRate]]+Games[[#This Row],[RatingChange]]</f>
        <v>1387.7180568575131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46231</v>
      </c>
      <c r="B411" s="2">
        <v>2026</v>
      </c>
      <c r="C411" s="2">
        <f>COUNTIFS(Games[Team],Games[[#This Row],[Team]],Games[Season],Games[[#This Row],[Season]],Games[Date],"&lt;=" &amp; Games[[#This Row],[Date]])</f>
        <v>29</v>
      </c>
      <c r="D411" s="2" t="s">
        <v>79</v>
      </c>
      <c r="E411" s="2" t="s">
        <v>80</v>
      </c>
      <c r="F411" s="1" t="s">
        <v>67</v>
      </c>
      <c r="G411" s="1" t="s">
        <v>90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11" s="2">
        <f>Games[[#This Row],[DaysOff]]-Games[[#This Row],[OppDaysOff]]</f>
        <v>-2</v>
      </c>
      <c r="L411" s="2">
        <f>Games[[#This Row],[OppDaysOff]]-Games[[#This Row],[DaysOff]]</f>
        <v>2</v>
      </c>
      <c r="M411" s="1">
        <f>MAX(-16, MIN(16, Games[[#This Row],[RestDiff]]*8))</f>
        <v>-16</v>
      </c>
      <c r="N411" s="1">
        <f>MAX(-16, MIN(16, Games[[#This Row],[OppRestDiff]]*8))</f>
        <v>16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1682.4308328860091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1390.3141695892634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0.87877651043785865</v>
      </c>
      <c r="R411" s="1">
        <v>100</v>
      </c>
      <c r="S411" s="1">
        <v>93</v>
      </c>
      <c r="T411" s="1">
        <v>0</v>
      </c>
      <c r="U411" s="1">
        <f>Games[[#This Row],[PointsFor]]-Games[[#This Row],[PointsAgainst]]</f>
        <v>7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0.29765005505890368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71.650000000000006</v>
      </c>
      <c r="Z411" s="4">
        <f>Games[[#This Row],[K]]*Games[[#This Row],[POMult]]</f>
        <v>71.650000000000006</v>
      </c>
      <c r="AA411" s="4">
        <f>(Games[[#This Row],[Keff]]*Games[[#This Row],[MOVMult]])*(Games[[#This Row],[Result]]-Games[[#This Row],[ExpectedWin%]])</f>
        <v>2.5852880782475633</v>
      </c>
      <c r="AB411" s="4">
        <f>Games[[#This Row],[PreGmRate]]+Games[[#This Row],[RatingChange]]</f>
        <v>1685.0161209642565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46231</v>
      </c>
      <c r="B412" s="2">
        <v>2026</v>
      </c>
      <c r="C412" s="2">
        <f>COUNTIFS(Games[Team],Games[[#This Row],[Team]],Games[Season],Games[[#This Row],[Season]],Games[Date],"&lt;=" &amp; Games[[#This Row],[Date]])</f>
        <v>28</v>
      </c>
      <c r="D412" s="2" t="s">
        <v>79</v>
      </c>
      <c r="E412" s="2" t="s">
        <v>80</v>
      </c>
      <c r="F412" s="1" t="s">
        <v>69</v>
      </c>
      <c r="G412" s="1" t="s">
        <v>71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1604.3254700220609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1370.6283435034966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0.7030211244039839</v>
      </c>
      <c r="R412" s="1">
        <v>105</v>
      </c>
      <c r="S412" s="1">
        <v>95</v>
      </c>
      <c r="T412" s="1">
        <v>0</v>
      </c>
      <c r="U412" s="1">
        <f>Games[[#This Row],[PointsFor]]-Games[[#This Row],[PointsAgainst]]</f>
        <v>10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0.35415823175409428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71.8</v>
      </c>
      <c r="Z412" s="4">
        <f>Games[[#This Row],[K]]*Games[[#This Row],[POMult]]</f>
        <v>71.8</v>
      </c>
      <c r="AA412" s="4">
        <f>(Games[[#This Row],[Keff]]*Games[[#This Row],[MOVMult]])*(Games[[#This Row],[Result]]-Games[[#This Row],[ExpectedWin%]])</f>
        <v>7.5517454656672216</v>
      </c>
      <c r="AB412" s="4">
        <f>Games[[#This Row],[PreGmRate]]+Games[[#This Row],[RatingChange]]</f>
        <v>1611.8772154877281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46231</v>
      </c>
      <c r="B413" s="2">
        <v>2026</v>
      </c>
      <c r="C413" s="2">
        <f>COUNTIFS(Games[Team],Games[[#This Row],[Team]],Games[Season],Games[[#This Row],[Season]],Games[Date],"&lt;=" &amp; Games[[#This Row],[Date]])</f>
        <v>30</v>
      </c>
      <c r="D413" s="2" t="s">
        <v>79</v>
      </c>
      <c r="E413" s="2" t="s">
        <v>80</v>
      </c>
      <c r="F413" s="1" t="s">
        <v>71</v>
      </c>
      <c r="G413" s="1" t="s">
        <v>69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1370.6283435034966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1604.3254700220609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0.2969788755960161</v>
      </c>
      <c r="R413" s="1">
        <v>95</v>
      </c>
      <c r="S413" s="1">
        <v>105</v>
      </c>
      <c r="T413" s="1">
        <v>0</v>
      </c>
      <c r="U413" s="1">
        <f>Games[[#This Row],[PointsFor]]-Games[[#This Row],[PointsAgainst]]</f>
        <v>-10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0.35415823175409428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71.5</v>
      </c>
      <c r="Z413" s="4">
        <f>Games[[#This Row],[K]]*Games[[#This Row],[POMult]]</f>
        <v>71.5</v>
      </c>
      <c r="AA413" s="4">
        <f>(Games[[#This Row],[Keff]]*Games[[#This Row],[MOVMult]])*(Games[[#This Row],[Result]]-Games[[#This Row],[ExpectedWin%]])</f>
        <v>-7.5201922116324003</v>
      </c>
      <c r="AB413" s="4">
        <f>Games[[#This Row],[PreGmRate]]+Games[[#This Row],[RatingChange]]</f>
        <v>1363.1081512918643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46231</v>
      </c>
      <c r="B414" s="2">
        <v>2026</v>
      </c>
      <c r="C414" s="2">
        <f>COUNTIFS(Games[Team],Games[[#This Row],[Team]],Games[Season],Games[[#This Row],[Season]],Games[Date],"&lt;=" &amp; Games[[#This Row],[Date]])</f>
        <v>28</v>
      </c>
      <c r="D414" s="2" t="s">
        <v>79</v>
      </c>
      <c r="E414" s="2" t="s">
        <v>80</v>
      </c>
      <c r="F414" s="1" t="s">
        <v>74</v>
      </c>
      <c r="G414" s="1" t="s">
        <v>65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1361.6203906099336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1476.5650681310096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0.24136368771488262</v>
      </c>
      <c r="R414" s="1">
        <v>84</v>
      </c>
      <c r="S414" s="1">
        <v>92</v>
      </c>
      <c r="T414" s="1">
        <v>0</v>
      </c>
      <c r="U414" s="1">
        <f>Games[[#This Row],[PointsFor]]-Games[[#This Row],[PointsAgainst]]</f>
        <v>-8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0.3543712902675617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71.8</v>
      </c>
      <c r="Z414" s="4">
        <f>Games[[#This Row],[K]]*Games[[#This Row],[POMult]]</f>
        <v>71.8</v>
      </c>
      <c r="AA414" s="4">
        <f>(Games[[#This Row],[Keff]]*Games[[#This Row],[MOVMult]])*(Games[[#This Row],[Result]]-Games[[#This Row],[ExpectedWin%]])</f>
        <v>-6.1412235513388529</v>
      </c>
      <c r="AB414" s="4">
        <f>Games[[#This Row],[PreGmRate]]+Games[[#This Row],[RatingChange]]</f>
        <v>1355.4791670585946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46231</v>
      </c>
      <c r="B415" s="2">
        <v>2026</v>
      </c>
      <c r="C415" s="2">
        <f>COUNTIFS(Games[Team],Games[[#This Row],[Team]],Games[Season],Games[[#This Row],[Season]],Games[Date],"&lt;=" &amp; Games[[#This Row],[Date]])</f>
        <v>27</v>
      </c>
      <c r="D415" s="2" t="s">
        <v>79</v>
      </c>
      <c r="E415" s="2" t="s">
        <v>80</v>
      </c>
      <c r="F415" s="1" t="s">
        <v>65</v>
      </c>
      <c r="G415" s="1" t="s">
        <v>74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1476.5650681310096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1361.6203906099336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0.75863631228511741</v>
      </c>
      <c r="R415" s="1">
        <v>92</v>
      </c>
      <c r="S415" s="1">
        <v>84</v>
      </c>
      <c r="T415" s="1">
        <v>0</v>
      </c>
      <c r="U415" s="1">
        <f>Games[[#This Row],[PointsFor]]-Games[[#This Row],[PointsAgainst]]</f>
        <v>8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0.3543712902675617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71.95</v>
      </c>
      <c r="Z415" s="4">
        <f>Games[[#This Row],[K]]*Games[[#This Row],[POMult]]</f>
        <v>71.95</v>
      </c>
      <c r="AA415" s="4">
        <f>(Games[[#This Row],[Keff]]*Games[[#This Row],[MOVMult]])*(Games[[#This Row],[Result]]-Games[[#This Row],[ExpectedWin%]])</f>
        <v>6.1540534055547411</v>
      </c>
      <c r="AB415" s="4">
        <f>Games[[#This Row],[PreGmRate]]+Games[[#This Row],[RatingChange]]</f>
        <v>1482.7191215365644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46232</v>
      </c>
      <c r="B416" s="2">
        <v>2026</v>
      </c>
      <c r="C416" s="2">
        <f>COUNTIFS(Games[Team],Games[[#This Row],[Team]],Games[Season],Games[[#This Row],[Season]],Games[Date],"&lt;=" &amp; Games[[#This Row],[Date]])</f>
        <v>27</v>
      </c>
      <c r="D416" s="2" t="s">
        <v>79</v>
      </c>
      <c r="E416" s="2" t="s">
        <v>80</v>
      </c>
      <c r="F416" s="1" t="s">
        <v>77</v>
      </c>
      <c r="G416" s="1" t="s">
        <v>84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9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6" s="2">
        <f>Games[[#This Row],[DaysOff]]-Games[[#This Row],[OppDaysOff]]</f>
        <v>3</v>
      </c>
      <c r="L416" s="2">
        <f>Games[[#This Row],[OppDaysOff]]-Games[[#This Row],[DaysOff]]</f>
        <v>-3</v>
      </c>
      <c r="M416" s="16">
        <f>MAX(-16, MIN(16, Games[[#This Row],[RestDiff]]*8))</f>
        <v>16</v>
      </c>
      <c r="N416" s="16">
        <f>MAX(-16, MIN(16, Games[[#This Row],[OppRestDiff]]*8))</f>
        <v>-16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1571.5541627428663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1581.3295585306496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0.41202321677827225</v>
      </c>
      <c r="R416" s="1">
        <v>82</v>
      </c>
      <c r="S416" s="1">
        <v>81</v>
      </c>
      <c r="T416" s="1">
        <v>0</v>
      </c>
      <c r="U416" s="16">
        <f>Games[[#This Row],[PointsFor]]-Games[[#This Row],[PointsAgainst]]</f>
        <v>1</v>
      </c>
      <c r="V416" s="16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0.24220661635091842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71.95</v>
      </c>
      <c r="Z416" s="4">
        <f>Games[[#This Row],[K]]*Games[[#This Row],[POMult]]</f>
        <v>71.95</v>
      </c>
      <c r="AA416" s="4">
        <f>(Games[[#This Row],[Keff]]*Games[[#This Row],[MOVMult]])*(Games[[#This Row],[Result]]-Games[[#This Row],[ExpectedWin%]])</f>
        <v>10.246533841948462</v>
      </c>
      <c r="AB416" s="4">
        <f>Games[[#This Row],[PreGmRate]]+Games[[#This Row],[RatingChange]]</f>
        <v>1581.8006965848149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46232</v>
      </c>
      <c r="B417" s="2">
        <v>2026</v>
      </c>
      <c r="C417" s="2">
        <f>COUNTIFS(Games[Team],Games[[#This Row],[Team]],Games[Season],Games[[#This Row],[Season]],Games[Date],"&lt;=" &amp; Games[[#This Row],[Date]])</f>
        <v>28</v>
      </c>
      <c r="D417" s="2" t="s">
        <v>79</v>
      </c>
      <c r="E417" s="2" t="s">
        <v>80</v>
      </c>
      <c r="F417" s="1" t="s">
        <v>84</v>
      </c>
      <c r="G417" s="1" t="s">
        <v>77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417" s="2">
        <f>Games[[#This Row],[DaysOff]]-Games[[#This Row],[OppDaysOff]]</f>
        <v>-3</v>
      </c>
      <c r="L417" s="2">
        <f>Games[[#This Row],[OppDaysOff]]-Games[[#This Row],[DaysOff]]</f>
        <v>3</v>
      </c>
      <c r="M417" s="16">
        <f>MAX(-16, MIN(16, Games[[#This Row],[RestDiff]]*8))</f>
        <v>-16</v>
      </c>
      <c r="N417" s="16">
        <f>MAX(-16, MIN(16, Games[[#This Row],[OppRestDiff]]*8))</f>
        <v>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1581.3295585306496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1571.5541627428663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0.58797678322172775</v>
      </c>
      <c r="R417" s="1">
        <v>81</v>
      </c>
      <c r="S417" s="1">
        <v>82</v>
      </c>
      <c r="T417" s="1">
        <v>0</v>
      </c>
      <c r="U417" s="16">
        <f>Games[[#This Row],[PointsFor]]-Games[[#This Row],[PointsAgainst]]</f>
        <v>-1</v>
      </c>
      <c r="V417" s="16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0.24220661635091842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71.8</v>
      </c>
      <c r="Z417" s="4">
        <f>Games[[#This Row],[K]]*Games[[#This Row],[POMult]]</f>
        <v>71.8</v>
      </c>
      <c r="AA417" s="4">
        <f>(Games[[#This Row],[Keff]]*Games[[#This Row],[MOVMult]])*(Games[[#This Row],[Result]]-Games[[#This Row],[ExpectedWin%]])</f>
        <v>-10.225172061874906</v>
      </c>
      <c r="AB417" s="4">
        <f>Games[[#This Row],[PreGmRate]]+Games[[#This Row],[RatingChange]]</f>
        <v>1571.1043864687747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46232</v>
      </c>
      <c r="B418" s="2">
        <v>2026</v>
      </c>
      <c r="C418" s="2">
        <f>COUNTIFS(Games[Team],Games[[#This Row],[Team]],Games[Season],Games[[#This Row],[Season]],Games[Date],"&lt;=" &amp; Games[[#This Row],[Date]])</f>
        <v>28</v>
      </c>
      <c r="D418" s="2" t="s">
        <v>79</v>
      </c>
      <c r="E418" s="2" t="s">
        <v>80</v>
      </c>
      <c r="F418" s="1" t="s">
        <v>87</v>
      </c>
      <c r="G418" s="1" t="s">
        <v>40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8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8" s="2">
        <f>Games[[#This Row],[DaysOff]]-Games[[#This Row],[OppDaysOff]]</f>
        <v>2</v>
      </c>
      <c r="L418" s="2">
        <f>Games[[#This Row],[OppDaysOff]]-Games[[#This Row],[DaysOff]]</f>
        <v>-2</v>
      </c>
      <c r="M418" s="16">
        <f>MAX(-16, MIN(16, Games[[#This Row],[RestDiff]]*8))</f>
        <v>16</v>
      </c>
      <c r="N418" s="16">
        <f>MAX(-16, MIN(16, Games[[#This Row],[OppRestDiff]]*8))</f>
        <v>-16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1636.5350350134615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1442.6964398620692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0.69349045663493258</v>
      </c>
      <c r="R418" s="1">
        <v>89</v>
      </c>
      <c r="S418" s="1">
        <v>91</v>
      </c>
      <c r="T418" s="1">
        <v>0</v>
      </c>
      <c r="U418" s="16">
        <f>Games[[#This Row],[PointsFor]]-Games[[#This Row],[PointsAgainst]]</f>
        <v>-2</v>
      </c>
      <c r="V418" s="16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0.23059311608220592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71.8</v>
      </c>
      <c r="Z418" s="4">
        <f>Games[[#This Row],[K]]*Games[[#This Row],[POMult]]</f>
        <v>71.8</v>
      </c>
      <c r="AA418" s="4">
        <f>(Games[[#This Row],[Keff]]*Games[[#This Row],[MOVMult]])*(Games[[#This Row],[Result]]-Games[[#This Row],[ExpectedWin%]])</f>
        <v>-11.481834201474168</v>
      </c>
      <c r="AB418" s="4">
        <f>Games[[#This Row],[PreGmRate]]+Games[[#This Row],[RatingChange]]</f>
        <v>1625.0532008119874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46232</v>
      </c>
      <c r="B419" s="2">
        <v>2026</v>
      </c>
      <c r="C419" s="2">
        <f>COUNTIFS(Games[Team],Games[[#This Row],[Team]],Games[Season],Games[[#This Row],[Season]],Games[Date],"&lt;=" &amp; Games[[#This Row],[Date]])</f>
        <v>29</v>
      </c>
      <c r="D419" s="2" t="s">
        <v>79</v>
      </c>
      <c r="E419" s="2" t="s">
        <v>80</v>
      </c>
      <c r="F419" s="1" t="s">
        <v>40</v>
      </c>
      <c r="G419" s="1" t="s">
        <v>87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19" s="2">
        <f>Games[[#This Row],[DaysOff]]-Games[[#This Row],[OppDaysOff]]</f>
        <v>-2</v>
      </c>
      <c r="L419" s="2">
        <f>Games[[#This Row],[OppDaysOff]]-Games[[#This Row],[DaysOff]]</f>
        <v>2</v>
      </c>
      <c r="M419" s="16">
        <f>MAX(-16, MIN(16, Games[[#This Row],[RestDiff]]*8))</f>
        <v>-16</v>
      </c>
      <c r="N419" s="16">
        <f>MAX(-16, MIN(16, Games[[#This Row],[OppRestDiff]]*8))</f>
        <v>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1442.6964398620692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1636.5350350134615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0.30650954336506736</v>
      </c>
      <c r="R419" s="1">
        <v>91</v>
      </c>
      <c r="S419" s="1">
        <v>89</v>
      </c>
      <c r="T419" s="1">
        <v>0</v>
      </c>
      <c r="U419" s="16">
        <f>Games[[#This Row],[PointsFor]]-Games[[#This Row],[PointsAgainst]]</f>
        <v>2</v>
      </c>
      <c r="V419" s="16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0.23059311608220592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71.650000000000006</v>
      </c>
      <c r="Z419" s="4">
        <f>Games[[#This Row],[K]]*Games[[#This Row],[POMult]]</f>
        <v>71.650000000000006</v>
      </c>
      <c r="AA419" s="4">
        <f>(Games[[#This Row],[Keff]]*Games[[#This Row],[MOVMult]])*(Games[[#This Row],[Result]]-Games[[#This Row],[ExpectedWin%]])</f>
        <v>11.457847082668863</v>
      </c>
      <c r="AB419" s="4">
        <f>Games[[#This Row],[PreGmRate]]+Games[[#This Row],[RatingChange]]</f>
        <v>1454.154286944738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2026-08-01T07:55:19Z</dcterms:modified>
</cp:coreProperties>
</file>